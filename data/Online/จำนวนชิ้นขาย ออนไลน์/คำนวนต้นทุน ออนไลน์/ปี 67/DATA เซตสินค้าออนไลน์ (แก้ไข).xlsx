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"/>
    </mc:Choice>
  </mc:AlternateContent>
  <xr:revisionPtr revIDLastSave="0" documentId="13_ncr:1_{769B15D2-D419-49C6-B02B-D2DB502F5B92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ATA1-9.01.68" sheetId="1" r:id="rId1"/>
    <sheet name="ALL" sheetId="2" r:id="rId2"/>
  </sheets>
  <definedNames>
    <definedName name="_xlnm._FilterDatabase" localSheetId="1" hidden="1">ALL!$A$3:$U$139</definedName>
    <definedName name="_xlnm.Print_Area" localSheetId="0">'DATA1-9.01.68'!$V$1:$X$176</definedName>
    <definedName name="_xlnm.Print_Titles" localSheetId="1">ALL!$1:$3</definedName>
    <definedName name="_xlnm.Print_Titles" localSheetId="0">'DATA1-9.01.68'!$1:$1</definedName>
  </definedNames>
  <calcPr calcId="191029"/>
  <pivotCaches>
    <pivotCache cacheId="84" r:id="rId3"/>
  </pivotCaches>
</workbook>
</file>

<file path=xl/calcChain.xml><?xml version="1.0" encoding="utf-8"?>
<calcChain xmlns="http://schemas.openxmlformats.org/spreadsheetml/2006/main">
  <c r="G17" i="2" l="1"/>
  <c r="G25" i="2"/>
  <c r="G24" i="2"/>
  <c r="G106" i="2"/>
  <c r="G78" i="2"/>
  <c r="H61" i="2"/>
  <c r="H59" i="2"/>
  <c r="H57" i="2"/>
  <c r="H55" i="2"/>
  <c r="H45" i="2"/>
  <c r="H44" i="2"/>
  <c r="I25" i="2"/>
  <c r="G4" i="2" l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31" i="2"/>
  <c r="W32" i="2"/>
  <c r="W33" i="2"/>
  <c r="W36" i="2"/>
  <c r="W43" i="2"/>
  <c r="W46" i="2"/>
  <c r="W47" i="2"/>
  <c r="W48" i="2"/>
  <c r="W49" i="2"/>
  <c r="W5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100" i="2"/>
  <c r="W101" i="2"/>
  <c r="W102" i="2"/>
  <c r="W105" i="2"/>
  <c r="W106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4" i="2"/>
  <c r="T5" i="2"/>
  <c r="T6" i="2"/>
  <c r="T7" i="2"/>
  <c r="T8" i="2"/>
  <c r="T9" i="2"/>
  <c r="T10" i="2"/>
  <c r="T11" i="2"/>
  <c r="T12" i="2"/>
  <c r="T13" i="2"/>
  <c r="T16" i="2"/>
  <c r="T17" i="2"/>
  <c r="T18" i="2"/>
  <c r="T19" i="2"/>
  <c r="T20" i="2"/>
  <c r="T21" i="2"/>
  <c r="T22" i="2"/>
  <c r="T23" i="2"/>
  <c r="T24" i="2"/>
  <c r="T31" i="2"/>
  <c r="T38" i="2"/>
  <c r="T39" i="2"/>
  <c r="T43" i="2"/>
  <c r="T46" i="2"/>
  <c r="T47" i="2"/>
  <c r="T48" i="2"/>
  <c r="T49" i="2"/>
  <c r="T50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4" i="2"/>
  <c r="Q12" i="2"/>
  <c r="Q17" i="2"/>
  <c r="Q18" i="2"/>
  <c r="Q19" i="2"/>
  <c r="Q20" i="2"/>
  <c r="Q21" i="2"/>
  <c r="Q22" i="2"/>
  <c r="Q23" i="2"/>
  <c r="Q24" i="2"/>
  <c r="Q40" i="2"/>
  <c r="Q41" i="2"/>
  <c r="Q42" i="2"/>
  <c r="Q43" i="2"/>
  <c r="Q46" i="2"/>
  <c r="Q47" i="2"/>
  <c r="Q48" i="2"/>
  <c r="Q49" i="2"/>
  <c r="Q50" i="2"/>
  <c r="Q62" i="2"/>
  <c r="Q63" i="2"/>
  <c r="Q64" i="2"/>
  <c r="Q65" i="2"/>
  <c r="Q66" i="2"/>
  <c r="Q67" i="2"/>
  <c r="Q68" i="2"/>
  <c r="Q69" i="2"/>
  <c r="Q70" i="2"/>
  <c r="Q71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6" i="2"/>
  <c r="Q97" i="2"/>
  <c r="Q98" i="2"/>
  <c r="Q101" i="2"/>
  <c r="Q102" i="2"/>
  <c r="Q104" i="2"/>
  <c r="Q105" i="2"/>
  <c r="Q106" i="2"/>
  <c r="Q110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9" i="2"/>
  <c r="Q16" i="2"/>
  <c r="Q13" i="2"/>
  <c r="Q5" i="2"/>
  <c r="Q6" i="2"/>
  <c r="Q7" i="2"/>
  <c r="Q8" i="2"/>
  <c r="Q9" i="2"/>
  <c r="Q10" i="2"/>
  <c r="Q11" i="2"/>
  <c r="Q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34" i="2"/>
  <c r="N35" i="2"/>
  <c r="N36" i="2"/>
  <c r="N38" i="2"/>
  <c r="N39" i="2"/>
  <c r="N43" i="2"/>
  <c r="N46" i="2"/>
  <c r="N47" i="2"/>
  <c r="N48" i="2"/>
  <c r="N49" i="2"/>
  <c r="N50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4" i="2"/>
  <c r="V14" i="2"/>
  <c r="V15" i="2"/>
  <c r="V32" i="2"/>
  <c r="V33" i="2"/>
  <c r="V35" i="2"/>
  <c r="W35" i="2" s="1"/>
  <c r="V36" i="2"/>
  <c r="V38" i="2"/>
  <c r="W38" i="2" s="1"/>
  <c r="V39" i="2"/>
  <c r="W39" i="2" s="1"/>
  <c r="V41" i="2"/>
  <c r="W41" i="2" s="1"/>
  <c r="V42" i="2"/>
  <c r="W42" i="2" s="1"/>
  <c r="V65" i="2"/>
  <c r="V66" i="2"/>
  <c r="V67" i="2"/>
  <c r="V68" i="2"/>
  <c r="V72" i="2"/>
  <c r="V73" i="2"/>
  <c r="V74" i="2"/>
  <c r="V96" i="2"/>
  <c r="V100" i="2"/>
  <c r="V104" i="2"/>
  <c r="W104" i="2" s="1"/>
  <c r="V108" i="2"/>
  <c r="W108" i="2" s="1"/>
  <c r="V110" i="2"/>
  <c r="W110" i="2" s="1"/>
  <c r="V112" i="2"/>
  <c r="W112" i="2" s="1"/>
  <c r="V132" i="2"/>
  <c r="V138" i="2"/>
  <c r="S14" i="2"/>
  <c r="S15" i="2"/>
  <c r="S35" i="2"/>
  <c r="T35" i="2" s="1"/>
  <c r="S36" i="2"/>
  <c r="T36" i="2" s="1"/>
  <c r="S38" i="2"/>
  <c r="S39" i="2"/>
  <c r="S41" i="2"/>
  <c r="T41" i="2" s="1"/>
  <c r="S42" i="2"/>
  <c r="T42" i="2" s="1"/>
  <c r="S96" i="2"/>
  <c r="S100" i="2"/>
  <c r="S104" i="2"/>
  <c r="S108" i="2"/>
  <c r="S110" i="2"/>
  <c r="S112" i="2"/>
  <c r="S132" i="2"/>
  <c r="S138" i="2"/>
  <c r="P14" i="2"/>
  <c r="P15" i="2"/>
  <c r="P32" i="2"/>
  <c r="Q32" i="2" s="1"/>
  <c r="P33" i="2"/>
  <c r="Q33" i="2" s="1"/>
  <c r="P35" i="2"/>
  <c r="Q35" i="2" s="1"/>
  <c r="P36" i="2"/>
  <c r="Q36" i="2" s="1"/>
  <c r="P38" i="2"/>
  <c r="Q38" i="2" s="1"/>
  <c r="P39" i="2"/>
  <c r="Q39" i="2" s="1"/>
  <c r="P41" i="2"/>
  <c r="P42" i="2"/>
  <c r="P65" i="2"/>
  <c r="P66" i="2"/>
  <c r="P67" i="2"/>
  <c r="P68" i="2"/>
  <c r="P72" i="2"/>
  <c r="P73" i="2"/>
  <c r="P74" i="2"/>
  <c r="P96" i="2"/>
  <c r="P100" i="2"/>
  <c r="Q100" i="2" s="1"/>
  <c r="P104" i="2"/>
  <c r="P108" i="2"/>
  <c r="Q108" i="2" s="1"/>
  <c r="P110" i="2"/>
  <c r="P112" i="2"/>
  <c r="P132" i="2"/>
  <c r="P138" i="2"/>
  <c r="Q138" i="2" s="1"/>
  <c r="M14" i="2"/>
  <c r="M15" i="2"/>
  <c r="M32" i="2"/>
  <c r="N32" i="2" s="1"/>
  <c r="M33" i="2"/>
  <c r="N33" i="2" s="1"/>
  <c r="M35" i="2"/>
  <c r="M36" i="2"/>
  <c r="M38" i="2"/>
  <c r="M39" i="2"/>
  <c r="M41" i="2"/>
  <c r="N41" i="2" s="1"/>
  <c r="M42" i="2"/>
  <c r="N42" i="2" s="1"/>
  <c r="M65" i="2"/>
  <c r="M66" i="2"/>
  <c r="M67" i="2"/>
  <c r="M68" i="2"/>
  <c r="M72" i="2"/>
  <c r="M73" i="2"/>
  <c r="M74" i="2"/>
  <c r="M96" i="2"/>
  <c r="M100" i="2"/>
  <c r="M104" i="2"/>
  <c r="M108" i="2"/>
  <c r="M110" i="2"/>
  <c r="M112" i="2"/>
  <c r="N112" i="2" s="1"/>
  <c r="M132" i="2"/>
  <c r="M138" i="2"/>
  <c r="G86" i="2"/>
  <c r="G85" i="2"/>
  <c r="G84" i="2"/>
  <c r="G83" i="2"/>
  <c r="G82" i="2"/>
  <c r="G81" i="2"/>
  <c r="G80" i="2"/>
  <c r="G79" i="2"/>
  <c r="G16" i="2"/>
  <c r="G12" i="2"/>
  <c r="G11" i="2"/>
  <c r="G10" i="2"/>
  <c r="G9" i="2"/>
  <c r="G8" i="2"/>
  <c r="G26" i="2" l="1"/>
  <c r="G45" i="2"/>
  <c r="G44" i="2"/>
  <c r="G30" i="2"/>
  <c r="G28" i="2"/>
  <c r="G29" i="2"/>
  <c r="G27" i="2"/>
  <c r="G61" i="2"/>
  <c r="G60" i="2"/>
  <c r="G59" i="2"/>
  <c r="G58" i="2"/>
  <c r="G57" i="2"/>
  <c r="G56" i="2"/>
  <c r="G55" i="2"/>
  <c r="G54" i="2"/>
  <c r="G53" i="2"/>
  <c r="G52" i="2"/>
  <c r="G51" i="2"/>
  <c r="G128" i="2"/>
  <c r="G129" i="2"/>
  <c r="I139" i="2"/>
  <c r="I136" i="2"/>
  <c r="I133" i="2"/>
  <c r="I130" i="2"/>
  <c r="I128" i="2"/>
  <c r="I126" i="2"/>
  <c r="I120" i="2"/>
  <c r="I119" i="2"/>
  <c r="I117" i="2"/>
  <c r="I112" i="2"/>
  <c r="I111" i="2"/>
  <c r="J111" i="2" s="1"/>
  <c r="I108" i="2"/>
  <c r="J108" i="2" s="1"/>
  <c r="I107" i="2"/>
  <c r="I105" i="2"/>
  <c r="I102" i="2"/>
  <c r="I101" i="2"/>
  <c r="I98" i="2"/>
  <c r="I97" i="2"/>
  <c r="I94" i="2"/>
  <c r="I92" i="2"/>
  <c r="I91" i="2"/>
  <c r="I90" i="2"/>
  <c r="I89" i="2"/>
  <c r="I88" i="2"/>
  <c r="I87" i="2"/>
  <c r="I83" i="2"/>
  <c r="J83" i="2" s="1"/>
  <c r="K83" i="2" s="1"/>
  <c r="I82" i="2"/>
  <c r="J82" i="2" s="1"/>
  <c r="K82" i="2" s="1"/>
  <c r="I81" i="2"/>
  <c r="J81" i="2" s="1"/>
  <c r="K81" i="2" s="1"/>
  <c r="I77" i="2"/>
  <c r="I75" i="2"/>
  <c r="I70" i="2"/>
  <c r="I69" i="2"/>
  <c r="I63" i="2"/>
  <c r="J63" i="2" s="1"/>
  <c r="K63" i="2" s="1"/>
  <c r="I62" i="2"/>
  <c r="J62" i="2" s="1"/>
  <c r="K62" i="2" s="1"/>
  <c r="I60" i="2"/>
  <c r="J60" i="2" s="1"/>
  <c r="K60" i="2" s="1"/>
  <c r="I59" i="2"/>
  <c r="I56" i="2"/>
  <c r="J56" i="2" s="1"/>
  <c r="K56" i="2" s="1"/>
  <c r="I55" i="2"/>
  <c r="J55" i="2" s="1"/>
  <c r="K55" i="2" s="1"/>
  <c r="I52" i="2"/>
  <c r="J52" i="2" s="1"/>
  <c r="K52" i="2" s="1"/>
  <c r="I51" i="2"/>
  <c r="J51" i="2" s="1"/>
  <c r="K51" i="2" s="1"/>
  <c r="I49" i="2"/>
  <c r="I48" i="2"/>
  <c r="I45" i="2"/>
  <c r="I43" i="2"/>
  <c r="I30" i="2"/>
  <c r="I29" i="2"/>
  <c r="J29" i="2" s="1"/>
  <c r="K29" i="2" s="1"/>
  <c r="I27" i="2"/>
  <c r="I24" i="2"/>
  <c r="I23" i="2"/>
  <c r="I21" i="2"/>
  <c r="I20" i="2"/>
  <c r="I19" i="2"/>
  <c r="I18" i="2"/>
  <c r="I16" i="2"/>
  <c r="J16" i="2" s="1"/>
  <c r="K16" i="2" s="1"/>
  <c r="I12" i="2"/>
  <c r="I9" i="2"/>
  <c r="J9" i="2" s="1"/>
  <c r="K9" i="2" s="1"/>
  <c r="I8" i="2"/>
  <c r="J8" i="2" s="1"/>
  <c r="K8" i="2" s="1"/>
  <c r="I138" i="2"/>
  <c r="J138" i="2" s="1"/>
  <c r="I137" i="2"/>
  <c r="I135" i="2"/>
  <c r="I134" i="2"/>
  <c r="I132" i="2"/>
  <c r="J132" i="2" s="1"/>
  <c r="I131" i="2"/>
  <c r="J131" i="2" s="1"/>
  <c r="I129" i="2"/>
  <c r="J129" i="2" s="1"/>
  <c r="K129" i="2" s="1"/>
  <c r="I127" i="2"/>
  <c r="I125" i="2"/>
  <c r="I124" i="2"/>
  <c r="I123" i="2"/>
  <c r="I122" i="2"/>
  <c r="I121" i="2"/>
  <c r="I118" i="2"/>
  <c r="I116" i="2"/>
  <c r="I115" i="2"/>
  <c r="I114" i="2"/>
  <c r="I113" i="2"/>
  <c r="I110" i="2"/>
  <c r="J110" i="2" s="1"/>
  <c r="I109" i="2"/>
  <c r="I106" i="2"/>
  <c r="I104" i="2"/>
  <c r="J104" i="2" s="1"/>
  <c r="I103" i="2"/>
  <c r="I100" i="2"/>
  <c r="J100" i="2" s="1"/>
  <c r="I99" i="2"/>
  <c r="I96" i="2"/>
  <c r="J96" i="2" s="1"/>
  <c r="I95" i="2"/>
  <c r="I93" i="2"/>
  <c r="I86" i="2"/>
  <c r="J86" i="2" s="1"/>
  <c r="K86" i="2" s="1"/>
  <c r="I85" i="2"/>
  <c r="J85" i="2" s="1"/>
  <c r="K85" i="2" s="1"/>
  <c r="I84" i="2"/>
  <c r="J84" i="2" s="1"/>
  <c r="K84" i="2" s="1"/>
  <c r="I80" i="2"/>
  <c r="J80" i="2" s="1"/>
  <c r="K80" i="2" s="1"/>
  <c r="I79" i="2"/>
  <c r="J79" i="2" s="1"/>
  <c r="K79" i="2" s="1"/>
  <c r="I78" i="2"/>
  <c r="J78" i="2" s="1"/>
  <c r="K78" i="2" s="1"/>
  <c r="I76" i="2"/>
  <c r="I74" i="2"/>
  <c r="J74" i="2" s="1"/>
  <c r="I73" i="2"/>
  <c r="J73" i="2" s="1"/>
  <c r="I72" i="2"/>
  <c r="J72" i="2" s="1"/>
  <c r="I71" i="2"/>
  <c r="J71" i="2" s="1"/>
  <c r="I68" i="2"/>
  <c r="J68" i="2" s="1"/>
  <c r="I67" i="2"/>
  <c r="J67" i="2" s="1"/>
  <c r="I66" i="2"/>
  <c r="J66" i="2" s="1"/>
  <c r="I65" i="2"/>
  <c r="J65" i="2" s="1"/>
  <c r="I64" i="2"/>
  <c r="J64" i="2" s="1"/>
  <c r="I61" i="2"/>
  <c r="I58" i="2"/>
  <c r="I57" i="2"/>
  <c r="I54" i="2"/>
  <c r="I53" i="2"/>
  <c r="I50" i="2"/>
  <c r="I47" i="2"/>
  <c r="J47" i="2" s="1"/>
  <c r="K47" i="2" s="1"/>
  <c r="I46" i="2"/>
  <c r="J46" i="2" s="1"/>
  <c r="K46" i="2" s="1"/>
  <c r="I44" i="2"/>
  <c r="J44" i="2" s="1"/>
  <c r="K44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28" i="2"/>
  <c r="J28" i="2" s="1"/>
  <c r="K28" i="2" s="1"/>
  <c r="I26" i="2"/>
  <c r="J25" i="2"/>
  <c r="K25" i="2" s="1"/>
  <c r="I22" i="2"/>
  <c r="I17" i="2"/>
  <c r="I15" i="2"/>
  <c r="J15" i="2" s="1"/>
  <c r="I14" i="2"/>
  <c r="J14" i="2" s="1"/>
  <c r="I13" i="2"/>
  <c r="J13" i="2" s="1"/>
  <c r="I11" i="2"/>
  <c r="J11" i="2" s="1"/>
  <c r="K11" i="2" s="1"/>
  <c r="I10" i="2"/>
  <c r="J10" i="2" s="1"/>
  <c r="K10" i="2" s="1"/>
  <c r="I7" i="2"/>
  <c r="I6" i="2"/>
  <c r="I5" i="2"/>
  <c r="I4" i="2"/>
  <c r="G70" i="2"/>
  <c r="G69" i="2"/>
  <c r="G23" i="2"/>
  <c r="G22" i="2"/>
  <c r="G21" i="2"/>
  <c r="G20" i="2"/>
  <c r="G19" i="2"/>
  <c r="G18" i="2"/>
  <c r="V82" i="2" l="1"/>
  <c r="S82" i="2"/>
  <c r="P82" i="2"/>
  <c r="M82" i="2"/>
  <c r="J53" i="2"/>
  <c r="K53" i="2" s="1"/>
  <c r="V62" i="2"/>
  <c r="S62" i="2"/>
  <c r="P62" i="2"/>
  <c r="M62" i="2"/>
  <c r="V83" i="2"/>
  <c r="S83" i="2"/>
  <c r="P83" i="2"/>
  <c r="M83" i="2"/>
  <c r="J54" i="2"/>
  <c r="K54" i="2" s="1"/>
  <c r="V80" i="2"/>
  <c r="S80" i="2"/>
  <c r="P80" i="2"/>
  <c r="M80" i="2"/>
  <c r="V8" i="2"/>
  <c r="S8" i="2"/>
  <c r="P8" i="2"/>
  <c r="M8" i="2"/>
  <c r="V63" i="2"/>
  <c r="S63" i="2"/>
  <c r="P63" i="2"/>
  <c r="M63" i="2"/>
  <c r="P9" i="2"/>
  <c r="V9" i="2"/>
  <c r="M9" i="2"/>
  <c r="S9" i="2"/>
  <c r="V51" i="2"/>
  <c r="W51" i="2" s="1"/>
  <c r="S51" i="2"/>
  <c r="T51" i="2" s="1"/>
  <c r="P51" i="2"/>
  <c r="Q51" i="2" s="1"/>
  <c r="M51" i="2"/>
  <c r="N51" i="2" s="1"/>
  <c r="V85" i="2"/>
  <c r="S85" i="2"/>
  <c r="P85" i="2"/>
  <c r="M85" i="2"/>
  <c r="J27" i="2"/>
  <c r="K27" i="2" s="1"/>
  <c r="V52" i="2"/>
  <c r="W52" i="2" s="1"/>
  <c r="S52" i="2"/>
  <c r="T52" i="2" s="1"/>
  <c r="P52" i="2"/>
  <c r="Q52" i="2" s="1"/>
  <c r="M52" i="2"/>
  <c r="N52" i="2" s="1"/>
  <c r="V11" i="2"/>
  <c r="S11" i="2"/>
  <c r="P11" i="2"/>
  <c r="M11" i="2"/>
  <c r="V60" i="2"/>
  <c r="W60" i="2" s="1"/>
  <c r="S60" i="2"/>
  <c r="T60" i="2" s="1"/>
  <c r="P60" i="2"/>
  <c r="Q60" i="2" s="1"/>
  <c r="M60" i="2"/>
  <c r="N60" i="2" s="1"/>
  <c r="V84" i="2"/>
  <c r="S84" i="2"/>
  <c r="P84" i="2"/>
  <c r="M84" i="2"/>
  <c r="P129" i="2"/>
  <c r="V129" i="2"/>
  <c r="S129" i="2"/>
  <c r="M129" i="2"/>
  <c r="V44" i="2"/>
  <c r="W44" i="2" s="1"/>
  <c r="S44" i="2"/>
  <c r="T44" i="2" s="1"/>
  <c r="P44" i="2"/>
  <c r="Q44" i="2" s="1"/>
  <c r="M44" i="2"/>
  <c r="N44" i="2" s="1"/>
  <c r="J61" i="2"/>
  <c r="K61" i="2" s="1"/>
  <c r="V86" i="2"/>
  <c r="S86" i="2"/>
  <c r="P86" i="2"/>
  <c r="M86" i="2"/>
  <c r="V16" i="2"/>
  <c r="S16" i="2"/>
  <c r="P16" i="2"/>
  <c r="M16" i="2"/>
  <c r="V29" i="2"/>
  <c r="W29" i="2" s="1"/>
  <c r="S29" i="2"/>
  <c r="T29" i="2" s="1"/>
  <c r="P29" i="2"/>
  <c r="Q29" i="2" s="1"/>
  <c r="M29" i="2"/>
  <c r="N29" i="2" s="1"/>
  <c r="V55" i="2"/>
  <c r="W55" i="2" s="1"/>
  <c r="S55" i="2"/>
  <c r="T55" i="2" s="1"/>
  <c r="P55" i="2"/>
  <c r="Q55" i="2" s="1"/>
  <c r="M55" i="2"/>
  <c r="N55" i="2" s="1"/>
  <c r="V28" i="2"/>
  <c r="W28" i="2" s="1"/>
  <c r="S28" i="2"/>
  <c r="T28" i="2" s="1"/>
  <c r="P28" i="2"/>
  <c r="Q28" i="2" s="1"/>
  <c r="M28" i="2"/>
  <c r="N28" i="2" s="1"/>
  <c r="V78" i="2"/>
  <c r="S78" i="2"/>
  <c r="P78" i="2"/>
  <c r="M78" i="2"/>
  <c r="V79" i="2"/>
  <c r="S79" i="2"/>
  <c r="P79" i="2"/>
  <c r="M79" i="2"/>
  <c r="V25" i="2"/>
  <c r="W25" i="2" s="1"/>
  <c r="S25" i="2"/>
  <c r="T25" i="2" s="1"/>
  <c r="P25" i="2"/>
  <c r="Q25" i="2" s="1"/>
  <c r="M25" i="2"/>
  <c r="N25" i="2" s="1"/>
  <c r="V46" i="2"/>
  <c r="S46" i="2"/>
  <c r="P46" i="2"/>
  <c r="M46" i="2"/>
  <c r="V56" i="2"/>
  <c r="W56" i="2" s="1"/>
  <c r="S56" i="2"/>
  <c r="T56" i="2" s="1"/>
  <c r="P56" i="2"/>
  <c r="Q56" i="2" s="1"/>
  <c r="M56" i="2"/>
  <c r="N56" i="2" s="1"/>
  <c r="V10" i="2"/>
  <c r="S10" i="2"/>
  <c r="P10" i="2"/>
  <c r="M10" i="2"/>
  <c r="J26" i="2"/>
  <c r="K26" i="2" s="1"/>
  <c r="V47" i="2"/>
  <c r="S47" i="2"/>
  <c r="P47" i="2"/>
  <c r="M47" i="2"/>
  <c r="J59" i="2"/>
  <c r="K59" i="2" s="1"/>
  <c r="V81" i="2"/>
  <c r="P81" i="2"/>
  <c r="S81" i="2"/>
  <c r="M81" i="2"/>
  <c r="J45" i="2"/>
  <c r="K45" i="2" s="1"/>
  <c r="J30" i="2"/>
  <c r="K30" i="2" s="1"/>
  <c r="J57" i="2"/>
  <c r="K57" i="2" s="1"/>
  <c r="K71" i="2"/>
  <c r="J58" i="2"/>
  <c r="K58" i="2" s="1"/>
  <c r="J12" i="2"/>
  <c r="K12" i="2" s="1"/>
  <c r="K64" i="2"/>
  <c r="K37" i="2"/>
  <c r="K13" i="2"/>
  <c r="K31" i="2"/>
  <c r="K40" i="2"/>
  <c r="K34" i="2"/>
  <c r="K131" i="2"/>
  <c r="J4" i="2"/>
  <c r="K4" i="2" s="1"/>
  <c r="J23" i="2"/>
  <c r="K23" i="2" s="1"/>
  <c r="J69" i="2"/>
  <c r="K69" i="2" s="1"/>
  <c r="J17" i="2"/>
  <c r="K17" i="2" s="1"/>
  <c r="J70" i="2"/>
  <c r="K70" i="2" s="1"/>
  <c r="J22" i="2"/>
  <c r="K22" i="2" s="1"/>
  <c r="J24" i="2"/>
  <c r="K24" i="2" s="1"/>
  <c r="J134" i="2"/>
  <c r="K134" i="2" s="1"/>
  <c r="J18" i="2"/>
  <c r="K18" i="2" s="1"/>
  <c r="J128" i="2"/>
  <c r="K128" i="2" s="1"/>
  <c r="J19" i="2"/>
  <c r="K19" i="2" s="1"/>
  <c r="J20" i="2"/>
  <c r="K20" i="2" s="1"/>
  <c r="J21" i="2"/>
  <c r="K21" i="2" s="1"/>
  <c r="J136" i="2"/>
  <c r="K136" i="2" s="1"/>
  <c r="G103" i="2"/>
  <c r="J103" i="2" s="1"/>
  <c r="K103" i="2" s="1"/>
  <c r="G102" i="2"/>
  <c r="J102" i="2" s="1"/>
  <c r="K102" i="2" s="1"/>
  <c r="G101" i="2"/>
  <c r="J101" i="2" s="1"/>
  <c r="K101" i="2" s="1"/>
  <c r="G99" i="2"/>
  <c r="J99" i="2" s="1"/>
  <c r="K99" i="2" s="1"/>
  <c r="G98" i="2"/>
  <c r="J98" i="2" s="1"/>
  <c r="K98" i="2" s="1"/>
  <c r="G97" i="2"/>
  <c r="J97" i="2" s="1"/>
  <c r="K97" i="2" s="1"/>
  <c r="G95" i="2"/>
  <c r="J95" i="2" s="1"/>
  <c r="K95" i="2" s="1"/>
  <c r="G94" i="2"/>
  <c r="J94" i="2" s="1"/>
  <c r="K94" i="2" s="1"/>
  <c r="G93" i="2"/>
  <c r="J93" i="2" s="1"/>
  <c r="K93" i="2" s="1"/>
  <c r="G77" i="2"/>
  <c r="J77" i="2" s="1"/>
  <c r="K77" i="2" s="1"/>
  <c r="G76" i="2"/>
  <c r="J76" i="2" s="1"/>
  <c r="K76" i="2" s="1"/>
  <c r="G75" i="2"/>
  <c r="J75" i="2" s="1"/>
  <c r="K75" i="2" s="1"/>
  <c r="G50" i="2"/>
  <c r="J50" i="2" s="1"/>
  <c r="K50" i="2" s="1"/>
  <c r="G49" i="2"/>
  <c r="J49" i="2" s="1"/>
  <c r="K49" i="2" s="1"/>
  <c r="G48" i="2"/>
  <c r="J48" i="2" s="1"/>
  <c r="K48" i="2" s="1"/>
  <c r="G43" i="2"/>
  <c r="J43" i="2" s="1"/>
  <c r="K43" i="2" s="1"/>
  <c r="G112" i="2"/>
  <c r="J112" i="2" s="1"/>
  <c r="K111" i="2" s="1"/>
  <c r="G115" i="2"/>
  <c r="J115" i="2" s="1"/>
  <c r="K115" i="2" s="1"/>
  <c r="G114" i="2"/>
  <c r="J114" i="2" s="1"/>
  <c r="K114" i="2" s="1"/>
  <c r="G113" i="2"/>
  <c r="J113" i="2" s="1"/>
  <c r="K113" i="2" s="1"/>
  <c r="G116" i="2"/>
  <c r="J116" i="2" s="1"/>
  <c r="K116" i="2" s="1"/>
  <c r="G117" i="2"/>
  <c r="J117" i="2" s="1"/>
  <c r="K117" i="2" s="1"/>
  <c r="G126" i="2"/>
  <c r="J126" i="2" s="1"/>
  <c r="K126" i="2" s="1"/>
  <c r="G127" i="2"/>
  <c r="J127" i="2" s="1"/>
  <c r="K127" i="2" s="1"/>
  <c r="G130" i="2"/>
  <c r="J130" i="2" s="1"/>
  <c r="K130" i="2" s="1"/>
  <c r="G133" i="2"/>
  <c r="J133" i="2" s="1"/>
  <c r="K133" i="2" s="1"/>
  <c r="G134" i="2"/>
  <c r="G135" i="2"/>
  <c r="J135" i="2" s="1"/>
  <c r="K135" i="2" s="1"/>
  <c r="G136" i="2"/>
  <c r="G137" i="2"/>
  <c r="J137" i="2" s="1"/>
  <c r="K137" i="2" s="1"/>
  <c r="G139" i="2"/>
  <c r="J139" i="2" s="1"/>
  <c r="K139" i="2" s="1"/>
  <c r="G125" i="2"/>
  <c r="J125" i="2" s="1"/>
  <c r="K125" i="2" s="1"/>
  <c r="G124" i="2"/>
  <c r="J124" i="2" s="1"/>
  <c r="K124" i="2" s="1"/>
  <c r="G123" i="2"/>
  <c r="J123" i="2" s="1"/>
  <c r="K123" i="2" s="1"/>
  <c r="G122" i="2"/>
  <c r="J122" i="2" s="1"/>
  <c r="K122" i="2" s="1"/>
  <c r="G121" i="2"/>
  <c r="J121" i="2" s="1"/>
  <c r="K121" i="2" s="1"/>
  <c r="G120" i="2"/>
  <c r="J120" i="2" s="1"/>
  <c r="K120" i="2" s="1"/>
  <c r="G119" i="2"/>
  <c r="J119" i="2" s="1"/>
  <c r="K119" i="2" s="1"/>
  <c r="G118" i="2"/>
  <c r="J118" i="2" s="1"/>
  <c r="K118" i="2" s="1"/>
  <c r="G109" i="2"/>
  <c r="J109" i="2" s="1"/>
  <c r="K109" i="2" s="1"/>
  <c r="G107" i="2"/>
  <c r="J107" i="2" s="1"/>
  <c r="K107" i="2" s="1"/>
  <c r="J106" i="2"/>
  <c r="K106" i="2" s="1"/>
  <c r="G105" i="2"/>
  <c r="J105" i="2" s="1"/>
  <c r="K105" i="2" s="1"/>
  <c r="G88" i="2"/>
  <c r="J88" i="2" s="1"/>
  <c r="K88" i="2" s="1"/>
  <c r="G89" i="2"/>
  <c r="J89" i="2" s="1"/>
  <c r="K89" i="2" s="1"/>
  <c r="G90" i="2"/>
  <c r="J90" i="2" s="1"/>
  <c r="K90" i="2" s="1"/>
  <c r="G91" i="2"/>
  <c r="J91" i="2" s="1"/>
  <c r="K91" i="2" s="1"/>
  <c r="G92" i="2"/>
  <c r="J92" i="2" s="1"/>
  <c r="K92" i="2" s="1"/>
  <c r="G87" i="2"/>
  <c r="J87" i="2" s="1"/>
  <c r="K87" i="2" s="1"/>
  <c r="V125" i="2" l="1"/>
  <c r="S125" i="2"/>
  <c r="P125" i="2"/>
  <c r="M125" i="2"/>
  <c r="V94" i="2"/>
  <c r="S94" i="2"/>
  <c r="P94" i="2"/>
  <c r="M94" i="2"/>
  <c r="M57" i="2"/>
  <c r="N57" i="2" s="1"/>
  <c r="V57" i="2"/>
  <c r="W57" i="2" s="1"/>
  <c r="S57" i="2"/>
  <c r="T57" i="2" s="1"/>
  <c r="P57" i="2"/>
  <c r="Q57" i="2" s="1"/>
  <c r="V118" i="2"/>
  <c r="S118" i="2"/>
  <c r="P118" i="2"/>
  <c r="M118" i="2"/>
  <c r="V48" i="2"/>
  <c r="S48" i="2"/>
  <c r="P48" i="2"/>
  <c r="M48" i="2"/>
  <c r="V21" i="2"/>
  <c r="S21" i="2"/>
  <c r="P21" i="2"/>
  <c r="M21" i="2"/>
  <c r="V30" i="2"/>
  <c r="W30" i="2" s="1"/>
  <c r="S30" i="2"/>
  <c r="T30" i="2" s="1"/>
  <c r="P30" i="2"/>
  <c r="Q30" i="2" s="1"/>
  <c r="M30" i="2"/>
  <c r="N30" i="2" s="1"/>
  <c r="V137" i="2"/>
  <c r="S137" i="2"/>
  <c r="M137" i="2"/>
  <c r="P137" i="2"/>
  <c r="Q137" i="2" s="1"/>
  <c r="V49" i="2"/>
  <c r="M49" i="2"/>
  <c r="P49" i="2"/>
  <c r="S49" i="2"/>
  <c r="S17" i="2"/>
  <c r="P17" i="2"/>
  <c r="M17" i="2"/>
  <c r="V17" i="2"/>
  <c r="V27" i="2"/>
  <c r="W27" i="2" s="1"/>
  <c r="S27" i="2"/>
  <c r="T27" i="2" s="1"/>
  <c r="P27" i="2"/>
  <c r="Q27" i="2" s="1"/>
  <c r="M27" i="2"/>
  <c r="N27" i="2" s="1"/>
  <c r="M89" i="2"/>
  <c r="V89" i="2"/>
  <c r="P89" i="2"/>
  <c r="S89" i="2"/>
  <c r="V120" i="2"/>
  <c r="S120" i="2"/>
  <c r="P120" i="2"/>
  <c r="M120" i="2"/>
  <c r="V116" i="2"/>
  <c r="S116" i="2"/>
  <c r="P116" i="2"/>
  <c r="M116" i="2"/>
  <c r="V50" i="2"/>
  <c r="S50" i="2"/>
  <c r="P50" i="2"/>
  <c r="M50" i="2"/>
  <c r="V98" i="2"/>
  <c r="S98" i="2"/>
  <c r="P98" i="2"/>
  <c r="M98" i="2"/>
  <c r="V19" i="2"/>
  <c r="S19" i="2"/>
  <c r="P19" i="2"/>
  <c r="M19" i="2"/>
  <c r="V69" i="2"/>
  <c r="S69" i="2"/>
  <c r="P69" i="2"/>
  <c r="M69" i="2"/>
  <c r="V37" i="2"/>
  <c r="W37" i="2" s="1"/>
  <c r="S37" i="2"/>
  <c r="T37" i="2" s="1"/>
  <c r="P37" i="2"/>
  <c r="Q37" i="2" s="1"/>
  <c r="M37" i="2"/>
  <c r="N37" i="2" s="1"/>
  <c r="V54" i="2"/>
  <c r="W54" i="2" s="1"/>
  <c r="S54" i="2"/>
  <c r="T54" i="2" s="1"/>
  <c r="P54" i="2"/>
  <c r="Q54" i="2" s="1"/>
  <c r="M54" i="2"/>
  <c r="N54" i="2" s="1"/>
  <c r="V92" i="2"/>
  <c r="S92" i="2"/>
  <c r="P92" i="2"/>
  <c r="M92" i="2"/>
  <c r="V43" i="2"/>
  <c r="S43" i="2"/>
  <c r="P43" i="2"/>
  <c r="M43" i="2"/>
  <c r="V22" i="2"/>
  <c r="S22" i="2"/>
  <c r="P22" i="2"/>
  <c r="M22" i="2"/>
  <c r="V139" i="2"/>
  <c r="S139" i="2"/>
  <c r="P139" i="2"/>
  <c r="M139" i="2"/>
  <c r="V95" i="2"/>
  <c r="S95" i="2"/>
  <c r="P95" i="2"/>
  <c r="Q95" i="2" s="1"/>
  <c r="M95" i="2"/>
  <c r="V31" i="2"/>
  <c r="S31" i="2"/>
  <c r="P31" i="2"/>
  <c r="Q31" i="2" s="1"/>
  <c r="M31" i="2"/>
  <c r="N31" i="2" s="1"/>
  <c r="V90" i="2"/>
  <c r="S90" i="2"/>
  <c r="P90" i="2"/>
  <c r="M90" i="2"/>
  <c r="V117" i="2"/>
  <c r="S117" i="2"/>
  <c r="P117" i="2"/>
  <c r="M117" i="2"/>
  <c r="V20" i="2"/>
  <c r="S20" i="2"/>
  <c r="P20" i="2"/>
  <c r="M20" i="2"/>
  <c r="V45" i="2"/>
  <c r="W45" i="2" s="1"/>
  <c r="S45" i="2"/>
  <c r="T45" i="2" s="1"/>
  <c r="P45" i="2"/>
  <c r="Q45" i="2" s="1"/>
  <c r="M45" i="2"/>
  <c r="N45" i="2" s="1"/>
  <c r="V88" i="2"/>
  <c r="S88" i="2"/>
  <c r="P88" i="2"/>
  <c r="M88" i="2"/>
  <c r="P121" i="2"/>
  <c r="V121" i="2"/>
  <c r="S121" i="2"/>
  <c r="M121" i="2"/>
  <c r="V135" i="2"/>
  <c r="S135" i="2"/>
  <c r="P135" i="2"/>
  <c r="M135" i="2"/>
  <c r="S113" i="2"/>
  <c r="V113" i="2"/>
  <c r="P113" i="2"/>
  <c r="M113" i="2"/>
  <c r="V75" i="2"/>
  <c r="S75" i="2"/>
  <c r="P75" i="2"/>
  <c r="M75" i="2"/>
  <c r="V99" i="2"/>
  <c r="W99" i="2" s="1"/>
  <c r="S99" i="2"/>
  <c r="P99" i="2"/>
  <c r="Q99" i="2" s="1"/>
  <c r="M99" i="2"/>
  <c r="V128" i="2"/>
  <c r="S128" i="2"/>
  <c r="P128" i="2"/>
  <c r="M128" i="2"/>
  <c r="V23" i="2"/>
  <c r="S23" i="2"/>
  <c r="P23" i="2"/>
  <c r="M23" i="2"/>
  <c r="V64" i="2"/>
  <c r="S64" i="2"/>
  <c r="P64" i="2"/>
  <c r="M64" i="2"/>
  <c r="V26" i="2"/>
  <c r="W26" i="2" s="1"/>
  <c r="S26" i="2"/>
  <c r="T26" i="2" s="1"/>
  <c r="P26" i="2"/>
  <c r="Q26" i="2" s="1"/>
  <c r="M26" i="2"/>
  <c r="N26" i="2" s="1"/>
  <c r="V53" i="2"/>
  <c r="W53" i="2" s="1"/>
  <c r="S53" i="2"/>
  <c r="T53" i="2" s="1"/>
  <c r="P53" i="2"/>
  <c r="Q53" i="2" s="1"/>
  <c r="M53" i="2"/>
  <c r="N53" i="2" s="1"/>
  <c r="V109" i="2"/>
  <c r="W109" i="2" s="1"/>
  <c r="S109" i="2"/>
  <c r="P109" i="2"/>
  <c r="Q109" i="2" s="1"/>
  <c r="M109" i="2"/>
  <c r="V136" i="2"/>
  <c r="S136" i="2"/>
  <c r="P136" i="2"/>
  <c r="M136" i="2"/>
  <c r="V91" i="2"/>
  <c r="S91" i="2"/>
  <c r="P91" i="2"/>
  <c r="M91" i="2"/>
  <c r="V126" i="2"/>
  <c r="S126" i="2"/>
  <c r="P126" i="2"/>
  <c r="M126" i="2"/>
  <c r="V70" i="2"/>
  <c r="S70" i="2"/>
  <c r="P70" i="2"/>
  <c r="M70" i="2"/>
  <c r="V61" i="2"/>
  <c r="W61" i="2" s="1"/>
  <c r="S61" i="2"/>
  <c r="T61" i="2" s="1"/>
  <c r="P61" i="2"/>
  <c r="Q61" i="2" s="1"/>
  <c r="M61" i="2"/>
  <c r="N61" i="2" s="1"/>
  <c r="V119" i="2"/>
  <c r="S119" i="2"/>
  <c r="P119" i="2"/>
  <c r="M119" i="2"/>
  <c r="V97" i="2"/>
  <c r="M97" i="2"/>
  <c r="S97" i="2"/>
  <c r="P97" i="2"/>
  <c r="V13" i="2"/>
  <c r="S13" i="2"/>
  <c r="P13" i="2"/>
  <c r="M13" i="2"/>
  <c r="V105" i="2"/>
  <c r="S105" i="2"/>
  <c r="P105" i="2"/>
  <c r="M105" i="2"/>
  <c r="V122" i="2"/>
  <c r="S122" i="2"/>
  <c r="P122" i="2"/>
  <c r="M122" i="2"/>
  <c r="V114" i="2"/>
  <c r="S114" i="2"/>
  <c r="P114" i="2"/>
  <c r="M114" i="2"/>
  <c r="V76" i="2"/>
  <c r="S76" i="2"/>
  <c r="P76" i="2"/>
  <c r="M76" i="2"/>
  <c r="V101" i="2"/>
  <c r="S101" i="2"/>
  <c r="P101" i="2"/>
  <c r="M101" i="2"/>
  <c r="V18" i="2"/>
  <c r="S18" i="2"/>
  <c r="P18" i="2"/>
  <c r="M18" i="2"/>
  <c r="V4" i="2"/>
  <c r="S4" i="2"/>
  <c r="P4" i="2"/>
  <c r="M4" i="2"/>
  <c r="V12" i="2"/>
  <c r="S12" i="2"/>
  <c r="P12" i="2"/>
  <c r="M12" i="2"/>
  <c r="V127" i="2"/>
  <c r="S127" i="2"/>
  <c r="P127" i="2"/>
  <c r="M127" i="2"/>
  <c r="V40" i="2"/>
  <c r="W40" i="2" s="1"/>
  <c r="S40" i="2"/>
  <c r="T40" i="2" s="1"/>
  <c r="P40" i="2"/>
  <c r="M40" i="2"/>
  <c r="N40" i="2" s="1"/>
  <c r="V106" i="2"/>
  <c r="S106" i="2"/>
  <c r="P106" i="2"/>
  <c r="M106" i="2"/>
  <c r="V123" i="2"/>
  <c r="S123" i="2"/>
  <c r="P123" i="2"/>
  <c r="M123" i="2"/>
  <c r="V133" i="2"/>
  <c r="S133" i="2"/>
  <c r="P133" i="2"/>
  <c r="M133" i="2"/>
  <c r="V115" i="2"/>
  <c r="S115" i="2"/>
  <c r="P115" i="2"/>
  <c r="M115" i="2"/>
  <c r="V77" i="2"/>
  <c r="S77" i="2"/>
  <c r="P77" i="2"/>
  <c r="M77" i="2"/>
  <c r="V102" i="2"/>
  <c r="S102" i="2"/>
  <c r="P102" i="2"/>
  <c r="M102" i="2"/>
  <c r="V134" i="2"/>
  <c r="S134" i="2"/>
  <c r="P134" i="2"/>
  <c r="M134" i="2"/>
  <c r="V131" i="2"/>
  <c r="S131" i="2"/>
  <c r="P131" i="2"/>
  <c r="M131" i="2"/>
  <c r="V58" i="2"/>
  <c r="W58" i="2" s="1"/>
  <c r="S58" i="2"/>
  <c r="T58" i="2" s="1"/>
  <c r="P58" i="2"/>
  <c r="Q58" i="2" s="1"/>
  <c r="M58" i="2"/>
  <c r="N58" i="2" s="1"/>
  <c r="V87" i="2"/>
  <c r="S87" i="2"/>
  <c r="P87" i="2"/>
  <c r="M87" i="2"/>
  <c r="V107" i="2"/>
  <c r="W107" i="2" s="1"/>
  <c r="S107" i="2"/>
  <c r="P107" i="2"/>
  <c r="Q107" i="2" s="1"/>
  <c r="M107" i="2"/>
  <c r="V124" i="2"/>
  <c r="S124" i="2"/>
  <c r="P124" i="2"/>
  <c r="M124" i="2"/>
  <c r="V130" i="2"/>
  <c r="S130" i="2"/>
  <c r="P130" i="2"/>
  <c r="M130" i="2"/>
  <c r="V111" i="2"/>
  <c r="W111" i="2" s="1"/>
  <c r="S111" i="2"/>
  <c r="P111" i="2"/>
  <c r="Q111" i="2" s="1"/>
  <c r="M111" i="2"/>
  <c r="N111" i="2" s="1"/>
  <c r="V93" i="2"/>
  <c r="S93" i="2"/>
  <c r="P93" i="2"/>
  <c r="M93" i="2"/>
  <c r="V103" i="2"/>
  <c r="W103" i="2" s="1"/>
  <c r="S103" i="2"/>
  <c r="P103" i="2"/>
  <c r="Q103" i="2" s="1"/>
  <c r="M103" i="2"/>
  <c r="V24" i="2"/>
  <c r="S24" i="2"/>
  <c r="P24" i="2"/>
  <c r="M24" i="2"/>
  <c r="V34" i="2"/>
  <c r="W34" i="2" s="1"/>
  <c r="S34" i="2"/>
  <c r="T34" i="2" s="1"/>
  <c r="P34" i="2"/>
  <c r="Q34" i="2" s="1"/>
  <c r="M34" i="2"/>
  <c r="V71" i="2"/>
  <c r="S71" i="2"/>
  <c r="P71" i="2"/>
  <c r="M71" i="2"/>
  <c r="V59" i="2"/>
  <c r="W59" i="2" s="1"/>
  <c r="S59" i="2"/>
  <c r="T59" i="2" s="1"/>
  <c r="P59" i="2"/>
  <c r="Q59" i="2" s="1"/>
  <c r="M59" i="2"/>
  <c r="N59" i="2" s="1"/>
  <c r="G7" i="2"/>
  <c r="J7" i="2" s="1"/>
  <c r="K7" i="2" s="1"/>
  <c r="G6" i="2"/>
  <c r="J6" i="2" s="1"/>
  <c r="K6" i="2" s="1"/>
  <c r="G5" i="2"/>
  <c r="J5" i="2" s="1"/>
  <c r="K5" i="2" s="1"/>
  <c r="V6" i="2" l="1"/>
  <c r="S6" i="2"/>
  <c r="P6" i="2"/>
  <c r="M6" i="2"/>
  <c r="V5" i="2"/>
  <c r="S5" i="2"/>
  <c r="P5" i="2"/>
  <c r="M5" i="2"/>
  <c r="V7" i="2"/>
  <c r="S7" i="2"/>
  <c r="P7" i="2"/>
  <c r="M7" i="2"/>
</calcChain>
</file>

<file path=xl/sharedStrings.xml><?xml version="1.0" encoding="utf-8"?>
<sst xmlns="http://schemas.openxmlformats.org/spreadsheetml/2006/main" count="70238" uniqueCount="16285">
  <si>
    <t>รหัสเซ็ต</t>
  </si>
  <si>
    <t>ชื่อเซ็ต</t>
  </si>
  <si>
    <t>ราคา</t>
  </si>
  <si>
    <t>จำนวน</t>
  </si>
  <si>
    <t>มูลค่า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</si>
  <si>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</si>
  <si>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</si>
  <si>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</si>
  <si>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</si>
  <si>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</si>
  <si>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</si>
  <si>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</si>
  <si>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</si>
  <si>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</si>
  <si>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</si>
  <si>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</si>
  <si>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</si>
  <si>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</si>
  <si>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</si>
  <si>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</si>
  <si>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</si>
  <si>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ครีมฮอร์น3กล่อง</t>
  </si>
  <si>
    <t>ครีมฮอร์นเนยสด วรรณวนัช 3รส ช็อกโกแลต1 วนิลา1 ใบเตย1</t>
  </si>
  <si>
    <t>ERA8</t>
  </si>
  <si>
    <t>ร้านที่1</t>
  </si>
  <si>
    <t>S***ich C***dee</t>
  </si>
  <si>
    <t>ลพบุรี</t>
  </si>
  <si>
    <t>-</t>
  </si>
  <si>
    <t/>
  </si>
  <si>
    <t>09/01/2025 23:57</t>
  </si>
  <si>
    <t>Flash Express Thailand COD</t>
  </si>
  <si>
    <t>Tiktok</t>
  </si>
  <si>
    <t>จ่ายทีหลัง / COD</t>
  </si>
  <si>
    <t>เบาหวิว6กล่อง</t>
  </si>
  <si>
    <t>วรรณวนัช เซ็ตเค้ก เบาหวิว ขนาด100กรัม จำนวน 6กล่อง ครบรส</t>
  </si>
  <si>
    <t>ERA7</t>
  </si>
  <si>
    <t>ค***าย โ***ง ม***นาญ</t>
  </si>
  <si>
    <t>นครราชสีมา</t>
  </si>
  <si>
    <t>09/01/2025 23:48</t>
  </si>
  <si>
    <t>J&amp;T COD</t>
  </si>
  <si>
    <t>เซ็ตลังเลขนมปังครีมฮอร์น9รสคละรส3กล่อง</t>
  </si>
  <si>
    <t>Fresh Strawberry Blueberry Oreo cream!!</t>
  </si>
  <si>
    <t>ERA6</t>
  </si>
  <si>
    <t>บุญมี มั่นหมาย</t>
  </si>
  <si>
    <t>47 หมู่ 8 บ้านหนองตะเคียน(คุ้มลุมตูม)  · ลุมปุ๊ก/ Lumpuk
เมืองบุรีรัมย์/ Mueang Buri Ramบุรีรัมย์/ Buriram
31000</t>
  </si>
  <si>
    <t>31000</t>
  </si>
  <si>
    <t>660652623479</t>
  </si>
  <si>
    <t>10/01/2025 00:26</t>
  </si>
  <si>
    <t>Kerry_dropoff</t>
  </si>
  <si>
    <t>Lazada</t>
  </si>
  <si>
    <t>lazada</t>
  </si>
  <si>
    <t>09/01/2025 23:46</t>
  </si>
  <si>
    <t>ERA4</t>
  </si>
  <si>
    <t>น**</t>
  </si>
  <si>
    <t>ราชบุรี</t>
  </si>
  <si>
    <t>09/01/2025 23:41</t>
  </si>
  <si>
    <t>J&amp;T Express</t>
  </si>
  <si>
    <t>tiktok</t>
  </si>
  <si>
    <t>[เซ็ต]ขนมเค้กเบาหวิว ขนาด 100 กรัม 3กล่อง คละรสให้</t>
  </si>
  <si>
    <t>ERA3</t>
  </si>
  <si>
    <t>ล***า</t>
  </si>
  <si>
    <t>ปทุมธานี</t>
  </si>
  <si>
    <t>09/01/2025 23:29</t>
  </si>
  <si>
    <t>รวมรสสอดไส้3กล่อง</t>
  </si>
  <si>
    <t>ชิฟฟ่อนเค้ก รวมรส 3กล่อง แบบสอดไส้/แบบไม่มีไส้</t>
  </si>
  <si>
    <t>ERA2</t>
  </si>
  <si>
    <t>ณ***นันท์</t>
  </si>
  <si>
    <t>สมุทรปราการ</t>
  </si>
  <si>
    <t>09/01/2025 23:26</t>
  </si>
  <si>
    <t>09/01/2025 23:27</t>
  </si>
  <si>
    <t>เบาหวิวคละรส10กล่อง</t>
  </si>
  <si>
    <t>ERA1</t>
  </si>
  <si>
    <t>ร***ทีเอ็นเอ็น</t>
  </si>
  <si>
    <t>เชียงใหม่</t>
  </si>
  <si>
    <t>09/01/2025 23:05</t>
  </si>
  <si>
    <t>09/01/2025 23:06</t>
  </si>
  <si>
    <t>ยอดฮิต3กล่อง</t>
  </si>
  <si>
    <t xml:space="preserve">เซ็ตเค้กชิฟฟ่อนแบบกล่อง 3กล่อง  รวมรสยอดฮิต </t>
  </si>
  <si>
    <t>ERA0</t>
  </si>
  <si>
    <t>ค******ล</t>
  </si>
  <si>
    <t>******ิศ90 ถนนประชาอุทิศ แขวงในคลองบางปลากด ตำบลบ้านคลองสวน อำเภอพระสมุทรเจดีย์ จังหวัดสมุทรปราการ 10290</t>
  </si>
  <si>
    <t>10290</t>
  </si>
  <si>
    <t>74</t>
  </si>
  <si>
    <t>09/01/2025 23:02</t>
  </si>
  <si>
    <t>Flash Express</t>
  </si>
  <si>
    <t>Shopee</t>
  </si>
  <si>
    <t>shopee</t>
  </si>
  <si>
    <t>EQZ99</t>
  </si>
  <si>
    <t>ห***ซ่ว่าง</t>
  </si>
  <si>
    <t>กรุงเทพฯ</t>
  </si>
  <si>
    <t>09/01/2025 22:59</t>
  </si>
  <si>
    <t>EQZ98</t>
  </si>
  <si>
    <t>น***ำลอง เ***งพุทรา</t>
  </si>
  <si>
    <t>09/01/2025 22:58</t>
  </si>
  <si>
    <t>ฝอยทอง2กล่อง</t>
  </si>
  <si>
    <t>เซ็ทเบาหวิวฝอยทอง2 กล่อง น้ำหนัก 110 กรัม (เก็บไว้ได้ 20 วัน)</t>
  </si>
  <si>
    <t>EQZ97</t>
  </si>
  <si>
    <t>พิมพ์สุภา เตย</t>
  </si>
  <si>
    <t>48/51-52 ราชพฤกษ์11 ถนนราชพฤกษ์ เขตตลิ่งชัน เเขวงบางพรม · บางพรม/ Bang Phrom
ตลิ่งชัน/ Taling Chanกรุงเทพมหานคร/ Bangkok
10170</t>
  </si>
  <si>
    <t>10170</t>
  </si>
  <si>
    <t>660990891620</t>
  </si>
  <si>
    <t>09/01/2025 22:55</t>
  </si>
  <si>
    <t>09/01/2025 22:54</t>
  </si>
  <si>
    <t>วรรณวนัช เค้กเบาหวิว 3 กล่อง 100 ราคาพิเศษ</t>
  </si>
  <si>
    <t>EQZ96</t>
  </si>
  <si>
    <t>ร้านที่6</t>
  </si>
  <si>
    <t>วิว กาญจนา</t>
  </si>
  <si>
    <t>บ้านเนิน ซอย8 ไม่ต้องโทรมาส่งได้เลย 65 ม.2 · ท่ากระดาน/ Tha Kradan
สนามชัยเขต/ Sanam Chai Khetฉะเชิงเทรา/ Chachoengsao
24160</t>
  </si>
  <si>
    <t>24160</t>
  </si>
  <si>
    <t>660925936105</t>
  </si>
  <si>
    <t>09/01/2025 22:41</t>
  </si>
  <si>
    <t>EQZ95</t>
  </si>
  <si>
    <t>อ***ตยา พ***ุ้ย</t>
  </si>
  <si>
    <t>พังงา</t>
  </si>
  <si>
    <t>09/01/2025 22:36</t>
  </si>
  <si>
    <t>09/01/2025 22:37</t>
  </si>
  <si>
    <t>EQZ94</t>
  </si>
  <si>
    <t>ธ***ชัย น***ุญ</t>
  </si>
  <si>
    <t>สงขลา</t>
  </si>
  <si>
    <t>09/01/2025 22:25</t>
  </si>
  <si>
    <t>เซตงบน้อย</t>
  </si>
  <si>
    <t>เซตงบน้อย ของฝากปีใหม่</t>
  </si>
  <si>
    <t>EQZ93</t>
  </si>
  <si>
    <t>ส***ญญา บ***คลือบ</t>
  </si>
  <si>
    <t>สระบุรี</t>
  </si>
  <si>
    <t>09/01/2025 22:12</t>
  </si>
  <si>
    <t>09/01/2025 22:13</t>
  </si>
  <si>
    <t>EQZ92</t>
  </si>
  <si>
    <t>Y* L**</t>
  </si>
  <si>
    <t>Phetchaburi</t>
  </si>
  <si>
    <t>09/01/2025 22:11</t>
  </si>
  <si>
    <t>EQZ91</t>
  </si>
  <si>
    <t>ส***ียรติ ว***วิทย์สกุล</t>
  </si>
  <si>
    <t>09/01/2025 22:00</t>
  </si>
  <si>
    <t>รวมรสไม่ไส้3กล่อง</t>
  </si>
  <si>
    <t>EQZ88</t>
  </si>
  <si>
    <t xml:space="preserve">น***นันท์ </t>
  </si>
  <si>
    <t>ชุมพร</t>
  </si>
  <si>
    <t>09/01/2025 21:54</t>
  </si>
  <si>
    <t>EQZ87</t>
  </si>
  <si>
    <t>ร้านที่4</t>
  </si>
  <si>
    <t>ช***ฌา ศ***ันทรา</t>
  </si>
  <si>
    <t>09/01/2025 21:50</t>
  </si>
  <si>
    <t>ชิฟฟ่อนเล็ก6กล่อง</t>
  </si>
  <si>
    <t>เซ็ตชิฟฟ่อน แบบสอดไส้/แบบไม่มีไส้ จำนวน 6กล่อง รวมรส</t>
  </si>
  <si>
    <t>EQZ85</t>
  </si>
  <si>
    <t>ม***นี ค***ะ</t>
  </si>
  <si>
    <t>หนองคาย</t>
  </si>
  <si>
    <t>09/01/2025 21:38</t>
  </si>
  <si>
    <t>EQZ84</t>
  </si>
  <si>
    <t>ส***กษณ์ ค***ี</t>
  </si>
  <si>
    <t>จันทบุรี</t>
  </si>
  <si>
    <t>09/01/2025 21:35</t>
  </si>
  <si>
    <t>EQZ83</t>
  </si>
  <si>
    <t>อ*** ข***พาลี</t>
  </si>
  <si>
    <t>สตูล</t>
  </si>
  <si>
    <t>09/01/2025 21:30</t>
  </si>
  <si>
    <t>EQZ82</t>
  </si>
  <si>
    <t>ทวีชัย เติมวิริยะกุล</t>
  </si>
  <si>
    <t>145/19 ถนน.วุฒากาศ แขวง.ตลาดพลู เขต.ธนบุรี
ธนบุรี/ Thon Buriกรุงเทพมหานคร/ Bangkok
10600</t>
  </si>
  <si>
    <t>10600</t>
  </si>
  <si>
    <t>660990565175</t>
  </si>
  <si>
    <t>09/01/2025 21:23</t>
  </si>
  <si>
    <t>EQZ81</t>
  </si>
  <si>
    <t>เ***ร์</t>
  </si>
  <si>
    <t>ตำบล กาฬสินธุ์</t>
  </si>
  <si>
    <t>09/01/2025 21:22</t>
  </si>
  <si>
    <t>ไม่มีไส้8ชิ้น2กล่องยอดฮิต8ชิ้น</t>
  </si>
  <si>
    <t>เค้กชิฟฟ่อน2แถม1เลือกรสเอง</t>
  </si>
  <si>
    <t>EQZ80</t>
  </si>
  <si>
    <t>ว***พร    ส***น</t>
  </si>
  <si>
    <t>หนองบัวลำภู</t>
  </si>
  <si>
    <t>09/01/2025 21:20</t>
  </si>
  <si>
    <t>EQZ78</t>
  </si>
  <si>
    <t>ช***ี พ***นธ์ุ</t>
  </si>
  <si>
    <t>เทศบาลนครอุบลราชธานี</t>
  </si>
  <si>
    <t>09/01/2025 21:17</t>
  </si>
  <si>
    <t>EQZ76</t>
  </si>
  <si>
    <t>อ*** ม***าง</t>
  </si>
  <si>
    <t>09/01/2025 21:12</t>
  </si>
  <si>
    <t>09/01/2025 21:13</t>
  </si>
  <si>
    <t>EQZ75</t>
  </si>
  <si>
    <t>ว***ดา ค***</t>
  </si>
  <si>
    <t>เทศบาลนครนครสวรรค์</t>
  </si>
  <si>
    <t>09/01/2025 21:01</t>
  </si>
  <si>
    <t>รวมรส2กล่อง</t>
  </si>
  <si>
    <t>ชิฟฟ่อน รวมรส2กล่อง 180บาท</t>
  </si>
  <si>
    <t>EQZ73</t>
  </si>
  <si>
    <t>น******์</t>
  </si>
  <si>
    <t>******เลียบคลองทวีวัฒนา แขวงบางแคเหนือ เขตบางแค จังหวัดกรุงเทพมหานคร 10160</t>
  </si>
  <si>
    <t>10160</t>
  </si>
  <si>
    <t>53</t>
  </si>
  <si>
    <t>09/01/2025 20:49</t>
  </si>
  <si>
    <t>SPX Express</t>
  </si>
  <si>
    <t>09/01/2025 20:48</t>
  </si>
  <si>
    <t>ชิฟฟอน3กล่อง</t>
  </si>
  <si>
    <t>ชิฟฟอนรวมรสไม่มีไส้+มีไส้+ยอดฮิต3กล่อง</t>
  </si>
  <si>
    <t>EQZ72</t>
  </si>
  <si>
    <t>เ***กาญ ล***อด</t>
  </si>
  <si>
    <t>09/01/2025 20:38</t>
  </si>
  <si>
    <t>EQZ71</t>
  </si>
  <si>
    <t>นางบาน หล่อทอง</t>
  </si>
  <si>
    <t>บ้านเลขที่ 14 ม.4 บ้านสำโรง · ระแงง/ Ra-ngaeng
ศีขรภูมิ/ Sikhoraphumสุรินทร์/ Surin
32110</t>
  </si>
  <si>
    <t>32110</t>
  </si>
  <si>
    <t>660931901422</t>
  </si>
  <si>
    <t>09/01/2025 21:39</t>
  </si>
  <si>
    <t>09/01/2025 20:35</t>
  </si>
  <si>
    <t>EQZ69</t>
  </si>
  <si>
    <t>เ***ิรา ต***ญรัมย์106ม.11.ต.ห้วยสำราญ</t>
  </si>
  <si>
    <t>บุรีรัมย์</t>
  </si>
  <si>
    <t>09/01/2025 20:33</t>
  </si>
  <si>
    <t>EQZ68</t>
  </si>
  <si>
    <t>น***ธันย์ชนก พ***อง</t>
  </si>
  <si>
    <t>นครสวรรค์</t>
  </si>
  <si>
    <t>มะพร้าว2กล่อง</t>
  </si>
  <si>
    <t>เซ็ทเบาหวิวมะพร้าว2กล่อง น้ำหนัก 110 กรัม (เก็บไว้ได้ 20 วัน)</t>
  </si>
  <si>
    <t>EQZ67</t>
  </si>
  <si>
    <t>นส.ณัชชา รื่นฤทัย</t>
  </si>
  <si>
    <t>48/93 ม.11 หมู่บ้านทองสถิตย์8 ถ.หทัยราษฎร์ · ลาดสวาย/ Lat Sawai
ลำลูกกา/ Lam Luk Kaปทุมธานี/ Pathum Thani
12150</t>
  </si>
  <si>
    <t>12150</t>
  </si>
  <si>
    <t>660957641616</t>
  </si>
  <si>
    <t>09/01/2025 20:29</t>
  </si>
  <si>
    <t>EQZ64</t>
  </si>
  <si>
    <t>ประดับดาว  จันทร์สว่าง</t>
  </si>
  <si>
    <t>199/1 ม.2 ต.เคียนซา
เคียนซา/ Khian Saสุราษฎร์ธานี/ Surat Thani
84260</t>
  </si>
  <si>
    <t>84260</t>
  </si>
  <si>
    <t>660622426640</t>
  </si>
  <si>
    <t>09/01/2025 20:13</t>
  </si>
  <si>
    <t>EQZ63</t>
  </si>
  <si>
    <t>ด***ม้ถอยกระโทก72หมู่3ต.นกออกอ.ปักธงชัยจ.นครราชสีมา30150</t>
  </si>
  <si>
    <t>09/01/2025 20:11</t>
  </si>
  <si>
    <t>EQZ62</t>
  </si>
  <si>
    <t>ค** ล***า</t>
  </si>
  <si>
    <t>09/01/2025 20:12</t>
  </si>
  <si>
    <t>EQZ61</t>
  </si>
  <si>
    <t>EQZ59</t>
  </si>
  <si>
    <t>จ***พร ว***ยยา</t>
  </si>
  <si>
    <t>อุดรธานี</t>
  </si>
  <si>
    <t>09/01/2025 20:05</t>
  </si>
  <si>
    <t>EQZ58</t>
  </si>
  <si>
    <t>จ***ณี อ***ร์ทอง</t>
  </si>
  <si>
    <t>สุราษฎร์ธานี</t>
  </si>
  <si>
    <t>09/01/2025 20:02</t>
  </si>
  <si>
    <t>ครีมฮอร์น 6 กล่อง</t>
  </si>
  <si>
    <t>ครีมฮอร์น 6 กล่อง 200 บาท</t>
  </si>
  <si>
    <t>EQZ57</t>
  </si>
  <si>
    <t>ณ***ฤตา ท***กิด</t>
  </si>
  <si>
    <t>นครปฐม</t>
  </si>
  <si>
    <t>EQZ56</t>
  </si>
  <si>
    <t>B*** ต***ม</t>
  </si>
  <si>
    <t>ชลบุรี</t>
  </si>
  <si>
    <t>09/01/2025 20:01</t>
  </si>
  <si>
    <t>EQZ55</t>
  </si>
  <si>
    <t>น***ิชญ์ ส***์ทอง</t>
  </si>
  <si>
    <t>09/01/2025 19:53</t>
  </si>
  <si>
    <t>EQZ54</t>
  </si>
  <si>
    <t>ภัทร์ฐิตา อรรถจิตรากุล</t>
  </si>
  <si>
    <t>สถาบันเทคโนโลยีแห่งเอเชีย (AIT)  แผนกแพทย์ 58 หมู่ 9 ต.คลองหนึ่ง
คลองหลวง/ Khlong Luangปทุมธานี/ Pathum Thani
12120</t>
  </si>
  <si>
    <t>12120</t>
  </si>
  <si>
    <t>660898048245</t>
  </si>
  <si>
    <t>09/01/2025 19:52</t>
  </si>
  <si>
    <t>สอดไส้3กล่องใหญ่</t>
  </si>
  <si>
    <t>ชิฟฟ่อนสอดไส้ 3กล่องใหญ่</t>
  </si>
  <si>
    <t>EQZ53</t>
  </si>
  <si>
    <t>u***510399365708เกษศิรินทร์  ป***</t>
  </si>
  <si>
    <t>09/01/2025 19:47</t>
  </si>
  <si>
    <t>สอดไส้6ชิ้น 10กล่อง</t>
  </si>
  <si>
    <t>ยกลัง ชิฟฟ่อนสอดไส้ 6ชิ้น จำนวน 10กล่อง</t>
  </si>
  <si>
    <t>EQZ52</t>
  </si>
  <si>
    <t>ก***า ศ***ะนัน</t>
  </si>
  <si>
    <t>09/01/2025 19:43</t>
  </si>
  <si>
    <t>EQZ51</t>
  </si>
  <si>
    <t>ย***นา ศ***ิลาศ</t>
  </si>
  <si>
    <t>กรุงเทพมหานคร</t>
  </si>
  <si>
    <t>09/01/2025 19:41</t>
  </si>
  <si>
    <t>ชิฟฟ่อนไส้10ชิ้น</t>
  </si>
  <si>
    <t>ขนมราคาส่ง ถูกกว่า เค้กชิฟฟอนสอดไส้ คละรส 10-100 ชิ้น (เก็บได้ 15 วัน) วรรณวนัช</t>
  </si>
  <si>
    <t>EQZ50</t>
  </si>
  <si>
    <t>ลูกเกด</t>
  </si>
  <si>
    <t>33/3/หมู6/ตำบลอิปัน/อำเภอพระแสง · อิปัน/ I-pan
พระแสง/ Phrasaengสุราษฎร์ธานี/ Surat Thani
84210</t>
  </si>
  <si>
    <t>84210</t>
  </si>
  <si>
    <t>660934455302</t>
  </si>
  <si>
    <t>09/01/2025 19:39</t>
  </si>
  <si>
    <t>EQZ48</t>
  </si>
  <si>
    <t>ว***พงษ์ ป***ะระคะ</t>
  </si>
  <si>
    <t>ฉะเชิงเทรา</t>
  </si>
  <si>
    <t>09/01/2025 19:27</t>
  </si>
  <si>
    <t>EQZ47</t>
  </si>
  <si>
    <t>การินรัตน์ นัยเจริญ</t>
  </si>
  <si>
    <t>61 หมู่ 9 ต บ่อ
วังน้อย/ Wang Noiพระนครศรีอยุธยา/ Phra Nakhon Si Ayutthaya
13170</t>
  </si>
  <si>
    <t>13170</t>
  </si>
  <si>
    <t>660954085324</t>
  </si>
  <si>
    <t>EQZ46</t>
  </si>
  <si>
    <t>ก***าภัค บ***สน</t>
  </si>
  <si>
    <t>ปัตตานี</t>
  </si>
  <si>
    <t>09/01/2025 19:26</t>
  </si>
  <si>
    <t>09/01/2025 19:24</t>
  </si>
  <si>
    <t>EQZ45</t>
  </si>
  <si>
    <t>อ*** ศ***ุทธิญาณ บ***เลขที่ 1** ห*** 2 แ***อ</t>
  </si>
  <si>
    <t>กำแพงเพชร</t>
  </si>
  <si>
    <t>09/01/2025 19:25</t>
  </si>
  <si>
    <t>09/01/2025 19:17</t>
  </si>
  <si>
    <t>EQZ41</t>
  </si>
  <si>
    <t>ส***นทิพย์ ส***อง</t>
  </si>
  <si>
    <t>09/01/2025 19:08</t>
  </si>
  <si>
    <t>EQZ40</t>
  </si>
  <si>
    <t>ข***ชู ฉ***ัย</t>
  </si>
  <si>
    <t>09/01/2025 19:07</t>
  </si>
  <si>
    <t>ขอฝอยทอง มะพร้าว เผือก เนยสด ตาลหอม ใบเตย</t>
  </si>
  <si>
    <t>EQZ39</t>
  </si>
  <si>
    <t>ม*** ห***วล</t>
  </si>
  <si>
    <t>อุบลราชธานี</t>
  </si>
  <si>
    <t>EQZ38</t>
  </si>
  <si>
    <t>พ******)</t>
  </si>
  <si>
    <t>******ง ตำบลสวนผึ้ง อำเภอสวนผึ้ง จังหวัดราชบุรี 70180</t>
  </si>
  <si>
    <t>70180</t>
  </si>
  <si>
    <t>38</t>
  </si>
  <si>
    <t>09/01/2025 19:35</t>
  </si>
  <si>
    <t>09/01/2025 19:05</t>
  </si>
  <si>
    <t>EQZ37</t>
  </si>
  <si>
    <t>ท***ีย์ ม***ทธิ์ 5***ู่5 ต***วยพิชัย อ***กชม จ***ย</t>
  </si>
  <si>
    <t>เลย</t>
  </si>
  <si>
    <t>09/01/2025 19:02</t>
  </si>
  <si>
    <t>EQZ36</t>
  </si>
  <si>
    <t>ธ***า ธ***ัฒน์</t>
  </si>
  <si>
    <t>นครศรีธรรมราช</t>
  </si>
  <si>
    <t>EQZ35</t>
  </si>
  <si>
    <t>ป***วดี   เ***กิจ</t>
  </si>
  <si>
    <t>09/01/2025 18:58</t>
  </si>
  <si>
    <t>EQZ34</t>
  </si>
  <si>
    <t>ป***า พ***พลึง</t>
  </si>
  <si>
    <t>เพชรบุรี</t>
  </si>
  <si>
    <t>09/01/2025 18:57</t>
  </si>
  <si>
    <t>EQZ33</t>
  </si>
  <si>
    <t>ค***ดง</t>
  </si>
  <si>
    <t>09/01/2025 18:52</t>
  </si>
  <si>
    <t>09/01/2025 18:51</t>
  </si>
  <si>
    <t>EQZ30</t>
  </si>
  <si>
    <t>ณ***ล ห***นชัย</t>
  </si>
  <si>
    <t>09/01/2025 18:19</t>
  </si>
  <si>
    <t>EQZ29</t>
  </si>
  <si>
    <t>ก*** ป***สุวรรณ์</t>
  </si>
  <si>
    <t>สมุทรสาคร</t>
  </si>
  <si>
    <t>09/01/2025 18:05</t>
  </si>
  <si>
    <t>EQZ28</t>
  </si>
  <si>
    <t>พ***พา ด***วิเศษ</t>
  </si>
  <si>
    <t>กาญจนบุรี</t>
  </si>
  <si>
    <t>09/01/2025 17:51</t>
  </si>
  <si>
    <t>EQZ27</t>
  </si>
  <si>
    <t>อ***มา</t>
  </si>
  <si>
    <t>ระยอง</t>
  </si>
  <si>
    <t>09/01/2025 17:44</t>
  </si>
  <si>
    <t>EQZ25</t>
  </si>
  <si>
    <t>จ***อ.จรูญ ก***ินทร์</t>
  </si>
  <si>
    <t>09/01/2025 17:34</t>
  </si>
  <si>
    <t>09/01/2025 17:32</t>
  </si>
  <si>
    <t>EQZ24</t>
  </si>
  <si>
    <t>เ***นี ส***ิสังข์</t>
  </si>
  <si>
    <t>สุรินทร์</t>
  </si>
  <si>
    <t>09/01/2025 17:26</t>
  </si>
  <si>
    <t>EQZ23</t>
  </si>
  <si>
    <t>น***นา ภ***จริญ</t>
  </si>
  <si>
    <t>09/01/2025 17:25</t>
  </si>
  <si>
    <t>EQZ21</t>
  </si>
  <si>
    <t>ฉ***ชัย อ***ศวัฒนะ</t>
  </si>
  <si>
    <t>09/01/2025 17:13</t>
  </si>
  <si>
    <t>EQZ20</t>
  </si>
  <si>
    <t>พ***าภรณ์ ผ***ผา</t>
  </si>
  <si>
    <t>09/01/2025 17:10</t>
  </si>
  <si>
    <t>Flash Express Thailand</t>
  </si>
  <si>
    <t>EQZ19</t>
  </si>
  <si>
    <t>ห***ทิพย์ เ***รพิทักษ์</t>
  </si>
  <si>
    <t>นครนายก</t>
  </si>
  <si>
    <t>09/01/2025 17:09</t>
  </si>
  <si>
    <t>EQZ18</t>
  </si>
  <si>
    <t>09/01/2025 17:08</t>
  </si>
  <si>
    <t>EQZ17</t>
  </si>
  <si>
    <t>ป***าภรณ์  ม***ศรี</t>
  </si>
  <si>
    <t>09/01/2025 17:06</t>
  </si>
  <si>
    <t>EQZ16</t>
  </si>
  <si>
    <t>ก*** ป***งพันธ์</t>
  </si>
  <si>
    <t>09/01/2025 17:05</t>
  </si>
  <si>
    <t>EQZ15</t>
  </si>
  <si>
    <t>อ***มพร ผ***ล</t>
  </si>
  <si>
    <t>พระนครศรีอยุธยา</t>
  </si>
  <si>
    <t>09/01/2025 17:01</t>
  </si>
  <si>
    <t>EQZ14</t>
  </si>
  <si>
    <t>น** ก***นก</t>
  </si>
  <si>
    <t>พิจิตร</t>
  </si>
  <si>
    <t>09/01/2025 16:55</t>
  </si>
  <si>
    <t>EQZ13</t>
  </si>
  <si>
    <t>ป*** อ***ะ</t>
  </si>
  <si>
    <t>09/01/2025 16:53</t>
  </si>
  <si>
    <t>EQZ12</t>
  </si>
  <si>
    <t>ก***า ส***ก้ว</t>
  </si>
  <si>
    <t>09/01/2025 16:45</t>
  </si>
  <si>
    <t>09/01/2025 16:46</t>
  </si>
  <si>
    <t>EQZ11</t>
  </si>
  <si>
    <t>ส***รณา โ***ือง</t>
  </si>
  <si>
    <t>09/01/2025 16:38</t>
  </si>
  <si>
    <t>EQZ6</t>
  </si>
  <si>
    <t>ม***วีณา414</t>
  </si>
  <si>
    <t>09/01/2025 16:33</t>
  </si>
  <si>
    <t>EQZ5</t>
  </si>
  <si>
    <t>มาลินี สำโรง</t>
  </si>
  <si>
    <t>14/3 ม.3 ต.พิมพา
บางปะกง/ Bang Pakongฉะเชิงเทรา/ Chachoengsao
24130</t>
  </si>
  <si>
    <t>24130</t>
  </si>
  <si>
    <t>660925584120</t>
  </si>
  <si>
    <t>EQZ4</t>
  </si>
  <si>
    <t>ช***านต์ ร***ยวิโรจน์การค้า</t>
  </si>
  <si>
    <t>EQZ2</t>
  </si>
  <si>
    <t>ว***ตา อ***</t>
  </si>
  <si>
    <t>09/01/2025 16:24</t>
  </si>
  <si>
    <t>EQZ0</t>
  </si>
  <si>
    <t>ก***กร ว***ล</t>
  </si>
  <si>
    <t>09/01/2025 16:14</t>
  </si>
  <si>
    <t>EQY99</t>
  </si>
  <si>
    <t>น** โ***า ห***ุวรรณ์</t>
  </si>
  <si>
    <t>ชัยภูมิ</t>
  </si>
  <si>
    <t>09/01/2025 16:11</t>
  </si>
  <si>
    <t>EQY98</t>
  </si>
  <si>
    <t>ช***มา  พ***ขตนคร</t>
  </si>
  <si>
    <t>จังหวัดนครสวรรค์</t>
  </si>
  <si>
    <t>09/01/2025 16:04</t>
  </si>
  <si>
    <t>EQY97</t>
  </si>
  <si>
    <t>เ***น ป***าปิง</t>
  </si>
  <si>
    <t>09/01/2025 16:03</t>
  </si>
  <si>
    <t>EQY95</t>
  </si>
  <si>
    <t>น***ยะห์  พ***สวย</t>
  </si>
  <si>
    <t>09/01/2025 16:01</t>
  </si>
  <si>
    <t>EQY94</t>
  </si>
  <si>
    <t>ค** ย***น</t>
  </si>
  <si>
    <t>09/01/2025 15:59</t>
  </si>
  <si>
    <t>EQY93</t>
  </si>
  <si>
    <t>ส***มล  แ***ข้อ   ซ***้านปะยางก่อนถึง อ***</t>
  </si>
  <si>
    <t>09/01/2025 15:55</t>
  </si>
  <si>
    <t>EQY92</t>
  </si>
  <si>
    <t>ธ***ร ส***วง พ***ตอร์</t>
  </si>
  <si>
    <t>อำนาจเจริญ</t>
  </si>
  <si>
    <t>EQY91</t>
  </si>
  <si>
    <t>อ*** ย***ย็น</t>
  </si>
  <si>
    <t>09/01/2025 15:48</t>
  </si>
  <si>
    <t>EQY90</t>
  </si>
  <si>
    <t>09/01/2025 15:47</t>
  </si>
  <si>
    <t>EQY88</t>
  </si>
  <si>
    <t>ร้านที่2</t>
  </si>
  <si>
    <t>S** s* S***k</t>
  </si>
  <si>
    <t>09/01/2025 15:32</t>
  </si>
  <si>
    <t>09/01/2025 15:33</t>
  </si>
  <si>
    <t>EQY87</t>
  </si>
  <si>
    <t>ค*** ว***า</t>
  </si>
  <si>
    <t>มหาสารคาม</t>
  </si>
  <si>
    <t>09/01/2025 15:29</t>
  </si>
  <si>
    <t>EQY86</t>
  </si>
  <si>
    <t>น***ิยา เ***สังข์</t>
  </si>
  <si>
    <t>09/01/2025 15:27</t>
  </si>
  <si>
    <t>รวมรสไม่มีไส้ 3กล่อง</t>
  </si>
  <si>
    <t>รวมรสไม่มีไส้ 3กล่อง 199</t>
  </si>
  <si>
    <t>EQY84</t>
  </si>
  <si>
    <t>น******น</t>
  </si>
  <si>
    <t>******ตำบลหมูสี ตำบลหมูสี อำเภอปากช่อง จังหวัดนครราชสีมา 30130</t>
  </si>
  <si>
    <t>30130</t>
  </si>
  <si>
    <t>97</t>
  </si>
  <si>
    <t>09/01/2025 15:25</t>
  </si>
  <si>
    <t>EQY82</t>
  </si>
  <si>
    <t>ณ***ิดา</t>
  </si>
  <si>
    <t>ร้อยเอ็ด</t>
  </si>
  <si>
    <t>09/01/2025 15:11</t>
  </si>
  <si>
    <t>09/01/2025 15:12</t>
  </si>
  <si>
    <t>EQY81</t>
  </si>
  <si>
    <t>บ***ม</t>
  </si>
  <si>
    <t>09/01/2025 15:10</t>
  </si>
  <si>
    <t>EQY80</t>
  </si>
  <si>
    <t>อ***์</t>
  </si>
  <si>
    <t>พิษณุโลก</t>
  </si>
  <si>
    <t>ชิฟฟ่อน4ชิ้น จำนวน 5กล่อง</t>
  </si>
  <si>
    <t>ชิฟฟ่อน รวมรส ไม่มีไส้ 4ชิ้น/กล่อง จำนวน 5กล่อง สินค้าเก็บได้ 20 วัน</t>
  </si>
  <si>
    <t>EQY79</t>
  </si>
  <si>
    <t>ร******ด</t>
  </si>
  <si>
    <t>******่ 99/99 หมู่ 4, ต.บางเสาธง, อำเภอบางเสาธง ตำบลบางเสาธง อำเภอบางเสาธง จังหวัดสมุทรปราการ 10570</t>
  </si>
  <si>
    <t>10570</t>
  </si>
  <si>
    <t>78</t>
  </si>
  <si>
    <t>EQY78</t>
  </si>
  <si>
    <t>ก***ิธัช ห***งบุญ</t>
  </si>
  <si>
    <t>09/01/2025 15:09</t>
  </si>
  <si>
    <t>EQY77</t>
  </si>
  <si>
    <t>น***าวบุษยาภรณ์  อ***เครือ</t>
  </si>
  <si>
    <t>แม่ฮ่องสอน</t>
  </si>
  <si>
    <t>09/01/2025 15:08</t>
  </si>
  <si>
    <t>EQY76</t>
  </si>
  <si>
    <t>น***าว อ***า ส***ต้</t>
  </si>
  <si>
    <t>สุโขทัย</t>
  </si>
  <si>
    <t>09/01/2025 14:59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</si>
  <si>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</si>
  <si>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</si>
  <si>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EQY75</t>
  </si>
  <si>
    <t>n***hamon c***thongraat</t>
  </si>
  <si>
    <t>Samut Sakhon</t>
  </si>
  <si>
    <t>09/01/2025 14:49</t>
  </si>
  <si>
    <t>ครีมฮอร์นคละรสไส้เนย 3 กล่อง</t>
  </si>
  <si>
    <t>ขนมก้นหอย คละรสไส้เนย 3 กล่อง</t>
  </si>
  <si>
    <t>EQY73</t>
  </si>
  <si>
    <t>เ******ย</t>
  </si>
  <si>
    <t>******ลโยธะกา อำเภอบางน้ำเปรี้ยว จังหวัดฉะเชิงเทรา 24150</t>
  </si>
  <si>
    <t>24150</t>
  </si>
  <si>
    <t>68</t>
  </si>
  <si>
    <t>09/01/2025 14:48</t>
  </si>
  <si>
    <t>09/01/2025 14:47</t>
  </si>
  <si>
    <t>EQY72</t>
  </si>
  <si>
    <t>ศรีวรรณ ผ่องใส</t>
  </si>
  <si>
    <t>ส่งหน้าโลตัสตลาดสดสุรินทร์
เมืองสุรินทร์/ Mueang Surinสุรินทร์/ Surin
32000</t>
  </si>
  <si>
    <t>32000</t>
  </si>
  <si>
    <t>660894261297</t>
  </si>
  <si>
    <t>EQY71</t>
  </si>
  <si>
    <t>รุจิสรร</t>
  </si>
  <si>
    <t>602/43 ม.โฮมการ์เด้นสระครก หมู่ 6 ถ.รัตนพิธาร · จอหอ/ Cho Ho
เมืองนครราชสีมา/ Mueng Nakorn Ratchasimaนครราชสีมา/ Nakhon Ratchasima
30310</t>
  </si>
  <si>
    <t>30310</t>
  </si>
  <si>
    <t>660986532643</t>
  </si>
  <si>
    <t>09/01/2025 14:46</t>
  </si>
  <si>
    <t>EQY70</t>
  </si>
  <si>
    <t>อ***า จ***ร์ภิรมย์</t>
  </si>
  <si>
    <t>EQY69</t>
  </si>
  <si>
    <t>ส***นทา ข***ษ์</t>
  </si>
  <si>
    <t>EQY68</t>
  </si>
  <si>
    <t>ก***าวีร์ ห***อกพลอย</t>
  </si>
  <si>
    <t>EQY66</t>
  </si>
  <si>
    <t>ธ***ลย์ เ***</t>
  </si>
  <si>
    <t>09/01/2025 14:42</t>
  </si>
  <si>
    <t>EQY65</t>
  </si>
  <si>
    <t>ว***ล ศ***วราวาท</t>
  </si>
  <si>
    <t>09/01/2025 14:41</t>
  </si>
  <si>
    <t>EQY64</t>
  </si>
  <si>
    <t>น***ัศมี อ***วรทัต</t>
  </si>
  <si>
    <t>09/01/2025 14:39</t>
  </si>
  <si>
    <t>EQY61</t>
  </si>
  <si>
    <t>แ***ม</t>
  </si>
  <si>
    <t>09/01/2025 14:27</t>
  </si>
  <si>
    <t>EQY59</t>
  </si>
  <si>
    <t>แ*ค</t>
  </si>
  <si>
    <t>******ำเภอท่าวุ้ง ตำบลบางลี่ อำเภอท่าวุ้ง จังหวัดลพบุรี 15150</t>
  </si>
  <si>
    <t>15150</t>
  </si>
  <si>
    <t>55</t>
  </si>
  <si>
    <t>09/01/2025 14:52</t>
  </si>
  <si>
    <t>09/01/2025 14:22</t>
  </si>
  <si>
    <t>EQY58</t>
  </si>
  <si>
    <t>วรรณวนัช เบเกอรี่ โปร ขนมเค้กเบาหวิว ขนาด 100 กรัม จำนวน 3กล่อง คละรสให้ (สินค้าเก็บได้ 20วัน)</t>
  </si>
  <si>
    <t>EQY57</t>
  </si>
  <si>
    <t>ชนิกานต์ รำเพย วิโรจน์การค้า</t>
  </si>
  <si>
    <t>201/1 ม.7 ต.ปริก อ.ทุ่งใหญ่
ทุ่งใหญ่/ Thung Yaiนครศรีธรรมราช/ Nakhon Si Thammarat
80240</t>
  </si>
  <si>
    <t>80240</t>
  </si>
  <si>
    <t>660986760387</t>
  </si>
  <si>
    <t>09/01/2025 14:20</t>
  </si>
  <si>
    <t>EQY56</t>
  </si>
  <si>
    <t>คุณ มายยย**********</t>
  </si>
  <si>
    <t>คุณหลวงเรสซิเดนซ์มิ้นท์ห้อง 43 โทร 0812650360 คุณหลวงเรสซิเดนซ์มิ้นท์ห้อง 43 โทร 0812650360 68 ลาดพร้าว 124 พลับพลา วังทองหลางกรุงเทพมหานคร 10310 · พลับพลา/ Phlapphla
วังทองหลาง/ Wang Thonglangกรุงเทพมหานคร/ Bangkok
10310</t>
  </si>
  <si>
    <t>10310</t>
  </si>
  <si>
    <t>09/01/2025 14:18</t>
  </si>
  <si>
    <t>EQY55</t>
  </si>
  <si>
    <t>ค** เ*** ห***ผล</t>
  </si>
  <si>
    <t>EQY53</t>
  </si>
  <si>
    <t>ส***สรีญา​ ใ***้ว</t>
  </si>
  <si>
    <t>09/01/2025 14:10</t>
  </si>
  <si>
    <t>เน้นฝอยทองคะ</t>
  </si>
  <si>
    <t>09/01/2025 14:14</t>
  </si>
  <si>
    <t>EQY52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</si>
  <si>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</si>
  <si>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</si>
  <si>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26000</t>
  </si>
  <si>
    <t>660895066761</t>
  </si>
  <si>
    <t>09/01/2025 14:12</t>
  </si>
  <si>
    <t>EQY51</t>
  </si>
  <si>
    <t>ก***ร ส***กษม</t>
  </si>
  <si>
    <t>เทศบาลนครนครศรีธรรมราช</t>
  </si>
  <si>
    <t>09/01/2025 14:05</t>
  </si>
  <si>
    <t>09/01/2025 14:09</t>
  </si>
  <si>
    <t>EQY50</t>
  </si>
  <si>
    <t>ส***ายสุระสรางค์</t>
  </si>
  <si>
    <t>EQY49</t>
  </si>
  <si>
    <t>ภ***ี</t>
  </si>
  <si>
    <t>ลำปาง</t>
  </si>
  <si>
    <t>09/01/2025 14:07</t>
  </si>
  <si>
    <t>EQY48</t>
  </si>
  <si>
    <t>บ***ิกานต์ เ***ยงคำเรือง</t>
  </si>
  <si>
    <t>มุกดาหาร</t>
  </si>
  <si>
    <t>09/01/2025 13:57</t>
  </si>
  <si>
    <t>EQY47</t>
  </si>
  <si>
    <t>จ***ภา เ***มวย</t>
  </si>
  <si>
    <t>09/01/2025 13:56</t>
  </si>
  <si>
    <t>EQY46</t>
  </si>
  <si>
    <t>ล***าฟาร์ม</t>
  </si>
  <si>
    <t>09/01/2025 13:53</t>
  </si>
  <si>
    <t>09/01/2025 13:52</t>
  </si>
  <si>
    <t>EQY45</t>
  </si>
  <si>
    <t>B**</t>
  </si>
  <si>
    <t>พะเยา</t>
  </si>
  <si>
    <t>09/01/2025 13:50</t>
  </si>
  <si>
    <t>EQY43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</si>
  <si>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</si>
  <si>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</si>
  <si>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</si>
  <si>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09/01/2025 13:40</t>
  </si>
  <si>
    <t>EQY40</t>
  </si>
  <si>
    <t>ล***ลย์ ศ***ิน</t>
  </si>
  <si>
    <t>09/01/2025 13:37</t>
  </si>
  <si>
    <t>754429889043</t>
  </si>
  <si>
    <t>EQY39</t>
  </si>
  <si>
    <t>ด***ภา เ***ิพย์</t>
  </si>
  <si>
    <t>09/01/2025 13:23</t>
  </si>
  <si>
    <t>THT18081ED6D41Z</t>
  </si>
  <si>
    <t>EQY38</t>
  </si>
  <si>
    <t>น***ัฒนา ศ***ิเมืองใจ</t>
  </si>
  <si>
    <t>เชียงราย</t>
  </si>
  <si>
    <t>09/01/2025 13:17</t>
  </si>
  <si>
    <t>754490975092</t>
  </si>
  <si>
    <t>09/01/2025 13:16</t>
  </si>
  <si>
    <t>EQY36</t>
  </si>
  <si>
    <t>09/01/2025 13:14</t>
  </si>
  <si>
    <t>THT18081ED6BH1Z</t>
  </si>
  <si>
    <t>EQY35</t>
  </si>
  <si>
    <t>09/01/2025 13:08</t>
  </si>
  <si>
    <t>THT18081ED79V3Z</t>
  </si>
  <si>
    <t>EQY33</t>
  </si>
  <si>
    <t>ภ***ชนาถ ภ***ศน์</t>
  </si>
  <si>
    <t>09/01/2025 13:03</t>
  </si>
  <si>
    <t>THT10031ED6A61Z</t>
  </si>
  <si>
    <t>รวมรสไม่มีไส้ 20กล่อง</t>
  </si>
  <si>
    <t>วรรณวนัช ชิฟฟ่อนไม่มีไส้กล่องใหญ่ 20 กล่อง</t>
  </si>
  <si>
    <t>EQY32</t>
  </si>
  <si>
    <t>ร้านที่9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</si>
  <si>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</si>
  <si>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</si>
  <si>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</si>
  <si>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</si>
  <si>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09/01/2025 13:01</t>
  </si>
  <si>
    <t>LEXDO0124322842</t>
  </si>
  <si>
    <t>ปีใหม่699</t>
  </si>
  <si>
    <t>โปร 699 ปีใหม่</t>
  </si>
  <si>
    <t>EQY31</t>
  </si>
  <si>
    <t>จ******ิ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</si>
  <si>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</si>
  <si>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12130</t>
  </si>
  <si>
    <t>85</t>
  </si>
  <si>
    <t>09/01/2025 13:00</t>
  </si>
  <si>
    <t>TH250074368949O</t>
  </si>
  <si>
    <t>EQY30</t>
  </si>
  <si>
    <t>09/01/2025 12:54</t>
  </si>
  <si>
    <t>TH255297090372F</t>
  </si>
  <si>
    <t>EQY29</t>
  </si>
  <si>
    <t>ภ***าวดี ข***โต๊ะเร๊ะ</t>
  </si>
  <si>
    <t>09/01/2025 12:53</t>
  </si>
  <si>
    <t>754449481026</t>
  </si>
  <si>
    <t>EQY28</t>
  </si>
  <si>
    <t>ป***สรา แ***ศรี</t>
  </si>
  <si>
    <t>เพชรบูรณ์</t>
  </si>
  <si>
    <t>09/01/2025 12:52</t>
  </si>
  <si>
    <t>754461088032</t>
  </si>
  <si>
    <t>EQY27</t>
  </si>
  <si>
    <t>น***อ้ย   ศ***สภณ</t>
  </si>
  <si>
    <t>09/01/2025 12:50</t>
  </si>
  <si>
    <t>754403083033</t>
  </si>
  <si>
    <t>EQY26</t>
  </si>
  <si>
    <t>ณ***ล แ***งแก</t>
  </si>
  <si>
    <t>THT68161ED7NX5Z</t>
  </si>
  <si>
    <t>EQY25</t>
  </si>
  <si>
    <t>อรพันธ์ุ ทองธิว</t>
  </si>
  <si>
    <t>82/931 ม.20 หมู่บ้านสุธาวี
บางพลี/ Bang Phliสมุทรปราการ/ Samut Prakan
10540</t>
  </si>
  <si>
    <t>10540</t>
  </si>
  <si>
    <t>660891500522</t>
  </si>
  <si>
    <t>09/01/2025 12:47</t>
  </si>
  <si>
    <t>LEXPU0443822696</t>
  </si>
  <si>
    <t>EQY24</t>
  </si>
  <si>
    <t>ส***ด  ท***ัด</t>
  </si>
  <si>
    <t>อุทัยธานี</t>
  </si>
  <si>
    <t>09/01/2025 12:45</t>
  </si>
  <si>
    <t>754461173060</t>
  </si>
  <si>
    <t>EQY23</t>
  </si>
  <si>
    <t>ส***วดี แ***อำไพ</t>
  </si>
  <si>
    <t>ปราจีนบุรี</t>
  </si>
  <si>
    <t>09/01/2025 12:42</t>
  </si>
  <si>
    <t>754428484025</t>
  </si>
  <si>
    <t>EQY21</t>
  </si>
  <si>
    <t>อ***์ ศ***ี</t>
  </si>
  <si>
    <t>754498082041</t>
  </si>
  <si>
    <t>EQY20</t>
  </si>
  <si>
    <t>09/01/2025 12:31</t>
  </si>
  <si>
    <t>TH2529528192476</t>
  </si>
  <si>
    <t>EQY18</t>
  </si>
  <si>
    <t>เ***ี่</t>
  </si>
  <si>
    <t>09/01/2025 12:24</t>
  </si>
  <si>
    <t>754483485022</t>
  </si>
  <si>
    <t>09/01/2025 12:25</t>
  </si>
  <si>
    <t>EQY17</t>
  </si>
  <si>
    <t>09/01/2025 12:22</t>
  </si>
  <si>
    <t>754410375073</t>
  </si>
  <si>
    <t>EQY15</t>
  </si>
  <si>
    <t>จ***า ร***รัตน์</t>
  </si>
  <si>
    <t>09/01/2025 12:17</t>
  </si>
  <si>
    <t>THT21051EDJJJ6Z</t>
  </si>
  <si>
    <t>09/01/2025 12:18</t>
  </si>
  <si>
    <t>EQY14</t>
  </si>
  <si>
    <t>ก***</t>
  </si>
  <si>
    <t>เทศบาลนครเชียงราย</t>
  </si>
  <si>
    <t>09/01/2025 12:13</t>
  </si>
  <si>
    <t>754493772060</t>
  </si>
  <si>
    <t>EQY12</t>
  </si>
  <si>
    <t>น***าวอริสา เ***อคุณ</t>
  </si>
  <si>
    <t>09/01/2025 12:02</t>
  </si>
  <si>
    <t>754456172046</t>
  </si>
  <si>
    <t>09/01/2025 12:01</t>
  </si>
  <si>
    <t>EQY11</t>
  </si>
  <si>
    <t>ว***ัตน์ ช***่น</t>
  </si>
  <si>
    <t>ขอนแก่น</t>
  </si>
  <si>
    <t>09/01/2025 11:59</t>
  </si>
  <si>
    <t>THT37251EDJHJ4Z</t>
  </si>
  <si>
    <t>ชิฟฟ่อนรวมรส ไม่มีไส้ ของขวัญปีใหม่ วรรณวนัช เบเกอรี่</t>
  </si>
  <si>
    <t>EQY10</t>
  </si>
  <si>
    <t>09/01/2025 11:50</t>
  </si>
  <si>
    <t>LEXDO0124323187</t>
  </si>
  <si>
    <t>เค้กชิฟฟ่อนรวมรส วรรณวนัช ไม่มีไส้ 3กล่อง ราคาพิเศษ</t>
  </si>
  <si>
    <t>EQY9</t>
  </si>
  <si>
    <t>ร้านที่10</t>
  </si>
  <si>
    <t>วิสุจิตตรา  บุญนำมา</t>
  </si>
  <si>
    <t>บ้านไร่ซับสวรรค์โฮมสเตย์  29/1  หมู่ 5  ต.คลองไผ่ อ.สีคิ้ว · คลองไผ่/ Khlong Phai
สีคิ้ว/ Sikhioนครราชสีมา/ Nakhon Ratchasima
30340</t>
  </si>
  <si>
    <t>30340</t>
  </si>
  <si>
    <t>660611816449</t>
  </si>
  <si>
    <t>09/01/2025 11:46</t>
  </si>
  <si>
    <t>LEXDO0124322994</t>
  </si>
  <si>
    <t>EQY7</t>
  </si>
  <si>
    <t>ร***นทร์  ร***าติ</t>
  </si>
  <si>
    <t>09/01/2025 11:39</t>
  </si>
  <si>
    <t>ไม่รับรสกาแฟคะ</t>
  </si>
  <si>
    <t>THT29101EDJRU6Z</t>
  </si>
  <si>
    <t>EQY6</t>
  </si>
  <si>
    <t>โ***ส เ***ยงกระโทก</t>
  </si>
  <si>
    <t>09/01/2025 11:36</t>
  </si>
  <si>
    <t>THT27071EDK1R6Z</t>
  </si>
  <si>
    <t>EQY5</t>
  </si>
  <si>
    <t>บ***ืน อ***รรณัง</t>
  </si>
  <si>
    <t>09/01/2025 11:33</t>
  </si>
  <si>
    <t>754487881044</t>
  </si>
  <si>
    <t>EQY3</t>
  </si>
  <si>
    <t>ว***ชัย ต***ะวาโย</t>
  </si>
  <si>
    <t>09/01/2025 11:31</t>
  </si>
  <si>
    <t>THT21051ED73G1Z</t>
  </si>
  <si>
    <t>09/01/2025 11:29</t>
  </si>
  <si>
    <t>EQY2</t>
  </si>
  <si>
    <t>น******ศ</t>
  </si>
  <si>
    <t>******ง อำเภอเมืองฉะเชิงเทรา จังหวัดฉะเชิงเทรา 24000</t>
  </si>
  <si>
    <t>24000</t>
  </si>
  <si>
    <t>39</t>
  </si>
  <si>
    <t>TH256013098252T</t>
  </si>
  <si>
    <t>EQY1</t>
  </si>
  <si>
    <t>ก***ิสา  ก***ัตน์</t>
  </si>
  <si>
    <t>สุพรรณบุรี</t>
  </si>
  <si>
    <t>09/01/2025 11:23</t>
  </si>
  <si>
    <t>THT14081EDH5Z6Z</t>
  </si>
  <si>
    <t>EQY0</t>
  </si>
  <si>
    <t>ค** ม***าง แ***นิ่ง</t>
  </si>
  <si>
    <t>อ่างทอง</t>
  </si>
  <si>
    <t>09/01/2025 11:16</t>
  </si>
  <si>
    <t>754496776073</t>
  </si>
  <si>
    <t>EQX99</t>
  </si>
  <si>
    <t>จ***พร เ***งฤทธิ์</t>
  </si>
  <si>
    <t>09/01/2025 11:06</t>
  </si>
  <si>
    <t>754469483040</t>
  </si>
  <si>
    <t>EQX98</t>
  </si>
  <si>
    <t>ส***รา ไ***ินดา</t>
  </si>
  <si>
    <t>09/01/2025 11:00</t>
  </si>
  <si>
    <t>THT71161ED87Q9Z</t>
  </si>
  <si>
    <t>EQX97</t>
  </si>
  <si>
    <t>แ***ยุภา</t>
  </si>
  <si>
    <t>อุตรดิตถ์</t>
  </si>
  <si>
    <t>754414372062</t>
  </si>
  <si>
    <t>09/01/2025 10:59</t>
  </si>
  <si>
    <t>EQX96</t>
  </si>
  <si>
    <t>พิเชษฐ แสงสุข</t>
  </si>
  <si>
    <t>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
เมืองสระบุรี/ Mueang Saraburiสระบุรี/ Saraburi
18000</t>
  </si>
  <si>
    <t>18000</t>
  </si>
  <si>
    <t>660822972368</t>
  </si>
  <si>
    <t>LEXDO0124323000</t>
  </si>
  <si>
    <t>EQX95</t>
  </si>
  <si>
    <t>ส*** พ***อน</t>
  </si>
  <si>
    <t>09/01/2025 10:50</t>
  </si>
  <si>
    <t>THT62011EDHBX6Z</t>
  </si>
  <si>
    <t>09/01/2025 10:49</t>
  </si>
  <si>
    <t>EQX94</t>
  </si>
  <si>
    <t>จ***ามณี จ***งกลาง</t>
  </si>
  <si>
    <t>09/01/2025 10:48</t>
  </si>
  <si>
    <t>THT36021ED7FA7Z</t>
  </si>
  <si>
    <t>EQX93</t>
  </si>
  <si>
    <t>ม***ย  จ***ร์ขาว</t>
  </si>
  <si>
    <t>กาฬสินธุ์</t>
  </si>
  <si>
    <t>09/01/2025 10:45</t>
  </si>
  <si>
    <t>🥰🥰คละ อย่างละ 2 กล่อง นะค่ะ 💚🤎💛</t>
  </si>
  <si>
    <t>THT43011ED6TK1Z</t>
  </si>
  <si>
    <t>EQX92</t>
  </si>
  <si>
    <t>อ**</t>
  </si>
  <si>
    <t>นนทบุรี</t>
  </si>
  <si>
    <t>09/01/2025 10:43</t>
  </si>
  <si>
    <t>ช็อคโกแลต 9 วนิลา 4ใบเตย 2</t>
  </si>
  <si>
    <t>THT03061EDHVA0Z</t>
  </si>
  <si>
    <t>EQX91</t>
  </si>
  <si>
    <t>09/01/2025 10:39</t>
  </si>
  <si>
    <t>754451373093</t>
  </si>
  <si>
    <t>EQX90</t>
  </si>
  <si>
    <t>ว***า ท***ชร</t>
  </si>
  <si>
    <t>09/01/2025 10:35</t>
  </si>
  <si>
    <t>754434575064</t>
  </si>
  <si>
    <t>EQX89</t>
  </si>
  <si>
    <t>ม***่</t>
  </si>
  <si>
    <t>09/01/2025 10:30</t>
  </si>
  <si>
    <t>THT53071ED8K19Z</t>
  </si>
  <si>
    <t>EQX88</t>
  </si>
  <si>
    <t>ว***ลักษณ์ ช***ทอง</t>
  </si>
  <si>
    <t>Phitsanulok</t>
  </si>
  <si>
    <t>09/01/2025 10:25</t>
  </si>
  <si>
    <t>THT61041EDJVP2Z</t>
  </si>
  <si>
    <t>EQX87</t>
  </si>
  <si>
    <t>เ***รัตน์  น***งค์</t>
  </si>
  <si>
    <t>09/01/2025 10:19</t>
  </si>
  <si>
    <t>754432886056</t>
  </si>
  <si>
    <t>EQX86</t>
  </si>
  <si>
    <t>ค** ห**</t>
  </si>
  <si>
    <t>754449880030</t>
  </si>
  <si>
    <t>EQX85</t>
  </si>
  <si>
    <t>ส***</t>
  </si>
  <si>
    <t>09/01/2025 10:14</t>
  </si>
  <si>
    <t>754419178074</t>
  </si>
  <si>
    <t>EQX84</t>
  </si>
  <si>
    <t>ส** ด***ม้อ</t>
  </si>
  <si>
    <t>09/01/2025 10:13</t>
  </si>
  <si>
    <t>THT16011EDK9D4Z</t>
  </si>
  <si>
    <t>EQX83</t>
  </si>
  <si>
    <t>พ***า โ***รักษ์</t>
  </si>
  <si>
    <t>ภูเก็ต</t>
  </si>
  <si>
    <t>09/01/2025 10:12</t>
  </si>
  <si>
    <t>754404480034</t>
  </si>
  <si>
    <t>EQX82</t>
  </si>
  <si>
    <t>ภ***รานิษฐ์  ร***ปังนมสด</t>
  </si>
  <si>
    <t>สระแก้ว</t>
  </si>
  <si>
    <t>09/01/2025 10:10</t>
  </si>
  <si>
    <t>THT26061EDJ0P6Z</t>
  </si>
  <si>
    <t>EQX81</t>
  </si>
  <si>
    <t>ป***ินทร์ ว***วุฒิปัญญา</t>
  </si>
  <si>
    <t>09/01/2025 10:06</t>
  </si>
  <si>
    <t>754419488023</t>
  </si>
  <si>
    <t>EQX79</t>
  </si>
  <si>
    <t>เ**</t>
  </si>
  <si>
    <t>09/01/2025 09:42</t>
  </si>
  <si>
    <t>THT02011EDJUE6Z</t>
  </si>
  <si>
    <t>EQX78</t>
  </si>
  <si>
    <t>น***นาตาลี ส***ค์</t>
  </si>
  <si>
    <t>09/01/2025 09:39</t>
  </si>
  <si>
    <t>754491374081</t>
  </si>
  <si>
    <t>EQX77</t>
  </si>
  <si>
    <t>น***ปิยะพรรณ ท***ิน</t>
  </si>
  <si>
    <t>09/01/2025 09:36</t>
  </si>
  <si>
    <t>THT39051ED7GP9Z</t>
  </si>
  <si>
    <t>EQX76</t>
  </si>
  <si>
    <t>น******ร</t>
  </si>
  <si>
    <t>******ำบลหน้าไม้, อำเภอลาดหลุมแก้ว ตำบลหน้าไม้ อำเภอลาดหลุมแก้ว จังหวัดปทุมธานี 12140</t>
  </si>
  <si>
    <t>12140</t>
  </si>
  <si>
    <t>87</t>
  </si>
  <si>
    <t>09/01/2025 09:33</t>
  </si>
  <si>
    <t>TH257984179934R</t>
  </si>
  <si>
    <t>EQX75</t>
  </si>
  <si>
    <t>ส******์</t>
  </si>
  <si>
    <t>******อำเภออู่ทอง จังหวัดสุพรรณบุรี 72160 ตำบลบ้านโข้ง อำเภออู่ทอง จังหวัดสุพรรณบุรี 72160</t>
  </si>
  <si>
    <t>72160</t>
  </si>
  <si>
    <t>30</t>
  </si>
  <si>
    <t>09/01/2025 09:10</t>
  </si>
  <si>
    <t>TH2520677448859</t>
  </si>
  <si>
    <t>EQX74</t>
  </si>
  <si>
    <t>ก******์</t>
  </si>
  <si>
    <t>******คี จ.กำแพงเพชร ตำบลวังชะโอน อำเภอบึงสามัคคี จังหวัดกำแพงเพชร 62210</t>
  </si>
  <si>
    <t>62210</t>
  </si>
  <si>
    <t>26</t>
  </si>
  <si>
    <t>09/01/2025 09:38</t>
  </si>
  <si>
    <t>TH58106PEX2F9B</t>
  </si>
  <si>
    <t>09/01/2025 09:08</t>
  </si>
  <si>
    <t>ชิฟฟ่อน60ชิ้น</t>
  </si>
  <si>
    <t>ชิฟฟ่อนไม่มีไส้คละรส 60 ชิ้น</t>
  </si>
  <si>
    <t>EQX72</t>
  </si>
  <si>
    <t>น******ี</t>
  </si>
  <si>
    <t>******บลสำราญ อำเภอเมืองขอนแก่น จังหวัดขอนแก่น 40000</t>
  </si>
  <si>
    <t>40000</t>
  </si>
  <si>
    <t>29</t>
  </si>
  <si>
    <t>09/01/2025 08:59</t>
  </si>
  <si>
    <t>TH2594396949085</t>
  </si>
  <si>
    <t>EQX70</t>
  </si>
  <si>
    <t>09/01/2025 08:42</t>
  </si>
  <si>
    <t>754483371084</t>
  </si>
  <si>
    <t>EQX69</t>
  </si>
  <si>
    <t>น*** พ***์​ แ***ลบ</t>
  </si>
  <si>
    <t>09/01/2025 08:40</t>
  </si>
  <si>
    <t>754474178080</t>
  </si>
  <si>
    <t>09/01/2025 08:41</t>
  </si>
  <si>
    <t>EQX68</t>
  </si>
  <si>
    <t>จรัญญา ถาวร</t>
  </si>
  <si>
    <t>8/8 ซ.23 (วัดดาวเสด็จ) ถ.พหลโยธิน ต.ปากเพรียว อ.เมือง จ.สระบุรี18000 · ปากเพรียว/ Pak Phriao
เมืองสระบุรี/ Mueang Saraburiสระบุรี/ Saraburi
18000</t>
  </si>
  <si>
    <t>660917377272</t>
  </si>
  <si>
    <t>09/01/2025 08:37</t>
  </si>
  <si>
    <t>LEXPU0443822905</t>
  </si>
  <si>
    <t>EQX67</t>
  </si>
  <si>
    <t>ม***นแซ่ลี</t>
  </si>
  <si>
    <t>754402575080</t>
  </si>
  <si>
    <t>EQX66</t>
  </si>
  <si>
    <t>09/01/2025 08:31</t>
  </si>
  <si>
    <t>754467282026</t>
  </si>
  <si>
    <t>ชิฟฟ่อนไส้20ชิ้น</t>
  </si>
  <si>
    <t>EQX65</t>
  </si>
  <si>
    <t>คุณ​ อุทัย​  ธรรมมา</t>
  </si>
  <si>
    <t>71หมู่3 บ้านโนนสว่าง · โนนเมือง/ Non Mueang
โนนสัง/ Non Sangหนองบัวลำภู/ Nongbua Lamphu
39140</t>
  </si>
  <si>
    <t>39140</t>
  </si>
  <si>
    <t>660944933007</t>
  </si>
  <si>
    <t>09/01/2025 08:29</t>
  </si>
  <si>
    <t>TH36036PER261F</t>
  </si>
  <si>
    <t>EQX64</t>
  </si>
  <si>
    <t>ล***งดาว</t>
  </si>
  <si>
    <t>ประจวบคีรีขันธ์</t>
  </si>
  <si>
    <t>09/01/2025 08:23</t>
  </si>
  <si>
    <t>754466280024</t>
  </si>
  <si>
    <t>EQX62</t>
  </si>
  <si>
    <t>ท***ล</t>
  </si>
  <si>
    <t>******น (ข้างสถานี Bts กรมทหารราบที่ 11 หน้าทางเข้าอพาร์ทเม้นท์มีตู้กดน้ำ) แขวงอนุสาวรีย์ เขตบางเขน จังหวัดกรุงเทพมหานคร 10220</t>
  </si>
  <si>
    <t>10220</t>
  </si>
  <si>
    <t>73</t>
  </si>
  <si>
    <t>09/01/2025 08:17</t>
  </si>
  <si>
    <t>TH2568394781441</t>
  </si>
  <si>
    <t>09/01/2025 08:15</t>
  </si>
  <si>
    <t>EQX61</t>
  </si>
  <si>
    <t>ก***า เ***ยมสมบูรณ์</t>
  </si>
  <si>
    <t>09/01/2025 08:08</t>
  </si>
  <si>
    <t>754451778065</t>
  </si>
  <si>
    <t>EQX60</t>
  </si>
  <si>
    <t>บ***</t>
  </si>
  <si>
    <t>เทศบาลนครนครราชสีมา</t>
  </si>
  <si>
    <t>09/01/2025 08:04</t>
  </si>
  <si>
    <t>754496880001</t>
  </si>
  <si>
    <t>09/01/2025 08:05</t>
  </si>
  <si>
    <t>EQX59</t>
  </si>
  <si>
    <t>พัชรี อภิรักษ์</t>
  </si>
  <si>
    <t>899/19 หมู่ 2 ซอยประชาอุทิศ 90 ต.บ้านคลองสวน
พระสมุทรเจดีย์/ Phra Samut Chediสมุทรปราการ/ Samut Prakan
10290</t>
  </si>
  <si>
    <t>660814961843</t>
  </si>
  <si>
    <t>09/01/2025 07:50</t>
  </si>
  <si>
    <t>LEXPU0443823095</t>
  </si>
  <si>
    <t>EQX58</t>
  </si>
  <si>
    <t>ช***พร</t>
  </si>
  <si>
    <t>09/01/2025 07:47</t>
  </si>
  <si>
    <t>754497777073</t>
  </si>
  <si>
    <t>09/01/2025 07:48</t>
  </si>
  <si>
    <t>EQX57</t>
  </si>
  <si>
    <t>ส***รัตน์ ค***ญฐิติสกุล</t>
  </si>
  <si>
    <t>THT28031ED5WW5Z</t>
  </si>
  <si>
    <t>EQX56</t>
  </si>
  <si>
    <t>ต*** ล***าวัลย์ บ***งชีพ</t>
  </si>
  <si>
    <t>09/01/2025 07:44</t>
  </si>
  <si>
    <t>754460883035</t>
  </si>
  <si>
    <t>EQX54</t>
  </si>
  <si>
    <t>เ***  ศ***ชติ</t>
  </si>
  <si>
    <t>สมุทรสงคราม</t>
  </si>
  <si>
    <t>09/01/2025 07:43</t>
  </si>
  <si>
    <t>THT17031EDHDG4Z</t>
  </si>
  <si>
    <t>EQX53</t>
  </si>
  <si>
    <t>โ***กา</t>
  </si>
  <si>
    <t>09/01/2025 07:37</t>
  </si>
  <si>
    <t>754464179066</t>
  </si>
  <si>
    <t>EQX52</t>
  </si>
  <si>
    <t>อ***ุอร</t>
  </si>
  <si>
    <t>09/01/2025 07:24</t>
  </si>
  <si>
    <t>THT01051EDHDC0Z</t>
  </si>
  <si>
    <t>EQX51</t>
  </si>
  <si>
    <t>น******จ</t>
  </si>
  <si>
    <t>******นสุพรรณ, ซอย 3, ตำบลป่าแมต, อำเภอเมืองแพร่ ตำบลป่าแมต อำเภอเมืองแพร่ จังหวัดแพร่ 54000</t>
  </si>
  <si>
    <t>54000</t>
  </si>
  <si>
    <t>27</t>
  </si>
  <si>
    <t>09/01/2025 07:14</t>
  </si>
  <si>
    <t>TH2505402988295</t>
  </si>
  <si>
    <t>EQX50</t>
  </si>
  <si>
    <t>น***ัตน์ ห***ภา</t>
  </si>
  <si>
    <t>09/01/2025 07:11</t>
  </si>
  <si>
    <t>754445228040</t>
  </si>
  <si>
    <t>09/01/2025 07:12</t>
  </si>
  <si>
    <t>EQX49</t>
  </si>
  <si>
    <t>ซัน</t>
  </si>
  <si>
    <t>158 ม.4 · ป่าเลา/ Pa Lao
เมืองเพชรบูรณ์/ Mueang Phetchabunเพชรบูรณ์/ Phetchabun
67000</t>
  </si>
  <si>
    <t>67000</t>
  </si>
  <si>
    <t>660961569110</t>
  </si>
  <si>
    <t>09/01/2025 07:09</t>
  </si>
  <si>
    <t>LEXPU0443736971</t>
  </si>
  <si>
    <t>EQX48</t>
  </si>
  <si>
    <t>A***n N***samlee</t>
  </si>
  <si>
    <t>09/01/2025 07:06</t>
  </si>
  <si>
    <t>754474234043</t>
  </si>
  <si>
    <t>EQX47</t>
  </si>
  <si>
    <t>อ***ณา ศ***ันทร์มา</t>
  </si>
  <si>
    <t>754464118052</t>
  </si>
  <si>
    <t>ไม่มีไส้8ชิ้น 10กล่อง</t>
  </si>
  <si>
    <t>ยกลัง ชิฟฟ่อนไม่มีไส้ 8ชิ้น จำนวน 10กล่อง</t>
  </si>
  <si>
    <t>EQX46</t>
  </si>
  <si>
    <t>ณ***นม์ เ***เลิศ</t>
  </si>
  <si>
    <t>09/01/2025 07:04</t>
  </si>
  <si>
    <t>THT06031ECP7Q0Z</t>
  </si>
  <si>
    <t>ชิฟฟ่อน 3 กล่อง สุดฮอต วรรณวนัชเบเกอรี่</t>
  </si>
  <si>
    <t>EQX44</t>
  </si>
  <si>
    <t>บุษบากร เลิศเจริญลาภ</t>
  </si>
  <si>
    <t>101/69 ซ.2 มบ.วังใหม่วิลล่า ถ.เกาะกลอย-บ้านค่าย ม.4 ต.น้ำคอก
เมืองระยอง/ Mueang Rayongระยอง/ Rayong
21000</t>
  </si>
  <si>
    <t>21000</t>
  </si>
  <si>
    <t>660824612140</t>
  </si>
  <si>
    <t>09/01/2025 06:28</t>
  </si>
  <si>
    <t>LEXDO0124305315</t>
  </si>
  <si>
    <t>EQX43</t>
  </si>
  <si>
    <t>ภ***า ศ***ปโชติ</t>
  </si>
  <si>
    <t>THT01481ECKPB3Z</t>
  </si>
  <si>
    <t>EQX42</t>
  </si>
  <si>
    <t>S***nya D***n</t>
  </si>
  <si>
    <t>09/01/2025 06:19</t>
  </si>
  <si>
    <t>754498937006</t>
  </si>
  <si>
    <t>EQX41</t>
  </si>
  <si>
    <t>เ***ลักษณ์ อ***ูล</t>
  </si>
  <si>
    <t>09/01/2025 05:32</t>
  </si>
  <si>
    <t>754462226055</t>
  </si>
  <si>
    <t>09/01/2025 05:33</t>
  </si>
  <si>
    <t>EQX40</t>
  </si>
  <si>
    <t>น***ิมลพัทธ์ดีที่ยงธรรม</t>
  </si>
  <si>
    <t>09/01/2025 03:43</t>
  </si>
  <si>
    <t>THT28031ECMJ69Z</t>
  </si>
  <si>
    <t>EQX38</t>
  </si>
  <si>
    <t xml:space="preserve">อ***ลักษณ์ ใ***่อดี 2***.7ต.อ่าวนาง อ***ือง จ***ะบี่ </t>
  </si>
  <si>
    <t>กระบี่</t>
  </si>
  <si>
    <t>09/01/2025 02:25</t>
  </si>
  <si>
    <t>754469646066</t>
  </si>
  <si>
    <t>EQX36</t>
  </si>
  <si>
    <t>ว***ตรา ย***ณี</t>
  </si>
  <si>
    <t>09/01/2025 02:07</t>
  </si>
  <si>
    <t>754475649056</t>
  </si>
  <si>
    <t>EQX35</t>
  </si>
  <si>
    <t>ช** เ***ัคดี</t>
  </si>
  <si>
    <t>ตรัง</t>
  </si>
  <si>
    <t>09/01/2025 02:01</t>
  </si>
  <si>
    <t>THT73011ECYS32Z</t>
  </si>
  <si>
    <t>EQX31</t>
  </si>
  <si>
    <t>น***อรัญญา ม***กุล</t>
  </si>
  <si>
    <t>09/01/2025 01:07</t>
  </si>
  <si>
    <t>THT26051ECYQS6Z</t>
  </si>
  <si>
    <t>09/01/2025 01:19</t>
  </si>
  <si>
    <t>EQX30</t>
  </si>
  <si>
    <t>ป***วีร์  ท***</t>
  </si>
  <si>
    <t>09/01/2025 00:52</t>
  </si>
  <si>
    <t>754405822015</t>
  </si>
  <si>
    <t>EQX29</t>
  </si>
  <si>
    <t>ส***รณี ท***าก</t>
  </si>
  <si>
    <t>09/01/2025 00:51</t>
  </si>
  <si>
    <t>THT68121ECAEJ3Z</t>
  </si>
  <si>
    <t>EQX27</t>
  </si>
  <si>
    <t>เ* เ*</t>
  </si>
  <si>
    <t>09/01/2025 00:42</t>
  </si>
  <si>
    <t>754465239010</t>
  </si>
  <si>
    <t>09/01/2025 00:43</t>
  </si>
  <si>
    <t>EQX26</t>
  </si>
  <si>
    <t>ญ***นท์ เ***ับ</t>
  </si>
  <si>
    <t>09/01/2025 00:40</t>
  </si>
  <si>
    <t>754404444054</t>
  </si>
  <si>
    <t>EQX25</t>
  </si>
  <si>
    <t>ก***า  อ***จุดพันธ์</t>
  </si>
  <si>
    <t>09/01/2025 00:38</t>
  </si>
  <si>
    <t>754418431034</t>
  </si>
  <si>
    <t>EQX24</t>
  </si>
  <si>
    <t>ท***คับ</t>
  </si>
  <si>
    <t>09/01/2025 00:24</t>
  </si>
  <si>
    <t>754459430060</t>
  </si>
  <si>
    <t>09/01/2025 00:26</t>
  </si>
  <si>
    <t>ครีมฮอร์นเนยสด ตัวดังในTikTok  1กล่อง มี6ชิ้น ได้3รส วรรณวนัช</t>
  </si>
  <si>
    <t>EQX21</t>
  </si>
  <si>
    <t>มิ่งขวัญ สุดสงวน ขวัญ</t>
  </si>
  <si>
    <t>เลขที่ 132/3 ถ.คลองตาเค็ดตะวันออก ต.ปากน้ำ · ปากน้ำ/ Pak Nam
เมืองสมุทรปราการ/ Mueang Samut Prakanสมุทรปราการ/ Samut Prakan
10270</t>
  </si>
  <si>
    <t>10270</t>
  </si>
  <si>
    <t>660994122645</t>
  </si>
  <si>
    <t>08/01/2025 23:46</t>
  </si>
  <si>
    <t>LEXPU0443742960</t>
  </si>
  <si>
    <t>08/01/2025 23:45</t>
  </si>
  <si>
    <t>EQX20</t>
  </si>
  <si>
    <t>คันธิมา ไกรคงจิตต์</t>
  </si>
  <si>
    <t>142 ถนน พุทธบูชา · ในเมือง/ Nai Mueang
เมืองพิษณุโลก/ Mueang Phitsanulokพิษณุโลก/ Phitsanulok
65000</t>
  </si>
  <si>
    <t>65000</t>
  </si>
  <si>
    <t>660642355661</t>
  </si>
  <si>
    <t>08/01/2025 23:40</t>
  </si>
  <si>
    <t>LEXDO0124299028</t>
  </si>
  <si>
    <t>EQX19</t>
  </si>
  <si>
    <t>ย***</t>
  </si>
  <si>
    <t>08/01/2025 23:39</t>
  </si>
  <si>
    <t>754485501066</t>
  </si>
  <si>
    <t>EQX18</t>
  </si>
  <si>
    <t>อ***าพร..อยู่บำรุง</t>
  </si>
  <si>
    <t>08/01/2025 23:20</t>
  </si>
  <si>
    <t>754411826044</t>
  </si>
  <si>
    <t>08/01/2025 23:21</t>
  </si>
  <si>
    <t>EQX16</t>
  </si>
  <si>
    <t>ณ***งษ์</t>
  </si>
  <si>
    <t>08/01/2025 23:03</t>
  </si>
  <si>
    <t>754460618030</t>
  </si>
  <si>
    <t>EQX15</t>
  </si>
  <si>
    <t>w***</t>
  </si>
  <si>
    <t>08/01/2025 23:01</t>
  </si>
  <si>
    <t>THT01261ECY428Z</t>
  </si>
  <si>
    <t>EQX14</t>
  </si>
  <si>
    <t>น***า จ***มั่น</t>
  </si>
  <si>
    <t>เทศบาลนครลำปาง</t>
  </si>
  <si>
    <t>08/01/2025 23:00</t>
  </si>
  <si>
    <t>754410519085</t>
  </si>
  <si>
    <t>EQX13</t>
  </si>
  <si>
    <t>จิราภรณ์ คงเหลือง</t>
  </si>
  <si>
    <t>ตลาดเชุมชนดั้งเดิมลานสกา. ต.กำโลน. อ.ลานสกา
ลานสกา/ Lan Sakaนครศรีธรรมราช/ Nakhon Si Thammarat
80230</t>
  </si>
  <si>
    <t>80230</t>
  </si>
  <si>
    <t>660982679832</t>
  </si>
  <si>
    <t>08/01/2025 22:46</t>
  </si>
  <si>
    <t>TH64036PCW8M5D</t>
  </si>
  <si>
    <t>EQX12</t>
  </si>
  <si>
    <t>ธ***รัตน์  ก***าป้อง</t>
  </si>
  <si>
    <t>08/01/2025 22:44</t>
  </si>
  <si>
    <t>THT37071ECYB28Z</t>
  </si>
  <si>
    <t>EQX11</t>
  </si>
  <si>
    <t>ส***รีย์</t>
  </si>
  <si>
    <t>08/01/2025 22:41</t>
  </si>
  <si>
    <t>754403029015</t>
  </si>
  <si>
    <t>EQX10</t>
  </si>
  <si>
    <t>น***พิศมัย  พ***</t>
  </si>
  <si>
    <t>08/01/2025 22:38</t>
  </si>
  <si>
    <t>754403530020</t>
  </si>
  <si>
    <t>ชิฟฟ่อนรวมรส ไม่มีไส้ เบเกอรี่ของฝาก ต้อนรับปีใหม่</t>
  </si>
  <si>
    <t>EQX9</t>
  </si>
  <si>
    <t>แสนคม กระจ่างโพธิ์</t>
  </si>
  <si>
    <t>229 ม.12 (ส่งบ้านดอน หลังสีเหลือง)ต.ธารปราสาท
โนนสูง/ Non Sungนครราชสีมา/ Nakhon Ratchasima
30420</t>
  </si>
  <si>
    <t>30420</t>
  </si>
  <si>
    <t>660995052824</t>
  </si>
  <si>
    <t>TH27106PCWD56F</t>
  </si>
  <si>
    <t>EQX7</t>
  </si>
  <si>
    <t>ณัทรินีย์ ไสยเรือง</t>
  </si>
  <si>
    <t>122 ม.10 ต.บุ่งหวาย
วารินชำราบ/ Warin Chamrapอุบลราชธานี/ Ubon Ratchathani
34310</t>
  </si>
  <si>
    <t>34310</t>
  </si>
  <si>
    <t>660660032790</t>
  </si>
  <si>
    <t>08/01/2025 22:33</t>
  </si>
  <si>
    <t>TH31136PDB2X1H</t>
  </si>
  <si>
    <t>EQX6</t>
  </si>
  <si>
    <t>6******p</t>
  </si>
  <si>
    <t>****** คลองจั่น บางกะปิ กทม. 10240 แขวงคลองจั่น เขตบางกะปิ จังหวัดกรุงเทพมหานคร 10240</t>
  </si>
  <si>
    <t>10240</t>
  </si>
  <si>
    <t>49</t>
  </si>
  <si>
    <t>08/01/2025 22:32</t>
  </si>
  <si>
    <t>TH256830565431S</t>
  </si>
  <si>
    <t>EQX5</t>
  </si>
  <si>
    <t>เมื่อใช้เงินเก่ง ก็ต้องหาให้เก่งเหมือนกัน</t>
  </si>
  <si>
    <t>เคหะบางพลี 203/365  ถ.เทพารักษ์  · บางเสาธง/ Bang Sao Thong
บางเสาธง/ Bang Sao Thongสมุทรปราการ/ Samut Prakan
10570</t>
  </si>
  <si>
    <t>660894831093</t>
  </si>
  <si>
    <t>08/01/2025 22:30</t>
  </si>
  <si>
    <t>LEXDO0124304711</t>
  </si>
  <si>
    <t>EQX4</t>
  </si>
  <si>
    <t>ส***ี</t>
  </si>
  <si>
    <t>08/01/2025 22:29</t>
  </si>
  <si>
    <t>THT01161ECKZ17Z</t>
  </si>
  <si>
    <t>EQX2</t>
  </si>
  <si>
    <t>ส***ล บ***ือสันต์</t>
  </si>
  <si>
    <t>08/01/2025 22:19</t>
  </si>
  <si>
    <t>754453724080</t>
  </si>
  <si>
    <t>EQX1</t>
  </si>
  <si>
    <t>น** ข***นภา อ***จริญ</t>
  </si>
  <si>
    <t>THT10031ECY5A4Z</t>
  </si>
  <si>
    <t>ชิฟฟ่อนเค้ก ยอดฮิต8ชิ้น โปรพิเศษ ของฝากปีใหม่ พร้อมส่ง</t>
  </si>
  <si>
    <t>EQX0</t>
  </si>
  <si>
    <t>วรัญญา</t>
  </si>
  <si>
    <t>149/43 ม.2 ร้านเสริมสวยมาดามปู(ถ้าไม่รับสายส่งร้านเสริมสวยได้เลยค่ะ) · รังสิต/ Rangsit
ธัญบุรี/ Thanyaburiปทุมธานี/ Pathum Thani
12110</t>
  </si>
  <si>
    <t>12110</t>
  </si>
  <si>
    <t>660945422080</t>
  </si>
  <si>
    <t>LEXDO0124282798</t>
  </si>
  <si>
    <t>EQW99</t>
  </si>
  <si>
    <t>ส***ก ศ***ันทา</t>
  </si>
  <si>
    <t>08/01/2025 22:18</t>
  </si>
  <si>
    <t>754427944001</t>
  </si>
  <si>
    <t>ชิฟฟ่อน รวมรสไม่มีไส้ 3กล่อง ราคาส่ง วรรณวนัช</t>
  </si>
  <si>
    <t>EQW98</t>
  </si>
  <si>
    <t>LEXDO0124286079</t>
  </si>
  <si>
    <t>EQW97</t>
  </si>
  <si>
    <t>รังสิมา เงินเหรียญ</t>
  </si>
  <si>
    <t>บริษัทสยามแฟ็ทแอนด์ออยล์ เลขที่ 89 หมู่ 3 ถนนเศรษฐกิจ 1 ต.อ้อมน้อย
กระทุ่มแบน/ Krathum Baenสมุทรสาคร/ Samut Sakhon
74130</t>
  </si>
  <si>
    <t>74130</t>
  </si>
  <si>
    <t>660830514877</t>
  </si>
  <si>
    <t>08/01/2025 22:16</t>
  </si>
  <si>
    <t>LEXPU0443738059</t>
  </si>
  <si>
    <t>EQW96</t>
  </si>
  <si>
    <t>บ***ัย</t>
  </si>
  <si>
    <t>Bangkok</t>
  </si>
  <si>
    <t>08/01/2025 22:13</t>
  </si>
  <si>
    <t>754436544002</t>
  </si>
  <si>
    <t>EQW95</t>
  </si>
  <si>
    <t>ก***ิยา แ***ัวะ</t>
  </si>
  <si>
    <t>754478116070</t>
  </si>
  <si>
    <t>EQW94</t>
  </si>
  <si>
    <t>ว***นทร์ ภ***ทอง</t>
  </si>
  <si>
    <t>ตาก</t>
  </si>
  <si>
    <t>08/01/2025 22:12</t>
  </si>
  <si>
    <t>754454130006</t>
  </si>
  <si>
    <t>EQW93</t>
  </si>
  <si>
    <t>พนมพร สิงหเสนา</t>
  </si>
  <si>
    <t>7 หมู่ 6 บ้านพังซ่อน  (ฟาร์มวัว) ต.พังงู
หนองหาน/ Nong Hanอุดรธานี/ Udon Thani
41130</t>
  </si>
  <si>
    <t>41130</t>
  </si>
  <si>
    <t>660959908840</t>
  </si>
  <si>
    <t>08/01/2025 22:11</t>
  </si>
  <si>
    <t>TH38066PD6H10C</t>
  </si>
  <si>
    <t>EQW92</t>
  </si>
  <si>
    <t>วิไลลักษณ์ แชจันทร์</t>
  </si>
  <si>
    <t>45/121ซอยเพชรเกษม47 บางแคซิตี้คอนโด
บางแค/ Bang Khaeกรุงเทพมหานคร/ Bangkok
10160</t>
  </si>
  <si>
    <t>660922519482</t>
  </si>
  <si>
    <t>08/01/2025 22:04</t>
  </si>
  <si>
    <t>LEXDO0124304735</t>
  </si>
  <si>
    <t>EQW91</t>
  </si>
  <si>
    <t>เ***มภพ เ***์โท</t>
  </si>
  <si>
    <t>08/01/2025 22:03</t>
  </si>
  <si>
    <t>754430630074</t>
  </si>
  <si>
    <t>EQW90</t>
  </si>
  <si>
    <t>ม***</t>
  </si>
  <si>
    <t>THT12051ECJF99Z</t>
  </si>
  <si>
    <t>EQW89</t>
  </si>
  <si>
    <t>08/01/2025 22:00</t>
  </si>
  <si>
    <t>THT59061ECKW67Z</t>
  </si>
  <si>
    <t>EQW88</t>
  </si>
  <si>
    <t>ป***า ฟ***อย</t>
  </si>
  <si>
    <t>08/01/2025 21:55</t>
  </si>
  <si>
    <t>754483842066</t>
  </si>
  <si>
    <t>EQW87</t>
  </si>
  <si>
    <t>ม***ี ธ***นวรัตน์</t>
  </si>
  <si>
    <t>754498947005</t>
  </si>
  <si>
    <t>EQW86</t>
  </si>
  <si>
    <t>น******ง</t>
  </si>
  <si>
    <t>******ที่ 1 ซ.เรวดี17 ตำบลตลาดขวัญ อำเภอเมืองนนทบุรี จังหวัดนนทบุรี 11000</t>
  </si>
  <si>
    <t>11000</t>
  </si>
  <si>
    <t>06</t>
  </si>
  <si>
    <t>08/01/2025 21:51</t>
  </si>
  <si>
    <t>TH03016PDGNR0B1</t>
  </si>
  <si>
    <t>EQW85</t>
  </si>
  <si>
    <t>ฐ***วัลคุ์ ม***รบุรี</t>
  </si>
  <si>
    <t>08/01/2025 21:50</t>
  </si>
  <si>
    <t>754488647076</t>
  </si>
  <si>
    <t>EQW82</t>
  </si>
  <si>
    <t>ล*** อ***พิทักษ์</t>
  </si>
  <si>
    <t>08/01/2025 21:41</t>
  </si>
  <si>
    <t>754475043070</t>
  </si>
  <si>
    <t>EQW81</t>
  </si>
  <si>
    <t>ก***ัฐ ล***ภา</t>
  </si>
  <si>
    <t>08/01/2025 21:40</t>
  </si>
  <si>
    <t>754402932091</t>
  </si>
  <si>
    <t>EQW79</t>
  </si>
  <si>
    <t>ภรณ์สุดา เมืองชนะ</t>
  </si>
  <si>
    <t>126/6 ม.8 ซ.ทุ่งคา1 ต.พรหมโลก
พรหมคีรี/ Phrom  Khiriนครศรีธรรมราช/ Nakhon Si Thammarat
80320</t>
  </si>
  <si>
    <t>80320</t>
  </si>
  <si>
    <t>660958391552</t>
  </si>
  <si>
    <t>08/01/2025 21:36</t>
  </si>
  <si>
    <t>TH64026PDSNQ5A</t>
  </si>
  <si>
    <t>EQW78</t>
  </si>
  <si>
    <t>ช***า ว***ะโภคา</t>
  </si>
  <si>
    <t>08/01/2025 21:35</t>
  </si>
  <si>
    <t>754489410043</t>
  </si>
  <si>
    <t>EQW77</t>
  </si>
  <si>
    <t>ช***า</t>
  </si>
  <si>
    <t>08/01/2025 21:31</t>
  </si>
  <si>
    <t>754449047063</t>
  </si>
  <si>
    <t>EQW75</t>
  </si>
  <si>
    <t>ธ***ัลย์ เ***วงศ์เจริญ</t>
  </si>
  <si>
    <t>08/01/2025 21:20</t>
  </si>
  <si>
    <t>754413220002</t>
  </si>
  <si>
    <t>EQW73</t>
  </si>
  <si>
    <t>เ***นจิตร ค***น</t>
  </si>
  <si>
    <t>08/01/2025 21:16</t>
  </si>
  <si>
    <t>THT47141ECY0R8Z</t>
  </si>
  <si>
    <t>EQW72</t>
  </si>
  <si>
    <t>ณ***ัฒน์</t>
  </si>
  <si>
    <t>08/01/2025 21:14</t>
  </si>
  <si>
    <t>754414824026</t>
  </si>
  <si>
    <t>08/01/2025 21:15</t>
  </si>
  <si>
    <t>EQW71</t>
  </si>
  <si>
    <t>ก***ณ ท***ห้</t>
  </si>
  <si>
    <t>08/01/2025 21:12</t>
  </si>
  <si>
    <t>THT50011ECKST3Z</t>
  </si>
  <si>
    <t>EQW70</t>
  </si>
  <si>
    <t>ฉ***ชัย เ***สุวรรณ์</t>
  </si>
  <si>
    <t>754419911022</t>
  </si>
  <si>
    <t>EQW69</t>
  </si>
  <si>
    <t>น** ส***ตน์  ช***ี</t>
  </si>
  <si>
    <t>08/01/2025 21:09</t>
  </si>
  <si>
    <t>754486841076</t>
  </si>
  <si>
    <t>08/01/2025 21:13</t>
  </si>
  <si>
    <t>EQW68</t>
  </si>
  <si>
    <t>ส***  จ***ทวี</t>
  </si>
  <si>
    <t>08/01/2025 21:06</t>
  </si>
  <si>
    <t>754443524096</t>
  </si>
  <si>
    <t>08/01/2025 21:11</t>
  </si>
  <si>
    <t>EQW66</t>
  </si>
  <si>
    <t>จ***นา พ***ันทร์</t>
  </si>
  <si>
    <t>THT64011ECKQU3Z</t>
  </si>
  <si>
    <t>EQW65</t>
  </si>
  <si>
    <t>อ***รรณ ศ***ระจันทร์</t>
  </si>
  <si>
    <t>08/01/2025 21:04</t>
  </si>
  <si>
    <t>754481314042</t>
  </si>
  <si>
    <t>EQW64</t>
  </si>
  <si>
    <t>บ***ฤทธิ์      ท***่งศรี</t>
  </si>
  <si>
    <t>754477845074</t>
  </si>
  <si>
    <t>EQW63</t>
  </si>
  <si>
    <t>m***urous</t>
  </si>
  <si>
    <t>08/01/2025 21:01</t>
  </si>
  <si>
    <t>754491041076</t>
  </si>
  <si>
    <t>EQW62</t>
  </si>
  <si>
    <t>ซ***ี่</t>
  </si>
  <si>
    <t>08/01/2025 21:00</t>
  </si>
  <si>
    <t>754408322091</t>
  </si>
  <si>
    <t>EQW61</t>
  </si>
  <si>
    <t>พ* แ***ย่าง</t>
  </si>
  <si>
    <t>ลำพูน</t>
  </si>
  <si>
    <t>08/01/2025 20:51</t>
  </si>
  <si>
    <t>754409011053</t>
  </si>
  <si>
    <t>EQW60</t>
  </si>
  <si>
    <t>อ***ณา จ***ง</t>
  </si>
  <si>
    <t>08/01/2025 20:45</t>
  </si>
  <si>
    <t>754467238066</t>
  </si>
  <si>
    <t>EQW59</t>
  </si>
  <si>
    <t xml:space="preserve">น***ิดา แ***สุวรรณ์ </t>
  </si>
  <si>
    <t>08/01/2025 20:44</t>
  </si>
  <si>
    <t>754474045076</t>
  </si>
  <si>
    <t>EQW58</t>
  </si>
  <si>
    <t>อนิศา กุลบุตร</t>
  </si>
  <si>
    <t>149 ซ.ศูนย์การค้าแฮปปี้แลนด์สาย2 ลาดพร้าว คลองจั่ · คลองจั่น/ Khlong Chan
บางกะปิ/ Bang Kapiกรุงเทพมหานคร/ Bangkok
10240</t>
  </si>
  <si>
    <t>660637561196</t>
  </si>
  <si>
    <t>LEXPU0443742588</t>
  </si>
  <si>
    <t>EQW57</t>
  </si>
  <si>
    <t>เ***ิรินทร์  ป***้น</t>
  </si>
  <si>
    <t>08/01/2025 20:43</t>
  </si>
  <si>
    <t>THT60021ECKAU7Z</t>
  </si>
  <si>
    <t>EQW56</t>
  </si>
  <si>
    <t>ศ***รรณ แ***ุญเรือง</t>
  </si>
  <si>
    <t>08/01/2025 20:41</t>
  </si>
  <si>
    <t>754494234012</t>
  </si>
  <si>
    <t>EQW55</t>
  </si>
  <si>
    <t>ก******ย</t>
  </si>
  <si>
    <t>******อสามโคก ปทุมธานี 12160 ประเทศไทย ตำบลเชียงรากใหญ่ อำเภอสามโคก จังหวัดปทุมธานี 12160</t>
  </si>
  <si>
    <t>12160</t>
  </si>
  <si>
    <t>98</t>
  </si>
  <si>
    <t>08/01/2025 20:38</t>
  </si>
  <si>
    <t>TH254809380137C</t>
  </si>
  <si>
    <t>EQW54</t>
  </si>
  <si>
    <t>หฤทัย</t>
  </si>
  <si>
    <t>121/1 ม.1 ต.เขาแก้ว อ.สรรพยา - ชัยนาท · เขาแก้ว/ Khao Kaeo
สรรพยา/ Sapphayaชัยนาท/ Chainat
17150</t>
  </si>
  <si>
    <t>17150</t>
  </si>
  <si>
    <t>660872025216</t>
  </si>
  <si>
    <t>08/01/2025 20:31</t>
  </si>
  <si>
    <t>LEXPU0443691536</t>
  </si>
  <si>
    <t>สอดไส้2กล่อง</t>
  </si>
  <si>
    <t>ชิฟฟ่อนสอดไส้ 2 กล่อง 180</t>
  </si>
  <si>
    <t>EQW53</t>
  </si>
  <si>
    <t>น***ัญญา ม***มณี</t>
  </si>
  <si>
    <t>08/01/2025 20:29</t>
  </si>
  <si>
    <t>754413504062</t>
  </si>
  <si>
    <t>EQW52</t>
  </si>
  <si>
    <t>ศิริวรรณ อัคนิวรรณ</t>
  </si>
  <si>
    <t>109/74 เสนาวิลล่า ถ.พระยาสุเรนทร์ ซ.35 แขวงบางชัน กทม. 10510
คลองสามวา/ Klong Sam Waกรุงเทพมหานคร/ Bangkok
10510</t>
  </si>
  <si>
    <t>10510</t>
  </si>
  <si>
    <t>660869022011</t>
  </si>
  <si>
    <t>08/01/2025 20:25</t>
  </si>
  <si>
    <t>LEXDO0124304540</t>
  </si>
  <si>
    <t>EQW50</t>
  </si>
  <si>
    <t>ต***ตา ร***นภา</t>
  </si>
  <si>
    <t>08/01/2025 20:22</t>
  </si>
  <si>
    <t>THT15011ECN6P4Z</t>
  </si>
  <si>
    <t>EQW49</t>
  </si>
  <si>
    <t>ธ***าพร บ***มั่น</t>
  </si>
  <si>
    <t>08/01/2025 20:19</t>
  </si>
  <si>
    <t>754446643075</t>
  </si>
  <si>
    <t>EQW47</t>
  </si>
  <si>
    <t>ค******ก</t>
  </si>
  <si>
    <t>******นมทวน, อำเภอพนมทวน ตำบลพนมทวน อำเภอพนมทวน จังหวัดกาญจนบุรี 71140</t>
  </si>
  <si>
    <t>71140</t>
  </si>
  <si>
    <t>64</t>
  </si>
  <si>
    <t>08/01/2025 20:13</t>
  </si>
  <si>
    <t>TH13076PDM3Q2D</t>
  </si>
  <si>
    <t>EQW46</t>
  </si>
  <si>
    <t>08/01/2025 20:09</t>
  </si>
  <si>
    <t>754455744011</t>
  </si>
  <si>
    <t>EQW45</t>
  </si>
  <si>
    <t>ร***า ข***กุล</t>
  </si>
  <si>
    <t>754489905072</t>
  </si>
  <si>
    <t>EQW43</t>
  </si>
  <si>
    <t>งานศึกษาและพัฒนาด้านข้าว</t>
  </si>
  <si>
    <t>ศูนย์ศึกษาการพัฒนาภูพานอันเนื่องมาจากพระราชดำริ · ห้วยยาง/ Huai Yang
เมืองสกลนคร/ Mueang Sakon Nakhonสกลนคร/ Sakon Nakhon
47000</t>
  </si>
  <si>
    <t>47000</t>
  </si>
  <si>
    <t>660612727385</t>
  </si>
  <si>
    <t>08/01/2025 20:07</t>
  </si>
  <si>
    <t>LEXPU0443737636</t>
  </si>
  <si>
    <t>EQW42</t>
  </si>
  <si>
    <t>ร******์</t>
  </si>
  <si>
    <t>******ล ตาลเดี่ยว, อำเภอหล่มสัก ตำบลตาลเดี่ยว อำเภอหล่มสัก จังหวัดเพชรบูรณ์ 67110</t>
  </si>
  <si>
    <t>67110</t>
  </si>
  <si>
    <t>61</t>
  </si>
  <si>
    <t>08/01/2025 20:37</t>
  </si>
  <si>
    <t>TH63036PDPU12C</t>
  </si>
  <si>
    <t>EQW41</t>
  </si>
  <si>
    <t>อ******ม</t>
  </si>
  <si>
    <t>******.มาเจริญ แขวงหนองแขม เขตหนองแขม จังหวัดกรุงเทพมหานคร 10160</t>
  </si>
  <si>
    <t>41</t>
  </si>
  <si>
    <t>09/01/2025 08:46</t>
  </si>
  <si>
    <t>TH258986720396P</t>
  </si>
  <si>
    <t>08/01/2025 20:05</t>
  </si>
  <si>
    <t>EQW40</t>
  </si>
  <si>
    <t>LEXPU0443741263</t>
  </si>
  <si>
    <t>EQW38</t>
  </si>
  <si>
    <t>น***า  ร***ประหาต</t>
  </si>
  <si>
    <t>08/01/2025 20:04</t>
  </si>
  <si>
    <t>754488844056</t>
  </si>
  <si>
    <t>EQW37</t>
  </si>
  <si>
    <t>1***UM</t>
  </si>
  <si>
    <t>08/01/2025 20:01</t>
  </si>
  <si>
    <t>754413706082</t>
  </si>
  <si>
    <t>EQW35</t>
  </si>
  <si>
    <t>ส***ิดา  ห***ชื่น</t>
  </si>
  <si>
    <t>นราธิวาส</t>
  </si>
  <si>
    <t>08/01/2025 19:59</t>
  </si>
  <si>
    <t>754497723044</t>
  </si>
  <si>
    <t>EQW34</t>
  </si>
  <si>
    <t>มงคลรัตน์</t>
  </si>
  <si>
    <t>163/26 ซ.วุฒกาส31 ถ.วุฒกาส แขวงตลาดพลู เขตธนบุรี กรุงเทพ 10600ประตูสีน้ำเงิน สุดซอยซ้ายมือประตูสีน้ำเงิน
ธนบุรี/ Thon Buriกรุงเทพมหานคร/ Bangkok
10600</t>
  </si>
  <si>
    <t>660859981456</t>
  </si>
  <si>
    <t>08/01/2025 20:00</t>
  </si>
  <si>
    <t>LEXDO0124286153</t>
  </si>
  <si>
    <t>EQW31</t>
  </si>
  <si>
    <t>ค***เนื้ออุ่น,บารัน,หวาน</t>
  </si>
  <si>
    <t>08/01/2025 19:54</t>
  </si>
  <si>
    <t>754425320095</t>
  </si>
  <si>
    <t>08/01/2025 19:53</t>
  </si>
  <si>
    <t>EQW30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</si>
  <si>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</si>
  <si>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</si>
  <si>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74000</t>
  </si>
  <si>
    <t>660851404262</t>
  </si>
  <si>
    <t>08/01/2025 19:48</t>
  </si>
  <si>
    <t>LEXDO0124281213</t>
  </si>
  <si>
    <t>EQW29</t>
  </si>
  <si>
    <t>เ***วรรณ  บ***าค</t>
  </si>
  <si>
    <t>08/01/2025 19:44</t>
  </si>
  <si>
    <t>754480133013</t>
  </si>
  <si>
    <t>08/01/2025 19:45</t>
  </si>
  <si>
    <t>EQW28</t>
  </si>
  <si>
    <t>ส***ิ้ม</t>
  </si>
  <si>
    <t>08/01/2025 19:43</t>
  </si>
  <si>
    <t>754412743000</t>
  </si>
  <si>
    <t>EQW27</t>
  </si>
  <si>
    <t>คุณ วนิดา เด็ดพุดซา</t>
  </si>
  <si>
    <t>96 หมู่ 12 บ้านหนองยารักษ์ · พุดซา/ Phutsa
เมืองนครราชสีมา/ Mueng Nakorn Ratchasimaนครราชสีมา/ Nakhon Ratchasima
30000</t>
  </si>
  <si>
    <t>30000</t>
  </si>
  <si>
    <t>660934180382</t>
  </si>
  <si>
    <t>08/01/2025 19:38</t>
  </si>
  <si>
    <t>LEXDO0124299127</t>
  </si>
  <si>
    <t>EQW26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</si>
  <si>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</si>
  <si>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</si>
  <si>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</si>
  <si>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08/01/2025 19:36</t>
  </si>
  <si>
    <t>LEXDO0124304631</t>
  </si>
  <si>
    <t>EQW25</t>
  </si>
  <si>
    <t>ส***น ด***ี</t>
  </si>
  <si>
    <t>08/01/2025 19:35</t>
  </si>
  <si>
    <t>754466122093</t>
  </si>
  <si>
    <t>EQW24</t>
  </si>
  <si>
    <t>ธ***ันท์   จ***าคำ</t>
  </si>
  <si>
    <t>08/01/2025 19:30</t>
  </si>
  <si>
    <t>754412707086</t>
  </si>
  <si>
    <t>EQW23</t>
  </si>
  <si>
    <t>ว***วรรณ โ***</t>
  </si>
  <si>
    <t>08/01/2025 19:28</t>
  </si>
  <si>
    <t>THT06041ECJ4E9Z</t>
  </si>
  <si>
    <t>EQW22</t>
  </si>
  <si>
    <t>น***าว ม***การ ห***สนาม</t>
  </si>
  <si>
    <t>08/01/2025 19:27</t>
  </si>
  <si>
    <t>THT01481ECGMM7Z</t>
  </si>
  <si>
    <t>EQW20</t>
  </si>
  <si>
    <t>08/01/2025 19:25</t>
  </si>
  <si>
    <t>754423528040</t>
  </si>
  <si>
    <t>EQW19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</si>
  <si>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</si>
  <si>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</si>
  <si>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10250</t>
  </si>
  <si>
    <t>660988566698</t>
  </si>
  <si>
    <t>08/01/2025 19:22</t>
  </si>
  <si>
    <t>LEXDO0124304582</t>
  </si>
  <si>
    <t>EQW18</t>
  </si>
  <si>
    <t>กรณภา</t>
  </si>
  <si>
    <t>ธนาคารซีไอเอ็มบีไทย สำนักงานใหญ่ ถนนหลังสวน, 44 ถนน หลังสวน 44 · ลุมพินี/ Lumphini
ปทุมวัน/ Pathum Wanกรุงเทพมหานคร/ Bangkok
10330</t>
  </si>
  <si>
    <t>660877636292</t>
  </si>
  <si>
    <t>08/01/2025 19:09</t>
  </si>
  <si>
    <t>LEXDO0124288142</t>
  </si>
  <si>
    <t>EQW17</t>
  </si>
  <si>
    <t>คุณสุขใส วรพฤกษ์กิจ</t>
  </si>
  <si>
    <t>59/327 หมู่4 หมู่บ้านฉัตรมณี2 ถ.พุทธมณฑลสาย4 ซ.กระทุ่มล้ม27
สามพราน/ Sam Phranนครปฐม/ Nakhon Pathom
73220</t>
  </si>
  <si>
    <t>73220</t>
  </si>
  <si>
    <t>660811995078</t>
  </si>
  <si>
    <t>08/01/2025 19:07</t>
  </si>
  <si>
    <t>LEXPU0443737179</t>
  </si>
  <si>
    <t>08/01/2025 19:06</t>
  </si>
  <si>
    <t>EQW16</t>
  </si>
  <si>
    <t>น***ุมาภรณ์ ส***ตคำ</t>
  </si>
  <si>
    <t>754412633074</t>
  </si>
  <si>
    <t>EQW15</t>
  </si>
  <si>
    <t>08/01/2025 19:01</t>
  </si>
  <si>
    <t>THT04041ECFKQ1Z</t>
  </si>
  <si>
    <t>EQW14</t>
  </si>
  <si>
    <t>ฐ***ฎฐ์ แ***อง</t>
  </si>
  <si>
    <t>08/01/2025 19:00</t>
  </si>
  <si>
    <t>754476032004</t>
  </si>
  <si>
    <t>สอดไส้ 10กล่อง</t>
  </si>
  <si>
    <t>เซ็ตแบบเหมา ชิฟฟ่อนสอดไส้ ยกลัง 10 กล่อง</t>
  </si>
  <si>
    <t>EQW13</t>
  </si>
  <si>
    <t>ศ***ภรณ์</t>
  </si>
  <si>
    <t>08/01/2025 18:58</t>
  </si>
  <si>
    <t>754466839066</t>
  </si>
  <si>
    <t>EQW11</t>
  </si>
  <si>
    <t>สิรินทิพย์ กงจก</t>
  </si>
  <si>
    <t>203/286 หมู่บ้านนาวงวิลล่า · หลักหก/ Lak Hok
เมืองปทุมธานี/ Mueang Pathum Thaniปทุมธานี/ Pathum Thani
12000</t>
  </si>
  <si>
    <t>12000</t>
  </si>
  <si>
    <t>660651196263</t>
  </si>
  <si>
    <t>08/01/2025 18:53</t>
  </si>
  <si>
    <t>LEXPU0443740265</t>
  </si>
  <si>
    <t>EQW10</t>
  </si>
  <si>
    <t>TH63036PDPPS5C</t>
  </si>
  <si>
    <t>08/01/2025 18:52</t>
  </si>
  <si>
    <t>EQW7</t>
  </si>
  <si>
    <t>เ***งพิง ฟ***ิน</t>
  </si>
  <si>
    <t>08/01/2025 18:49</t>
  </si>
  <si>
    <t>754423441063</t>
  </si>
  <si>
    <t>EQW6</t>
  </si>
  <si>
    <t>วรรณา มีปั้น</t>
  </si>
  <si>
    <t>181 ม5 ต.หาดอาษา
สรรพยา/ Sapphayaชัยนาท/ Chainat
17150</t>
  </si>
  <si>
    <t>660817749789</t>
  </si>
  <si>
    <t>08/01/2025 18:45</t>
  </si>
  <si>
    <t>LEXDO0124285211</t>
  </si>
  <si>
    <t>EQW5</t>
  </si>
  <si>
    <t>S***it T***</t>
  </si>
  <si>
    <t>08/01/2025 18:42</t>
  </si>
  <si>
    <t>754433037046</t>
  </si>
  <si>
    <t>EQW3</t>
  </si>
  <si>
    <t>อ***ร้ตน์  พ***สวัสดิ์</t>
  </si>
  <si>
    <t>08/01/2025 18:40</t>
  </si>
  <si>
    <t>THT01011ECF4Z3Z</t>
  </si>
  <si>
    <t>EQW2</t>
  </si>
  <si>
    <t>ร***สมายท์</t>
  </si>
  <si>
    <t>08/01/2025 18:31</t>
  </si>
  <si>
    <t>754456241066</t>
  </si>
  <si>
    <t>EQW1</t>
  </si>
  <si>
    <t>พ***ศักดิ์ ฤ***สาร</t>
  </si>
  <si>
    <t>08/01/2025 18:29</t>
  </si>
  <si>
    <t>754451545002</t>
  </si>
  <si>
    <t>EQW0</t>
  </si>
  <si>
    <t>อ***ช ค***นกลาง</t>
  </si>
  <si>
    <t>08/01/2025 18:25</t>
  </si>
  <si>
    <t>THT27021ECPB86Z</t>
  </si>
  <si>
    <t>08/01/2025 18:26</t>
  </si>
  <si>
    <t>EQV99</t>
  </si>
  <si>
    <t>น.ส.สุกัลยา เกื้อกูล</t>
  </si>
  <si>
    <t>47/3 บ้านลุงอีด ม.2 ต.ไทรขึง อ.พระแสง จ.สุราษฎร์ธานี · ไทรขึง/ Sai Khueng
พระแสง/ Phrasaengสุราษฎร์ธานี/ Surat Thani
84210</t>
  </si>
  <si>
    <t>660838898066</t>
  </si>
  <si>
    <t>08/01/2025 18:16</t>
  </si>
  <si>
    <t>TH68166PDSJT0D</t>
  </si>
  <si>
    <t>EQV97</t>
  </si>
  <si>
    <t>ปราณี อาวบรี้</t>
  </si>
  <si>
    <t>54 ถนน ราชสีมา-ปักธงชัย บ้าน2ชั่น · ในเมือง/ Nai Mueang
เมืองนครราชสีมา/ Mueng Nakorn Ratchasimaนครราชสีมา/ Nakhon Ratchasima
30000</t>
  </si>
  <si>
    <t>660818353261</t>
  </si>
  <si>
    <t>08/01/2025 18:10</t>
  </si>
  <si>
    <t>LEXDO0124282223</t>
  </si>
  <si>
    <t>EQV95</t>
  </si>
  <si>
    <t>ศ***ร    ภ***ง</t>
  </si>
  <si>
    <t>08/01/2025 18:04</t>
  </si>
  <si>
    <t>754478446061</t>
  </si>
  <si>
    <t>EQV94</t>
  </si>
  <si>
    <t>ส***จ เ***าติ</t>
  </si>
  <si>
    <t>08/01/2025 18:02</t>
  </si>
  <si>
    <t>THT02061ECSQN0Z</t>
  </si>
  <si>
    <t>EQV93</t>
  </si>
  <si>
    <t>ก***ิการ์  ก***ชาติ</t>
  </si>
  <si>
    <t>08/01/2025 17:56</t>
  </si>
  <si>
    <t>754410247065</t>
  </si>
  <si>
    <t>EQV91</t>
  </si>
  <si>
    <t>ป***อม ท***ุ่ม</t>
  </si>
  <si>
    <t>08/01/2025 17:49</t>
  </si>
  <si>
    <t>754431830062</t>
  </si>
  <si>
    <t>EQV90</t>
  </si>
  <si>
    <t>ว***ชัย​ ท***</t>
  </si>
  <si>
    <t>08/01/2025 17:41</t>
  </si>
  <si>
    <t>754454433051</t>
  </si>
  <si>
    <t>ชิฟฟ่อนรวมรสสอดไส้ 6ชิ้น/กล่อง  เก็บได้ 15 วัน จำนวน 3 กล่อง  คละรสทั้งหมด</t>
  </si>
  <si>
    <t>EQV89</t>
  </si>
  <si>
    <t>ใบข้าว กฤษฏา ป้องนาค</t>
  </si>
  <si>
    <t>ถ.สุขสวัสดิ์ 96 ม.11 · ในคลองบางปลากด/ Nai Khlong Bang Pla Kot
พระสมุทรเจดีย์/ Phra Samut Chediสมุทรปราการ/ Samut Prakan
10290</t>
  </si>
  <si>
    <t>660808557874</t>
  </si>
  <si>
    <t>08/01/2025 17:40</t>
  </si>
  <si>
    <t>LEXPU0443699515</t>
  </si>
  <si>
    <t>08/01/2025 17:39</t>
  </si>
  <si>
    <t>EQV88</t>
  </si>
  <si>
    <t>ว***า ท***</t>
  </si>
  <si>
    <t>ศรีสะเกษ</t>
  </si>
  <si>
    <t>08/01/2025 17:36</t>
  </si>
  <si>
    <t>754422833076</t>
  </si>
  <si>
    <t>08/01/2025 17:34</t>
  </si>
  <si>
    <t>EQV85</t>
  </si>
  <si>
    <t>ก***าณัฐ ผ***หลือง</t>
  </si>
  <si>
    <t>08/01/2025 17:18</t>
  </si>
  <si>
    <t>754494010056</t>
  </si>
  <si>
    <t>EQV83</t>
  </si>
  <si>
    <t>ป***ารัตน์ ก***ระภานันท์</t>
  </si>
  <si>
    <t>08/01/2025 17:08</t>
  </si>
  <si>
    <t>754463245071</t>
  </si>
  <si>
    <t>EQV82</t>
  </si>
  <si>
    <t>ร***า จ***ร์แย้ม</t>
  </si>
  <si>
    <t>Pathum Thani</t>
  </si>
  <si>
    <t>08/01/2025 16:58</t>
  </si>
  <si>
    <t>754442443075</t>
  </si>
  <si>
    <t>EQV80</t>
  </si>
  <si>
    <t>ส***ย ส***ภิรมณ์</t>
  </si>
  <si>
    <t>08/01/2025 16:57</t>
  </si>
  <si>
    <t>THT24051ECHUB3Z</t>
  </si>
  <si>
    <t>EQV79</t>
  </si>
  <si>
    <t>ภ***วดี ว***ชาลี</t>
  </si>
  <si>
    <t>08/01/2025 16:48</t>
  </si>
  <si>
    <t>THT33051ECKG81Z</t>
  </si>
  <si>
    <t>EQV78</t>
  </si>
  <si>
    <t>ช***กาญจน์  เ***ิตร์ธนาลัย</t>
  </si>
  <si>
    <t>แพร่</t>
  </si>
  <si>
    <t>08/01/2025 16:45</t>
  </si>
  <si>
    <t>THT51011ECKFN3Z</t>
  </si>
  <si>
    <t>EQV77</t>
  </si>
  <si>
    <t>พ***า บ***รม</t>
  </si>
  <si>
    <t>08/01/2025 16:34</t>
  </si>
  <si>
    <t>754404016026</t>
  </si>
  <si>
    <t>EQV76</t>
  </si>
  <si>
    <t>น***น่อย  ส***สุทธิ์</t>
  </si>
  <si>
    <t>08/01/2025 16:29</t>
  </si>
  <si>
    <t>754477540003</t>
  </si>
  <si>
    <t>EQV75</t>
  </si>
  <si>
    <t>ก***ณา เ***่ยมบาง</t>
  </si>
  <si>
    <t>08/01/2025 16:21</t>
  </si>
  <si>
    <t>THT58061ECXYR0Z</t>
  </si>
  <si>
    <t>EQV71</t>
  </si>
  <si>
    <t>พนิดา</t>
  </si>
  <si>
    <t>164/9หมู่3 ถ.บ้านกล้วยไทรน้ิอย ต.พิมลราช อ.บางบัวทอง
บางบัวทอง/ Bang Bua Thongนนทบุรี/ Nonthaburi
11110</t>
  </si>
  <si>
    <t>11110</t>
  </si>
  <si>
    <t>660894894393</t>
  </si>
  <si>
    <t>08/01/2025 16:16</t>
  </si>
  <si>
    <t>LEXDO0124304799</t>
  </si>
  <si>
    <t>EQV70</t>
  </si>
  <si>
    <t>ว***พ็ญ   แ***ทองเจริญ</t>
  </si>
  <si>
    <t>754429909063</t>
  </si>
  <si>
    <t>EQV69</t>
  </si>
  <si>
    <t>ท***้วน พ***ันธ์</t>
  </si>
  <si>
    <t>08/01/2025 16:15</t>
  </si>
  <si>
    <t>754488739093</t>
  </si>
  <si>
    <t>EQV66</t>
  </si>
  <si>
    <t>น***วาน T***ok</t>
  </si>
  <si>
    <t>08/01/2025 16:08</t>
  </si>
  <si>
    <t>754425213032</t>
  </si>
  <si>
    <t>EQV62</t>
  </si>
  <si>
    <t>ว***า   บ***า</t>
  </si>
  <si>
    <t>08/01/2025 15:57</t>
  </si>
  <si>
    <t>754483646055</t>
  </si>
  <si>
    <t>08/01/2025 15:58</t>
  </si>
  <si>
    <t>EQV61</t>
  </si>
  <si>
    <t>ว***ชัย ท***น้ำ</t>
  </si>
  <si>
    <t>754436831083</t>
  </si>
  <si>
    <t>EQV60</t>
  </si>
  <si>
    <t>แ***นภา  แ***ก้ว</t>
  </si>
  <si>
    <t>08/01/2025 15:56</t>
  </si>
  <si>
    <t>THT39051ECXSJ6Z</t>
  </si>
  <si>
    <t>EQV59</t>
  </si>
  <si>
    <t>นิรมล  นราศรี</t>
  </si>
  <si>
    <t>58/25 ม4 ม.ศิริวรรณ · ธรรมศาลา/ Thammasala
เมืองนครปฐม/ Mueang Nakhon Pathomนครปฐม/ Nakhon Pathom
73000</t>
  </si>
  <si>
    <t>73000</t>
  </si>
  <si>
    <t>660819098516</t>
  </si>
  <si>
    <t>08/01/2025 16:06</t>
  </si>
  <si>
    <t>LEXPU0443740591</t>
  </si>
  <si>
    <t>08/01/2025 15:53</t>
  </si>
  <si>
    <t>EQV58</t>
  </si>
  <si>
    <t>พ***ตา ห***นหินลาด</t>
  </si>
  <si>
    <t>08/01/2025 15:44</t>
  </si>
  <si>
    <t>THT21061ECXG66Z</t>
  </si>
  <si>
    <t>08/01/2025 15:45</t>
  </si>
  <si>
    <t>EQV57</t>
  </si>
  <si>
    <t>ป***า ต***ุน</t>
  </si>
  <si>
    <t>08/01/2025 15:42</t>
  </si>
  <si>
    <t>754474335090</t>
  </si>
  <si>
    <t>08/01/2025 15:43</t>
  </si>
  <si>
    <t>EQV56</t>
  </si>
  <si>
    <t>อ***์ ด***ี</t>
  </si>
  <si>
    <t>08/01/2025 15:31</t>
  </si>
  <si>
    <t>754434133095</t>
  </si>
  <si>
    <t>EQV54</t>
  </si>
  <si>
    <t>ช***มา  ค***ีย  9***8 ต***ะบาทวังตวง อ***่พริก จ***ปาง  5***0</t>
  </si>
  <si>
    <t>08/01/2025 15:26</t>
  </si>
  <si>
    <t>THT49091ECWE34Z</t>
  </si>
  <si>
    <t>EQV53</t>
  </si>
  <si>
    <t>ก***ล</t>
  </si>
  <si>
    <t>08/01/2025 15:23</t>
  </si>
  <si>
    <t>754455530021</t>
  </si>
  <si>
    <t>EQV52</t>
  </si>
  <si>
    <t>ศ******)</t>
  </si>
  <si>
    <t>******เชียงใหม่-ลำพูน, ตำบล สารภี ตำบลสารภี อำเภอสารภี จังหวัดเชียงใหม่ 50140</t>
  </si>
  <si>
    <t>50140</t>
  </si>
  <si>
    <t>91</t>
  </si>
  <si>
    <t>08/01/2025 15:21</t>
  </si>
  <si>
    <t>TH259900732081W</t>
  </si>
  <si>
    <t>EQV51</t>
  </si>
  <si>
    <t>นารีรัตน์   จวนสันเทียะ</t>
  </si>
  <si>
    <t>1/96. ม.สวยริมบึง.  (ซ. 3. ) ซ. รามอินทรา67  แยก 12 แขวงท่าแร้ง.
บางเขน/ Bang Khenกรุงเทพมหานคร/ Bangkok
10230</t>
  </si>
  <si>
    <t>10230</t>
  </si>
  <si>
    <t>660859167217</t>
  </si>
  <si>
    <t>08/01/2025 15:24</t>
  </si>
  <si>
    <t>LEXPU0443733472</t>
  </si>
  <si>
    <t>08/01/2025 15:20</t>
  </si>
  <si>
    <t>EQV50</t>
  </si>
  <si>
    <t>มลิวรรณ พ่วงประเสริฐ</t>
  </si>
  <si>
    <t>85/1 หมู่ 14 · แสวงหา/ Sawaeng Ha
แสวงหา/ Sawaeng Haอ่างทอง/ Ang Thong
14150</t>
  </si>
  <si>
    <t>14150</t>
  </si>
  <si>
    <t>660639361564</t>
  </si>
  <si>
    <t>09/01/2025 09:37</t>
  </si>
  <si>
    <t>TH06056PER614A</t>
  </si>
  <si>
    <t>08/01/2025 15:13</t>
  </si>
  <si>
    <t>EQV48</t>
  </si>
  <si>
    <t>ทรวง  กิตติคุณศักดิ์</t>
  </si>
  <si>
    <t>49/72-73 ซ.แจ้งวัฒนะ28 ถ.แจ้งวัฒนะ · บางตลาด/ Bang Talat
ปากเกร็ด/ Pak Kretนนทบุรี/ Nonthaburi
11120</t>
  </si>
  <si>
    <t>11120</t>
  </si>
  <si>
    <t>660813007788</t>
  </si>
  <si>
    <t>08/01/2025 15:11</t>
  </si>
  <si>
    <t>LEXPU0443736676</t>
  </si>
  <si>
    <t>EQV47</t>
  </si>
  <si>
    <t>เสาวนีย์ อนันต์วิไลเลขา</t>
  </si>
  <si>
    <t>22 ซอยประชาอุทิศ 65 ถ.ประชาอุทิศ · บางมด/ Bang Mot
ทุ่งครุ/ Thung Khruกรุงเทพมหานคร/ Bangkok
10140</t>
  </si>
  <si>
    <t>10140</t>
  </si>
  <si>
    <t>660969406957</t>
  </si>
  <si>
    <t>08/01/2025 15:07</t>
  </si>
  <si>
    <t>LEXDO0124285785</t>
  </si>
  <si>
    <t>EQV46</t>
  </si>
  <si>
    <t>ช******์</t>
  </si>
  <si>
    <t>******ดีย์ ตำบลพระปฐมเจดีย์ อำเภอเมืองนครปฐม จังหวัดนครปฐม 73000</t>
  </si>
  <si>
    <t>99</t>
  </si>
  <si>
    <t>08/01/2025 15:34</t>
  </si>
  <si>
    <t>TH256813437805A</t>
  </si>
  <si>
    <t>08/01/2025 15:04</t>
  </si>
  <si>
    <t>EQV45</t>
  </si>
  <si>
    <t>ป***ดา  น***คร</t>
  </si>
  <si>
    <t>08/01/2025 15:01</t>
  </si>
  <si>
    <t>754459700083</t>
  </si>
  <si>
    <t>EQV44</t>
  </si>
  <si>
    <t>u***74624777248664</t>
  </si>
  <si>
    <t>08/01/2025 14:55</t>
  </si>
  <si>
    <t>754491611053</t>
  </si>
  <si>
    <t>EQV43</t>
  </si>
  <si>
    <t>ค***ุ้ม</t>
  </si>
  <si>
    <t>08/01/2025 14:51</t>
  </si>
  <si>
    <t>754484848073</t>
  </si>
  <si>
    <t>EQV42</t>
  </si>
  <si>
    <t>น***ิริพร ป***ันกลาง</t>
  </si>
  <si>
    <t>754469039052</t>
  </si>
  <si>
    <t>EQV41</t>
  </si>
  <si>
    <t>คนึง  จันทนะวรรธนะ</t>
  </si>
  <si>
    <t>161 หมู่  11   · วังลึก/ Wang Luek
สามชุก/ Sam Chukสุพรรณบุรี/ Suphanburi
72130</t>
  </si>
  <si>
    <t>72130</t>
  </si>
  <si>
    <t>660968504848</t>
  </si>
  <si>
    <t>TH14086PD28Z6B</t>
  </si>
  <si>
    <t>08/01/2025 14:50</t>
  </si>
  <si>
    <t>EQV40</t>
  </si>
  <si>
    <t>ม***พย์ ศ***วล</t>
  </si>
  <si>
    <t>สกลนคร</t>
  </si>
  <si>
    <t>08/01/2025 14:47</t>
  </si>
  <si>
    <t>754401436014</t>
  </si>
  <si>
    <t>EQV38</t>
  </si>
  <si>
    <t>ส***กานดา   ช***าติ</t>
  </si>
  <si>
    <t>08/01/2025 14:38</t>
  </si>
  <si>
    <t>THT28041ECG4U1Z</t>
  </si>
  <si>
    <t>EQV37</t>
  </si>
  <si>
    <t>บ***ย็น ไ***มภู</t>
  </si>
  <si>
    <t>08/01/2025 14:37</t>
  </si>
  <si>
    <t>THT54011ECKM17Z</t>
  </si>
  <si>
    <t>EQV36</t>
  </si>
  <si>
    <t>ม***รรณ ด***ถิ</t>
  </si>
  <si>
    <t>08/01/2025 14:32</t>
  </si>
  <si>
    <t>754446136091</t>
  </si>
  <si>
    <t>EQV35</t>
  </si>
  <si>
    <t>เ***รัตน์  ร***ียบดี</t>
  </si>
  <si>
    <t>08/01/2025 14:26</t>
  </si>
  <si>
    <t>THT01381ECWCX6Z</t>
  </si>
  <si>
    <t>EQV34</t>
  </si>
  <si>
    <t>ท***นัท แ***ำมูล</t>
  </si>
  <si>
    <t>08/01/2025 14:22</t>
  </si>
  <si>
    <t>754431242051</t>
  </si>
  <si>
    <t>EQV33</t>
  </si>
  <si>
    <t>แ***ดือน น***วม</t>
  </si>
  <si>
    <t>น่าน</t>
  </si>
  <si>
    <t>08/01/2025 14:16</t>
  </si>
  <si>
    <t>754481438012</t>
  </si>
  <si>
    <t>08/01/2025 14:17</t>
  </si>
  <si>
    <t>EQV32</t>
  </si>
  <si>
    <t>ว***วิสา ร***าษา</t>
  </si>
  <si>
    <t>08/01/2025 14:10</t>
  </si>
  <si>
    <t>THT58011ECXWJ6Z</t>
  </si>
  <si>
    <t>08/01/2025 14:15</t>
  </si>
  <si>
    <t>EQV31</t>
  </si>
  <si>
    <t>ด.ช วิชชุกร บุษบา</t>
  </si>
  <si>
    <t>14 หมู่5 ซอย3 ต.บ้านสาง อ.เมือง จ.พะเยา 56000
เมืองพะเยา/ Mueang Phayaoพะเยา/ Phayao
56000</t>
  </si>
  <si>
    <t>56000</t>
  </si>
  <si>
    <t>660965899759</t>
  </si>
  <si>
    <t>08/01/2025 14:11</t>
  </si>
  <si>
    <t>LEXPU0443745299</t>
  </si>
  <si>
    <t>EQV29</t>
  </si>
  <si>
    <t>ว***พัฒ บ***ร้าง</t>
  </si>
  <si>
    <t>08/01/2025 13:44</t>
  </si>
  <si>
    <t>THT19061ECKV19Z</t>
  </si>
  <si>
    <t>08/01/2025 14:08</t>
  </si>
  <si>
    <t>EQV28</t>
  </si>
  <si>
    <t>ส***ตต์ พ***ุ์ทับทิม</t>
  </si>
  <si>
    <t>08/01/2025 14:06</t>
  </si>
  <si>
    <t>754486444051</t>
  </si>
  <si>
    <t>08/01/2025 14:07</t>
  </si>
  <si>
    <t>EQV27</t>
  </si>
  <si>
    <t>K* ป***</t>
  </si>
  <si>
    <t>08/01/2025 14:12</t>
  </si>
  <si>
    <t>THT41011ECYHZ6Z</t>
  </si>
  <si>
    <t>08/01/2025 14:03</t>
  </si>
  <si>
    <t>EQV26</t>
  </si>
  <si>
    <t>แ***ิ้งสารภี น***วงศ์</t>
  </si>
  <si>
    <t>08/01/2025 13:59</t>
  </si>
  <si>
    <t>754451530022</t>
  </si>
  <si>
    <t>EQV25</t>
  </si>
  <si>
    <t>ป******ง</t>
  </si>
  <si>
    <t>******ไผ่, อำเภอรัตนบุรี ตำบลไผ่ อำเภอรัตนบุรี จังหวัดสุรินทร์ 32130</t>
  </si>
  <si>
    <t>32130</t>
  </si>
  <si>
    <t>70</t>
  </si>
  <si>
    <t>08/01/2025 14:14</t>
  </si>
  <si>
    <t>TH2531671456127</t>
  </si>
  <si>
    <t>08/01/2025 13:58</t>
  </si>
  <si>
    <t>EQV24</t>
  </si>
  <si>
    <t>อ***ัย เ***สีดา</t>
  </si>
  <si>
    <t>08/01/2025 13:46</t>
  </si>
  <si>
    <t>754479817033</t>
  </si>
  <si>
    <t>08/01/2025 13:47</t>
  </si>
  <si>
    <t>EQV23</t>
  </si>
  <si>
    <t>ช***า เ***ศรี</t>
  </si>
  <si>
    <t>754477217034</t>
  </si>
  <si>
    <t>EQV22</t>
  </si>
  <si>
    <t>ว***พร ศ***ษ์คำ</t>
  </si>
  <si>
    <t>08/01/2025 13:43</t>
  </si>
  <si>
    <t>THT11031ECG5V9Z</t>
  </si>
  <si>
    <t>โปรโมชั่นใหม่!! 3 กล่อง ชิฟฟ่อนเค้ก รวมรสยอดฮิต 1กล่องมี8ชิ้น เก็บได้ 15 วัน มีรสน้ำผึ้ง เมล่อน วนิลา มัลเบอร์รี่ อร่อยทุกรส</t>
  </si>
  <si>
    <t>EQV21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</si>
  <si>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</si>
  <si>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</si>
  <si>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</si>
  <si>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660898089450</t>
  </si>
  <si>
    <t>08/01/2025 13:42</t>
  </si>
  <si>
    <t>LEXPU0443698332</t>
  </si>
  <si>
    <t>EQV20</t>
  </si>
  <si>
    <t>น***ล</t>
  </si>
  <si>
    <t>08/01/2025 13:34</t>
  </si>
  <si>
    <t>THT64041ECVZ36Z</t>
  </si>
  <si>
    <t xml:space="preserve"> ชิฟฟ่อนมีไส้10ชิ้นคละรส</t>
  </si>
  <si>
    <t>EQV19</t>
  </si>
  <si>
    <t>พ****า</t>
  </si>
  <si>
    <t>******่5 ซ้ายมือครับ) ตำบลบางกุ้ง อำเภอเมืองสุราษฎร์ธานี จังหวัดสุราษฎร์ธานี 84000</t>
  </si>
  <si>
    <t>84000</t>
  </si>
  <si>
    <t>20</t>
  </si>
  <si>
    <t>08/01/2025 13:33</t>
  </si>
  <si>
    <t>TH68016PDG6V4J</t>
  </si>
  <si>
    <t>EQV18</t>
  </si>
  <si>
    <t>ส***ตรา ค***น</t>
  </si>
  <si>
    <t>08/01/2025 13:32</t>
  </si>
  <si>
    <t>THT26091ECU2F2Z</t>
  </si>
  <si>
    <t>EQV17</t>
  </si>
  <si>
    <t>ป***นุช  น***กลี้ยง</t>
  </si>
  <si>
    <t>พัทลุง</t>
  </si>
  <si>
    <t>08/01/2025 13:30</t>
  </si>
  <si>
    <t>THT74101ECYQE0Z</t>
  </si>
  <si>
    <t>EQV16</t>
  </si>
  <si>
    <t>เ***ค.</t>
  </si>
  <si>
    <t>08/01/2025 13:29</t>
  </si>
  <si>
    <t>THT27151ECU496Z</t>
  </si>
  <si>
    <t>EQV15</t>
  </si>
  <si>
    <t>อ***น โ***์เย็น</t>
  </si>
  <si>
    <t>08/01/2025 13:26</t>
  </si>
  <si>
    <t>THT12041ECT6H6Z</t>
  </si>
  <si>
    <t>EQV14</t>
  </si>
  <si>
    <t>ส***ญญา ช***ปลูก</t>
  </si>
  <si>
    <t>08/01/2025 13:23</t>
  </si>
  <si>
    <t>754467706075</t>
  </si>
  <si>
    <t>EQV13</t>
  </si>
  <si>
    <t>ป**</t>
  </si>
  <si>
    <t>08/01/2025 13:19</t>
  </si>
  <si>
    <t>THT74041ECM5U9Z</t>
  </si>
  <si>
    <t>EQV12</t>
  </si>
  <si>
    <t>กัญญาพร เปี่ยมวารี</t>
  </si>
  <si>
    <t>ม. นครทองเฟรสซิเด้น 196/136 ต. แพรกษาใหม่ อ. เมือง · แพรกษาใหม่/ Phraek Sa Mai
เมืองสมุทรปราการ/ Mueang Samut Prakanสมุทรปราการ/ Samut Prakan
10280</t>
  </si>
  <si>
    <t>10280</t>
  </si>
  <si>
    <t>660868237758</t>
  </si>
  <si>
    <t>08/01/2025 13:18</t>
  </si>
  <si>
    <t>LEXPU0443740193</t>
  </si>
  <si>
    <t>EQV11</t>
  </si>
  <si>
    <t>แนนซี่ ร้านเก้าการแว่น</t>
  </si>
  <si>
    <t>200/191 ถนน แจ้งวัฒนะ 200/191 ซอยแจ้งวัฒนะ10 ร้าน9การแว่น · ทุ่งสองห้อง/ Thung Song Hong
หลักสี่/ Lak Siกรุงเทพมหานคร/ Bangkok
10210</t>
  </si>
  <si>
    <t>10210</t>
  </si>
  <si>
    <t>660858090322</t>
  </si>
  <si>
    <t>08/01/2025 13:15</t>
  </si>
  <si>
    <t>LEXDO0124281489</t>
  </si>
  <si>
    <t>EQV9</t>
  </si>
  <si>
    <t>08/01/2025 13:08</t>
  </si>
  <si>
    <t>THT15031ECF8T3Z</t>
  </si>
  <si>
    <t>EQV8</t>
  </si>
  <si>
    <t>A**</t>
  </si>
  <si>
    <t>Ranong</t>
  </si>
  <si>
    <t>08/01/2025 13:07</t>
  </si>
  <si>
    <t>754402736006</t>
  </si>
  <si>
    <t>EQV7</t>
  </si>
  <si>
    <t>เ***ินี ม***วิเชียร</t>
  </si>
  <si>
    <t>754480523075</t>
  </si>
  <si>
    <t>EQV6</t>
  </si>
  <si>
    <t>ข***ตา ค***ล้า</t>
  </si>
  <si>
    <t>08/01/2025 13:04</t>
  </si>
  <si>
    <t>754462528083</t>
  </si>
  <si>
    <t>EQV5</t>
  </si>
  <si>
    <t>ด***ก. พ***จันทร์</t>
  </si>
  <si>
    <t>08/01/2025 12:57</t>
  </si>
  <si>
    <t>THT14051ECG9M7Z</t>
  </si>
  <si>
    <t>EQV4</t>
  </si>
  <si>
    <t>u***9108554734984</t>
  </si>
  <si>
    <t>08/01/2025 12:53</t>
  </si>
  <si>
    <t>754496612052</t>
  </si>
  <si>
    <t>EQV3</t>
  </si>
  <si>
    <t>รุจิรา จรัสอุทัย</t>
  </si>
  <si>
    <t>168/45 หมูบ้านดิเอมเมอรัลดิ์พาร์ค3 · พิมลราช/ Phimon Rat
บางบัวทอง/ Bang Bua Thongนนทบุรี/ Nonthaburi
11110</t>
  </si>
  <si>
    <t>660874529245</t>
  </si>
  <si>
    <t>08/01/2025 12:50</t>
  </si>
  <si>
    <t>LEXPU0443738668</t>
  </si>
  <si>
    <t>08/01/2025 12:49</t>
  </si>
  <si>
    <t>EQV2</t>
  </si>
  <si>
    <t>เนตรนภา ถูกจิตร</t>
  </si>
  <si>
    <t>135/1หมู่ 4 · แม่เหาะ/ Mae Ho
แม่สะเรียง/ Mae Sariangแม่ฮ่องสอน/ Mae Hong Son
58110</t>
  </si>
  <si>
    <t>58110</t>
  </si>
  <si>
    <t>660962935949</t>
  </si>
  <si>
    <t>08/01/2025 12:45</t>
  </si>
  <si>
    <t>TH55046PD9YS1D</t>
  </si>
  <si>
    <t>EQV1</t>
  </si>
  <si>
    <t>08/01/2025 12:38</t>
  </si>
  <si>
    <t>754440943012</t>
  </si>
  <si>
    <t>EQV0</t>
  </si>
  <si>
    <t>EQU99</t>
  </si>
  <si>
    <t>กิติพงษ์  พรหมบุตร</t>
  </si>
  <si>
    <t>ส่งตึกแถวตรงข้ามหน้าเอสอาคอมแพล้ค ส่งหลังตึกแถวลานจอดรถจ้าเลขที่2/17ต.หนองป่าครั่ง อ.เมือง จ.เชียงใหม่ 5000โทรหาจ้า · หนองป่าครั่ง/ Nong Pa Khrang
เมืองเชียงใหม่/ Mueang Chiang Maiเชียงใหม่/ Chiang Mai
50000</t>
  </si>
  <si>
    <t>50000</t>
  </si>
  <si>
    <t>660951458259</t>
  </si>
  <si>
    <t>LEXPU0443741806</t>
  </si>
  <si>
    <t>EQU98</t>
  </si>
  <si>
    <t>น***ุนทร ข***ักษ์</t>
  </si>
  <si>
    <t>754410414026</t>
  </si>
  <si>
    <t>EQU97</t>
  </si>
  <si>
    <t>ส***ตรา ส***รณชัย</t>
  </si>
  <si>
    <t>08/01/2025 12:29</t>
  </si>
  <si>
    <t>THT39011ECZ364Z</t>
  </si>
  <si>
    <t>EQU96</t>
  </si>
  <si>
    <t>พ***ร</t>
  </si>
  <si>
    <t>08/01/2025 12:28</t>
  </si>
  <si>
    <t>754412210020</t>
  </si>
  <si>
    <t>EQU94</t>
  </si>
  <si>
    <t>(******า</t>
  </si>
  <si>
    <t>****** ตำบลท่ามะกา อำเภอท่ามะกา จังหวัดกาญจนบุรี 71120</t>
  </si>
  <si>
    <t>71120</t>
  </si>
  <si>
    <t>36</t>
  </si>
  <si>
    <t>08/01/2025 12:56</t>
  </si>
  <si>
    <t>TH2550458399018</t>
  </si>
  <si>
    <t>08/01/2025 12:26</t>
  </si>
  <si>
    <t>EQU93</t>
  </si>
  <si>
    <t>754487739014</t>
  </si>
  <si>
    <t>EQU91</t>
  </si>
  <si>
    <t>น***ยม พ***</t>
  </si>
  <si>
    <t>08/01/2025 12:23</t>
  </si>
  <si>
    <t>754449124052</t>
  </si>
  <si>
    <t>EQU90</t>
  </si>
  <si>
    <t>แ***้องน้ำขิง</t>
  </si>
  <si>
    <t>08/01/2025 12:22</t>
  </si>
  <si>
    <t>754451532096</t>
  </si>
  <si>
    <t>EQU89</t>
  </si>
  <si>
    <t>จ***า ห***ชุม</t>
  </si>
  <si>
    <t>นครพนม</t>
  </si>
  <si>
    <t>08/01/2025 12:19</t>
  </si>
  <si>
    <t>754406829046</t>
  </si>
  <si>
    <t>EQU88</t>
  </si>
  <si>
    <t>เ******ะ</t>
  </si>
  <si>
    <t>******ไหม34, แขวงสายไหม, เขตสายไหม แขวงสายไหม เขตสายไหม จังหวัดกรุงเทพมหานคร 10220</t>
  </si>
  <si>
    <t>82</t>
  </si>
  <si>
    <t>TH250361979423U</t>
  </si>
  <si>
    <t>08/01/2025 12:17</t>
  </si>
  <si>
    <t>EQU87</t>
  </si>
  <si>
    <t>น้องเล็ก</t>
  </si>
  <si>
    <t>56/3 หมู่ที่4 ต.มหาสวัสดิ์
พุทธมณฑล/ Phutthamonthonนครปฐม/ Nakhon Pathom
73170</t>
  </si>
  <si>
    <t>73170</t>
  </si>
  <si>
    <t>660815872686</t>
  </si>
  <si>
    <t>08/01/2025 12:12</t>
  </si>
  <si>
    <t>LEXPU0443734224</t>
  </si>
  <si>
    <t>EQU86</t>
  </si>
  <si>
    <t>เ***าภา ส***ตน์</t>
  </si>
  <si>
    <t>08/01/2025 12:10</t>
  </si>
  <si>
    <t>THT30071ECTY48Z</t>
  </si>
  <si>
    <t>EQU85</t>
  </si>
  <si>
    <t>ป***้อย</t>
  </si>
  <si>
    <t>08/01/2025 12:07</t>
  </si>
  <si>
    <t>THT19061ECMA57Z</t>
  </si>
  <si>
    <t>EQU84</t>
  </si>
  <si>
    <t>ธ***.จอดนอก.</t>
  </si>
  <si>
    <t>08/01/2025 12:04</t>
  </si>
  <si>
    <t>754443735091</t>
  </si>
  <si>
    <t>EQU82</t>
  </si>
  <si>
    <t>น***ร    พ***ศษ</t>
  </si>
  <si>
    <t>08/01/2025 12:00</t>
  </si>
  <si>
    <t>THT74021ECA6A1Z</t>
  </si>
  <si>
    <t>EQU81</t>
  </si>
  <si>
    <t>สุเมธ เข็มทอง</t>
  </si>
  <si>
    <t>676 หมู่ 8 บ้านโคกนาคลอง  ต.หนองขวานกว้าง ( ร้านเกียวเตียวแม่แต๋ว) นิคมอุตสาหกรรมอุดรธานี
เมืองอุดรธานี/ Mueang Udon Thaniอุดรธานี/ Udon Thani
41000</t>
  </si>
  <si>
    <t>41000</t>
  </si>
  <si>
    <t>660808846725</t>
  </si>
  <si>
    <t>08/01/2025 11:54</t>
  </si>
  <si>
    <t>LEXDO0124282012</t>
  </si>
  <si>
    <t>EQU78</t>
  </si>
  <si>
    <t>ป***์</t>
  </si>
  <si>
    <t>08/01/2025 11:41</t>
  </si>
  <si>
    <t>THT01031ECK7G1Z</t>
  </si>
  <si>
    <t>EQU77</t>
  </si>
  <si>
    <t>รัตนวดี ทองสา</t>
  </si>
  <si>
    <t>181 หมู่ 1 ต.หนองรี
ลำสนธิ/ Lam Sonthiลพบุรี/ Lopburi
15190</t>
  </si>
  <si>
    <t>15190</t>
  </si>
  <si>
    <t>660954752212</t>
  </si>
  <si>
    <t>08/01/2025 11:36</t>
  </si>
  <si>
    <t>TH07106PD2374C</t>
  </si>
  <si>
    <t>EQU76</t>
  </si>
  <si>
    <t>จำนงค์ ดอนชาไพร</t>
  </si>
  <si>
    <t>97/9 ม.6 ต.สัตหีบ อ.สัตหีบ จ.ชลบุรี2018 · สัตหีบ/ Sattahip
สัตหีบ/ Sattahipชลบุรี/ Chonburi
20180</t>
  </si>
  <si>
    <t>20180</t>
  </si>
  <si>
    <t>660934943771</t>
  </si>
  <si>
    <t>LEXPU0443733869</t>
  </si>
  <si>
    <t>EQU75</t>
  </si>
  <si>
    <t>ปัทมา สุทธิพันธุ์</t>
  </si>
  <si>
    <t>103 หมู่ 7 · เดิมบาง/ Doem Bang
เดิมบางนางบวช/ Doem Bang Nang Buatสุพรรณบุรี/ Suphanburi
72120</t>
  </si>
  <si>
    <t>72120</t>
  </si>
  <si>
    <t>660897461906</t>
  </si>
  <si>
    <t>08/01/2025 11:35</t>
  </si>
  <si>
    <t>TH14026PCVYE8J</t>
  </si>
  <si>
    <t>EQU74</t>
  </si>
  <si>
    <t>ว***า ไ***ุรินทร์</t>
  </si>
  <si>
    <t>08/01/2025 11:30</t>
  </si>
  <si>
    <t>754404328090</t>
  </si>
  <si>
    <t>EQU73</t>
  </si>
  <si>
    <t>K***วา</t>
  </si>
  <si>
    <t>08/01/2025 11:29</t>
  </si>
  <si>
    <t>754490133014</t>
  </si>
  <si>
    <t>EQU72</t>
  </si>
  <si>
    <t>ส***ลี ข***ิยะ</t>
  </si>
  <si>
    <t>08/01/2025 11:28</t>
  </si>
  <si>
    <t>THT39031ECM9Q7Z</t>
  </si>
  <si>
    <t>EQU71</t>
  </si>
  <si>
    <t>ศ***ลักษณ์ ด***น</t>
  </si>
  <si>
    <t>08/01/2025 11:27</t>
  </si>
  <si>
    <t>THT26061ECK8Z3Z</t>
  </si>
  <si>
    <t>EQU70</t>
  </si>
  <si>
    <t>จ***รัตน์ ม***ณหา</t>
  </si>
  <si>
    <t>08/01/2025 11:13</t>
  </si>
  <si>
    <t>THT61031ECMBB3Z</t>
  </si>
  <si>
    <t>08/01/2025 11:14</t>
  </si>
  <si>
    <t>EQU69</t>
  </si>
  <si>
    <t>ส***พร ท***มบัติ</t>
  </si>
  <si>
    <t>754459531092</t>
  </si>
  <si>
    <t>EQU66</t>
  </si>
  <si>
    <t>น***มชาย เ***นขุนทด</t>
  </si>
  <si>
    <t>08/01/2025 11:03</t>
  </si>
  <si>
    <t>754476938014</t>
  </si>
  <si>
    <t>EQU64</t>
  </si>
  <si>
    <t>08/01/2025 10:34</t>
  </si>
  <si>
    <t>THT40051ECMEU5Z</t>
  </si>
  <si>
    <t>EQU63</t>
  </si>
  <si>
    <t>08/01/2025 10:32</t>
  </si>
  <si>
    <t>754422923041</t>
  </si>
  <si>
    <t>EQU62</t>
  </si>
  <si>
    <t>น***าวปรินดา  ต***ินดา</t>
  </si>
  <si>
    <t>THT10101ECTB78Z</t>
  </si>
  <si>
    <t>EQU61</t>
  </si>
  <si>
    <t>M***</t>
  </si>
  <si>
    <t>08/01/2025 10:30</t>
  </si>
  <si>
    <t>THT02031ECANT3Z</t>
  </si>
  <si>
    <t>08/01/2025 10:31</t>
  </si>
  <si>
    <t>EQU59</t>
  </si>
  <si>
    <t>ป***ี๊ด</t>
  </si>
  <si>
    <t>08/01/2025 10:21</t>
  </si>
  <si>
    <t>754440443050</t>
  </si>
  <si>
    <t>EQU58</t>
  </si>
  <si>
    <t>ค***อย</t>
  </si>
  <si>
    <t>08/01/2025 10:13</t>
  </si>
  <si>
    <t>754489443046</t>
  </si>
  <si>
    <t>EQU57</t>
  </si>
  <si>
    <t>ป******ี</t>
  </si>
  <si>
    <t>******นประชาสัมพันธ์ ตำบลช้างคลาน ตำบลช้างคลาน อำเภอเมืองเชียงใหม่ จังหวัดเชียงใหม่ 50100</t>
  </si>
  <si>
    <t>50100</t>
  </si>
  <si>
    <t>08/01/2025 10:10</t>
  </si>
  <si>
    <t>TH258053833625I</t>
  </si>
  <si>
    <t>08/01/2025 10:08</t>
  </si>
  <si>
    <t>EQU56</t>
  </si>
  <si>
    <t>08/01/2025 10:03</t>
  </si>
  <si>
    <t>754456622054</t>
  </si>
  <si>
    <t>EQU55</t>
  </si>
  <si>
    <t>ว***า เ***ทองสุข</t>
  </si>
  <si>
    <t>08/01/2025 10:01</t>
  </si>
  <si>
    <t>THT25011ECK8X9Z</t>
  </si>
  <si>
    <t>EQU54</t>
  </si>
  <si>
    <t>แ***อม</t>
  </si>
  <si>
    <t>08/01/2025 09:58</t>
  </si>
  <si>
    <t>THT13071ECAFP5Z</t>
  </si>
  <si>
    <t>EQU53</t>
  </si>
  <si>
    <t>จ***รนต์ ค***ม</t>
  </si>
  <si>
    <t>08/01/2025 09:55</t>
  </si>
  <si>
    <t>754440113066</t>
  </si>
  <si>
    <t>08/01/2025 09:56</t>
  </si>
  <si>
    <t>EQU52</t>
  </si>
  <si>
    <t>ส***ลี  ภ***งแก้ว</t>
  </si>
  <si>
    <t>08/01/2025 09:53</t>
  </si>
  <si>
    <t>THT10021ECP3F0Z</t>
  </si>
  <si>
    <t>EQU51</t>
  </si>
  <si>
    <t>ส***ญญา  ค***ุปผา</t>
  </si>
  <si>
    <t>08/01/2025 09:52</t>
  </si>
  <si>
    <t>THT05041ECM7B7Z</t>
  </si>
  <si>
    <t>EQU50</t>
  </si>
  <si>
    <t>สุภาพร  วงษ์เหม</t>
  </si>
  <si>
    <t>15/4 หมู่ 14. ซอย6 สายจัตวา หลังวัดวงษ์เพชร
เมืองลพบุรี/ Mueang Lop Buriลพบุรี/ Lopburi
15210</t>
  </si>
  <si>
    <t>15210</t>
  </si>
  <si>
    <t>660919034881</t>
  </si>
  <si>
    <t>08/01/2025 09:46</t>
  </si>
  <si>
    <t>LEXDO0124288210</t>
  </si>
  <si>
    <t>EQU49</t>
  </si>
  <si>
    <t>จ***นุตม์  แ***แสง</t>
  </si>
  <si>
    <t>08/01/2025 09:45</t>
  </si>
  <si>
    <t>THT51041ECJZR1Z</t>
  </si>
  <si>
    <t>ปังแถว4</t>
  </si>
  <si>
    <t>ขนมปังแถวทำแซนวิช ราคาส่ง ขนมปังนุ่ม 4แถว</t>
  </si>
  <si>
    <t>EQU48</t>
  </si>
  <si>
    <t>ธนิษฐา   กันสุข</t>
  </si>
  <si>
    <t>ม. 10บ้านใหม่มงคล ต. แม่เมาะอ. แม่เมาะ 186 ซอย13 · แม่เมาะ/ Mae Mo
แม่เมาะ/ Mae Moลำปาง/ Lampang
52220</t>
  </si>
  <si>
    <t>52220</t>
  </si>
  <si>
    <t>660806544256</t>
  </si>
  <si>
    <t>08/01/2025 09:42</t>
  </si>
  <si>
    <t>TH49026PDS1V3D</t>
  </si>
  <si>
    <t>EQU47</t>
  </si>
  <si>
    <t>ไพฑูรย์ ใจยะตา</t>
  </si>
  <si>
    <t>108ม.6 หมู่บ้านทุ่งสำราญ · สากเหล็ก/ Sak Lek
สากเหล็ก/ Sak Lekพิจิตร/ Phichit
66160</t>
  </si>
  <si>
    <t>66160</t>
  </si>
  <si>
    <t>660935436481</t>
  </si>
  <si>
    <t>08/01/2025 09:41</t>
  </si>
  <si>
    <t>LEXDO0124288373</t>
  </si>
  <si>
    <t>08/01/2025 09:40</t>
  </si>
  <si>
    <t>EQU46</t>
  </si>
  <si>
    <t>อลงกรณ์  วงษ์คำหาญ</t>
  </si>
  <si>
    <t>353/297 หมู่บ้านเดอะคอนเนค 7/1 ถ.เทิดราชัน สีกัน ดอนเมือง กทม 10210 · สีกัน/ Si Kan
ดอนเมือง/ Don Mueangกรุงเทพมหานคร/ Bangkok
10210</t>
  </si>
  <si>
    <t>660812502516</t>
  </si>
  <si>
    <t>08/01/2025 09:39</t>
  </si>
  <si>
    <t>LEXDO0124282419</t>
  </si>
  <si>
    <t>08/01/2025 09:37</t>
  </si>
  <si>
    <t>ชิฟฟ่อน10ชิ้น</t>
  </si>
  <si>
    <t>ขนมราคาส่ง ถูกกว่า เค้กชิฟฟอนไม่มีไส้ คละรส 10-100 ชิ้น (เก็บได้ 20 วัน) วรรณวนัช</t>
  </si>
  <si>
    <t>EQU45</t>
  </si>
  <si>
    <t>jsมายด์</t>
  </si>
  <si>
    <t>บ้านอยู่ข้างศาลากลางหมู่บ้านหลังคาสีม่วงหมู่ 3 บ้านหนองไทรตำบลหนองน้ำใส 30140 · หนองน้ำใส/ Nong Nam Sai
สีคิ้ว/ Sikhioนครราชสีมา/ Nakhon Ratchasima
30140</t>
  </si>
  <si>
    <t>30140</t>
  </si>
  <si>
    <t>660623691807</t>
  </si>
  <si>
    <t>LEXPU0443744038</t>
  </si>
  <si>
    <t>EQU44</t>
  </si>
  <si>
    <t>ร***นัทกับภูมิ</t>
  </si>
  <si>
    <t>THT53011ECKW85Z</t>
  </si>
  <si>
    <t>EQU43</t>
  </si>
  <si>
    <t>จ***กริช บ***ผู้ใหญ่สัญญา</t>
  </si>
  <si>
    <t>08/01/2025 09:30</t>
  </si>
  <si>
    <t>754489335014</t>
  </si>
  <si>
    <t>EQU42</t>
  </si>
  <si>
    <t>นางสาวพวงชมพู  พันธุวร</t>
  </si>
  <si>
    <t>สำนักงานเขตพื้นที่การศึกษาประถมศึกษาหนองคาย เขต 1
เมืองหนองคาย/ Mueang Nong Khaiหนองคาย/ Nong Khai
43000</t>
  </si>
  <si>
    <t>43000</t>
  </si>
  <si>
    <t>660972244594</t>
  </si>
  <si>
    <t>LEXDO0124284629</t>
  </si>
  <si>
    <t>EQU41</t>
  </si>
  <si>
    <t>ส* ป***มผล</t>
  </si>
  <si>
    <t>เทศบาลเมืองจันทบุรี</t>
  </si>
  <si>
    <t>08/01/2025 09:28</t>
  </si>
  <si>
    <t>THT22101ECM621Z</t>
  </si>
  <si>
    <t>EQU40</t>
  </si>
  <si>
    <t>ช***ร ฉ***</t>
  </si>
  <si>
    <t>08/01/2025 09:25</t>
  </si>
  <si>
    <t>THT68171ECYET6Z</t>
  </si>
  <si>
    <t>EQU39</t>
  </si>
  <si>
    <t>ธ***ักษณ์</t>
  </si>
  <si>
    <t>08/01/2025 09:22</t>
  </si>
  <si>
    <t>ขอฝอยทอง5กล่องนะค่ะ</t>
  </si>
  <si>
    <t>754426831034</t>
  </si>
  <si>
    <t>EQU38</t>
  </si>
  <si>
    <t>ส***พรย์ แ***ศิริ</t>
  </si>
  <si>
    <t>08/01/2025 09:21</t>
  </si>
  <si>
    <t>THT38091ECSUA8Z</t>
  </si>
  <si>
    <t>EQU37</t>
  </si>
  <si>
    <t>ฟ**</t>
  </si>
  <si>
    <t>08/01/2025 09:16</t>
  </si>
  <si>
    <t>754431227023</t>
  </si>
  <si>
    <t>EQU36</t>
  </si>
  <si>
    <t>L***phet C***grod</t>
  </si>
  <si>
    <t>08/01/2025 09:04</t>
  </si>
  <si>
    <t>THT18011ECF2B3Z</t>
  </si>
  <si>
    <t>EQU35</t>
  </si>
  <si>
    <t>ก***าพัชร ภ***ง</t>
  </si>
  <si>
    <t>เทศบาลเมืองมุกดาหาร</t>
  </si>
  <si>
    <t>08/01/2025 09:00</t>
  </si>
  <si>
    <t>754421535011</t>
  </si>
  <si>
    <t>EQU34</t>
  </si>
  <si>
    <t>น** ป***ชาติ  อ***รมหา</t>
  </si>
  <si>
    <t>THT21051ECM379Z</t>
  </si>
  <si>
    <t>EQU33</t>
  </si>
  <si>
    <t>ร*** ห*** ห*** ซ***ปอร์สโตร์</t>
  </si>
  <si>
    <t>08/01/2025 08:56</t>
  </si>
  <si>
    <t>754422237063</t>
  </si>
  <si>
    <t>EQU32</t>
  </si>
  <si>
    <t>บ***ร    ว***ะ</t>
  </si>
  <si>
    <t>08/01/2025 08:47</t>
  </si>
  <si>
    <t>754437916050</t>
  </si>
  <si>
    <t>EQU31</t>
  </si>
  <si>
    <t>จ***์จุฑาอบเชย</t>
  </si>
  <si>
    <t>THT01301ECAUU7Z</t>
  </si>
  <si>
    <t>EQU30</t>
  </si>
  <si>
    <t>คุณศรีสุมล พาทีทิน</t>
  </si>
  <si>
    <t>26/110 ถ.สุขสมบูรณ์ ต.ประจวบ
เมืองประจวบคีรีขันธ์/ Mueang Prachuap Khiri Khanประจวบคีรีขันธ์/ Prachuap Khiri Khan
77000</t>
  </si>
  <si>
    <t>77000</t>
  </si>
  <si>
    <t>660813851066</t>
  </si>
  <si>
    <t>08/01/2025 08:39</t>
  </si>
  <si>
    <t>TH19016PD8EC9A</t>
  </si>
  <si>
    <t>EQU29</t>
  </si>
  <si>
    <t>ส***วดี ใ***็นสุข</t>
  </si>
  <si>
    <t>เทศบาลนครนครปฐม</t>
  </si>
  <si>
    <t>08/01/2025 08:33</t>
  </si>
  <si>
    <t>THT15021ECKBK5Z</t>
  </si>
  <si>
    <t>EQU28</t>
  </si>
  <si>
    <t>ล**</t>
  </si>
  <si>
    <t>08/01/2025 08:30</t>
  </si>
  <si>
    <t>754438026016</t>
  </si>
  <si>
    <t>08/01/2025 08:31</t>
  </si>
  <si>
    <t>EQU27</t>
  </si>
  <si>
    <t>ร***สัก N*** t***oo</t>
  </si>
  <si>
    <t>08/01/2025 08:28</t>
  </si>
  <si>
    <t>754407937006</t>
  </si>
  <si>
    <t>EQU26</t>
  </si>
  <si>
    <t>อ*** ท***พิ่ม</t>
  </si>
  <si>
    <t>754431234060</t>
  </si>
  <si>
    <t>08/01/2025 08:27</t>
  </si>
  <si>
    <t>EQU24</t>
  </si>
  <si>
    <t>ข***ฐา พ***นํ้า</t>
  </si>
  <si>
    <t>08/01/2025 08:20</t>
  </si>
  <si>
    <t>754477248044</t>
  </si>
  <si>
    <t>08/01/2025 08:19</t>
  </si>
  <si>
    <t>EQU23</t>
  </si>
  <si>
    <t>อภิวัฒนา จันทร์สว่าง</t>
  </si>
  <si>
    <t>บ้านเลขที่96ซอยรามคำแหง62. แยกย่อย 1/7 ถนนรามคำแหง หัวหมาก เขตบางกะปิ กทม.10240 · คลองจั่น/ Khlong Chan
บางกะปิ/ Bang Kapiกรุงเทพมหานคร/ Bangkok
10240</t>
  </si>
  <si>
    <t>660891831313</t>
  </si>
  <si>
    <t>08/01/2025 08:18</t>
  </si>
  <si>
    <t>LEXDO0124288110</t>
  </si>
  <si>
    <t>EQU22</t>
  </si>
  <si>
    <t>อ***รวิไล</t>
  </si>
  <si>
    <t>754491741006</t>
  </si>
  <si>
    <t>EQU21</t>
  </si>
  <si>
    <t>08/01/2025 08:12</t>
  </si>
  <si>
    <t>THT27011ECJM79Z</t>
  </si>
  <si>
    <t>08/01/2025 08:13</t>
  </si>
  <si>
    <t>EQU20</t>
  </si>
  <si>
    <t>ป***ัสสร</t>
  </si>
  <si>
    <t>08/01/2025 08:08</t>
  </si>
  <si>
    <t>THT02041ECJ285Z</t>
  </si>
  <si>
    <t>08/01/2025 08:09</t>
  </si>
  <si>
    <t>EQU19</t>
  </si>
  <si>
    <t>อ******า</t>
  </si>
  <si>
    <t>******, หมู่ที่ 9, ตำบลเชียงรากน้อย, อำเภอบางปะอิน ตำบลเชียงรากน้อย อำเภอบางปะอิน จังหวัดพระนครศรีอยุธยา 13180</t>
  </si>
  <si>
    <t>13180</t>
  </si>
  <si>
    <t>09</t>
  </si>
  <si>
    <t>TH254880562214K</t>
  </si>
  <si>
    <t>EQU18</t>
  </si>
  <si>
    <t>ดวงกมล เจตนาไทกุล</t>
  </si>
  <si>
    <t>21/306 ม.พฤกษา 21 ซ.6/1 ถ.บ้านใหม่ ต.บางแม่นาง อ.บางใหญ่
บางใหญ่/ Bang Yaiนนทบุรี/ Nonthaburi
11140</t>
  </si>
  <si>
    <t>11140</t>
  </si>
  <si>
    <t>660894901689</t>
  </si>
  <si>
    <t>08/01/2025 08:04</t>
  </si>
  <si>
    <t>LEXDO0124282617</t>
  </si>
  <si>
    <t>ปถ6</t>
  </si>
  <si>
    <t>ขนมปังแถวหั่นสไลด์ วรรณวนัช ราคาถูก ครึ่งโหล</t>
  </si>
  <si>
    <t>EQU17</t>
  </si>
  <si>
    <t>ละออง เเก้วสูงเนิน</t>
  </si>
  <si>
    <t>ซอยเขาเทพนม 205/1 ม. 19 · คลองลานพัฒนา/ Khlong Lan Phatthana
คลองลาน/ Khlong Lanกำแพงเพชร/ Kamphaeng Phet
62180</t>
  </si>
  <si>
    <t>62180</t>
  </si>
  <si>
    <t>660649026902</t>
  </si>
  <si>
    <t>08/01/2025 08:00</t>
  </si>
  <si>
    <t>EQU16</t>
  </si>
  <si>
    <t>อ** ไ***่ง</t>
  </si>
  <si>
    <t>08/01/2025 07:58</t>
  </si>
  <si>
    <t>THT27141ECNVU5Z</t>
  </si>
  <si>
    <t>ไม่มีไส้ 10กล่อง</t>
  </si>
  <si>
    <t xml:space="preserve"> เซ็ตแบบเหมา ชิฟฟ่อนไม่มีไส้ ยกลัง 10 กล่อง</t>
  </si>
  <si>
    <t>EQU15</t>
  </si>
  <si>
    <t>อ***ี   แ***สม</t>
  </si>
  <si>
    <t>08/01/2025 07:50</t>
  </si>
  <si>
    <t>754460724054</t>
  </si>
  <si>
    <t>EQU14</t>
  </si>
  <si>
    <t>น***​ ม***ธรรม</t>
  </si>
  <si>
    <t>08/01/2025 07:35</t>
  </si>
  <si>
    <t>754486312086</t>
  </si>
  <si>
    <t>EQU13</t>
  </si>
  <si>
    <t>กมลวรรณ สกุลชาติ</t>
  </si>
  <si>
    <t>66/45 ซอยนารถสุนทร 8 ต.บางเมืองใหม่
เมืองสมุทรปราการ/ Mueang Samut Prakanสมุทรปราการ/ Samut Prakan
10270</t>
  </si>
  <si>
    <t>660859222249</t>
  </si>
  <si>
    <t>08/01/2025 07:28</t>
  </si>
  <si>
    <t>LEXDO0124288171</t>
  </si>
  <si>
    <t>EQU12</t>
  </si>
  <si>
    <t>กัลยาณี วันทวี</t>
  </si>
  <si>
    <t>149หมู่1 · ห้วยแถลง/ Huai Thalaeng
ห้วยแถลง/ Huai Thalaengนครราชสีมา/ Nakhon Ratchasima
30240</t>
  </si>
  <si>
    <t>30240</t>
  </si>
  <si>
    <t>660910372233</t>
  </si>
  <si>
    <t>08/01/2025 07:22</t>
  </si>
  <si>
    <t>TH27166PDT4M7A</t>
  </si>
  <si>
    <t>EQU11</t>
  </si>
  <si>
    <t>พิลาวรรณ ชาแนล</t>
  </si>
  <si>
    <t>88 หมู่ 2 บ้านอินทร์แปลง กุดเรือคำ · กุดเรือคำ/ Kut Ruea Kham
วานรนิวาส/ Wanon Niwatสกลนคร/ Sakon Nakhon
47120</t>
  </si>
  <si>
    <t>47120</t>
  </si>
  <si>
    <t>660969765353</t>
  </si>
  <si>
    <t>TH44086PDT063J</t>
  </si>
  <si>
    <t>EQU10</t>
  </si>
  <si>
    <t>4***มู่3ต.ท้ายบ้านใหม่อ.เมืองจ.สมุทรปราการ10280โรงไอติม</t>
  </si>
  <si>
    <t>08/01/2025 07:10</t>
  </si>
  <si>
    <t>THT02011EADCU0Z</t>
  </si>
  <si>
    <t>08/01/2025 07:11</t>
  </si>
  <si>
    <t>EQU9</t>
  </si>
  <si>
    <t>ศ***พร</t>
  </si>
  <si>
    <t>08/01/2025 06:53</t>
  </si>
  <si>
    <t>754361438854</t>
  </si>
  <si>
    <t>EQU8</t>
  </si>
  <si>
    <t>ท***ัลย์  เ***สวัสวิ์</t>
  </si>
  <si>
    <t>08/01/2025 06:51</t>
  </si>
  <si>
    <t>754324125844</t>
  </si>
  <si>
    <t>EQU7</t>
  </si>
  <si>
    <t>น***าวอุณาภรณ์ พ***สิทธิ์</t>
  </si>
  <si>
    <t>08/01/2025 06:36</t>
  </si>
  <si>
    <t>754399241853</t>
  </si>
  <si>
    <t>EQU6</t>
  </si>
  <si>
    <t>แ***</t>
  </si>
  <si>
    <t>08/01/2025 06:35</t>
  </si>
  <si>
    <t>754396234815</t>
  </si>
  <si>
    <t>EQU5</t>
  </si>
  <si>
    <t>ค***อ้</t>
  </si>
  <si>
    <t>08/01/2025 06:30</t>
  </si>
  <si>
    <t>754365915870</t>
  </si>
  <si>
    <t>08/01/2025 06:29</t>
  </si>
  <si>
    <t>EQU4</t>
  </si>
  <si>
    <t>ดวงเดือน</t>
  </si>
  <si>
    <t>229 ม.9 ต.พงษ์ประศาสน์ อ.บางสะพาน
บางสะพาน/ Bang Saphanประจวบคีรีขันธ์/ Prachuap Khiri Khan
77140</t>
  </si>
  <si>
    <t>77140</t>
  </si>
  <si>
    <t>660932493379</t>
  </si>
  <si>
    <t>08/01/2025 06:25</t>
  </si>
  <si>
    <t>TH19046P9CSG9B</t>
  </si>
  <si>
    <t>EQU2</t>
  </si>
  <si>
    <t>ส***ัว เ***นเงิน</t>
  </si>
  <si>
    <t>08/01/2025 06:05</t>
  </si>
  <si>
    <t>754328834840</t>
  </si>
  <si>
    <t>EQU0</t>
  </si>
  <si>
    <t>ภ***ร  ป***ิษฐค่าย</t>
  </si>
  <si>
    <t>08/01/2025 05:49</t>
  </si>
  <si>
    <t>754344424820</t>
  </si>
  <si>
    <t>08/01/2025 05:50</t>
  </si>
  <si>
    <t>EQT99</t>
  </si>
  <si>
    <t>น***จิราพัชร ค***วี</t>
  </si>
  <si>
    <t>08/01/2025 05:41</t>
  </si>
  <si>
    <t>754304438893</t>
  </si>
  <si>
    <t>EQT98</t>
  </si>
  <si>
    <t>ธ***มัย น***ักษ์</t>
  </si>
  <si>
    <t>08/01/2025 05:24</t>
  </si>
  <si>
    <t>754301743812</t>
  </si>
  <si>
    <t>EQT97</t>
  </si>
  <si>
    <t>วันทนา  แก้วเบี่ยง</t>
  </si>
  <si>
    <t>33/6 หมู่7ต.หมอนทอง
บางน้ำเปรี้ยว/ Bang Nam Priaoฉะเชิงเทรา/ Chachoengsao
24150</t>
  </si>
  <si>
    <t>660831106151</t>
  </si>
  <si>
    <t>09/01/2025 21:53</t>
  </si>
  <si>
    <t>08/01/2025 05:22</t>
  </si>
  <si>
    <t>EQT96</t>
  </si>
  <si>
    <t>เ***ยบ จ***รา</t>
  </si>
  <si>
    <t>08/01/2025 05:21</t>
  </si>
  <si>
    <t>754319321851</t>
  </si>
  <si>
    <t>EQT95</t>
  </si>
  <si>
    <t>กนกวรรณ ชาวบางงาม</t>
  </si>
  <si>
    <t>53/1 ม. 5 ต.วังน้ำซับ
ศรีประจันต์/ Si Prachanสุพรรณบุรี/ Suphanburi
72140</t>
  </si>
  <si>
    <t>72140</t>
  </si>
  <si>
    <t>660867983942</t>
  </si>
  <si>
    <t>08/01/2025 05:08</t>
  </si>
  <si>
    <t>TH14056P9DX56H</t>
  </si>
  <si>
    <t>EQT94</t>
  </si>
  <si>
    <t>L**</t>
  </si>
  <si>
    <t>08/01/2025 04:53</t>
  </si>
  <si>
    <t>754310921862</t>
  </si>
  <si>
    <t>EQT92</t>
  </si>
  <si>
    <t>ช******ล</t>
  </si>
  <si>
    <t>******เอน, อำเภออินทร์บุรี ตำบลทองเอน อำเภออินทร์บุรี จังหวัดสิงห์บุรี 16110</t>
  </si>
  <si>
    <t>16110</t>
  </si>
  <si>
    <t>62</t>
  </si>
  <si>
    <t>08/01/2025 04:08</t>
  </si>
  <si>
    <t>TH08066P8MDX6H</t>
  </si>
  <si>
    <t>EQT91</t>
  </si>
  <si>
    <t>S***atthanak S**</t>
  </si>
  <si>
    <t>Rayong</t>
  </si>
  <si>
    <t>08/01/2025 03:56</t>
  </si>
  <si>
    <t>754302441885</t>
  </si>
  <si>
    <t>EQT90</t>
  </si>
  <si>
    <t>ส***ญ โ***นธ์</t>
  </si>
  <si>
    <t>08/01/2025 03:50</t>
  </si>
  <si>
    <t>754306730800</t>
  </si>
  <si>
    <t>วรรณวนัช เบเกอรี่ [เซ็ต] ขนมเค้กเบาหวิว ขนาด 100 กรัม จำนวน 3กล่อง คละรสให้ (สินค้าเก็บได้ 20วัน)</t>
  </si>
  <si>
    <t>EQT89</t>
  </si>
  <si>
    <t>อัมพา  สุวรรณ</t>
  </si>
  <si>
    <t>291/1ม.10ต.ยุหว่า  อ.สันป่าตอง  จ.เชียงใหม่
สันป่าตอง/ San Pa Tongเชียงใหม่/ Chiang Mai
50120</t>
  </si>
  <si>
    <t>50120</t>
  </si>
  <si>
    <t>660850354427</t>
  </si>
  <si>
    <t>08/01/2025 03:36</t>
  </si>
  <si>
    <t>LEXPU0443391172</t>
  </si>
  <si>
    <t>EQT87</t>
  </si>
  <si>
    <t>อ***นา ศ***รงผล</t>
  </si>
  <si>
    <t>08/01/2025 02:43</t>
  </si>
  <si>
    <t>754300438850</t>
  </si>
  <si>
    <t>EQT85</t>
  </si>
  <si>
    <t>ว***รา ว***ยโย</t>
  </si>
  <si>
    <t>08/01/2025 01:05</t>
  </si>
  <si>
    <t>754355124843</t>
  </si>
  <si>
    <t>08/01/2025 01:08</t>
  </si>
  <si>
    <t>EQT84</t>
  </si>
  <si>
    <t>ภ***พรรณ</t>
  </si>
  <si>
    <t>Chanthaburi</t>
  </si>
  <si>
    <t>08/01/2025 00:54</t>
  </si>
  <si>
    <t>THT22081E9MD51Z</t>
  </si>
  <si>
    <t>EQT83</t>
  </si>
  <si>
    <t>ต่อง​  ปันคำ</t>
  </si>
  <si>
    <t>159 หมู่ 5 ตำบลบ้านต๊ำ
เมืองพะเยา/ Mueang Phayaoพะเยา/ Phayao
56000</t>
  </si>
  <si>
    <t>660814494933</t>
  </si>
  <si>
    <t>08/01/2025 00:49</t>
  </si>
  <si>
    <t>LEXDO0124222547</t>
  </si>
  <si>
    <t>EQT82</t>
  </si>
  <si>
    <t>ไ***ร น***ยสีทอง</t>
  </si>
  <si>
    <t>08/01/2025 00:47</t>
  </si>
  <si>
    <t>THT14011EA05P1Z</t>
  </si>
  <si>
    <t>EQT81</t>
  </si>
  <si>
    <t>จ***ียร</t>
  </si>
  <si>
    <t>754348229832</t>
  </si>
  <si>
    <t>EQT80</t>
  </si>
  <si>
    <t>08/01/2025 00:38</t>
  </si>
  <si>
    <t>754356143800</t>
  </si>
  <si>
    <t>EQT77</t>
  </si>
  <si>
    <t>08/01/2025 00:33</t>
  </si>
  <si>
    <t>TH64036P9MEN1D</t>
  </si>
  <si>
    <t>EQT76</t>
  </si>
  <si>
    <t>ท***วรรณ</t>
  </si>
  <si>
    <t>08/01/2025 00:31</t>
  </si>
  <si>
    <t>754315049876</t>
  </si>
  <si>
    <t>EQT75</t>
  </si>
  <si>
    <t>ป***าพร</t>
  </si>
  <si>
    <t>บึงกาฬ</t>
  </si>
  <si>
    <t>08/01/2025 00:30</t>
  </si>
  <si>
    <t>754368100894</t>
  </si>
  <si>
    <t>EQT74</t>
  </si>
  <si>
    <t>ฐิติพร พูลทอง</t>
  </si>
  <si>
    <t>3 ถนนเทศบาล 8 ตำบลตลาดหลวง
เมืองอ่างทอง/ Mueang Ang Thongอ่างทอง/ Ang Thong
14000</t>
  </si>
  <si>
    <t>14000</t>
  </si>
  <si>
    <t>08/01/2025 00:27</t>
  </si>
  <si>
    <t>EQT73</t>
  </si>
  <si>
    <t>พ***ทธิ์   ม***งาม</t>
  </si>
  <si>
    <t>08/01/2025 00:25</t>
  </si>
  <si>
    <t>754326326843</t>
  </si>
  <si>
    <t>08/01/2025 00:26</t>
  </si>
  <si>
    <t>EQT70</t>
  </si>
  <si>
    <t>ก***นี ร***ิติวิริยะ</t>
  </si>
  <si>
    <t>08/01/2025 00:18</t>
  </si>
  <si>
    <t>THT51011EAEV52Z</t>
  </si>
  <si>
    <t>08/01/2025 00:24</t>
  </si>
  <si>
    <t>EQT66</t>
  </si>
  <si>
    <t>ต*** ศ***ิทธิ์</t>
  </si>
  <si>
    <t>07/01/2025 23:47</t>
  </si>
  <si>
    <t>754300040863</t>
  </si>
  <si>
    <t>EQT65</t>
  </si>
  <si>
    <t>ก***ร์</t>
  </si>
  <si>
    <t>07/01/2025 23:35</t>
  </si>
  <si>
    <t>THT24011E9P563Z</t>
  </si>
  <si>
    <t>07/01/2025 23:34</t>
  </si>
  <si>
    <t>EQT64</t>
  </si>
  <si>
    <t>ช*** เ***เรียน</t>
  </si>
  <si>
    <t>07/01/2025 23:22</t>
  </si>
  <si>
    <t>THT15031EADAS4Z</t>
  </si>
  <si>
    <t>EQT63</t>
  </si>
  <si>
    <t>******3/3 ถ.ศรีนครินทร์ ต.บางเมือง อ.เมืองฯ จ.สมุทรปราการ 10270 ตำบลบางเมือง อำเภอเมืองสมุทรปราการ จังหวัดสมุทรปราการ 10270</t>
  </si>
  <si>
    <t>03</t>
  </si>
  <si>
    <t>07/01/2025 23:16</t>
  </si>
  <si>
    <t>TH02016P8TMY3C</t>
  </si>
  <si>
    <t>EQT62</t>
  </si>
  <si>
    <t>ปุ้ย-ปภาดา</t>
  </si>
  <si>
    <t>99/406 หมู่ 1 ซอย 9 A หมู่บ้านอมรชัย5 ต.บางน้ำจืด อ.เมือง
เมืองสมุทรสาคร/ Mueang Samut Sakhonสมุทรสาคร/ Samut Sakhon
74000</t>
  </si>
  <si>
    <t>660891309555</t>
  </si>
  <si>
    <t>07/01/2025 23:03</t>
  </si>
  <si>
    <t>LEXPU0443391513</t>
  </si>
  <si>
    <t>EQT61</t>
  </si>
  <si>
    <t>ข***ตา ผ***ดี</t>
  </si>
  <si>
    <t>07/01/2025 23:04</t>
  </si>
  <si>
    <t>754359217861</t>
  </si>
  <si>
    <t>EQT60</t>
  </si>
  <si>
    <t>นภาลัย ไทรฟัก</t>
  </si>
  <si>
    <t>ม.1 ต.สว่างอารมณ์
สว่างอารมณ์/ Sawang Aromอุทัยธานี/ Uthai Thani
61150</t>
  </si>
  <si>
    <t>61150</t>
  </si>
  <si>
    <t>660891697798</t>
  </si>
  <si>
    <t>07/01/2025 22:56</t>
  </si>
  <si>
    <t>TH57036P9CHA0A</t>
  </si>
  <si>
    <t>EQT59</t>
  </si>
  <si>
    <t>ภ***ทิพย์ ร***ประเสริฐพร</t>
  </si>
  <si>
    <t>07/01/2025 22:49</t>
  </si>
  <si>
    <t>754399831846</t>
  </si>
  <si>
    <t>EQT58</t>
  </si>
  <si>
    <t>เวภิกา ทองขาว</t>
  </si>
  <si>
    <t>299/30 เคหะร่มเกล้า33
ลาดกระบัง/ Lat Krabangกรุงเทพมหานคร/ Bangkok
10520</t>
  </si>
  <si>
    <t>10520</t>
  </si>
  <si>
    <t>660640103792</t>
  </si>
  <si>
    <t>07/01/2025 22:48</t>
  </si>
  <si>
    <t>BSTPU041937328</t>
  </si>
  <si>
    <t>EQT57</t>
  </si>
  <si>
    <t>ทิวาพร วงษ์พานิช</t>
  </si>
  <si>
    <t>308 วัดห้วยบง หมู่ 3 · ศรีวิชัย/ Si Wichai
ลี้/ Liลำพูน/ Lamphun
51110</t>
  </si>
  <si>
    <t>51110</t>
  </si>
  <si>
    <t>660907312382</t>
  </si>
  <si>
    <t>520004281053</t>
  </si>
  <si>
    <t>EQT56</t>
  </si>
  <si>
    <t>พ***ต เ***สัจจา</t>
  </si>
  <si>
    <t>07/01/2025 22:43</t>
  </si>
  <si>
    <t>754370038822</t>
  </si>
  <si>
    <t>EQT55</t>
  </si>
  <si>
    <t>p***ินทร ฤ***สําราญ</t>
  </si>
  <si>
    <t>07/01/2025 22:35</t>
  </si>
  <si>
    <t>754378446883</t>
  </si>
  <si>
    <t>EQT54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</si>
  <si>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</si>
  <si>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</si>
  <si>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</si>
  <si>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07/01/2025 22:24</t>
  </si>
  <si>
    <t>LEXDO0124221531</t>
  </si>
  <si>
    <t>EQT51</t>
  </si>
  <si>
    <t>ว******์</t>
  </si>
  <si>
    <t>******านกรด  (ซอย 14) ตำบลบ้านกรด อำเภอบางปะอิน จังหวัดพระนครศรีอยุธยา 13160</t>
  </si>
  <si>
    <t>13160</t>
  </si>
  <si>
    <t>90</t>
  </si>
  <si>
    <t>07/01/2025 22:47</t>
  </si>
  <si>
    <t>TH05066P8Y8S3D</t>
  </si>
  <si>
    <t>07/01/2025 22:17</t>
  </si>
  <si>
    <t>EQT50</t>
  </si>
  <si>
    <t>น่านฟ้า</t>
  </si>
  <si>
    <t>365/6 ม.2 ซอยบ้านควนมหาชัย · ควนศรี/ Khuan Si
บ้านนาสาร/ Ban Na Sanสุราษฎร์ธานี/ Surat Thani
84270</t>
  </si>
  <si>
    <t>84270</t>
  </si>
  <si>
    <t>660918260967</t>
  </si>
  <si>
    <t>07/01/2025 22:15</t>
  </si>
  <si>
    <t>TH68126P972J3F</t>
  </si>
  <si>
    <t>EQT49</t>
  </si>
  <si>
    <t>ณ***ิกา บ***ูรณ์</t>
  </si>
  <si>
    <t>07/01/2025 22:13</t>
  </si>
  <si>
    <t>THT05061EAESV8Z</t>
  </si>
  <si>
    <t>EQT48</t>
  </si>
  <si>
    <t>น***วรรณ</t>
  </si>
  <si>
    <t>07/01/2025 22:10</t>
  </si>
  <si>
    <t>754390231840</t>
  </si>
  <si>
    <t>EQT45</t>
  </si>
  <si>
    <t>ละอองเดือน</t>
  </si>
  <si>
    <t>111/13 เอื้ออาทรบึงกุ่ม ซ.เสรีไทย43 · คลองกุ่ม/ Khlong Kum
บึงกุ่ม/ Bueng Kumกรุงเทพมหานคร/ Bangkok
10240</t>
  </si>
  <si>
    <t>660966399479</t>
  </si>
  <si>
    <t>07/01/2025 22:09</t>
  </si>
  <si>
    <t>LEXDO0124206267</t>
  </si>
  <si>
    <t>07/01/2025 22:08</t>
  </si>
  <si>
    <t>EQT43</t>
  </si>
  <si>
    <t>ป***าย ส***พเพชร</t>
  </si>
  <si>
    <t>07/01/2025 21:59</t>
  </si>
  <si>
    <t>THT33041EAD0H8Z</t>
  </si>
  <si>
    <t>EQT42</t>
  </si>
  <si>
    <t>นายไพศาล ภู่ไพโรจน์นภาลัย</t>
  </si>
  <si>
    <t>32 ถ.คุรุสามัคคี ต.ปากช่อง · ปากช่อง/ Pak Chong
ปากช่อง/ Pak Chongนครราชสีมา/ Nakhon Ratchasima
30130</t>
  </si>
  <si>
    <t>660842828770</t>
  </si>
  <si>
    <t>07/01/2025 21:47</t>
  </si>
  <si>
    <t>LEXDO0124222321</t>
  </si>
  <si>
    <t>EQT41</t>
  </si>
  <si>
    <t>ส***าย  น***รรณ์</t>
  </si>
  <si>
    <t>07/01/2025 21:45</t>
  </si>
  <si>
    <t>THT60071EAET82Z</t>
  </si>
  <si>
    <t>EQT40</t>
  </si>
  <si>
    <t>ค***าย</t>
  </si>
  <si>
    <t>07/01/2025 21:42</t>
  </si>
  <si>
    <t>THT20071E9AQQ3Z</t>
  </si>
  <si>
    <t>EQT39</t>
  </si>
  <si>
    <t>น***รา อ***ผิว</t>
  </si>
  <si>
    <t>07/01/2025 21:38</t>
  </si>
  <si>
    <t>754355524834</t>
  </si>
  <si>
    <t>07/01/2025 21:39</t>
  </si>
  <si>
    <t>EQT38</t>
  </si>
  <si>
    <t>น***สวง ก***นประภา</t>
  </si>
  <si>
    <t>07/01/2025 21:37</t>
  </si>
  <si>
    <t>754396247824</t>
  </si>
  <si>
    <t>EQT37</t>
  </si>
  <si>
    <t>ณ***ุฒิ ห***กระโทก</t>
  </si>
  <si>
    <t>07/01/2025 21:33</t>
  </si>
  <si>
    <t>754339039801</t>
  </si>
  <si>
    <t>07/01/2025 21:34</t>
  </si>
  <si>
    <t>EQT36</t>
  </si>
  <si>
    <t>พ***ัย  ส***าลา</t>
  </si>
  <si>
    <t>07/01/2025 21:22</t>
  </si>
  <si>
    <t>754343745805</t>
  </si>
  <si>
    <t>EQT35</t>
  </si>
  <si>
    <t>ห*** ภ***วรรณ</t>
  </si>
  <si>
    <t>07/01/2025 21:20</t>
  </si>
  <si>
    <t>754301845824</t>
  </si>
  <si>
    <t>07/01/2025 21:21</t>
  </si>
  <si>
    <t>EQT34</t>
  </si>
  <si>
    <t>ชุติญาภัค ศุภดิฐโถคิน</t>
  </si>
  <si>
    <t>52 หมู่ 9 ซ.รวมพลังรัก ต.หนองโอ่ง
อู่ทอง/ U Thongสุพรรณบุรี/ Suphanburi
72160</t>
  </si>
  <si>
    <t>660839095515</t>
  </si>
  <si>
    <t>LEXDO0124222085</t>
  </si>
  <si>
    <t>EQT33</t>
  </si>
  <si>
    <t>ร***าพร ด***ร</t>
  </si>
  <si>
    <t>07/01/2025 21:19</t>
  </si>
  <si>
    <t>754375829841</t>
  </si>
  <si>
    <t>EQT32</t>
  </si>
  <si>
    <t>ก***า ย***านนท์</t>
  </si>
  <si>
    <t>754342432896</t>
  </si>
  <si>
    <t>EQT31</t>
  </si>
  <si>
    <t>******่าวัด, ตำบลโนนตาเถร, อำเภอโนนแดง ตำบลโนนตาเถร อำเภอโนนแดง จังหวัดนครราชสีมา 30360</t>
  </si>
  <si>
    <t>30360</t>
  </si>
  <si>
    <t>TH27246P8SDY4B</t>
  </si>
  <si>
    <t>07/01/2025 21:18</t>
  </si>
  <si>
    <t>EQT27</t>
  </si>
  <si>
    <t>จ***พร ส***ุม</t>
  </si>
  <si>
    <t>07/01/2025 21:07</t>
  </si>
  <si>
    <t>754314832891</t>
  </si>
  <si>
    <t>07/01/2025 21:11</t>
  </si>
  <si>
    <t>EQT26</t>
  </si>
  <si>
    <t>******โพธิ์ศรี, ตำบล โนนเพ็ก, อำเภอพยุห์ ตำบลโนนเพ็ก อำเภอพยุห์ จังหวัดศรีสะเกษ 33230</t>
  </si>
  <si>
    <t>33230</t>
  </si>
  <si>
    <t>07/01/2025 21:09</t>
  </si>
  <si>
    <t>TH30196P8R1W0D</t>
  </si>
  <si>
    <t>EQT25</t>
  </si>
  <si>
    <t>ธ******า</t>
  </si>
  <si>
    <t>****** เมือง จ สระบุรี ตำบลปากเพรียว อำเภอเมืองสระบุรี จังหวัดสระบุรี 18000</t>
  </si>
  <si>
    <t>TH10016P8EQS8A</t>
  </si>
  <si>
    <t>EQT24</t>
  </si>
  <si>
    <t>อมราภรณ์ ปากวิเศษ</t>
  </si>
  <si>
    <t>บ้านเลขที่11หมู่1 ตำบลไชยวาน
ไชยวาน/ Chai Wanอุดรธานี/ Udon Thani
41290</t>
  </si>
  <si>
    <t>41290</t>
  </si>
  <si>
    <t>660610701016</t>
  </si>
  <si>
    <t>07/01/2025 21:05</t>
  </si>
  <si>
    <t>TH38086P9DJG2A</t>
  </si>
  <si>
    <t>EQT22</t>
  </si>
  <si>
    <t>โ***กษณ์ประภา</t>
  </si>
  <si>
    <t>07/01/2025 21:03</t>
  </si>
  <si>
    <t>754363432885</t>
  </si>
  <si>
    <t>07/01/2025 21:04</t>
  </si>
  <si>
    <t>EQT21</t>
  </si>
  <si>
    <t>ส****ี</t>
  </si>
  <si>
    <t>****** 0 ตำบลนาจอมเทียน อำเภอสัตหีบ จังหวัดชลบุรี 20250</t>
  </si>
  <si>
    <t>20250</t>
  </si>
  <si>
    <t>58</t>
  </si>
  <si>
    <t>TH20086P8EUY1B</t>
  </si>
  <si>
    <t>07/01/2025 21:02</t>
  </si>
  <si>
    <t>EQT20</t>
  </si>
  <si>
    <t>นันท์นิชา ศรีนุตะโรจน์</t>
  </si>
  <si>
    <t>153/341ประชาอุทิศ89/1ประชาอุทิศทุ่งครุทุ่งครุ
ทุ่งครุ/ Thung Khruกรุงเทพมหานคร/ Bangkok
10140</t>
  </si>
  <si>
    <t>660846814660</t>
  </si>
  <si>
    <t>07/01/2025 21:00</t>
  </si>
  <si>
    <t>LEXDO0124204236</t>
  </si>
  <si>
    <t>EQT18</t>
  </si>
  <si>
    <t>ลาวัลย์ ศรีสุขโข</t>
  </si>
  <si>
    <t>หจก.โบนัสซัพพลาย 497/7 ม.11 ต.คลองด่าน
บางบ่อ/ Bang Boสมุทรปราการ/ Samut Prakan
10550</t>
  </si>
  <si>
    <t>10550</t>
  </si>
  <si>
    <t>660991594653</t>
  </si>
  <si>
    <t>07/01/2025 20:55</t>
  </si>
  <si>
    <t>LEXPU0443397738</t>
  </si>
  <si>
    <t>EQT17</t>
  </si>
  <si>
    <t>จ***ร์เพ็ญ เ***งคำ</t>
  </si>
  <si>
    <t>07/01/2025 20:53</t>
  </si>
  <si>
    <t>754314234881</t>
  </si>
  <si>
    <t>EQT15</t>
  </si>
  <si>
    <t>นิตยา มากแก้ว</t>
  </si>
  <si>
    <t>118 ม.5 · พญาขัน/ Phaya Khan
เมืองพัทลุง/ Mueang Phatthalungพัทลุง/ Phatthalung
93000</t>
  </si>
  <si>
    <t>93000</t>
  </si>
  <si>
    <t>660950353801</t>
  </si>
  <si>
    <t>07/01/2025 20:43</t>
  </si>
  <si>
    <t>TH74016P9DE52N</t>
  </si>
  <si>
    <t>EQT14</t>
  </si>
  <si>
    <t>ส***นทรา ส***ยทอง</t>
  </si>
  <si>
    <t>07/01/2025 20:38</t>
  </si>
  <si>
    <t>754382442870</t>
  </si>
  <si>
    <t>ชิฟฟ่อนเล็ก10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</si>
  <si>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</si>
  <si>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EQT13</t>
  </si>
  <si>
    <t>วรรณภา เนาวรัตน์</t>
  </si>
  <si>
    <t>107 ม.7 ต.แม่กุ · แม่กุ/ Mae Ku
แม่สอด/ Mae Sotตาก/ Tak
63110</t>
  </si>
  <si>
    <t>63110</t>
  </si>
  <si>
    <t>660927033977</t>
  </si>
  <si>
    <t>07/01/2025 20:34</t>
  </si>
  <si>
    <t>LEXPU0443347757</t>
  </si>
  <si>
    <t>EQT12</t>
  </si>
  <si>
    <t>สุธาสิณี ยงยืน</t>
  </si>
  <si>
    <t>17/2ม.1(บ้านยุ้งซอย4) · บ้านโพธิ์/ Ban Pho
เมืองนครราชสีมา/ Mueng Nakorn Ratchasimaนครราชสีมา/ Nakhon Ratchasima
30310</t>
  </si>
  <si>
    <t>660641716616</t>
  </si>
  <si>
    <t>07/01/2025 20:33</t>
  </si>
  <si>
    <t>LEXPU0443391669</t>
  </si>
  <si>
    <t>EQT11</t>
  </si>
  <si>
    <t>จ***ดี เ***สูงเนิน</t>
  </si>
  <si>
    <t>07/01/2025 20:29</t>
  </si>
  <si>
    <t>754336549805</t>
  </si>
  <si>
    <t>EQT10</t>
  </si>
  <si>
    <t>ดวงจันทร์ วงค์สองสัตย์</t>
  </si>
  <si>
    <t>60/9,61/9บริษัทเอ็มเค ต.ศรัษระจระเข้ใหญ่
บางเสาธง/ Bang Sao Thongสมุทรปราการ/ Samut Prakan
10570</t>
  </si>
  <si>
    <t>660838432046</t>
  </si>
  <si>
    <t>07/01/2025 20:32</t>
  </si>
  <si>
    <t>LEXDO0124222067</t>
  </si>
  <si>
    <t>EQT9</t>
  </si>
  <si>
    <t>รัชนี ทองถม</t>
  </si>
  <si>
    <t>814 หมู่บ้านพระปิ่น2 ซ.บรมราชชนนี70 แขวง ศาลาธรรมสพน์
ทวีวัฒนา/ Thawi Watthanaกรุงเทพมหานคร/ Bangkok
10170</t>
  </si>
  <si>
    <t>660896780592</t>
  </si>
  <si>
    <t>07/01/2025 20:28</t>
  </si>
  <si>
    <t>LEXDO0124208911</t>
  </si>
  <si>
    <t>EQT8</t>
  </si>
  <si>
    <t>สุจิตรา ภูมิอินทร์</t>
  </si>
  <si>
    <t>19/1ม.3 ต.ลำเลียง
กระบุรี/ Kra Buriระนอง/ Ranong
85110</t>
  </si>
  <si>
    <t>85110</t>
  </si>
  <si>
    <t>660813760774</t>
  </si>
  <si>
    <t>TH69046P8FQ54E</t>
  </si>
  <si>
    <t>EQT7</t>
  </si>
  <si>
    <t>07/01/2025 20:27</t>
  </si>
  <si>
    <t>754333649856</t>
  </si>
  <si>
    <t>EQT6</t>
  </si>
  <si>
    <t>ช***ชิดา จ***ง</t>
  </si>
  <si>
    <t>754334019876</t>
  </si>
  <si>
    <t>EQT5</t>
  </si>
  <si>
    <t>ขวัญ​เนตร​ ศรีเสมอ</t>
  </si>
  <si>
    <t>โรงพยาบาลประโคนชัย · ประโคนชัย/ Prakhon Chai
ประโคนชัย/ Prakhon Chaiบุรีรัมย์/ Buriram
31140</t>
  </si>
  <si>
    <t>31140</t>
  </si>
  <si>
    <t>660929356920</t>
  </si>
  <si>
    <t>07/01/2025 20:24</t>
  </si>
  <si>
    <t>BSTPU041937652</t>
  </si>
  <si>
    <t>EQT4</t>
  </si>
  <si>
    <t>จ* เ***จัง</t>
  </si>
  <si>
    <t>07/01/2025 20:18</t>
  </si>
  <si>
    <t>754349643876</t>
  </si>
  <si>
    <t>EQT3</t>
  </si>
  <si>
    <t>07/01/2025 20:15</t>
  </si>
  <si>
    <t>THT63031EA0GY9Z</t>
  </si>
  <si>
    <t>EQT2</t>
  </si>
  <si>
    <t>น***ียา ป***ังข์</t>
  </si>
  <si>
    <t>07/01/2025 20:12</t>
  </si>
  <si>
    <t>754341839834</t>
  </si>
  <si>
    <t>EQT1</t>
  </si>
  <si>
    <t>ท***ีย์​   ก***ย์</t>
  </si>
  <si>
    <t>754314822844</t>
  </si>
  <si>
    <t>EQS99</t>
  </si>
  <si>
    <t>ช***ญ เ***ยงน้อย</t>
  </si>
  <si>
    <t>07/01/2025 20:10</t>
  </si>
  <si>
    <t>754376341806</t>
  </si>
  <si>
    <t>EQS98</t>
  </si>
  <si>
    <t>EQS97</t>
  </si>
  <si>
    <t>หมวย</t>
  </si>
  <si>
    <t>201หมู่10ต.ปากปวน อ.วังสะพุง จ.เลย
วังสะพุง/ Wang Saphungเลย/ Loei
42130</t>
  </si>
  <si>
    <t>42130</t>
  </si>
  <si>
    <t>660649670905</t>
  </si>
  <si>
    <t>07/01/2025 20:08</t>
  </si>
  <si>
    <t>TH39096P8TD66E</t>
  </si>
  <si>
    <t>EQS96</t>
  </si>
  <si>
    <t>ค***็ชร ก***ันทึก</t>
  </si>
  <si>
    <t>07/01/2025 20:05</t>
  </si>
  <si>
    <t>754327146801</t>
  </si>
  <si>
    <t>EQS95</t>
  </si>
  <si>
    <t>เ***พิชชา ศ***ิ์ศิริรัตน์ ค***บว์</t>
  </si>
  <si>
    <t>07/01/2025 20:01</t>
  </si>
  <si>
    <t>754307430833</t>
  </si>
  <si>
    <t>EQS94</t>
  </si>
  <si>
    <t>ส***ศิณี ห***าน</t>
  </si>
  <si>
    <t>07/01/2025 19:57</t>
  </si>
  <si>
    <t>754364438833</t>
  </si>
  <si>
    <t>EQS92</t>
  </si>
  <si>
    <t>โชติกา เพ็ชร์จิตร</t>
  </si>
  <si>
    <t>12หมู่9(ติดกับบ้านผู้ใหญ่ ล็อค8) · ผ่านศึก/ Phan Suek
อรัญประเทศ/ Aranyaprathetสระแก้ว/ Sa Kaeo
27120</t>
  </si>
  <si>
    <t>27120</t>
  </si>
  <si>
    <t>660648079849</t>
  </si>
  <si>
    <t>07/01/2025 19:56</t>
  </si>
  <si>
    <t>LEXDO0124208845</t>
  </si>
  <si>
    <t>EQS90</t>
  </si>
  <si>
    <t>อ***์ลักษณ์ น***ิริทิภากรณ์</t>
  </si>
  <si>
    <t>07/01/2025 19:47</t>
  </si>
  <si>
    <t>754330544822</t>
  </si>
  <si>
    <t>07/01/2025 19:48</t>
  </si>
  <si>
    <t>EQS89</t>
  </si>
  <si>
    <t>ว***พร    โ***วัฒน์</t>
  </si>
  <si>
    <t>THT01091E9NK14Z</t>
  </si>
  <si>
    <t>EQS88</t>
  </si>
  <si>
    <t>ณ***ทัย ห***นทองหลาง</t>
  </si>
  <si>
    <t>07/01/2025 19:43</t>
  </si>
  <si>
    <t>THT27011E9NW88Z</t>
  </si>
  <si>
    <t>EQS86</t>
  </si>
  <si>
    <t>เ***</t>
  </si>
  <si>
    <t>07/01/2025 19:38</t>
  </si>
  <si>
    <t>754390243880</t>
  </si>
  <si>
    <t>EQS85</t>
  </si>
  <si>
    <t>นิตยา  พุทธธรรมรักษา</t>
  </si>
  <si>
    <t>2 พหลโยธิน 87 ซอย 2 ต.ประชาธิปัตย์ CKC 03 มหาวิทยาลัยเทคโนโลยีราชมงคลธัญบุรีศูนย์รังสิต
ธัญบุรี/ Thanyaburiปทุมธานี/ Pathum Thani
12130</t>
  </si>
  <si>
    <t>660867629682</t>
  </si>
  <si>
    <t>07/01/2025 19:37</t>
  </si>
  <si>
    <t>LEXDO0124205351</t>
  </si>
  <si>
    <t>ขนมปัง3แถว</t>
  </si>
  <si>
    <t>วรรณวนัช ขนมปังปอนด์ชนิดแผ่น 3 แถว100บาท</t>
  </si>
  <si>
    <t>EQS84</t>
  </si>
  <si>
    <t>ณ***ยาน์ ว***ษชนธีร์</t>
  </si>
  <si>
    <t>07/01/2025 19:36</t>
  </si>
  <si>
    <t>THT33121E9YWS2Z</t>
  </si>
  <si>
    <t>EQS83</t>
  </si>
  <si>
    <t>ธ***ร  เ***งคำ</t>
  </si>
  <si>
    <t>THT30031E9N707Z</t>
  </si>
  <si>
    <t>EQS82</t>
  </si>
  <si>
    <t>ส***ญดา  ท***นเทียะ</t>
  </si>
  <si>
    <t>07/01/2025 19:35</t>
  </si>
  <si>
    <t>THT16021E9AUS9Z</t>
  </si>
  <si>
    <t>07/01/2025 19:34</t>
  </si>
  <si>
    <t>EQS81</t>
  </si>
  <si>
    <t>น***เจนจิรา ร***์วงศ์</t>
  </si>
  <si>
    <t>07/01/2025 19:32</t>
  </si>
  <si>
    <t>754321121864</t>
  </si>
  <si>
    <t>EQS80</t>
  </si>
  <si>
    <t>ว***วรรณ์ ช***แก้ว</t>
  </si>
  <si>
    <t>07/01/2025 19:31</t>
  </si>
  <si>
    <t>THT01481E9P9F2Z</t>
  </si>
  <si>
    <t>EQS79</t>
  </si>
  <si>
    <t>น***า ค***ะเสริฐ</t>
  </si>
  <si>
    <t>754308334883</t>
  </si>
  <si>
    <t>EQS78</t>
  </si>
  <si>
    <t>น***น</t>
  </si>
  <si>
    <t>07/01/2025 19:30</t>
  </si>
  <si>
    <t>THT13051E9BEP7Z</t>
  </si>
  <si>
    <t>EQS77</t>
  </si>
  <si>
    <t>พัณณิตา​ สันตะจิตต์​</t>
  </si>
  <si>
    <t>79/53 ถนนเลียบคลองภาษีเจริญฝั่งใต้ · หนองแขม/ Nong Khaem
หนองแขม/ Nong Khaemกรุงเทพมหานคร/ Bangkok
10160</t>
  </si>
  <si>
    <t>660852512264</t>
  </si>
  <si>
    <t>LEXPU0443398174</t>
  </si>
  <si>
    <t>ขนมปังปอนด์ 1 แถว 20 แผ่น ขนมปังแถว ขนมปัง เก็บได้ 7-10 วัน 11 มิล</t>
  </si>
  <si>
    <t>EQS76</t>
  </si>
  <si>
    <t>ร้านที่8</t>
  </si>
  <si>
    <t>บรรเจิด   ภู่ระหงษ์</t>
  </si>
  <si>
    <t>74ม.9 · ดงขี้เหล็ก/ Dong Khilek
เมืองปราจีนบุรี/ Mueang Prachin Buriปราจีนบุรี/ Prachin Buri
25000</t>
  </si>
  <si>
    <t>25000</t>
  </si>
  <si>
    <t>660982012691</t>
  </si>
  <si>
    <t>07/01/2025 19:22</t>
  </si>
  <si>
    <t>LEXPU0443364555</t>
  </si>
  <si>
    <t>EQS75</t>
  </si>
  <si>
    <t>M***ie</t>
  </si>
  <si>
    <t>Samut Prakan</t>
  </si>
  <si>
    <t>07/01/2025 19:21</t>
  </si>
  <si>
    <t>754341841886</t>
  </si>
  <si>
    <t>07/01/2025 19:20</t>
  </si>
  <si>
    <t>EQS74</t>
  </si>
  <si>
    <t>น***ช      ช***ข</t>
  </si>
  <si>
    <t>07/01/2025 19:12</t>
  </si>
  <si>
    <t>754314114842</t>
  </si>
  <si>
    <t>ปังแถว8</t>
  </si>
  <si>
    <t>ขนมปังแถว8</t>
  </si>
  <si>
    <t>EQS73</t>
  </si>
  <si>
    <t>เ******์</t>
  </si>
  <si>
    <t>******.ศรีมงคล ตำบลศรีมงคล อำเภอไทรโยค จังหวัดกาญจนบุรี 71150</t>
  </si>
  <si>
    <t>71150</t>
  </si>
  <si>
    <t>51</t>
  </si>
  <si>
    <t>07/01/2025 19:08</t>
  </si>
  <si>
    <t>TH13056PDQZF4F</t>
  </si>
  <si>
    <t>EQS72</t>
  </si>
  <si>
    <t>ค******)</t>
  </si>
  <si>
    <t>****** อำเภอบ้านโพธิ์ ตำบลแสนภูดาษ อำเภอบ้านโพธิ์ จังหวัดฉะเชิงเทรา 24140</t>
  </si>
  <si>
    <t>24140</t>
  </si>
  <si>
    <t>56</t>
  </si>
  <si>
    <t>TH24056P94NN3P</t>
  </si>
  <si>
    <t>EQS71</t>
  </si>
  <si>
    <t>น***กร จ***ศิริเสถียร</t>
  </si>
  <si>
    <t>754382835813</t>
  </si>
  <si>
    <t>EQS70</t>
  </si>
  <si>
    <t>ว***ย   น***งห์</t>
  </si>
  <si>
    <t>07/01/2025 19:00</t>
  </si>
  <si>
    <t>754365830805</t>
  </si>
  <si>
    <t>EQS69</t>
  </si>
  <si>
    <t>ณ*** ท***าก</t>
  </si>
  <si>
    <t>จังหวัดสงขลา</t>
  </si>
  <si>
    <t>07/01/2025 18:52</t>
  </si>
  <si>
    <t>754384122833</t>
  </si>
  <si>
    <t>EQS68</t>
  </si>
  <si>
    <t>h***igan182</t>
  </si>
  <si>
    <t>07/01/2025 18:50</t>
  </si>
  <si>
    <t>THT01051E9P140Z</t>
  </si>
  <si>
    <t>EQS67</t>
  </si>
  <si>
    <t>ร******ว</t>
  </si>
  <si>
    <t>****** 49/1 ต. เสาธงหิน ตำบลเสาธงหิน อำเภอบางใหญ่ จังหวัดนนทบุรี 11140</t>
  </si>
  <si>
    <t>59</t>
  </si>
  <si>
    <t>07/01/2025 18:44</t>
  </si>
  <si>
    <t>TH259110542232S</t>
  </si>
  <si>
    <t>EQS66</t>
  </si>
  <si>
    <t>ก***ากร เ***งทอง</t>
  </si>
  <si>
    <t>07/01/2025 18:40</t>
  </si>
  <si>
    <t>THT10011E9NUA6Z</t>
  </si>
  <si>
    <t>EQS65</t>
  </si>
  <si>
    <t>โดนัท</t>
  </si>
  <si>
    <t>98 แยก 28 - 7 หมู่บ้านร่วมเกื้อ แขวงทวีวัฒนา
ทวีวัฒนา/ Thawi Watthanaกรุงเทพมหานคร/ Bangkok
10170</t>
  </si>
  <si>
    <t>660806786793</t>
  </si>
  <si>
    <t>07/01/2025 18:34</t>
  </si>
  <si>
    <t>LEXDO0124223395</t>
  </si>
  <si>
    <t>EQS62</t>
  </si>
  <si>
    <t>THT14081EA46H9Z</t>
  </si>
  <si>
    <t>07/01/2025 18:32</t>
  </si>
  <si>
    <t>EQS60</t>
  </si>
  <si>
    <t>พ***า. ส***</t>
  </si>
  <si>
    <t>07/01/2025 18:28</t>
  </si>
  <si>
    <t>754327114844</t>
  </si>
  <si>
    <t>EQS58</t>
  </si>
  <si>
    <t>อังคณา คุณเทียน</t>
  </si>
  <si>
    <t>บ้านเลขทีา116หมู่17 · เทพาลัย/ Thephalai
คง/ Khongนครราชสีมา/ Nakhon Ratchasima
30260</t>
  </si>
  <si>
    <t>30260</t>
  </si>
  <si>
    <t>660852598210</t>
  </si>
  <si>
    <t>07/01/2025 18:25</t>
  </si>
  <si>
    <t>TH27046P9AUS1C</t>
  </si>
  <si>
    <t>EQS57</t>
  </si>
  <si>
    <t>อ***ตย์  พ***ธสง</t>
  </si>
  <si>
    <t>07/01/2025 18:21</t>
  </si>
  <si>
    <t>754312046876</t>
  </si>
  <si>
    <t>EQS56</t>
  </si>
  <si>
    <t>ส***รัตน์ ว***ุกร์</t>
  </si>
  <si>
    <t>07/01/2025 18:20</t>
  </si>
  <si>
    <t>THT65011E978K5Z</t>
  </si>
  <si>
    <t>EQS55</t>
  </si>
  <si>
    <t>ว***า ม***หอม</t>
  </si>
  <si>
    <t>754342231812</t>
  </si>
  <si>
    <t>07/01/2025 18:19</t>
  </si>
  <si>
    <t>h003</t>
  </si>
  <si>
    <t>ครีมฮอร์นไส้เนยสด 3 กล่อง วนิลา เตย ชอค</t>
  </si>
  <si>
    <t>EQS53</t>
  </si>
  <si>
    <t>ส*** ห***นถนอม</t>
  </si>
  <si>
    <t>07/01/2025 18:15</t>
  </si>
  <si>
    <t>THT68151E9NQ06Z</t>
  </si>
  <si>
    <t>EQS52</t>
  </si>
  <si>
    <t>อ***พร ข***งิน</t>
  </si>
  <si>
    <t>07/01/2025 18:13</t>
  </si>
  <si>
    <t>THT42071EA4B35Z</t>
  </si>
  <si>
    <t>EQS50</t>
  </si>
  <si>
    <t>ท***ัฐ จ***จริญ</t>
  </si>
  <si>
    <t>07/01/2025 18:10</t>
  </si>
  <si>
    <t>THT24041E9NHZ8Z</t>
  </si>
  <si>
    <t>EQS49</t>
  </si>
  <si>
    <t>******บางยี่เรือ แขวงบางยี่เรือ เขตธนบุรี จังหวัดกรุงเทพมหานคร 10600</t>
  </si>
  <si>
    <t>07/01/2025 18:06</t>
  </si>
  <si>
    <t>TH01136P94HM9C</t>
  </si>
  <si>
    <t>07/01/2025 18:07</t>
  </si>
  <si>
    <t>EQS48</t>
  </si>
  <si>
    <t>สุรชาติ ยายศ</t>
  </si>
  <si>
    <t>3/1 บ้านกระเพรา หมู่ 10 ต.เมืองปราสาท
โนนสูง/ Non Sungนครราชสีมา/ Nakhon Ratchasima
30160</t>
  </si>
  <si>
    <t>30160</t>
  </si>
  <si>
    <t>660840536252</t>
  </si>
  <si>
    <t>07/01/2025 18:01</t>
  </si>
  <si>
    <t>TH27106P9GFQ4N</t>
  </si>
  <si>
    <t>07/01/2025 17:57</t>
  </si>
  <si>
    <t>EQS47</t>
  </si>
  <si>
    <t>ฝ***พย์  ว***ตา</t>
  </si>
  <si>
    <t>07/01/2025 17:54</t>
  </si>
  <si>
    <t>754324833861</t>
  </si>
  <si>
    <t>EQS46</t>
  </si>
  <si>
    <t>ป***ดา น***รี</t>
  </si>
  <si>
    <t>07/01/2025 17:53</t>
  </si>
  <si>
    <t>754369913861</t>
  </si>
  <si>
    <t>EQS45</t>
  </si>
  <si>
    <t>ศ***แสงมะณี</t>
  </si>
  <si>
    <t>754323235816</t>
  </si>
  <si>
    <t>EQS44</t>
  </si>
  <si>
    <t>ใ******์</t>
  </si>
  <si>
    <t>******้าว 60 วังทองหลาง กทม. 10310 แขวงวังทองหลาง เขตวังทองหลาง จังหวัดกรุงเทพมหานคร 10310</t>
  </si>
  <si>
    <t>96</t>
  </si>
  <si>
    <t>TH01416P9H306C1</t>
  </si>
  <si>
    <t>07/01/2025 17:52</t>
  </si>
  <si>
    <t>ชิฟฟ่อน20ชิ้น</t>
  </si>
  <si>
    <t>ชิฟฟ่อนไม่มีไส้คละรส 20 ชิ้น</t>
  </si>
  <si>
    <t>EQS43</t>
  </si>
  <si>
    <t>เ*** ว***ัฐ</t>
  </si>
  <si>
    <t>07/01/2025 17:43</t>
  </si>
  <si>
    <t>THT07011EA0CB0Z</t>
  </si>
  <si>
    <t>EQS42</t>
  </si>
  <si>
    <t>แ** อ***</t>
  </si>
  <si>
    <t>07/01/2025 17:40</t>
  </si>
  <si>
    <t>754332729846</t>
  </si>
  <si>
    <t>EQS41</t>
  </si>
  <si>
    <t>07/01/2025 17:33</t>
  </si>
  <si>
    <t>LEXDO0124222348</t>
  </si>
  <si>
    <t>EQS39</t>
  </si>
  <si>
    <t>ก***มา ส***รณนิมิตร</t>
  </si>
  <si>
    <t>07/01/2025 17:30</t>
  </si>
  <si>
    <t>754322326870</t>
  </si>
  <si>
    <t>07/01/2025 17:31</t>
  </si>
  <si>
    <t>EQS38</t>
  </si>
  <si>
    <t>ส***สา  อ***านุร์กษ์</t>
  </si>
  <si>
    <t>07/01/2025 17:29</t>
  </si>
  <si>
    <t>754371732822</t>
  </si>
  <si>
    <t>EQS36</t>
  </si>
  <si>
    <t>น***รัชนีกร ห***อน เ***์น</t>
  </si>
  <si>
    <t>07/01/2025 17:21</t>
  </si>
  <si>
    <t>754309131800</t>
  </si>
  <si>
    <t>EQS34</t>
  </si>
  <si>
    <t>ก***ิการ์ แ***เจริญ</t>
  </si>
  <si>
    <t>07/01/2025 17:18</t>
  </si>
  <si>
    <t>754382233883</t>
  </si>
  <si>
    <t>EQS32</t>
  </si>
  <si>
    <t>เ***ลักษณ์  ก***เกตุ</t>
  </si>
  <si>
    <t>07/01/2025 17:09</t>
  </si>
  <si>
    <t>THT20041EA2PS9Z</t>
  </si>
  <si>
    <t>EQS29</t>
  </si>
  <si>
    <t>ก***า ช***ชูเชิด</t>
  </si>
  <si>
    <t>07/01/2025 16:49</t>
  </si>
  <si>
    <t>THT14101EA03K4Z</t>
  </si>
  <si>
    <t>07/01/2025 16:52</t>
  </si>
  <si>
    <t>EQS28</t>
  </si>
  <si>
    <t>น******ก</t>
  </si>
  <si>
    <t>******กองร้อยทหารม้าที่ 2 ต.เกาะสะบ้า อ.เทพา จ.สงขลา ตำบลเกาะสะบ้า อำเภอเทพา จังหวัดสงขลา 90150</t>
  </si>
  <si>
    <t>90150</t>
  </si>
  <si>
    <t>33</t>
  </si>
  <si>
    <t>TH2590076121868</t>
  </si>
  <si>
    <t>EQS27</t>
  </si>
  <si>
    <t>ก***ารัตน์ จ***า</t>
  </si>
  <si>
    <t>07/01/2025 16:50</t>
  </si>
  <si>
    <t>754341727845</t>
  </si>
  <si>
    <t>EQS26</t>
  </si>
  <si>
    <t>ส***รัตน์</t>
  </si>
  <si>
    <t>07/01/2025 16:42</t>
  </si>
  <si>
    <t>THT31041E9Q3W2Z</t>
  </si>
  <si>
    <t>EQS24</t>
  </si>
  <si>
    <t>ส***ักษณ์ ศ***มาเมือง</t>
  </si>
  <si>
    <t>07/01/2025 16:34</t>
  </si>
  <si>
    <t>754377530852</t>
  </si>
  <si>
    <t>07/01/2025 16:47</t>
  </si>
  <si>
    <t>EQS23</t>
  </si>
  <si>
    <t>จ***ง  เ***อม่วง</t>
  </si>
  <si>
    <t>07/01/2025 16:31</t>
  </si>
  <si>
    <t>THT10091EA04Y3Z</t>
  </si>
  <si>
    <t>07/01/2025 16:46</t>
  </si>
  <si>
    <t>EQS22</t>
  </si>
  <si>
    <t>รุ่งทิวา ฤทธิ์วงค์</t>
  </si>
  <si>
    <t>178 หมู่1 ต.ท่าขนุน อ.ทองผาภูมิ · ท่าขนุน/ Tha Khanun
ทองผาภูมิ/ Thong Pha Phumกาญจนบุรี/ Kanchanaburi
71180</t>
  </si>
  <si>
    <t>71180</t>
  </si>
  <si>
    <t>660959435563</t>
  </si>
  <si>
    <t>07/01/2025 16:45</t>
  </si>
  <si>
    <t>TH13026P8FHK5B</t>
  </si>
  <si>
    <t>EQS21</t>
  </si>
  <si>
    <t>ว***รณ์</t>
  </si>
  <si>
    <t>07/01/2025 16:28</t>
  </si>
  <si>
    <t>754365447872</t>
  </si>
  <si>
    <t>EQS20</t>
  </si>
  <si>
    <t>754389126890</t>
  </si>
  <si>
    <t>07/01/2025 16:44</t>
  </si>
  <si>
    <t>EQS19</t>
  </si>
  <si>
    <t>น***รัตน์ ช***สลัก</t>
  </si>
  <si>
    <t>754351621844</t>
  </si>
  <si>
    <t>EQS18</t>
  </si>
  <si>
    <t>ไ***ัลย์  เ***ร์เมือง</t>
  </si>
  <si>
    <t>Ubon Ratchathani</t>
  </si>
  <si>
    <t>07/01/2025 16:25</t>
  </si>
  <si>
    <t>754343931806</t>
  </si>
  <si>
    <t>07/01/2025 16:43</t>
  </si>
  <si>
    <t>EQS17</t>
  </si>
  <si>
    <t>นายเชษฐ ภควัตโสภณ</t>
  </si>
  <si>
    <t>ร้านข้าวต้ม ช่งเซ้ง ถนนตรอกวัดม่วง ตำบลในเมือง อำเภอเมือง
เมืองนครราชสีมา/ Mueng Nakorn Ratchasimaนครราชสีมา/ Nakhon Ratchasima
30000</t>
  </si>
  <si>
    <t>660803336336</t>
  </si>
  <si>
    <t>LEXPU0443390272</t>
  </si>
  <si>
    <t>EQS15</t>
  </si>
  <si>
    <t>พ***พร ค***ือง</t>
  </si>
  <si>
    <t>07/01/2025 16:24</t>
  </si>
  <si>
    <t>THT01491EA29K1Z</t>
  </si>
  <si>
    <t>EQS13</t>
  </si>
  <si>
    <t>ช*** ช***อารมย์</t>
  </si>
  <si>
    <t>07/01/2025 16:18</t>
  </si>
  <si>
    <t>754368045874</t>
  </si>
  <si>
    <t>EQS12</t>
  </si>
  <si>
    <t>จ***ิมา ร***วราหะ</t>
  </si>
  <si>
    <t>07/01/2025 16:21</t>
  </si>
  <si>
    <t>754393643883</t>
  </si>
  <si>
    <t>EQS11</t>
  </si>
  <si>
    <t>ก*** ม***ิมพ์</t>
  </si>
  <si>
    <t>07/01/2025 16:23</t>
  </si>
  <si>
    <t>754365510802</t>
  </si>
  <si>
    <t>EQS7</t>
  </si>
  <si>
    <t>จ***แจง</t>
  </si>
  <si>
    <t>07/01/2025 16:08</t>
  </si>
  <si>
    <t>754393441863</t>
  </si>
  <si>
    <t>07/01/2025 16:12</t>
  </si>
  <si>
    <t>EQS6</t>
  </si>
  <si>
    <t>น*** ข***ชญาดากุล</t>
  </si>
  <si>
    <t>07/01/2025 16:09</t>
  </si>
  <si>
    <t>754398914861</t>
  </si>
  <si>
    <t>ขนมปังแถวทำแซนวิช ราคาส่ง ขนมปังนุ่ม 8แถว</t>
  </si>
  <si>
    <t>EQS5</t>
  </si>
  <si>
    <t>07/01/2025 16:04</t>
  </si>
  <si>
    <t>EQS4</t>
  </si>
  <si>
    <t>ป***าภัทร ท***ระดับ</t>
  </si>
  <si>
    <t>07/01/2025 16:03</t>
  </si>
  <si>
    <t>754325232861</t>
  </si>
  <si>
    <t>EQS3</t>
  </si>
  <si>
    <t>นางสุนันทา สุขสาครธนาวัฒน์</t>
  </si>
  <si>
    <t>31 ม.20 ซอยพัฒนา ถ.กสิกรทุ่งสร้าง ต.ศิลา อ.เมือง จ.ขอนแก่น ติดหมู่บ้านดีไลท์ตลาดบ้านดอน · ศิลา/ Sila
เมืองขอนแก่น/ Mueang Khon Kaenขอนแก่น/ Khon Kaen
40000</t>
  </si>
  <si>
    <t>660850036564</t>
  </si>
  <si>
    <t>07/01/2025 15:58</t>
  </si>
  <si>
    <t>LEXPU0443394133</t>
  </si>
  <si>
    <t>EQS2</t>
  </si>
  <si>
    <t>สำรอง ฮวบสกุล</t>
  </si>
  <si>
    <t>194|90 หมู่ 9   · หนองละลอก/ Nong Lalok
บ้านค่าย/ Ban Khaiระยอง/ Rayong
21120</t>
  </si>
  <si>
    <t>21120</t>
  </si>
  <si>
    <t>660618316607</t>
  </si>
  <si>
    <t>07/01/2025 15:55</t>
  </si>
  <si>
    <t>LEXDO0124223112</t>
  </si>
  <si>
    <t>EQS1</t>
  </si>
  <si>
    <t>น***าวกรรณิการ์ พ***์ศรี</t>
  </si>
  <si>
    <t>07/01/2025 15:52</t>
  </si>
  <si>
    <t>THT33121EAEZD0Z</t>
  </si>
  <si>
    <t>07/01/2025 15:51</t>
  </si>
  <si>
    <t>EQS0</t>
  </si>
  <si>
    <t>พ***ากร  ม***ดิษฐ์</t>
  </si>
  <si>
    <t>07/01/2025 15:41</t>
  </si>
  <si>
    <t>754383717872</t>
  </si>
  <si>
    <t>EQR99</t>
  </si>
  <si>
    <t>น***ระภาสหนูเจริญ</t>
  </si>
  <si>
    <t>07/01/2025 15:39</t>
  </si>
  <si>
    <t>THT67031EADTY6Z</t>
  </si>
  <si>
    <t>EQR98</t>
  </si>
  <si>
    <t>ส***ย์ ม***วร</t>
  </si>
  <si>
    <t>THT05011E9M9U1Z</t>
  </si>
  <si>
    <t>EQR97</t>
  </si>
  <si>
    <t>754320327891</t>
  </si>
  <si>
    <t>EQR96</t>
  </si>
  <si>
    <t>ค** จ***พร ห***นตร์</t>
  </si>
  <si>
    <t>THT05061EA4729Z</t>
  </si>
  <si>
    <t>07/01/2025 15:38</t>
  </si>
  <si>
    <t>EQR95</t>
  </si>
  <si>
    <t>น***าว ส***นทร์ตรา ศ***ัดชา</t>
  </si>
  <si>
    <t>เทศบาลนครขอนแก่น</t>
  </si>
  <si>
    <t>07/01/2025 15:28</t>
  </si>
  <si>
    <t>754371329876</t>
  </si>
  <si>
    <t>07/01/2025 15:29</t>
  </si>
  <si>
    <t>EQR94</t>
  </si>
  <si>
    <t>ศุภรัตน์ ศรีสุขใส</t>
  </si>
  <si>
    <t>10ม.2ต.บ่อแร่อ.โพธิ์ทอง จ.อ่างทอง 14120
วิเศษชัยชาญ/ Wiset Chai Chanอ่างทอง/ Ang Thong
14110</t>
  </si>
  <si>
    <t>14110</t>
  </si>
  <si>
    <t>660644187807</t>
  </si>
  <si>
    <t>07/01/2025 15:27</t>
  </si>
  <si>
    <t>LEXPU0443399335</t>
  </si>
  <si>
    <t>EQR93</t>
  </si>
  <si>
    <t>ว*** อ***ดทอง</t>
  </si>
  <si>
    <t>07/01/2025 15:23</t>
  </si>
  <si>
    <t>754387230844</t>
  </si>
  <si>
    <t>EQR92</t>
  </si>
  <si>
    <t>อ***​  ส***ก้ว</t>
  </si>
  <si>
    <t>07/01/2025 15:21</t>
  </si>
  <si>
    <t>754335838863</t>
  </si>
  <si>
    <t>EQR91</t>
  </si>
  <si>
    <t>เก้าเมษา</t>
  </si>
  <si>
    <t>363/15 (ถ.5) หมู่ที่ 1 ตำบลวังกระแจะ อำเภอเมืองตราด  ถ.5 · วังกระแจะ/ Wang Krachae
เมืองตราด/ Mueang Tratตราด/ Trat
23000</t>
  </si>
  <si>
    <t>23000</t>
  </si>
  <si>
    <t>660897471141</t>
  </si>
  <si>
    <t>LEXDO0124208707</t>
  </si>
  <si>
    <t>EQR90</t>
  </si>
  <si>
    <t>ญ***นันท์</t>
  </si>
  <si>
    <t>07/01/2025 15:17</t>
  </si>
  <si>
    <t>754328834884</t>
  </si>
  <si>
    <t>EQR89</t>
  </si>
  <si>
    <t>อ***ี ก***ทอง</t>
  </si>
  <si>
    <t>07/01/2025 15:12</t>
  </si>
  <si>
    <t>THT14081E9HHY6Z</t>
  </si>
  <si>
    <t>EQR88</t>
  </si>
  <si>
    <t>ร***ง น***ุรี</t>
  </si>
  <si>
    <t>07/01/2025 15:15</t>
  </si>
  <si>
    <t>754304715861</t>
  </si>
  <si>
    <t>07/01/2025 15:10</t>
  </si>
  <si>
    <t>EQR87</t>
  </si>
  <si>
    <t>น***รัชนี บ***รี</t>
  </si>
  <si>
    <t>754313043886</t>
  </si>
  <si>
    <t>EQR85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</si>
  <si>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</si>
  <si>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</si>
  <si>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</si>
  <si>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07/01/2025 15:01</t>
  </si>
  <si>
    <t>LEXPU0443393962</t>
  </si>
  <si>
    <t>EQR84</t>
  </si>
  <si>
    <t>จ***ยุทธ ห***</t>
  </si>
  <si>
    <t>07/01/2025 15:00</t>
  </si>
  <si>
    <t>754376230845</t>
  </si>
  <si>
    <t>EQR83</t>
  </si>
  <si>
    <t>พนิพิชชา ศรีสุวรรณ</t>
  </si>
  <si>
    <t>226 ม.6 · หนองขาว/ Nong Khao
ท่าม่วง/ Tha Muangกาญจนบุรี/ Kanchanaburi
71110</t>
  </si>
  <si>
    <t>71110</t>
  </si>
  <si>
    <t>660922690981</t>
  </si>
  <si>
    <t>LEXDO0124222493</t>
  </si>
  <si>
    <t>EQR81</t>
  </si>
  <si>
    <t>ภัทรพล สิตานนท์</t>
  </si>
  <si>
    <t>43/4ถ.เทศบาล1 · ตะพานหิน/ Taphan Hin
ตะพานหิน/ Taphan Hinพิจิตร/ Phichit
66110</t>
  </si>
  <si>
    <t>66110</t>
  </si>
  <si>
    <t>660808950807</t>
  </si>
  <si>
    <t>07/01/2025 14:58</t>
  </si>
  <si>
    <t>TH62046P8TA11A</t>
  </si>
  <si>
    <t>EQR80</t>
  </si>
  <si>
    <t>พ***ี แ***มี</t>
  </si>
  <si>
    <t>07/01/2025 14:57</t>
  </si>
  <si>
    <t>THT71111E9PEK2Z</t>
  </si>
  <si>
    <t>EQR79</t>
  </si>
  <si>
    <t>07/01/2025 14:53</t>
  </si>
  <si>
    <t>TH62046P9DPB8A</t>
  </si>
  <si>
    <t>EQR78</t>
  </si>
  <si>
    <t>T***30</t>
  </si>
  <si>
    <t>07/01/2025 14:51</t>
  </si>
  <si>
    <t>754361333806</t>
  </si>
  <si>
    <t>EQR77</t>
  </si>
  <si>
    <t>กวิศรา ( คุณ แจง )</t>
  </si>
  <si>
    <t>Ayothaya Riverside Hotel 91/1 หมู่ 10 ตำบล กะมัง อำเภอ พระนครศรีอยุธยา · กะมัง/ Kamang
พระนครศรีอยุธยา/ Phra Nakhon Si Ayutthayaพระนครศรีอยุธยา/ Phra Nakhon Si Ayutthaya
13000</t>
  </si>
  <si>
    <t>13000</t>
  </si>
  <si>
    <t>660859244145</t>
  </si>
  <si>
    <t>07/01/2025 21:43</t>
  </si>
  <si>
    <t>LEXDO0124221660</t>
  </si>
  <si>
    <t>07/01/2025 14:50</t>
  </si>
  <si>
    <t>EQR76</t>
  </si>
  <si>
    <t>พ**</t>
  </si>
  <si>
    <t>07/01/2025 14:48</t>
  </si>
  <si>
    <t>754319633874</t>
  </si>
  <si>
    <t>ชิฟฟ่อนเค้ก ยกแพ็ค ราคาถูกเหมาจำนวน 10 กล่อง ขนมเค้กชิฟฟอนรวมรส ไม่มีไส้ 8 ชิ้น/กล่อง คุ้มมาก!! เก็บได้ 20 วัน</t>
  </si>
  <si>
    <t>EQR75</t>
  </si>
  <si>
    <t>คุณมานัส เหรา</t>
  </si>
  <si>
    <t>ซอยข้างวัดเจริญธรรม 50 ม..5 · เจริญธรรม/ Charoen Tham
วิหารแดง/ Wihan Daengสระบุรี/ Saraburi
18150</t>
  </si>
  <si>
    <t>18150</t>
  </si>
  <si>
    <t>07/01/2025 14:43</t>
  </si>
  <si>
    <t>EQR74</t>
  </si>
  <si>
    <t>จังหวัดสุราษฎร์ธานี</t>
  </si>
  <si>
    <t>07/01/2025 14:42</t>
  </si>
  <si>
    <t>754341321871</t>
  </si>
  <si>
    <t>EQR73</t>
  </si>
  <si>
    <t>น** เ*** เ***ภาค</t>
  </si>
  <si>
    <t>07/01/2025 14:41</t>
  </si>
  <si>
    <t>754338440870</t>
  </si>
  <si>
    <t>EQR70</t>
  </si>
  <si>
    <t>Phatsarat keanjan</t>
  </si>
  <si>
    <t>1 ถนนเฉลิมพระเกียรติ ร.9 ซอย 6 แยก 3 แขวงหนองบอน เขตประเวศ (ร้านแต่งรถสีดำ)TypeS
ประเวศ/ Prawetกรุงเทพมหานคร/ Bangkok
10250</t>
  </si>
  <si>
    <t>660848775454</t>
  </si>
  <si>
    <t>07/01/2025 14:35</t>
  </si>
  <si>
    <t>LEXDO0124223102</t>
  </si>
  <si>
    <t>EQR68</t>
  </si>
  <si>
    <t>จ***ร์เพ็ญ พ***จันทร์</t>
  </si>
  <si>
    <t>07/01/2025 14:32</t>
  </si>
  <si>
    <t>754336234864</t>
  </si>
  <si>
    <t>EQR67</t>
  </si>
  <si>
    <t>อรัญญา สุขสำราญ</t>
  </si>
  <si>
    <t>โรงพยาบาลเจ้าพระยายมราช · ท่าพี่เลี้ยง/ Tha Phi Liang
เมืองสุพรรณบุรี/ Mueang Suphan Buriสุพรรณบุรี/ Suphanburi
72000</t>
  </si>
  <si>
    <t>72000</t>
  </si>
  <si>
    <t>660927230932</t>
  </si>
  <si>
    <t>07/01/2025 14:31</t>
  </si>
  <si>
    <t>LEXDO0124208974</t>
  </si>
  <si>
    <t>EQR65</t>
  </si>
  <si>
    <t>น** ก***มา จ***ามา</t>
  </si>
  <si>
    <t>07/01/2025 14:30</t>
  </si>
  <si>
    <t>THT01141EA06X2Z</t>
  </si>
  <si>
    <t>EQR63</t>
  </si>
  <si>
    <t>ส***า ไ***ัลย์</t>
  </si>
  <si>
    <t>07/01/2025 14:25</t>
  </si>
  <si>
    <t>THT15031EA2RJ9Z</t>
  </si>
  <si>
    <t>EQR62</t>
  </si>
  <si>
    <t>y**</t>
  </si>
  <si>
    <t>07/01/2025 14:21</t>
  </si>
  <si>
    <t>754369728884</t>
  </si>
  <si>
    <t>EQR61</t>
  </si>
  <si>
    <t>พวง​แก้ว</t>
  </si>
  <si>
    <t>876/6 ม.9 ต.นครสวรรค์ตก
เมืองนครสวรรค์/ Mueang Nakhon Sawanนครสวรรค์/ Nakhon Sawan
60000</t>
  </si>
  <si>
    <t>60000</t>
  </si>
  <si>
    <t>660898590300</t>
  </si>
  <si>
    <t>LEXDO0124222554</t>
  </si>
  <si>
    <t>ปังแถวครึ่งโหล</t>
  </si>
  <si>
    <t>EQR60</t>
  </si>
  <si>
    <t>ณ******ิ</t>
  </si>
  <si>
    <t>******ต.เมืองยาง, อำเภอชำนิ ตำบลเมืองยาง อำเภอชำนิ จังหวัดบุรีรัมย์ 31110</t>
  </si>
  <si>
    <t>31110</t>
  </si>
  <si>
    <t>TH28186P9NPK8C</t>
  </si>
  <si>
    <t>EQR59</t>
  </si>
  <si>
    <t>09/01/2025 06:32</t>
  </si>
  <si>
    <t>TH24036PCTKT3D</t>
  </si>
  <si>
    <t>07/01/2025 14:19</t>
  </si>
  <si>
    <t>EQR58</t>
  </si>
  <si>
    <t>อ***ติยา ค***ร</t>
  </si>
  <si>
    <t>07/01/2025 14:12</t>
  </si>
  <si>
    <t>754358236833</t>
  </si>
  <si>
    <t>07/01/2025 14:17</t>
  </si>
  <si>
    <t>EQR56</t>
  </si>
  <si>
    <t>จุฑามาศ ธานีแก้ว</t>
  </si>
  <si>
    <t>(หน้าวัดจันทร์นิรมิตร) 43/2 ม.7 ต.ศาลาแดง · ศาลาแดง/ Sala Daeng
เมืองอ่างทอง/ Mueang Ang Thongอ่างทอง/ Ang Thong
14000</t>
  </si>
  <si>
    <t>660920191952</t>
  </si>
  <si>
    <t>07/01/2025 14:13</t>
  </si>
  <si>
    <t>LEXPU0443395350</t>
  </si>
  <si>
    <t>EQR55</t>
  </si>
  <si>
    <t>อรทัย แซ่เจีย</t>
  </si>
  <si>
    <t>44ม.5 · วังกะทะ/ Wang Katha
ปากช่อง/ Pak Chongนครราชสีมา/ Nakhon Ratchasima
30130</t>
  </si>
  <si>
    <t>660806149941</t>
  </si>
  <si>
    <t>LEXPU0443395224</t>
  </si>
  <si>
    <t>07/01/2025 14:11</t>
  </si>
  <si>
    <t>EQR54</t>
  </si>
  <si>
    <t>นฤมล อภิวัฒน์สกุลชัย</t>
  </si>
  <si>
    <t>258  ซอยสุทธิพร1 ถนนประชาสงเคราะห์2
ดินแดง/ Din Daengกรุงเทพมหานคร/ Bangkok
10400</t>
  </si>
  <si>
    <t>10400</t>
  </si>
  <si>
    <t>660897914326</t>
  </si>
  <si>
    <t>07/01/2025 15:57</t>
  </si>
  <si>
    <t>LEXPU0443398401</t>
  </si>
  <si>
    <t>EQR53</t>
  </si>
  <si>
    <t>ป***รัตน์  จ***ร์สุนทร</t>
  </si>
  <si>
    <t>07/01/2025 14:02</t>
  </si>
  <si>
    <t>THT57061EA37C9Z</t>
  </si>
  <si>
    <t>07/01/2025 14:03</t>
  </si>
  <si>
    <t>EQR52</t>
  </si>
  <si>
    <t>ส***ธ์ทิพย์ ฟ***องอยู่</t>
  </si>
  <si>
    <t>754385241875</t>
  </si>
  <si>
    <t>EQR51</t>
  </si>
  <si>
    <t>ป***ากร   โ***</t>
  </si>
  <si>
    <t>754370434871</t>
  </si>
  <si>
    <t>EQR49</t>
  </si>
  <si>
    <t>อ***ักดิ์ อ***าวงค์</t>
  </si>
  <si>
    <t>07/01/2025 13:53</t>
  </si>
  <si>
    <t>754373649886</t>
  </si>
  <si>
    <t>EQR48</t>
  </si>
  <si>
    <t>THT01331EA2RE5Z</t>
  </si>
  <si>
    <t>EQR47</t>
  </si>
  <si>
    <t>ป***ูร  ว***ยดิษฐ</t>
  </si>
  <si>
    <t>07/01/2025 13:41</t>
  </si>
  <si>
    <t>754388219830</t>
  </si>
  <si>
    <t>EQR45</t>
  </si>
  <si>
    <t>******ธิน 89 ต.ประชาธิปปัตย์ ตำบลประชาธิปัตย์ อำเภอธัญบุรี จังหวัดปทุมธานี 12130</t>
  </si>
  <si>
    <t>22</t>
  </si>
  <si>
    <t>07/01/2025 13:35</t>
  </si>
  <si>
    <t>TH257448185513D</t>
  </si>
  <si>
    <t>EQR44</t>
  </si>
  <si>
    <t>บ***ัตร อ***รบุตร</t>
  </si>
  <si>
    <t>ตำบล บึงกาฬ</t>
  </si>
  <si>
    <t>07/01/2025 13:28</t>
  </si>
  <si>
    <t>754333640885</t>
  </si>
  <si>
    <t>EQR42</t>
  </si>
  <si>
    <t>น***ิรายุ น***ุต</t>
  </si>
  <si>
    <t>07/01/2025 13:26</t>
  </si>
  <si>
    <t>754313739804</t>
  </si>
  <si>
    <t>ชิฟฟ่อน รวมรสไม่มีไส้ 8ชิ้น/กล่อง  ราคาเหมา 20 กล่อง</t>
  </si>
  <si>
    <t>EQR41</t>
  </si>
  <si>
    <t>A******a</t>
  </si>
  <si>
    <t>******คลอง11  บ้านอยู่หลังโรงงาน) ตำบลบึงทองหลาง อำเภอลำลูกกา จังหวัดปทุมธานี 12150</t>
  </si>
  <si>
    <t>07/01/2025 13:24</t>
  </si>
  <si>
    <t>TH2538655800086</t>
  </si>
  <si>
    <t>07/01/2025 13:23</t>
  </si>
  <si>
    <t>EQR40</t>
  </si>
  <si>
    <t>อ*** ส***ลี</t>
  </si>
  <si>
    <t>07/01/2025 13:15</t>
  </si>
  <si>
    <t>754399247862</t>
  </si>
  <si>
    <t>EQR39</t>
  </si>
  <si>
    <t>พรสุดา ปะไม  (ฝากไว้ป้อมยามเลยนะค่ะ)</t>
  </si>
  <si>
    <t>810/810 บจก  เอเวนิวพลาซ่า  ถนน. ฉลองกรุง ตึกE ห้อง E410 · ลำปลาทิว/ Lam Pla Thio
ลาดกระบัง/ Lat Krabangกรุงเทพมหานคร/ Bangkok
10520</t>
  </si>
  <si>
    <t>660924815723</t>
  </si>
  <si>
    <t>LEXDO0124209169</t>
  </si>
  <si>
    <t>07/01/2025 13:14</t>
  </si>
  <si>
    <t>EQR38</t>
  </si>
  <si>
    <t>นายภูเบศร์ สวงโท</t>
  </si>
  <si>
    <t>หมู่บ้านเจริญทรัพย์ 299/285 ซ.20 หมู่7 ถนน ชัยภูมิ-บ้านเขว้า
เมืองชัยภูมิ/ Mueang Chaiyaphumชัยภูมิ/ Chaiyaphum
36000</t>
  </si>
  <si>
    <t>36000</t>
  </si>
  <si>
    <t>660631919894</t>
  </si>
  <si>
    <t>LEXDO0124208904</t>
  </si>
  <si>
    <t>EQR37</t>
  </si>
  <si>
    <t>ณ***าภาส์ ห***ม</t>
  </si>
  <si>
    <t>754397847862</t>
  </si>
  <si>
    <t>EQR36</t>
  </si>
  <si>
    <t>เ***าช ย***ันต์</t>
  </si>
  <si>
    <t>754336334813</t>
  </si>
  <si>
    <t>EQR32</t>
  </si>
  <si>
    <t>บ*ม</t>
  </si>
  <si>
    <t>******บ้านตาก จ.ตาก ตำบลแม่สลิด อำเภอบ้านตาก จังหวัดตาก 63120</t>
  </si>
  <si>
    <t>63120</t>
  </si>
  <si>
    <t>07/01/2025 13:33</t>
  </si>
  <si>
    <t>TH258740435568U</t>
  </si>
  <si>
    <t>07/01/2025 13:03</t>
  </si>
  <si>
    <t>EQR30</t>
  </si>
  <si>
    <t>ว***ชลี ส***ถะ</t>
  </si>
  <si>
    <t>07/01/2025 13:01</t>
  </si>
  <si>
    <t>754391112856</t>
  </si>
  <si>
    <t>07/01/2025 13:02</t>
  </si>
  <si>
    <t>EQR27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</si>
  <si>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</si>
  <si>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</si>
  <si>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660918258030</t>
  </si>
  <si>
    <t>09/01/2025 09:04</t>
  </si>
  <si>
    <t>LEXDO0124323703</t>
  </si>
  <si>
    <t>07/01/2025 12:54</t>
  </si>
  <si>
    <t>EQR25</t>
  </si>
  <si>
    <t>ร******ษ</t>
  </si>
  <si>
    <t>******หนองจันทร์, ตำบล ศรีวิไล, อำเภอศรีวิไล ตำบลศรีวิไล อำเภอศรีวิไล จังหวัดบึงกาฬ 38210</t>
  </si>
  <si>
    <t>38210</t>
  </si>
  <si>
    <t>07/01/2025 13:22</t>
  </si>
  <si>
    <t>TH35086P8RMD3E</t>
  </si>
  <si>
    <t>07/01/2025 12:52</t>
  </si>
  <si>
    <t>EQR24</t>
  </si>
  <si>
    <t>ส******ง</t>
  </si>
  <si>
    <t>******ลบางน้ำจืด อำเภอเมืองสมุทรสาคร จังหวัดสมุทรสาคร 74000</t>
  </si>
  <si>
    <t>07</t>
  </si>
  <si>
    <t>07/01/2025 13:21</t>
  </si>
  <si>
    <t>TH16016P8S5S3L</t>
  </si>
  <si>
    <t>07/01/2025 12:51</t>
  </si>
  <si>
    <t>EQR23</t>
  </si>
  <si>
    <t>ส***รัตน</t>
  </si>
  <si>
    <t>07/01/2025 12:50</t>
  </si>
  <si>
    <t>754353732882</t>
  </si>
  <si>
    <t>EQR22</t>
  </si>
  <si>
    <t>วิภาวรรณ กีรกุลกำธร</t>
  </si>
  <si>
    <t>13/28 หมู่บ้านพฤกษ์ลดา ซอยอนามัยงามเจริญ 33 แขวงท่าข้าม
บางขุนเทียน/ Bang Khun Thianกรุงเทพมหานคร/ Bangkok
10150</t>
  </si>
  <si>
    <t>10150</t>
  </si>
  <si>
    <t>660814327758</t>
  </si>
  <si>
    <t>LEXPU0443313244</t>
  </si>
  <si>
    <t>EQR21</t>
  </si>
  <si>
    <t>ป***ุม พ***แก้ว</t>
  </si>
  <si>
    <t>07/01/2025 12:49</t>
  </si>
  <si>
    <t>754319524840</t>
  </si>
  <si>
    <t>EQR20</t>
  </si>
  <si>
    <t>ว***วรรณ น***รี</t>
  </si>
  <si>
    <t>07/01/2025 12:48</t>
  </si>
  <si>
    <t>754371137892</t>
  </si>
  <si>
    <t>EQR19</t>
  </si>
  <si>
    <t>ก***กา น***าวนา</t>
  </si>
  <si>
    <t>07/01/2025 12:44</t>
  </si>
  <si>
    <t>754302041861</t>
  </si>
  <si>
    <t>07/01/2025 12:43</t>
  </si>
  <si>
    <t>EQR18</t>
  </si>
  <si>
    <t>ม***ิการ์ เ***เปา</t>
  </si>
  <si>
    <t>07/01/2025 12:38</t>
  </si>
  <si>
    <t>754368721853</t>
  </si>
  <si>
    <t>EQR17</t>
  </si>
  <si>
    <t>เอิน</t>
  </si>
  <si>
    <t>หลังร้านเจ้จิ๋ม · ดอนกระเบื้อง/ Don Krabueang
โพธาราม/ Photharamราชบุรี/ Ratchaburi
70120</t>
  </si>
  <si>
    <t>70120</t>
  </si>
  <si>
    <t>660858909829</t>
  </si>
  <si>
    <t>07/01/2025 12:37</t>
  </si>
  <si>
    <t>LEXDO0124222398</t>
  </si>
  <si>
    <t>EQR16</t>
  </si>
  <si>
    <t>เ***พา พ***ชื่น</t>
  </si>
  <si>
    <t>07/01/2025 12:36</t>
  </si>
  <si>
    <t>754361449881</t>
  </si>
  <si>
    <t>EQR15</t>
  </si>
  <si>
    <t>ส******น</t>
  </si>
  <si>
    <t>******้องถิ่น, ตำบล วิชิต, อำเภอเมืองภูเก็ต ตำบลวิชิต อำเภอเมืองภูเก็ต จังหวัดภูเก็ต 83000</t>
  </si>
  <si>
    <t>83000</t>
  </si>
  <si>
    <t>TH67016P8VAW5E1</t>
  </si>
  <si>
    <t>07/01/2025 12:35</t>
  </si>
  <si>
    <t>EQR14</t>
  </si>
  <si>
    <t>สุวิภา​ ชุมเเสง</t>
  </si>
  <si>
    <t>บ้านเลขที่3/7หมู่3ตำบลปากเเพรกอำเภอดอนสักจังหวัดสุราษฏร์ธานี84340
ดอนสัก/ Don Sakสุราษฎร์ธานี/ Surat Thani
84340</t>
  </si>
  <si>
    <t>84340</t>
  </si>
  <si>
    <t>660624758865</t>
  </si>
  <si>
    <t>TH68036P8TG54D</t>
  </si>
  <si>
    <t>EQR11</t>
  </si>
  <si>
    <t>ศรีวรรณ ขอดคำ</t>
  </si>
  <si>
    <t>77/3 บ้านนาผา · กองควาย/ Kong Khwai
เมืองน่าน/ Mueang Nanน่าน/ Nan
55000</t>
  </si>
  <si>
    <t>55000</t>
  </si>
  <si>
    <t>660833217480</t>
  </si>
  <si>
    <t>07/01/2025 12:32</t>
  </si>
  <si>
    <t>TH52016P9DJN9I</t>
  </si>
  <si>
    <t>EQR10</t>
  </si>
  <si>
    <t>น***ุรชัย  ล***ุ่งรัตน์วุฒิ</t>
  </si>
  <si>
    <t>754325320895</t>
  </si>
  <si>
    <t>EQR9</t>
  </si>
  <si>
    <t>จ***์จุฑา ร***์สัจจา</t>
  </si>
  <si>
    <t>07/01/2025 12:30</t>
  </si>
  <si>
    <t>THT27221E9YEG1Z</t>
  </si>
  <si>
    <t>EQR8</t>
  </si>
  <si>
    <t>น***พร ฟ***อง</t>
  </si>
  <si>
    <t>07/01/2025 12:26</t>
  </si>
  <si>
    <t>754370236896</t>
  </si>
  <si>
    <t>EQR5</t>
  </si>
  <si>
    <t>ศ***ร ว***กษมโชค</t>
  </si>
  <si>
    <t>07/01/2025 12:19</t>
  </si>
  <si>
    <t>754306528861</t>
  </si>
  <si>
    <t>07/01/2025 12:20</t>
  </si>
  <si>
    <t>EQR3</t>
  </si>
  <si>
    <t>เณร  โพธิ์ศรี</t>
  </si>
  <si>
    <t>กรมส่งเสริมการเกษตร, ถนน พหลโยธิน 2143/1 · ลาดยาว/ Lat Yao
จตุจักร/ Chatuchakกรุงเทพมหานคร/ Bangkok
10900</t>
  </si>
  <si>
    <t>10900</t>
  </si>
  <si>
    <t>660947862556</t>
  </si>
  <si>
    <t>LEXDO0124211358</t>
  </si>
  <si>
    <t>07/01/2025 12:18</t>
  </si>
  <si>
    <t>EQR2</t>
  </si>
  <si>
    <t>ณิชาภัทร สุวรรณรัตน์</t>
  </si>
  <si>
    <t>92/2ม.3ต.ทุ่งหลวง
เวียงสระ/ Wiang Saสุราษฎร์ธานี/ Surat Thani
84190</t>
  </si>
  <si>
    <t>84190</t>
  </si>
  <si>
    <t>660811235904</t>
  </si>
  <si>
    <t>07/01/2025 12:16</t>
  </si>
  <si>
    <t>TH68156P9DAP2D</t>
  </si>
  <si>
    <t>EQQ99</t>
  </si>
  <si>
    <t>ป***ศวร์ บ***รรณ</t>
  </si>
  <si>
    <t>07/01/2025 12:15</t>
  </si>
  <si>
    <t>754375322875</t>
  </si>
  <si>
    <t>EQQ97</t>
  </si>
  <si>
    <t>ก**</t>
  </si>
  <si>
    <t>07/01/2025 12:13</t>
  </si>
  <si>
    <t>754398730805</t>
  </si>
  <si>
    <t>EQQ96</t>
  </si>
  <si>
    <t>สุดาพร ด้วงกูล</t>
  </si>
  <si>
    <t>บ้านไผ่งาม 16/1 หมู่1 ซอย5 · ส้าน/ San
เวียงสา/ Wiang Saน่าน/ Nan
55110</t>
  </si>
  <si>
    <t>55110</t>
  </si>
  <si>
    <t>660871774208</t>
  </si>
  <si>
    <t>07/01/2025 12:11</t>
  </si>
  <si>
    <t>TH52076P9D6D3F</t>
  </si>
  <si>
    <t>EQQ94</t>
  </si>
  <si>
    <t>อ***ุวีณ์ อ***รโภไคย</t>
  </si>
  <si>
    <t>07/01/2025 12:05</t>
  </si>
  <si>
    <t>754356839876</t>
  </si>
  <si>
    <t>EQQ93</t>
  </si>
  <si>
    <t>ว***รา ล***นี</t>
  </si>
  <si>
    <t>07/01/2025 12:04</t>
  </si>
  <si>
    <t>754354135813</t>
  </si>
  <si>
    <t>EQQ91</t>
  </si>
  <si>
    <t>******นร่วมใจ ก่อนถึงวัด 500 เมตร ตำบลมหาวัน อำเภอแม่สอด จังหวัดตาก 63110</t>
  </si>
  <si>
    <t>75</t>
  </si>
  <si>
    <t>TH2505563476779</t>
  </si>
  <si>
    <t>07/01/2025 12:00</t>
  </si>
  <si>
    <t>EQQ89</t>
  </si>
  <si>
    <t>ธ***รณ</t>
  </si>
  <si>
    <t>07/01/2025 11:59</t>
  </si>
  <si>
    <t>THT01211EAEKB2Z</t>
  </si>
  <si>
    <t>EQQ88</t>
  </si>
  <si>
    <t>ปราณี ทวีสุข</t>
  </si>
  <si>
    <t>131 หมู่4 ต.พุขาม
วิเชียรบุรี/ Wichian Buriเพชรบูรณ์/ Phetchabun
67180</t>
  </si>
  <si>
    <t>67180</t>
  </si>
  <si>
    <t>660966547984</t>
  </si>
  <si>
    <t>07/01/2025 11:57</t>
  </si>
  <si>
    <t>TH63056P8TV43H</t>
  </si>
  <si>
    <t>12แถว-1</t>
  </si>
  <si>
    <t>ขนมปังแถวทำแซนวิช ราคาส่ง ขนมปังนุ่ม 12แถว</t>
  </si>
  <si>
    <t>EQQ87</t>
  </si>
  <si>
    <t>อู่ช่างบอย</t>
  </si>
  <si>
    <t>1/4 หมู่ 1 ตำบลคลองตะเกราอำเภอท่าตะเกียบจังหวัดฉะเชิงเทรา อู่ช่างบอย · คลองตะเกรา/ Khlong Takrao
ท่าตะเกียบ/ Tha Takiapฉะเชิงเทรา/ Chachoengsao
24160</t>
  </si>
  <si>
    <t>660616204832</t>
  </si>
  <si>
    <t>07/01/2025 11:44</t>
  </si>
  <si>
    <t>TH24106PDR533B</t>
  </si>
  <si>
    <t>EQQ83</t>
  </si>
  <si>
    <t>จ***ร</t>
  </si>
  <si>
    <t>07/01/2025 11:39</t>
  </si>
  <si>
    <t>THT12101E9PAR3Z</t>
  </si>
  <si>
    <t>EQQ82</t>
  </si>
  <si>
    <t>ป***า ส***าญ</t>
  </si>
  <si>
    <t>07/01/2025 11:38</t>
  </si>
  <si>
    <t>THT64201EAEU40Z</t>
  </si>
  <si>
    <t>EQQ80</t>
  </si>
  <si>
    <t>สุกัญญา พลวัฒน์</t>
  </si>
  <si>
    <t>22/9ม.4ต.บางรัก(คอกวัวชนบ่าวฉิ้นบ่าวสา
เมืองตรัง/ Mueang Trangตรัง/ Trang
92000</t>
  </si>
  <si>
    <t>92000</t>
  </si>
  <si>
    <t>660824335665</t>
  </si>
  <si>
    <t>LEXDO0124221923</t>
  </si>
  <si>
    <t>07/01/2025 11:35</t>
  </si>
  <si>
    <t>EQQ78</t>
  </si>
  <si>
    <t>ก***นา  เ***ศัพท์</t>
  </si>
  <si>
    <t>07/01/2025 11:30</t>
  </si>
  <si>
    <t>754334141805</t>
  </si>
  <si>
    <t>EQQ77</t>
  </si>
  <si>
    <t>ด******ต</t>
  </si>
  <si>
    <t>******ำบล กระโพ อำเภอท่าตูม จังหวัดสุรินทร์ ตำบลกระโพ อำเภอท่าตูม จังหวัดสุรินทร์ 32120</t>
  </si>
  <si>
    <t>32120</t>
  </si>
  <si>
    <t>42</t>
  </si>
  <si>
    <t>TH29036P8SPW2B</t>
  </si>
  <si>
    <t>EQQ76</t>
  </si>
  <si>
    <t>ส***รษา เ***ี</t>
  </si>
  <si>
    <t>จังหวัดสุโขทัย</t>
  </si>
  <si>
    <t>754332532855</t>
  </si>
  <si>
    <t>EQQ74</t>
  </si>
  <si>
    <t>j***u</t>
  </si>
  <si>
    <t>07/01/2025 11:27</t>
  </si>
  <si>
    <t>THT68171E9PBA6Z</t>
  </si>
  <si>
    <t>EQQ73</t>
  </si>
  <si>
    <t>ป***ตา อ***ข</t>
  </si>
  <si>
    <t>07/01/2025 11:26</t>
  </si>
  <si>
    <t>THT31071EADEW4Z</t>
  </si>
  <si>
    <t>EQQ72</t>
  </si>
  <si>
    <t>ว*** ช***ญป่า</t>
  </si>
  <si>
    <t>07/01/2025 11:18</t>
  </si>
  <si>
    <t>754390149811</t>
  </si>
  <si>
    <t>ชิฟฟ่อนมีไส้20ชิ้นคละรส</t>
  </si>
  <si>
    <t>EQQ71</t>
  </si>
  <si>
    <t>ส***ญญา แ***าม</t>
  </si>
  <si>
    <t>THT11041E9QDN2Z</t>
  </si>
  <si>
    <t>EQQ70</t>
  </si>
  <si>
    <t>ส***สา.อุปพงษ์</t>
  </si>
  <si>
    <t>07/01/2025 11:16</t>
  </si>
  <si>
    <t>754312648880</t>
  </si>
  <si>
    <t>07/01/2025 11:17</t>
  </si>
  <si>
    <t>EQQ69</t>
  </si>
  <si>
    <t>เ***ยบ ห***ไก่ทอด</t>
  </si>
  <si>
    <t>754314438861</t>
  </si>
  <si>
    <t>EQQ68</t>
  </si>
  <si>
    <t>น***ยา ด***ก้ว</t>
  </si>
  <si>
    <t>07/01/2025 11:07</t>
  </si>
  <si>
    <t>ขอหน้าฝอยทอง5กล่องเนย2มะพร้าว2เผือก1ค่ะ</t>
  </si>
  <si>
    <t>754310237844</t>
  </si>
  <si>
    <t>EQQ67</t>
  </si>
  <si>
    <t>น***าวยุพาพร  แ***ทอง</t>
  </si>
  <si>
    <t>07/01/2025 11:04</t>
  </si>
  <si>
    <t>754389011880</t>
  </si>
  <si>
    <t>07/01/2025 11:05</t>
  </si>
  <si>
    <t>EQQ65</t>
  </si>
  <si>
    <t>อ***รา</t>
  </si>
  <si>
    <t>754329838883</t>
  </si>
  <si>
    <t>EQQ64</t>
  </si>
  <si>
    <t>******งซ้าย, อำเภอกาญจนดิษฐ์ ตำบลช้างซ้าย อำเภอกาญจนดิษฐ์ จังหวัดสุราษฎร์ธานี 84160</t>
  </si>
  <si>
    <t>84160</t>
  </si>
  <si>
    <t>07/01/2025 11:33</t>
  </si>
  <si>
    <t>TH2568728344183</t>
  </si>
  <si>
    <t>07/01/2025 11:03</t>
  </si>
  <si>
    <t>EQQ62</t>
  </si>
  <si>
    <t>จิรานุช เขมะดุษฎี</t>
  </si>
  <si>
    <t>199 ม.8 · ลานข่อย/ Lan Khoi
ป่าพะยอม/ Pa Phayomพัทลุง/ Phatthalung
93210</t>
  </si>
  <si>
    <t>93210</t>
  </si>
  <si>
    <t>660654468895</t>
  </si>
  <si>
    <t>07/01/2025 11:00</t>
  </si>
  <si>
    <t>TH74106P8TY03B</t>
  </si>
  <si>
    <t>EQQ61</t>
  </si>
  <si>
    <t>******ระชาอุทิศ ซอย79 แยก18/11 แขวงทุ่งครุ เขตทุ่งครุ จังหวัดกรุงเทพมหานคร 10140</t>
  </si>
  <si>
    <t>07/01/2025 10:56</t>
  </si>
  <si>
    <t>TH259671315134P</t>
  </si>
  <si>
    <t>EQQ60</t>
  </si>
  <si>
    <t>อ***ณ์  แ***ุวรรณ์</t>
  </si>
  <si>
    <t>07/01/2025 10:54</t>
  </si>
  <si>
    <t>754366534891</t>
  </si>
  <si>
    <t>EQQ57</t>
  </si>
  <si>
    <t>บจก.เจริญวัฒนามอเตอร์</t>
  </si>
  <si>
    <t>4 ถ.เทศบาล 12  (ห้วมุมสี่แยกไฟแดงทางเข้า บัวใหญ่) ต.บัวใหญ่ อ.บัวใหญ่
บัวใหญ่/ Bua Yaiนครราชสีมา/ Nakhon Ratchasima
30120</t>
  </si>
  <si>
    <t>30120</t>
  </si>
  <si>
    <t>660970355739</t>
  </si>
  <si>
    <t>07/01/2025 10:48</t>
  </si>
  <si>
    <t>TH27126P978R1A</t>
  </si>
  <si>
    <t>07/01/2025 10:47</t>
  </si>
  <si>
    <t>EQQ55</t>
  </si>
  <si>
    <t>07/01/2025 10:44</t>
  </si>
  <si>
    <t>THT68121EADY88Z</t>
  </si>
  <si>
    <t>EQQ53</t>
  </si>
  <si>
    <t>นิตยา คำขวา</t>
  </si>
  <si>
    <t>167/1ม.3สระหมื่นเชียง ต.วังโบสถ์ อ.หนองไผ่   "ร้านมิตรเจริญการช่าง"   เลยวัด200เมตร ซ้ายมือ · วังโบสถ์/ Wang Bot
หนองไผ่/ Nong Phaiเพชรบูรณ์/ Phetchabun
67140</t>
  </si>
  <si>
    <t>67140</t>
  </si>
  <si>
    <t>660806280275</t>
  </si>
  <si>
    <t>07/01/2025 10:38</t>
  </si>
  <si>
    <t>TH63076P90W38K</t>
  </si>
  <si>
    <t>EQQ50</t>
  </si>
  <si>
    <t>กนกวรรณ</t>
  </si>
  <si>
    <t>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
เมืองราชบุรี/ Mueang Ratchaburiราชบุรี/ Ratchaburi
70000</t>
  </si>
  <si>
    <t>70000</t>
  </si>
  <si>
    <t>660619455716</t>
  </si>
  <si>
    <t>07/01/2025 10:29</t>
  </si>
  <si>
    <t>LEXDO0124205262</t>
  </si>
  <si>
    <t>EQQ48</t>
  </si>
  <si>
    <t>ส***ตรี ก***ลา</t>
  </si>
  <si>
    <t>07/01/2025 10:19</t>
  </si>
  <si>
    <t>754399324884</t>
  </si>
  <si>
    <t>EQQ44</t>
  </si>
  <si>
    <t xml:space="preserve">ส***รัตน์ </t>
  </si>
  <si>
    <t>07/01/2025 10:13</t>
  </si>
  <si>
    <t>THT30041E9P0E1Z</t>
  </si>
  <si>
    <t>07/01/2025 10:17</t>
  </si>
  <si>
    <t>EQQ43</t>
  </si>
  <si>
    <t>สำรวย</t>
  </si>
  <si>
    <t>502/144 ศศิวัลย์ซอย1 ถ.เตชะตุงคะ แขวงสีก · สีกัน/ Si Kan
ดอนเมือง/ Don Mueangกรุงเทพมหานคร/ Bangkok
10210</t>
  </si>
  <si>
    <t>660891032226</t>
  </si>
  <si>
    <t>07/01/2025 10:16</t>
  </si>
  <si>
    <t>LEXDO0124219119</t>
  </si>
  <si>
    <t>ครีมฮอร์นเนยสด วรรณวนัช 3รส ขนมดังtiktok วรรณวนัช</t>
  </si>
  <si>
    <t>EQQ42</t>
  </si>
  <si>
    <t>ป***รินทร์ ว***รัมย์</t>
  </si>
  <si>
    <t>07/01/2025 10:14</t>
  </si>
  <si>
    <t>THT28221E9NP74Z</t>
  </si>
  <si>
    <t>ขนมปังแถว 12แถว</t>
  </si>
  <si>
    <t>EQQ41</t>
  </si>
  <si>
    <t>******พงพวย, ตำบลจันดุม, อำเภอพลับพลาชัย ตำบลจันดุม อำเภอพลับพลาชัย จังหวัดบุรีรัมย์ 31250</t>
  </si>
  <si>
    <t>31250</t>
  </si>
  <si>
    <t>40</t>
  </si>
  <si>
    <t>07/01/2025 10:42</t>
  </si>
  <si>
    <t>TH28156PDRMP6A</t>
  </si>
  <si>
    <t>07/01/2025 10:12</t>
  </si>
  <si>
    <t>EQQ40</t>
  </si>
  <si>
    <t>ย***ัตน์</t>
  </si>
  <si>
    <t>07/01/2025 10:11</t>
  </si>
  <si>
    <t>THT38011E9QEN8Z</t>
  </si>
  <si>
    <t>EQQ39</t>
  </si>
  <si>
    <t>ว**</t>
  </si>
  <si>
    <t>Sa Kaeo</t>
  </si>
  <si>
    <t>07/01/2025 10:09</t>
  </si>
  <si>
    <t>THT26081E9BA81Z</t>
  </si>
  <si>
    <t>07/01/2025 10:10</t>
  </si>
  <si>
    <t>EQQ38</t>
  </si>
  <si>
    <t>กชณัช ทองคำพงษ์</t>
  </si>
  <si>
    <t>456/36 ม.10 ต.ทุ่งสุขลา
ศรีราชา/ Si Rachaชลบุรี/ Chonburi
20230</t>
  </si>
  <si>
    <t>20230</t>
  </si>
  <si>
    <t>660661247886</t>
  </si>
  <si>
    <t>LEXDO0124224802</t>
  </si>
  <si>
    <t>EQQ34</t>
  </si>
  <si>
    <t>จ***พร ก***นจันทร์</t>
  </si>
  <si>
    <t>07/01/2025 10:06</t>
  </si>
  <si>
    <t>754336227820</t>
  </si>
  <si>
    <t>EQQ33</t>
  </si>
  <si>
    <t>ส***รักษ์ เ***า</t>
  </si>
  <si>
    <t>ชัยนาท</t>
  </si>
  <si>
    <t>07/01/2025 10:03</t>
  </si>
  <si>
    <t>754393316865</t>
  </si>
  <si>
    <t>07/01/2025 10:04</t>
  </si>
  <si>
    <t>EQQ32</t>
  </si>
  <si>
    <t>จ***ทร์ทร  ส***พงษ์</t>
  </si>
  <si>
    <t>07/01/2025 10:02</t>
  </si>
  <si>
    <t>THT27011EA4FS5Z</t>
  </si>
  <si>
    <t>EQQ31</t>
  </si>
  <si>
    <t>วิญญู เกษรักษ์</t>
  </si>
  <si>
    <t>(คลองกุ่มซอย2)บ้านแรกขวามือ 198/4 ม.9 ต.ตะค่า อ.บางปลาม้า จ.สุพรรณบุ
บางปลาม้า/ Bang Pla Maสุพรรณบุรี/ Suphanburi
72150</t>
  </si>
  <si>
    <t>72150</t>
  </si>
  <si>
    <t>660939392327</t>
  </si>
  <si>
    <t>07/01/2025 10:01</t>
  </si>
  <si>
    <t>LEXPU0443405535</t>
  </si>
  <si>
    <t>EQQ29</t>
  </si>
  <si>
    <t>07/01/2025 09:59</t>
  </si>
  <si>
    <t>LEXPU0443391126</t>
  </si>
  <si>
    <t>EQQ28</t>
  </si>
  <si>
    <t>แ***้านกุ้ง</t>
  </si>
  <si>
    <t>07/01/2025 09:58</t>
  </si>
  <si>
    <t>754356329893</t>
  </si>
  <si>
    <t>EQQ26</t>
  </si>
  <si>
    <t>07/01/2025 09:56</t>
  </si>
  <si>
    <t>LEXDO0124221917</t>
  </si>
  <si>
    <t>07/01/2025 09:55</t>
  </si>
  <si>
    <t>12แถว</t>
  </si>
  <si>
    <t>EQQ25</t>
  </si>
  <si>
    <t>Thomas Septelici</t>
  </si>
  <si>
    <t>Alley 2 Rachakarun Park Residence room 305 · บางยี่ขัน/ Bang Yi Khan
บางพลัด/ Bang Phlatกรุงเทพมหานคร/ Bangkok
10700</t>
  </si>
  <si>
    <t>10700</t>
  </si>
  <si>
    <t>660620398268</t>
  </si>
  <si>
    <t>LEXPU0443815777</t>
  </si>
  <si>
    <t>EQQ23</t>
  </si>
  <si>
    <t>ป***าย ท***ิเศษ</t>
  </si>
  <si>
    <t>07/01/2025 09:50</t>
  </si>
  <si>
    <t>THT27161E9ZQH8Z</t>
  </si>
  <si>
    <t>07/01/2025 09:51</t>
  </si>
  <si>
    <t>ชิฟฟ่อนไส้40ชิ้น</t>
  </si>
  <si>
    <t>EQQ22</t>
  </si>
  <si>
    <t>สมพงษ์ ศรีบู (ดิว)</t>
  </si>
  <si>
    <t>50 ม.2 ต.เขมราฐ · เขมราฐ/ Khemarat
เขมราฐ/ Khemaratอุบลราชธานี/ Ubon Ratchathani
34170</t>
  </si>
  <si>
    <t>34170</t>
  </si>
  <si>
    <t>660958092574</t>
  </si>
  <si>
    <t>07/01/2025 09:49</t>
  </si>
  <si>
    <t>TH31056P8YN99A</t>
  </si>
  <si>
    <t>EQQ21</t>
  </si>
  <si>
    <t>ปริศนา.  โทแก้ว</t>
  </si>
  <si>
    <t>132หมู่2 บ้านลุมพุก - ซอยประตูโขงที่2หลังที่4ซ้ายมือ · นาตาล/ Na Tan
นาตาล/ Na Tanอุบลราชธานี/ Ubon Ratchathani
34170</t>
  </si>
  <si>
    <t>660817030940</t>
  </si>
  <si>
    <t>07/01/2025 09:47</t>
  </si>
  <si>
    <t>TH31226PERWG6A</t>
  </si>
  <si>
    <t>EQQ20</t>
  </si>
  <si>
    <t>น***ิทธิศักดิ์  บ***ชิด</t>
  </si>
  <si>
    <t>07/01/2025 09:46</t>
  </si>
  <si>
    <t>THT15061EA0186Z</t>
  </si>
  <si>
    <t>EQQ17</t>
  </si>
  <si>
    <t>ส***ิง พ***เทศ</t>
  </si>
  <si>
    <t>07/01/2025 09:40</t>
  </si>
  <si>
    <t>754325443826</t>
  </si>
  <si>
    <t>07/01/2025 09:39</t>
  </si>
  <si>
    <t>เซ็ทขนมปังแถวยกลัง 12 แถว ขนมปังแผ่น เก็บได้ 10 วัน (จำกัด 1 ลัง ต่อ1การสั่งซื้อ)</t>
  </si>
  <si>
    <t>EQQ16</t>
  </si>
  <si>
    <t>วิภาดา  สังข์สุวรรณ</t>
  </si>
  <si>
    <t>99/246 หมู่บ้านแสนปรีดา 5,7,8  หมู่ที่ 1  ถนนเครือสหพัฒน์ ตำบลบึ
ศรีราชา/ Si Rachaชลบุรี/ Chonburi
20230</t>
  </si>
  <si>
    <t>660825246632</t>
  </si>
  <si>
    <t>07/01/2025 09:38</t>
  </si>
  <si>
    <t>LEXPU0443770310</t>
  </si>
  <si>
    <t>EQQ14</t>
  </si>
  <si>
    <t>นางรุ่ง โสสุด</t>
  </si>
  <si>
    <t>261หมู่12บ้านมะหร
เสลภูมิ/ Selaphumร้อยเอ็ด/ Roi Et
45120</t>
  </si>
  <si>
    <t>45120</t>
  </si>
  <si>
    <t>660934708185</t>
  </si>
  <si>
    <t>07/01/2025 09:37</t>
  </si>
  <si>
    <t>TH42106P9JUY0J</t>
  </si>
  <si>
    <t>EQQ11</t>
  </si>
  <si>
    <t>วรภัทร์ พิมพ์หนู</t>
  </si>
  <si>
    <t>97/2 หมู่2 บ.ห้วยตะโก ต.โคกเดื่อ
ไพศาลี/ Phaisaliนครสวรรค์/ Nakhon Sawan
60220</t>
  </si>
  <si>
    <t>60220</t>
  </si>
  <si>
    <t>660824756899</t>
  </si>
  <si>
    <t>07/01/2025 09:31</t>
  </si>
  <si>
    <t>EQQ8</t>
  </si>
  <si>
    <t>ฐิติมา หมื่นจบ</t>
  </si>
  <si>
    <t>สำนักงานธนารักษ์พื้นที่นครสวรรค์ (ส่วนประเมิน) 49/5 ต.ปากน้ำโพ · ปากน้ำโพ/ Pak Nam Pho
เมืองนครสวรรค์/ Mueang Nakhon Sawanนครสวรรค์/ Nakhon Sawan
60000</t>
  </si>
  <si>
    <t>660800930420</t>
  </si>
  <si>
    <t>07/01/2025 09:23</t>
  </si>
  <si>
    <t>LEXDO0124208500</t>
  </si>
  <si>
    <t>EQQ7</t>
  </si>
  <si>
    <t>ย***น ถ***ับไทย</t>
  </si>
  <si>
    <t>07/01/2025 09:21</t>
  </si>
  <si>
    <t>THT71101E9KND3Z</t>
  </si>
  <si>
    <t>EQQ3</t>
  </si>
  <si>
    <t>Kannika M</t>
  </si>
  <si>
    <t>189/191 หมู่ที่ 3 มบ.พฤกษา 56 (ซ.7) · ในคลองบางปลากด/ Nai Khlong Bang Pla Kot
พระสมุทรเจดีย์/ Phra Samut Chediสมุทรปราการ/ Samut Prakan
10290</t>
  </si>
  <si>
    <t>660894554107</t>
  </si>
  <si>
    <t>07/01/2025 09:12</t>
  </si>
  <si>
    <t>LEXDO0124206012</t>
  </si>
  <si>
    <t>07/01/2025 09:11</t>
  </si>
  <si>
    <t>EQQ1</t>
  </si>
  <si>
    <t>ป***วัลย์ แ***พิพัฒน์</t>
  </si>
  <si>
    <t>07/01/2025 09:08</t>
  </si>
  <si>
    <t>754302729865</t>
  </si>
  <si>
    <t>EQP99</t>
  </si>
  <si>
    <t>วันดี  พลองพิมาย</t>
  </si>
  <si>
    <t>24 ม.15
จักราช/ Chakkaratนครราชสีมา/ Nakhon Ratchasima
30230</t>
  </si>
  <si>
    <t>30230</t>
  </si>
  <si>
    <t>660817751867</t>
  </si>
  <si>
    <t>07/01/2025 09:07</t>
  </si>
  <si>
    <t>TH27066P9DYS9G</t>
  </si>
  <si>
    <t>EQP98</t>
  </si>
  <si>
    <t>ช******น</t>
  </si>
  <si>
    <t>******ลบึงบา อำเภอหนองเสือ จังหวัดปทุมธานี 12170</t>
  </si>
  <si>
    <t>12170</t>
  </si>
  <si>
    <t>07/01/2025 09:35</t>
  </si>
  <si>
    <t>TH259258230584T</t>
  </si>
  <si>
    <t>07/01/2025 09:05</t>
  </si>
  <si>
    <t>EQP97</t>
  </si>
  <si>
    <t>น******ว</t>
  </si>
  <si>
    <t>******ราษฎร์ ตำบลเด่นราษฎร์ อำเภอหนองฮี จังหวัดร้อยเอ็ด 45140</t>
  </si>
  <si>
    <t>45140</t>
  </si>
  <si>
    <t>02</t>
  </si>
  <si>
    <t>07/01/2025 09:33</t>
  </si>
  <si>
    <t>TH42196P8QMQ8D</t>
  </si>
  <si>
    <t>07/01/2025 09:03</t>
  </si>
  <si>
    <t>EQP96</t>
  </si>
  <si>
    <t>ก***ตรา ด***ระทุม</t>
  </si>
  <si>
    <t>07/01/2025 09:02</t>
  </si>
  <si>
    <t>THT33011E9ARY1Z</t>
  </si>
  <si>
    <t>EQP95</t>
  </si>
  <si>
    <t>สุภารัตน์  วิบูลย์เวชวาณิชย์</t>
  </si>
  <si>
    <t>147/3  หมู่  5  ต.  ห้วยกะปิ
เมืองชลบุรี/ Mueang Chon Buriชลบุรี/ Chonburi
20130</t>
  </si>
  <si>
    <t>20130</t>
  </si>
  <si>
    <t>660819113142</t>
  </si>
  <si>
    <t>07/01/2025 09:00</t>
  </si>
  <si>
    <t>LEXDO0124206014</t>
  </si>
  <si>
    <t>EQP94</t>
  </si>
  <si>
    <t>อ***ุอร ส***์โต</t>
  </si>
  <si>
    <t>07/01/2025 08:59</t>
  </si>
  <si>
    <t>754361813870</t>
  </si>
  <si>
    <t>EQP93</t>
  </si>
  <si>
    <t>นิยดา</t>
  </si>
  <si>
    <t>35/3-4 ม.5 ต.ลำพยา บริษัท วิทยาศรม จำกัด
เมืองนครปฐม/ Mueang Nakhon Pathomนครปฐม/ Nakhon Pathom
73000</t>
  </si>
  <si>
    <t>660818569073</t>
  </si>
  <si>
    <t>07/01/2025 08:56</t>
  </si>
  <si>
    <t>LEXDO0124206277</t>
  </si>
  <si>
    <t>EQP92</t>
  </si>
  <si>
    <t>พัชรี  บุญทิพย์</t>
  </si>
  <si>
    <t>70ม.3 ต.แจระแม
เมืองอุบลราชธานี/ Mueang Ubon Ratchathaniอุบลราชธานี/ Ubon Ratchathani
34000</t>
  </si>
  <si>
    <t>34000</t>
  </si>
  <si>
    <t>660827549718</t>
  </si>
  <si>
    <t>LEXDO0124222312</t>
  </si>
  <si>
    <t>EQP91</t>
  </si>
  <si>
    <t>ธ***รัตน์  ว***ภักดี</t>
  </si>
  <si>
    <t>07/01/2025 08:55</t>
  </si>
  <si>
    <t>THT30111E9MSN3Z</t>
  </si>
  <si>
    <t>EQP90</t>
  </si>
  <si>
    <t>จ***พร ด***นท์</t>
  </si>
  <si>
    <t>07/01/2025 08:54</t>
  </si>
  <si>
    <t>THT41061EAAZM2Z</t>
  </si>
  <si>
    <t>EQP89</t>
  </si>
  <si>
    <t>07/01/2025 08:53</t>
  </si>
  <si>
    <t>THT30111E9QFC8Z</t>
  </si>
  <si>
    <t>EQP88</t>
  </si>
  <si>
    <t>ป***พร​ พ***กดิ์</t>
  </si>
  <si>
    <t>754311834894</t>
  </si>
  <si>
    <t>EQP87</t>
  </si>
  <si>
    <t>LEXDO0124206354</t>
  </si>
  <si>
    <t>07/01/2025 08:52</t>
  </si>
  <si>
    <t>EQP86</t>
  </si>
  <si>
    <t>ธ***รัตน์   น***ทธิ์</t>
  </si>
  <si>
    <t>07/01/2025 08:49</t>
  </si>
  <si>
    <t>THT68181EABBS0Z</t>
  </si>
  <si>
    <t>07/01/2025 08:50</t>
  </si>
  <si>
    <t>EQP85</t>
  </si>
  <si>
    <t>ร***รา   ร***ีภูมิ</t>
  </si>
  <si>
    <t>07/01/2025 08:47</t>
  </si>
  <si>
    <t>754339245881</t>
  </si>
  <si>
    <t>EQP84</t>
  </si>
  <si>
    <t>นูรไซดา.  หะยีซิดิ</t>
  </si>
  <si>
    <t>ห้อง2.  ห้องแถวสีฟ้า หลังตลาดนัดข้างปั๊มบ.ต.ท.  · หนองพลับ/ Nong Phlap
หัวหิน/ Hua Hinประจวบคีรีขันธ์/ Prachuap Khiri Khan
77110</t>
  </si>
  <si>
    <t>77110</t>
  </si>
  <si>
    <t>660822088128</t>
  </si>
  <si>
    <t>07/01/2025 08:43</t>
  </si>
  <si>
    <t>EQP83</t>
  </si>
  <si>
    <t>ส***รณ์กระเป๋าทอง</t>
  </si>
  <si>
    <t>07/01/2025 08:42</t>
  </si>
  <si>
    <t>THT07031E9PT30Z</t>
  </si>
  <si>
    <t>EQP82</t>
  </si>
  <si>
    <t>อธิติมา​ เมี้ยนชัยภูมิ</t>
  </si>
  <si>
    <t>128 หมู่3 ต.ไทยสามัคคี · ไทยสามัคคี/ Thai Samakkhi
หนองหงส์/ Nong Hongบุรีรัมย์/ Buriram
31240</t>
  </si>
  <si>
    <t>31240</t>
  </si>
  <si>
    <t>660876999361</t>
  </si>
  <si>
    <t>07/01/2025 08:38</t>
  </si>
  <si>
    <t>TH28146P8J8Y8C</t>
  </si>
  <si>
    <t>EQP81</t>
  </si>
  <si>
    <t>07/01/2025 09:06</t>
  </si>
  <si>
    <t>TH13056PDP783F</t>
  </si>
  <si>
    <t>07/01/2025 08:36</t>
  </si>
  <si>
    <t>EQP80</t>
  </si>
  <si>
    <t>07/01/2025 09:04</t>
  </si>
  <si>
    <t>TH13056PDR8J4F</t>
  </si>
  <si>
    <t>07/01/2025 08:34</t>
  </si>
  <si>
    <t>EQP79</t>
  </si>
  <si>
    <t>เล็ก</t>
  </si>
  <si>
    <t>30หมู่10 · เขาชะงุ้ม/ Khao Cha-ngum
โพธาราม/ Photharamราชบุรี/ Ratchaburi
70120</t>
  </si>
  <si>
    <t>660636203679</t>
  </si>
  <si>
    <t>07/01/2025 08:29</t>
  </si>
  <si>
    <t>LEXDO0124208689</t>
  </si>
  <si>
    <t>EQP78</t>
  </si>
  <si>
    <t>ม***นันท์ ห***านต์</t>
  </si>
  <si>
    <t>THT04011E9YMN6Z</t>
  </si>
  <si>
    <t>EQP77</t>
  </si>
  <si>
    <t>ปริศนา โทแก้ว</t>
  </si>
  <si>
    <t>132หมู่2บ้านลุมพุก · นาตาล/ Na Tan
นาตาล/ Na Tanอุบลราชธานี/ Ubon Ratchathani
34170</t>
  </si>
  <si>
    <t>660863740699</t>
  </si>
  <si>
    <t>TH31226P8PZZ2A</t>
  </si>
  <si>
    <t>EQP76</t>
  </si>
  <si>
    <t>ก***ิมา</t>
  </si>
  <si>
    <t>07/01/2025 08:25</t>
  </si>
  <si>
    <t>THT20101E9YYW0Z</t>
  </si>
  <si>
    <t>07/01/2025 08:26</t>
  </si>
  <si>
    <t>EQP75</t>
  </si>
  <si>
    <t>อ***ณา ช***ล้วน</t>
  </si>
  <si>
    <t>07/01/2025 08:12</t>
  </si>
  <si>
    <t>754329711844</t>
  </si>
  <si>
    <t>EQP74</t>
  </si>
  <si>
    <t>ไ***</t>
  </si>
  <si>
    <t>07/01/2025 08:09</t>
  </si>
  <si>
    <t>THT21061E9CED1Z</t>
  </si>
  <si>
    <t>EQP73</t>
  </si>
  <si>
    <t>ภาคภูมิ เชื้อคำฟู</t>
  </si>
  <si>
    <t>70/27 ม.2 ต.ช้างเผือก อ.เมือง 1,000,000ป้ายดีไซน์ · ช้างเผือก/ Chang Phueak
เมืองเชียงใหม่/ Mueang Chiang Maiเชียงใหม่/ Chiang Mai
50300</t>
  </si>
  <si>
    <t>50300</t>
  </si>
  <si>
    <t>660819921644</t>
  </si>
  <si>
    <t>LEXDO0124206718</t>
  </si>
  <si>
    <t>07/01/2025 08:08</t>
  </si>
  <si>
    <t>EQP72</t>
  </si>
  <si>
    <t>ต***ตา ป***พร T*</t>
  </si>
  <si>
    <t>07/01/2025 08:07</t>
  </si>
  <si>
    <t>***ขออนุญาตไม่รับช็อกโกแลตค่ะ***</t>
  </si>
  <si>
    <t>754321743803</t>
  </si>
  <si>
    <t>EQP71</t>
  </si>
  <si>
    <t>เ*** แ***ฒ่า</t>
  </si>
  <si>
    <t>07/01/2025 07:58</t>
  </si>
  <si>
    <t>754370431824</t>
  </si>
  <si>
    <t>EQP70</t>
  </si>
  <si>
    <t>สิริกร สกุลจตุรพร</t>
  </si>
  <si>
    <t>123/446 ม.ห้วยปราบเมืองทอง 1 ซอย A9 หมู่3 ต.บ่อวิน อ.ศรีราชา
ศรีราชา/ Si Rachaชลบุรี/ Chonburi
20230</t>
  </si>
  <si>
    <t>660943256615</t>
  </si>
  <si>
    <t>07/01/2025 08:00</t>
  </si>
  <si>
    <t>LEXDO0124206019</t>
  </si>
  <si>
    <t>07/01/2025 07:57</t>
  </si>
  <si>
    <t>EQP68</t>
  </si>
  <si>
    <t>07/01/2025 07:51</t>
  </si>
  <si>
    <t>520004280830</t>
  </si>
  <si>
    <t>EQP67</t>
  </si>
  <si>
    <t>ส***ล ศ***ภัย</t>
  </si>
  <si>
    <t>754321145826</t>
  </si>
  <si>
    <t>EQP66</t>
  </si>
  <si>
    <t>ญาราภรณ์  วงษ์โสภา</t>
  </si>
  <si>
    <t>องค์การบริหารส่วนจังหวัดยโสธร (ส่งสินค้า จันทร์-ศุกร์ เท่านั้น) ตำบลในเมือง · ในเมือง/ Nai Mueang
เมืองยโสธร/ Mueang Yasothonยโสธร/ Yasothon
35000</t>
  </si>
  <si>
    <t>35000</t>
  </si>
  <si>
    <t>660943239463</t>
  </si>
  <si>
    <t>07/01/2025 07:46</t>
  </si>
  <si>
    <t>TH32016P9E3A9C</t>
  </si>
  <si>
    <t>EQP65</t>
  </si>
  <si>
    <t>เ******ล</t>
  </si>
  <si>
    <t>******26)  ถ.สุขุมวิท 101/1 บางจาก แขวงบางจาก เขตพระโขนง จังหวัดกรุงเทพมหานคร 10260</t>
  </si>
  <si>
    <t>10260</t>
  </si>
  <si>
    <t>07/01/2025 07:44</t>
  </si>
  <si>
    <t>TH257170367522X</t>
  </si>
  <si>
    <t>07/01/2025 07:40</t>
  </si>
  <si>
    <t>EQP64</t>
  </si>
  <si>
    <t>ปัทมา ศิริรุ้งโรจน์</t>
  </si>
  <si>
    <t>28/1 ถ.พิชัยตัดใหม่ ต.เมืองสวรรคโลก · เมืองสวรรคโลก/ Mueang Sawankhalok
สวรรคโลก/ Sawankhalokสุโขทัย/ Sukhothai
64110</t>
  </si>
  <si>
    <t>64110</t>
  </si>
  <si>
    <t>660813852306</t>
  </si>
  <si>
    <t>07/01/2025 07:31</t>
  </si>
  <si>
    <t>TH60076P8GDT8A</t>
  </si>
  <si>
    <t>EQP63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</si>
  <si>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</si>
  <si>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</si>
  <si>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</si>
  <si>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LEXDO0124205760</t>
  </si>
  <si>
    <t>EQP62</t>
  </si>
  <si>
    <t>ว***กานต์ ท***ุ</t>
  </si>
  <si>
    <t>07/01/2025 07:27</t>
  </si>
  <si>
    <t>754389531895</t>
  </si>
  <si>
    <t>EQP61</t>
  </si>
  <si>
    <t>******ีลัง, อำเภอพัฒนานิคม ตำบลดีลัง อำเภอพัฒนานิคม จังหวัดลพบุรี 15220</t>
  </si>
  <si>
    <t>15220</t>
  </si>
  <si>
    <t>07/01/2025 07:21</t>
  </si>
  <si>
    <t>TH259872271990Z</t>
  </si>
  <si>
    <t>EQP60</t>
  </si>
  <si>
    <t>ส***รัตน์  แ***ทรัพย์ทวีกุล</t>
  </si>
  <si>
    <t>07/01/2025 07:17</t>
  </si>
  <si>
    <t>754305216615</t>
  </si>
  <si>
    <t>EQP59</t>
  </si>
  <si>
    <t>พัชรินทร์ ดีพร้อม</t>
  </si>
  <si>
    <t>28/8 ซอย พึ่งบุญ หมู่5 · ชากพง/ Chak Phong
แกลง/ Klaengระยอง/ Rayong
21190</t>
  </si>
  <si>
    <t>21190</t>
  </si>
  <si>
    <t>660882196046</t>
  </si>
  <si>
    <t>07/01/2025 07:11</t>
  </si>
  <si>
    <t>LEXDO0124099008</t>
  </si>
  <si>
    <t>EQP57</t>
  </si>
  <si>
    <t>ก*** บ***รี</t>
  </si>
  <si>
    <t>07/01/2025 07:03</t>
  </si>
  <si>
    <t>754329461524</t>
  </si>
  <si>
    <t>EQP55</t>
  </si>
  <si>
    <t>สุชาติ แก้วสุวรรณ์</t>
  </si>
  <si>
    <t>1/25 หมู่บ้านบูรพาซิตี้ ต.บางวัว
บางปะกง/ Bang Pakongฉะเชิงเทรา/ Chachoengsao
24130</t>
  </si>
  <si>
    <t>660874890111</t>
  </si>
  <si>
    <t>LEXDO0124222287</t>
  </si>
  <si>
    <t>07/01/2025 06:58</t>
  </si>
  <si>
    <t>EQP54</t>
  </si>
  <si>
    <t>ไ***ํา</t>
  </si>
  <si>
    <t>07/01/2025 06:57</t>
  </si>
  <si>
    <t>THT34011E6B9M5Z</t>
  </si>
  <si>
    <t>EQP53</t>
  </si>
  <si>
    <t>TH24036P9EVU9D</t>
  </si>
  <si>
    <t>07/01/2025 06:56</t>
  </si>
  <si>
    <t>EQP52</t>
  </si>
  <si>
    <t>น***ัศนา ค***ิน</t>
  </si>
  <si>
    <t>07/01/2025 06:55</t>
  </si>
  <si>
    <t>THT62041E6WXT5Z</t>
  </si>
  <si>
    <t>EQP50</t>
  </si>
  <si>
    <t>กุลภัทร์ จันทิมา บุญเต็ม</t>
  </si>
  <si>
    <t>หมู่2บ้านน้ำท่วมต.สะโนอ.สำโรงทาบจ.สุรินทร์32170 · สะโน/ Sano
สำโรงทาบ/ Samrong Thapสุรินทร์/ Surin
32170</t>
  </si>
  <si>
    <t>32170</t>
  </si>
  <si>
    <t>660925305875</t>
  </si>
  <si>
    <t>07/01/2025 06:54</t>
  </si>
  <si>
    <t>TH29126P1H6X0I</t>
  </si>
  <si>
    <t>EQP49</t>
  </si>
  <si>
    <t>น***าวธัญสิริ พ***อบ</t>
  </si>
  <si>
    <t>07/01/2025 06:47</t>
  </si>
  <si>
    <t>754350205626</t>
  </si>
  <si>
    <t>EQP48</t>
  </si>
  <si>
    <t>07/01/2025 06:42</t>
  </si>
  <si>
    <t>TH29126P1JMA4I</t>
  </si>
  <si>
    <t>EQP47</t>
  </si>
  <si>
    <t>สมพร สร้อยศรี</t>
  </si>
  <si>
    <t>40 หมู่ 4 ตำบลเกาะเปริด
แหลมสิงห์/ Laem Singจันทบุรี/ Chanthaburi
22130</t>
  </si>
  <si>
    <t>22130</t>
  </si>
  <si>
    <t>660922536777</t>
  </si>
  <si>
    <t>07/01/2025 06:39</t>
  </si>
  <si>
    <t>LEXDO0124086477</t>
  </si>
  <si>
    <t>EQP46</t>
  </si>
  <si>
    <t>สุพิชชา สีหาบุราณ</t>
  </si>
  <si>
    <t>รพ.นาโพธิ์ ต.ศรีสว่าง
นาโพธิ์/ Na Phoบุรีรัมย์/ Buriram
31230</t>
  </si>
  <si>
    <t>31230</t>
  </si>
  <si>
    <t>660935400879</t>
  </si>
  <si>
    <t>07/01/2025 06:35</t>
  </si>
  <si>
    <t>TH28136P2HB23E</t>
  </si>
  <si>
    <t>EQP45</t>
  </si>
  <si>
    <t>******.เมือง จ.ลพบุรี ตำบลบางขันหมาก อำเภอเมืองลพบุรี จังหวัดลพบุรี 15000</t>
  </si>
  <si>
    <t>15000</t>
  </si>
  <si>
    <t>23</t>
  </si>
  <si>
    <t>07/01/2025 06:20</t>
  </si>
  <si>
    <t>TH2588602969064</t>
  </si>
  <si>
    <t>07/01/2025 06:19</t>
  </si>
  <si>
    <t>EQP44</t>
  </si>
  <si>
    <t>07/01/2025 06:14</t>
  </si>
  <si>
    <t>THT01231E6X085Z</t>
  </si>
  <si>
    <t>EQP43</t>
  </si>
  <si>
    <t>ฉ***รรณ ส***ัว</t>
  </si>
  <si>
    <t>07/01/2025 06:12</t>
  </si>
  <si>
    <t>THT37121E79ZA8Z</t>
  </si>
  <si>
    <t>EQP42</t>
  </si>
  <si>
    <t>แ***หมียว เ***วเล็บ</t>
  </si>
  <si>
    <t>สิงห์บุรี</t>
  </si>
  <si>
    <t>07/01/2025 05:57</t>
  </si>
  <si>
    <t>754328370773</t>
  </si>
  <si>
    <t>EQP41</t>
  </si>
  <si>
    <t>กรรณิการ์ อะโบดารา</t>
  </si>
  <si>
    <t>32 ม.4 หมู่บ้านอำพรวิลล่า ซ.โกสุมรวมใจ 37 แยก8
ดอนเมือง/ Don Mueangกรุงเทพมหานคร/ Bangkok
10210</t>
  </si>
  <si>
    <t>660908866196</t>
  </si>
  <si>
    <t>07/01/2025 05:54</t>
  </si>
  <si>
    <t>LEXPU0442891190</t>
  </si>
  <si>
    <t>EQP40</t>
  </si>
  <si>
    <t>ส***ญญา ไ***ลิศ</t>
  </si>
  <si>
    <t>07/01/2025 05:55</t>
  </si>
  <si>
    <t>754354861525</t>
  </si>
  <si>
    <t>EQP39</t>
  </si>
  <si>
    <t>ศิริลักษณ์ สรรพจักร</t>
  </si>
  <si>
    <t>130 ม.3 ต.ช่อง · นาโยงใต้/ Na Yong Tai
เมืองตรัง/ Mueang Trangตรัง/ Trang
92170</t>
  </si>
  <si>
    <t>92170</t>
  </si>
  <si>
    <t>660805422687</t>
  </si>
  <si>
    <t>07/01/2025 05:46</t>
  </si>
  <si>
    <t>LEXDO0124086254</t>
  </si>
  <si>
    <t>EQP38</t>
  </si>
  <si>
    <t>จันทิมา บุญเต็ม</t>
  </si>
  <si>
    <t>37หมู่2บ้านน้ำท่วม ต.สะโนอ.สำโรงทาบจ.สุรินทร์ · สะโน/ Sano
สำโรงทาบ/ Samrong Thapสุรินทร์/ Surin
32170</t>
  </si>
  <si>
    <t>07/01/2025 05:31</t>
  </si>
  <si>
    <t>TH29126P1J7P7I</t>
  </si>
  <si>
    <t>EQP37</t>
  </si>
  <si>
    <t>ป***ิ  แ***หล่า</t>
  </si>
  <si>
    <t>07/01/2025 05:24</t>
  </si>
  <si>
    <t>754341990581</t>
  </si>
  <si>
    <t>EQP36</t>
  </si>
  <si>
    <t>07/01/2025 05:18</t>
  </si>
  <si>
    <t>754318889763</t>
  </si>
  <si>
    <t>EQP35</t>
  </si>
  <si>
    <t>น** อ***ิญาน์ ใ***ง</t>
  </si>
  <si>
    <t>07/01/2025 05:17</t>
  </si>
  <si>
    <t>754326483761</t>
  </si>
  <si>
    <t>EQP31</t>
  </si>
  <si>
    <t>บังช็อป</t>
  </si>
  <si>
    <t>82/44 ม.8 ต.อ้อมใหญ่ 82/44 ม.8 · อ้อมใหญ่/ Om Yai
สามพราน/ Sam Phranนครปฐม/ Nakhon Pathom
73160</t>
  </si>
  <si>
    <t>73160</t>
  </si>
  <si>
    <t>660991435226</t>
  </si>
  <si>
    <t>07/01/2025 04:16</t>
  </si>
  <si>
    <t>LEXDO0124086579</t>
  </si>
  <si>
    <t>07/01/2025 03:59</t>
  </si>
  <si>
    <t>EQP29</t>
  </si>
  <si>
    <t>นางสาวสมพร บุญล้อม</t>
  </si>
  <si>
    <t>48/13 ซอยนวมินทร์ ถนนนวมินทร์ แขวงคลองกุ่ม เขตบึงกุ่ม กรุงเทพ เกษกมลคอนโด ชั้น1 · นวมินทร์/ Nawamin
บึงกุ่ม/ Bueng Kumกรุงเทพมหานคร/ Bangkok
10230</t>
  </si>
  <si>
    <t>660647316646</t>
  </si>
  <si>
    <t>07/01/2025 03:39</t>
  </si>
  <si>
    <t>LEXDO0124100363</t>
  </si>
  <si>
    <t>EQP27</t>
  </si>
  <si>
    <t>ร้อยตรีวัฒน นูมหันต์</t>
  </si>
  <si>
    <t>บ้านนันทิชาการ์เด้น บ้านเลขที่ 29/129 หมู่ 10 · ลำลูกกา/ Lum Luk Ka
ลำลูกกา/ Lam Luk Kaปทุมธานี/ Pathum Thani
12150</t>
  </si>
  <si>
    <t>660870497978</t>
  </si>
  <si>
    <t>07/01/2025 03:17</t>
  </si>
  <si>
    <t>LEXPU0442876606</t>
  </si>
  <si>
    <t>07/01/2025 03:15</t>
  </si>
  <si>
    <t>EQP26</t>
  </si>
  <si>
    <t>บ***่วย   ล***ุณเสน</t>
  </si>
  <si>
    <t>07/01/2025 03:08</t>
  </si>
  <si>
    <t>754321702654</t>
  </si>
  <si>
    <t>07/01/2025 03:09</t>
  </si>
  <si>
    <t>EQP23</t>
  </si>
  <si>
    <t>บ***ทธิ์ อ***สถียร</t>
  </si>
  <si>
    <t>ตราด</t>
  </si>
  <si>
    <t>07/01/2025 02:53</t>
  </si>
  <si>
    <t>THT23011E7A1G4Z</t>
  </si>
  <si>
    <t>EQP22</t>
  </si>
  <si>
    <t>ร**  พ***าะ</t>
  </si>
  <si>
    <t>07/01/2025 02:35</t>
  </si>
  <si>
    <t>THT27041E7A332Z</t>
  </si>
  <si>
    <t>07/01/2025 02:36</t>
  </si>
  <si>
    <t>EQP21</t>
  </si>
  <si>
    <t>07/01/2025 02:34</t>
  </si>
  <si>
    <t>754376413626</t>
  </si>
  <si>
    <t>EQP20</t>
  </si>
  <si>
    <t>ส***ือง  ใ***าน</t>
  </si>
  <si>
    <t>07/01/2025 02:28</t>
  </si>
  <si>
    <t>754363978771</t>
  </si>
  <si>
    <t>EQP19</t>
  </si>
  <si>
    <t>ว***พล พ***จะบก</t>
  </si>
  <si>
    <t>07/01/2025 02:10</t>
  </si>
  <si>
    <t>754382371746</t>
  </si>
  <si>
    <t>EQP18</t>
  </si>
  <si>
    <t>ว***พร</t>
  </si>
  <si>
    <t>07/01/2025 01:32</t>
  </si>
  <si>
    <t>754392774752</t>
  </si>
  <si>
    <t>07/01/2025 01:34</t>
  </si>
  <si>
    <t>EQP17</t>
  </si>
  <si>
    <t>ธิติวรรณ สุดชา</t>
  </si>
  <si>
    <t>25/53 ม.2ต.บ้านสวน
เมืองชลบุรี/ Mueang Chon Buriชลบุรี/ Chonburi
20000</t>
  </si>
  <si>
    <t>20000</t>
  </si>
  <si>
    <t>660950320652</t>
  </si>
  <si>
    <t>07/01/2025 01:33</t>
  </si>
  <si>
    <t>LEXDO0124086670</t>
  </si>
  <si>
    <t>EQP14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</si>
  <si>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</si>
  <si>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</si>
  <si>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660854881414</t>
  </si>
  <si>
    <t>07/01/2025 00:56</t>
  </si>
  <si>
    <t>LEXPU0442874056</t>
  </si>
  <si>
    <t>07/01/2025 00:55</t>
  </si>
  <si>
    <t>EQP13</t>
  </si>
  <si>
    <t>มานพ  ปรียานุพันธ์</t>
  </si>
  <si>
    <t>ร้านสหรุ่งโรจน์2002 158ม.10ต.หนองโก
กระนวน/ Kranuanขอนแก่น/ Khon Kaen
40170</t>
  </si>
  <si>
    <t>40170</t>
  </si>
  <si>
    <t>660818724062</t>
  </si>
  <si>
    <t>07/01/2025 00:37</t>
  </si>
  <si>
    <t>TH37096P2JTN0A</t>
  </si>
  <si>
    <t>EQP12</t>
  </si>
  <si>
    <t>พ***ต โ***ปัญญา</t>
  </si>
  <si>
    <t>07/01/2025 00:35</t>
  </si>
  <si>
    <t>754324985536</t>
  </si>
  <si>
    <t>EQP11</t>
  </si>
  <si>
    <t>s***pornnaka74</t>
  </si>
  <si>
    <t>07/01/2025 00:29</t>
  </si>
  <si>
    <t>754370072735</t>
  </si>
  <si>
    <t>EQP10</t>
  </si>
  <si>
    <t>07/01/2025 00:28</t>
  </si>
  <si>
    <t>LEXPU0442890951</t>
  </si>
  <si>
    <t>EQP9</t>
  </si>
  <si>
    <t>พรศิริ  พงศ์พเยีย</t>
  </si>
  <si>
    <t>86 หมู่5
ชุมแสง/ Chum Saengนครสวรรค์/ Nakhon Sawan
60250</t>
  </si>
  <si>
    <t>60250</t>
  </si>
  <si>
    <t>660917536382</t>
  </si>
  <si>
    <t>07/01/2025 00:27</t>
  </si>
  <si>
    <t>TH56036P2RWW3B</t>
  </si>
  <si>
    <t>EQP8</t>
  </si>
  <si>
    <t>นางนราภรณ์  มูลผลา</t>
  </si>
  <si>
    <t>80 ถ.จันทร์อํานวย  อ.พนัสนิคม  จ.ชลบุรี
พนัสนิคม/ Phanat Nikhomชลบุรี/ Chonburi
20140</t>
  </si>
  <si>
    <t>20140</t>
  </si>
  <si>
    <t>660994972552</t>
  </si>
  <si>
    <t>LEXPU0442858261</t>
  </si>
  <si>
    <t>EQP7</t>
  </si>
  <si>
    <t>กมลวรรธ์น   สุวรรณ</t>
  </si>
  <si>
    <t>ถนนช่างอากาศอุทิศ 15  แขวงดอนเมือง 113/62 · ดอนเมือง/ Don Mueang
ดอนเมือง/ Don Mueangกรุงเทพมหานคร/ Bangkok
10210</t>
  </si>
  <si>
    <t>660970076296</t>
  </si>
  <si>
    <t>07/01/2025 00:26</t>
  </si>
  <si>
    <t>LEXDO0124100387</t>
  </si>
  <si>
    <t>EQP5</t>
  </si>
  <si>
    <t>สรัญญา สุวรรณ</t>
  </si>
  <si>
    <t>12/8 ม.4 ต.ริมใต้ · ริมใต้/ Rim Tai
แม่ริม/ Mae Rimเชียงใหม่/ Chiang Mai
50180</t>
  </si>
  <si>
    <t>50180</t>
  </si>
  <si>
    <t>660825039845</t>
  </si>
  <si>
    <t>07/01/2025 00:24</t>
  </si>
  <si>
    <t>LEXDO0124101266</t>
  </si>
  <si>
    <t>EQP4</t>
  </si>
  <si>
    <t>ว***วี</t>
  </si>
  <si>
    <t>07/01/2025 00:13</t>
  </si>
  <si>
    <t>เค้กเบาหวิวที่คละรสให้ขอมีรสเนยนม ฝอยทอง ใบเตย มาให้บ้างนะคะ พอดีต้องเอาไปให้คนแก่อะค่ะ</t>
  </si>
  <si>
    <t>THT13041E6E9T8Z</t>
  </si>
  <si>
    <t>EQP2</t>
  </si>
  <si>
    <t>Tan</t>
  </si>
  <si>
    <t>39/52 ประชาอุทิศ 91 แขวงทุ่งครุ เขตทุ่งครุ
ทุ่งครุ/ Thung Khruกรุงเทพมหานคร/ Bangkok
10140</t>
  </si>
  <si>
    <t>660956350398</t>
  </si>
  <si>
    <t>07/01/2025 14:24</t>
  </si>
  <si>
    <t>LEXDO0124222416</t>
  </si>
  <si>
    <t>06/01/2025 23:37</t>
  </si>
  <si>
    <t>EQP1</t>
  </si>
  <si>
    <t>ส***้ม  ร***ทำเล็บ</t>
  </si>
  <si>
    <t>06/01/2025 23:36</t>
  </si>
  <si>
    <t>754309404645</t>
  </si>
  <si>
    <t>EQP0</t>
  </si>
  <si>
    <t>ด***ร ศ***ชัย</t>
  </si>
  <si>
    <t>06/01/2025 23:26</t>
  </si>
  <si>
    <t>THT01011E68NY3Z</t>
  </si>
  <si>
    <t>EQO99</t>
  </si>
  <si>
    <t>ร*** เ***มดี ม***มาร์ท</t>
  </si>
  <si>
    <t>06/01/2025 23:23</t>
  </si>
  <si>
    <t>754358300651</t>
  </si>
  <si>
    <t>EQO98</t>
  </si>
  <si>
    <t>อิสสริยา ทิพย์มหัทธน</t>
  </si>
  <si>
    <t>33/3 หมู่ 9 ตำบลบ้านโคก
เมืองเพชรบูรณ์/ Mueang Phetchabunเพชรบูรณ์/ Phetchabun
67000</t>
  </si>
  <si>
    <t>660965540954</t>
  </si>
  <si>
    <t>06/01/2025 23:19</t>
  </si>
  <si>
    <t>LEXDO0124103526</t>
  </si>
  <si>
    <t>EQO97</t>
  </si>
  <si>
    <t>พ***ร ช***ายัณห์</t>
  </si>
  <si>
    <t>06/01/2025 23:09</t>
  </si>
  <si>
    <t>THT24041E6T483Z</t>
  </si>
  <si>
    <t>EQO96</t>
  </si>
  <si>
    <t>ศ***ักษณ์  ว***พงศ์</t>
  </si>
  <si>
    <t>06/01/2025 23:07</t>
  </si>
  <si>
    <t>THT64091E6EEX7Z</t>
  </si>
  <si>
    <t>EQO95</t>
  </si>
  <si>
    <t>ma chaw</t>
  </si>
  <si>
    <t>เลขที่ 64/10ซอยนพคุณตำบลธงชายสามแยกดอนสำราญ · กำเนิดนพคุณ/ Kamnoet Nopphakhun
บางสะพาน/ Bang Saphanประจวบคีรีขันธ์/ Prachuap Khiri Khan
77140</t>
  </si>
  <si>
    <t>660800499180</t>
  </si>
  <si>
    <t>06/01/2025 23:05</t>
  </si>
  <si>
    <t>TH19046P2RMH0G</t>
  </si>
  <si>
    <t>EQO94</t>
  </si>
  <si>
    <t>น้ำทิพย์ (ร้านเจ๊อ้อย)</t>
  </si>
  <si>
    <t>45 ม.4 · หนองโสน/ Nong Sano
เมืองเพชรบุรี/ Mueang Phetchaburiเพชรบุรี/ Phetchaburi
76000</t>
  </si>
  <si>
    <t>76000</t>
  </si>
  <si>
    <t>660939528875</t>
  </si>
  <si>
    <t>06/01/2025 22:46</t>
  </si>
  <si>
    <t>LEXDO0124103642</t>
  </si>
  <si>
    <t>EQO93</t>
  </si>
  <si>
    <t xml:space="preserve">ร***า </t>
  </si>
  <si>
    <t>06/01/2025 22:42</t>
  </si>
  <si>
    <t>754308602644</t>
  </si>
  <si>
    <t>EQO92</t>
  </si>
  <si>
    <t>น***ัตน์ เ***เปี่ยม</t>
  </si>
  <si>
    <t>754319293501</t>
  </si>
  <si>
    <t>EQO91</t>
  </si>
  <si>
    <t>06/01/2025 22:41</t>
  </si>
  <si>
    <t>754330573776</t>
  </si>
  <si>
    <t>EQO90</t>
  </si>
  <si>
    <t>นิตยา พลเยี่ยม</t>
  </si>
  <si>
    <t>36/1 ม.4 ถนน เอกชัย ต.นาดี อ.เมืองสมุทรสาคร
เมืองสมุทรสาคร/ Mueang Samut Sakhonสมุทรสาคร/ Samut Sakhon
74000</t>
  </si>
  <si>
    <t>660805856502</t>
  </si>
  <si>
    <t>06/01/2025 22:35</t>
  </si>
  <si>
    <t>LEXPU0442873906</t>
  </si>
  <si>
    <t>EQO89</t>
  </si>
  <si>
    <t>พ.ท.พิศณุพงศ์ แป้นจันทร์</t>
  </si>
  <si>
    <t>99/84 หมู่บ้านดาริน หมู่ 1 บ้านสวน ซอย 11 ต.บ้านสวน อ.เมือง จ.ชลบุรึ 20000
เมืองชลบุรี/ Mueang Chon Buriชลบุรี/ Chonburi
20000</t>
  </si>
  <si>
    <t>660899327224</t>
  </si>
  <si>
    <t>06/01/2025 22:33</t>
  </si>
  <si>
    <t>LEXPU0442876273</t>
  </si>
  <si>
    <t>EQO87</t>
  </si>
  <si>
    <t>Kay Zin Lin</t>
  </si>
  <si>
    <t>66/2-6 Moo.4 khok krabue subdistrict mueang samut sakhon  · คอกกระบือ/ Khok Krabue
เมืองสมุทรสาคร/ Mueang Samut Sakhonสมุทรสาคร/ Samut Sakhon
74000</t>
  </si>
  <si>
    <t>660661024003</t>
  </si>
  <si>
    <t>06/01/2025 22:32</t>
  </si>
  <si>
    <t>LEXDO0124086791</t>
  </si>
  <si>
    <t>06/01/2025 22:31</t>
  </si>
  <si>
    <t>EQO86</t>
  </si>
  <si>
    <t>น***ดายุ ส***วัสดิ์</t>
  </si>
  <si>
    <t>ระนอง</t>
  </si>
  <si>
    <t>06/01/2025 22:28</t>
  </si>
  <si>
    <t>754377387540</t>
  </si>
  <si>
    <t>06/01/2025 22:27</t>
  </si>
  <si>
    <t>EQO85</t>
  </si>
  <si>
    <t>06/01/2025 22:24</t>
  </si>
  <si>
    <t>THT64191E6Z780Z</t>
  </si>
  <si>
    <t>EQO84</t>
  </si>
  <si>
    <t>น.ส.​กัญญณัช​ นาควารี</t>
  </si>
  <si>
    <t>17/28 ม.6บ้านเอมัส ซ.ซันเทคเมทัลต.บ่อวิน
ศรีราชา/ Si Rachaชลบุรี/ Chonburi
20230</t>
  </si>
  <si>
    <t>660970084099</t>
  </si>
  <si>
    <t>06/01/2025 22:23</t>
  </si>
  <si>
    <t>LEXDO0124085112</t>
  </si>
  <si>
    <t>06/01/2025 22:22</t>
  </si>
  <si>
    <t>EQO82</t>
  </si>
  <si>
    <t>กวินนา ปิยะวิสุทธิกุล</t>
  </si>
  <si>
    <t>38/1345 หมู่บ้านเคซีคลัสเตอร์รามอินทรา ถ.ไทยรามัญ แขวงสามวาตะวันตก
คลองสามวา/ Klong Sam Waกรุงเทพมหานคร/ Bangkok
10510</t>
  </si>
  <si>
    <t>660897910459</t>
  </si>
  <si>
    <t>06/01/2025 22:20</t>
  </si>
  <si>
    <t>LEXPU0442873390</t>
  </si>
  <si>
    <t>EQO81</t>
  </si>
  <si>
    <t>น***ิชา น***ชื่น</t>
  </si>
  <si>
    <t>06/01/2025 22:19</t>
  </si>
  <si>
    <t>THT27111E6V4D8Z</t>
  </si>
  <si>
    <t>วนิลา3กล่อง</t>
  </si>
  <si>
    <t>ครีมฮอร์นวนิลา3กล่อง</t>
  </si>
  <si>
    <t>EQO80</t>
  </si>
  <si>
    <t>ส***นท์ แ***องคํา</t>
  </si>
  <si>
    <t>06/01/2025 22:18</t>
  </si>
  <si>
    <t>754319554586</t>
  </si>
  <si>
    <t>EQO78</t>
  </si>
  <si>
    <t>ด***ณี แ***อุดร</t>
  </si>
  <si>
    <t>06/01/2025 22:04</t>
  </si>
  <si>
    <t>754302283744</t>
  </si>
  <si>
    <t>EQO77</t>
  </si>
  <si>
    <t>สวรส น่วมคง</t>
  </si>
  <si>
    <t>989/259 ม.7 ต.ท้ายบ้านใหม่ ม.บางปูวิลล่า2 ซ.การบินเทศบาลบางปู59
เมืองสมุทรปราการ/ Mueang Samut Prakanสมุทรปราการ/ Samut Prakan
10280</t>
  </si>
  <si>
    <t>660843482219</t>
  </si>
  <si>
    <t>06/01/2025 22:03</t>
  </si>
  <si>
    <t>LEXDO0124102755</t>
  </si>
  <si>
    <t>EQO76</t>
  </si>
  <si>
    <t>อ***พร</t>
  </si>
  <si>
    <t>06/01/2025 22:01</t>
  </si>
  <si>
    <t>THT43181E6EDW7Z</t>
  </si>
  <si>
    <t>EQO75</t>
  </si>
  <si>
    <t>อ***ยา</t>
  </si>
  <si>
    <t>06/01/2025 22:00</t>
  </si>
  <si>
    <t>754331797590</t>
  </si>
  <si>
    <t>EQO74</t>
  </si>
  <si>
    <t>อ***า พ***</t>
  </si>
  <si>
    <t>06/01/2025 21:59</t>
  </si>
  <si>
    <t>THT01341E69RU3Z</t>
  </si>
  <si>
    <t>EQO73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</si>
  <si>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</si>
  <si>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</si>
  <si>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660952320256</t>
  </si>
  <si>
    <t>LEXDO0124102311</t>
  </si>
  <si>
    <t>EQO72</t>
  </si>
  <si>
    <t>ห*** ห***</t>
  </si>
  <si>
    <t>06/01/2025 21:58</t>
  </si>
  <si>
    <t>754310199591</t>
  </si>
  <si>
    <t>EQO71</t>
  </si>
  <si>
    <t>06/01/2025 21:57</t>
  </si>
  <si>
    <t>LEXDO0124085878</t>
  </si>
  <si>
    <t>EQO70</t>
  </si>
  <si>
    <t>ชุติญาภัค ศุภดิฐโภคิน</t>
  </si>
  <si>
    <t>39/518  ซ.วิภาวดีรังสิต 84  หมู่บ้านพิพรพงษ์4
ดอนเมือง/ Don Mueangกรุงเทพมหานคร/ Bangkok
10210</t>
  </si>
  <si>
    <t>06/01/2025 21:55</t>
  </si>
  <si>
    <t>LEXDO0124085865</t>
  </si>
  <si>
    <t>EQO69</t>
  </si>
  <si>
    <t>ป***วีร์ พ***ิพัฒน์</t>
  </si>
  <si>
    <t>754335403651</t>
  </si>
  <si>
    <t>เซตสุดฮอต!! ขนมชิฟฟ่อน ชิฟฟ่อนสอดไส้ ชิฟฟ่อนรวมรสยอดฮิต ชิฟฟ่อนรวมรส คละรส 3 กล่อง ขนม ยกแพ็ค ถูก</t>
  </si>
  <si>
    <t>EQO68</t>
  </si>
  <si>
    <t>LEXPU0442911112</t>
  </si>
  <si>
    <t>EQO66</t>
  </si>
  <si>
    <t>ช***ร เ***งแสน</t>
  </si>
  <si>
    <t>06/01/2025 21:53</t>
  </si>
  <si>
    <t>THT37151E67FX1Z</t>
  </si>
  <si>
    <t>EQO65</t>
  </si>
  <si>
    <t>ส***น แ***ี</t>
  </si>
  <si>
    <t>754372765764</t>
  </si>
  <si>
    <t>EQO63</t>
  </si>
  <si>
    <t>ท******)</t>
  </si>
  <si>
    <t>****** ซอย6/2 ถ.สุขสวัสดิ์ ต.ในคลองบางปลากด ตำบลในคลองบางปลากด อำเภอพระสมุทรเจดีย์ จังหวัดสมุทรปราการ 10290</t>
  </si>
  <si>
    <t>06/01/2025 21:50</t>
  </si>
  <si>
    <t>TH02056P2MC56E1</t>
  </si>
  <si>
    <t>EQO62</t>
  </si>
  <si>
    <t>ส***ตรี บ***บูลย์</t>
  </si>
  <si>
    <t>06/01/2025 21:49</t>
  </si>
  <si>
    <t>754356957583</t>
  </si>
  <si>
    <t>EQO60</t>
  </si>
  <si>
    <t>ช***นาย แ***จริญ</t>
  </si>
  <si>
    <t>06/01/2025 21:47</t>
  </si>
  <si>
    <t>754350702652</t>
  </si>
  <si>
    <t>EQO59</t>
  </si>
  <si>
    <t>พ***า บ***งคชาธาร</t>
  </si>
  <si>
    <t>06/01/2025 21:42</t>
  </si>
  <si>
    <t>754357401641</t>
  </si>
  <si>
    <t>06/01/2025 21:43</t>
  </si>
  <si>
    <t>EQO57</t>
  </si>
  <si>
    <t>ศ***ย์รัชต์ ฐ***ันแก้ว</t>
  </si>
  <si>
    <t>06/01/2025 21:33</t>
  </si>
  <si>
    <t>THT53011E68ZJ5Z</t>
  </si>
  <si>
    <t>EQO56</t>
  </si>
  <si>
    <t>นางสาวญาราภรณ์  วงษ์โสภา</t>
  </si>
  <si>
    <t>องค์การบริหารส่วนจังหวัดยโสธร เทศบาล 1
เมืองยโสธร/ Mueang Yasothonยโสธร/ Yasothon
35000</t>
  </si>
  <si>
    <t>06/01/2025 21:32</t>
  </si>
  <si>
    <t>TH32016P1T2A4C</t>
  </si>
  <si>
    <t>06/01/2025 21:31</t>
  </si>
  <si>
    <t>EQO55</t>
  </si>
  <si>
    <t>พิมพาภรณ์ ผายสียวน</t>
  </si>
  <si>
    <t>ห้องเย็นคาบิเนท,ถ. พหลโยธิน, 222, หมู่ 4, ต. ลำไทร อ.วังน้อย จ.พระนครศรีอยุธยา 13170
วังน้อย/ Wang Noiพระนครศรีอยุธยา/ Phra Nakhon Si Ayutthaya
13170</t>
  </si>
  <si>
    <t>660871225525</t>
  </si>
  <si>
    <t>LEXDO0124103076</t>
  </si>
  <si>
    <t>EQO54</t>
  </si>
  <si>
    <t>น***ุกดา  อ***ุ่ง</t>
  </si>
  <si>
    <t>06/01/2025 21:36</t>
  </si>
  <si>
    <t>THT50071E6ZU91Z</t>
  </si>
  <si>
    <t>06/01/2025 21:30</t>
  </si>
  <si>
    <t>EQO51</t>
  </si>
  <si>
    <t>น.ส.ธีรภรณ์ เรือนนุช</t>
  </si>
  <si>
    <t>66หมู่7 ต.ห้วยขวาง(ซอยตลาดเจเจ ร้านค้าขวามือ)
กำแพงแสน/ Kamphaeng Saenนครปฐม/ Nakhon Pathom
73140</t>
  </si>
  <si>
    <t>73140</t>
  </si>
  <si>
    <t>660852405754</t>
  </si>
  <si>
    <t>06/01/2025 21:26</t>
  </si>
  <si>
    <t>LEXDO0124102661</t>
  </si>
  <si>
    <t>EQO50</t>
  </si>
  <si>
    <t>ว***นา พ***ยม</t>
  </si>
  <si>
    <t>06/01/2025 21:25</t>
  </si>
  <si>
    <t>754329101654</t>
  </si>
  <si>
    <t>EQO49</t>
  </si>
  <si>
    <t>06/01/2025 21:22</t>
  </si>
  <si>
    <t>LEXDO0124086047</t>
  </si>
  <si>
    <t>EQO48</t>
  </si>
  <si>
    <t>เ***  ม***สา</t>
  </si>
  <si>
    <t>THT58041E6RA84Z</t>
  </si>
  <si>
    <t>EQO46</t>
  </si>
  <si>
    <t>ร***กาญจน์ น***กุล</t>
  </si>
  <si>
    <t>06/01/2025 21:19</t>
  </si>
  <si>
    <t>THT07031E6T781Z</t>
  </si>
  <si>
    <t>EQO45</t>
  </si>
  <si>
    <t>ก***าภัค ค***นัง</t>
  </si>
  <si>
    <t>06/01/2025 21:17</t>
  </si>
  <si>
    <t>754368085730</t>
  </si>
  <si>
    <t>เซ็ทเบาหวิวฝอยทอง2 กล่อง</t>
  </si>
  <si>
    <t>EQO44</t>
  </si>
  <si>
    <t>เอ็มกนก</t>
  </si>
  <si>
    <t>74 หมู่9 เอ็ม · ยางช้าย/ Yang Sai
โพธิ์ทอง/ Pho Thongอ่างทอง/ Ang Thong
14120</t>
  </si>
  <si>
    <t>14120</t>
  </si>
  <si>
    <t>660946464958</t>
  </si>
  <si>
    <t>06/01/2025 21:21</t>
  </si>
  <si>
    <t>LEXDO0124082966</t>
  </si>
  <si>
    <t>EQO43</t>
  </si>
  <si>
    <t>จ***กร ค***ิง</t>
  </si>
  <si>
    <t>06/01/2025 21:14</t>
  </si>
  <si>
    <t>754350288742</t>
  </si>
  <si>
    <t>06/01/2025 21:15</t>
  </si>
  <si>
    <t>EQO41</t>
  </si>
  <si>
    <t>ธ*** จ***ันทร์</t>
  </si>
  <si>
    <t>06/01/2025 21:09</t>
  </si>
  <si>
    <t>THT01081E69BN9Z</t>
  </si>
  <si>
    <t>06/01/2025 21:13</t>
  </si>
  <si>
    <t>EQO40</t>
  </si>
  <si>
    <t>แม่กอง บุญคาร</t>
  </si>
  <si>
    <t>29 ม.1 ต.หนองแหน
กุดชุม/ Kut Chumยโสธร/ Yasothon
35140</t>
  </si>
  <si>
    <t>35140</t>
  </si>
  <si>
    <t>660856369954</t>
  </si>
  <si>
    <t>06/01/2025 21:12</t>
  </si>
  <si>
    <t>TH32036P1QCR5I</t>
  </si>
  <si>
    <t>EQO39</t>
  </si>
  <si>
    <t>ม***ด ห***เเซะ เ***มุกข์</t>
  </si>
  <si>
    <t>754314205654</t>
  </si>
  <si>
    <t>EQO38</t>
  </si>
  <si>
    <t>ซ***มีย๊ะ ร***สะ</t>
  </si>
  <si>
    <t>754386485731</t>
  </si>
  <si>
    <t>EQO36</t>
  </si>
  <si>
    <t>ส***สา  ว***ุนทร</t>
  </si>
  <si>
    <t>06/01/2025 21:08</t>
  </si>
  <si>
    <t>754387906672</t>
  </si>
  <si>
    <t>EQO34</t>
  </si>
  <si>
    <t>น***า</t>
  </si>
  <si>
    <t>06/01/2025 21:04</t>
  </si>
  <si>
    <t>THT15021E6V272Z</t>
  </si>
  <si>
    <t>06/01/2025 21:06</t>
  </si>
  <si>
    <t>EQO33</t>
  </si>
  <si>
    <t>06/01/2025 21:05</t>
  </si>
  <si>
    <t>LEXDO0124091474</t>
  </si>
  <si>
    <t>EQO32</t>
  </si>
  <si>
    <t>สำรวย สัตยภิรมณ์</t>
  </si>
  <si>
    <t>127/10 หมู่ 1 ต.บ้านโพธิ์
บ้านโพธิ์/ Ban Phoฉะเชิงเทรา/ Chachoengsao
24140</t>
  </si>
  <si>
    <t>660894425738</t>
  </si>
  <si>
    <t>06/01/2025 21:01</t>
  </si>
  <si>
    <t>TH24056P2DR27A</t>
  </si>
  <si>
    <t>EQO31</t>
  </si>
  <si>
    <t>ย***อญ</t>
  </si>
  <si>
    <t>06/01/2025 20:57</t>
  </si>
  <si>
    <t>754370594596</t>
  </si>
  <si>
    <t>06/01/2025 20:58</t>
  </si>
  <si>
    <t>EQO30</t>
  </si>
  <si>
    <t>น***ฮาระ  ฮ***กะ</t>
  </si>
  <si>
    <t>06/01/2025 20:52</t>
  </si>
  <si>
    <t>754385907671</t>
  </si>
  <si>
    <t>EQO29</t>
  </si>
  <si>
    <t>นางน้ำทิพย์ รอดดอน</t>
  </si>
  <si>
    <t>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
เมืองนครราชสีมา/ Mueng Nakorn Ratchasimaนครราชสีมา/ Nakhon Ratchasima
30000</t>
  </si>
  <si>
    <t>660865854499</t>
  </si>
  <si>
    <t>LEXDO0124103184</t>
  </si>
  <si>
    <t>EQO28</t>
  </si>
  <si>
    <t>อ***. เ***อนครุฑ</t>
  </si>
  <si>
    <t>06/01/2025 20:49</t>
  </si>
  <si>
    <t>754370358593</t>
  </si>
  <si>
    <t>EQO26</t>
  </si>
  <si>
    <t>ว***ร น***ุ่น</t>
  </si>
  <si>
    <t>06/01/2025 20:48</t>
  </si>
  <si>
    <t>THT70021E79UY6Z</t>
  </si>
  <si>
    <t>06/01/2025 20:47</t>
  </si>
  <si>
    <t>EQO25</t>
  </si>
  <si>
    <t>06/01/2025 20:46</t>
  </si>
  <si>
    <t>754334992585</t>
  </si>
  <si>
    <t>EQO24</t>
  </si>
  <si>
    <t>ส***กานต์</t>
  </si>
  <si>
    <t>06/01/2025 20:45</t>
  </si>
  <si>
    <t>THT54051E79832Z</t>
  </si>
  <si>
    <t>EQO23</t>
  </si>
  <si>
    <t>ศ***มงคล ต***อั้น</t>
  </si>
  <si>
    <t>06/01/2025 20:44</t>
  </si>
  <si>
    <t>THT70041E6BCP7Z</t>
  </si>
  <si>
    <t>EQO21</t>
  </si>
  <si>
    <t>06/01/2025 20:40</t>
  </si>
  <si>
    <t>754309794582</t>
  </si>
  <si>
    <t>EQO20</t>
  </si>
  <si>
    <t>ณ***า ใ***ทอง</t>
  </si>
  <si>
    <t>06/01/2025 20:37</t>
  </si>
  <si>
    <t>754398210613</t>
  </si>
  <si>
    <t>EQO18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</si>
  <si>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</si>
  <si>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</si>
  <si>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</si>
  <si>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06/01/2025 20:33</t>
  </si>
  <si>
    <t>LEXDO0124086139</t>
  </si>
  <si>
    <t>EQO17</t>
  </si>
  <si>
    <t>วินัยมุ่งร่วมกลาง</t>
  </si>
  <si>
    <t>118/49พฤษาวิวล์66/1ซ.3ต.บางแก้วอ.บางพลี.จ.สมุทรปราการ
บางพลี/ Bang Phliสมุทรปราการ/ Samut Prakan
10540</t>
  </si>
  <si>
    <t>660867971188</t>
  </si>
  <si>
    <t>06/01/2025 20:31</t>
  </si>
  <si>
    <t>LEXDO0124103114</t>
  </si>
  <si>
    <t>EQO16</t>
  </si>
  <si>
    <t>ว***</t>
  </si>
  <si>
    <t>754323074735</t>
  </si>
  <si>
    <t>EQO15</t>
  </si>
  <si>
    <t>จ***ภรณ์ ท***า</t>
  </si>
  <si>
    <t>06/01/2025 20:29</t>
  </si>
  <si>
    <t>754331674740</t>
  </si>
  <si>
    <t>EQO14</t>
  </si>
  <si>
    <t>ศ***ชัย น***งทอง</t>
  </si>
  <si>
    <t>06/01/2025 20:26</t>
  </si>
  <si>
    <t>754352886700</t>
  </si>
  <si>
    <t>06/01/2025 20:27</t>
  </si>
  <si>
    <t>EQO13</t>
  </si>
  <si>
    <t>06/01/2025 20:24</t>
  </si>
  <si>
    <t>754330210642</t>
  </si>
  <si>
    <t>EQO12</t>
  </si>
  <si>
    <t>จ***วรรณ ห***วง</t>
  </si>
  <si>
    <t>06/01/2025 20:20</t>
  </si>
  <si>
    <t>754306761773</t>
  </si>
  <si>
    <t>06/01/2025 20:21</t>
  </si>
  <si>
    <t>EQO11</t>
  </si>
  <si>
    <t>06/01/2025 20:15</t>
  </si>
  <si>
    <t>THT12041E6ECY9Z</t>
  </si>
  <si>
    <t>EQO8</t>
  </si>
  <si>
    <t>ร***ภา อ***์จรรยา</t>
  </si>
  <si>
    <t>06/01/2025 20:13</t>
  </si>
  <si>
    <t>754365468522</t>
  </si>
  <si>
    <t>06/01/2025 20:14</t>
  </si>
  <si>
    <t>EQO7</t>
  </si>
  <si>
    <t>เ***ี เ***จันทึก</t>
  </si>
  <si>
    <t>754302403654</t>
  </si>
  <si>
    <t>EQO6</t>
  </si>
  <si>
    <t>นางนุจรี วัฒนานุกูลชัย</t>
  </si>
  <si>
    <t>73 หมู่1 ซ.พลูหลวง 6 (เข้าซอย 50เมตร อยู่ซ้ายมือ) ถ.สมภารคง ต.พิหารแดง
เมืองสุพรรณบุรี/ Mueang Suphan Buriสุพรรณบุรี/ Suphanburi
72000</t>
  </si>
  <si>
    <t>660611920044</t>
  </si>
  <si>
    <t>06/01/2025 20:12</t>
  </si>
  <si>
    <t>LEXPU0442850695</t>
  </si>
  <si>
    <t>EQO4</t>
  </si>
  <si>
    <t>ซ***บะห์</t>
  </si>
  <si>
    <t>ยะลา</t>
  </si>
  <si>
    <t>754355703625</t>
  </si>
  <si>
    <t>EQO3</t>
  </si>
  <si>
    <t>ศิริพร  ภู่ถาวร</t>
  </si>
  <si>
    <t>9/1  ม.7 ซ.โรงพิมพ์ · ศีรษะจรเข้ใหญ่/ Sisa Chorakhe Yai
บางเสาธง/ Bang Sao Thongสมุทรปราการ/ Samut Prakan
10570</t>
  </si>
  <si>
    <t>660631792858</t>
  </si>
  <si>
    <t>06/01/2025 20:11</t>
  </si>
  <si>
    <t>LEXPU0442872738</t>
  </si>
  <si>
    <t>EQO2</t>
  </si>
  <si>
    <t>06/01/2025 20:08</t>
  </si>
  <si>
    <t>THT56071E6V5C3Z</t>
  </si>
  <si>
    <t>EQO1</t>
  </si>
  <si>
    <t>จ*ย</t>
  </si>
  <si>
    <t>****** หมู่ 2 ต.บ้านกลาง ตำบลบ้านกลาง อำเภอเมืองปทุมธานี จังหวัดปทุมธานี 12000</t>
  </si>
  <si>
    <t>94</t>
  </si>
  <si>
    <t>TH04016P2J4Y4C</t>
  </si>
  <si>
    <t>EQO0</t>
  </si>
  <si>
    <t>อ***ลักษณ์    ช***สง</t>
  </si>
  <si>
    <t>754348595582</t>
  </si>
  <si>
    <t>EQN99</t>
  </si>
  <si>
    <t>ส** อ***</t>
  </si>
  <si>
    <t>06/01/2025 20:03</t>
  </si>
  <si>
    <t>754371102660</t>
  </si>
  <si>
    <t>EQN98</t>
  </si>
  <si>
    <t>ป***ิทธิ์ ค***</t>
  </si>
  <si>
    <t>06/01/2025 20:02</t>
  </si>
  <si>
    <t>754372396584</t>
  </si>
  <si>
    <t>EQN97</t>
  </si>
  <si>
    <t>กัญญารัตน์ กัณจะณา</t>
  </si>
  <si>
    <t>47/117 ม.2 หมู่บ้านทิพย์ทรายทอง4 ต.คลองนา
เมืองฉะเชิงเทรา/ Mueang Chachoengsaoฉะเชิงเทรา/ Chachoengsao
24000</t>
  </si>
  <si>
    <t>660888450885</t>
  </si>
  <si>
    <t>LEXDO0124084800</t>
  </si>
  <si>
    <t>EQN96</t>
  </si>
  <si>
    <t>สุขิรา เวียงนนท์</t>
  </si>
  <si>
    <t>72/66 เดอะฟิวชั่น ซ A11  หมู่ 7 ต.บ้านกรด อ.บางปะอิน จ.พระนครศรีอยุธยา
บางปะอิน/ Bang Pa-inพระนครศรีอยุธยา/ Phra Nakhon Si Ayutthaya
13160</t>
  </si>
  <si>
    <t>660618688833</t>
  </si>
  <si>
    <t>06/01/2025 20:06</t>
  </si>
  <si>
    <t>LEXDO0124102550</t>
  </si>
  <si>
    <t>EQN95</t>
  </si>
  <si>
    <t>น***ัย ป***งค์ผล</t>
  </si>
  <si>
    <t>06/01/2025 20:00</t>
  </si>
  <si>
    <t>THT20041E6ZQE5Z</t>
  </si>
  <si>
    <t>EQN94</t>
  </si>
  <si>
    <t>อ***ิญา ส***ราะห์</t>
  </si>
  <si>
    <t>06/01/2025 19:57</t>
  </si>
  <si>
    <t>754354188545</t>
  </si>
  <si>
    <t>EQN93</t>
  </si>
  <si>
    <t>ส** โ***้า</t>
  </si>
  <si>
    <t>754372789553</t>
  </si>
  <si>
    <t>EQN92</t>
  </si>
  <si>
    <t>T***ika</t>
  </si>
  <si>
    <t>06/01/2025 19:56</t>
  </si>
  <si>
    <t>754336581552</t>
  </si>
  <si>
    <t>EQN91</t>
  </si>
  <si>
    <t>ป***าภรณ์ พ***พานิช</t>
  </si>
  <si>
    <t>06/01/2025 19:55</t>
  </si>
  <si>
    <t>THT29151E6ZMQ7Z</t>
  </si>
  <si>
    <t>EQN90</t>
  </si>
  <si>
    <t>กมลพรรณ รัตนหาร</t>
  </si>
  <si>
    <t>54 ถ.พัทลุง ต.บ่อยาง -
เมืองสงขลา/ Mueang Songkhlaสงขลา/ Songkhla
90000</t>
  </si>
  <si>
    <t>90000</t>
  </si>
  <si>
    <t>660954388620</t>
  </si>
  <si>
    <t>06/01/2025 19:53</t>
  </si>
  <si>
    <t>LEXDO0124099635</t>
  </si>
  <si>
    <t>EQN89</t>
  </si>
  <si>
    <t>M***ipa</t>
  </si>
  <si>
    <t>06/01/2025 19:51</t>
  </si>
  <si>
    <t>THT53011E79SX2Z</t>
  </si>
  <si>
    <t>EQN88</t>
  </si>
  <si>
    <t>ธ***มาศ  ไ***ชษฐ์</t>
  </si>
  <si>
    <t>06/01/2025 19:50</t>
  </si>
  <si>
    <t>754329618626</t>
  </si>
  <si>
    <t>EQN87</t>
  </si>
  <si>
    <t>ศ***พร ส***ี</t>
  </si>
  <si>
    <t>06/01/2025 19:45</t>
  </si>
  <si>
    <t>754341303671</t>
  </si>
  <si>
    <t>EQN86</t>
  </si>
  <si>
    <t>ร***แม่จ๋า</t>
  </si>
  <si>
    <t>06/01/2025 19:44</t>
  </si>
  <si>
    <t>THT37121E6RBV4Z</t>
  </si>
  <si>
    <t>EQN85</t>
  </si>
  <si>
    <t>754354708623</t>
  </si>
  <si>
    <t>EQN84</t>
  </si>
  <si>
    <t>อุ๋มอิ๋ม บ้านหลังที่สองขวามือ</t>
  </si>
  <si>
    <t>299/6หมู่3 บ้านหนองกรับ ตำบลหนองบัว โครงการบุญชัยศิริทาวน์โฮม 5 · หนองบัว/ Nong Bua
บ้านค่าย/ Ban Khaiระยอง/ Rayong
21120</t>
  </si>
  <si>
    <t>660631759827</t>
  </si>
  <si>
    <t>06/01/2025 19:43</t>
  </si>
  <si>
    <t>LEXDO0124099865</t>
  </si>
  <si>
    <t>EQN83</t>
  </si>
  <si>
    <t>ร***พรรณ ศ***กิ้ง</t>
  </si>
  <si>
    <t>754314585544</t>
  </si>
  <si>
    <t>EQN82</t>
  </si>
  <si>
    <t>ชัชนันท์ ไชยสิทธิ์</t>
  </si>
  <si>
    <t>53/1075 ซ.ราชพฤกษ์ 14  ม.กฤษดานคร  ต.บางตลาด
ปากเกร็ด/ Pak Kretนนทบุรี/ Nonthaburi
11120</t>
  </si>
  <si>
    <t>660617125050</t>
  </si>
  <si>
    <t>06/01/2025 19:41</t>
  </si>
  <si>
    <t>LEXDO0124103224</t>
  </si>
  <si>
    <t>06/01/2025 19:40</t>
  </si>
  <si>
    <t>EQN79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</si>
  <si>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</si>
  <si>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</si>
  <si>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</si>
  <si>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06/01/2025 19:37</t>
  </si>
  <si>
    <t>LEXDO0124084347</t>
  </si>
  <si>
    <t>EQN78</t>
  </si>
  <si>
    <t>ณ ป***ุบัน ค** ค***สุข ค***สงบ</t>
  </si>
  <si>
    <t>THT13021E6ZCW9Z</t>
  </si>
  <si>
    <t>EQN77</t>
  </si>
  <si>
    <t>น***ิมลวรรณ  ศ***จริญ</t>
  </si>
  <si>
    <t>06/01/2025 19:35</t>
  </si>
  <si>
    <t>THT69011E68W73Z</t>
  </si>
  <si>
    <t>EQN76</t>
  </si>
  <si>
    <t>ช***า ส***รณไชยรบ</t>
  </si>
  <si>
    <t>06/01/2025 19:33</t>
  </si>
  <si>
    <t>THT44121E72UA2Z</t>
  </si>
  <si>
    <t>EQN75</t>
  </si>
  <si>
    <t>ส***ิชัย พ***ุนทด</t>
  </si>
  <si>
    <t>06/01/2025 19:32</t>
  </si>
  <si>
    <t>754300486726</t>
  </si>
  <si>
    <t>EQN74</t>
  </si>
  <si>
    <t>ท***ักดิ์. ก***นาวืวิช</t>
  </si>
  <si>
    <t>06/01/2025 19:31</t>
  </si>
  <si>
    <t>754392463554</t>
  </si>
  <si>
    <t>EQN72</t>
  </si>
  <si>
    <t>ส***ทิพย์ ร***ม</t>
  </si>
  <si>
    <t>06/01/2025 19:30</t>
  </si>
  <si>
    <t>THT15021E6HR94Z</t>
  </si>
  <si>
    <t>EQN70</t>
  </si>
  <si>
    <t>06/01/2025 19:25</t>
  </si>
  <si>
    <t>LEXPU0442849431</t>
  </si>
  <si>
    <t>EQN66</t>
  </si>
  <si>
    <t>ป***พรรณ ท***งศ์</t>
  </si>
  <si>
    <t>06/01/2025 19:20</t>
  </si>
  <si>
    <t>754337394580</t>
  </si>
  <si>
    <t>EQN65</t>
  </si>
  <si>
    <t>06/01/2025 19:17</t>
  </si>
  <si>
    <t>THT02011E6ZCJ1Z</t>
  </si>
  <si>
    <t>EQN64</t>
  </si>
  <si>
    <t>น***นชัย เ***องอิงคะสุต</t>
  </si>
  <si>
    <t>06/01/2025 19:16</t>
  </si>
  <si>
    <t>754315087724</t>
  </si>
  <si>
    <t>EQN63</t>
  </si>
  <si>
    <t>น** ว***ี ท***ี</t>
  </si>
  <si>
    <t>THT12021E6R7E2Z</t>
  </si>
  <si>
    <t>EQN62</t>
  </si>
  <si>
    <t>ก*** ใ***นทร์</t>
  </si>
  <si>
    <t>06/01/2025 19:14</t>
  </si>
  <si>
    <t>754305507664</t>
  </si>
  <si>
    <t>EQN61</t>
  </si>
  <si>
    <t>จารุณี ชาญชลทรัพย์</t>
  </si>
  <si>
    <t>129/755 หมู่บ้านเพอร์เฟคเพลสรัตนาธิเบศร์ ซอย 36 ซอยไทรม้า ถนนรัตนาธิเบศร์ ต.บางรักน้อย อ.เมือง
เมืองนนทบุรี/ Mueang Nonthaburiนนทบุรี/ Nonthaburi
11000</t>
  </si>
  <si>
    <t>660867889090</t>
  </si>
  <si>
    <t>06/01/2025 19:11</t>
  </si>
  <si>
    <t>LEXPU0442891968</t>
  </si>
  <si>
    <t>EQN60</t>
  </si>
  <si>
    <t>พ***ี ผ***รรเจิดศักดิ์</t>
  </si>
  <si>
    <t>06/01/2025 19:09</t>
  </si>
  <si>
    <t>754306386551</t>
  </si>
  <si>
    <t>EQN59</t>
  </si>
  <si>
    <t>ด***ภร ภ***ุล</t>
  </si>
  <si>
    <t>06/01/2025 19:05</t>
  </si>
  <si>
    <t>754353614615</t>
  </si>
  <si>
    <t>EQN58</t>
  </si>
  <si>
    <t>ร***ง  ย***ริ</t>
  </si>
  <si>
    <t>06/01/2025 19:04</t>
  </si>
  <si>
    <t>THT28041E75D26Z</t>
  </si>
  <si>
    <t>EQN57</t>
  </si>
  <si>
    <t>ป***ุช ศ***วลจำปา</t>
  </si>
  <si>
    <t>06/01/2025 19:03</t>
  </si>
  <si>
    <t>754313812615</t>
  </si>
  <si>
    <t>EQN56</t>
  </si>
  <si>
    <t>ป***ชาติ  จ***ร์รักษา</t>
  </si>
  <si>
    <t>THT01431E72YH6Z</t>
  </si>
  <si>
    <t>06/01/2025 19:02</t>
  </si>
  <si>
    <t>EQN54</t>
  </si>
  <si>
    <t>ค*****ย</t>
  </si>
  <si>
    <t>******คลองภาษีเจริญ, เขตภาษีเจริญ แขวงปากคลองภาษีเจริญ เขตภาษีเจริญ จังหวัดกรุงเทพมหานคร 10160</t>
  </si>
  <si>
    <t>TH01336P2NDB0G</t>
  </si>
  <si>
    <t>EQN53</t>
  </si>
  <si>
    <t>ส***ี ช***ุม</t>
  </si>
  <si>
    <t>06/01/2025 19:01</t>
  </si>
  <si>
    <t>754378084596</t>
  </si>
  <si>
    <t>EQN52</t>
  </si>
  <si>
    <t>อ***ิด เ***ฉลูอินทร์</t>
  </si>
  <si>
    <t>06/01/2025 18:58</t>
  </si>
  <si>
    <t>754370463534</t>
  </si>
  <si>
    <t>EQN51</t>
  </si>
  <si>
    <t>พรรัตน์ จันทร์มีทรัพย์</t>
  </si>
  <si>
    <t>585/75ม.2(หมูบ้านกัลปพฤกษ์ชีวิลล์ ซ.9)ซ.เทศบาลบางปู66ต.ท้ายบ้าน
เมืองสมุทรปราการ/ Mueang Samut Prakanสมุทรปราการ/ Samut Prakan
10280</t>
  </si>
  <si>
    <t>660897986600</t>
  </si>
  <si>
    <t>LEXDO0124100252</t>
  </si>
  <si>
    <t>ขนมชิฟฟ่อนวรรณนัช รวมรส3กล่อง ราคาถูก</t>
  </si>
  <si>
    <t>EQN50</t>
  </si>
  <si>
    <t>มัลลิกา คล้ายฉิม</t>
  </si>
  <si>
    <t>เลขที่ 4 หมู่ 12 ต.หนองหงส์
ทุ่งสง/ Thung Songนครศรีธรรมราช/ Nakhon Si Thammarat
80110</t>
  </si>
  <si>
    <t>80110</t>
  </si>
  <si>
    <t>660862932317</t>
  </si>
  <si>
    <t>06/01/2025 18:55</t>
  </si>
  <si>
    <t>LEXPU0442895324</t>
  </si>
  <si>
    <t>EQN48</t>
  </si>
  <si>
    <t>น***ระจวบ ท***กะ</t>
  </si>
  <si>
    <t>06/01/2025 18:51</t>
  </si>
  <si>
    <t>754348173751</t>
  </si>
  <si>
    <t>EQN47</t>
  </si>
  <si>
    <t>ณ***ร เ***รประดับ</t>
  </si>
  <si>
    <t>THT19081E72RB6Z</t>
  </si>
  <si>
    <t>06/01/2025 18:50</t>
  </si>
  <si>
    <t>EQN46</t>
  </si>
  <si>
    <t>พ***า แ***ยอด</t>
  </si>
  <si>
    <t>06/01/2025 18:49</t>
  </si>
  <si>
    <t>THT37181E75G48Z</t>
  </si>
  <si>
    <t>EQN45</t>
  </si>
  <si>
    <t>ธ***รัตน์ ใ***สันเทียะ</t>
  </si>
  <si>
    <t>06/01/2025 18:46</t>
  </si>
  <si>
    <t>754382211612</t>
  </si>
  <si>
    <t>EQN44</t>
  </si>
  <si>
    <t>น***ัฒนา จ***า</t>
  </si>
  <si>
    <t>06/01/2025 18:44</t>
  </si>
  <si>
    <t>THT40031E64PY1Z</t>
  </si>
  <si>
    <t>EQN43</t>
  </si>
  <si>
    <t>อ***ภรณ์​ ช***เขา</t>
  </si>
  <si>
    <t>06/01/2025 18:45</t>
  </si>
  <si>
    <t>754390370764</t>
  </si>
  <si>
    <t>EQN42</t>
  </si>
  <si>
    <t>เ***ยศ ว***ไทย</t>
  </si>
  <si>
    <t>06/01/2025 18:43</t>
  </si>
  <si>
    <t>754312904645</t>
  </si>
  <si>
    <t>EQN40</t>
  </si>
  <si>
    <t>พ***ณัฎ ท***รหม</t>
  </si>
  <si>
    <t>06/01/2025 18:36</t>
  </si>
  <si>
    <t>754364174756</t>
  </si>
  <si>
    <t>06/01/2025 18:37</t>
  </si>
  <si>
    <t>EQN39</t>
  </si>
  <si>
    <t>THT04071E79KX0Z</t>
  </si>
  <si>
    <t>EQN38</t>
  </si>
  <si>
    <t>ณ***า ว***กาเม็ง</t>
  </si>
  <si>
    <t>06/01/2025 18:35</t>
  </si>
  <si>
    <t>THT01511E6KEJ8Z</t>
  </si>
  <si>
    <t>EQN37</t>
  </si>
  <si>
    <t>ส***วดี ช***ตร</t>
  </si>
  <si>
    <t>754371010610</t>
  </si>
  <si>
    <t>06/01/2025 18:34</t>
  </si>
  <si>
    <t>EQN36</t>
  </si>
  <si>
    <t>จ***า ร***ุพรรณ</t>
  </si>
  <si>
    <t>06/01/2025 18:32</t>
  </si>
  <si>
    <t>THT15071E6B7Q1Z</t>
  </si>
  <si>
    <t>06/01/2025 18:31</t>
  </si>
  <si>
    <t>EQN34</t>
  </si>
  <si>
    <t>******รา ตำบลโคกพุทรา อำเภอโพธิ์ทอง จังหวัดอ่างทอง 14120</t>
  </si>
  <si>
    <t>37</t>
  </si>
  <si>
    <t>06/01/2025 18:54</t>
  </si>
  <si>
    <t>TH06046P2J891I</t>
  </si>
  <si>
    <t>06/01/2025 18:24</t>
  </si>
  <si>
    <t>EQN33</t>
  </si>
  <si>
    <t>พ***าภรณ์ ม***น้อย</t>
  </si>
  <si>
    <t>06/01/2025 18:22</t>
  </si>
  <si>
    <t>THT03011E6N326Z</t>
  </si>
  <si>
    <t>EQN32</t>
  </si>
  <si>
    <t>ดวงพร  จงนอก</t>
  </si>
  <si>
    <t>19/1  หมู่8  บ้านคลองทราย · วังน้ำเขียว/ Wang Nam Khiao
วังน้ำเขียว/ Wang Nam Khiaoนครราชสีมา/ Nakhon Ratchasima
30370</t>
  </si>
  <si>
    <t>30370</t>
  </si>
  <si>
    <t>660961961805</t>
  </si>
  <si>
    <t>TH27256P2R6P2A</t>
  </si>
  <si>
    <t>EQN31</t>
  </si>
  <si>
    <t>ศ***พร ท***าน</t>
  </si>
  <si>
    <t>06/01/2025 18:20</t>
  </si>
  <si>
    <t>754330582563</t>
  </si>
  <si>
    <t>EQN29</t>
  </si>
  <si>
    <t>จ***วรรณ บ***อง</t>
  </si>
  <si>
    <t>06/01/2025 18:06</t>
  </si>
  <si>
    <t>THT68161E6SG87Z</t>
  </si>
  <si>
    <t>EQN28</t>
  </si>
  <si>
    <t>ค***อ</t>
  </si>
  <si>
    <t>******.หนองปลิง ตำบลหนองปลิง อำเภอเมืองนครสวรรค์ จังหวัดนครสวรรค์ 60000</t>
  </si>
  <si>
    <t>72</t>
  </si>
  <si>
    <t>06/01/2025 18:03</t>
  </si>
  <si>
    <t>TH251175433401O</t>
  </si>
  <si>
    <t>EQN27</t>
  </si>
  <si>
    <t>ส***ตรา  ส***งษ์</t>
  </si>
  <si>
    <t>06/01/2025 18:01</t>
  </si>
  <si>
    <t>THT64041E6K9C4Z</t>
  </si>
  <si>
    <t>06/01/2025 18:02</t>
  </si>
  <si>
    <t>EQN26</t>
  </si>
  <si>
    <t>06/01/2025 17:53</t>
  </si>
  <si>
    <t>754341189545</t>
  </si>
  <si>
    <t>EQN25</t>
  </si>
  <si>
    <t>ท***รรณ</t>
  </si>
  <si>
    <t>06/01/2025 17:52</t>
  </si>
  <si>
    <t>754332483763</t>
  </si>
  <si>
    <t>EQN22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</si>
  <si>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</si>
  <si>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</si>
  <si>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660814005381</t>
  </si>
  <si>
    <t>06/01/2025 17:38</t>
  </si>
  <si>
    <t>LEXDO0124103011</t>
  </si>
  <si>
    <t>EQN21</t>
  </si>
  <si>
    <t>******คารF6 หมู่8 ต.ในคลองบางปลากด ตำบลในคลองบางปลากด อำเภอพระสมุทรเจดีย์ จังหวัดสมุทรปราการ 10290</t>
  </si>
  <si>
    <t>06/01/2025 17:33</t>
  </si>
  <si>
    <t>TH2513957522556</t>
  </si>
  <si>
    <t>06/01/2025 17:32</t>
  </si>
  <si>
    <t>EQN20</t>
  </si>
  <si>
    <t>ล*** ด***ล</t>
  </si>
  <si>
    <t>06/01/2025 17:29</t>
  </si>
  <si>
    <t>754303909645</t>
  </si>
  <si>
    <t>EQN18</t>
  </si>
  <si>
    <t>ว***์สิรี แ**</t>
  </si>
  <si>
    <t>06/01/2025 17:26</t>
  </si>
  <si>
    <t>754337976711</t>
  </si>
  <si>
    <t>EQN17</t>
  </si>
  <si>
    <t>ผุสดี กองแก้ว</t>
  </si>
  <si>
    <t>โรงพยาบาลเกษมราษฎร์ประชาชื่น 950 ถ.ประชาชื่น แขวงวงศ์สว่าง
บางซื่อ/ Bang Sueกรุงเทพมหานคร/ Bangkok
10800</t>
  </si>
  <si>
    <t>10800</t>
  </si>
  <si>
    <t>660848305143</t>
  </si>
  <si>
    <t>06/01/2025 17:24</t>
  </si>
  <si>
    <t>LEXDO0124097469</t>
  </si>
  <si>
    <t>EQN16</t>
  </si>
  <si>
    <t>น***าววัลภา จ***ค์ไว</t>
  </si>
  <si>
    <t>THT06021E6BTQ6Z</t>
  </si>
  <si>
    <t>EQN15</t>
  </si>
  <si>
    <t>อ***ภาบุญสร้างสม</t>
  </si>
  <si>
    <t>06/01/2025 17:23</t>
  </si>
  <si>
    <t>754300907640</t>
  </si>
  <si>
    <t>EQN14</t>
  </si>
  <si>
    <t>พ***็ญ เ***ทอง</t>
  </si>
  <si>
    <t>06/01/2025 17:22</t>
  </si>
  <si>
    <t>754370797552</t>
  </si>
  <si>
    <t>EQN13</t>
  </si>
  <si>
    <t>A***a P**</t>
  </si>
  <si>
    <t>06/01/2025 17:21</t>
  </si>
  <si>
    <t>THT30011E698Z3Z</t>
  </si>
  <si>
    <t>EQN12</t>
  </si>
  <si>
    <t>06/01/2025 17:17</t>
  </si>
  <si>
    <t>THT27141E6E527Z</t>
  </si>
  <si>
    <t>06/01/2025 17:18</t>
  </si>
  <si>
    <t>EQN11</t>
  </si>
  <si>
    <t>ท***้วน  เ***กระโทก</t>
  </si>
  <si>
    <t>06/01/2025 17:11</t>
  </si>
  <si>
    <t>754360215615</t>
  </si>
  <si>
    <t>ชิฟฟ่อนไส้80ชิ้น</t>
  </si>
  <si>
    <t>ชิฟฟ่อนมีไส้80ชิ้นคละรส</t>
  </si>
  <si>
    <t>EQN10</t>
  </si>
  <si>
    <t>ส******ุ</t>
  </si>
  <si>
    <t>******พุทธรักษา ต.แพรกษา ตำบลแพรกษา อำเภอเมืองสมุทรปราการ จังหวัดสมุทรปราการ 10280</t>
  </si>
  <si>
    <t>06/01/2025 17:36</t>
  </si>
  <si>
    <t>TH02016P7X0D3F0</t>
  </si>
  <si>
    <t>06/01/2025 17:06</t>
  </si>
  <si>
    <t>EQN3</t>
  </si>
  <si>
    <t>พิทักษ์พงษ์ รัตนสินธุ์</t>
  </si>
  <si>
    <t>8/30 ซอยสวนสยาม 9 แยก 3 แขวงคันนายาว
คันนายาว/ Khan Na Yaoกรุงเทพมหานคร/ Bangkok
10230</t>
  </si>
  <si>
    <t>660942414691</t>
  </si>
  <si>
    <t>06/01/2025 17:01</t>
  </si>
  <si>
    <t>LEXDO0124103060</t>
  </si>
  <si>
    <t>EQN1</t>
  </si>
  <si>
    <t>ม***รา ภ***นิตย์</t>
  </si>
  <si>
    <t>06/01/2025 16:58</t>
  </si>
  <si>
    <t>754337304641</t>
  </si>
  <si>
    <t>EQM99</t>
  </si>
  <si>
    <t>น***าวจารุวรรณ  ท***งหาญ</t>
  </si>
  <si>
    <t>06/01/2025 16:57</t>
  </si>
  <si>
    <t>THT16011E75EN0Z</t>
  </si>
  <si>
    <t>EQM98</t>
  </si>
  <si>
    <t>ส***ชาณัชช์ พ***สุกใส</t>
  </si>
  <si>
    <t>06/01/2025 16:56</t>
  </si>
  <si>
    <t>754360085706</t>
  </si>
  <si>
    <t>EQM97</t>
  </si>
  <si>
    <t>06/01/2025 16:55</t>
  </si>
  <si>
    <t>THT13081E6PS41Z</t>
  </si>
  <si>
    <t>EQM95</t>
  </si>
  <si>
    <t>ศรีวรรณ บัวทอง</t>
  </si>
  <si>
    <t>420 ม.1 ต.ชะมาย
ทุ่งสง/ Thung Songนครศรีธรรมราช/ Nakhon Si Thammarat
80110</t>
  </si>
  <si>
    <t>660887763822</t>
  </si>
  <si>
    <t>LEXDO0124206087</t>
  </si>
  <si>
    <t>06/01/2025 16:44</t>
  </si>
  <si>
    <t>EQM92</t>
  </si>
  <si>
    <t>นัทธพงศ์</t>
  </si>
  <si>
    <t>153/537 ประชาอุทิศ89/1 · ทุ่งครุ/ Thung Khru
ทุ่งครุ/ Thung Khruกรุงเทพมหานคร/ Bangkok
10140</t>
  </si>
  <si>
    <t>660811432265</t>
  </si>
  <si>
    <t>06/01/2025 16:37</t>
  </si>
  <si>
    <t>LEXPU0442857008</t>
  </si>
  <si>
    <t>06/01/2025 16:36</t>
  </si>
  <si>
    <t>EQM91</t>
  </si>
  <si>
    <t>ก*** ถ***ระน้อย</t>
  </si>
  <si>
    <t>06/01/2025 16:35</t>
  </si>
  <si>
    <t>754396416642</t>
  </si>
  <si>
    <t>โปรสุดคุ้ม!!  3 กล่อง ครีมฮอร์น ครีมฮอร์นเนยสด ได้ทุกรสชาติ เก็บได้ 10 วัน</t>
  </si>
  <si>
    <t>EQM89</t>
  </si>
  <si>
    <t>จิรัชญา อบอุ่น</t>
  </si>
  <si>
    <t>41 หมู่ 2 (ปั้มดาวข้างวัดนิคม) · เขาใหญ่/ Khao Yai
ชะอำ/ Cha-amเพชรบุรี/ Phetchaburi
76120</t>
  </si>
  <si>
    <t>76120</t>
  </si>
  <si>
    <t>660929360036</t>
  </si>
  <si>
    <t>06/01/2025 16:34</t>
  </si>
  <si>
    <t>LEXPU0442854189</t>
  </si>
  <si>
    <t>06/01/2025 16:33</t>
  </si>
  <si>
    <t>EQM88</t>
  </si>
  <si>
    <t>ก***นา ช***งศ์จุ้ย</t>
  </si>
  <si>
    <t>06/01/2025 16:31</t>
  </si>
  <si>
    <t>THT12091E6ZH99Z</t>
  </si>
  <si>
    <t>06/01/2025 16:32</t>
  </si>
  <si>
    <t>EQM87</t>
  </si>
  <si>
    <t>จ***า บ***าศักดิ์</t>
  </si>
  <si>
    <t>754386007690</t>
  </si>
  <si>
    <t>EQM86</t>
  </si>
  <si>
    <t>เปรมฤดี เอมอ่ำ</t>
  </si>
  <si>
    <t>109/3 ม.10 ต.บึงกอก บ้านบึงกอกพัฒนา
บางระกำ/ Bang Rakamพิษณุโลก/ Phitsanulok
65140</t>
  </si>
  <si>
    <t>65140</t>
  </si>
  <si>
    <t>660836309358</t>
  </si>
  <si>
    <t>06/01/2025 16:29</t>
  </si>
  <si>
    <t>TH61046P1F2M8E</t>
  </si>
  <si>
    <t>06/01/2025 16:28</t>
  </si>
  <si>
    <t>EQM84</t>
  </si>
  <si>
    <t>บ***อน ส***ิสาย</t>
  </si>
  <si>
    <t>754387385533</t>
  </si>
  <si>
    <t>EQM81</t>
  </si>
  <si>
    <t>อ***รณ ช***ี</t>
  </si>
  <si>
    <t>06/01/2025 16:18</t>
  </si>
  <si>
    <t>754326906664</t>
  </si>
  <si>
    <t>EQM80</t>
  </si>
  <si>
    <t>ศ***พ ส***อม</t>
  </si>
  <si>
    <t>06/01/2025 16:16</t>
  </si>
  <si>
    <t>754313704653</t>
  </si>
  <si>
    <t>EQM79</t>
  </si>
  <si>
    <t>ดวงใจ ด้วงศรีทอง</t>
  </si>
  <si>
    <t>ศาลอุทธรณ์ภาค 1 (ส่วนนิติการ ชั้น 3) เลขที่ 101 หมู่ที่ 10 ซอยคชสาร (จารุศร) ถนนพหลโยธิน ตำบลคลองหนึ่ง
คลองหลวง/ Khlong Luangปทุมธานี/ Pathum Thani
12120</t>
  </si>
  <si>
    <t>660815149579</t>
  </si>
  <si>
    <t>06/01/2025 16:14</t>
  </si>
  <si>
    <t>LEXDO0124097804</t>
  </si>
  <si>
    <t>06/01/2025 16:15</t>
  </si>
  <si>
    <t>EQM78</t>
  </si>
  <si>
    <t>น***ารีย์ ห***ทศ</t>
  </si>
  <si>
    <t>06/01/2025 16:11</t>
  </si>
  <si>
    <t>754326382541</t>
  </si>
  <si>
    <t>EQM77</t>
  </si>
  <si>
    <t>ส***กดิ์ ช***าญ</t>
  </si>
  <si>
    <t>06/01/2025 16:08</t>
  </si>
  <si>
    <t>754302502656</t>
  </si>
  <si>
    <t>EQM75</t>
  </si>
  <si>
    <t>สิริวรรณะพร สร้อยทอง</t>
  </si>
  <si>
    <t>ห้างโลตัสคลอง 7 ร้านเสื้อหน้ายาโยอิ 41/2 หมู่2 · ลำผักกูด/ Lam Phak Kut
ธัญบุรี/ Thanyaburiปทุมธานี/ Pathum Thani
12110</t>
  </si>
  <si>
    <t>660868999505</t>
  </si>
  <si>
    <t>06/01/2025 16:03</t>
  </si>
  <si>
    <t>LEXDO0124102666</t>
  </si>
  <si>
    <t>ชิฟฟ่อนไส้30ชิ้น</t>
  </si>
  <si>
    <t>EQM74</t>
  </si>
  <si>
    <t>นรบดีอู่ซ่อมรถ</t>
  </si>
  <si>
    <t>46/8ม.4ซอยอ่อนนุช65แยก7แขวงประเวศ · ประเวศ/ Prawet
ประเวศ/ Prawetกรุงเทพมหานคร/ Bangkok
10250</t>
  </si>
  <si>
    <t>660926810355</t>
  </si>
  <si>
    <t>06/01/2025 16:02</t>
  </si>
  <si>
    <t>LEXPU0442876340</t>
  </si>
  <si>
    <t>EQM73</t>
  </si>
  <si>
    <t>ข***่อง</t>
  </si>
  <si>
    <t>06/01/2025 16:01</t>
  </si>
  <si>
    <t>THT18041E6DCZ5Z</t>
  </si>
  <si>
    <t>EQM72</t>
  </si>
  <si>
    <t>754320700652</t>
  </si>
  <si>
    <t>EQM71</t>
  </si>
  <si>
    <t>อ***ดี ห***ญเรืองโชค</t>
  </si>
  <si>
    <t>06/01/2025 15:58</t>
  </si>
  <si>
    <t>THT08061E6QER6Z</t>
  </si>
  <si>
    <t>EQM70</t>
  </si>
  <si>
    <t>ส***พร. บ***ัณชาติ</t>
  </si>
  <si>
    <t>06/01/2025 15:57</t>
  </si>
  <si>
    <t>THT04031E69F19Z</t>
  </si>
  <si>
    <t>EQM69</t>
  </si>
  <si>
    <t>อ***นท์ โ***์ศรี</t>
  </si>
  <si>
    <t>06/01/2025 15:54</t>
  </si>
  <si>
    <t>THT10131E6KJ80Z</t>
  </si>
  <si>
    <t>EQM68</t>
  </si>
  <si>
    <t>พรสวรรค์  ตุ้มกุล</t>
  </si>
  <si>
    <t>285 ถ เจริญรัฐ  ต กุดป่อง อ เมือง  จ เลย 42000
เมืองเลย/ Mueang Loeiเลย/ Loei
42000</t>
  </si>
  <si>
    <t>42000</t>
  </si>
  <si>
    <t>660864434049</t>
  </si>
  <si>
    <t>06/01/2025 15:44</t>
  </si>
  <si>
    <t>LEXDO0124082628</t>
  </si>
  <si>
    <t>EQM67</t>
  </si>
  <si>
    <t>น** ค***</t>
  </si>
  <si>
    <t>06/01/2025 15:38</t>
  </si>
  <si>
    <t>754308503642</t>
  </si>
  <si>
    <t>EQM66</t>
  </si>
  <si>
    <t>ส***ร ส***รี</t>
  </si>
  <si>
    <t>06/01/2025 15:36</t>
  </si>
  <si>
    <t>754300091521</t>
  </si>
  <si>
    <t>EQM65</t>
  </si>
  <si>
    <t>อ***ย์หลักสอง</t>
  </si>
  <si>
    <t>THT16031E6ZEV5Z</t>
  </si>
  <si>
    <t>EQM64</t>
  </si>
  <si>
    <t>ไ***น อ***งคลทอง</t>
  </si>
  <si>
    <t>06/01/2025 15:34</t>
  </si>
  <si>
    <t>754332491522</t>
  </si>
  <si>
    <t>EQM62</t>
  </si>
  <si>
    <t>ร*** ม***แย้ม</t>
  </si>
  <si>
    <t>06/01/2025 15:25</t>
  </si>
  <si>
    <t>754323619641</t>
  </si>
  <si>
    <t>EQM61</t>
  </si>
  <si>
    <t>06/01/2025 15:22</t>
  </si>
  <si>
    <t>754320419635</t>
  </si>
  <si>
    <t>EQM60</t>
  </si>
  <si>
    <t>ช***ต พ***ประสาทสุข</t>
  </si>
  <si>
    <t>06/01/2025 15:19</t>
  </si>
  <si>
    <t>754391619634</t>
  </si>
  <si>
    <t>EQM59</t>
  </si>
  <si>
    <t>ว***ณี ม***วัลย์</t>
  </si>
  <si>
    <t>06/01/2025 15:15</t>
  </si>
  <si>
    <t>754333501670</t>
  </si>
  <si>
    <t>EQM58</t>
  </si>
  <si>
    <t>ท******ี</t>
  </si>
  <si>
    <t>******ำบลเตาปูน อำเภอโพธาราม จังหวัดราชบุรี 70120</t>
  </si>
  <si>
    <t>TH252491967185P</t>
  </si>
  <si>
    <t>06/01/2025 15:06</t>
  </si>
  <si>
    <t>EQM57</t>
  </si>
  <si>
    <t>ถ***ย์ ต***ุขี</t>
  </si>
  <si>
    <t>06/01/2025 15:04</t>
  </si>
  <si>
    <t>754309570744</t>
  </si>
  <si>
    <t>EQM54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</si>
  <si>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</si>
  <si>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</si>
  <si>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660818516458</t>
  </si>
  <si>
    <t>06/01/2025 14:57</t>
  </si>
  <si>
    <t>LEXDO0124077115</t>
  </si>
  <si>
    <t>EQM53</t>
  </si>
  <si>
    <t>ศ***ขวัญ   ส***ล้า</t>
  </si>
  <si>
    <t>06/01/2025 14:54</t>
  </si>
  <si>
    <t>THT21061E75CJ0Z</t>
  </si>
  <si>
    <t>06/01/2025 14:55</t>
  </si>
  <si>
    <t>EQM51</t>
  </si>
  <si>
    <t>ภ***าภรณ์ น***ันธ์</t>
  </si>
  <si>
    <t>THT42111E79VA4Z</t>
  </si>
  <si>
    <t>EQM50</t>
  </si>
  <si>
    <t>ท***รรณ  ส***ชัยกิจ</t>
  </si>
  <si>
    <t>06/01/2025 14:53</t>
  </si>
  <si>
    <t>THT20071E6HQG6Z</t>
  </si>
  <si>
    <t>EQM49</t>
  </si>
  <si>
    <t>ป***ัศมิ์  จ***ิศาวิทย์</t>
  </si>
  <si>
    <t>THT12011E6SK09Z</t>
  </si>
  <si>
    <t>EQM48</t>
  </si>
  <si>
    <t>06/01/2025 14:52</t>
  </si>
  <si>
    <t>THT42111E6ZD61Z</t>
  </si>
  <si>
    <t>EQM47</t>
  </si>
  <si>
    <t>ฉ** จ***ญ</t>
  </si>
  <si>
    <t>06/01/2025 14:50</t>
  </si>
  <si>
    <t>754361286722</t>
  </si>
  <si>
    <t>EQM46</t>
  </si>
  <si>
    <t>ว***ี ป***เมธี</t>
  </si>
  <si>
    <t>THT12031E6SMC5Z</t>
  </si>
  <si>
    <t>EQM45</t>
  </si>
  <si>
    <t>06/01/2025 14:42</t>
  </si>
  <si>
    <t>TH19046P1S8G0B</t>
  </si>
  <si>
    <t>EQM44</t>
  </si>
  <si>
    <t>สุนิสา ชุ่มจันทร์</t>
  </si>
  <si>
    <t>88/11 หมู่ 10 · บ้านสิงห์/ Ban Sing
โพธาราม/ Photharamราชบุรี/ Ratchaburi
70120</t>
  </si>
  <si>
    <t>660963106547</t>
  </si>
  <si>
    <t>06/01/2025 14:35</t>
  </si>
  <si>
    <t>LEXPU0442875553</t>
  </si>
  <si>
    <t>EQM43</t>
  </si>
  <si>
    <t>ก***นา​  ห***ปวงคำ</t>
  </si>
  <si>
    <t>06/01/2025 14:33</t>
  </si>
  <si>
    <t>THT15061E6BNX0Z</t>
  </si>
  <si>
    <t>06/01/2025 14:34</t>
  </si>
  <si>
    <t>EQM41</t>
  </si>
  <si>
    <t>พ***า  ม***า</t>
  </si>
  <si>
    <t>06/01/2025 14:23</t>
  </si>
  <si>
    <t>754326504643</t>
  </si>
  <si>
    <t>EQM40</t>
  </si>
  <si>
    <t>06/01/2025 14:22</t>
  </si>
  <si>
    <t>THT15031E79TF6Z</t>
  </si>
  <si>
    <t>EQM39</t>
  </si>
  <si>
    <t>ม***ิกา โ***าภรณ์</t>
  </si>
  <si>
    <t>THT01181E79UA2Z</t>
  </si>
  <si>
    <t>EQM38</t>
  </si>
  <si>
    <t>น** ส***รณา แ***ันทร์</t>
  </si>
  <si>
    <t>06/01/2025 14:18</t>
  </si>
  <si>
    <t>754340900670</t>
  </si>
  <si>
    <t>06/01/2025 14:19</t>
  </si>
  <si>
    <t>EQM37</t>
  </si>
  <si>
    <t>ว***รณ์  ช***วลิต</t>
  </si>
  <si>
    <t>06/01/2025 14:11</t>
  </si>
  <si>
    <t>THT12071E6ZPX3Z</t>
  </si>
  <si>
    <t>06/01/2025 14:15</t>
  </si>
  <si>
    <t>EQM36</t>
  </si>
  <si>
    <t>เ***ุดา ร***โรจน์</t>
  </si>
  <si>
    <t>06/01/2025 14:09</t>
  </si>
  <si>
    <t>THT49011E6TQZ7Z</t>
  </si>
  <si>
    <t>06/01/2025 14:14</t>
  </si>
  <si>
    <t>EQM34</t>
  </si>
  <si>
    <t>ฟ้า</t>
  </si>
  <si>
    <t>211/23 ซอยคุ้มเกล้า7 หมู่บ้านชัยพฤกษ์1 ถนนคุ้มเกล้า
มีนบุรี/ Min Buriกรุงเทพมหานคร/ Bangkok
10510</t>
  </si>
  <si>
    <t>660627575599</t>
  </si>
  <si>
    <t>06/01/2025 14:13</t>
  </si>
  <si>
    <t>LEXPU0442857488</t>
  </si>
  <si>
    <t>EQM33</t>
  </si>
  <si>
    <t>******ะประดู่ ตำบลสระประดู่ อำเภอวิเชียรบุรี จังหวัดเพชรบูรณ์ 67130</t>
  </si>
  <si>
    <t>67130</t>
  </si>
  <si>
    <t>21</t>
  </si>
  <si>
    <t>TH251924633330U</t>
  </si>
  <si>
    <t>EQM30</t>
  </si>
  <si>
    <t>ป* แ***ออนไลน์</t>
  </si>
  <si>
    <t>06/01/2025 14:02</t>
  </si>
  <si>
    <t>THT15041E6EFJ7Z</t>
  </si>
  <si>
    <t>EQM29</t>
  </si>
  <si>
    <t>บ***ฟ</t>
  </si>
  <si>
    <t>06/01/2025 14:01</t>
  </si>
  <si>
    <t>754305372785</t>
  </si>
  <si>
    <t>EQM28</t>
  </si>
  <si>
    <t>อารี.หวังที่ชอบ</t>
  </si>
  <si>
    <t>นิคมอุตสหกรรมนวนคร หมุ่บ้านไทยธานี.ซอย.22.62/10หมุ่.19.ตคลองหนึ่ง.อ.คลองหลวง.จ.ปทุมธานี
คลองหลวง/ Khlong Luangปทุมธานี/ Pathum Thani
12120</t>
  </si>
  <si>
    <t>660824943188</t>
  </si>
  <si>
    <t>06/01/2025 14:00</t>
  </si>
  <si>
    <t>LEXPU0442874982</t>
  </si>
  <si>
    <t>06/01/2025 13:59</t>
  </si>
  <si>
    <t>EQM27</t>
  </si>
  <si>
    <t>สุชาติประพฤติชอบ</t>
  </si>
  <si>
    <t>163ม5ตที่วังอทุ่งสงจนครศรืธร
ทุ่งสง/ Thung Songนครศรีธรรมราช/ Nakhon Si Thammarat
80110</t>
  </si>
  <si>
    <t>660655397120</t>
  </si>
  <si>
    <t>06/01/2025 13:58</t>
  </si>
  <si>
    <t>LEXDO0124099703</t>
  </si>
  <si>
    <t>EQM26</t>
  </si>
  <si>
    <t>******ุขุมวิท แขวงพระโขนง แขวงพระโขนง เขตคลองเตย จังหวัดกรุงเทพมหานคร 10110</t>
  </si>
  <si>
    <t>10110</t>
  </si>
  <si>
    <t>06/01/2025 13:56</t>
  </si>
  <si>
    <t>TH01016P2JKQ7C</t>
  </si>
  <si>
    <t>EQM25</t>
  </si>
  <si>
    <t>ต***อน</t>
  </si>
  <si>
    <t>06/01/2025 13:55</t>
  </si>
  <si>
    <t>754317305663</t>
  </si>
  <si>
    <t>EQM24</t>
  </si>
  <si>
    <t>ย***น จ***ร์จำนงค์</t>
  </si>
  <si>
    <t>06/01/2025 13:53</t>
  </si>
  <si>
    <t>754373089713</t>
  </si>
  <si>
    <t>EQM23</t>
  </si>
  <si>
    <t>ร***รัตน์​ จ***รวงค์</t>
  </si>
  <si>
    <t>เทศบาลนครสุราษฎร์ธานี</t>
  </si>
  <si>
    <t>06/01/2025 13:52</t>
  </si>
  <si>
    <t>754313900664</t>
  </si>
  <si>
    <t>EQM20</t>
  </si>
  <si>
    <t>ปราณิศา เตชะบัณฑิต</t>
  </si>
  <si>
    <t>13/1ซ.ลาดพร้าว80แยก20แขวง-เขตวังทองหลางกรุงเทพ10310
วังทองหลาง/ Wang Thonglangกรุงเทพมหานคร/ Bangkok
10310</t>
  </si>
  <si>
    <t>660959560764</t>
  </si>
  <si>
    <t>06/01/2025 13:46</t>
  </si>
  <si>
    <t>LEXDO0124096346</t>
  </si>
  <si>
    <t>EQM18</t>
  </si>
  <si>
    <t>ป***อม</t>
  </si>
  <si>
    <t>06/01/2025 13:43</t>
  </si>
  <si>
    <t>754351970713</t>
  </si>
  <si>
    <t>EQM17</t>
  </si>
  <si>
    <t>น******ล</t>
  </si>
  <si>
    <t>******ปาคม  ซ.ศรีจันทราพันธุ์4  ถ.ทหาร ตำบลหนองขอนกว้าง อำเภอเมืองอุดรธานี จังหวัดอุดรธานี 41000</t>
  </si>
  <si>
    <t>43</t>
  </si>
  <si>
    <t>06/01/2025 13:41</t>
  </si>
  <si>
    <t>TH253848698828R</t>
  </si>
  <si>
    <t>EQM16</t>
  </si>
  <si>
    <t>06/01/2025 13:39</t>
  </si>
  <si>
    <t>THT52081E6KKD6Z</t>
  </si>
  <si>
    <t>EQM14</t>
  </si>
  <si>
    <t>06/01/2025 13:37</t>
  </si>
  <si>
    <t>754317214630</t>
  </si>
  <si>
    <t>EQM13</t>
  </si>
  <si>
    <t>อ***ีญา</t>
  </si>
  <si>
    <t>06/01/2025 13:36</t>
  </si>
  <si>
    <t>754301962772</t>
  </si>
  <si>
    <t>EQM12</t>
  </si>
  <si>
    <t>ศ***ัสสร อ***ดี แ**</t>
  </si>
  <si>
    <t>06/01/2025 13:29</t>
  </si>
  <si>
    <t>754344507663</t>
  </si>
  <si>
    <t>EQM11</t>
  </si>
  <si>
    <t>แ******ิ</t>
  </si>
  <si>
    <t>******ลตูมใหญ่ อำเภอคูเมือง จังหวัดบุรีรัมย์ 31190</t>
  </si>
  <si>
    <t>31190</t>
  </si>
  <si>
    <t>06/01/2025 13:19</t>
  </si>
  <si>
    <t>TH2538703487167</t>
  </si>
  <si>
    <t>EQM10</t>
  </si>
  <si>
    <t>ส***ทิพย์  แ***ล้า</t>
  </si>
  <si>
    <t>06/01/2025 13:16</t>
  </si>
  <si>
    <t>754311106651</t>
  </si>
  <si>
    <t>06/01/2025 13:17</t>
  </si>
  <si>
    <t>EQM7</t>
  </si>
  <si>
    <t>ไพลิน แซ่ชั้น</t>
  </si>
  <si>
    <t>191 ม.12 ต .วัดป่า · วัดป่า/ Wat Pa
หล่มสัก/ Lom Sakเพชรบูรณ์/ Phetchabun
67110</t>
  </si>
  <si>
    <t>660859588335</t>
  </si>
  <si>
    <t>06/01/2025 13:12</t>
  </si>
  <si>
    <t>TH74016P1GEF0J</t>
  </si>
  <si>
    <t>EQM6</t>
  </si>
  <si>
    <t>ดาว</t>
  </si>
  <si>
    <t>บ้านเลขที่ 24 หมู่ที่ 2 ตำบลทัพหลวง
หนองหญ้าไซ/ Nong Ya Saiสุพรรณบุรี/ Suphanburi
72240</t>
  </si>
  <si>
    <t>72240</t>
  </si>
  <si>
    <t>660985489326</t>
  </si>
  <si>
    <t>06/01/2025 13:11</t>
  </si>
  <si>
    <t>TH14106P2RDN6F</t>
  </si>
  <si>
    <t>EQM5</t>
  </si>
  <si>
    <t>ม***นันท์  ร***ระเสริฐ</t>
  </si>
  <si>
    <t>06/01/2025 13:06</t>
  </si>
  <si>
    <t>754303973710</t>
  </si>
  <si>
    <t>EQM4</t>
  </si>
  <si>
    <t>น***าวสมลักษณ์ เ***อุดม</t>
  </si>
  <si>
    <t>06/01/2025 13:03</t>
  </si>
  <si>
    <t>754346899504</t>
  </si>
  <si>
    <t>EQM2</t>
  </si>
  <si>
    <t>ด***มล ท***ู</t>
  </si>
  <si>
    <t>06/01/2025 13:00</t>
  </si>
  <si>
    <t>754318705663</t>
  </si>
  <si>
    <t>06/01/2025 12:59</t>
  </si>
  <si>
    <t>EQM1</t>
  </si>
  <si>
    <t>ก***ัล ท***มั้น</t>
  </si>
  <si>
    <t>06/01/2025 12:57</t>
  </si>
  <si>
    <t>754335093525</t>
  </si>
  <si>
    <t>EQL99</t>
  </si>
  <si>
    <t>ก***า อ***โศภณ</t>
  </si>
  <si>
    <t>06/01/2025 12:56</t>
  </si>
  <si>
    <t>THT01101E6K5M6Z</t>
  </si>
  <si>
    <t>EQL98</t>
  </si>
  <si>
    <t>อ***ณ์  ช***ล</t>
  </si>
  <si>
    <t>06/01/2025 12:55</t>
  </si>
  <si>
    <t>754343304665</t>
  </si>
  <si>
    <t>EQL96</t>
  </si>
  <si>
    <t xml:space="preserve">ศ***า ป***าสังข์ </t>
  </si>
  <si>
    <t>06/01/2025 12:53</t>
  </si>
  <si>
    <t>THT28061E79PM0Z</t>
  </si>
  <si>
    <t>06/01/2025 12:52</t>
  </si>
  <si>
    <t>EQL95</t>
  </si>
  <si>
    <t>N**k</t>
  </si>
  <si>
    <t>****** ตำบล เนินพระปรางค์, อำเภอสองพี่น้อง ตำบลเนินพระปรางค์ อำเภอสองพี่น้อง จังหวัดสุพรรณบุรี 72110</t>
  </si>
  <si>
    <t>72110</t>
  </si>
  <si>
    <t>06/01/2025 12:51</t>
  </si>
  <si>
    <t>TH2570550921577</t>
  </si>
  <si>
    <t>EQL94</t>
  </si>
  <si>
    <t>ท***ันทร์ ท***วงษ์</t>
  </si>
  <si>
    <t>06/01/2025 12:49</t>
  </si>
  <si>
    <t>754379707664</t>
  </si>
  <si>
    <t>EQL93</t>
  </si>
  <si>
    <t>ด******ะ</t>
  </si>
  <si>
    <t>******สว่าง, ตำบล โนนสวาง, อำเภอกุดข้าวปุ้น ตำบลโนนสวาง อำเภอกุดข้าวปุ้น จังหวัดอุบลราชธานี 34270</t>
  </si>
  <si>
    <t>34270</t>
  </si>
  <si>
    <t>80</t>
  </si>
  <si>
    <t>06/01/2025 12:50</t>
  </si>
  <si>
    <t>TH31116P2JSQ2B</t>
  </si>
  <si>
    <t>EQL92</t>
  </si>
  <si>
    <t>ท***รัพย์ ภ***าณุภัค</t>
  </si>
  <si>
    <t>06/01/2025 12:48</t>
  </si>
  <si>
    <t>THT01471E70169Z</t>
  </si>
  <si>
    <t>EQL91</t>
  </si>
  <si>
    <t>ศ***พร  อ***ละมัย</t>
  </si>
  <si>
    <t>754362660531</t>
  </si>
  <si>
    <t>EQL90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</si>
  <si>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</si>
  <si>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</si>
  <si>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</si>
  <si>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06/01/2025 12:47</t>
  </si>
  <si>
    <t>LEXDO0124099926</t>
  </si>
  <si>
    <t>EQL89</t>
  </si>
  <si>
    <t>06/01/2025 12:45</t>
  </si>
  <si>
    <t>754359274793</t>
  </si>
  <si>
    <t>EQL88</t>
  </si>
  <si>
    <t>พ******ง</t>
  </si>
  <si>
    <t>******ราม 0 ตำบลราม อำเภอเมืองสุรินทร์ จังหวัดสุรินทร์ 32000</t>
  </si>
  <si>
    <t>06/01/2025 12:44</t>
  </si>
  <si>
    <t>TH258095647359Z</t>
  </si>
  <si>
    <t>06/01/2025 12:43</t>
  </si>
  <si>
    <t>EQL87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</si>
  <si>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</si>
  <si>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</si>
  <si>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</si>
  <si>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LEXDO0124095402</t>
  </si>
  <si>
    <t>06/01/2025 12:41</t>
  </si>
  <si>
    <t>ชิฟฟ่อน90ชิ้น</t>
  </si>
  <si>
    <t>EQL86</t>
  </si>
  <si>
    <t>เกตสรินทร์ ด้วงสํารวย</t>
  </si>
  <si>
    <t>125/5 ม.4 ซ.บุญลือ ต.ในคลองบางปลากด อ.พระสมุทรเจดีย์ จ.สมุทรปราการ - · ในคลองบางปลากด/ Nai Khlong Bang Pla Kot
พระสมุทรเจดีย์/ Phra Samut Chediสมุทรปราการ/ Samut Prakan
10290</t>
  </si>
  <si>
    <t>660818482036</t>
  </si>
  <si>
    <t>LEXPU0442841300</t>
  </si>
  <si>
    <t>EQL84</t>
  </si>
  <si>
    <t>เ***สุข ป***าชัย</t>
  </si>
  <si>
    <t>06/01/2025 12:38</t>
  </si>
  <si>
    <t>754310152573</t>
  </si>
  <si>
    <t>EQL83</t>
  </si>
  <si>
    <t>ภ***ี ม***หมาย</t>
  </si>
  <si>
    <t>06/01/2025 12:39</t>
  </si>
  <si>
    <t>754351015622</t>
  </si>
  <si>
    <t>EQL82</t>
  </si>
  <si>
    <t>ป***า ค***ข้าวสาร</t>
  </si>
  <si>
    <t>06/01/2025 12:36</t>
  </si>
  <si>
    <t>754325677781</t>
  </si>
  <si>
    <t>06/01/2025 12:37</t>
  </si>
  <si>
    <t>EQL81</t>
  </si>
  <si>
    <t>พ***ี</t>
  </si>
  <si>
    <t>ยโสธร</t>
  </si>
  <si>
    <t>06/01/2025 12:35</t>
  </si>
  <si>
    <t>754318357553</t>
  </si>
  <si>
    <t>EQL80</t>
  </si>
  <si>
    <t>******ธิน แขวงอนุสาวรีย์ แขวงอนุสาวรีย์ เขตบางเขน จังหวัดกรุงเทพมหานคร 10220</t>
  </si>
  <si>
    <t>06/01/2025 12:32</t>
  </si>
  <si>
    <t>TH259921188678F</t>
  </si>
  <si>
    <t>06/01/2025 12:31</t>
  </si>
  <si>
    <t>EQL79</t>
  </si>
  <si>
    <t>จ***พัชร โ***์หลงเกร็ด</t>
  </si>
  <si>
    <t>06/01/2025 12:30</t>
  </si>
  <si>
    <t>754345109641</t>
  </si>
  <si>
    <t>EQL78</t>
  </si>
  <si>
    <t>ณ***์ปกรณ์</t>
  </si>
  <si>
    <t>06/01/2025 12:29</t>
  </si>
  <si>
    <t>754378619632</t>
  </si>
  <si>
    <t>ขนมปังแถว ขนมปังแผ่น (1แถวมี20แผ่น) เก็บได้ 7-10 วัน ทำแซนวิชได้ ขนม ยกแพ็ค ถูก!!</t>
  </si>
  <si>
    <t>EQL77</t>
  </si>
  <si>
    <t>กรกนก​ เฉิน​</t>
  </si>
  <si>
    <t>20  หมู่4  ต.ทุ่งพระยา อ.สนามชัยเขต
สนามชัยเขต/ Sanam Chai Khetฉะเชิงเทรา/ Chachoengsao
24160</t>
  </si>
  <si>
    <t>660898033396</t>
  </si>
  <si>
    <t>TH24086P2D7A7C</t>
  </si>
  <si>
    <t>06/01/2025 12:28</t>
  </si>
  <si>
    <t>EQL75</t>
  </si>
  <si>
    <t>พ***ัฒน์ เ***ญสุข</t>
  </si>
  <si>
    <t>06/01/2025 12:21</t>
  </si>
  <si>
    <t>THT02011E6ZKX7Z</t>
  </si>
  <si>
    <t>EQL74</t>
  </si>
  <si>
    <t>LEXPU0442874810</t>
  </si>
  <si>
    <t>EQL73</t>
  </si>
  <si>
    <t>น***้า ฟ***ทศ</t>
  </si>
  <si>
    <t>06/01/2025 12:12</t>
  </si>
  <si>
    <t>THT25061E6KMG4Z</t>
  </si>
  <si>
    <t>EQL72</t>
  </si>
  <si>
    <t>ก***รรณ ร***รัศมี</t>
  </si>
  <si>
    <t>06/01/2025 12:08</t>
  </si>
  <si>
    <t>754324894525</t>
  </si>
  <si>
    <t>EQL71</t>
  </si>
  <si>
    <t>จ***ี่ จ**</t>
  </si>
  <si>
    <t>06/01/2025 12:07</t>
  </si>
  <si>
    <t>THT05031E6E3C8Z</t>
  </si>
  <si>
    <t>EQL68</t>
  </si>
  <si>
    <t>เสน่หา</t>
  </si>
  <si>
    <t>989/259 ซ.12ท้ายซอย บางปูวิลล่า2 · ท้ายบ้านใหม่/ Thai Ban Mai
เมืองสมุทรปราการ/ Mueang Samut Prakanสมุทรปราการ/ Samut Prakan
10280</t>
  </si>
  <si>
    <t>660827223050</t>
  </si>
  <si>
    <t>06/01/2025 12:06</t>
  </si>
  <si>
    <t>LEXDO0124098186</t>
  </si>
  <si>
    <t>EQL67</t>
  </si>
  <si>
    <t>ธ***มศฐ์ อ***สุรัช</t>
  </si>
  <si>
    <t>06/01/2025 12:05</t>
  </si>
  <si>
    <t>754334303623</t>
  </si>
  <si>
    <t>EQL65</t>
  </si>
  <si>
    <t>06/01/2025 12:01</t>
  </si>
  <si>
    <t>LEXPU0442831069</t>
  </si>
  <si>
    <t>EQL64</t>
  </si>
  <si>
    <t>เสน่หา ชวนธนานนท์</t>
  </si>
  <si>
    <t>989/259 ม7 ม.บางปูวิลล่า2 ซ.เทศบาลบางปู59ต.ท้ายบ้านใหม่
เมืองสมุทรปราการ/ Mueang Samut Prakanสมุทรปราการ/ Samut Prakan
10280</t>
  </si>
  <si>
    <t>06/01/2025 12:00</t>
  </si>
  <si>
    <t>LEXDO0124098071</t>
  </si>
  <si>
    <t>EQL63</t>
  </si>
  <si>
    <t>ช***นุท</t>
  </si>
  <si>
    <t>THT10021E6KND0Z</t>
  </si>
  <si>
    <t>EQL62</t>
  </si>
  <si>
    <t>ว***ต์ จ***ร์แย้ม</t>
  </si>
  <si>
    <t>06/01/2025 11:59</t>
  </si>
  <si>
    <t>754354688592</t>
  </si>
  <si>
    <t>EQL61</t>
  </si>
  <si>
    <t>LEXPU0442875445</t>
  </si>
  <si>
    <t>EQL60</t>
  </si>
  <si>
    <t>ดุสีดา คำวิไล</t>
  </si>
  <si>
    <t>N 818 ซ.เสรีไท 41  818 ซ.เสรีไท 41 N, 10240, บึงกุ่ม/ Bueng Kum, กรุงเทพมหานคร/ Bangkok.
บึงกุ่ม/ Bueng Kumกรุงเทพมหานคร/ Bangkok
10240</t>
  </si>
  <si>
    <t>660825901949</t>
  </si>
  <si>
    <t>LEXDO0124099891</t>
  </si>
  <si>
    <t>EQL59</t>
  </si>
  <si>
    <t>06/01/2025 11:56</t>
  </si>
  <si>
    <t>LEXDO0124082160</t>
  </si>
  <si>
    <t>EQL58</t>
  </si>
  <si>
    <t>ร***กอกายก๋วยเตี๋ยวไก่มะระ</t>
  </si>
  <si>
    <t>754342489596</t>
  </si>
  <si>
    <t>EQL56</t>
  </si>
  <si>
    <t>นายอนุลักษณ์ คนบุญ</t>
  </si>
  <si>
    <t>103/1 หมู่ที่ 2 ต.ผาจุก
เมืองอุตรดิตถ์/ Mueang Uttaraditอุตรดิตถ์/ Uttaradit
53000</t>
  </si>
  <si>
    <t>53000</t>
  </si>
  <si>
    <t>660818878675</t>
  </si>
  <si>
    <t>06/01/2025 11:49</t>
  </si>
  <si>
    <t>LEXDO0124078419</t>
  </si>
  <si>
    <t>EQL55</t>
  </si>
  <si>
    <t>พ***ักดิ์ ค***นัด</t>
  </si>
  <si>
    <t>06/01/2025 11:48</t>
  </si>
  <si>
    <t>THT32081E6K834Z</t>
  </si>
  <si>
    <t>ครีมฮอร์นเนยสด วรรณวนัช 3รส ตัวดังใน TikTok</t>
  </si>
  <si>
    <t>EQL54</t>
  </si>
  <si>
    <t>รัตนา หลีอรัญ​</t>
  </si>
  <si>
    <t>477/6 หมู่2 ตำบลคลองขุด
เมืองสตูล/ Mueang Satunสตูล/ Satun
91000</t>
  </si>
  <si>
    <t>91000</t>
  </si>
  <si>
    <t>660819690158</t>
  </si>
  <si>
    <t>TH72016P2C879B</t>
  </si>
  <si>
    <t>EQL53</t>
  </si>
  <si>
    <t>อ***ี  ส***สนี</t>
  </si>
  <si>
    <t>754369281595</t>
  </si>
  <si>
    <t>EQL52</t>
  </si>
  <si>
    <t>ท***ิณา ว***ชัย</t>
  </si>
  <si>
    <t>THT43011E69QK7Z</t>
  </si>
  <si>
    <t>06/01/2025 11:47</t>
  </si>
  <si>
    <t>EQL50</t>
  </si>
  <si>
    <t>เ*** ข***มงคล</t>
  </si>
  <si>
    <t>06/01/2025 11:43</t>
  </si>
  <si>
    <t>754379808696</t>
  </si>
  <si>
    <t>EQL49</t>
  </si>
  <si>
    <t>น***รัชฎาภรณ์  จ***ล</t>
  </si>
  <si>
    <t>06/01/2025 11:39</t>
  </si>
  <si>
    <t>THT70041E6T5B7Z</t>
  </si>
  <si>
    <t>EQL48</t>
  </si>
  <si>
    <t>ณ***ิกา  ใ***</t>
  </si>
  <si>
    <t>06/01/2025 11:38</t>
  </si>
  <si>
    <t>754361464522</t>
  </si>
  <si>
    <t>EQL47</t>
  </si>
  <si>
    <t>ว******น</t>
  </si>
  <si>
    <t>******B813, ตำบลสนามจันทร์, อำเภอเมืองนครปฐม จังหวัดนครปฐม 73000 ตำบลพระปฐมเจดีย์ อำเภอเมืองนครปฐม จังหวัดนครปฐม 73000</t>
  </si>
  <si>
    <t>TH251954711681M</t>
  </si>
  <si>
    <t>06/01/2025 11:37</t>
  </si>
  <si>
    <t>EQL43</t>
  </si>
  <si>
    <t>ชูชัย ทิพย์ประชาบาล</t>
  </si>
  <si>
    <t>223/201 หมู่ 7 ซอย 13 หมู่บ้านเพอร์เฟคโฮม ต.คลองสวนพลูอ.พระนครศรีอยุธยา จ.พระนครศรีอยุธยา
พระนครศรีอยุธยา/ Phra Nakhon Si Ayutthayaพระนครศรีอยุธยา/ Phra Nakhon Si Ayutthaya
13000</t>
  </si>
  <si>
    <t>660909849956</t>
  </si>
  <si>
    <t>06/01/2025 11:31</t>
  </si>
  <si>
    <t>LEXDO0124102574</t>
  </si>
  <si>
    <t>06/01/2025 11:29</t>
  </si>
  <si>
    <t>EQL41</t>
  </si>
  <si>
    <t>น***ตน์  บ***ู</t>
  </si>
  <si>
    <t>06/01/2025 11:24</t>
  </si>
  <si>
    <t>754375687590</t>
  </si>
  <si>
    <t>EQL40</t>
  </si>
  <si>
    <t>น้องเฌอเอม(ร้านวัชราภรณ์)</t>
  </si>
  <si>
    <t>111หมู่ 4 · เขาสามสิบหาบ/ Khao Sam Sip Hap
ท่ามะกา/ Tha Makaกาญจนบุรี/ Kanchanaburi
71120</t>
  </si>
  <si>
    <t>660890677354</t>
  </si>
  <si>
    <t>06/01/2025 11:21</t>
  </si>
  <si>
    <t>LEXDO0124099908</t>
  </si>
  <si>
    <t>EQL38</t>
  </si>
  <si>
    <t>ส***พร บ***อด</t>
  </si>
  <si>
    <t>06/01/2025 11:17</t>
  </si>
  <si>
    <t>754361290502</t>
  </si>
  <si>
    <t>EQL37</t>
  </si>
  <si>
    <t>นาง แดง   คำบุญเกิด</t>
  </si>
  <si>
    <t>บ้านเลขที่194ม.1บ.หนองไผ่ ต.หนองไผ่ · หนองไผ่/ Nong Phai
หนองหาน/ Nong Hanอุดรธานี/ Udon Thani
41130</t>
  </si>
  <si>
    <t>660807358183</t>
  </si>
  <si>
    <t>06/01/2025 11:16</t>
  </si>
  <si>
    <t>TH38066P2CUA4J</t>
  </si>
  <si>
    <t>EQL36</t>
  </si>
  <si>
    <t xml:space="preserve"> อ***า ร***ชุลี</t>
  </si>
  <si>
    <t>754382297513</t>
  </si>
  <si>
    <t>EQL35</t>
  </si>
  <si>
    <t>ส***ศ บ***งทรัพย์</t>
  </si>
  <si>
    <t>06/01/2025 11:15</t>
  </si>
  <si>
    <t>754307400696</t>
  </si>
  <si>
    <t>EQL34</t>
  </si>
  <si>
    <t>ป***ศา ห***ฤทธิ์</t>
  </si>
  <si>
    <t>06/01/2025 11:13</t>
  </si>
  <si>
    <t>THT43101E6V4B1Z</t>
  </si>
  <si>
    <t>06/01/2025 11:14</t>
  </si>
  <si>
    <t>EQL33</t>
  </si>
  <si>
    <t>TH28136P2B1U8E</t>
  </si>
  <si>
    <t>EQL31</t>
  </si>
  <si>
    <t>บ***ัด  อ***สะอาด</t>
  </si>
  <si>
    <t>06/01/2025 11:08</t>
  </si>
  <si>
    <t>754333701671</t>
  </si>
  <si>
    <t>EQL30</t>
  </si>
  <si>
    <t>รัชฎาพร สีกาแก้ว</t>
  </si>
  <si>
    <t>3หมู่12ตำบลคำโตนด
ประจันตคาม/ Prachantakhamปราจีนบุรี/ Prachin Buri
25130</t>
  </si>
  <si>
    <t>25130</t>
  </si>
  <si>
    <t>660926388718</t>
  </si>
  <si>
    <t>TH25056P2NHC0F</t>
  </si>
  <si>
    <t>EQL29</t>
  </si>
  <si>
    <t>ภ***ชิตา</t>
  </si>
  <si>
    <t>06/01/2025 11:07</t>
  </si>
  <si>
    <t>754365869552</t>
  </si>
  <si>
    <t>EQL28</t>
  </si>
  <si>
    <t>ค***ักรวุฒิ บ***่วยคุ้ม</t>
  </si>
  <si>
    <t>06/01/2025 11:06</t>
  </si>
  <si>
    <t>THT01291E6Z434Z</t>
  </si>
  <si>
    <t>EQL27</t>
  </si>
  <si>
    <t>กัลยา สุกสอาด</t>
  </si>
  <si>
    <t>ซอยลาดพร้าว80แยก26 65 เ  จันทร์สิริอพาร์ตเม้น · วังทองหลาง/ Wang Thonglang
วังทองหลาง/ Wang Thonglangกรุงเทพมหานคร/ Bangkok
10310</t>
  </si>
  <si>
    <t>660858375251</t>
  </si>
  <si>
    <t>LEXDO0124096074</t>
  </si>
  <si>
    <t>06/01/2025 11:05</t>
  </si>
  <si>
    <t>EQL26</t>
  </si>
  <si>
    <t>ปภาตา  สุชีวจรรยา</t>
  </si>
  <si>
    <t>177 บ้านนภาสวัสดิ์  ม.3 ต.มะกอก
ป่าซาง/ Pa Sangลำพูน/ Lamphun
51120</t>
  </si>
  <si>
    <t>51120</t>
  </si>
  <si>
    <t>660967166466</t>
  </si>
  <si>
    <t>06/01/2025 11:04</t>
  </si>
  <si>
    <t>LEXDO0124084611</t>
  </si>
  <si>
    <t>EQL23</t>
  </si>
  <si>
    <t>ธ*** ช***เขตรการณ์</t>
  </si>
  <si>
    <t>06/01/2025 10:57</t>
  </si>
  <si>
    <t>754361106671</t>
  </si>
  <si>
    <t>EQL22</t>
  </si>
  <si>
    <t>ส***ตย์   เ***นุสิทธิ์</t>
  </si>
  <si>
    <t>06/01/2025 10:56</t>
  </si>
  <si>
    <t>754345376713</t>
  </si>
  <si>
    <t>06/01/2025 10:55</t>
  </si>
  <si>
    <t>EQL21</t>
  </si>
  <si>
    <t>ธ***ิพย์​ ​***ือ​วงค์​ปัญญา​</t>
  </si>
  <si>
    <t>06/01/2025 10:54</t>
  </si>
  <si>
    <t>754392301666</t>
  </si>
  <si>
    <t>EQL20</t>
  </si>
  <si>
    <t>ล***า ต***รณ์</t>
  </si>
  <si>
    <t>06/01/2025 10:46</t>
  </si>
  <si>
    <t>754346812645</t>
  </si>
  <si>
    <t>EQL19</t>
  </si>
  <si>
    <t>n***a j***a</t>
  </si>
  <si>
    <t>06/01/2025 10:41</t>
  </si>
  <si>
    <t>754331462533</t>
  </si>
  <si>
    <t>EQL18</t>
  </si>
  <si>
    <t>จ***ร์เพ็ญ ค***นรัมย์</t>
  </si>
  <si>
    <t>THT26051E6BAP5Z</t>
  </si>
  <si>
    <t>EQL17</t>
  </si>
  <si>
    <t>อนิชา ชื่นเจริญ</t>
  </si>
  <si>
    <t>ถนนกำแพงเพชร-พิจิตร 43 ม.7 ต.นิคมทุ่งโพธิ์ทะเล อ.เมือง จ. กำแพงเพชร
เมืองกำแพงเพชร/ Mueang Kamphaeng Phetกำแพงเพชร/ Kamphaeng Phet
62000</t>
  </si>
  <si>
    <t>62000</t>
  </si>
  <si>
    <t>660839135697</t>
  </si>
  <si>
    <t>06/01/2025 10:40</t>
  </si>
  <si>
    <t>LEXDO0124100166</t>
  </si>
  <si>
    <t>EQL16</t>
  </si>
  <si>
    <t>คมคาย สิงห์คํา</t>
  </si>
  <si>
    <t>60หมู่1 · บ้านกลาง/ Ban Klang
สันป่าตอง/ San Pa Tongเชียงใหม่/ Chiang Mai
50120</t>
  </si>
  <si>
    <t>660933077859</t>
  </si>
  <si>
    <t>06/01/2025 10:38</t>
  </si>
  <si>
    <t>LEXPU0442876116</t>
  </si>
  <si>
    <t>EQL15</t>
  </si>
  <si>
    <t>ส***ชตรา</t>
  </si>
  <si>
    <t>754383419646</t>
  </si>
  <si>
    <t>EQL14</t>
  </si>
  <si>
    <t>พัชรดา</t>
  </si>
  <si>
    <t>บ้านเลขที่2หมู่1ตำบลหนองเดิ่นทาา · บุ่งคล้า/ Bung Khla
บุ่งคล้า/ Bung Khlaบึงกาฬ/ Bueng Kan
38000</t>
  </si>
  <si>
    <t>38000</t>
  </si>
  <si>
    <t>660986808825</t>
  </si>
  <si>
    <t>TH35056P20HZ2C</t>
  </si>
  <si>
    <t>EQL13</t>
  </si>
  <si>
    <t>ร***ทิพวรรณพันธ์ไม้</t>
  </si>
  <si>
    <t>06/01/2025 10:37</t>
  </si>
  <si>
    <t>754341092525</t>
  </si>
  <si>
    <t>EQL12</t>
  </si>
  <si>
    <t>ส***ชา</t>
  </si>
  <si>
    <t>06/01/2025 10:36</t>
  </si>
  <si>
    <t>754378581530</t>
  </si>
  <si>
    <t>เบาหวิว 30 กล่อง</t>
  </si>
  <si>
    <t>เบาหวิว 100 กรัม 30 กล่อง</t>
  </si>
  <si>
    <t>EQL11</t>
  </si>
  <si>
    <t>P***rose</t>
  </si>
  <si>
    <t>06/01/2025 10:35</t>
  </si>
  <si>
    <t>THT39051E6E1B3Z</t>
  </si>
  <si>
    <t>EQL9</t>
  </si>
  <si>
    <t>คุณปิติมา</t>
  </si>
  <si>
    <t>307 หมู่ 3 ต.พะวง
เมืองสงขลา/ Mueang Songkhlaสงขลา/ Songkhla
90100</t>
  </si>
  <si>
    <t>90100</t>
  </si>
  <si>
    <t>660958589348</t>
  </si>
  <si>
    <t>06/01/2025 10:34</t>
  </si>
  <si>
    <t>LEXDO0124098210</t>
  </si>
  <si>
    <t>06/01/2025 10:33</t>
  </si>
  <si>
    <t>EQL7</t>
  </si>
  <si>
    <t>สวัสดิ์ สีแดง</t>
  </si>
  <si>
    <t>63 หมู่ 4 ต.ยางสักฯ · ยางสักกระโพหลุ่ม/ Yang Sak Krapho Lum
ม่วงสามสิบ/ Muang Sam Sipอุบลราชธานี/ Ubon Ratchathani
34140</t>
  </si>
  <si>
    <t>34140</t>
  </si>
  <si>
    <t>660871093400</t>
  </si>
  <si>
    <t>06/01/2025 10:30</t>
  </si>
  <si>
    <t>TH31126P1KHX1G</t>
  </si>
  <si>
    <t>EQL5</t>
  </si>
  <si>
    <t>ส***ดา น***ปี่ยม</t>
  </si>
  <si>
    <t>06/01/2025 10:25</t>
  </si>
  <si>
    <t>THT14091E6ZXF5Z</t>
  </si>
  <si>
    <t>EQL2</t>
  </si>
  <si>
    <t>พ***า จ***ะเสวี</t>
  </si>
  <si>
    <t>06/01/2025 10:20</t>
  </si>
  <si>
    <t>THT03011E63TU9Z</t>
  </si>
  <si>
    <t>EQL1</t>
  </si>
  <si>
    <t>ปิยะนุช คำบุญเรือง ชิคชิค</t>
  </si>
  <si>
    <t>12/7 ถนนรอบเวียงประตูกลอง · เวียง/ Wiang
เมืองพะเยา/ Mueang Phayaoพะเยา/ Phayao
56000</t>
  </si>
  <si>
    <t>660875440853</t>
  </si>
  <si>
    <t>LEXPU0442874588</t>
  </si>
  <si>
    <t>EQL0</t>
  </si>
  <si>
    <t>ปราณี.ราฟิอิ</t>
  </si>
  <si>
    <t>131.ม.4.ต.พุขาม.อ.วิเชียรบุรี
วิเชียรบุรี/ Wichian Buriเพชรบูรณ์/ Phetchabun
67180</t>
  </si>
  <si>
    <t>06/01/2025 10:17</t>
  </si>
  <si>
    <t>TH63056P21M17H</t>
  </si>
  <si>
    <t>EQK99</t>
  </si>
  <si>
    <t>จ**</t>
  </si>
  <si>
    <t>06/01/2025 10:14</t>
  </si>
  <si>
    <t>THT53061E799H6Z</t>
  </si>
  <si>
    <t>EQK98</t>
  </si>
  <si>
    <t>พ***รถศรีสวัสดิ์</t>
  </si>
  <si>
    <t>754367211636</t>
  </si>
  <si>
    <t>06/01/2025 10:16</t>
  </si>
  <si>
    <t>EQK96</t>
  </si>
  <si>
    <t>ธ***ภัสสร์  ศ***มื่นไวย</t>
  </si>
  <si>
    <t>06/01/2025 10:15</t>
  </si>
  <si>
    <t>754327663526</t>
  </si>
  <si>
    <t>EQK95</t>
  </si>
  <si>
    <t>ส***ทธิ์ ห***อย</t>
  </si>
  <si>
    <t>06/01/2025 10:12</t>
  </si>
  <si>
    <t>754386102621</t>
  </si>
  <si>
    <t>EQK94</t>
  </si>
  <si>
    <t>ดีดี้</t>
  </si>
  <si>
    <t>71 หมู่ 11 · ดอนดู่/ Don Du
หนองสองห้อง/ Nong Song Hongขอนแก่น/ Khon Kaen
40190</t>
  </si>
  <si>
    <t>40190</t>
  </si>
  <si>
    <t>660927765361</t>
  </si>
  <si>
    <t>06/01/2025 10:13</t>
  </si>
  <si>
    <t>520004274322</t>
  </si>
  <si>
    <t>EQK93</t>
  </si>
  <si>
    <t>ย***น ศ***ิน</t>
  </si>
  <si>
    <t>06/01/2025 10:08</t>
  </si>
  <si>
    <t>754326309656</t>
  </si>
  <si>
    <t>EQK92</t>
  </si>
  <si>
    <t>06/01/2025 10:07</t>
  </si>
  <si>
    <t>754395300654</t>
  </si>
  <si>
    <t>EQK91</t>
  </si>
  <si>
    <t>จ***ร์เพ็ญ เ***สภา</t>
  </si>
  <si>
    <t>754370810642</t>
  </si>
  <si>
    <t>06/01/2025 10:11</t>
  </si>
  <si>
    <t>EQK89</t>
  </si>
  <si>
    <t>เ***ยร  เ***์จงใจ</t>
  </si>
  <si>
    <t>06/01/2025 10:01</t>
  </si>
  <si>
    <t>754369813632</t>
  </si>
  <si>
    <t>06/01/2025 10:09</t>
  </si>
  <si>
    <t>EQK88</t>
  </si>
  <si>
    <t>ศ***วรรณ เ***ช้ำ</t>
  </si>
  <si>
    <t>06/01/2025 10:00</t>
  </si>
  <si>
    <t>THT09051E6NMT7Z</t>
  </si>
  <si>
    <t>06/01/2025 10:04</t>
  </si>
  <si>
    <t>ว***า  ว***ยะภูรี</t>
  </si>
  <si>
    <t>754352403696</t>
  </si>
  <si>
    <t>06/01/2025 10:02</t>
  </si>
  <si>
    <t>EQK87</t>
  </si>
  <si>
    <t>ว***ทนา ส***</t>
  </si>
  <si>
    <t>06/01/2025 09:59</t>
  </si>
  <si>
    <t>754314297516</t>
  </si>
  <si>
    <t>สุพัตรา  สัตยภิรณ์</t>
  </si>
  <si>
    <t>48/17  ม.3  ต.หนองบัว อ.บ้านโพธิ์
บ้านโพธิ์/ Ban Phoฉะเชิงเทรา/ Chachoengsao
24140</t>
  </si>
  <si>
    <t>660896844824</t>
  </si>
  <si>
    <t>06/01/2025 09:58</t>
  </si>
  <si>
    <t>LEXDO0124101518</t>
  </si>
  <si>
    <t>EQK86</t>
  </si>
  <si>
    <t>โ*** แ***ม</t>
  </si>
  <si>
    <t>06/01/2025 09:57</t>
  </si>
  <si>
    <t>754391211641</t>
  </si>
  <si>
    <t>EQK85</t>
  </si>
  <si>
    <t>ร***าภรณ์ ก***ล</t>
  </si>
  <si>
    <t>06/01/2025 09:56</t>
  </si>
  <si>
    <t>754389216630</t>
  </si>
  <si>
    <t>EQK84</t>
  </si>
  <si>
    <t>ย***น ห***ศิลป์</t>
  </si>
  <si>
    <t>Nong Bua Lam Phu</t>
  </si>
  <si>
    <t>06/01/2025 09:54</t>
  </si>
  <si>
    <t>754341203696</t>
  </si>
  <si>
    <t>06/01/2025 09:55</t>
  </si>
  <si>
    <t>EQK83</t>
  </si>
  <si>
    <t>m***</t>
  </si>
  <si>
    <t>THT01261E6TMG1Z</t>
  </si>
  <si>
    <t>EQK82</t>
  </si>
  <si>
    <t>THT21011E6K728Z</t>
  </si>
  <si>
    <t>EQK81</t>
  </si>
  <si>
    <t>ก***จิตต์  ค***ัสดิ์</t>
  </si>
  <si>
    <t>754328108623</t>
  </si>
  <si>
    <t>EQK80</t>
  </si>
  <si>
    <t>ค***ักดิ์ชาย น***เบญสวัสดีปีใหม่ค่ะ</t>
  </si>
  <si>
    <t>06/01/2025 09:52</t>
  </si>
  <si>
    <t>รบกวนไม่ต้องใส่ใบออเดอร์หรือราคาลงกล่องค่ะ</t>
  </si>
  <si>
    <t>THT03041E72FG6Z</t>
  </si>
  <si>
    <t>EQK79</t>
  </si>
  <si>
    <t>นาท แก้วภา</t>
  </si>
  <si>
    <t>52 ม.7 ต.คูบางหลวง อ.ลาดหลุมแก้ว จ.ปทุมธานี 12140
ลาดหลุมแก้ว/ Lat Lum Kaeoปทุมธานี/ Pathum Thani
12140</t>
  </si>
  <si>
    <t>660800653990</t>
  </si>
  <si>
    <t>LEXPU0442851266</t>
  </si>
  <si>
    <t>EQK78</t>
  </si>
  <si>
    <t>ส***ช</t>
  </si>
  <si>
    <t>06/01/2025 09:51</t>
  </si>
  <si>
    <t>THT16011E70VH1Z</t>
  </si>
  <si>
    <t>EQK77</t>
  </si>
  <si>
    <t>น***ุฒินันท์ ศ***ึ่งจั่น</t>
  </si>
  <si>
    <t>06/01/2025 09:48</t>
  </si>
  <si>
    <t>754368611636</t>
  </si>
  <si>
    <t>06/01/2025 09:49</t>
  </si>
  <si>
    <t>EQK76</t>
  </si>
  <si>
    <t>น***มจิตร เ***ดขุนทด</t>
  </si>
  <si>
    <t>06/01/2025 09:17</t>
  </si>
  <si>
    <t>THT27081E6NVP3Z</t>
  </si>
  <si>
    <t>06/01/2025 09:47</t>
  </si>
  <si>
    <t>EQK75</t>
  </si>
  <si>
    <t>พ***ไพ ส***รณเพชร</t>
  </si>
  <si>
    <t>06/01/2025 09:45</t>
  </si>
  <si>
    <t>754329210633</t>
  </si>
  <si>
    <t>06/01/2025 09:46</t>
  </si>
  <si>
    <t>EQK74</t>
  </si>
  <si>
    <t>ป***ถนา ช***รัมย์</t>
  </si>
  <si>
    <t>754388100664</t>
  </si>
  <si>
    <t>EQK73</t>
  </si>
  <si>
    <t>พ***ิดา</t>
  </si>
  <si>
    <t>754391997553</t>
  </si>
  <si>
    <t>EQK72</t>
  </si>
  <si>
    <t>754347909626</t>
  </si>
  <si>
    <t>06/01/2025 09:44</t>
  </si>
  <si>
    <t>EQK71</t>
  </si>
  <si>
    <t>THT21011E6HMV0Z</t>
  </si>
  <si>
    <t>EQK70</t>
  </si>
  <si>
    <t>ร***ดา ล***</t>
  </si>
  <si>
    <t>06/01/2025 09:43</t>
  </si>
  <si>
    <t>754306296516</t>
  </si>
  <si>
    <t>EQK69</t>
  </si>
  <si>
    <t>N*** N***</t>
  </si>
  <si>
    <t>06/01/2025 09:41</t>
  </si>
  <si>
    <t>754397502644</t>
  </si>
  <si>
    <t>EQK68</t>
  </si>
  <si>
    <t>นายจินดา  อินทสุวรรณ</t>
  </si>
  <si>
    <t>1063/211 ม.1 (ปาล์มสปริง 3) ถ.สนามบิน-ลพบุรีราเมศวร์ ต.ควนลัง
หาดใหญ่/ Hat Yaiสงขลา/ Songkhla
90110</t>
  </si>
  <si>
    <t>90110</t>
  </si>
  <si>
    <t>660897290018</t>
  </si>
  <si>
    <t>06/01/2025 09:40</t>
  </si>
  <si>
    <t>LEXDO0124101559</t>
  </si>
  <si>
    <t>EQK66</t>
  </si>
  <si>
    <t>คุณลำธาล ศรีงาม</t>
  </si>
  <si>
    <t>51หมู่2 ตำบลป่าเด็ง
แก่งกระจาน/ Kaeng Krachanเพชรบุรี/ Phetchaburi
76170</t>
  </si>
  <si>
    <t>76170</t>
  </si>
  <si>
    <t>660982603008</t>
  </si>
  <si>
    <t>06/01/2025 09:38</t>
  </si>
  <si>
    <t>TH18086P1HE94D</t>
  </si>
  <si>
    <t>EQK65</t>
  </si>
  <si>
    <t>ขนิษฐา</t>
  </si>
  <si>
    <t>สำนักงานรักษาความปลอดภัย อผศ. ซอย รามอินทรา 25 อาคาร 12 ชั้น · อนุสาวรีย์/ Anusawari
บางเขน/ Bang Khenกรุงเทพมหานคร/ Bangkok
10220</t>
  </si>
  <si>
    <t>660890311126</t>
  </si>
  <si>
    <t>LEXDO0124083893</t>
  </si>
  <si>
    <t>EQK63</t>
  </si>
  <si>
    <t>อ***ักดิ์ น***าลา</t>
  </si>
  <si>
    <t>06/01/2025 09:31</t>
  </si>
  <si>
    <t>754379162773</t>
  </si>
  <si>
    <t>06/01/2025 09:30</t>
  </si>
  <si>
    <t>EQK62</t>
  </si>
  <si>
    <t>อ***รา ป***คะ</t>
  </si>
  <si>
    <t>06/01/2025 09:29</t>
  </si>
  <si>
    <t>THT37121E737D0Z</t>
  </si>
  <si>
    <t>EQK61</t>
  </si>
  <si>
    <t>ป***ตา ม***งษ์</t>
  </si>
  <si>
    <t>06/01/2025 09:28</t>
  </si>
  <si>
    <t>754389403681</t>
  </si>
  <si>
    <t>EQK59</t>
  </si>
  <si>
    <t>ร***ธีรา  ย***ลิ่น</t>
  </si>
  <si>
    <t>06/01/2025 09:22</t>
  </si>
  <si>
    <t>754333285753</t>
  </si>
  <si>
    <t>EQK58</t>
  </si>
  <si>
    <t>ลัยลา เพ็งสะและ</t>
  </si>
  <si>
    <t>126/230 ซ.รามอินทรา40แยก8 ถ.รามอินทรา  แขวงนวลจันทร์ เขตบึงกุ่ม  กทม.
บึงกุ่ม/ Bueng Kumกรุงเทพมหานคร/ Bangkok
10240</t>
  </si>
  <si>
    <t>660969317602</t>
  </si>
  <si>
    <t>06/01/2025 09:19</t>
  </si>
  <si>
    <t>LEXPU0442895654</t>
  </si>
  <si>
    <t>EQK57</t>
  </si>
  <si>
    <t>ก***รัตน์ พ***อก</t>
  </si>
  <si>
    <t>THT25011E6B9Y7Z</t>
  </si>
  <si>
    <t>EQK56</t>
  </si>
  <si>
    <t>จ***า</t>
  </si>
  <si>
    <t>THT12061E6E470Z</t>
  </si>
  <si>
    <t>EQK55</t>
  </si>
  <si>
    <t>******2  ขี่รถเข้าสะพานเลียบคลองเล็กๆตรงเข้าไป) แขวงบางไผ่ เขตบางแค จังหวัดกรุงเทพมหานคร 10160</t>
  </si>
  <si>
    <t>06/01/2025 09:15</t>
  </si>
  <si>
    <t>TH258196388823L</t>
  </si>
  <si>
    <t>EQK54</t>
  </si>
  <si>
    <t>สุชาวดี คล้ายขำ</t>
  </si>
  <si>
    <t>163/1 หมู่3,ซอย3 ,ถนนเพชรเกษม · พระประโทน/ Phra Prathon
เมืองนครปฐม/ Mueang Nakhon Pathomนครปฐม/ Nakhon Pathom
73000</t>
  </si>
  <si>
    <t>660637146648</t>
  </si>
  <si>
    <t>LEXDO0124100859</t>
  </si>
  <si>
    <t>EQK53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</si>
  <si>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</si>
  <si>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</si>
  <si>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</si>
  <si>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06/01/2025 09:14</t>
  </si>
  <si>
    <t>LEXDO0124099591</t>
  </si>
  <si>
    <t>EQK52</t>
  </si>
  <si>
    <t>ต**</t>
  </si>
  <si>
    <t>754311350575</t>
  </si>
  <si>
    <t>EQK50</t>
  </si>
  <si>
    <t>ป***าพร ช***จันทร์</t>
  </si>
  <si>
    <t>06/01/2025 09:10</t>
  </si>
  <si>
    <t>THT03031E70WC7Z</t>
  </si>
  <si>
    <t>EQK49</t>
  </si>
  <si>
    <t>06/01/2025 09:05</t>
  </si>
  <si>
    <t>TH28146P2BBG4C</t>
  </si>
  <si>
    <t>06/01/2025 09:04</t>
  </si>
  <si>
    <t>EQK48</t>
  </si>
  <si>
    <t>ดารุณี กาศโอสถ</t>
  </si>
  <si>
    <t>459/424 หมู่บ้านชินลาภซอย7(ฝั่งขวามือ) หมู่7  ถ.มิตรภาพ ต.สมอแข
เมืองพิษณุโลก/ Mueang Phitsanulokพิษณุโลก/ Phitsanulok
65000</t>
  </si>
  <si>
    <t>660818052637</t>
  </si>
  <si>
    <t>06/01/2025 09:03</t>
  </si>
  <si>
    <t>LEXDO0124099490</t>
  </si>
  <si>
    <t>EQK47</t>
  </si>
  <si>
    <t>ธ***น์  โ***มา</t>
  </si>
  <si>
    <t>06/01/2025 08:58</t>
  </si>
  <si>
    <t>754316387532</t>
  </si>
  <si>
    <t>EQK46</t>
  </si>
  <si>
    <t>ร***เขาป้อมมินิมาร์ท</t>
  </si>
  <si>
    <t>06/01/2025 08:57</t>
  </si>
  <si>
    <t>754320194552</t>
  </si>
  <si>
    <t>EQK44</t>
  </si>
  <si>
    <t>เ***นภา โ***ยคำ</t>
  </si>
  <si>
    <t>06/01/2025 08:56</t>
  </si>
  <si>
    <t>754308874745</t>
  </si>
  <si>
    <t>EQK43</t>
  </si>
  <si>
    <t>LEXDO0124096668</t>
  </si>
  <si>
    <t>EQK42</t>
  </si>
  <si>
    <t>น***รี ง***ำ</t>
  </si>
  <si>
    <t>06/01/2025 08:46</t>
  </si>
  <si>
    <t>THT16011E758F2Z</t>
  </si>
  <si>
    <t>EQK41</t>
  </si>
  <si>
    <t>อ๊อฟ</t>
  </si>
  <si>
    <t>303ม.12ต.หนองเรือ อ.หนองเรือ จ.ขอนแก่น 40210
หนองเรือ/ Nong Rueaขอนแก่น/ Khon Kaen
40210</t>
  </si>
  <si>
    <t>40210</t>
  </si>
  <si>
    <t>660626053527</t>
  </si>
  <si>
    <t>06/01/2025 08:52</t>
  </si>
  <si>
    <t>TH37046P2CE57A</t>
  </si>
  <si>
    <t>06/01/2025 08:41</t>
  </si>
  <si>
    <t>EQK40</t>
  </si>
  <si>
    <t>ส***   ด***ับ</t>
  </si>
  <si>
    <t>754340409653</t>
  </si>
  <si>
    <t>EQK39</t>
  </si>
  <si>
    <t>ส***าณี เ***งออก</t>
  </si>
  <si>
    <t>06/01/2025 08:38</t>
  </si>
  <si>
    <t>754304617614</t>
  </si>
  <si>
    <t>EQK38</t>
  </si>
  <si>
    <t>จักรพงษ์ โตระสะ</t>
  </si>
  <si>
    <t>บริษัท TSKT จำกัด   47/4 หมู่ 14 ต.โคกแย้
หนองแค/ Nong Khaeสระบุรี/ Saraburi
18230</t>
  </si>
  <si>
    <t>18230</t>
  </si>
  <si>
    <t>660877638245</t>
  </si>
  <si>
    <t>LEXPU0442888518</t>
  </si>
  <si>
    <t>ชิฟฟ่อนเล็ก10กล่อง</t>
  </si>
  <si>
    <t>EQK37</t>
  </si>
  <si>
    <t>ค******ู</t>
  </si>
  <si>
    <t>******c, ถนน ประชาชื่น, แขวง บางซื่อ, เขตบางซื่อ แขวงบางซื่อ เขตบางซื่อ จังหวัดกรุงเทพมหานคร 10800</t>
  </si>
  <si>
    <t>06/01/2025 08:35</t>
  </si>
  <si>
    <t>TH256207567530K</t>
  </si>
  <si>
    <t>EQK36</t>
  </si>
  <si>
    <t>เจต</t>
  </si>
  <si>
    <t>35/11 ม.5 ต.ปากพูน อ.เมือง จ.นครศรีธรรมราช 80000 #ซอยต้นข่อย · ปากพูน/ Pak Phun
เมืองนครศรีธรรมราช/ Mueang Nakhon Si Thammaratนครศรีธรรมราช/ Nakhon Si Thammarat
80000</t>
  </si>
  <si>
    <t>80000</t>
  </si>
  <si>
    <t>660824859984</t>
  </si>
  <si>
    <t>LEXPU0442890829</t>
  </si>
  <si>
    <t>06/01/2025 08:34</t>
  </si>
  <si>
    <t>EQK35</t>
  </si>
  <si>
    <t>06/01/2025 08:31</t>
  </si>
  <si>
    <t>754381895514</t>
  </si>
  <si>
    <t>EQK34</t>
  </si>
  <si>
    <t>ร.ต.สานนท์ แดนทอง</t>
  </si>
  <si>
    <t>99/178ม.3หมู่บ้านกมลเพชร ซ.9/1
สัตหีบ/ Sattahipชลบุรี/ Chonburi
20180</t>
  </si>
  <si>
    <t>660806050523</t>
  </si>
  <si>
    <t>06/01/2025 08:29</t>
  </si>
  <si>
    <t>LEXDO0124100870</t>
  </si>
  <si>
    <t>EQK33</t>
  </si>
  <si>
    <t>ติ๊ก</t>
  </si>
  <si>
    <t>หทัยราษฎร์ 39 29/193 ม.เค.ซี.1 ซอย 4
คลองสามวา/ Klong Sam Waกรุงเทพมหานคร/ Bangkok
10510</t>
  </si>
  <si>
    <t>660834049452</t>
  </si>
  <si>
    <t>06/01/2025 13:10</t>
  </si>
  <si>
    <t>LEXDO0124097760</t>
  </si>
  <si>
    <t>EQK32</t>
  </si>
  <si>
    <t>อ***ล เ***ิทธิ์</t>
  </si>
  <si>
    <t>06/01/2025 08:28</t>
  </si>
  <si>
    <t>754340681754</t>
  </si>
  <si>
    <t>EQK31</t>
  </si>
  <si>
    <t>บริษัท เจริญวัฒนามอเตอร์ จำกัด สาขาที่  00006</t>
  </si>
  <si>
    <t>443,445,449,451,453 ถ.ศรีจันทร์ ต.ในเมือง อ.เมือง เลขประจำตัวผู้เสียภาษี 0125528000245
เมืองขอนแก่น/ Mueang Khon Kaenขอนแก่น/ Khon Kaen
40000</t>
  </si>
  <si>
    <t>660896201705</t>
  </si>
  <si>
    <t>06/01/2025 15:07</t>
  </si>
  <si>
    <t>LEXPU0442874254</t>
  </si>
  <si>
    <t>06/01/2025 08:26</t>
  </si>
  <si>
    <t>EQK30</t>
  </si>
  <si>
    <t>โชติกา</t>
  </si>
  <si>
    <t>20 ถ.ไร่เกาะต้นสำโรงตำบลพระประโทน อำเภอเมืองนครปฐม จังหวัดนครปฐ  73000โทรศัพท์: 0959599971
เมืองนครปฐม/ Mueang Nakhon Pathomนครปฐม/ Nakhon Pathom
73000</t>
  </si>
  <si>
    <t>660959599971</t>
  </si>
  <si>
    <t>06/01/2025 08:24</t>
  </si>
  <si>
    <t>LEXDO0124100816</t>
  </si>
  <si>
    <t>EQK29</t>
  </si>
  <si>
    <t>จ******ง</t>
  </si>
  <si>
    <t>******ต.มะเขือแจ้ ตำบลมะเขือแจ้ อำเภอเมืองลำพูน จังหวัดลำพูน 51000</t>
  </si>
  <si>
    <t>51000</t>
  </si>
  <si>
    <t>TH256621804907O</t>
  </si>
  <si>
    <t>06/01/2025 08:22</t>
  </si>
  <si>
    <t>EQK27</t>
  </si>
  <si>
    <t>จรรยพร เมฆขยาย</t>
  </si>
  <si>
    <t>245หมู่1 บ.ม่วงสามสิบ อ.ม่วงสามสิ · ม่วงสามสิบ/ Muang Sam Sip
ม่วงสามสิบ/ Muang Sam Sipอุบลราชธานี/ Ubon Ratchathani
34140</t>
  </si>
  <si>
    <t>660959124032</t>
  </si>
  <si>
    <t>06/01/2025 08:20</t>
  </si>
  <si>
    <t>TH31126P2AYB0A</t>
  </si>
  <si>
    <t>EQK25</t>
  </si>
  <si>
    <t>น***องยุ่น   เ***สูงเนิน</t>
  </si>
  <si>
    <t>06/01/2025 08:09</t>
  </si>
  <si>
    <t>THT63051E6KPG0Z</t>
  </si>
  <si>
    <t>EQK24</t>
  </si>
  <si>
    <t>TH19016P216Y3A</t>
  </si>
  <si>
    <t>EQK23</t>
  </si>
  <si>
    <t>เ***นี่</t>
  </si>
  <si>
    <t>06/01/2025 08:06</t>
  </si>
  <si>
    <t>THT42051E6BAY3Z</t>
  </si>
  <si>
    <t>EQK22</t>
  </si>
  <si>
    <t>ส***กัลญา</t>
  </si>
  <si>
    <t>06/01/2025 08:04</t>
  </si>
  <si>
    <t>THT15031E64RA5Z</t>
  </si>
  <si>
    <t>EQK21</t>
  </si>
  <si>
    <t>สุภาพร มีพร</t>
  </si>
  <si>
    <t>173/5ม.1ซ.3/1ต.มหาโพธิ
เก้าเลี้ยว/ Kao Liaoนครสวรรค์/ Nakhon Sawan
60230</t>
  </si>
  <si>
    <t>60230</t>
  </si>
  <si>
    <t>660637800245</t>
  </si>
  <si>
    <t>06/01/2025 07:53</t>
  </si>
  <si>
    <t>TH56066P2CYR9A</t>
  </si>
  <si>
    <t>EQK20</t>
  </si>
  <si>
    <t>วรัญญา แก้​วเ​คนมา​</t>
  </si>
  <si>
    <t>72/1 ห้อง4(หลังแรกขวามือ)ซ.เซเว่นแยกรพ.มงกุฎระยอง ถ.มาบยา ต.มาบตาพุด
เมืองระยอง/ Mueang Rayongระยอง/ Rayong
21150</t>
  </si>
  <si>
    <t>21150</t>
  </si>
  <si>
    <t>660983267589</t>
  </si>
  <si>
    <t>06/01/2025 07:45</t>
  </si>
  <si>
    <t>LEXPU0442894146</t>
  </si>
  <si>
    <t>EQK19</t>
  </si>
  <si>
    <t>06/01/2025 07:43</t>
  </si>
  <si>
    <t>LEXPU0442893238</t>
  </si>
  <si>
    <t>EQK18</t>
  </si>
  <si>
    <t>สมบูรณ์ จันทร์สกุลพร</t>
  </si>
  <si>
    <t>114/456 หมู่บ้านนีโอซิตี้ ซอยนาวงประชาพัฒนา 13 ถนนนาวงประชาพัฒนา แขวงสีกัน
ดอนเมือง/ Don Mueangกรุงเทพมหานคร/ Bangkok
10210</t>
  </si>
  <si>
    <t>660813432772</t>
  </si>
  <si>
    <t>06/01/2025 07:42</t>
  </si>
  <si>
    <t>LEXDO0124096439</t>
  </si>
  <si>
    <t>EQK15</t>
  </si>
  <si>
    <t>ป***สริฐ พ***อง</t>
  </si>
  <si>
    <t>06/01/2025 07:40</t>
  </si>
  <si>
    <t>754307955586</t>
  </si>
  <si>
    <t>EQK14</t>
  </si>
  <si>
    <t>754344557584</t>
  </si>
  <si>
    <t>EQK13</t>
  </si>
  <si>
    <t>ณัฎฐา เทียมเมือง</t>
  </si>
  <si>
    <t>บ้านกลางสวน 185  หมู่ 3 ข้างโรงเหล้าพิกุลทอง ต.พิกุลทอง
เมืองราชบุรี/ Mueang Ratchaburiราชบุรี/ Ratchaburi
70000</t>
  </si>
  <si>
    <t>660891569905</t>
  </si>
  <si>
    <t>06/01/2025 07:36</t>
  </si>
  <si>
    <t>LEXDO0124096616</t>
  </si>
  <si>
    <t>EQK12</t>
  </si>
  <si>
    <t>อรพิน จันทร์นาค</t>
  </si>
  <si>
    <t>58หมู่3ถนนเอกชัย(ฝากไว้กับรปภ.ที่ป้อมยาม) · บางน้ำจืด/ Bang Nam Chuet
เมืองสมุทรสาคร/ Mueang Samut Sakhonสมุทรสาคร/ Samut Sakhon
74000</t>
  </si>
  <si>
    <t>660801260263</t>
  </si>
  <si>
    <t>06/01/2025 07:35</t>
  </si>
  <si>
    <t>LEXPU0442858002</t>
  </si>
  <si>
    <t>EQK11</t>
  </si>
  <si>
    <t>ส***ณัฐ ม***ย</t>
  </si>
  <si>
    <t>06/01/2025 07:18</t>
  </si>
  <si>
    <t>THT01081E6B8Y4Z</t>
  </si>
  <si>
    <t>EQK9</t>
  </si>
  <si>
    <t>ก***ญา ศ***ชัย</t>
  </si>
  <si>
    <t>06/01/2025 07:04</t>
  </si>
  <si>
    <t>THT43071E3QYD7Z</t>
  </si>
  <si>
    <t>06/01/2025 07:05</t>
  </si>
  <si>
    <t>วนิลา4กล่อง</t>
  </si>
  <si>
    <t>ครีมฮอร์นเนยสด วนิลาล้วน 4 กล่อง</t>
  </si>
  <si>
    <t>EQK7</t>
  </si>
  <si>
    <t>อาภรณ์.  ปุญญพิทักษ์</t>
  </si>
  <si>
    <t>125 บ้านโนนประเสริฐ์  ต.นาไหม
บ้านดุง/ Ban Dungอุดรธานี/ Udon Thani
41190</t>
  </si>
  <si>
    <t>41190</t>
  </si>
  <si>
    <t>660850246190</t>
  </si>
  <si>
    <t>06/01/2025 06:56</t>
  </si>
  <si>
    <t>TH38116NUSX98H</t>
  </si>
  <si>
    <t>ช็อกโกแลต4กล่อง</t>
  </si>
  <si>
    <t>ครีมฮอร์นเนยสด ช็อกโกแลตล้วน 4 กล่อง</t>
  </si>
  <si>
    <t>เผือก2กล่อง</t>
  </si>
  <si>
    <t>เซ็ทเบาหวิวเผือก2กล่อง น้ำหนัก 100 กรัม (เก็บไว้ได้ 20 วัน)</t>
  </si>
  <si>
    <t>EQK6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</si>
  <si>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</si>
  <si>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</si>
  <si>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</si>
  <si>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</si>
  <si>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06/01/2025 06:55</t>
  </si>
  <si>
    <t>TH47166NXZ2W6D</t>
  </si>
  <si>
    <t>EQK5</t>
  </si>
  <si>
    <t>ท***ยู่...เพ็งอำไพ</t>
  </si>
  <si>
    <t>06/01/2025 06:54</t>
  </si>
  <si>
    <t>754334352516</t>
  </si>
  <si>
    <t>EQK4</t>
  </si>
  <si>
    <t>ธัชกร  อร่ามภัทรกุล</t>
  </si>
  <si>
    <t>3/133 ม.9 หมู่บ้านสวนปาล์ม ต.โคกขาม อ.เมือง
เมืองสมุทรสาคร/ Mueang Samut Sakhonสมุทรสาคร/ Samut Sakhon
74000</t>
  </si>
  <si>
    <t>660996479993</t>
  </si>
  <si>
    <t>LEXDO0123975018</t>
  </si>
  <si>
    <t>EQK3</t>
  </si>
  <si>
    <t>อรณิชา  ละมัย</t>
  </si>
  <si>
    <t>132ม.3ต.พลวงทองอ.บ่อทองจ.ชลบุรี
บ่อทอง/ Bo Thongชลบุรี/ Chonburi
20270</t>
  </si>
  <si>
    <t>20270</t>
  </si>
  <si>
    <t>660856986693</t>
  </si>
  <si>
    <t>LEXDO0124016247</t>
  </si>
  <si>
    <t>EQK2</t>
  </si>
  <si>
    <t>ดาวรุณี สุทันท์</t>
  </si>
  <si>
    <t>115  หมู่ 6  ตำบล ดอนนางหงส์  อำเภอ ธาตุพนม  จังหวัด นครพนม · ดอนนางหงส์/ Don Nang Hong
ธาตุพนม/ That Phanomนครพนม/ Nakhon Phanom
48110</t>
  </si>
  <si>
    <t>48110</t>
  </si>
  <si>
    <t>660985963952</t>
  </si>
  <si>
    <t>06/01/2025 06:53</t>
  </si>
  <si>
    <t>TH45056NVMHS0G</t>
  </si>
  <si>
    <t>EQK1</t>
  </si>
  <si>
    <t>ส******ก</t>
  </si>
  <si>
    <t>******ำบลเนินมะกอก อำเภอพยุหะคีรี จังหวัดนครสวรรค์ 60130</t>
  </si>
  <si>
    <t>60130</t>
  </si>
  <si>
    <t>89</t>
  </si>
  <si>
    <t>06/01/2025 06:52</t>
  </si>
  <si>
    <t>TH258608368458Y</t>
  </si>
  <si>
    <t>06/01/2025 06:51</t>
  </si>
  <si>
    <t>EQK0</t>
  </si>
  <si>
    <t>ดวงจันทร์ วงค์สอสัตย์</t>
  </si>
  <si>
    <t>60/9,61/9บริษัทเอ็มเค ต.ศรีษระจระเข้ใหญ่
บางเสาธง/ Bang Sao Thongสมุทรปราการ/ Samut Prakan
10570</t>
  </si>
  <si>
    <t>06/01/2025 06:50</t>
  </si>
  <si>
    <t>LEXDO0123974411</t>
  </si>
  <si>
    <t>EQJ99</t>
  </si>
  <si>
    <t>06/01/2025 06:49</t>
  </si>
  <si>
    <t>TH45056NUTMQ6G</t>
  </si>
  <si>
    <t>EQJ98</t>
  </si>
  <si>
    <t>อัญชลี หจก.วิสิฐวัฒนาคอนกรีต</t>
  </si>
  <si>
    <t>9 หมู่12 · ช่องแค/ Chong Khae
ตาคลี/ Takhliนครสวรรค์/ Nakhon Sawan
60210</t>
  </si>
  <si>
    <t>60210</t>
  </si>
  <si>
    <t>660930388237</t>
  </si>
  <si>
    <t>06/01/2025 06:39</t>
  </si>
  <si>
    <t>TH56076NVU6W5B</t>
  </si>
  <si>
    <t>ชิฟฟ่อนไส้50ชิ้น</t>
  </si>
  <si>
    <t>EQJ97</t>
  </si>
  <si>
    <t>วิรงณ์รอง</t>
  </si>
  <si>
    <t>อบต.ตาหลวง ม.6 · ตาหลวง/ Ta Luang
ดำเนินสะดวก/ Damnoen Saduakราชบุรี/ Ratchaburi
70130</t>
  </si>
  <si>
    <t>70130</t>
  </si>
  <si>
    <t>660899183580</t>
  </si>
  <si>
    <t>06/01/2025 06:37</t>
  </si>
  <si>
    <t>LEXPU0442399105</t>
  </si>
  <si>
    <t>EQJ96</t>
  </si>
  <si>
    <t>อรุณี  ภักดี</t>
  </si>
  <si>
    <t>10/45  หมู่บ้านชวนชื่น  ซอยเพชรเกษม 81
หนองแขม/ Nong Khaemกรุงเทพมหานคร/ Bangkok
10160</t>
  </si>
  <si>
    <t>660898855903</t>
  </si>
  <si>
    <t>06/01/2025 06:25</t>
  </si>
  <si>
    <t>LEXDO0123974621</t>
  </si>
  <si>
    <t>EQJ95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</si>
  <si>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</si>
  <si>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</si>
  <si>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</si>
  <si>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06/01/2025 06:26</t>
  </si>
  <si>
    <t>LEXDO0123983512</t>
  </si>
  <si>
    <t>EQJ94</t>
  </si>
  <si>
    <t>ร***</t>
  </si>
  <si>
    <t>06/01/2025 06:23</t>
  </si>
  <si>
    <t>754383639553</t>
  </si>
  <si>
    <t>EQJ93</t>
  </si>
  <si>
    <t>ภาวัต พฤฒินพดล</t>
  </si>
  <si>
    <t>99/3หมู่ที่9ถนนเทศบาล2 ต.หนองบัวแ
หนองบัวแดง/ Nong Bua Daengชัยภูมิ/ Chaiyaphum
36210</t>
  </si>
  <si>
    <t>36210</t>
  </si>
  <si>
    <t>660897223499</t>
  </si>
  <si>
    <t>06/01/2025 06:22</t>
  </si>
  <si>
    <t>TH33056NVGUH6A</t>
  </si>
  <si>
    <t>EQJ90</t>
  </si>
  <si>
    <t>06/01/2025 05:51</t>
  </si>
  <si>
    <t>THT74041E6AF72Z</t>
  </si>
  <si>
    <t>EQJ89</t>
  </si>
  <si>
    <t>s***04</t>
  </si>
  <si>
    <t>06/01/2025 05:41</t>
  </si>
  <si>
    <t>754313934500</t>
  </si>
  <si>
    <t>EQJ88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</si>
  <si>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</si>
  <si>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</si>
  <si>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06/01/2025 05:37</t>
  </si>
  <si>
    <t>TH14106NVCSF0F</t>
  </si>
  <si>
    <t>06/01/2025 05:36</t>
  </si>
  <si>
    <t>EQJ87</t>
  </si>
  <si>
    <t>06/01/2025 05:29</t>
  </si>
  <si>
    <t>TH14106NVTD10F</t>
  </si>
  <si>
    <t>EQJ86</t>
  </si>
  <si>
    <t>นัยนา มุ่งเจริญ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</si>
  <si>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</si>
  <si>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660656176029</t>
  </si>
  <si>
    <t>06/01/2025 05:23</t>
  </si>
  <si>
    <t>LEXDO0123977247</t>
  </si>
  <si>
    <t>EQJ85</t>
  </si>
  <si>
    <t>ส***ยากร ม***กิจ</t>
  </si>
  <si>
    <t>06/01/2025 04:59</t>
  </si>
  <si>
    <t>754382640351</t>
  </si>
  <si>
    <t>EQJ84</t>
  </si>
  <si>
    <t>อนัญพร  จ้ายเกิด</t>
  </si>
  <si>
    <t>84 ม.7 · ท่าหิน/ Tha Hin
สวี/ Sawiชุมพร/ Chumphon
86130</t>
  </si>
  <si>
    <t>86130</t>
  </si>
  <si>
    <t>660803267809</t>
  </si>
  <si>
    <t>06/01/2025 04:57</t>
  </si>
  <si>
    <t>TH70076NVCFS7C</t>
  </si>
  <si>
    <t>EQJ83</t>
  </si>
  <si>
    <t>ว***นิภา  ช***อด</t>
  </si>
  <si>
    <t>06/01/2025 04:20</t>
  </si>
  <si>
    <t>754310131503</t>
  </si>
  <si>
    <t>06/01/2025 04:22</t>
  </si>
  <si>
    <t>EQJ81</t>
  </si>
  <si>
    <t>จ***  บ***สนอ</t>
  </si>
  <si>
    <t>06/01/2025 03:11</t>
  </si>
  <si>
    <t>754396053316</t>
  </si>
  <si>
    <t>EQJ80</t>
  </si>
  <si>
    <t>ว***     ค***ง</t>
  </si>
  <si>
    <t>06/01/2025 02:59</t>
  </si>
  <si>
    <t>754318638555</t>
  </si>
  <si>
    <t>EQJ79</t>
  </si>
  <si>
    <t>06/01/2025 02:37</t>
  </si>
  <si>
    <t>LEXDO0123974251</t>
  </si>
  <si>
    <t>EQJ77</t>
  </si>
  <si>
    <t>06/01/2025 02:03</t>
  </si>
  <si>
    <t>LEXPU0442834388</t>
  </si>
  <si>
    <t>EQJ76</t>
  </si>
  <si>
    <t>บ**</t>
  </si>
  <si>
    <t>06/01/2025 01:58</t>
  </si>
  <si>
    <t>754337633556</t>
  </si>
  <si>
    <t>EQJ75</t>
  </si>
  <si>
    <t>น***พ็ญศรี ส***รณฤทธิ์</t>
  </si>
  <si>
    <t>06/01/2025 01:57</t>
  </si>
  <si>
    <t>754304643304</t>
  </si>
  <si>
    <t>EQJ73</t>
  </si>
  <si>
    <t>ช***ัฐ ว***ะ</t>
  </si>
  <si>
    <t>06/01/2025 01:52</t>
  </si>
  <si>
    <t>THT01431E3M7D0Z</t>
  </si>
  <si>
    <t>06/01/2025 01:51</t>
  </si>
  <si>
    <t>EQJ72</t>
  </si>
  <si>
    <t>ศ***พร. ว***ปรม</t>
  </si>
  <si>
    <t>06/01/2025 01:43</t>
  </si>
  <si>
    <t>754341935373</t>
  </si>
  <si>
    <t>EQJ71</t>
  </si>
  <si>
    <t>รุ่งนภา ไกรอ่อน</t>
  </si>
  <si>
    <t>เลขที่ 78/9 ซอยเสรีไทย 31 แขวงคลองกุ่ม
บึงกุ่ม/ Bueng Kumกรุงเทพมหานคร/ Bangkok
10240</t>
  </si>
  <si>
    <t>660944385935</t>
  </si>
  <si>
    <t>06/01/2025 01:36</t>
  </si>
  <si>
    <t>LEXDO0123973831</t>
  </si>
  <si>
    <t>EQJ70</t>
  </si>
  <si>
    <t>อัญมณี ทะเสนฮด</t>
  </si>
  <si>
    <t>ม.เทคโนโลยีราชมงคลอีสาน วข.สกลนคร เลขที่ 199 ม.3 ต.พังโคน
พังโคน/ Phang Khonสกลนคร/ Sakon Nakhon
47160</t>
  </si>
  <si>
    <t>47160</t>
  </si>
  <si>
    <t>660643264198</t>
  </si>
  <si>
    <t>06/01/2025 00:54</t>
  </si>
  <si>
    <t>TH44056NVTEX8A</t>
  </si>
  <si>
    <t>EQJ68</t>
  </si>
  <si>
    <t>ว***ักษณ์  ก***กระยาง</t>
  </si>
  <si>
    <t>06/01/2025 00:39</t>
  </si>
  <si>
    <t>754397540363</t>
  </si>
  <si>
    <t>EQJ67</t>
  </si>
  <si>
    <t>ข***ฐา</t>
  </si>
  <si>
    <t>06/01/2025 00:24</t>
  </si>
  <si>
    <t>THT57031E39G25Z</t>
  </si>
  <si>
    <t>06/01/2025 00:25</t>
  </si>
  <si>
    <t>EQJ66</t>
  </si>
  <si>
    <t>ว***รณ์ ใ***รีย์</t>
  </si>
  <si>
    <t>06/01/2025 00:19</t>
  </si>
  <si>
    <t>754317845374</t>
  </si>
  <si>
    <t>EQJ65</t>
  </si>
  <si>
    <t>นาง นวลจันทร์ ชอบชื่น</t>
  </si>
  <si>
    <t>164/8 ม.5 ต.บางหญ้าเเพรก
เมืองสมุทรสาคร/ Mueang Samut Sakhonสมุทรสาคร/ Samut Sakhon
74000</t>
  </si>
  <si>
    <t>660895472204</t>
  </si>
  <si>
    <t>LEXDO0123974109</t>
  </si>
  <si>
    <t>EQJ64</t>
  </si>
  <si>
    <t>06/01/2025 00:22</t>
  </si>
  <si>
    <t>LEXDO0123982953</t>
  </si>
  <si>
    <t>EQJ63</t>
  </si>
  <si>
    <t>เ***า  เ***อเพชร</t>
  </si>
  <si>
    <t>06/01/2025 00:08</t>
  </si>
  <si>
    <t>THT14091E3M326Z</t>
  </si>
  <si>
    <t>06/01/2025 00:21</t>
  </si>
  <si>
    <t>EQJ61</t>
  </si>
  <si>
    <t>ม***า พ***ลชาติ</t>
  </si>
  <si>
    <t>06/01/2025 00:06</t>
  </si>
  <si>
    <t>754388252321</t>
  </si>
  <si>
    <t>06/01/2025 00:17</t>
  </si>
  <si>
    <t>EQJ60</t>
  </si>
  <si>
    <t>N***ssara น***รา ก***ก้ว</t>
  </si>
  <si>
    <t>06/01/2025 00:03</t>
  </si>
  <si>
    <t>THT14011E39EZ5Z</t>
  </si>
  <si>
    <t>EQJ59</t>
  </si>
  <si>
    <t>วีรวรรณ สังข์งาม</t>
  </si>
  <si>
    <t>21 ม.7 ต.นาบอน อ.นาบอน
นาบอน/ Na Bonนครศรีธรรมราช/ Nakhon Si Thammarat
80220</t>
  </si>
  <si>
    <t>80220</t>
  </si>
  <si>
    <t>660962158161</t>
  </si>
  <si>
    <t>TH64106NUTE30A</t>
  </si>
  <si>
    <t>EQJ58</t>
  </si>
  <si>
    <t>Y***</t>
  </si>
  <si>
    <t>754319334366</t>
  </si>
  <si>
    <t>06/01/2025 00:05</t>
  </si>
  <si>
    <t>EQJ57</t>
  </si>
  <si>
    <t>จังหวัดชัยนาท</t>
  </si>
  <si>
    <t>06/01/2025 00:02</t>
  </si>
  <si>
    <t>THT09011E39C55Z</t>
  </si>
  <si>
    <t>06/01/2025 00:04</t>
  </si>
  <si>
    <t>EQJ54</t>
  </si>
  <si>
    <t>05/01/2025 23:59</t>
  </si>
  <si>
    <t>TH64106NVTNR0A</t>
  </si>
  <si>
    <t>EQJ52</t>
  </si>
  <si>
    <t>เ***รรค์ อ***โภชน์</t>
  </si>
  <si>
    <t>05/01/2025 23:43</t>
  </si>
  <si>
    <t>THT03051E3AD33Z</t>
  </si>
  <si>
    <t>EQJ51</t>
  </si>
  <si>
    <t>ว***า ว***ทรง</t>
  </si>
  <si>
    <t>Nakhon Si Thammarat</t>
  </si>
  <si>
    <t>05/01/2025 23:42</t>
  </si>
  <si>
    <t>754374934305</t>
  </si>
  <si>
    <t>EQJ50</t>
  </si>
  <si>
    <t>อ***า  ว***กุล</t>
  </si>
  <si>
    <t>05/01/2025 23:36</t>
  </si>
  <si>
    <t>THT27181E3ACD1Z</t>
  </si>
  <si>
    <t>EQJ49</t>
  </si>
  <si>
    <t>ล***าวัลย์   เ***นาดี</t>
  </si>
  <si>
    <t>05/01/2025 23:29</t>
  </si>
  <si>
    <t>THT19071E3A7H5Z</t>
  </si>
  <si>
    <t>05/01/2025 23:30</t>
  </si>
  <si>
    <t>EQJ48</t>
  </si>
  <si>
    <t>05/01/2025 23:20</t>
  </si>
  <si>
    <t>THT01011E3MZJ2Z</t>
  </si>
  <si>
    <t>EQJ47</t>
  </si>
  <si>
    <t>05/01/2025 23:19</t>
  </si>
  <si>
    <t>TH04066NVYFY5A2</t>
  </si>
  <si>
    <t>05/01/2025 23:18</t>
  </si>
  <si>
    <t>EQJ45</t>
  </si>
  <si>
    <t>ล***ี่ ถ***อง</t>
  </si>
  <si>
    <t>05/01/2025 23:17</t>
  </si>
  <si>
    <t>THT67011E3MT66Z</t>
  </si>
  <si>
    <t>EQJ44</t>
  </si>
  <si>
    <t>น*** น***์นภัส</t>
  </si>
  <si>
    <t>05/01/2025 23:16</t>
  </si>
  <si>
    <t>THT60071E3M1V8Z</t>
  </si>
  <si>
    <t>EQJ43</t>
  </si>
  <si>
    <t>ต***ุช บ***</t>
  </si>
  <si>
    <t>05/01/2025 23:15</t>
  </si>
  <si>
    <t>754365145365</t>
  </si>
  <si>
    <t>EQJ42</t>
  </si>
  <si>
    <t>05/01/2025 23:04</t>
  </si>
  <si>
    <t>754302854336</t>
  </si>
  <si>
    <t>EQJ41</t>
  </si>
  <si>
    <t>ศ***ฤต อ***ไพบูลย์วงศ์</t>
  </si>
  <si>
    <t>05/01/2025 23:02</t>
  </si>
  <si>
    <t>THT02061E2YPQ7Z</t>
  </si>
  <si>
    <t>EQJ39</t>
  </si>
  <si>
    <t>สุวรรณี วงศ์ศิริรักษ์</t>
  </si>
  <si>
    <t>580/14 ถ.หลวง ซ.มังกร1
ป้อมปราบศัตรูพ่าย/ Pom Prap Sattru Phaiกรุงเทพมหานคร/ Bangkok
10100</t>
  </si>
  <si>
    <t>10100</t>
  </si>
  <si>
    <t>660868919122</t>
  </si>
  <si>
    <t>05/01/2025 22:48</t>
  </si>
  <si>
    <t>LEXDO0123983259</t>
  </si>
  <si>
    <t>EQJ38</t>
  </si>
  <si>
    <t>ว***น  ธ***ะสถาพร</t>
  </si>
  <si>
    <t>05/01/2025 22:41</t>
  </si>
  <si>
    <t>754332443384</t>
  </si>
  <si>
    <t>EQJ36</t>
  </si>
  <si>
    <t>ช***ัตน์</t>
  </si>
  <si>
    <t>05/01/2025 22:35</t>
  </si>
  <si>
    <t>754378313382</t>
  </si>
  <si>
    <t>EQJ35</t>
  </si>
  <si>
    <t>05/01/2025 22:31</t>
  </si>
  <si>
    <t>LEXDO0123978726</t>
  </si>
  <si>
    <t>EQJ34</t>
  </si>
  <si>
    <t>ร***า ท***มภู</t>
  </si>
  <si>
    <t>754386516380</t>
  </si>
  <si>
    <t>EQJ33</t>
  </si>
  <si>
    <t>ค** ก*** ห***จริญ</t>
  </si>
  <si>
    <t>05/01/2025 22:30</t>
  </si>
  <si>
    <t>754386431396</t>
  </si>
  <si>
    <t>EQJ32</t>
  </si>
  <si>
    <t>สมศรี  คุปติธรรมกุล</t>
  </si>
  <si>
    <t>ถ. หมู่บ้านเศรษฐกิจ ซ.เศรษฐกิจ 46 420/220 หมู่บ้านชมเพลิน
บางแค/ Bang Khaeกรุงเทพมหานคร/ Bangkok
10160</t>
  </si>
  <si>
    <t>660894938002</t>
  </si>
  <si>
    <t>LEXDO0123979084</t>
  </si>
  <si>
    <t>EQJ31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</si>
  <si>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</si>
  <si>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</si>
  <si>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660885500113</t>
  </si>
  <si>
    <t>05/01/2025 22:26</t>
  </si>
  <si>
    <t>LEXDO0123983516</t>
  </si>
  <si>
    <t>EQJ27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</si>
  <si>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</si>
  <si>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</si>
  <si>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17140</t>
  </si>
  <si>
    <t>660841784838</t>
  </si>
  <si>
    <t>05/01/2025 22:06</t>
  </si>
  <si>
    <t>LEXDO0123982504</t>
  </si>
  <si>
    <t>EQJ26</t>
  </si>
  <si>
    <t>05/01/2025 22:01</t>
  </si>
  <si>
    <t>LEXDO0123980327</t>
  </si>
  <si>
    <t>EQJ24</t>
  </si>
  <si>
    <t>เ***ม  ศ***้อย</t>
  </si>
  <si>
    <t>05/01/2025 21:58</t>
  </si>
  <si>
    <t>754385232392</t>
  </si>
  <si>
    <t>05/01/2025 21:59</t>
  </si>
  <si>
    <t>EQJ22</t>
  </si>
  <si>
    <t>จ***ิ​รา​ ภ***าม​</t>
  </si>
  <si>
    <t>05/01/2025 21:52</t>
  </si>
  <si>
    <t>754367742310</t>
  </si>
  <si>
    <t>EQJ21</t>
  </si>
  <si>
    <t>ชญาน์นัทช์ จิตประไพกุลศาล</t>
  </si>
  <si>
    <t>2/374 หมู่บ้านอยู่เจริญ ซ.พหลโยธิน 40 แยก 4-5 เสนานิคม
จตุจักร/ Chatuchakกรุงเทพมหานคร/ Bangkok
10900</t>
  </si>
  <si>
    <t>660872022933</t>
  </si>
  <si>
    <t>05/01/2025 21:49</t>
  </si>
  <si>
    <t>TH01056NV9RY5E</t>
  </si>
  <si>
    <t>EQJ20</t>
  </si>
  <si>
    <t>ก***ลา บ***กั๊ต</t>
  </si>
  <si>
    <t>05/01/2025 21:46</t>
  </si>
  <si>
    <t>754389544311</t>
  </si>
  <si>
    <t>EQJ19</t>
  </si>
  <si>
    <t>ก***นา ด***อหมาน</t>
  </si>
  <si>
    <t>754352541320</t>
  </si>
  <si>
    <t>EQJ18</t>
  </si>
  <si>
    <t>พ***าตย์ พ***ุพจน์</t>
  </si>
  <si>
    <t>05/01/2025 21:45</t>
  </si>
  <si>
    <t>THT01071E39BA9Z</t>
  </si>
  <si>
    <t>05/01/2025 21:44</t>
  </si>
  <si>
    <t>EQJ17</t>
  </si>
  <si>
    <t>LEXDO0123982679</t>
  </si>
  <si>
    <t>EQJ16</t>
  </si>
  <si>
    <t>น***น ท***เตรือ</t>
  </si>
  <si>
    <t>05/01/2025 21:42</t>
  </si>
  <si>
    <t>754362346323</t>
  </si>
  <si>
    <t>EQJ15</t>
  </si>
  <si>
    <t>จ***ภา ร***มาศ</t>
  </si>
  <si>
    <t>754301245305</t>
  </si>
  <si>
    <t>EQJ14</t>
  </si>
  <si>
    <t>TH68166NVU3Q4D</t>
  </si>
  <si>
    <t>EQJ13</t>
  </si>
  <si>
    <t>ค** จ*** ต***มฆ</t>
  </si>
  <si>
    <t>05/01/2025 21:41</t>
  </si>
  <si>
    <t>754375316380</t>
  </si>
  <si>
    <t>EQJ12</t>
  </si>
  <si>
    <t>น*** ป***รัตน์ ด***ษ์</t>
  </si>
  <si>
    <t>754374845350</t>
  </si>
  <si>
    <t>EQJ11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</si>
  <si>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</si>
  <si>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</si>
  <si>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</si>
  <si>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05/01/2025 21:40</t>
  </si>
  <si>
    <t>LEXDO0123983378</t>
  </si>
  <si>
    <t>EQJ9</t>
  </si>
  <si>
    <t>ท***ีย์</t>
  </si>
  <si>
    <t>05/01/2025 21:38</t>
  </si>
  <si>
    <t>754332146330</t>
  </si>
  <si>
    <t>EQJ8</t>
  </si>
  <si>
    <t>N***</t>
  </si>
  <si>
    <t>05/01/2025 21:36</t>
  </si>
  <si>
    <t>754331236573</t>
  </si>
  <si>
    <t>EQJ7</t>
  </si>
  <si>
    <t>ว***ชัย เ***อวัลย์</t>
  </si>
  <si>
    <t>754356337383</t>
  </si>
  <si>
    <t>EQJ6</t>
  </si>
  <si>
    <t>ส***ลิน  เ***กรรจ์</t>
  </si>
  <si>
    <t>754322251325</t>
  </si>
  <si>
    <t>EQJ4</t>
  </si>
  <si>
    <t>ด***รือง ไ***ยะ</t>
  </si>
  <si>
    <t>05/01/2025 21:34</t>
  </si>
  <si>
    <t>754339237385</t>
  </si>
  <si>
    <t>EQJ3</t>
  </si>
  <si>
    <t>ส***้ จ***ตนา ก***</t>
  </si>
  <si>
    <t>05/01/2025 21:33</t>
  </si>
  <si>
    <t>754347835393</t>
  </si>
  <si>
    <t>EQJ2</t>
  </si>
  <si>
    <t>ค***จง</t>
  </si>
  <si>
    <t>Maha Sarakham</t>
  </si>
  <si>
    <t>05/01/2025 21:31</t>
  </si>
  <si>
    <t>754323950310</t>
  </si>
  <si>
    <t>EQJ1</t>
  </si>
  <si>
    <t>ปรียานุช   กางเกตุ</t>
  </si>
  <si>
    <t>14  ม.1  บ.หนองคูพัฒนา  ต.กุดใส้จ่
กันทรวิชัย/ Kantharawichaiมหาสารคาม/ Maha Sarakham
44150</t>
  </si>
  <si>
    <t>44150</t>
  </si>
  <si>
    <t>660961600927</t>
  </si>
  <si>
    <t>LEXDO0123977312</t>
  </si>
  <si>
    <t>EQJ0</t>
  </si>
  <si>
    <t>น***ดี ศ***ัย</t>
  </si>
  <si>
    <t>05/01/2025 21:30</t>
  </si>
  <si>
    <t>754301541335</t>
  </si>
  <si>
    <t>EQI99</t>
  </si>
  <si>
    <t>LEXDO0123980191</t>
  </si>
  <si>
    <t>05/01/2025 21:29</t>
  </si>
  <si>
    <t>EQI98</t>
  </si>
  <si>
    <t>อ***ย์ ภ***ีรี</t>
  </si>
  <si>
    <t>754347649392</t>
  </si>
  <si>
    <t>EQI97</t>
  </si>
  <si>
    <t>ปราณี. บังเกิดลาภ</t>
  </si>
  <si>
    <t>10/84หมู่3ซ.ด่านสำโรง39ต.สำโรงเหนืออ.เมืองจ.สมุทรปราการ10270
เมืองสมุทรปราการ/ Mueang Samut Prakanสมุทรปราการ/ Samut Prakan
10270</t>
  </si>
  <si>
    <t>660958200505</t>
  </si>
  <si>
    <t>05/01/2025 21:28</t>
  </si>
  <si>
    <t>LEXPU0442376308</t>
  </si>
  <si>
    <t>EQI96</t>
  </si>
  <si>
    <t>ศุภกานต์ มุก</t>
  </si>
  <si>
    <t>111 หมู่10 ตำบลบ้านกลา
เมืองนครพนม/ Mueng Nakornpanomนครพนม/ Nakhon Phanom
48000</t>
  </si>
  <si>
    <t>48000</t>
  </si>
  <si>
    <t>660872255453</t>
  </si>
  <si>
    <t>05/01/2025 21:25</t>
  </si>
  <si>
    <t>LEXDO0123977432</t>
  </si>
  <si>
    <t>EQI95</t>
  </si>
  <si>
    <t>โ***ต ภ***ติยะโยภาพ</t>
  </si>
  <si>
    <t>05/01/2025 21:23</t>
  </si>
  <si>
    <t>754390234393</t>
  </si>
  <si>
    <t>EQI94</t>
  </si>
  <si>
    <t>น***ิรภา ส***ี 2***ู่5บ้านหนองหมูต.หนองเลิงอ.เมืองจ.บึงกาฬ38000</t>
  </si>
  <si>
    <t>05/01/2025 21:20</t>
  </si>
  <si>
    <t>754372548344</t>
  </si>
  <si>
    <t>05/01/2025 21:21</t>
  </si>
  <si>
    <t>EQI93</t>
  </si>
  <si>
    <t>ป***าวดี ส***า</t>
  </si>
  <si>
    <t>05/01/2025 21:19</t>
  </si>
  <si>
    <t>754302042303</t>
  </si>
  <si>
    <t>EQI92</t>
  </si>
  <si>
    <t>แ**</t>
  </si>
  <si>
    <t>754344832356</t>
  </si>
  <si>
    <t>EQI90</t>
  </si>
  <si>
    <t>ด***ิตร จ***์เจริญ</t>
  </si>
  <si>
    <t>05/01/2025 21:18</t>
  </si>
  <si>
    <t>754366126382</t>
  </si>
  <si>
    <t>EQI89</t>
  </si>
  <si>
    <t>ศ***วล ว***ลังกา</t>
  </si>
  <si>
    <t>05/01/2025 21:13</t>
  </si>
  <si>
    <t>754324737320</t>
  </si>
  <si>
    <t>05/01/2025 21:14</t>
  </si>
  <si>
    <t>EQI88</t>
  </si>
  <si>
    <t>ป***าแสงอินทร์</t>
  </si>
  <si>
    <t>05/01/2025 21:12</t>
  </si>
  <si>
    <t>754358634352</t>
  </si>
  <si>
    <t>EQI87</t>
  </si>
  <si>
    <t>อ***  อ***รา ก***ิ่ว</t>
  </si>
  <si>
    <t>05/01/2025 21:11</t>
  </si>
  <si>
    <t>754359040385</t>
  </si>
  <si>
    <t>EQI86</t>
  </si>
  <si>
    <t>ส***จ แ***ประสิทธิ์</t>
  </si>
  <si>
    <t>05/01/2025 21:09</t>
  </si>
  <si>
    <t>754313545322</t>
  </si>
  <si>
    <t>EQI85</t>
  </si>
  <si>
    <t>LEXPU0442377606</t>
  </si>
  <si>
    <t>EQI83</t>
  </si>
  <si>
    <t>ห******์</t>
  </si>
  <si>
    <t>******เภอเมืองพิษณุโลก ตำบลในเมือง อำเภอเมืองพิษณุโลก จังหวัดพิษณุโลก 65000</t>
  </si>
  <si>
    <t>TH61016P4EUN4A</t>
  </si>
  <si>
    <t>EQI82</t>
  </si>
  <si>
    <t>น.ส.รามาวดี นามปัสสา</t>
  </si>
  <si>
    <t>บ้านเลขที่ 5 หมู่ 19 บ.สามแยกเมืองใหม่ ต.เขมราฐ · เขมราฐ/ Khemarat
เขมราฐ/ Khemaratอุบลราชธานี/ Ubon Ratchathani
34170</t>
  </si>
  <si>
    <t>660982637854</t>
  </si>
  <si>
    <t>05/01/2025 21:08</t>
  </si>
  <si>
    <t>TH31056NVSWA5A</t>
  </si>
  <si>
    <t>EQI81</t>
  </si>
  <si>
    <t>ป***ดา ป***ิติ</t>
  </si>
  <si>
    <t>05/01/2025 21:03</t>
  </si>
  <si>
    <t>754307226363</t>
  </si>
  <si>
    <t>EQI80</t>
  </si>
  <si>
    <t>05/01/2025 21:01</t>
  </si>
  <si>
    <t>THT04051E2TCU3Z</t>
  </si>
  <si>
    <t>EQI79</t>
  </si>
  <si>
    <t>น* เ***ัจฌา</t>
  </si>
  <si>
    <t>05/01/2025 20:58</t>
  </si>
  <si>
    <t>754312845392</t>
  </si>
  <si>
    <t>05/01/2025 20:59</t>
  </si>
  <si>
    <t>EQI78</t>
  </si>
  <si>
    <t>รัตนภรณ์  รัตนศิลา</t>
  </si>
  <si>
    <t>200/191 แจ้งวัฒนะซอย10แยก1 แขวงทุ่งสองห้อง เขตหลักสี่ กทม.
หลักสี่/ Lak Siกรุงเทพมหานคร/ Bangkok
10210</t>
  </si>
  <si>
    <t>LEXDO0123982610</t>
  </si>
  <si>
    <t>EQI77</t>
  </si>
  <si>
    <t>คุณ อาจิน อุปจันทร์</t>
  </si>
  <si>
    <t>165 หมู่1 ต.ส้าน อ.เวียงสา จ.น่าน บ้านไผ่งาม · ส้าน/ San
เวียงสา/ Wiang Saน่าน/ Nan
55110</t>
  </si>
  <si>
    <t>05/01/2025 20:57</t>
  </si>
  <si>
    <t>TH52076NVT5P4F</t>
  </si>
  <si>
    <t>EQI75</t>
  </si>
  <si>
    <t>ศ******ม</t>
  </si>
  <si>
    <t>******(สาธุ 57 แยก 17) ถนนพระราม 3 บางโพงพาง แขวงบางโพงพาง เขตยานนาวา จังหวัดกรุงเทพมหานคร 10120</t>
  </si>
  <si>
    <t>10120</t>
  </si>
  <si>
    <t>05/01/2025 20:48</t>
  </si>
  <si>
    <t>TH01366NW4T26B</t>
  </si>
  <si>
    <t>EQI74</t>
  </si>
  <si>
    <t>05/01/2025 20:47</t>
  </si>
  <si>
    <t>754383041392</t>
  </si>
  <si>
    <t>EQI73</t>
  </si>
  <si>
    <t>ว*** จ***โยธิน</t>
  </si>
  <si>
    <t>05/01/2025 20:46</t>
  </si>
  <si>
    <t>754314827361</t>
  </si>
  <si>
    <t>EQI71</t>
  </si>
  <si>
    <t>**********</t>
  </si>
  <si>
    <t>วัดเวฬุวนาราม 8 ซ.วัดเวฬุวนาราม 9 (ตรอ.) · ดอนเมือง/ Don Mueang
ดอนเมือง/ Don Mueangกรุงเทพมหานคร/ Bangkok
10210</t>
  </si>
  <si>
    <t>660863993214</t>
  </si>
  <si>
    <t>05/01/2025 20:45</t>
  </si>
  <si>
    <t>LEXPU0442414775</t>
  </si>
  <si>
    <t>EQI70</t>
  </si>
  <si>
    <t>ส***็ญพร  ล***อิ่ม</t>
  </si>
  <si>
    <t>05/01/2025 20:44</t>
  </si>
  <si>
    <t>754324640392</t>
  </si>
  <si>
    <t>เซ็ทเบาหวิวมะพร้าว2กล่อง</t>
  </si>
  <si>
    <t>EQI69</t>
  </si>
  <si>
    <t>05/01/2025 20:40</t>
  </si>
  <si>
    <t>LEXDO0123968227</t>
  </si>
  <si>
    <t>EQI67</t>
  </si>
  <si>
    <t>นางเหรียญทอง พรมใจ</t>
  </si>
  <si>
    <t>483/24ถนนเจริญราษฎร์  25  ต.ในเมือง อ.เมืองจ.ลำพูน · ในเมือง/ Nai Mueang
เมืองลำพูน/ Mueang Lamphunลำพูน/ Lamphun
51000</t>
  </si>
  <si>
    <t>660612792680</t>
  </si>
  <si>
    <t>05/01/2025 20:37</t>
  </si>
  <si>
    <t>LEXDO0123978836</t>
  </si>
  <si>
    <t>EQI66</t>
  </si>
  <si>
    <t>ร***ก เ***ญผล</t>
  </si>
  <si>
    <t>754355342344</t>
  </si>
  <si>
    <t>EQI65</t>
  </si>
  <si>
    <t>นิชนิภา  อุ่นแก้ว</t>
  </si>
  <si>
    <t>88/4 ถนนพิพัฒน์มงคล ตำบลกุดป่อง
เมืองเลย/ Mueang Loeiเลย/ Loei
42000</t>
  </si>
  <si>
    <t>660811175280</t>
  </si>
  <si>
    <t>05/01/2025 20:36</t>
  </si>
  <si>
    <t>LEXDO0123979101</t>
  </si>
  <si>
    <t>EQI64</t>
  </si>
  <si>
    <t>ส***ทย์ ท***าค</t>
  </si>
  <si>
    <t>05/01/2025 20:32</t>
  </si>
  <si>
    <t>754316643301</t>
  </si>
  <si>
    <t>EQI63</t>
  </si>
  <si>
    <t>นายสุรัตน์ ลาภนภานนท์</t>
  </si>
  <si>
    <t>หอพัก วี.เค. เรสซิเดนซ์  1/2 ซ.เจิมจอมพล 18 (ซ.สถิตย์จอมพล) (หอพักสีขาว สลับชมพู วางสินค้าที่บันไดทางขึ้นเข้าตึก จากที่จอดรถชั้น 1) · ศรีราชา/ Si Racha
ศรีราชา/ Si Rachaชลบุรี/ Chonburi
20110</t>
  </si>
  <si>
    <t>20110</t>
  </si>
  <si>
    <t>660813745100</t>
  </si>
  <si>
    <t>05/01/2025 20:29</t>
  </si>
  <si>
    <t>LEXPU0442398470</t>
  </si>
  <si>
    <t>EQI62</t>
  </si>
  <si>
    <t>ส***ลา ท***ตา</t>
  </si>
  <si>
    <t>754308247394</t>
  </si>
  <si>
    <t>EQI61</t>
  </si>
  <si>
    <t>แม่กลม</t>
  </si>
  <si>
    <t>บ้านน้ำใส เลขที่ 44 ม.6 ต.น้ำใส · น้ำใส/ Nam Sai
จตุรพักตรพิมาน/ Chaturaphak Phimanร้อยเอ็ด/ Roi Et
45180</t>
  </si>
  <si>
    <t>45180</t>
  </si>
  <si>
    <t>660970125889</t>
  </si>
  <si>
    <t>TH42046NVTJF2E</t>
  </si>
  <si>
    <t>EQI60</t>
  </si>
  <si>
    <t>ฬุริญา ปันกิติ</t>
  </si>
  <si>
    <t>12 ม.1 · หนองช้างคืน/ Nong Chang
เมืองลำพูน/ Mueang Lamphunลำพูน/ Lamphun
51150</t>
  </si>
  <si>
    <t>51150</t>
  </si>
  <si>
    <t>660871919195</t>
  </si>
  <si>
    <t>05/01/2025 20:28</t>
  </si>
  <si>
    <t>LEXDO0123977380</t>
  </si>
  <si>
    <t>EQI59</t>
  </si>
  <si>
    <t>แอนจ้า วางไว้เลย</t>
  </si>
  <si>
    <t>สำนักจัดการทรัพยากรป่าไม้ที่8 (นครราชสีมา) เลขที่ 551 ม.7 ถ.ราชสีมา-ปักธงชัย · ปรุใหญ่/ Pru Yai
เมืองนครราชสีมา/ Mueng Nakorn Ratchasimaนครราชสีมา/ Nakhon Ratchasima
30000</t>
  </si>
  <si>
    <t>660827214925</t>
  </si>
  <si>
    <t>LEXDO0123982106</t>
  </si>
  <si>
    <t>05/01/2025 20:23</t>
  </si>
  <si>
    <t>EQI58</t>
  </si>
  <si>
    <t>754393341354</t>
  </si>
  <si>
    <t>EQI53</t>
  </si>
  <si>
    <t>ทราย</t>
  </si>
  <si>
    <t>7/4 หมู่14 กฤตยา ซ.1 ถ.บางนา-ตราด กม.10 ต.บางพลีใหญ่
บางพลี/ Bang Phliสมุทรปราการ/ Samut Prakan
10540</t>
  </si>
  <si>
    <t>660972752460</t>
  </si>
  <si>
    <t>05/01/2025 22:24</t>
  </si>
  <si>
    <t>LEXDO0123983565</t>
  </si>
  <si>
    <t>05/01/2025 20:16</t>
  </si>
  <si>
    <t>EQI52</t>
  </si>
  <si>
    <t>L***y</t>
  </si>
  <si>
    <t>05/01/2025 20:21</t>
  </si>
  <si>
    <t>754351828366</t>
  </si>
  <si>
    <t>05/01/2025 20:15</t>
  </si>
  <si>
    <t>EQI51</t>
  </si>
  <si>
    <t>ช***ดา ร***ันทร์</t>
  </si>
  <si>
    <t>05/01/2025 20:13</t>
  </si>
  <si>
    <t>754370549332</t>
  </si>
  <si>
    <t>EQI50</t>
  </si>
  <si>
    <t>LEXDO0123983369</t>
  </si>
  <si>
    <t>EQI49</t>
  </si>
  <si>
    <t>อัญชญา สุริโย</t>
  </si>
  <si>
    <t>ซอยข้างชุมชนเมโทรทาวน์ 989 หมู่ 2 ต.โนนผึ้ง · วารินชำราบ/ Warin Chamrap
วารินชำราบ/ Warin Chamrapอุบลราชธานี/ Ubon Ratchathani
34190</t>
  </si>
  <si>
    <t>34190</t>
  </si>
  <si>
    <t>660834303388</t>
  </si>
  <si>
    <t>05/01/2025 20:11</t>
  </si>
  <si>
    <t>LEXDO0123983114</t>
  </si>
  <si>
    <t>05/01/2025 20:10</t>
  </si>
  <si>
    <t>EQI47</t>
  </si>
  <si>
    <t>LEXDO0123980362</t>
  </si>
  <si>
    <t>05/01/2025 20:09</t>
  </si>
  <si>
    <t>EQI46</t>
  </si>
  <si>
    <t>สุภาณี ทองสา</t>
  </si>
  <si>
    <t>181หมู่ 1 - · หนองรี/ Nong Ri
ลำสนธิ/ Lam Sonthiลพบุรี/ Lopburi
15190</t>
  </si>
  <si>
    <t>660953759778</t>
  </si>
  <si>
    <t>05/01/2025 20:06</t>
  </si>
  <si>
    <t>TH07106NVT0P5D</t>
  </si>
  <si>
    <t>EQI45</t>
  </si>
  <si>
    <t>05/01/2025 20:05</t>
  </si>
  <si>
    <t>LEXDO0123979945</t>
  </si>
  <si>
    <t>EQI44</t>
  </si>
  <si>
    <t>อาภัสรา เปลี่ยนปฐม</t>
  </si>
  <si>
    <t>2 หมู่ 6 ต. ดอนพุทรา อ. ดอนตูม จ. นครปฐม
ดอนตูม/ Don Tumนครปฐม/ Nakhon Pathom
73150</t>
  </si>
  <si>
    <t>73150</t>
  </si>
  <si>
    <t>660639967307</t>
  </si>
  <si>
    <t>05/01/2025 20:04</t>
  </si>
  <si>
    <t>LEXDO0123983031</t>
  </si>
  <si>
    <t>EQI43</t>
  </si>
  <si>
    <t>น*** แ***วิริยะกิจกูล</t>
  </si>
  <si>
    <t>754313336335</t>
  </si>
  <si>
    <t>EQI42</t>
  </si>
  <si>
    <t>นภาภรณ์ ทองเทพ</t>
  </si>
  <si>
    <t>553/370 เอื้ออาทรอ้อมค่าย ซ.12 ม.5 · ปากพูน/ Pak Phun
เมืองนครศรีธรรมราช/ Mueang Nakhon Si Thammaratนครศรีธรรมราช/ Nakhon Si Thammarat
80000</t>
  </si>
  <si>
    <t>660615432437</t>
  </si>
  <si>
    <t>05/01/2025 20:03</t>
  </si>
  <si>
    <t>LEXDO0123983623</t>
  </si>
  <si>
    <t>โปรชิฟฟ่อนไม่มีไส้ 3 กล่อง คุ้มมาก เก็บได้ 20 วัน 1กล่อง มี8ชิ้น ขนม ยกแพ็ค ถูก</t>
  </si>
  <si>
    <t>EQI40</t>
  </si>
  <si>
    <t>บุษกร โคจรตระกูล</t>
  </si>
  <si>
    <t>บ้านเลขที่ 79 หมู่ 1 บ้านพิมพ์พัฒนา ตใศรีสมเด็จ
ศรีสมเด็จ/ Si Somdetร้อยเอ็ด/ Roi Et
45000</t>
  </si>
  <si>
    <t>45000</t>
  </si>
  <si>
    <t>660825185027</t>
  </si>
  <si>
    <t>05/01/2025 19:49</t>
  </si>
  <si>
    <t>LEXPU0442393674</t>
  </si>
  <si>
    <t>EQI39</t>
  </si>
  <si>
    <t>ป******ท</t>
  </si>
  <si>
    <t>******ะเจ้านอก) ตำบลบางกะเจ้า ตำบลบางกะเจ้า อำเภอพระประแดง จังหวัดสมุทรปราการ 10130</t>
  </si>
  <si>
    <t>10130</t>
  </si>
  <si>
    <t>79</t>
  </si>
  <si>
    <t>05/01/2025 19:39</t>
  </si>
  <si>
    <t>TH2599084537762</t>
  </si>
  <si>
    <t>05/01/2025 19:09</t>
  </si>
  <si>
    <t>EQI38</t>
  </si>
  <si>
    <t>ก***ิมา  ค***</t>
  </si>
  <si>
    <t>05/01/2025 19:05</t>
  </si>
  <si>
    <t>754300453303</t>
  </si>
  <si>
    <t>EQI37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</si>
  <si>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</si>
  <si>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57</t>
  </si>
  <si>
    <t>05/01/2025 19:02</t>
  </si>
  <si>
    <t>TH259585867836V</t>
  </si>
  <si>
    <t>05/01/2025 19:01</t>
  </si>
  <si>
    <t>EQI36</t>
  </si>
  <si>
    <t>น******ย</t>
  </si>
  <si>
    <t>44</t>
  </si>
  <si>
    <t>05/01/2025 19:08</t>
  </si>
  <si>
    <t>TH2541468864430</t>
  </si>
  <si>
    <t>05/01/2025 19:00</t>
  </si>
  <si>
    <t>EQI35</t>
  </si>
  <si>
    <t>ร***พร ท***ระเทือง</t>
  </si>
  <si>
    <t>05/01/2025 18:52</t>
  </si>
  <si>
    <t>THT06011E398Q5Z</t>
  </si>
  <si>
    <t>EQI33</t>
  </si>
  <si>
    <t>ช***ต</t>
  </si>
  <si>
    <t>05/01/2025 18:33</t>
  </si>
  <si>
    <t>754320625365</t>
  </si>
  <si>
    <t>EQI31</t>
  </si>
  <si>
    <t>ณ***า จ***ูล</t>
  </si>
  <si>
    <t>05/01/2025 18:28</t>
  </si>
  <si>
    <t>754375911391</t>
  </si>
  <si>
    <t>05/01/2025 18:26</t>
  </si>
  <si>
    <t>EQI29</t>
  </si>
  <si>
    <t>ส***รา ว***รังษี</t>
  </si>
  <si>
    <t>05/01/2025 17:57</t>
  </si>
  <si>
    <t>THT04061E3MPJ8Z</t>
  </si>
  <si>
    <t>EQI28</t>
  </si>
  <si>
    <t>ส***ญญา เ***ญโภชน์</t>
  </si>
  <si>
    <t>05/01/2025 17:34</t>
  </si>
  <si>
    <t>THT02011E38PH0Z</t>
  </si>
  <si>
    <t>EQI27</t>
  </si>
  <si>
    <t>05/01/2025 17:29</t>
  </si>
  <si>
    <t>THT12041E2YMB7Z</t>
  </si>
  <si>
    <t>EQI24</t>
  </si>
  <si>
    <t>ช******ี</t>
  </si>
  <si>
    <t>******ี่ 275, หมู่ที่ 4 ตำบลไชยมงคล อำเภอเมืองนครราชสีมา จังหวัดนครราชสีมา 30000</t>
  </si>
  <si>
    <t>10</t>
  </si>
  <si>
    <t>05/01/2025 17:15</t>
  </si>
  <si>
    <t>TH250853529208Y</t>
  </si>
  <si>
    <t>05/01/2025 17:14</t>
  </si>
  <si>
    <t>EQI21</t>
  </si>
  <si>
    <t>เ***น</t>
  </si>
  <si>
    <t>05/01/2025 17:11</t>
  </si>
  <si>
    <t>754383634395</t>
  </si>
  <si>
    <t>EQI20</t>
  </si>
  <si>
    <t>อ***ัตน์ พ***ะเสริฐ</t>
  </si>
  <si>
    <t>05/01/2025 17:10</t>
  </si>
  <si>
    <t>754352118391</t>
  </si>
  <si>
    <t>EQI19</t>
  </si>
  <si>
    <t>******ุระนารี ตำบลหนองไผ่ล้อม อำเภอเมืองนครราชสีมา จังหวัดนครราชสีมา 30000</t>
  </si>
  <si>
    <t>16</t>
  </si>
  <si>
    <t>06/01/2025 13:31</t>
  </si>
  <si>
    <t>TH251990186848Q</t>
  </si>
  <si>
    <t>05/01/2025 17:08</t>
  </si>
  <si>
    <t>EQI18</t>
  </si>
  <si>
    <t>ค***ม่อุษามณี ท***ง</t>
  </si>
  <si>
    <t>05/01/2025 17:03</t>
  </si>
  <si>
    <t>754316728395</t>
  </si>
  <si>
    <t>EQI17</t>
  </si>
  <si>
    <t>น***วิไล ส***ันธุ์</t>
  </si>
  <si>
    <t>05/01/2025 17:02</t>
  </si>
  <si>
    <t>THT13081E39CE0Z</t>
  </si>
  <si>
    <t>EQI16</t>
  </si>
  <si>
    <t>น***ึ้ง ร***ทธิ์</t>
  </si>
  <si>
    <t>05/01/2025 17:01</t>
  </si>
  <si>
    <t>754376731323</t>
  </si>
  <si>
    <t>EQI15</t>
  </si>
  <si>
    <t>ห***</t>
  </si>
  <si>
    <t>754382637363</t>
  </si>
  <si>
    <t>EQI14</t>
  </si>
  <si>
    <t>ช***ร จ***วุฒิชัย</t>
  </si>
  <si>
    <t>05/01/2025 17:00</t>
  </si>
  <si>
    <t>THT04021E2XMN5Z</t>
  </si>
  <si>
    <t>05/01/2025 16:59</t>
  </si>
  <si>
    <t>EQI13</t>
  </si>
  <si>
    <t>อ***าพร ว***อน</t>
  </si>
  <si>
    <t>05/01/2025 16:56</t>
  </si>
  <si>
    <t>THT01471E39DK6Z</t>
  </si>
  <si>
    <t>EQI12</t>
  </si>
  <si>
    <t>ศ***กุล  ฤ***์บำรุง</t>
  </si>
  <si>
    <t>05/01/2025 16:35</t>
  </si>
  <si>
    <t>754394327396</t>
  </si>
  <si>
    <t>05/01/2025 16:36</t>
  </si>
  <si>
    <t>EQI11</t>
  </si>
  <si>
    <t>ก******ว</t>
  </si>
  <si>
    <t>****** นนทนาคร หมู่บ้าน อรวรรณคันทรี ตำบลในเมือง อำเภอเมืองชัยภูมิ จังหวัดชัยภูมิ 36000</t>
  </si>
  <si>
    <t>34</t>
  </si>
  <si>
    <t>05/01/2025 16:30</t>
  </si>
  <si>
    <t>TH251974093982V</t>
  </si>
  <si>
    <t>EQI10</t>
  </si>
  <si>
    <t>น***ุภัทรา บ***โรจน์</t>
  </si>
  <si>
    <t>05/01/2025 16:27</t>
  </si>
  <si>
    <t>754387649396</t>
  </si>
  <si>
    <t>EQI8</t>
  </si>
  <si>
    <t>น***าว์  ป***ุตร</t>
  </si>
  <si>
    <t>05/01/2025 16:23</t>
  </si>
  <si>
    <t>754373943330</t>
  </si>
  <si>
    <t>EQI7</t>
  </si>
  <si>
    <t>พ***าภรณ์  ร***ี</t>
  </si>
  <si>
    <t>05/01/2025 16:22</t>
  </si>
  <si>
    <t>THT15011E2TAF7Z</t>
  </si>
  <si>
    <t>05/01/2025 16:21</t>
  </si>
  <si>
    <t>EQI6</t>
  </si>
  <si>
    <t>ณ***ันทน์ ส***าติ</t>
  </si>
  <si>
    <t>05/01/2025 16:19</t>
  </si>
  <si>
    <t>754367632351</t>
  </si>
  <si>
    <t>EQI5</t>
  </si>
  <si>
    <t>ส***ภรณ์ เ***์เรีย</t>
  </si>
  <si>
    <t>05/01/2025 16:09</t>
  </si>
  <si>
    <t>754346043393</t>
  </si>
  <si>
    <t>EQI4</t>
  </si>
  <si>
    <t>อ***ิพร  ป***วัธนะกุล</t>
  </si>
  <si>
    <t>05/01/2025 16:08</t>
  </si>
  <si>
    <t>754323231572</t>
  </si>
  <si>
    <t>EQI2</t>
  </si>
  <si>
    <t>พ***รณ ค***น</t>
  </si>
  <si>
    <t>05/01/2025 15:59</t>
  </si>
  <si>
    <t>THT10091E3AHU1Z</t>
  </si>
  <si>
    <t>05/01/2025 15:58</t>
  </si>
  <si>
    <t>ชิฟฟ่อน 10 ชิ้น คละรสมะพร้าวกับใบเตย</t>
  </si>
  <si>
    <t>EQI1</t>
  </si>
  <si>
    <t>ห***า</t>
  </si>
  <si>
    <t>******ำกัด 300 ม.1 ต.ปะตง ตำบลปะตง อำเภอสอยดาว จังหวัดจันทบุรี 22180</t>
  </si>
  <si>
    <t>22180</t>
  </si>
  <si>
    <t>05/01/2025 15:54</t>
  </si>
  <si>
    <t>TH22076NW40K3A</t>
  </si>
  <si>
    <t>05/01/2025 15:53</t>
  </si>
  <si>
    <t>EQI0</t>
  </si>
  <si>
    <t>เ******​</t>
  </si>
  <si>
    <t>******รณ์ไก่ชน) ต.กุดไส้จ่อ ตำบลกุดใส้จ่อ อำเภอกันทรวิชัย จังหวัดมหาสารคาม 44150</t>
  </si>
  <si>
    <t>18</t>
  </si>
  <si>
    <t>TH251292936238P</t>
  </si>
  <si>
    <t>05/01/2025 15:49</t>
  </si>
  <si>
    <t>EQH99</t>
  </si>
  <si>
    <t>THT07011E39AD6Z</t>
  </si>
  <si>
    <t>EQH98</t>
  </si>
  <si>
    <t>น***ิมา เ***ระยูร</t>
  </si>
  <si>
    <t>05/01/2025 15:48</t>
  </si>
  <si>
    <t>754376331332</t>
  </si>
  <si>
    <t>EQH97</t>
  </si>
  <si>
    <t>พ***์พิชชา</t>
  </si>
  <si>
    <t>05/01/2025 15:41</t>
  </si>
  <si>
    <t>754350733345</t>
  </si>
  <si>
    <t>05/01/2025 15:42</t>
  </si>
  <si>
    <t>EQH95</t>
  </si>
  <si>
    <t>05/01/2025 15:33</t>
  </si>
  <si>
    <t>THT25031E32UN5Z</t>
  </si>
  <si>
    <t>05/01/2025 15:34</t>
  </si>
  <si>
    <t>EQH94</t>
  </si>
  <si>
    <t>ม***ิมา อ***รโยธา</t>
  </si>
  <si>
    <t>THT24091E3D4C8Z</t>
  </si>
  <si>
    <t>EQH91</t>
  </si>
  <si>
    <t>ก***าร์ ร**</t>
  </si>
  <si>
    <t>05/01/2025 15:27</t>
  </si>
  <si>
    <t>754343449355</t>
  </si>
  <si>
    <t>EQH89</t>
  </si>
  <si>
    <t>น** ข***ักดิ์ ถ***วิมล</t>
  </si>
  <si>
    <t>05/01/2025 15:23</t>
  </si>
  <si>
    <t>754399045374</t>
  </si>
  <si>
    <t>EQH87</t>
  </si>
  <si>
    <t>เ** ธ***ต</t>
  </si>
  <si>
    <t>05/01/2025 15:22</t>
  </si>
  <si>
    <t>THT61071E60K13Z</t>
  </si>
  <si>
    <t>EQH86</t>
  </si>
  <si>
    <t>05/01/2025 15:21</t>
  </si>
  <si>
    <t>754370243384</t>
  </si>
  <si>
    <t>EQH82</t>
  </si>
  <si>
    <t>05/01/2025 15:18</t>
  </si>
  <si>
    <t>LEXDO0123983443</t>
  </si>
  <si>
    <t>EQH79</t>
  </si>
  <si>
    <t>พ***ินทร์ของนัท.วางไว้เลยค่ะ</t>
  </si>
  <si>
    <t>05/01/2025 15:17</t>
  </si>
  <si>
    <t>754356539370</t>
  </si>
  <si>
    <t>05/01/2025 15:15</t>
  </si>
  <si>
    <t>EQH76</t>
  </si>
  <si>
    <t>ส*** ท***หม่</t>
  </si>
  <si>
    <t>05/01/2025 15:09</t>
  </si>
  <si>
    <t>THT21071E2WGR9Z</t>
  </si>
  <si>
    <t>EQH74</t>
  </si>
  <si>
    <t>ร***ุ ห***ลำ</t>
  </si>
  <si>
    <t>05/01/2025 15:08</t>
  </si>
  <si>
    <t>754375823375</t>
  </si>
  <si>
    <t>EQH73</t>
  </si>
  <si>
    <t>ดารารัตน์ พงษ์จินดาทิพย์</t>
  </si>
  <si>
    <t>183 ถ.แสงสวรรค์ ต.ชุมแสง
ชุมแสง/ Chum Saengนครสวรรค์/ Nakhon Sawan
60120</t>
  </si>
  <si>
    <t>60120</t>
  </si>
  <si>
    <t>660816836142</t>
  </si>
  <si>
    <t>05/01/2025 15:03</t>
  </si>
  <si>
    <t>TH56036NUT8V1A</t>
  </si>
  <si>
    <t>05/01/2025 15:02</t>
  </si>
  <si>
    <t>EQH72</t>
  </si>
  <si>
    <t>ค***ุ๋มจิ๋ม</t>
  </si>
  <si>
    <t>05/01/2025 15:01</t>
  </si>
  <si>
    <t>THT27011E38RM7Z</t>
  </si>
  <si>
    <t>EQH71</t>
  </si>
  <si>
    <t>05/01/2025 15:00</t>
  </si>
  <si>
    <t>THT27011E3KAW4Z</t>
  </si>
  <si>
    <t>EQH69</t>
  </si>
  <si>
    <t>ธ***มาศ เ***รุ่งเรือง</t>
  </si>
  <si>
    <t>05/01/2025 14:56</t>
  </si>
  <si>
    <t>THT10021E32E85Z</t>
  </si>
  <si>
    <t>05/01/2025 14:55</t>
  </si>
  <si>
    <t>EQH67</t>
  </si>
  <si>
    <t>ก***นา บ***ง</t>
  </si>
  <si>
    <t>05/01/2025 14:51</t>
  </si>
  <si>
    <t>754399138323</t>
  </si>
  <si>
    <t>EQH66</t>
  </si>
  <si>
    <t>ม* เ***งศรี</t>
  </si>
  <si>
    <t>05/01/2025 14:48</t>
  </si>
  <si>
    <t>754374035391</t>
  </si>
  <si>
    <t>EQH63</t>
  </si>
  <si>
    <t>05/01/2025 14:43</t>
  </si>
  <si>
    <t>THT27011E33ZQ7Z</t>
  </si>
  <si>
    <t>EQH62</t>
  </si>
  <si>
    <t>เฉลิมชัย อภิศักดิ์ศิริกุล</t>
  </si>
  <si>
    <t>199/20 ม.5THE CITY ราชฤกษ์-ปิ่นเกล้า  บางกร่าง เมือง นนทบุรี
เมืองนนทบุรี/ Mueang Nonthaburiนนทบุรี/ Nonthaburi
11000</t>
  </si>
  <si>
    <t>660991916522</t>
  </si>
  <si>
    <t>05/01/2025 14:42</t>
  </si>
  <si>
    <t>LEXPU0442337619</t>
  </si>
  <si>
    <t>EQH61</t>
  </si>
  <si>
    <t>ป***๋ว.ปิ๋ว</t>
  </si>
  <si>
    <t>05/01/2025 14:40</t>
  </si>
  <si>
    <t>THT68161E33YY3Z</t>
  </si>
  <si>
    <t>EQH59</t>
  </si>
  <si>
    <t>ศ***พร   พ***พาทร</t>
  </si>
  <si>
    <t>05/01/2025 14:38</t>
  </si>
  <si>
    <t>754341754515</t>
  </si>
  <si>
    <t>EQH58</t>
  </si>
  <si>
    <t>05/01/2025 15:07</t>
  </si>
  <si>
    <t>TH13056P1JDW8F</t>
  </si>
  <si>
    <t>05/01/2025 14:37</t>
  </si>
  <si>
    <t>EQH57</t>
  </si>
  <si>
    <t>น***ทร์  บ***ระเสริฐ</t>
  </si>
  <si>
    <t>754319432532</t>
  </si>
  <si>
    <t>EQH56</t>
  </si>
  <si>
    <t>ม***ี ว***เส้ง</t>
  </si>
  <si>
    <t>05/01/2025 14:34</t>
  </si>
  <si>
    <t>754322438564</t>
  </si>
  <si>
    <t>EQH55</t>
  </si>
  <si>
    <t>อนุสรา</t>
  </si>
  <si>
    <t>94 หมู่ 8  ต.เวินพระบาท อ.ท่าอุเทน · เวินพระบาท/ Woen Phrabat
ท่าอุเทน/ Tha Uthenนครพนม/ Nakhon Phanom
48120</t>
  </si>
  <si>
    <t>48120</t>
  </si>
  <si>
    <t>660963796041</t>
  </si>
  <si>
    <t>TH45036NXZDJ0G</t>
  </si>
  <si>
    <t>EQH53</t>
  </si>
  <si>
    <t>05/01/2025 14:32</t>
  </si>
  <si>
    <t>THT03041E33WE7Z</t>
  </si>
  <si>
    <t>EQH52</t>
  </si>
  <si>
    <t>เ***มา</t>
  </si>
  <si>
    <t>05/01/2025 14:30</t>
  </si>
  <si>
    <t>754306249513</t>
  </si>
  <si>
    <t>EQH51</t>
  </si>
  <si>
    <t>M*** ห***</t>
  </si>
  <si>
    <t>05/01/2025 14:28</t>
  </si>
  <si>
    <t>THT01121E39BD9Z</t>
  </si>
  <si>
    <t>EQH50</t>
  </si>
  <si>
    <t>ก***านี ด***ทธิ์</t>
  </si>
  <si>
    <t>754336336515</t>
  </si>
  <si>
    <t>EQH49</t>
  </si>
  <si>
    <t>LEXDO0123996740</t>
  </si>
  <si>
    <t>EQH46</t>
  </si>
  <si>
    <t>ช***ชา บ***พธิ์</t>
  </si>
  <si>
    <t>05/01/2025 14:23</t>
  </si>
  <si>
    <t>754334027355</t>
  </si>
  <si>
    <t>EQH45</t>
  </si>
  <si>
    <t>ก***า ก***ักดี ร***เฟิร์สอินเตอร์เน็ต</t>
  </si>
  <si>
    <t>05/01/2025 14:20</t>
  </si>
  <si>
    <t>754376835365</t>
  </si>
  <si>
    <t>EQH44</t>
  </si>
  <si>
    <t>ส***าน ว***ษฐ</t>
  </si>
  <si>
    <t>754338036546</t>
  </si>
  <si>
    <t>EQH42</t>
  </si>
  <si>
    <t>น***เยาว์ โ***ดี</t>
  </si>
  <si>
    <t>05/01/2025 14:18</t>
  </si>
  <si>
    <t>THT01271E3EMK6Z</t>
  </si>
  <si>
    <t>EQH41</t>
  </si>
  <si>
    <t>เ***  จ***ีศรี</t>
  </si>
  <si>
    <t>05/01/2025 14:17</t>
  </si>
  <si>
    <t>754330856580</t>
  </si>
  <si>
    <t>EQH40</t>
  </si>
  <si>
    <t>น***า ว***สัมพันธ์ชัย</t>
  </si>
  <si>
    <t>05/01/2025 14:14</t>
  </si>
  <si>
    <t>THT28011E33SB5Z</t>
  </si>
  <si>
    <t>05/01/2025 14:16</t>
  </si>
  <si>
    <t>EQH39</t>
  </si>
  <si>
    <t>จ***า อ***ดช</t>
  </si>
  <si>
    <t>THT50011E3KSV8Z</t>
  </si>
  <si>
    <t>EQH38</t>
  </si>
  <si>
    <t>จ***พร ด***ำ</t>
  </si>
  <si>
    <t>05/01/2025 14:12</t>
  </si>
  <si>
    <t>754385185514</t>
  </si>
  <si>
    <t>05/01/2025 14:15</t>
  </si>
  <si>
    <t>EQH37</t>
  </si>
  <si>
    <t>ศ***ขวัญ ผ***ิต</t>
  </si>
  <si>
    <t>05/01/2025 14:10</t>
  </si>
  <si>
    <t>THT51061E390N9Z</t>
  </si>
  <si>
    <t>EQH36</t>
  </si>
  <si>
    <t>ค***ัชกร  ป***อบธรรม</t>
  </si>
  <si>
    <t>754309433360</t>
  </si>
  <si>
    <t>EQH35</t>
  </si>
  <si>
    <t>ย***น  ไ***รหม</t>
  </si>
  <si>
    <t>05/01/2025 14:09</t>
  </si>
  <si>
    <t>754302148316</t>
  </si>
  <si>
    <t>EQH34</t>
  </si>
  <si>
    <t>ว*** ว***ากร</t>
  </si>
  <si>
    <t>05/01/2025 14:07</t>
  </si>
  <si>
    <t>754356044374</t>
  </si>
  <si>
    <t>EQH30</t>
  </si>
  <si>
    <t>ก*** ส***วดี ม***กลาง</t>
  </si>
  <si>
    <t>05/01/2025 14:02</t>
  </si>
  <si>
    <t>THT34011E2YA21Z</t>
  </si>
  <si>
    <t>05/01/2025 14:03</t>
  </si>
  <si>
    <t>EQH28</t>
  </si>
  <si>
    <t>******อ่ง อ.อู่ทอง จ.สุพรรณบุรี ตำบลหนองโอ่ง อำเภออู่ทอง จังหวัดสุพรรณบุรี 72160</t>
  </si>
  <si>
    <t>15</t>
  </si>
  <si>
    <t>TH2532180561843</t>
  </si>
  <si>
    <t>EQH24</t>
  </si>
  <si>
    <t>นายเสาร์ กะการดี</t>
  </si>
  <si>
    <t>167หมู่4 บ้านทุ่งเชือก ตำบลภูห่าน
สีชมพู/ Si Chomphuขอนแก่น/ Khon Kaen
40220</t>
  </si>
  <si>
    <t>40220</t>
  </si>
  <si>
    <t>660985606496</t>
  </si>
  <si>
    <t>05/01/2025 14:00</t>
  </si>
  <si>
    <t>520004269881</t>
  </si>
  <si>
    <t>EQH23</t>
  </si>
  <si>
    <t>ร***นภา เ***หล้า</t>
  </si>
  <si>
    <t>05/01/2025 13:59</t>
  </si>
  <si>
    <t>754396133551</t>
  </si>
  <si>
    <t>EQH20</t>
  </si>
  <si>
    <t>ว******า</t>
  </si>
  <si>
    <t>******้ง อำเภอเฉลิมพระเกียรติ จังหวัดสระบุรี 18000</t>
  </si>
  <si>
    <t>05/01/2025 14:29</t>
  </si>
  <si>
    <t>TH257572692369R</t>
  </si>
  <si>
    <t>EQH19</t>
  </si>
  <si>
    <t>ท***ลปีนะถา</t>
  </si>
  <si>
    <t>05/01/2025 13:58</t>
  </si>
  <si>
    <t>754305846512</t>
  </si>
  <si>
    <t>EQH16</t>
  </si>
  <si>
    <t>น***นะโม</t>
  </si>
  <si>
    <t>05/01/2025 13:54</t>
  </si>
  <si>
    <t>754370516395</t>
  </si>
  <si>
    <t>EQH15</t>
  </si>
  <si>
    <t>ส***ิน ม***คง</t>
  </si>
  <si>
    <t>05/01/2025 13:51</t>
  </si>
  <si>
    <t>754345130313</t>
  </si>
  <si>
    <t>05/01/2025 13:52</t>
  </si>
  <si>
    <t>EQH13</t>
  </si>
  <si>
    <t>ถ******์</t>
  </si>
  <si>
    <t>******ามวัง อำเภอหนองเสือ จังหวัดปทุมธานี 12170</t>
  </si>
  <si>
    <t>19</t>
  </si>
  <si>
    <t>05/01/2025 13:50</t>
  </si>
  <si>
    <t>TH258213235312N</t>
  </si>
  <si>
    <t>05/01/2025 13:49</t>
  </si>
  <si>
    <t>EQH12</t>
  </si>
  <si>
    <t>จ***ิมา ม***ท์</t>
  </si>
  <si>
    <t>05/01/2025 13:48</t>
  </si>
  <si>
    <t>754354333316</t>
  </si>
  <si>
    <t>EQH11</t>
  </si>
  <si>
    <t>******ู่ที่ 7ตำบลเชียงรากน้อย ตำบลเชียงรากน้อย อำเภอบางปะอิน จังหวัดพระนครศรีอยุธยา 13180</t>
  </si>
  <si>
    <t>TH2534465341220</t>
  </si>
  <si>
    <t>05/01/2025 13:43</t>
  </si>
  <si>
    <t>EQH10</t>
  </si>
  <si>
    <t>ห***พลิน อ***บุตร</t>
  </si>
  <si>
    <t>05/01/2025 13:36</t>
  </si>
  <si>
    <t>754312041582</t>
  </si>
  <si>
    <t>EQH8</t>
  </si>
  <si>
    <t>05/01/2025 13:35</t>
  </si>
  <si>
    <t>754391327572</t>
  </si>
  <si>
    <t>EQH7</t>
  </si>
  <si>
    <t>ศ******ส</t>
  </si>
  <si>
    <t>******บ่อแร่ อำเภอโพธิ์ทอง จังหวัดอ่างทอง 14120</t>
  </si>
  <si>
    <t>05/01/2025 14:01</t>
  </si>
  <si>
    <t>TH255050398586U</t>
  </si>
  <si>
    <t>05/01/2025 13:31</t>
  </si>
  <si>
    <t>EQH6</t>
  </si>
  <si>
    <t>ส***ตรา  ข***การ</t>
  </si>
  <si>
    <t>754357631370</t>
  </si>
  <si>
    <t>EQH5</t>
  </si>
  <si>
    <t>TH257628555348U</t>
  </si>
  <si>
    <t>05/01/2025 13:29</t>
  </si>
  <si>
    <t>EQH4</t>
  </si>
  <si>
    <t>ป***ตา  ก***พ็ชร์</t>
  </si>
  <si>
    <t>05/01/2025 13:28</t>
  </si>
  <si>
    <t>THT27011E34W66Z</t>
  </si>
  <si>
    <t>EQH3</t>
  </si>
  <si>
    <t>TH2510551004013</t>
  </si>
  <si>
    <t>EQH2</t>
  </si>
  <si>
    <t>อ***ญา ท***ก้วกันทร</t>
  </si>
  <si>
    <t>05/01/2025 13:27</t>
  </si>
  <si>
    <t>THT59051E399J7Z</t>
  </si>
  <si>
    <t>EQH1</t>
  </si>
  <si>
    <t>05/01/2025 13:55</t>
  </si>
  <si>
    <t>TH251674545464Z</t>
  </si>
  <si>
    <t>05/01/2025 13:25</t>
  </si>
  <si>
    <t>EQH0</t>
  </si>
  <si>
    <t>TH251989018188E</t>
  </si>
  <si>
    <t>05/01/2025 13:24</t>
  </si>
  <si>
    <t>EQG99</t>
  </si>
  <si>
    <t>น***เกษราภรณ์ เ***เอย</t>
  </si>
  <si>
    <t>เทศบาลนครสกลนคร</t>
  </si>
  <si>
    <t>05/01/2025 13:20</t>
  </si>
  <si>
    <t>754321357506</t>
  </si>
  <si>
    <t>EQG98</t>
  </si>
  <si>
    <t>ก***าณี ฉ***ก้ว</t>
  </si>
  <si>
    <t>05/01/2025 13:18</t>
  </si>
  <si>
    <t>754348644302</t>
  </si>
  <si>
    <t>05/01/2025 13:19</t>
  </si>
  <si>
    <t>EQG96</t>
  </si>
  <si>
    <t>เ***ณีย์ ก***งดี</t>
  </si>
  <si>
    <t>05/01/2025 13:06</t>
  </si>
  <si>
    <t>754380739556</t>
  </si>
  <si>
    <t>EQG95</t>
  </si>
  <si>
    <t>จ***า ซ***ตรง</t>
  </si>
  <si>
    <t>05/01/2025 13:05</t>
  </si>
  <si>
    <t>THT01311E3KFE6Z</t>
  </si>
  <si>
    <t>EQG93</t>
  </si>
  <si>
    <t>น***ชนาพร ท***อาด</t>
  </si>
  <si>
    <t>05/01/2025 13:03</t>
  </si>
  <si>
    <t>754386237570</t>
  </si>
  <si>
    <t>05/01/2025 13:04</t>
  </si>
  <si>
    <t>EQG91</t>
  </si>
  <si>
    <t>พ***ินทร์</t>
  </si>
  <si>
    <t>05/01/2025 12:57</t>
  </si>
  <si>
    <t>754346922571</t>
  </si>
  <si>
    <t>EQG90</t>
  </si>
  <si>
    <t>แ***า พ***ักดี</t>
  </si>
  <si>
    <t>05/01/2025 12:48</t>
  </si>
  <si>
    <t>754372839592</t>
  </si>
  <si>
    <t>EQG89</t>
  </si>
  <si>
    <t>ิ***า ม***งหรีด</t>
  </si>
  <si>
    <t>05/01/2025 12:46</t>
  </si>
  <si>
    <t>754372950516</t>
  </si>
  <si>
    <t>EQG88</t>
  </si>
  <si>
    <t>ณ***า ล***า</t>
  </si>
  <si>
    <t>05/01/2025 12:45</t>
  </si>
  <si>
    <t>754305930383</t>
  </si>
  <si>
    <t>EQG87</t>
  </si>
  <si>
    <t>อ***  ค***ม</t>
  </si>
  <si>
    <t>THT20071E3KEE0Z</t>
  </si>
  <si>
    <t>EQG86</t>
  </si>
  <si>
    <t>น***ัชนีพร เ***องฟุ้ง</t>
  </si>
  <si>
    <t>754378538524</t>
  </si>
  <si>
    <t>EQG85</t>
  </si>
  <si>
    <t>โ***ดา โ***</t>
  </si>
  <si>
    <t>05/01/2025 12:43</t>
  </si>
  <si>
    <t>THT20021E3A2K5Z</t>
  </si>
  <si>
    <t>EQG84</t>
  </si>
  <si>
    <t>ร***ีกร พ***ี</t>
  </si>
  <si>
    <t>05/01/2025 12:42</t>
  </si>
  <si>
    <t>754324937376</t>
  </si>
  <si>
    <t>EQG83</t>
  </si>
  <si>
    <t>ก***่าย ว***วรรณ</t>
  </si>
  <si>
    <t>THT27141E60YZ9Z</t>
  </si>
  <si>
    <t>EQG82</t>
  </si>
  <si>
    <t>ป******่</t>
  </si>
  <si>
    <t>****** ตำบลน้ำจืด อำเภอกระบุรี จังหวัดระนอง 85110</t>
  </si>
  <si>
    <t>05/01/2025 13:11</t>
  </si>
  <si>
    <t>TH69046P1HQU2A</t>
  </si>
  <si>
    <t>05/01/2025 12:40</t>
  </si>
  <si>
    <t>EQG81</t>
  </si>
  <si>
    <t>ส***วดี ศ***ัยมูล</t>
  </si>
  <si>
    <t>754364333516</t>
  </si>
  <si>
    <t>05/01/2025 12:39</t>
  </si>
  <si>
    <t>EQG79</t>
  </si>
  <si>
    <t>เ***หญิง</t>
  </si>
  <si>
    <t>05/01/2025 12:36</t>
  </si>
  <si>
    <t>754329248562</t>
  </si>
  <si>
    <t>EQG78</t>
  </si>
  <si>
    <t>ค***ุพัตรา ช***รักษา</t>
  </si>
  <si>
    <t>754359447586</t>
  </si>
  <si>
    <t>EQG77</t>
  </si>
  <si>
    <t>P***nda T***krajang</t>
  </si>
  <si>
    <t>05/01/2025 12:35</t>
  </si>
  <si>
    <t>754316840572</t>
  </si>
  <si>
    <t>EQG76</t>
  </si>
  <si>
    <t>ป***า ค***ร</t>
  </si>
  <si>
    <t>05/01/2025 12:32</t>
  </si>
  <si>
    <t>754361335512</t>
  </si>
  <si>
    <t>EQG75</t>
  </si>
  <si>
    <t>จ***ง</t>
  </si>
  <si>
    <t>05/01/2025 12:30</t>
  </si>
  <si>
    <t>754312638542</t>
  </si>
  <si>
    <t>EQG74</t>
  </si>
  <si>
    <t>ท***ีย์  ธ***เที่ยง</t>
  </si>
  <si>
    <t>05/01/2025 12:29</t>
  </si>
  <si>
    <t>754308535341</t>
  </si>
  <si>
    <t>EQG73</t>
  </si>
  <si>
    <t>ก***รรณ  บ***ุด</t>
  </si>
  <si>
    <t>754345340313</t>
  </si>
  <si>
    <t>EQG71</t>
  </si>
  <si>
    <t>ส***รณวดี ด***คกสูง</t>
  </si>
  <si>
    <t>05/01/2025 12:26</t>
  </si>
  <si>
    <t>754390344573</t>
  </si>
  <si>
    <t>EQG70</t>
  </si>
  <si>
    <t>ธ***ารัตน์ โ***์พึ่ง</t>
  </si>
  <si>
    <t>THT63081E394E0Z</t>
  </si>
  <si>
    <t>EQG69</t>
  </si>
  <si>
    <t>นายบุญชัย บุญวิรัตน์</t>
  </si>
  <si>
    <t>1434 ถนนเทพคุณากร ซอย 12 ต.หน้าเมือง
เมืองฉะเชิงเทรา/ Mueang Chachoengsaoฉะเชิงเทรา/ Chachoengsao
24000</t>
  </si>
  <si>
    <t>660819292232</t>
  </si>
  <si>
    <t>05/01/2025 12:25</t>
  </si>
  <si>
    <t>LEXPU0442339735</t>
  </si>
  <si>
    <t>EQG68</t>
  </si>
  <si>
    <t>tun naing</t>
  </si>
  <si>
    <t>323/79 ซอยพญานาค ถนนเพชรบุรี แขวงถนนเพชรบุรี · ถนนเพชรบุรี/ Thanon Phetchaburi
ราชเทวี/ Ratchathewiกรุงเทพมหานคร/ Bangkok
10400</t>
  </si>
  <si>
    <t>660823928141</t>
  </si>
  <si>
    <t>LEXPU0442391303</t>
  </si>
  <si>
    <t>EQG67</t>
  </si>
  <si>
    <t>น***มหมาย  จ***ะสมบัติ</t>
  </si>
  <si>
    <t>05/01/2025 12:24</t>
  </si>
  <si>
    <t>754345259345</t>
  </si>
  <si>
    <t>EQG66</t>
  </si>
  <si>
    <t>น***ัญวิช  ป***าดง</t>
  </si>
  <si>
    <t>05/01/2025 12:22</t>
  </si>
  <si>
    <t>754340238562</t>
  </si>
  <si>
    <t>EQG65</t>
  </si>
  <si>
    <t>ว*** บ***ราบ</t>
  </si>
  <si>
    <t>754336532375</t>
  </si>
  <si>
    <t>05/01/2025 12:21</t>
  </si>
  <si>
    <t>EQG63</t>
  </si>
  <si>
    <t>สมศรี ธีรเนตร</t>
  </si>
  <si>
    <t>ร้านขนมหวานใกล้วัดบางหญ้าแพรก ฝั่งท่าฉลอม
เมืองสมุทรสาคร/ Mueang Samut Sakhonสมุทรสาคร/ Samut Sakhon
74000</t>
  </si>
  <si>
    <t>660918082315</t>
  </si>
  <si>
    <t>05/01/2025 12:19</t>
  </si>
  <si>
    <t>LEXPU0442392256</t>
  </si>
  <si>
    <t>EQG62</t>
  </si>
  <si>
    <t>ว***ียร โ***กำแหง</t>
  </si>
  <si>
    <t>05/01/2025 12:15</t>
  </si>
  <si>
    <t>754323120316</t>
  </si>
  <si>
    <t>EQG61</t>
  </si>
  <si>
    <t>ไ***รรณ พ***ูน</t>
  </si>
  <si>
    <t>05/01/2025 12:12</t>
  </si>
  <si>
    <t>THT04011E39U25Z</t>
  </si>
  <si>
    <t>EQG60</t>
  </si>
  <si>
    <t>ก***ักษณ์ ผ***สำเเดง</t>
  </si>
  <si>
    <t>05/01/2025 12:11</t>
  </si>
  <si>
    <t>754358058344</t>
  </si>
  <si>
    <t>EQG59</t>
  </si>
  <si>
    <t>อ*** เ***โภคา</t>
  </si>
  <si>
    <t>THT05051E3CZV8Z</t>
  </si>
  <si>
    <t>EQG58</t>
  </si>
  <si>
    <t>น***กด เ***ณี</t>
  </si>
  <si>
    <t>754354435531</t>
  </si>
  <si>
    <t>EQG56</t>
  </si>
  <si>
    <t>ว***รัตน์ ด***กัย</t>
  </si>
  <si>
    <t>05/01/2025 12:08</t>
  </si>
  <si>
    <t>754396128566</t>
  </si>
  <si>
    <t>EQG55</t>
  </si>
  <si>
    <t>ส***ษา ด***รัส</t>
  </si>
  <si>
    <t>05/01/2025 12:07</t>
  </si>
  <si>
    <t>754353131545</t>
  </si>
  <si>
    <t>EQG54</t>
  </si>
  <si>
    <t>โ*** ส***ย</t>
  </si>
  <si>
    <t>05/01/2025 12:05</t>
  </si>
  <si>
    <t>754318738541</t>
  </si>
  <si>
    <t>EQG53</t>
  </si>
  <si>
    <t>บุษยา ศรีเจริญ</t>
  </si>
  <si>
    <t>88/752ม.บสิวารัจน์3 · อ้อมน้อย/ Om Noi
กระทุ่มแบน/ Krathum Baenสมุทรสาคร/ Samut Sakhon
74130</t>
  </si>
  <si>
    <t>660969032645</t>
  </si>
  <si>
    <t>05/01/2025 12:03</t>
  </si>
  <si>
    <t>LEXPU0442336894</t>
  </si>
  <si>
    <t>EQG51</t>
  </si>
  <si>
    <t>ฝ* ฝ* ส***ยสุดา</t>
  </si>
  <si>
    <t>05/01/2025 11:57</t>
  </si>
  <si>
    <t>THT49131E32FJ3Z</t>
  </si>
  <si>
    <t>EQG50</t>
  </si>
  <si>
    <t>ป***พวรรณณรังษี</t>
  </si>
  <si>
    <t>754385446581</t>
  </si>
  <si>
    <t>EQG49</t>
  </si>
  <si>
    <t>นางรัชดา  ตึกขาว</t>
  </si>
  <si>
    <t>159 ม.7 ซอยบางกระยาง
บางบ่อ/ Bang Boสมุทรปราการ/ Samut Prakan
10560</t>
  </si>
  <si>
    <t>10560</t>
  </si>
  <si>
    <t>660926322894</t>
  </si>
  <si>
    <t>05/01/2025 11:55</t>
  </si>
  <si>
    <t>LEXPU0442504481</t>
  </si>
  <si>
    <t>EQG48</t>
  </si>
  <si>
    <t>ณ***ินทร์ ศ***านุภาพสกุล</t>
  </si>
  <si>
    <t>05/01/2025 11:53</t>
  </si>
  <si>
    <t>THT15061E3N4V6Z</t>
  </si>
  <si>
    <t>EQG47</t>
  </si>
  <si>
    <t>น***ศ แ***ขุนทด</t>
  </si>
  <si>
    <t>05/01/2025 11:52</t>
  </si>
  <si>
    <t>754397946514</t>
  </si>
  <si>
    <t>EQG46</t>
  </si>
  <si>
    <t>ธ***ธ์ แ***</t>
  </si>
  <si>
    <t>05/01/2025 11:50</t>
  </si>
  <si>
    <t>754395845302</t>
  </si>
  <si>
    <t>05/01/2025 11:51</t>
  </si>
  <si>
    <t>EQG45</t>
  </si>
  <si>
    <t>ด***วรรณ พ***ารถ</t>
  </si>
  <si>
    <t>05/01/2025 11:49</t>
  </si>
  <si>
    <t>THT07071E2TJ03Z</t>
  </si>
  <si>
    <t>EQG44</t>
  </si>
  <si>
    <t>อ***ญา ช***ก้ว</t>
  </si>
  <si>
    <t>05/01/2025 11:48</t>
  </si>
  <si>
    <t>THT68101E3QW31Z</t>
  </si>
  <si>
    <t>EQG41</t>
  </si>
  <si>
    <t>เ***ฤทัย ช***ชร</t>
  </si>
  <si>
    <t>05/01/2025 11:46</t>
  </si>
  <si>
    <t>754328144371</t>
  </si>
  <si>
    <t>EQG40</t>
  </si>
  <si>
    <t>ศ***าส พ***หมื่นไวย์</t>
  </si>
  <si>
    <t>05/01/2025 11:45</t>
  </si>
  <si>
    <t>THT27201E39YD5Z</t>
  </si>
  <si>
    <t>EQG39</t>
  </si>
  <si>
    <t>ส***ล ศ***รวง</t>
  </si>
  <si>
    <t>754305839545</t>
  </si>
  <si>
    <t>EQG38</t>
  </si>
  <si>
    <t>บ***า ศ***วัสดิ์</t>
  </si>
  <si>
    <t>05/01/2025 11:42</t>
  </si>
  <si>
    <t>THT10091E3ME20Z</t>
  </si>
  <si>
    <t>EQG37</t>
  </si>
  <si>
    <t>อ***ตย์ ค***ริญ</t>
  </si>
  <si>
    <t>05/01/2025 11:44</t>
  </si>
  <si>
    <t>754356140370</t>
  </si>
  <si>
    <t>EQG35</t>
  </si>
  <si>
    <t>05/01/2025 11:40</t>
  </si>
  <si>
    <t>754333312375</t>
  </si>
  <si>
    <t>05/01/2025 11:39</t>
  </si>
  <si>
    <t>EQG33</t>
  </si>
  <si>
    <t>754330731350</t>
  </si>
  <si>
    <t>EQG32</t>
  </si>
  <si>
    <t>ธ***ิพย์ ก***ุล</t>
  </si>
  <si>
    <t>05/01/2025 11:38</t>
  </si>
  <si>
    <t>754389487585</t>
  </si>
  <si>
    <t>EQG31</t>
  </si>
  <si>
    <t>ส***ชญา เ***วนารักษ์</t>
  </si>
  <si>
    <t>05/01/2025 11:37</t>
  </si>
  <si>
    <t>754322533333</t>
  </si>
  <si>
    <t>EQG30</t>
  </si>
  <si>
    <t>******เลขที่ 88 หมู่ 4 ถนนกาญจนวาณิชย์, ต.พังลา, อำเภอสะเดา ตำบลพังลา อำเภอสะเดา จังหวัดสงขลา 90170</t>
  </si>
  <si>
    <t>90170</t>
  </si>
  <si>
    <t>05/01/2025 11:35</t>
  </si>
  <si>
    <t>TH250180495269C</t>
  </si>
  <si>
    <t>EQG29</t>
  </si>
  <si>
    <t>ม***์</t>
  </si>
  <si>
    <t>05/01/2025 11:34</t>
  </si>
  <si>
    <t>754318233362</t>
  </si>
  <si>
    <t>EQG28</t>
  </si>
  <si>
    <t>M** ศ***กษ์ ร***าเขตต์</t>
  </si>
  <si>
    <t>05/01/2025 11:32</t>
  </si>
  <si>
    <t>754379430361</t>
  </si>
  <si>
    <t>EQG26</t>
  </si>
  <si>
    <t>ม***ี ค***ษา</t>
  </si>
  <si>
    <t>05/01/2025 11:30</t>
  </si>
  <si>
    <t>THT20101E329E7Z</t>
  </si>
  <si>
    <t>EQG24</t>
  </si>
  <si>
    <t>K***ัญพร</t>
  </si>
  <si>
    <t>05/01/2025 11:21</t>
  </si>
  <si>
    <t>THT15051E2XDR1Z</t>
  </si>
  <si>
    <t>EQG23</t>
  </si>
  <si>
    <t>ร***รัตน์ ส***์ทอง</t>
  </si>
  <si>
    <t>05/01/2025 11:20</t>
  </si>
  <si>
    <t>THT62021E3KFM0Z</t>
  </si>
  <si>
    <t>EQG22</t>
  </si>
  <si>
    <t>ด***จ  ป***ะการี</t>
  </si>
  <si>
    <t>THT02031E31MF9Z</t>
  </si>
  <si>
    <t>EQG21</t>
  </si>
  <si>
    <t>ศ***วรรณ ว***พฤกษ์</t>
  </si>
  <si>
    <t>05/01/2025 11:17</t>
  </si>
  <si>
    <t>THT56011E60B91Z</t>
  </si>
  <si>
    <t>EQG20</t>
  </si>
  <si>
    <t>ก***ิกา ท***อก</t>
  </si>
  <si>
    <t>05/01/2025 11:16</t>
  </si>
  <si>
    <t>THT53021E6AS76Z</t>
  </si>
  <si>
    <t>EQG19</t>
  </si>
  <si>
    <t>ภ***พล ม***า</t>
  </si>
  <si>
    <t>05/01/2025 11:15</t>
  </si>
  <si>
    <t>754316732540</t>
  </si>
  <si>
    <t>EQG18</t>
  </si>
  <si>
    <t>ล***ณา ว***เศวตกุล</t>
  </si>
  <si>
    <t>05/01/2025 11:11</t>
  </si>
  <si>
    <t>754313852563</t>
  </si>
  <si>
    <t>EQG16</t>
  </si>
  <si>
    <t>พ***ร ร***วงษ์</t>
  </si>
  <si>
    <t>THT27181E38TW3Z</t>
  </si>
  <si>
    <t>EQG15</t>
  </si>
  <si>
    <t>ล***าวัลย์ ล***ลุง</t>
  </si>
  <si>
    <t>05/01/2025 11:10</t>
  </si>
  <si>
    <t>ไม่เอาช๊อกโกแลตนะค่ะ ทานไม่ได้ค่ะ</t>
  </si>
  <si>
    <t>THT07021E2T8U1Z</t>
  </si>
  <si>
    <t>EQG11</t>
  </si>
  <si>
    <t>ก***ิกา ก***รอง</t>
  </si>
  <si>
    <t>05/01/2025 11:09</t>
  </si>
  <si>
    <t>754330634363</t>
  </si>
  <si>
    <t>05/01/2025 11:08</t>
  </si>
  <si>
    <t>EQG10</t>
  </si>
  <si>
    <t>THT04061E3KCV6Z</t>
  </si>
  <si>
    <t>05/01/2025 11:07</t>
  </si>
  <si>
    <t>EQG9</t>
  </si>
  <si>
    <t>น***วัน ป***ุมทอง</t>
  </si>
  <si>
    <t>THT09011E38VQ7Z</t>
  </si>
  <si>
    <t>EQG8</t>
  </si>
  <si>
    <t>อ***ณ์ เ***กประพัฒน์</t>
  </si>
  <si>
    <t>05/01/2025 11:06</t>
  </si>
  <si>
    <t>754367749376</t>
  </si>
  <si>
    <t>EQG7</t>
  </si>
  <si>
    <t>ส***ตร เ***บุตร</t>
  </si>
  <si>
    <t>754342126392</t>
  </si>
  <si>
    <t>EQG6</t>
  </si>
  <si>
    <t>น***ุศรินทร์ ช***าม</t>
  </si>
  <si>
    <t>05/01/2025 11:05</t>
  </si>
  <si>
    <t>THT29151E39SX7Z</t>
  </si>
  <si>
    <t>EQG4</t>
  </si>
  <si>
    <t>05/01/2025 11:02</t>
  </si>
  <si>
    <t>TH31226NWHXC0A</t>
  </si>
  <si>
    <t>EQG2</t>
  </si>
  <si>
    <t>ค***ิ๊ก ร***ทิพย์ ผ***ำจัด</t>
  </si>
  <si>
    <t>05/01/2025 11:01</t>
  </si>
  <si>
    <t>THT01471E3D3A4Z</t>
  </si>
  <si>
    <t>EQG0</t>
  </si>
  <si>
    <t>05/01/2025 10:57</t>
  </si>
  <si>
    <t>754346157504</t>
  </si>
  <si>
    <t>EQF99</t>
  </si>
  <si>
    <t>น*** ห***ิต</t>
  </si>
  <si>
    <t>Chiang Rai</t>
  </si>
  <si>
    <t>05/01/2025 10:53</t>
  </si>
  <si>
    <t>754319662515</t>
  </si>
  <si>
    <t>EQF98</t>
  </si>
  <si>
    <t>THT24051E32S35Z</t>
  </si>
  <si>
    <t>EQF97</t>
  </si>
  <si>
    <t>บุบผา เกียรติศรีฟุ้ง</t>
  </si>
  <si>
    <t>2/1หมู่1ต.ศีรษะจระเข้ใหญ่
บางเสาธง/ Bang Sao Thongสมุทรปราการ/ Samut Prakan
10570</t>
  </si>
  <si>
    <t>660836195714</t>
  </si>
  <si>
    <t>05/01/2025 10:49</t>
  </si>
  <si>
    <t>LEXPU0442338224</t>
  </si>
  <si>
    <t>EQF96</t>
  </si>
  <si>
    <t>******ี่ 5, ตำบลบ่อพลอย, อำเภอบ่อพลอย ตำบลบ่อพลอย อำเภอบ่อพลอย จังหวัดกาญจนบุรี 71160</t>
  </si>
  <si>
    <t>71160</t>
  </si>
  <si>
    <t>05/01/2025 10:43</t>
  </si>
  <si>
    <t>TH252320702357Y</t>
  </si>
  <si>
    <t>EQF93</t>
  </si>
  <si>
    <t>u***9390990738100</t>
  </si>
  <si>
    <t>05/01/2025 10:40</t>
  </si>
  <si>
    <t>754398954503</t>
  </si>
  <si>
    <t>EQF92</t>
  </si>
  <si>
    <t>น***าวศิริพรรณ ช***ี</t>
  </si>
  <si>
    <t>05/01/2025 10:32</t>
  </si>
  <si>
    <t>754353243501</t>
  </si>
  <si>
    <t>EQF91</t>
  </si>
  <si>
    <t>ณ***ิชา อ***ร์จักร์</t>
  </si>
  <si>
    <t>THT47061E39MB4Z</t>
  </si>
  <si>
    <t>EQF88</t>
  </si>
  <si>
    <t>05/01/2025 10:29</t>
  </si>
  <si>
    <t>754378925381</t>
  </si>
  <si>
    <t>EQF84</t>
  </si>
  <si>
    <t>ก***ดา จ***ร์สาม</t>
  </si>
  <si>
    <t>05/01/2025 10:19</t>
  </si>
  <si>
    <t>THT18041E2Y3B5Z</t>
  </si>
  <si>
    <t>EQF83</t>
  </si>
  <si>
    <t>ล***ี้</t>
  </si>
  <si>
    <t>05/01/2025 10:17</t>
  </si>
  <si>
    <t>754372157501</t>
  </si>
  <si>
    <t>05/01/2025 10:18</t>
  </si>
  <si>
    <t>EQF82</t>
  </si>
  <si>
    <t>ส***รัตน์ ส***รื่อง</t>
  </si>
  <si>
    <t>754367054346</t>
  </si>
  <si>
    <t>EQF80</t>
  </si>
  <si>
    <t>อ***รา เ***องจำนงค์</t>
  </si>
  <si>
    <t>05/01/2025 10:14</t>
  </si>
  <si>
    <t>754314559504</t>
  </si>
  <si>
    <t>EQF79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</si>
  <si>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</si>
  <si>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</si>
  <si>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53140</t>
  </si>
  <si>
    <t>660967919934</t>
  </si>
  <si>
    <t>05/01/2025 10:10</t>
  </si>
  <si>
    <t>LEXDO0124017277</t>
  </si>
  <si>
    <t>EQF78</t>
  </si>
  <si>
    <t>ร*** น*** 1***13  ต***ดบัวขาว อ***คิ้ว จ***รราชสีมา</t>
  </si>
  <si>
    <t>05/01/2025 10:09</t>
  </si>
  <si>
    <t>754318484581</t>
  </si>
  <si>
    <t>EQF77</t>
  </si>
  <si>
    <t>รัศมี   ทับเทียน</t>
  </si>
  <si>
    <t>298/1-2 ถ.บรมไตร2 ต.ในเมือง อ.เมือง(คลีนิกแพทย์ชาติชาย-วรรณา)
เมืองพิษณุโลก/ Mueang Phitsanulokพิษณุโลก/ Phitsanulok
65000</t>
  </si>
  <si>
    <t>660661677852</t>
  </si>
  <si>
    <t>LEXDO0123974041</t>
  </si>
  <si>
    <t>EQF76</t>
  </si>
  <si>
    <t>จ***รา ส***ีเหลือบ</t>
  </si>
  <si>
    <t>05/01/2025 10:07</t>
  </si>
  <si>
    <t>754346953511</t>
  </si>
  <si>
    <t>EQF75</t>
  </si>
  <si>
    <t>05/01/2025 10:06</t>
  </si>
  <si>
    <t>THT02041E3ARV3Z</t>
  </si>
  <si>
    <t>EQF74</t>
  </si>
  <si>
    <t>นางบุญเริ่ม พุ่มพวง</t>
  </si>
  <si>
    <t>273ม.17 ต.ท่ากระดาน
สนามชัยเขต/ Sanam Chai Khetฉะเชิงเทรา/ Chachoengsao
24160</t>
  </si>
  <si>
    <t>660970951509</t>
  </si>
  <si>
    <t>05/01/2025 10:04</t>
  </si>
  <si>
    <t>TH24086NV0PY1B</t>
  </si>
  <si>
    <t>EQF72</t>
  </si>
  <si>
    <t>ป***ื.สมบูรณ์รัตน์.69ถนนมิตรสัมพันธ์.ถนนมิตรสัมพันธ์</t>
  </si>
  <si>
    <t>05/01/2025 10:02</t>
  </si>
  <si>
    <t>754384618315</t>
  </si>
  <si>
    <t>EQF71</t>
  </si>
  <si>
    <t>หงษ์ทอง ชาวเวียง</t>
  </si>
  <si>
    <t>1534 วังใหม่ ซอย 5 หมู่ 1 · วังใหม่/ Wang Mai
วังสมบูรณ์/ Wang Sombunสระแก้ว/ Sa Kaeo
27250</t>
  </si>
  <si>
    <t>27250</t>
  </si>
  <si>
    <t>660885274899</t>
  </si>
  <si>
    <t>TH26096NVP3C5B</t>
  </si>
  <si>
    <t>EQF70</t>
  </si>
  <si>
    <t>ธนาภรณ์​ ยิ่งยง</t>
  </si>
  <si>
    <t>195ม.4ต.พุทธบาท
ชนแดน/ Chon Daenเพชรบูรณ์/ Phetchabun
67150</t>
  </si>
  <si>
    <t>67150</t>
  </si>
  <si>
    <t>660941929590</t>
  </si>
  <si>
    <t>520004269965</t>
  </si>
  <si>
    <t>05/01/2025 10:01</t>
  </si>
  <si>
    <t>EQF69</t>
  </si>
  <si>
    <t>ณ******ี</t>
  </si>
  <si>
    <t>****** ตำบลคลองหนึ่ง อำเภอคลองหลวง จังหวัดปทุมธานี 12120</t>
  </si>
  <si>
    <t>14</t>
  </si>
  <si>
    <t>05/01/2025 10:03</t>
  </si>
  <si>
    <t>TH2546413915658</t>
  </si>
  <si>
    <t>EQF68</t>
  </si>
  <si>
    <t>05/01/2025 10:00</t>
  </si>
  <si>
    <t>TH28146NWHG24C</t>
  </si>
  <si>
    <t>EQF67</t>
  </si>
  <si>
    <t>ศ***นทิพย์  ท***ง</t>
  </si>
  <si>
    <t>05/01/2025 09:59</t>
  </si>
  <si>
    <t>754301552524</t>
  </si>
  <si>
    <t>EQF66</t>
  </si>
  <si>
    <t>ล***า พ***นทึก</t>
  </si>
  <si>
    <t>754344934372</t>
  </si>
  <si>
    <t>EQF65</t>
  </si>
  <si>
    <t>05/01/2025 09:56</t>
  </si>
  <si>
    <t>THT57061E3NDC4Z</t>
  </si>
  <si>
    <t>EQF64</t>
  </si>
  <si>
    <t>u***38510459319533</t>
  </si>
  <si>
    <t>05/01/2025 09:55</t>
  </si>
  <si>
    <t>754307926584</t>
  </si>
  <si>
    <t>EQF59</t>
  </si>
  <si>
    <t>ม******น</t>
  </si>
  <si>
    <t>******กน้ำ อ.เมือง จ.สมุทรปราการ 10270 ตำบลปากน้ำ อำเภอเมืองสมุทรปราการ จังหวัดสมุทรปราการ 10270</t>
  </si>
  <si>
    <t>45</t>
  </si>
  <si>
    <t>05/01/2025 09:51</t>
  </si>
  <si>
    <t>TH2553057252394</t>
  </si>
  <si>
    <t>05/01/2025 09:50</t>
  </si>
  <si>
    <t>EQF57</t>
  </si>
  <si>
    <t>ศรีสุมล พาทีทิน</t>
  </si>
  <si>
    <t>26/110 ถนนสุขสมบูรณ์ ต.ประจวบ อ.เมือง
เมืองประจวบคีรีขันธ์/ Mueang Prachuap Khiri Khanประจวบคีรีขันธ์/ Prachuap Khiri Khan
77000</t>
  </si>
  <si>
    <t>05/01/2025 09:45</t>
  </si>
  <si>
    <t>TH19016NV0JJ5A</t>
  </si>
  <si>
    <t>EQF55</t>
  </si>
  <si>
    <t>น***าวจันทรี เ***ทอง</t>
  </si>
  <si>
    <t>05/01/2025 09:44</t>
  </si>
  <si>
    <t>754331654554</t>
  </si>
  <si>
    <t>EQF54</t>
  </si>
  <si>
    <t>จ***ร์เพ็ญ ส***รณคาม</t>
  </si>
  <si>
    <t>754340953516</t>
  </si>
  <si>
    <t>EQF53</t>
  </si>
  <si>
    <t>05/01/2025 09:43</t>
  </si>
  <si>
    <t>754399840390</t>
  </si>
  <si>
    <t>EQF52</t>
  </si>
  <si>
    <t>ว***ิสา ป***สกุลดี</t>
  </si>
  <si>
    <t>05/01/2025 09:40</t>
  </si>
  <si>
    <t>754395342595</t>
  </si>
  <si>
    <t>EQF51</t>
  </si>
  <si>
    <t>ม***ช ด***จ</t>
  </si>
  <si>
    <t>THT20081E38R18Z</t>
  </si>
  <si>
    <t>EQF50</t>
  </si>
  <si>
    <t>อ***ษา เ***บัวขาว</t>
  </si>
  <si>
    <t>05/01/2025 09:39</t>
  </si>
  <si>
    <t>THT37011E3N2T8Z</t>
  </si>
  <si>
    <t>05/01/2025 09:38</t>
  </si>
  <si>
    <t>EQF49</t>
  </si>
  <si>
    <t>ฐ***ญา ว***ชย์ฐัชสกุล</t>
  </si>
  <si>
    <t>754372740590</t>
  </si>
  <si>
    <t>EQF48</t>
  </si>
  <si>
    <t>ส***ภรณ์ ห***เเอบกลาง</t>
  </si>
  <si>
    <t>05/01/2025 09:35</t>
  </si>
  <si>
    <t>754362445362</t>
  </si>
  <si>
    <t>EQF47</t>
  </si>
  <si>
    <t>น***าว์</t>
  </si>
  <si>
    <t>05/01/2025 09:31</t>
  </si>
  <si>
    <t>THT68041E398Q7Z</t>
  </si>
  <si>
    <t>05/01/2025 09:32</t>
  </si>
  <si>
    <t>EQF46</t>
  </si>
  <si>
    <t>น***าวสุวนันท์ เ***อกองมาตร</t>
  </si>
  <si>
    <t>เทศบาลเมืองยโสธร</t>
  </si>
  <si>
    <t>05/01/2025 09:30</t>
  </si>
  <si>
    <t>754320048366</t>
  </si>
  <si>
    <t>EQF45</t>
  </si>
  <si>
    <t>ส***ษโตโส</t>
  </si>
  <si>
    <t>05/01/2025 09:29</t>
  </si>
  <si>
    <t>754379847351</t>
  </si>
  <si>
    <t>EQF44</t>
  </si>
  <si>
    <t>ร***รร โ***์สารี</t>
  </si>
  <si>
    <t>754391122590</t>
  </si>
  <si>
    <t>EQF43</t>
  </si>
  <si>
    <t>เ***พิมพ็ โ***สมี</t>
  </si>
  <si>
    <t>05/01/2025 09:26</t>
  </si>
  <si>
    <t>754346520583</t>
  </si>
  <si>
    <t>EQF41</t>
  </si>
  <si>
    <t>ม***ี ใ***้า</t>
  </si>
  <si>
    <t>ไทย, เชียงใหม่, หางดง,ไท* 50***</t>
  </si>
  <si>
    <t>05/01/2025 09:24</t>
  </si>
  <si>
    <t>754390933310</t>
  </si>
  <si>
    <t>EQF40</t>
  </si>
  <si>
    <t>เ***ไพลิน ส***วงค์</t>
  </si>
  <si>
    <t>05/01/2025 09:23</t>
  </si>
  <si>
    <t>754305124565</t>
  </si>
  <si>
    <t>EQF39</t>
  </si>
  <si>
    <t>พ***า อ***รประเสริฐ</t>
  </si>
  <si>
    <t>754328542505</t>
  </si>
  <si>
    <t>EQF38</t>
  </si>
  <si>
    <t>น***ุมลรัตน์ ศ***งชาติ</t>
  </si>
  <si>
    <t>05/01/2025 09:22</t>
  </si>
  <si>
    <t>754364030571</t>
  </si>
  <si>
    <t>EQF37</t>
  </si>
  <si>
    <t>ส***ลี บ***ิจิตร</t>
  </si>
  <si>
    <t>05/01/2025 09:21</t>
  </si>
  <si>
    <t>754347043586</t>
  </si>
  <si>
    <t>EQF36</t>
  </si>
  <si>
    <t>ร***นภา  อ***เทศ</t>
  </si>
  <si>
    <t>754385830520</t>
  </si>
  <si>
    <t>EQF35</t>
  </si>
  <si>
    <t>เ***ทราย</t>
  </si>
  <si>
    <t>05/01/2025 09:20</t>
  </si>
  <si>
    <t>754344841331</t>
  </si>
  <si>
    <t>EQF34</t>
  </si>
  <si>
    <t>ส***  ส***ะบก</t>
  </si>
  <si>
    <t>05/01/2025 09:17</t>
  </si>
  <si>
    <t>754364850326</t>
  </si>
  <si>
    <t>05/01/2025 09:18</t>
  </si>
  <si>
    <t>EQF33</t>
  </si>
  <si>
    <t>ร***ิกาณต์ โ***รัตน์</t>
  </si>
  <si>
    <t>754398430391</t>
  </si>
  <si>
    <t>EQF32</t>
  </si>
  <si>
    <t>แ****า</t>
  </si>
  <si>
    <t>****** ตำบลพังตรุ, อำเภอพนมทวน ตำบลพังตรุ อำเภอพนมทวน จังหวัดกาญจนบุรี 71140</t>
  </si>
  <si>
    <t>71</t>
  </si>
  <si>
    <t>05/01/2025 09:41</t>
  </si>
  <si>
    <t>TH252188001682V</t>
  </si>
  <si>
    <t>EQF31</t>
  </si>
  <si>
    <t>ข***ชนกพร ด***ศ</t>
  </si>
  <si>
    <t>05/01/2025 09:16</t>
  </si>
  <si>
    <t>754320736304</t>
  </si>
  <si>
    <t>EQF29</t>
  </si>
  <si>
    <t>น้องวันใหม่</t>
  </si>
  <si>
    <t>228/12 ม.16 · สระลงเรือ/ Sa Long Ruea
ห้วยกระเจา/ Huai Krachaoกาญจนบุรี/ Kanchanaburi
71170</t>
  </si>
  <si>
    <t>71170</t>
  </si>
  <si>
    <t>660988340837</t>
  </si>
  <si>
    <t>05/01/2025 09:15</t>
  </si>
  <si>
    <t>TH13136NY0W66C</t>
  </si>
  <si>
    <t>EQF27</t>
  </si>
  <si>
    <t>ค***่ง แ***สดา</t>
  </si>
  <si>
    <t>754391345514</t>
  </si>
  <si>
    <t>EQF25</t>
  </si>
  <si>
    <t>อ***ย์ อ***ทอง</t>
  </si>
  <si>
    <t>05/01/2025 09:13</t>
  </si>
  <si>
    <t>754340942515</t>
  </si>
  <si>
    <t>EQF24</t>
  </si>
  <si>
    <t>ส***พร ศ***ังวาลย์</t>
  </si>
  <si>
    <t>05/01/2025 09:12</t>
  </si>
  <si>
    <t>754356437564</t>
  </si>
  <si>
    <t>EQF23</t>
  </si>
  <si>
    <t>รุ่งเจริญ ผางแพ่ง</t>
  </si>
  <si>
    <t>141/84 ซ 14 บ้านพูนสุข · บางโฉลง/ Bang Chalong
บางพลี/ Bang Phliสมุทรปราการ/ Samut Prakan
10540</t>
  </si>
  <si>
    <t>660972472739</t>
  </si>
  <si>
    <t>LEXPU0442503825</t>
  </si>
  <si>
    <t>EQF22</t>
  </si>
  <si>
    <t>ป***มา พ***สุวรรณ์</t>
  </si>
  <si>
    <t>05/01/2025 09:11</t>
  </si>
  <si>
    <t>THT06031E38WE2Z</t>
  </si>
  <si>
    <t>EQF21</t>
  </si>
  <si>
    <t>อ***    ม***</t>
  </si>
  <si>
    <t>754345546522</t>
  </si>
  <si>
    <t>EQF18</t>
  </si>
  <si>
    <t>ส***ย์. แ***ี้</t>
  </si>
  <si>
    <t>05/01/2025 09:09</t>
  </si>
  <si>
    <t>754364339396</t>
  </si>
  <si>
    <t>EQF17</t>
  </si>
  <si>
    <t>อ***รา อ***กุลนา</t>
  </si>
  <si>
    <t>05/01/2025 09:07</t>
  </si>
  <si>
    <t>THT61031E351Q0Z</t>
  </si>
  <si>
    <t>05/01/2025 09:06</t>
  </si>
  <si>
    <t>EQF15</t>
  </si>
  <si>
    <t>น***าวปรางค์ทิพย์ ย***วน</t>
  </si>
  <si>
    <t>754308447336</t>
  </si>
  <si>
    <t>05/01/2025 09:05</t>
  </si>
  <si>
    <t>EQF14</t>
  </si>
  <si>
    <t>ฐ***รัตน์  พ***ัง</t>
  </si>
  <si>
    <t>05/01/2025 09:02</t>
  </si>
  <si>
    <t>754391541503</t>
  </si>
  <si>
    <t>EQF13</t>
  </si>
  <si>
    <t>ศ***ทิพย์</t>
  </si>
  <si>
    <t>05/01/2025 09:01</t>
  </si>
  <si>
    <t>754330149591</t>
  </si>
  <si>
    <t>EQF12</t>
  </si>
  <si>
    <t>ฮ******ย</t>
  </si>
  <si>
    <t>******ภอรัตภูมิ (บ้านขวามือรร.บ้านควนสะตอตรงยูเทิร์น) ตำบลท่าชะมวง อำเภอรัตภูมิ จังหวัดสงขลา 90180</t>
  </si>
  <si>
    <t>90180</t>
  </si>
  <si>
    <t>TH259443907719E</t>
  </si>
  <si>
    <t>EQF11</t>
  </si>
  <si>
    <t>ธ***</t>
  </si>
  <si>
    <t>754346653583</t>
  </si>
  <si>
    <t>EQF10</t>
  </si>
  <si>
    <t>น.ส จิรัญญา จันทร์สมาน</t>
  </si>
  <si>
    <t>ร้านเบทาโกร บ้านสวนป่า 49/11 ต.ช่องเม็ก
สิรินธร/ Sirindhornอุบลราชธานี/ Ubon Ratchathani
34350</t>
  </si>
  <si>
    <t>34350</t>
  </si>
  <si>
    <t>660636375345</t>
  </si>
  <si>
    <t>05/01/2025 08:59</t>
  </si>
  <si>
    <t>TH31196NXZZS5B</t>
  </si>
  <si>
    <t>05/01/2025 08:58</t>
  </si>
  <si>
    <t>EQF9</t>
  </si>
  <si>
    <t>อ***รา   อ***กูลนา</t>
  </si>
  <si>
    <t>05/01/2025 08:57</t>
  </si>
  <si>
    <t>THT61031E34QC2Z</t>
  </si>
  <si>
    <t>05/01/2025 08:56</t>
  </si>
  <si>
    <t>EQF8</t>
  </si>
  <si>
    <t>ค***ุ้ย</t>
  </si>
  <si>
    <t>05/01/2025 08:48</t>
  </si>
  <si>
    <t>THT14011E60Q69Z</t>
  </si>
  <si>
    <t>EQF7</t>
  </si>
  <si>
    <t>LEXPU0442339979</t>
  </si>
  <si>
    <t>05/01/2025 08:47</t>
  </si>
  <si>
    <t>EQF6</t>
  </si>
  <si>
    <t>TH13056P2BZ89F</t>
  </si>
  <si>
    <t>EQF4</t>
  </si>
  <si>
    <t>ช***ัฒน์  อ***กุลนา</t>
  </si>
  <si>
    <t>THT61031E34M02Z</t>
  </si>
  <si>
    <t>05/01/2025 08:43</t>
  </si>
  <si>
    <t>EQF3</t>
  </si>
  <si>
    <t>ส***พ.รอดคง</t>
  </si>
  <si>
    <t>754338651555</t>
  </si>
  <si>
    <t>EQF2</t>
  </si>
  <si>
    <t>ส***ียรติ เ***ญขุน</t>
  </si>
  <si>
    <t>05/01/2025 08:35</t>
  </si>
  <si>
    <t>THT64121E38CA8Z</t>
  </si>
  <si>
    <t>EQF1</t>
  </si>
  <si>
    <t>เ***ประภา  ข***ิชู</t>
  </si>
  <si>
    <t>05/01/2025 08:34</t>
  </si>
  <si>
    <t>754399344580</t>
  </si>
  <si>
    <t>EQF0</t>
  </si>
  <si>
    <t>ห***ง​ฤทัย​ ก***าพันธ์​</t>
  </si>
  <si>
    <t>05/01/2025 08:27</t>
  </si>
  <si>
    <t>THT05141E3M0W4Z</t>
  </si>
  <si>
    <t>EQE99</t>
  </si>
  <si>
    <t>พ***จี๊ยบ</t>
  </si>
  <si>
    <t>05/01/2025 08:26</t>
  </si>
  <si>
    <t>754318032370</t>
  </si>
  <si>
    <t>EQE97</t>
  </si>
  <si>
    <t>ภ******์</t>
  </si>
  <si>
    <t>******ุมพร,ตรงข้ามตึก3ชั้น) ตำบลวารินชำราบ อำเภอวารินชำราบ จังหวัดอุบลราชธานี 34190</t>
  </si>
  <si>
    <t>05/01/2025 08:14</t>
  </si>
  <si>
    <t>TH2589626801796</t>
  </si>
  <si>
    <t>EQE96</t>
  </si>
  <si>
    <t>จินตนา กานิล  (ร้านค้าแม่เก๋พานิชย์)</t>
  </si>
  <si>
    <t>122 หมู่8  บ้านทุ่งหนองใหญ่ ต.ช่องเม็ก · ช่องเม็ก/ Chong Mek
สิรินธร/ Sirindhornอุบลราชธานี/ Ubon Ratchathani
34350</t>
  </si>
  <si>
    <t>660969516639</t>
  </si>
  <si>
    <t>05/01/2025 08:11</t>
  </si>
  <si>
    <t>TH31196NY0HE7B</t>
  </si>
  <si>
    <t>EQE95</t>
  </si>
  <si>
    <t>LEXDO0124016090</t>
  </si>
  <si>
    <t>EQE94</t>
  </si>
  <si>
    <t>ธ******ว</t>
  </si>
  <si>
    <t>******ทองเคหะซอย 2 ตำบลบางบัวทอง อำเภอบางบัวทอง จังหวัดนนทบุรี 11110</t>
  </si>
  <si>
    <t>05/01/2025 08:37</t>
  </si>
  <si>
    <t>TH256641992357H</t>
  </si>
  <si>
    <t>05/01/2025 08:07</t>
  </si>
  <si>
    <t>EQE93</t>
  </si>
  <si>
    <t>จ***ณี แ***ัยภูมิ</t>
  </si>
  <si>
    <t>05/01/2025 08:06</t>
  </si>
  <si>
    <t>754380946524</t>
  </si>
  <si>
    <t>EQE92</t>
  </si>
  <si>
    <t>ค***าณฑ์ ภ***ประภาส</t>
  </si>
  <si>
    <t>05/01/2025 08:05</t>
  </si>
  <si>
    <t>754367637365</t>
  </si>
  <si>
    <t>EQE90</t>
  </si>
  <si>
    <t>ม***ช</t>
  </si>
  <si>
    <t>05/01/2025 07:45</t>
  </si>
  <si>
    <t>THT20011E3CW24Z</t>
  </si>
  <si>
    <t>EQE89</t>
  </si>
  <si>
    <t>THT21031E3N9X8Z</t>
  </si>
  <si>
    <t>EQE88</t>
  </si>
  <si>
    <t>ฟ***ม</t>
  </si>
  <si>
    <t>05/01/2025 07:38</t>
  </si>
  <si>
    <t>754336258561</t>
  </si>
  <si>
    <t>EQE87</t>
  </si>
  <si>
    <t>น******ด</t>
  </si>
  <si>
    <t>******ุมเกาะ, อำเภอสวรรคโลก ตำบลป่ากุมเกาะ อำเภอสวรรคโลก จังหวัดสุโขทัย 64110</t>
  </si>
  <si>
    <t>24</t>
  </si>
  <si>
    <t>TH251014566114U</t>
  </si>
  <si>
    <t>05/01/2025 07:37</t>
  </si>
  <si>
    <t>EQE86</t>
  </si>
  <si>
    <t>น***ระทุม เ***นิยม</t>
  </si>
  <si>
    <t>05/01/2025 07:39</t>
  </si>
  <si>
    <t>754383531311</t>
  </si>
  <si>
    <t>EQE85</t>
  </si>
  <si>
    <t>ส***ย์ แ***ศรีงาม</t>
  </si>
  <si>
    <t>05/01/2025 07:33</t>
  </si>
  <si>
    <t>THT58011E38J44Z</t>
  </si>
  <si>
    <t>EQE84</t>
  </si>
  <si>
    <t>ธ***ัทร พ***น</t>
  </si>
  <si>
    <t>05/01/2025 07:13</t>
  </si>
  <si>
    <t>754327394262</t>
  </si>
  <si>
    <t>EQE82</t>
  </si>
  <si>
    <t>ส***ย์รัตน์ ส***์หอย</t>
  </si>
  <si>
    <t>05/01/2025 06:38</t>
  </si>
  <si>
    <t>754382840072</t>
  </si>
  <si>
    <t>EQE80</t>
  </si>
  <si>
    <t>ภ***า  ม***ธง</t>
  </si>
  <si>
    <t>05/01/2025 06:01</t>
  </si>
  <si>
    <t>754337315012</t>
  </si>
  <si>
    <t>05/01/2025 06:02</t>
  </si>
  <si>
    <t>EQE79</t>
  </si>
  <si>
    <t>อ***ยา ส***รไพรสุข</t>
  </si>
  <si>
    <t>05/01/2025 05:33</t>
  </si>
  <si>
    <t>754201791991</t>
  </si>
  <si>
    <t>05/01/2025 05:34</t>
  </si>
  <si>
    <t>EQE78</t>
  </si>
  <si>
    <t>ล***าวัลย์ ช***วงษ์</t>
  </si>
  <si>
    <t>05/01/2025 04:34</t>
  </si>
  <si>
    <t>754307111036</t>
  </si>
  <si>
    <t>EQE77</t>
  </si>
  <si>
    <t>05/01/2025 04:26</t>
  </si>
  <si>
    <t>754340029026</t>
  </si>
  <si>
    <t>EQE76</t>
  </si>
  <si>
    <t>นิตยา ประทุมพงษ์</t>
  </si>
  <si>
    <t>399/5 ต.บ้านใหม่ อ.เมือง นครราชสีมา
เมืองนครราชสีมา/ Mueng Nakorn Ratchasimaนครราชสีมา/ Nakhon Ratchasima
30000</t>
  </si>
  <si>
    <t>660902805275</t>
  </si>
  <si>
    <t>05/01/2025 04:22</t>
  </si>
  <si>
    <t>LEXPU0441765302</t>
  </si>
  <si>
    <t>EQE75</t>
  </si>
  <si>
    <t>กาญจณาวรรณ  โพธิ์สาขา</t>
  </si>
  <si>
    <t>สหกรณ์บ้านห้วยยอจำกัด เลขที่ 220 หมู่3 ต.กะทูน
พิปูน/ Phipunนครศรีธรรมราช/ Nakhon Si Thammarat
80270</t>
  </si>
  <si>
    <t>80270</t>
  </si>
  <si>
    <t>660980646326</t>
  </si>
  <si>
    <t>05/01/2025 04:00</t>
  </si>
  <si>
    <t>TH64056NP5VE3B</t>
  </si>
  <si>
    <t>05/01/2025 03:58</t>
  </si>
  <si>
    <t>EQE74</t>
  </si>
  <si>
    <t>คุณบานเย็น จันทร์แก้ว</t>
  </si>
  <si>
    <t>139 ม.11 บ.โคกเจริญ ต.นาวัง
เมืองอำนาจเจริญ/ Mueang Amnat Charoenอำนาจเจริญ/ Amnat Charoen
37000</t>
  </si>
  <si>
    <t>37000</t>
  </si>
  <si>
    <t>660878799817</t>
  </si>
  <si>
    <t>05/01/2025 03:50</t>
  </si>
  <si>
    <t>TH34016NUG905J</t>
  </si>
  <si>
    <t>05/01/2025 03:49</t>
  </si>
  <si>
    <t>EQE72</t>
  </si>
  <si>
    <t>Kanyarat munee</t>
  </si>
  <si>
    <t>130 ม.14 บ.คำไฮน้อย
วังสามหมอ/ Wang Sam Moอุดรธานี/ Udon Thani
41280</t>
  </si>
  <si>
    <t>41280</t>
  </si>
  <si>
    <t>660639711523</t>
  </si>
  <si>
    <t>05/01/2025 03:24</t>
  </si>
  <si>
    <t>TH38106NUE2R0D</t>
  </si>
  <si>
    <t>EQE71</t>
  </si>
  <si>
    <t>น***ร​ อ***ชัย</t>
  </si>
  <si>
    <t>05/01/2025 02:48</t>
  </si>
  <si>
    <t>754331615310</t>
  </si>
  <si>
    <t>EQE68</t>
  </si>
  <si>
    <t>B***</t>
  </si>
  <si>
    <t>05/01/2025 02:01</t>
  </si>
  <si>
    <t>754329773271</t>
  </si>
  <si>
    <t>EQE67</t>
  </si>
  <si>
    <t>ว******ง</t>
  </si>
  <si>
    <t>******นบ้านของฝาก ตำบลไชยภูมิ อำเภอไชโย จังหวัดอ่างทอง 14140</t>
  </si>
  <si>
    <t>14140</t>
  </si>
  <si>
    <t>05/01/2025 01:35</t>
  </si>
  <si>
    <t>TH257774121288P</t>
  </si>
  <si>
    <t>05/01/2025 00:59</t>
  </si>
  <si>
    <t>EQE66</t>
  </si>
  <si>
    <t>******ฝาก) ตำบลไชยภูมิ อำเภอไชโย จังหวัดอ่างทอง 14140</t>
  </si>
  <si>
    <t>TH2561774007420</t>
  </si>
  <si>
    <t>05/01/2025 00:57</t>
  </si>
  <si>
    <t>EQE65</t>
  </si>
  <si>
    <t>น***ิยา เ***ะหมาย</t>
  </si>
  <si>
    <t>05/01/2025 00:44</t>
  </si>
  <si>
    <t>THT01171DYR191Z</t>
  </si>
  <si>
    <t>05/01/2025 00:43</t>
  </si>
  <si>
    <t>EQE63</t>
  </si>
  <si>
    <t>นิสาชน  เรืองฤทธิ์</t>
  </si>
  <si>
    <t>93 ซอย สำนักสงฆ์บางริ้น หมู่2 ตำบล บางริ้น
เมืองระนอง/ Mueang Ranongระนอง/ Ranong
85000</t>
  </si>
  <si>
    <t>85000</t>
  </si>
  <si>
    <t>660887606545</t>
  </si>
  <si>
    <t>05/01/2025 00:24</t>
  </si>
  <si>
    <t>TH69016NUE929D</t>
  </si>
  <si>
    <t>EQE62</t>
  </si>
  <si>
    <t>ข***อง  ภ***รักษ์</t>
  </si>
  <si>
    <t>05/01/2025 00:17</t>
  </si>
  <si>
    <t>754386035082</t>
  </si>
  <si>
    <t>EQE61</t>
  </si>
  <si>
    <t>หนูเทียน ปะนามะสา</t>
  </si>
  <si>
    <t>82หมู่4 บ้านไทยสามัคคี ตำบลโคคลาน อำเภอตาพระยา จังหวัดสระแก้ว
ตาพระยา/ Ta Phrayaสระแก้ว/ Sa Kaeo
27180</t>
  </si>
  <si>
    <t>27180</t>
  </si>
  <si>
    <t>660903832425</t>
  </si>
  <si>
    <t>LEXPU0442283798</t>
  </si>
  <si>
    <t>EQE60</t>
  </si>
  <si>
    <t>น*** ธ***วิสุทธิ์</t>
  </si>
  <si>
    <t>05/01/2025 00:16</t>
  </si>
  <si>
    <t>754385708344</t>
  </si>
  <si>
    <t>EQE59</t>
  </si>
  <si>
    <t>******มบางจากไชโย) ตำบลไชยภูมิ อำเภอไชโย จังหวัดอ่างทอง 14140</t>
  </si>
  <si>
    <t>93</t>
  </si>
  <si>
    <t>05/01/2025 00:41</t>
  </si>
  <si>
    <t>TH2534459662111</t>
  </si>
  <si>
    <t>05/01/2025 00:21</t>
  </si>
  <si>
    <t>EQE58</t>
  </si>
  <si>
    <t>05/01/2025 00:39</t>
  </si>
  <si>
    <t>TH252557434390M</t>
  </si>
  <si>
    <t>EQE57</t>
  </si>
  <si>
    <t>ร******้</t>
  </si>
  <si>
    <t>******อย สรงประภา 11/1, ดอนเมือง, เขตดอนเมือง แขวงดอนเมือง เขตดอนเมือง จังหวัดกรุงเทพมหานคร 10210</t>
  </si>
  <si>
    <t>TH250217271454W</t>
  </si>
  <si>
    <t>EQE56</t>
  </si>
  <si>
    <t>ค******์</t>
  </si>
  <si>
    <t>******ลบางกระสั้น อำเภอบางปะอิน จังหวัดพระนครศรีอยุธยา 13160</t>
  </si>
  <si>
    <t>05/01/2025 00:36</t>
  </si>
  <si>
    <t>TH255885492341C</t>
  </si>
  <si>
    <t>05/01/2025 00:18</t>
  </si>
  <si>
    <t>EQE55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</si>
  <si>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</si>
  <si>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04/01/2025 23:57</t>
  </si>
  <si>
    <t>LEXDO0123843981</t>
  </si>
  <si>
    <t>EQE53</t>
  </si>
  <si>
    <t>ส***ทอง ย***ิสาร</t>
  </si>
  <si>
    <t>04/01/2025 23:47</t>
  </si>
  <si>
    <t>THT29101DYKS59Z</t>
  </si>
  <si>
    <t>EQE52</t>
  </si>
  <si>
    <t>พ******์</t>
  </si>
  <si>
    <t>******4 ใต้ ตำบลจันทบเพชร อำเภอบ้านกรวด จังหวัดบุรีรัมย์ 31180</t>
  </si>
  <si>
    <t>31180</t>
  </si>
  <si>
    <t>04/01/2025 23:53</t>
  </si>
  <si>
    <t>TH28086NPFCA0H</t>
  </si>
  <si>
    <t>04/01/2025 23:23</t>
  </si>
  <si>
    <t>EQE50</t>
  </si>
  <si>
    <t>น******ญ</t>
  </si>
  <si>
    <t>******น, อำเภอเมืองปาน ตำบลเมืองปาน อำเภอเมืองปาน จังหวัดลำปาง 52240</t>
  </si>
  <si>
    <t>52240</t>
  </si>
  <si>
    <t>50</t>
  </si>
  <si>
    <t>04/01/2025 23:15</t>
  </si>
  <si>
    <t>TH49136NPQ041A</t>
  </si>
  <si>
    <t>EQE49</t>
  </si>
  <si>
    <t>ซ***ีนา ห***ล็ม</t>
  </si>
  <si>
    <t>754326792214</t>
  </si>
  <si>
    <t>04/01/2025 23:14</t>
  </si>
  <si>
    <t>EQE48</t>
  </si>
  <si>
    <t>******นครินทร์ 18 ถนนศรีนครินทร์ แขวงพัฒนาการ แขวงพัฒนาการ เขตสวนหลวง จังหวัดกรุงเทพมหานคร 10250</t>
  </si>
  <si>
    <t>12</t>
  </si>
  <si>
    <t>04/01/2025 23:42</t>
  </si>
  <si>
    <t>TH01436NPN2P6B</t>
  </si>
  <si>
    <t>04/01/2025 23:12</t>
  </si>
  <si>
    <t>EQE47</t>
  </si>
  <si>
    <t>THT06031E2NWT4Z</t>
  </si>
  <si>
    <t>EQE46</t>
  </si>
  <si>
    <t>ป***ปี้
82หมู่ 1***ำบลคำเขื่อนแก้ว
อำเภอสิรินธร
จังหวัดอุบลราชธา</t>
  </si>
  <si>
    <t>754361083243</t>
  </si>
  <si>
    <t>EQE45</t>
  </si>
  <si>
    <t>รัตนา     ฉิมมาแก้ว</t>
  </si>
  <si>
    <t>246ม.3ต.เขาสามสิบอ.เขาฉกรรจ์จ.สระแก้ว ไม่มี
เขาฉกรรจ์/ Khao Chakanสระแก้ว/ Sa Kaeo
27000</t>
  </si>
  <si>
    <t>27000</t>
  </si>
  <si>
    <t>660895308616</t>
  </si>
  <si>
    <t>04/01/2025 23:00</t>
  </si>
  <si>
    <t>TH26076NP6121D</t>
  </si>
  <si>
    <t>04/01/2025 22:55</t>
  </si>
  <si>
    <t>EQE44</t>
  </si>
  <si>
    <t>754390089202</t>
  </si>
  <si>
    <t>EQE43</t>
  </si>
  <si>
    <t>04/01/2025 22:54</t>
  </si>
  <si>
    <t>THT71151DZB641Z</t>
  </si>
  <si>
    <t>EQE42</t>
  </si>
  <si>
    <t>เ***กา แ***งจันทึก</t>
  </si>
  <si>
    <t>04/01/2025 22:51</t>
  </si>
  <si>
    <t>754308104351</t>
  </si>
  <si>
    <t>EQE41</t>
  </si>
  <si>
    <t>ม***ิกา จ***ร์ละคร</t>
  </si>
  <si>
    <t>04/01/2025 22:50</t>
  </si>
  <si>
    <t>754356402365</t>
  </si>
  <si>
    <t>EQE39</t>
  </si>
  <si>
    <t>b***ernn ห***502</t>
  </si>
  <si>
    <t>04/01/2025 22:44</t>
  </si>
  <si>
    <t>754373531015</t>
  </si>
  <si>
    <t>EQE38</t>
  </si>
  <si>
    <t>K***ย</t>
  </si>
  <si>
    <t>******9) ศรีด่าน24 ถนนศรีนครินทร์ ต.สำโรงเหนือ ตำบลสำโรงเหนือ อำเภอเมืองสมุทรปราการ จังหวัดสมุทรปราการ 10270</t>
  </si>
  <si>
    <t>04/01/2025 22:42</t>
  </si>
  <si>
    <t>TH02016NPPVQ3B0</t>
  </si>
  <si>
    <t>04/01/2025 22:41</t>
  </si>
  <si>
    <t>EQE37</t>
  </si>
  <si>
    <t>04/01/2025 22:39</t>
  </si>
  <si>
    <t>754313223020</t>
  </si>
  <si>
    <t>EQE35</t>
  </si>
  <si>
    <t>04/01/2025 22:33</t>
  </si>
  <si>
    <t>754315138010</t>
  </si>
  <si>
    <t>EQE34</t>
  </si>
  <si>
    <t>ข***ฐา  ง***ถื่อน</t>
  </si>
  <si>
    <t>04/01/2025 22:28</t>
  </si>
  <si>
    <t>754320510053</t>
  </si>
  <si>
    <t>EQE33</t>
  </si>
  <si>
    <t>จ***ี่</t>
  </si>
  <si>
    <t>05/01/2025 21:32</t>
  </si>
  <si>
    <t>THT01171E2ZCR4Z</t>
  </si>
  <si>
    <t>04/01/2025 22:27</t>
  </si>
  <si>
    <t>EQE32</t>
  </si>
  <si>
    <t>k***isavejchakul</t>
  </si>
  <si>
    <t>04/01/2025 22:24</t>
  </si>
  <si>
    <t>754342020025</t>
  </si>
  <si>
    <t>EQE31</t>
  </si>
  <si>
    <t>ก***ตรี ส***ีแก้ว k***n</t>
  </si>
  <si>
    <t>04/01/2025 22:16</t>
  </si>
  <si>
    <t>754399641085</t>
  </si>
  <si>
    <t>EQE30</t>
  </si>
  <si>
    <t>******, ตำบลนาทวี, อำเภอนาทวี ตำบลนาทวี อำเภอนาทวี จังหวัดสงขลา 90160</t>
  </si>
  <si>
    <t>90160</t>
  </si>
  <si>
    <t>28</t>
  </si>
  <si>
    <t>04/01/2025 22:15</t>
  </si>
  <si>
    <t>TH71046NVEP22A</t>
  </si>
  <si>
    <t>EQE29</t>
  </si>
  <si>
    <t>น***รา ก***นผล</t>
  </si>
  <si>
    <t>04/01/2025 22:13</t>
  </si>
  <si>
    <t>754354025025</t>
  </si>
  <si>
    <t>EQE28</t>
  </si>
  <si>
    <t>ฐ***ตา ค***ริญ</t>
  </si>
  <si>
    <t>04/01/2025 22:10</t>
  </si>
  <si>
    <t>754376948010</t>
  </si>
  <si>
    <t>EQE26</t>
  </si>
  <si>
    <t>น***วรรณนิษา ห***งวงษ์แก้ว</t>
  </si>
  <si>
    <t>04/01/2025 21:54</t>
  </si>
  <si>
    <t>754353440072</t>
  </si>
  <si>
    <t>ขนม ยกแพ็ค ถูกเหมา 10 กล่อง ขนมเค้กชิฟฟอนรวมรส 8 ชิ้น ได้ทั้งหมด  คุ้มมาก!! เก็บได้ 20 วัน</t>
  </si>
  <si>
    <t>EQE25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</si>
  <si>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</si>
  <si>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</si>
  <si>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66000</t>
  </si>
  <si>
    <t>660879828989</t>
  </si>
  <si>
    <t>04/01/2025 21:48</t>
  </si>
  <si>
    <t>LEXPU0441763696</t>
  </si>
  <si>
    <t>EQE24</t>
  </si>
  <si>
    <t>TH06026NPM2T4B</t>
  </si>
  <si>
    <t>04/01/2025 21:45</t>
  </si>
  <si>
    <t>EQE23</t>
  </si>
  <si>
    <t>น** อ***าติ  ส***ะรังษี</t>
  </si>
  <si>
    <t>04/01/2025 21:41</t>
  </si>
  <si>
    <t>754363306351</t>
  </si>
  <si>
    <t>EQE22</t>
  </si>
  <si>
    <t>ภ***รานิษฐ์   ร***ปังนมสด</t>
  </si>
  <si>
    <t>04/01/2025 21:29</t>
  </si>
  <si>
    <t>THT26061DYP4E1Z</t>
  </si>
  <si>
    <t>EQE20</t>
  </si>
  <si>
    <t>อ***ิสา ศ***อง</t>
  </si>
  <si>
    <t>04/01/2025 21:23</t>
  </si>
  <si>
    <t>754387902354</t>
  </si>
  <si>
    <t>EQE19</t>
  </si>
  <si>
    <t>ญ***ัทร ท**</t>
  </si>
  <si>
    <t>04/01/2025 21:21</t>
  </si>
  <si>
    <t>754396681242</t>
  </si>
  <si>
    <t>04/01/2025 21:20</t>
  </si>
  <si>
    <t>EQE18</t>
  </si>
  <si>
    <t>พ***ดา</t>
  </si>
  <si>
    <t>754372776286</t>
  </si>
  <si>
    <t>EQE16</t>
  </si>
  <si>
    <t>04/01/2025 21:44</t>
  </si>
  <si>
    <t>TH06026NPKTU0B</t>
  </si>
  <si>
    <t>04/01/2025 21:14</t>
  </si>
  <si>
    <t>EQE14</t>
  </si>
  <si>
    <t>ป***าภรณ์ ส***สภา</t>
  </si>
  <si>
    <t>04/01/2025 21:03</t>
  </si>
  <si>
    <t>754315103312</t>
  </si>
  <si>
    <t>EQE10</t>
  </si>
  <si>
    <t>จ***</t>
  </si>
  <si>
    <t>04/01/2025 20:57</t>
  </si>
  <si>
    <t>THT12041DZFG18Z</t>
  </si>
  <si>
    <t>EQE9</t>
  </si>
  <si>
    <t>ว******ี</t>
  </si>
  <si>
    <t>******รุ, อำเภอเมืองชลบุรี ตำบลคลองตำหรุ อำเภอเมืองชลบุรี จังหวัดชลบุรี 20000</t>
  </si>
  <si>
    <t>77</t>
  </si>
  <si>
    <t>04/01/2025 20:52</t>
  </si>
  <si>
    <t>TH20016NPNN45L</t>
  </si>
  <si>
    <t>EQE8</t>
  </si>
  <si>
    <t>จ***์​จุฑา​ ร***์​ส​ั​จ​จา​</t>
  </si>
  <si>
    <t>04/01/2025 20:50</t>
  </si>
  <si>
    <t>THT27221E32CH6Z</t>
  </si>
  <si>
    <t>EQE7</t>
  </si>
  <si>
    <t>G***iga 6**</t>
  </si>
  <si>
    <t>04/01/2025 20:49</t>
  </si>
  <si>
    <t>754379620013</t>
  </si>
  <si>
    <t>EQE6</t>
  </si>
  <si>
    <t>ป******์</t>
  </si>
  <si>
    <t>******ไก่ชน, ตำบลโคกกรวด, อำเภอปากพลี ตำบลโคกกรวด อำเภอปากพลี จังหวัดนครนายก 26130</t>
  </si>
  <si>
    <t>26130</t>
  </si>
  <si>
    <t>04/01/2025 20:48</t>
  </si>
  <si>
    <t>TH11026NPKRT2D</t>
  </si>
  <si>
    <t>04/01/2025 20:47</t>
  </si>
  <si>
    <t>EQE5</t>
  </si>
  <si>
    <t>04/01/2025 20:44</t>
  </si>
  <si>
    <t>754388612095</t>
  </si>
  <si>
    <t>EQE4</t>
  </si>
  <si>
    <t xml:space="preserve">  ค***ัฐ</t>
  </si>
  <si>
    <t>04/01/2025 20:40</t>
  </si>
  <si>
    <t>THT11011DZ7J38Z</t>
  </si>
  <si>
    <t>EQE3</t>
  </si>
  <si>
    <t>โสภิดา แก้วมาตย์</t>
  </si>
  <si>
    <t>57 หมู่ 13 บ้านบ่อ · บ้านดง/ Ban Dong
อุบลรัตน์/ Ubolratanaขอนแก่น/ Khon Kaen
40250</t>
  </si>
  <si>
    <t>40250</t>
  </si>
  <si>
    <t>660807201260</t>
  </si>
  <si>
    <t>04/01/2025 20:38</t>
  </si>
  <si>
    <t>TH37086NUDW54B</t>
  </si>
  <si>
    <t>EQE0</t>
  </si>
  <si>
    <t>ย***  ก***รัมย์</t>
  </si>
  <si>
    <t>04/01/2025 20:36</t>
  </si>
  <si>
    <t>THT28011E2P0K7Z</t>
  </si>
  <si>
    <t>EQD99</t>
  </si>
  <si>
    <t>น***ทร  ท***ูบาล</t>
  </si>
  <si>
    <t>04/01/2025 20:35</t>
  </si>
  <si>
    <t>THT01481DZQ6D0Z</t>
  </si>
  <si>
    <t>EQD98</t>
  </si>
  <si>
    <t>ภ***าภัรณ์ เ***วระยับ</t>
  </si>
  <si>
    <t>04/01/2025 20:33</t>
  </si>
  <si>
    <t>754399741023</t>
  </si>
  <si>
    <t>EQD97</t>
  </si>
  <si>
    <t>ป***มาศ  บ***่วย</t>
  </si>
  <si>
    <t>04/01/2025 20:28</t>
  </si>
  <si>
    <t>THT13091DYN9R9Z</t>
  </si>
  <si>
    <t>EQD96</t>
  </si>
  <si>
    <t>ม***ชัย อ***ร์รักษา</t>
  </si>
  <si>
    <t>04/01/2025 20:27</t>
  </si>
  <si>
    <t>THT15061DZ0848Z</t>
  </si>
  <si>
    <t>EQD95</t>
  </si>
  <si>
    <t>น***ชาว์  ท***์สังข์วงษ์</t>
  </si>
  <si>
    <t>THT43011DZ04Z6Z</t>
  </si>
  <si>
    <t>EQD94</t>
  </si>
  <si>
    <t>ฝ* ฝ*</t>
  </si>
  <si>
    <t>04/01/2025 20:19</t>
  </si>
  <si>
    <t>754389379295</t>
  </si>
  <si>
    <t>04/01/2025 20:20</t>
  </si>
  <si>
    <t>EQD93</t>
  </si>
  <si>
    <t>ส***ชัย เ***งแรงสกุล</t>
  </si>
  <si>
    <t>754315016092</t>
  </si>
  <si>
    <t>EQD92</t>
  </si>
  <si>
    <t>ปัทมาวดี บุญเรือง</t>
  </si>
  <si>
    <t>9/149หมู่3หมู่บ้านนฤมลศิริปากซอย7 · บางเมือง/ Bang Mueang
เมืองสมุทรปราการ/ Mueang Samut Prakanสมุทรปราการ/ Samut Prakan
10270</t>
  </si>
  <si>
    <t>660970495571</t>
  </si>
  <si>
    <t>04/01/2025 20:21</t>
  </si>
  <si>
    <t>LEXDO0123843748</t>
  </si>
  <si>
    <t>EQD91</t>
  </si>
  <si>
    <t>บ***ปี๊ยก</t>
  </si>
  <si>
    <t>04/01/2025 20:09</t>
  </si>
  <si>
    <t>754380904314</t>
  </si>
  <si>
    <t>EQD90</t>
  </si>
  <si>
    <t>โ***ศ ช***ูล</t>
  </si>
  <si>
    <t>THT71131DZ1Y86Z</t>
  </si>
  <si>
    <t>EQD89</t>
  </si>
  <si>
    <t>ณ******์</t>
  </si>
  <si>
    <t>******องหลาง ตำบลทองหลาง อำเภอห้วยคต จังหวัดอุทัยธานี 61170</t>
  </si>
  <si>
    <t>61170</t>
  </si>
  <si>
    <t>04/01/2025 20:41</t>
  </si>
  <si>
    <t>TH57086NPKWH1B</t>
  </si>
  <si>
    <t>04/01/2025 20:04</t>
  </si>
  <si>
    <t>EQD88</t>
  </si>
  <si>
    <t>ว***ณี แ***ขียว</t>
  </si>
  <si>
    <t>04/01/2025 20:02</t>
  </si>
  <si>
    <t>754376237580</t>
  </si>
  <si>
    <t>04/01/2025 20:03</t>
  </si>
  <si>
    <t>EQD87</t>
  </si>
  <si>
    <t>น*** ส***ี ส***อาด</t>
  </si>
  <si>
    <t>04/01/2025 20:00</t>
  </si>
  <si>
    <t>754362243095</t>
  </si>
  <si>
    <t>EQD85</t>
  </si>
  <si>
    <t>น***ุติกาญจน์ ม***กิตติพัชร์</t>
  </si>
  <si>
    <t>04/01/2025 19:56</t>
  </si>
  <si>
    <t>754338173282</t>
  </si>
  <si>
    <t>EQD84</t>
  </si>
  <si>
    <t>ป***วดี โ***โส</t>
  </si>
  <si>
    <t>04/01/2025 19:52</t>
  </si>
  <si>
    <t>THT05121DZ1CW6Z</t>
  </si>
  <si>
    <t>EQD82</t>
  </si>
  <si>
    <t>ป***านุช ช***ุตร</t>
  </si>
  <si>
    <t>04/01/2025 19:38</t>
  </si>
  <si>
    <t>754333845090</t>
  </si>
  <si>
    <t>EQD81</t>
  </si>
  <si>
    <t>754336415092</t>
  </si>
  <si>
    <t>04/01/2025 19:36</t>
  </si>
  <si>
    <t>EQD80</t>
  </si>
  <si>
    <t>อ***ณา ย***ง่า</t>
  </si>
  <si>
    <t>THT36041E2PKC1Z</t>
  </si>
  <si>
    <t>EQD79</t>
  </si>
  <si>
    <t>ส***ันท์ อ***วงค์ ก***</t>
  </si>
  <si>
    <t>04/01/2025 19:32</t>
  </si>
  <si>
    <t>THT34071E2UUY0Z</t>
  </si>
  <si>
    <t>EQD78</t>
  </si>
  <si>
    <t>ข***ชนก</t>
  </si>
  <si>
    <t>04/01/2025 19:28</t>
  </si>
  <si>
    <t>754332406391</t>
  </si>
  <si>
    <t>EQD77</t>
  </si>
  <si>
    <t>เกศินี ฉ่ำใจดี</t>
  </si>
  <si>
    <t>84/42หมู่19ต.คลองหนึ่ง อ.คลองหลวง จ.ปทุมธานี12120 · คลองหนึ่ง/ Khlong Nueng
คลองหลวง/ Khlong Luangปทุมธานี/ Pathum Thani
12120</t>
  </si>
  <si>
    <t>660960424883</t>
  </si>
  <si>
    <t>04/01/2025 19:27</t>
  </si>
  <si>
    <t>LEXPU0441827593</t>
  </si>
  <si>
    <t>04/01/2025 19:26</t>
  </si>
  <si>
    <t>EQD76</t>
  </si>
  <si>
    <t>น***พร ไ***ุญ</t>
  </si>
  <si>
    <t>04/01/2025 19:25</t>
  </si>
  <si>
    <t>THT37011DZ4BY2Z</t>
  </si>
  <si>
    <t>EQD75</t>
  </si>
  <si>
    <t>น***าวชลาลัย จ***ร์ด่อน</t>
  </si>
  <si>
    <t>04/01/2025 19:19</t>
  </si>
  <si>
    <t>THT15061DYVZM1Z</t>
  </si>
  <si>
    <t>EQD73</t>
  </si>
  <si>
    <t>น.ส.ณัฏธิยาภรณ์ หนูทา</t>
  </si>
  <si>
    <t>168 ม.3 ต.ดอนโพธิ์ทอง
เมืองสุพรรณบุรี/ Mueang Suphan Buriสุพรรณบุรี/ Suphanburi
72000</t>
  </si>
  <si>
    <t>660928798708</t>
  </si>
  <si>
    <t>04/01/2025 19:07</t>
  </si>
  <si>
    <t>LEXPU0442260392</t>
  </si>
  <si>
    <t>EQD70</t>
  </si>
  <si>
    <t>ว***นทร์  เ***ูงเนิน</t>
  </si>
  <si>
    <t>04/01/2025 18:59</t>
  </si>
  <si>
    <t>754329811093</t>
  </si>
  <si>
    <t>EQD68</t>
  </si>
  <si>
    <t>ว***  ม***ลาะ</t>
  </si>
  <si>
    <t>04/01/2025 18:52</t>
  </si>
  <si>
    <t>THT05061DYQCM7Z</t>
  </si>
  <si>
    <t>EQD67</t>
  </si>
  <si>
    <t>น***นุชา  ห***ยโดด</t>
  </si>
  <si>
    <t>04/01/2025 18:47</t>
  </si>
  <si>
    <t>THT71101DZ26Y6Z</t>
  </si>
  <si>
    <t>EQD66</t>
  </si>
  <si>
    <t>อ***ชษฐ์ ถ***งาม</t>
  </si>
  <si>
    <t>04/01/2025 18:41</t>
  </si>
  <si>
    <t>THT04011DZ23W8Z</t>
  </si>
  <si>
    <t>EQD64</t>
  </si>
  <si>
    <t>น**  ว***ภา  แ***ี้</t>
  </si>
  <si>
    <t>04/01/2025 18:38</t>
  </si>
  <si>
    <t>754374076245</t>
  </si>
  <si>
    <t>EQD63</t>
  </si>
  <si>
    <t>THT06031DYK6H1Z</t>
  </si>
  <si>
    <t>EQD62</t>
  </si>
  <si>
    <t>บ***ิวา จ***ร์ต๊ะ</t>
  </si>
  <si>
    <t>04/01/2025 18:37</t>
  </si>
  <si>
    <t>THT49021DZ3RZ3Z</t>
  </si>
  <si>
    <t>EQD61</t>
  </si>
  <si>
    <t>754340420002</t>
  </si>
  <si>
    <t>EQD60</t>
  </si>
  <si>
    <t>ว***ญา ห***วาน</t>
  </si>
  <si>
    <t>04/01/2025 18:36</t>
  </si>
  <si>
    <t>THT21011DYQ6A3Z</t>
  </si>
  <si>
    <t>EQD59</t>
  </si>
  <si>
    <t>น***าว น***า ป***ิคะเน</t>
  </si>
  <si>
    <t>04/01/2025 18:31</t>
  </si>
  <si>
    <t>THT43011DZ7SW4Z</t>
  </si>
  <si>
    <t>EQD58</t>
  </si>
  <si>
    <t>น***นัส ส***่ามไกร</t>
  </si>
  <si>
    <t>04/01/2025 18:28</t>
  </si>
  <si>
    <t>THT14031DYNQP9Z</t>
  </si>
  <si>
    <t>EQD57</t>
  </si>
  <si>
    <t>เ***พร ส***ดี</t>
  </si>
  <si>
    <t>THT12011DYSQ69Z</t>
  </si>
  <si>
    <t>04/01/2025 18:27</t>
  </si>
  <si>
    <t>EQD56</t>
  </si>
  <si>
    <t>จ***า  แ***แก้ว</t>
  </si>
  <si>
    <t>04/01/2025 18:15</t>
  </si>
  <si>
    <t>ไม่เอาทุเรียนค่ะ</t>
  </si>
  <si>
    <t>THT11031DZ7PE8Z</t>
  </si>
  <si>
    <t>04/01/2025 18:16</t>
  </si>
  <si>
    <t>EQD55</t>
  </si>
  <si>
    <t>ป******ม</t>
  </si>
  <si>
    <t>****** ตำบลแพรกษา อำเภอเมืองสมุทรปราการ จังหวัดสมุทรปราการ 10280</t>
  </si>
  <si>
    <t>TH255181009363U</t>
  </si>
  <si>
    <t>EQD54</t>
  </si>
  <si>
    <t>จ***พร ค***ขุนทด</t>
  </si>
  <si>
    <t>04/01/2025 18:14</t>
  </si>
  <si>
    <t>THT27011DYPEC9Z</t>
  </si>
  <si>
    <t>EQD53</t>
  </si>
  <si>
    <t>บ***ร พ***์ศรี</t>
  </si>
  <si>
    <t>THT29011DZ20W8Z</t>
  </si>
  <si>
    <t>EQD52</t>
  </si>
  <si>
    <t>ว***นดา เ***ญลาภถาวร</t>
  </si>
  <si>
    <t>04/01/2025 18:11</t>
  </si>
  <si>
    <t>THT16021DZ48N6Z</t>
  </si>
  <si>
    <t>04/01/2025 18:10</t>
  </si>
  <si>
    <t>EQD51</t>
  </si>
  <si>
    <t>ส******ย</t>
  </si>
  <si>
    <t>******ย 18 ถนน ลาดปลาเค้า เขต ลาดพร้าว แขวงจรเข้บัว เขตลาดพร้าว จังหวัดกรุงเทพมหานคร 10230</t>
  </si>
  <si>
    <t>25</t>
  </si>
  <si>
    <t>04/01/2025 18:40</t>
  </si>
  <si>
    <t>TH2543881095094</t>
  </si>
  <si>
    <t>EQD50</t>
  </si>
  <si>
    <t>ว***วิภา</t>
  </si>
  <si>
    <t>04/01/2025 18:09</t>
  </si>
  <si>
    <t>THT20081E303J4Z</t>
  </si>
  <si>
    <t>สอดไส้6ชิ้น2กล่องไม่มีไส้8ชิ้น</t>
  </si>
  <si>
    <t>EQD49</t>
  </si>
  <si>
    <t>ว***คณา</t>
  </si>
  <si>
    <t>04/01/2025 18:07</t>
  </si>
  <si>
    <t>THT61081DZ3WY4Z</t>
  </si>
  <si>
    <t>EQD48</t>
  </si>
  <si>
    <t>โ***กา ช***นิท</t>
  </si>
  <si>
    <t>04/01/2025 18:06</t>
  </si>
  <si>
    <t>THT69011E2N0Q7Z</t>
  </si>
  <si>
    <t>EQD47</t>
  </si>
  <si>
    <t>ว***ภรณ์ เ***ณรงค์</t>
  </si>
  <si>
    <t>04/01/2025 18:05</t>
  </si>
  <si>
    <t>THT10131DZ0Y00Z</t>
  </si>
  <si>
    <t>EQD46</t>
  </si>
  <si>
    <t>ว***ิภา ส***ิสัย</t>
  </si>
  <si>
    <t>04/01/2025 18:04</t>
  </si>
  <si>
    <t>754396414085</t>
  </si>
  <si>
    <t>04/01/2025 18:03</t>
  </si>
  <si>
    <t>EQD45</t>
  </si>
  <si>
    <t>THT20071DZ48U8Z</t>
  </si>
  <si>
    <t>EQD44</t>
  </si>
  <si>
    <t>ศ***  ค***ยตะพงศ์</t>
  </si>
  <si>
    <t>04/01/2025 18:02</t>
  </si>
  <si>
    <t>THT68071DZ30W7Z</t>
  </si>
  <si>
    <t>EQD43</t>
  </si>
  <si>
    <t>THT10071DZ4EG6Z</t>
  </si>
  <si>
    <t>EQD42</t>
  </si>
  <si>
    <t>04/01/2025 18:01</t>
  </si>
  <si>
    <t>754315491285</t>
  </si>
  <si>
    <t>EQD41</t>
  </si>
  <si>
    <t>ว***นทร์</t>
  </si>
  <si>
    <t>04/01/2025 18:00</t>
  </si>
  <si>
    <t>754329018310</t>
  </si>
  <si>
    <t>EQD39</t>
  </si>
  <si>
    <t>น***าวปาณิศา แ***สนธิ์</t>
  </si>
  <si>
    <t>04/01/2025 17:55</t>
  </si>
  <si>
    <t>754392439080</t>
  </si>
  <si>
    <t>EQD38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</si>
  <si>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</si>
  <si>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</si>
  <si>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</si>
  <si>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04/01/2025 17:56</t>
  </si>
  <si>
    <t>LEXPU0442262839</t>
  </si>
  <si>
    <t>04/01/2025 17:53</t>
  </si>
  <si>
    <t>EQD37</t>
  </si>
  <si>
    <t>น***สายฝน  ร***สว่าง</t>
  </si>
  <si>
    <t>04/01/2025 17:52</t>
  </si>
  <si>
    <t>754392116015</t>
  </si>
  <si>
    <t>EQD36</t>
  </si>
  <si>
    <t>ส***ตรี น***ศเกษม</t>
  </si>
  <si>
    <t>04/01/2025 17:51</t>
  </si>
  <si>
    <t>THT15011DYNPE5Z</t>
  </si>
  <si>
    <t>EQD35</t>
  </si>
  <si>
    <t>บ*** ร***กาแฟอเมซอน</t>
  </si>
  <si>
    <t>04/01/2025 17:49</t>
  </si>
  <si>
    <t>754385019065</t>
  </si>
  <si>
    <t>EQD34</t>
  </si>
  <si>
    <t>จ***อ ป***ร ก***ง</t>
  </si>
  <si>
    <t>04/01/2025 17:47</t>
  </si>
  <si>
    <t>THT01181DZ19D8Z</t>
  </si>
  <si>
    <t>EQD33</t>
  </si>
  <si>
    <t>จ***ิรา ต***พงษ์​</t>
  </si>
  <si>
    <t>04/01/2025 17:43</t>
  </si>
  <si>
    <t>THT31231E2D0M5Z</t>
  </si>
  <si>
    <t>EQD32</t>
  </si>
  <si>
    <t>N***ื่อยเปื่อย</t>
  </si>
  <si>
    <t>04/01/2025 17:40</t>
  </si>
  <si>
    <t>THT20011E2N611Z</t>
  </si>
  <si>
    <t>EQD31</t>
  </si>
  <si>
    <t>ร***ม บ***หละ</t>
  </si>
  <si>
    <t>04/01/2025 17:33</t>
  </si>
  <si>
    <t>754331489251</t>
  </si>
  <si>
    <t>EQD30</t>
  </si>
  <si>
    <t>น***แจ่มน้อย</t>
  </si>
  <si>
    <t>04/01/2025 17:30</t>
  </si>
  <si>
    <t>THT13051DZ2YD2Z</t>
  </si>
  <si>
    <t>EQD29</t>
  </si>
  <si>
    <t>ส***ณีย์ ห***ทอง</t>
  </si>
  <si>
    <t>04/01/2025 17:28</t>
  </si>
  <si>
    <t>THT57061E2D3W9Z</t>
  </si>
  <si>
    <t>EQD28</t>
  </si>
  <si>
    <t>ป***ฟ้า แ***พรหม</t>
  </si>
  <si>
    <t>04/01/2025 17:27</t>
  </si>
  <si>
    <t>THT28141E2TRG2Z</t>
  </si>
  <si>
    <t>EQD25</t>
  </si>
  <si>
    <t>ก***กร ป***ลาง</t>
  </si>
  <si>
    <t>04/01/2025 17:20</t>
  </si>
  <si>
    <t>754302178291</t>
  </si>
  <si>
    <t>04/01/2025 17:21</t>
  </si>
  <si>
    <t>EQD24</t>
  </si>
  <si>
    <t>เ*** ท***ิมไสย</t>
  </si>
  <si>
    <t>THT41061DYP0M5Z</t>
  </si>
  <si>
    <t>EQD23</t>
  </si>
  <si>
    <t>ค**</t>
  </si>
  <si>
    <t>Nakhon Pathom</t>
  </si>
  <si>
    <t>04/01/2025 17:19</t>
  </si>
  <si>
    <t>754335973296</t>
  </si>
  <si>
    <t>EQD21</t>
  </si>
  <si>
    <t>ม***ิว</t>
  </si>
  <si>
    <t>04/01/2025 17:17</t>
  </si>
  <si>
    <t>THT16011E2S6M2Z</t>
  </si>
  <si>
    <t>EQD20</t>
  </si>
  <si>
    <t>THT07051DZ44N1Z</t>
  </si>
  <si>
    <t>04/01/2025 17:16</t>
  </si>
  <si>
    <t>EQD19</t>
  </si>
  <si>
    <t>น***์ภัสสร ้***กำบท</t>
  </si>
  <si>
    <t>THT21051E2PGY1Z</t>
  </si>
  <si>
    <t>EQD18</t>
  </si>
  <si>
    <t>S***alak D***dee</t>
  </si>
  <si>
    <t>04/01/2025 17:15</t>
  </si>
  <si>
    <t>THT35061E2SC92Z</t>
  </si>
  <si>
    <t>EQD17</t>
  </si>
  <si>
    <t>P* U***on</t>
  </si>
  <si>
    <t>THT04011E2SEZ6Z</t>
  </si>
  <si>
    <t>EQD16</t>
  </si>
  <si>
    <t>โ** ย***คลองขอม</t>
  </si>
  <si>
    <t>754319562286</t>
  </si>
  <si>
    <t>EQD15</t>
  </si>
  <si>
    <t>น***องจันทร์  พ***ันธ์</t>
  </si>
  <si>
    <t>04/01/2025 17:14</t>
  </si>
  <si>
    <t>THT30181DZ41D4Z</t>
  </si>
  <si>
    <t>EQD14</t>
  </si>
  <si>
    <t>น***รา ส***ระเสริฐ</t>
  </si>
  <si>
    <t>04/01/2025 17:13</t>
  </si>
  <si>
    <t>THT14071E2QX82Z</t>
  </si>
  <si>
    <t>04/01/2025 17:11</t>
  </si>
  <si>
    <t>EQD13</t>
  </si>
  <si>
    <t>THT21061DZ4BM2Z</t>
  </si>
  <si>
    <t>EQD12</t>
  </si>
  <si>
    <t>น***ิราณี  แ***รุณ</t>
  </si>
  <si>
    <t>THT18011DZ1SR4Z</t>
  </si>
  <si>
    <t>EQD11</t>
  </si>
  <si>
    <t>ก*** จ***าไทย</t>
  </si>
  <si>
    <t>04/01/2025 17:10</t>
  </si>
  <si>
    <t>THT02051DYSA59Z</t>
  </si>
  <si>
    <t>EQD10</t>
  </si>
  <si>
    <t>ส***ี เ***ขุนทด</t>
  </si>
  <si>
    <t>04/01/2025 17:09</t>
  </si>
  <si>
    <t>754389444093</t>
  </si>
  <si>
    <t>EQD8</t>
  </si>
  <si>
    <t>ธ***รัตน์</t>
  </si>
  <si>
    <t>04/01/2025 17:07</t>
  </si>
  <si>
    <t>THT04061DYPZH1Z</t>
  </si>
  <si>
    <t>EQD5</t>
  </si>
  <si>
    <t>******.ประทาย จ.นครราชสีมา 30180 ตำบลนางรำ อำเภอประทาย จังหวัดนครราชสีมา 30180</t>
  </si>
  <si>
    <t>30180</t>
  </si>
  <si>
    <t>04/01/2025 17:08</t>
  </si>
  <si>
    <t>TH254818986055X</t>
  </si>
  <si>
    <t>04/01/2025 17:04</t>
  </si>
  <si>
    <t>EQD4</t>
  </si>
  <si>
    <t>อ***ียา แ***์รังษี</t>
  </si>
  <si>
    <t>04/01/2025 17:02</t>
  </si>
  <si>
    <t>754334615090</t>
  </si>
  <si>
    <t>EQD3</t>
  </si>
  <si>
    <t>754303319011</t>
  </si>
  <si>
    <t>EQD2</t>
  </si>
  <si>
    <t>ป***ภา ค***ี่ยม</t>
  </si>
  <si>
    <t>THT61011DZ1HU8Z</t>
  </si>
  <si>
    <t>EQD1</t>
  </si>
  <si>
    <t>ส***วดี เ***</t>
  </si>
  <si>
    <t>04/01/2025 17:01</t>
  </si>
  <si>
    <t>THT29171E2CJX3Z</t>
  </si>
  <si>
    <t>EQD0</t>
  </si>
  <si>
    <t>น*** แ***วีสุข</t>
  </si>
  <si>
    <t>THT04061E2PHZ9Z</t>
  </si>
  <si>
    <t>EQC99</t>
  </si>
  <si>
    <t>ค******ข</t>
  </si>
  <si>
    <t>****** 5 ซอยนิคมอุตสาหกรรม, ตำบลคานหาม, อำเภออุทัย ตำบลคานหาม อำเภออุทัย จังหวัดพระนครศรีอยุธยา 13210</t>
  </si>
  <si>
    <t>13210</t>
  </si>
  <si>
    <t>TH251658780139E</t>
  </si>
  <si>
    <t>EQC98</t>
  </si>
  <si>
    <t>น***าวลัดดาวรรณ ส***รดง</t>
  </si>
  <si>
    <t>04/01/2025 17:00</t>
  </si>
  <si>
    <t>THT25051DYP1N1Z</t>
  </si>
  <si>
    <t>EQC97</t>
  </si>
  <si>
    <t>ธ***ษา ส***รณรัตน์</t>
  </si>
  <si>
    <t>04/01/2025 16:59</t>
  </si>
  <si>
    <t>THT64201E2DET5Z</t>
  </si>
  <si>
    <t>EQC96</t>
  </si>
  <si>
    <t>ร***ี ส***ภาค</t>
  </si>
  <si>
    <t>THT15061E25ZM1Z</t>
  </si>
  <si>
    <t>EQC94</t>
  </si>
  <si>
    <t>k***นารี บ***ันทร์</t>
  </si>
  <si>
    <t>04/01/2025 16:57</t>
  </si>
  <si>
    <t>THT76011DYNFT7Z</t>
  </si>
  <si>
    <t>EQC93</t>
  </si>
  <si>
    <t>ช***ร ฮ***จริญ</t>
  </si>
  <si>
    <t>04/01/2025 16:56</t>
  </si>
  <si>
    <t>754323614096</t>
  </si>
  <si>
    <t>EQC92</t>
  </si>
  <si>
    <t>น** ส***น ว***ำนอง</t>
  </si>
  <si>
    <t>04/01/2025 16:55</t>
  </si>
  <si>
    <t>THT73011E307A8Z</t>
  </si>
  <si>
    <t>EQC91</t>
  </si>
  <si>
    <t>เ***ลักษ์</t>
  </si>
  <si>
    <t>04/01/2025 16:53</t>
  </si>
  <si>
    <t>THT21031E2CZ39Z</t>
  </si>
  <si>
    <t>EQC90</t>
  </si>
  <si>
    <t>พ***ิพย์ชัยช้าง</t>
  </si>
  <si>
    <t>04/01/2025 16:52</t>
  </si>
  <si>
    <t>THT27141DZ3232Z</t>
  </si>
  <si>
    <t>EQC89</t>
  </si>
  <si>
    <t>ศ***พร แ***งี้ยว</t>
  </si>
  <si>
    <t>04/01/2025 16:51</t>
  </si>
  <si>
    <t>THT68121DZ0G56Z</t>
  </si>
  <si>
    <t>EQC88</t>
  </si>
  <si>
    <t>พ***ลอย ค***ตุ</t>
  </si>
  <si>
    <t>04/01/2025 16:50</t>
  </si>
  <si>
    <t>THT74031E2D1Y1Z</t>
  </si>
  <si>
    <t>EQC87</t>
  </si>
  <si>
    <t>น*** ข***รมเครื่อง</t>
  </si>
  <si>
    <t>THT16011DYKVA1Z</t>
  </si>
  <si>
    <t>EQC84</t>
  </si>
  <si>
    <t>เ***มชาติ</t>
  </si>
  <si>
    <t>04/01/2025 16:48</t>
  </si>
  <si>
    <t>THT11031E328Y4Z</t>
  </si>
  <si>
    <t>EQC82</t>
  </si>
  <si>
    <t>ก***าภัค เ***การช่าง</t>
  </si>
  <si>
    <t>04/01/2025 16:47</t>
  </si>
  <si>
    <t>754347020000</t>
  </si>
  <si>
    <t>EQC81</t>
  </si>
  <si>
    <t>ส***ทิพย์  ท***ครือจีน</t>
  </si>
  <si>
    <t>04/01/2025 16:46</t>
  </si>
  <si>
    <t>THT61011DYM1V7Z</t>
  </si>
  <si>
    <t>EQC80</t>
  </si>
  <si>
    <t>ก***นา แ***ระสิทธิ์</t>
  </si>
  <si>
    <t>เทศบาลนครพิษณุโลก</t>
  </si>
  <si>
    <t>04/01/2025 16:43</t>
  </si>
  <si>
    <t>THT61081E2DGX9Z</t>
  </si>
  <si>
    <t>EQC79</t>
  </si>
  <si>
    <t>น***าวพนัชกร ร***รรม</t>
  </si>
  <si>
    <t>04/01/2025 16:42</t>
  </si>
  <si>
    <t>THT17011E30JH0Z</t>
  </si>
  <si>
    <t>EQC76</t>
  </si>
  <si>
    <t>อ***อลนิวเซอร์วิส</t>
  </si>
  <si>
    <t>04/01/2025 16:38</t>
  </si>
  <si>
    <t>THT06031DZ43Q7Z</t>
  </si>
  <si>
    <t>EQC72</t>
  </si>
  <si>
    <t>น******า</t>
  </si>
  <si>
    <t>****** ตำบลโคกกลาง อำเภอพนมดงรัก จังหวัดสุรินทร์ 32140</t>
  </si>
  <si>
    <t>32140</t>
  </si>
  <si>
    <t>95</t>
  </si>
  <si>
    <t>04/01/2025 16:34</t>
  </si>
  <si>
    <t>TH29146NPS0F8B</t>
  </si>
  <si>
    <t>04/01/2025 16:33</t>
  </si>
  <si>
    <t>EQC71</t>
  </si>
  <si>
    <t>******83/33 หมู่ 7 ต.ท่าอิฐ ตำบลท่าอิฐ อำเภอปากเกร็ด จังหวัดนนทบุรี 11120</t>
  </si>
  <si>
    <t>04/01/2025 16:32</t>
  </si>
  <si>
    <t>TH03066NV62D3G</t>
  </si>
  <si>
    <t>EQC70</t>
  </si>
  <si>
    <t>754310609393</t>
  </si>
  <si>
    <t>EQC69</t>
  </si>
  <si>
    <t>ช***มา​ น***ฉวี​</t>
  </si>
  <si>
    <t>04/01/2025 16:30</t>
  </si>
  <si>
    <t>754345533093</t>
  </si>
  <si>
    <t>EQC68</t>
  </si>
  <si>
    <t>อ***ี ส***ดี</t>
  </si>
  <si>
    <t>THT12041E2DV55Z</t>
  </si>
  <si>
    <t>EQC67</t>
  </si>
  <si>
    <t>เ***นพิศ บ***ล้า</t>
  </si>
  <si>
    <t>04/01/2025 16:26</t>
  </si>
  <si>
    <t>THT41041E2AAW3Z</t>
  </si>
  <si>
    <t>EQC66</t>
  </si>
  <si>
    <t>ท***พียร ค***</t>
  </si>
  <si>
    <t>04/01/2025 16:24</t>
  </si>
  <si>
    <t>THT59061E2E337Z</t>
  </si>
  <si>
    <t>EQC65</t>
  </si>
  <si>
    <t>น***ึ้ง เ***น้อย</t>
  </si>
  <si>
    <t>THT47101E2SW38Z</t>
  </si>
  <si>
    <t>EQC64</t>
  </si>
  <si>
    <t>ก******ง</t>
  </si>
  <si>
    <t>******หง12 ถ.รามคำแหง แขวงหัวหมาก แขวงหัวหมาก เขตบางกะปิ จังหวัดกรุงเทพมหานคร 10240</t>
  </si>
  <si>
    <t>04/01/2025 16:20</t>
  </si>
  <si>
    <t>TH257361201657J</t>
  </si>
  <si>
    <t>04/01/2025 16:17</t>
  </si>
  <si>
    <t>EQC62</t>
  </si>
  <si>
    <t>จ***ี ไ***าติ</t>
  </si>
  <si>
    <t>04/01/2025 16:12</t>
  </si>
  <si>
    <t>THT13091DZ3TK1Z</t>
  </si>
  <si>
    <t>EQC61</t>
  </si>
  <si>
    <t>ร***รรม พ***มเผ่าพันธุ์</t>
  </si>
  <si>
    <t>THT01391E2G4F1Z</t>
  </si>
  <si>
    <t>TH251687580414Z</t>
  </si>
  <si>
    <t>04/01/2025 16:11</t>
  </si>
  <si>
    <t>EQC60</t>
  </si>
  <si>
    <t>บ***ืน ข***อก</t>
  </si>
  <si>
    <t>THT56111DZ3WT5Z</t>
  </si>
  <si>
    <t>EQC59</t>
  </si>
  <si>
    <t>ส***นวา อ***นองกุง</t>
  </si>
  <si>
    <t>04/01/2025 16:08</t>
  </si>
  <si>
    <t>754307276236</t>
  </si>
  <si>
    <t>EQC58</t>
  </si>
  <si>
    <t>ป***า บ***ชาลี</t>
  </si>
  <si>
    <t>04/01/2025 16:05</t>
  </si>
  <si>
    <t>754380218093</t>
  </si>
  <si>
    <t>EQC56</t>
  </si>
  <si>
    <t>เ***ลักษณ์ ก***หาญ</t>
  </si>
  <si>
    <t>04/01/2025 15:59</t>
  </si>
  <si>
    <t>754362119033</t>
  </si>
  <si>
    <t>EQC55</t>
  </si>
  <si>
    <t>ว***ี</t>
  </si>
  <si>
    <t>THT56091DYPJW9Z</t>
  </si>
  <si>
    <t>EQC54</t>
  </si>
  <si>
    <t>น***ัญนพ เ***จิตต์</t>
  </si>
  <si>
    <t>04/01/2025 15:57</t>
  </si>
  <si>
    <t>754339826004</t>
  </si>
  <si>
    <t>EQC53</t>
  </si>
  <si>
    <t>04/01/2025 15:56</t>
  </si>
  <si>
    <t>754337411063</t>
  </si>
  <si>
    <t>EQC52</t>
  </si>
  <si>
    <t>น*** ป***านเกษม</t>
  </si>
  <si>
    <t>04/01/2025 15:54</t>
  </si>
  <si>
    <t>THT43011DZ7BA4Z</t>
  </si>
  <si>
    <t>EQC51</t>
  </si>
  <si>
    <t>ท***ัย</t>
  </si>
  <si>
    <t>04/01/2025 15:53</t>
  </si>
  <si>
    <t>THT07011DYR9J9Z</t>
  </si>
  <si>
    <t>EQC50</t>
  </si>
  <si>
    <t>พ***  ร*** ล***่องวัดเจษ</t>
  </si>
  <si>
    <t>04/01/2025 15:51</t>
  </si>
  <si>
    <t>THT01111DZFKF8Z</t>
  </si>
  <si>
    <t>EQC49</t>
  </si>
  <si>
    <t>N***aphat N***aung</t>
  </si>
  <si>
    <t>04/01/2025 15:50</t>
  </si>
  <si>
    <t>THT47011E2G1B9Z</t>
  </si>
  <si>
    <t>EQC48</t>
  </si>
  <si>
    <t>ธ***ภรณ์ ท***าม</t>
  </si>
  <si>
    <t>04/01/2025 15:49</t>
  </si>
  <si>
    <t>754352407336</t>
  </si>
  <si>
    <t>EQC45</t>
  </si>
  <si>
    <t>น*** ป***โลก</t>
  </si>
  <si>
    <t>04/01/2025 15:45</t>
  </si>
  <si>
    <t>754325317034</t>
  </si>
  <si>
    <t>EQC44</t>
  </si>
  <si>
    <t>******ตำบล พงตึก ตำบลพงตึก อำเภอท่ามะกา จังหวัดกาญจนบุรี 71120</t>
  </si>
  <si>
    <t>01</t>
  </si>
  <si>
    <t>04/01/2025 16:01</t>
  </si>
  <si>
    <t>TH253081461809H</t>
  </si>
  <si>
    <t>04/01/2025 15:42</t>
  </si>
  <si>
    <t>EQC43</t>
  </si>
  <si>
    <t>อาภา    เตชะศรินทน์</t>
  </si>
  <si>
    <t>หมู่บ้านโนเบิ้ลธารา หมู่ 8  ถ.รัตนาธิเบศ ต.บางกระสอ 316/12 · บางกระสอ/ Bang Kraso
เมืองนนทบุรี/ Mueang Nonthaburiนนทบุรี/ Nonthaburi
11000</t>
  </si>
  <si>
    <t>660959516561</t>
  </si>
  <si>
    <t>04/01/2025 15:41</t>
  </si>
  <si>
    <t>LEXPU0442269292</t>
  </si>
  <si>
    <t>04/01/2025 15:40</t>
  </si>
  <si>
    <t>EQC42</t>
  </si>
  <si>
    <t>ค***ิณณ์</t>
  </si>
  <si>
    <t>04/01/2025 15:37</t>
  </si>
  <si>
    <t>754357560272</t>
  </si>
  <si>
    <t>EQC41</t>
  </si>
  <si>
    <t>ว***า  ป***น</t>
  </si>
  <si>
    <t>04/01/2025 15:32</t>
  </si>
  <si>
    <t>THT15011DZ5WZ5Z</t>
  </si>
  <si>
    <t>04/01/2025 15:33</t>
  </si>
  <si>
    <t>EQC40</t>
  </si>
  <si>
    <t>ลำใย พุกอ</t>
  </si>
  <si>
    <t>บ้านเลขที่8/2 · ตะนาวศรี/ Tanao Si
สวนผึ้ง/ Suan Phuengราชบุรี/ Ratchaburi
70180</t>
  </si>
  <si>
    <t>660986059440</t>
  </si>
  <si>
    <t>04/01/2025 15:27</t>
  </si>
  <si>
    <t>520004267003</t>
  </si>
  <si>
    <t>ชิฟฟ่อนมีไส้30ชิ้นคละรส</t>
  </si>
  <si>
    <t>EQC39</t>
  </si>
  <si>
    <t>ญ******บ</t>
  </si>
  <si>
    <t>******แขม, อำเภอเมืองนครปฐม ตำบลบางแขม อำเภอเมืองนครปฐม จังหวัดนครปฐม 73000</t>
  </si>
  <si>
    <t>04/01/2025 15:20</t>
  </si>
  <si>
    <t>TH255021288242R</t>
  </si>
  <si>
    <t>EQC38</t>
  </si>
  <si>
    <t>ส***ตรี  ศ***งนุช</t>
  </si>
  <si>
    <t>อำเภอเมืองกาญจนบุรี</t>
  </si>
  <si>
    <t>04/01/2025 15:10</t>
  </si>
  <si>
    <t>754361445073</t>
  </si>
  <si>
    <t>04/01/2025 15:11</t>
  </si>
  <si>
    <t>EQC37</t>
  </si>
  <si>
    <t>******งเทพ ห้อง201ถ.นางลิ้นจี่2 เเขวงทุ่งมหาเมฆ เขตสาทร แขวงทุ่งมหาเมฆ เขตสาทร จังหวัดกรุงเทพมหานคร 10120</t>
  </si>
  <si>
    <t>04/01/2025 15:03</t>
  </si>
  <si>
    <t>TH01466NVC0W2A</t>
  </si>
  <si>
    <t>04/01/2025 15:02</t>
  </si>
  <si>
    <t>EQC36</t>
  </si>
  <si>
    <t>น***ำปาง ศ***มภู</t>
  </si>
  <si>
    <t>Yasothon</t>
  </si>
  <si>
    <t>THT32031DZFSF2Z</t>
  </si>
  <si>
    <t>EQC35</t>
  </si>
  <si>
    <t>ฉ***ทิมา ท***ดง</t>
  </si>
  <si>
    <t>04/01/2025 14:55</t>
  </si>
  <si>
    <t>754366585206</t>
  </si>
  <si>
    <t>04/01/2025 14:56</t>
  </si>
  <si>
    <t>EQC34</t>
  </si>
  <si>
    <t>พ** เ***จูม</t>
  </si>
  <si>
    <t>04/01/2025 14:54</t>
  </si>
  <si>
    <t>754328980204</t>
  </si>
  <si>
    <t>EQC33</t>
  </si>
  <si>
    <t>ส***ชชา พ***ัทธิ์</t>
  </si>
  <si>
    <t>04/01/2025 14:53</t>
  </si>
  <si>
    <t>754392629001</t>
  </si>
  <si>
    <t>EQC32</t>
  </si>
  <si>
    <t>เ***ริต ศ***ร์ศิริ</t>
  </si>
  <si>
    <t>THT05021DYP9J7Z</t>
  </si>
  <si>
    <t>EQC31</t>
  </si>
  <si>
    <t>ส***ักดิ์ ก***ิริยวงศ์</t>
  </si>
  <si>
    <t>04/01/2025 14:50</t>
  </si>
  <si>
    <t>754369503086</t>
  </si>
  <si>
    <t>EQC30</t>
  </si>
  <si>
    <t>04/01/2025 14:49</t>
  </si>
  <si>
    <t>754347816062</t>
  </si>
  <si>
    <t>EQC29</t>
  </si>
  <si>
    <t>ล***ณา ท***พธิ์</t>
  </si>
  <si>
    <t>04/01/2025 14:34</t>
  </si>
  <si>
    <t>754366336091</t>
  </si>
  <si>
    <t>EQC28</t>
  </si>
  <si>
    <t>ว***า อ***ัตพงศ์พันธุ์</t>
  </si>
  <si>
    <t>04/01/2025 14:26</t>
  </si>
  <si>
    <t>754330561250</t>
  </si>
  <si>
    <t>EQC27</t>
  </si>
  <si>
    <t>พ***้</t>
  </si>
  <si>
    <t>04/01/2025 14:15</t>
  </si>
  <si>
    <t>754314969295</t>
  </si>
  <si>
    <t>04/01/2025 14:17</t>
  </si>
  <si>
    <t>EQC26</t>
  </si>
  <si>
    <t>ธ*** ห***งบุญ</t>
  </si>
  <si>
    <t>04/01/2025 14:16</t>
  </si>
  <si>
    <t>754327596212</t>
  </si>
  <si>
    <t>EQC25</t>
  </si>
  <si>
    <t>ป***ดา แ***ำลือ</t>
  </si>
  <si>
    <t>04/01/2025 14:14</t>
  </si>
  <si>
    <t>754381344021</t>
  </si>
  <si>
    <t>EQC22</t>
  </si>
  <si>
    <t>วิภารัตน์</t>
  </si>
  <si>
    <t>2/3 ม.9 ต.บางกุ้ง - · บางกุ้ง/ Bang Kung
ห้วยยอด/ Huai Yotตรัง/ Trang
92210</t>
  </si>
  <si>
    <t>92210</t>
  </si>
  <si>
    <t>660846292119</t>
  </si>
  <si>
    <t>04/01/2025 14:19</t>
  </si>
  <si>
    <t>TH73066NUB6H8D</t>
  </si>
  <si>
    <t>04/01/2025 14:11</t>
  </si>
  <si>
    <t>EQC21</t>
  </si>
  <si>
    <t>ท******ศ</t>
  </si>
  <si>
    <t>******ตุ จ.อุดรธานี ตำบลศรีธาตุ อำเภอศรีธาตุ จังหวัดอุดรธานี 41230</t>
  </si>
  <si>
    <t>41230</t>
  </si>
  <si>
    <t>88</t>
  </si>
  <si>
    <t>04/01/2025 14:36</t>
  </si>
  <si>
    <t>TH38096NV6CT0A</t>
  </si>
  <si>
    <t>04/01/2025 14:10</t>
  </si>
  <si>
    <t>EQC20</t>
  </si>
  <si>
    <t>ส***ญญา ผ***ระโทก</t>
  </si>
  <si>
    <t>04/01/2025 13:59</t>
  </si>
  <si>
    <t>754384109345</t>
  </si>
  <si>
    <t>EQC19</t>
  </si>
  <si>
    <t>u***58815009553250</t>
  </si>
  <si>
    <t>04/01/2025 13:56</t>
  </si>
  <si>
    <t>754341105350</t>
  </si>
  <si>
    <t>EQC17</t>
  </si>
  <si>
    <t>ช***มา ห***าภิรมย์โชค</t>
  </si>
  <si>
    <t>04/01/2025 13:43</t>
  </si>
  <si>
    <t>THT25021DYP5E7Z</t>
  </si>
  <si>
    <t>04/01/2025 13:44</t>
  </si>
  <si>
    <t>EQC15</t>
  </si>
  <si>
    <t>โ***ตา ค***ุด</t>
  </si>
  <si>
    <t>04/01/2025 13:38</t>
  </si>
  <si>
    <t>THT04061DZ0TF8Z</t>
  </si>
  <si>
    <t>EQC14</t>
  </si>
  <si>
    <t>อัญชลี  วงศ์คูณ</t>
  </si>
  <si>
    <t>9/195  ม.18 (หมู่บ้านเจริญทรัพย์ 11 ) ซอย 12  ต.ขามใหญ่
เมืองอุบลราชธานี/ Mueang Ubon Ratchathaniอุบลราชธานี/ Ubon Ratchathani
34000</t>
  </si>
  <si>
    <t>660853089997</t>
  </si>
  <si>
    <t>04/01/2025 13:33</t>
  </si>
  <si>
    <t>LEXPU0441827321</t>
  </si>
  <si>
    <t>EQC13</t>
  </si>
  <si>
    <t>ข***ศิริ ว***ท</t>
  </si>
  <si>
    <t>THT59051DYK3K9Z</t>
  </si>
  <si>
    <t>EQC12</t>
  </si>
  <si>
    <t>ส***นตรา โ***ูงเนิน</t>
  </si>
  <si>
    <t>Lop Buri</t>
  </si>
  <si>
    <t>04/01/2025 13:32</t>
  </si>
  <si>
    <t>754304822003</t>
  </si>
  <si>
    <t>EQC8</t>
  </si>
  <si>
    <t>ขวัญใจ หนูสาลี</t>
  </si>
  <si>
    <t>34/1 หมู่5 ต.ห้วยทราย อ.หนองแ · ห้วยทราย/ Huai Sai
หนองแค/ Nong Khaeสระบุรี/ Saraburi
18230</t>
  </si>
  <si>
    <t>660656943197</t>
  </si>
  <si>
    <t>04/01/2025 13:13</t>
  </si>
  <si>
    <t>LEXPU0442271570</t>
  </si>
  <si>
    <t>EQC7</t>
  </si>
  <si>
    <t>น******ะ</t>
  </si>
  <si>
    <t>******, เลขที่ 72, หมู่ที่ 2 ตำบลแม่สอง อำเภอท่าสองยาง จังหวัดตาก 63150</t>
  </si>
  <si>
    <t>63150</t>
  </si>
  <si>
    <t>04/01/2025 13:11</t>
  </si>
  <si>
    <t>TH59056NPKP82C</t>
  </si>
  <si>
    <t>EQC4</t>
  </si>
  <si>
    <t>ณ******า</t>
  </si>
  <si>
    <t>******นน สุขุมวิท-บางปู ตำบล บางปูใหม่ ตำบลบางปูใหม่ อำเภอเมืองสมุทรปราการ จังหวัดสมุทรปราการ 10280</t>
  </si>
  <si>
    <t>04/01/2025 13:01</t>
  </si>
  <si>
    <t>TH252321977900N</t>
  </si>
  <si>
    <t>04/01/2025 12:56</t>
  </si>
  <si>
    <t>EQC3</t>
  </si>
  <si>
    <t>ย***น พ***นโชติ</t>
  </si>
  <si>
    <t>04/01/2025 12:54</t>
  </si>
  <si>
    <t>754317531096</t>
  </si>
  <si>
    <t>EQC2</t>
  </si>
  <si>
    <t>ค***ิศมัย</t>
  </si>
  <si>
    <t>04/01/2025 12:53</t>
  </si>
  <si>
    <t>THT52061DZF7Y0Z</t>
  </si>
  <si>
    <t>04/01/2025 12:51</t>
  </si>
  <si>
    <t>EQC1</t>
  </si>
  <si>
    <t>ส***ี ศ***จ่ม</t>
  </si>
  <si>
    <t>THT01481DZ3RF0Z</t>
  </si>
  <si>
    <t>EQC0</t>
  </si>
  <si>
    <t>อ***ณ์ เ***อรอด</t>
  </si>
  <si>
    <t>04/01/2025 12:40</t>
  </si>
  <si>
    <t>THT20021E2DMA9Z</t>
  </si>
  <si>
    <t>EQB99</t>
  </si>
  <si>
    <t>น***วรรณ ส***ะดิษฐ์</t>
  </si>
  <si>
    <t>04/01/2025 12:36</t>
  </si>
  <si>
    <t>เน้น**ฝอยทอง 3กล่อง** ให้ผู้สูงอายุน้ะคะ ขอบคุนนคะ</t>
  </si>
  <si>
    <t>THT68011DYVYJ7Z</t>
  </si>
  <si>
    <t>EQB98</t>
  </si>
  <si>
    <t>น***กรียงศักดิ์ ต***ู</t>
  </si>
  <si>
    <t>04/01/2025 12:35</t>
  </si>
  <si>
    <t>754307305312</t>
  </si>
  <si>
    <t>EQB95</t>
  </si>
  <si>
    <t>แ**ม</t>
  </si>
  <si>
    <t>******ถนนรังสิต-นครนายก ต.ประชาธิปัตย์ ตำบลประชาธิปัตย์ อำเภอธัญบุรี จังหวัดปทุมธานี 12130</t>
  </si>
  <si>
    <t>04/01/2025 12:57</t>
  </si>
  <si>
    <t>TH258933070860X</t>
  </si>
  <si>
    <t>04/01/2025 12:27</t>
  </si>
  <si>
    <t>EQB94</t>
  </si>
  <si>
    <t>อ***ัฒน์ ล***ชื่น อ***ม</t>
  </si>
  <si>
    <t>04/01/2025 12:23</t>
  </si>
  <si>
    <t>754307737094</t>
  </si>
  <si>
    <t>EQB93</t>
  </si>
  <si>
    <t>ส***ดาภรณ์ เ***ชุม</t>
  </si>
  <si>
    <t>754389792225</t>
  </si>
  <si>
    <t>EQB92</t>
  </si>
  <si>
    <t>จ***รัตน์ ป***การ เ***</t>
  </si>
  <si>
    <t>04/01/2025 12:21</t>
  </si>
  <si>
    <t>THT38011DZ3VS8Z</t>
  </si>
  <si>
    <t>EQB91</t>
  </si>
  <si>
    <t>ค***ราณี ส***ง</t>
  </si>
  <si>
    <t>THT44161DZ46F4Z</t>
  </si>
  <si>
    <t>04/01/2025 12:20</t>
  </si>
  <si>
    <t>EQB90</t>
  </si>
  <si>
    <t>พ***นภา ช***คกสูง</t>
  </si>
  <si>
    <t>04/01/2025 12:18</t>
  </si>
  <si>
    <t>754399843072</t>
  </si>
  <si>
    <t>EQB89</t>
  </si>
  <si>
    <t>ก***นา พ***พา</t>
  </si>
  <si>
    <t>754368840072</t>
  </si>
  <si>
    <t>EQB88</t>
  </si>
  <si>
    <t>น***นา น***ิกาญจนะ</t>
  </si>
  <si>
    <t>04/01/2025 12:00</t>
  </si>
  <si>
    <t>THT19071DYJZA3Z</t>
  </si>
  <si>
    <t>04/01/2025 12:14</t>
  </si>
  <si>
    <t>EQB87</t>
  </si>
  <si>
    <t>อนุสรณ์</t>
  </si>
  <si>
    <t>146หมู่14 ต ภูเงิน อ เสลภูมิ จ ร้อยเอ็ด
เสลภูมิ/ Selaphumร้อยเอ็ด/ Roi Et
45120</t>
  </si>
  <si>
    <t>660946796464</t>
  </si>
  <si>
    <t>04/01/2025 12:12</t>
  </si>
  <si>
    <t>TH42106NUBY18J</t>
  </si>
  <si>
    <t>EQB86</t>
  </si>
  <si>
    <t>ประภัสสร แก่นทอง</t>
  </si>
  <si>
    <t>107/129 หมู่ 5 · หนองผึ้ง/ Nong Phueng
สารภี/ Saraphiเชียงใหม่/ Chiang Mai
50140</t>
  </si>
  <si>
    <t>660944098487</t>
  </si>
  <si>
    <t>04/01/2025 13:09</t>
  </si>
  <si>
    <t>LEXPU0442283019</t>
  </si>
  <si>
    <t>EQB85</t>
  </si>
  <si>
    <t>บ***ร    เ***สืบ</t>
  </si>
  <si>
    <t>04/01/2025 12:13</t>
  </si>
  <si>
    <t>754350102321</t>
  </si>
  <si>
    <t>04/01/2025 12:10</t>
  </si>
  <si>
    <t>EQB78</t>
  </si>
  <si>
    <t>พ***มล น***ำ</t>
  </si>
  <si>
    <t>04/01/2025 11:53</t>
  </si>
  <si>
    <t>754329705091</t>
  </si>
  <si>
    <t>EQB76</t>
  </si>
  <si>
    <t>ร***ลอดช่องวัดเจษ</t>
  </si>
  <si>
    <t>04/01/2025 11:51</t>
  </si>
  <si>
    <t>754376203070</t>
  </si>
  <si>
    <t>EQB73</t>
  </si>
  <si>
    <t>ช***า ส***ำแ้อง</t>
  </si>
  <si>
    <t>04/01/2025 11:42</t>
  </si>
  <si>
    <t>THT16011DZ0W02Z</t>
  </si>
  <si>
    <t>04/01/2025 11:43</t>
  </si>
  <si>
    <t>EQB72</t>
  </si>
  <si>
    <t>บ***ัย จ***าวุฒิกุล</t>
  </si>
  <si>
    <t>THT29011E2U8F0Z</t>
  </si>
  <si>
    <t>EQB71</t>
  </si>
  <si>
    <t>จารุณี ปานมาศ</t>
  </si>
  <si>
    <t>417/4ม.1ต.ปากพูน
เมืองนครศรีธรรมราช/ Mueang Nakhon Si Thammaratนครศรีธรรมราช/ Nakhon Si Thammarat
80000</t>
  </si>
  <si>
    <t>660886394344</t>
  </si>
  <si>
    <t>LEXPU0442276301</t>
  </si>
  <si>
    <t>EQB69</t>
  </si>
  <si>
    <t>จ***พร พ***แดง</t>
  </si>
  <si>
    <t>04/01/2025 11:37</t>
  </si>
  <si>
    <t>THT18061E2R4R0Z</t>
  </si>
  <si>
    <t>EQB68</t>
  </si>
  <si>
    <t>โ***ุคนธ์ พ***่ม</t>
  </si>
  <si>
    <t>04/01/2025 11:38</t>
  </si>
  <si>
    <t>754388900300</t>
  </si>
  <si>
    <t>EQB67</t>
  </si>
  <si>
    <t>ข***ฤดี ท***ินดา</t>
  </si>
  <si>
    <t>04/01/2025 11:34</t>
  </si>
  <si>
    <t>754304308321</t>
  </si>
  <si>
    <t>EQB66</t>
  </si>
  <si>
    <t xml:space="preserve">อ***วรรณ เ***นู </t>
  </si>
  <si>
    <t>04/01/2025 11:29</t>
  </si>
  <si>
    <t>THT01071DYSP29Z</t>
  </si>
  <si>
    <t>EQB65</t>
  </si>
  <si>
    <t>04/01/2025 11:28</t>
  </si>
  <si>
    <t>THT01071DZQUY4Z</t>
  </si>
  <si>
    <t>EQB64</t>
  </si>
  <si>
    <t>ส***ิ บ***พ็ชร</t>
  </si>
  <si>
    <t>04/01/2025 11:27</t>
  </si>
  <si>
    <t>754304519006</t>
  </si>
  <si>
    <t>EQB61</t>
  </si>
  <si>
    <t>น***เนาวรัตน์​  ศ***าแก้ว</t>
  </si>
  <si>
    <t>04/01/2025 11:18</t>
  </si>
  <si>
    <t>THT20011DYVV89Z</t>
  </si>
  <si>
    <t>EQB59</t>
  </si>
  <si>
    <t>ย***น น***สน</t>
  </si>
  <si>
    <t>04/01/2025 11:13</t>
  </si>
  <si>
    <t>754370512033</t>
  </si>
  <si>
    <t>EQB58</t>
  </si>
  <si>
    <t>04/01/2025 11:10</t>
  </si>
  <si>
    <t>THT41061DYRTY5Z</t>
  </si>
  <si>
    <t>EQB55</t>
  </si>
  <si>
    <t>น***า อ***เกิด</t>
  </si>
  <si>
    <t>04/01/2025 11:04</t>
  </si>
  <si>
    <t>754300288276</t>
  </si>
  <si>
    <t>EQB54</t>
  </si>
  <si>
    <t>เสาวคนธ์ ทองศิริ</t>
  </si>
  <si>
    <t>29/1 ม.13 ต.พนางตุง อ.ควนขนุน0918022
ควนขนุน/ Khuan Khanunพัทลุง/ Phatthalung
93150</t>
  </si>
  <si>
    <t>93150</t>
  </si>
  <si>
    <t>660918022010</t>
  </si>
  <si>
    <t>04/01/2025 11:02</t>
  </si>
  <si>
    <t>TH74056NP4KV7J</t>
  </si>
  <si>
    <t>EQB53</t>
  </si>
  <si>
    <t>ส***​</t>
  </si>
  <si>
    <t>754337600376</t>
  </si>
  <si>
    <t>EQB52</t>
  </si>
  <si>
    <t>ก***าภัค  บ***สน</t>
  </si>
  <si>
    <t>04/01/2025 11:01</t>
  </si>
  <si>
    <t>THT75011DZ3YD0Z</t>
  </si>
  <si>
    <t>EQB51</t>
  </si>
  <si>
    <t>ไ***นทร์ อ***ล้า</t>
  </si>
  <si>
    <t>04/01/2025 10:59</t>
  </si>
  <si>
    <t>THT01231DZ3PY0Z</t>
  </si>
  <si>
    <t>EQB50</t>
  </si>
  <si>
    <t>ส***ทิพย์ ข***ู่</t>
  </si>
  <si>
    <t>04/01/2025 10:57</t>
  </si>
  <si>
    <t>THT13041DZ1YW0Z</t>
  </si>
  <si>
    <t>EQB49</t>
  </si>
  <si>
    <t>04/01/2025 10:49</t>
  </si>
  <si>
    <t>THT16011DYJUW1Z</t>
  </si>
  <si>
    <t>EQB48</t>
  </si>
  <si>
    <t>ธ***ารัตน์ ท***ปรม</t>
  </si>
  <si>
    <t>04/01/2025 10:48</t>
  </si>
  <si>
    <t>754385139093</t>
  </si>
  <si>
    <t>EQB47</t>
  </si>
  <si>
    <t>ก***ัตน์ เ***นทองดี</t>
  </si>
  <si>
    <t>04/01/2025 10:47</t>
  </si>
  <si>
    <t>THT15021DZ6991Z</t>
  </si>
  <si>
    <t>EQB45</t>
  </si>
  <si>
    <t>น* พ***ี</t>
  </si>
  <si>
    <t>04/01/2025 10:44</t>
  </si>
  <si>
    <t>754373424011</t>
  </si>
  <si>
    <t>EQB44</t>
  </si>
  <si>
    <t>นิตยา เนตรหาญ</t>
  </si>
  <si>
    <t>ห้วยทราย 31/1 ม.4
สันกำแพง/ San Kamphaengเชียงใหม่/ Chiang Mai
50130</t>
  </si>
  <si>
    <t>50130</t>
  </si>
  <si>
    <t>660969523477</t>
  </si>
  <si>
    <t>LEXPU0442275497</t>
  </si>
  <si>
    <t>EQB43</t>
  </si>
  <si>
    <t>เ***ณิต  ส***์ทอง</t>
  </si>
  <si>
    <t>04/01/2025 10:43</t>
  </si>
  <si>
    <t>754324335096</t>
  </si>
  <si>
    <t>EQB42</t>
  </si>
  <si>
    <t>ส******ม</t>
  </si>
  <si>
    <t>******, ถนน รังสิต-นครนายก, ตำบลรังสิต, อำเภอธัญบุรี ตำบลรังสิต อำเภอธัญบุรี จังหวัดปทุมธานี 12110</t>
  </si>
  <si>
    <t>TH253380148649D</t>
  </si>
  <si>
    <t>EQB41</t>
  </si>
  <si>
    <t>04/01/2025 10:39</t>
  </si>
  <si>
    <t>THT16011DZ36C1Z</t>
  </si>
  <si>
    <t>EQB39</t>
  </si>
  <si>
    <t>ร***ิกร  แ***งสกุล</t>
  </si>
  <si>
    <t>04/01/2025 10:38</t>
  </si>
  <si>
    <t>THT27081DZ42W4Z</t>
  </si>
  <si>
    <t>04/01/2025 10:37</t>
  </si>
  <si>
    <t>EQB38</t>
  </si>
  <si>
    <t>ส***นัน</t>
  </si>
  <si>
    <t>THT71041E2NN42Z</t>
  </si>
  <si>
    <t>EQB37</t>
  </si>
  <si>
    <t>น***ิง เ***ทิพย์</t>
  </si>
  <si>
    <t>04/01/2025 10:36</t>
  </si>
  <si>
    <t>THT64091DZ3X20Z</t>
  </si>
  <si>
    <t>EQB36</t>
  </si>
  <si>
    <t>******บลท่ามะกา อำเภอท่ามะกา จังหวัดกาญจนบุรี 71120</t>
  </si>
  <si>
    <t>TH258473866162A</t>
  </si>
  <si>
    <t>04/01/2025 10:34</t>
  </si>
  <si>
    <t>EQB35</t>
  </si>
  <si>
    <t>ศ***ิมพ์ ส***ี</t>
  </si>
  <si>
    <t>04/01/2025 10:28</t>
  </si>
  <si>
    <t>754385398266</t>
  </si>
  <si>
    <t>EQB33</t>
  </si>
  <si>
    <t>04/01/2025 10:19</t>
  </si>
  <si>
    <t>754353942005</t>
  </si>
  <si>
    <t>EQB32</t>
  </si>
  <si>
    <t>พ***รณ  อ***ิศัย</t>
  </si>
  <si>
    <t>04/01/2025 10:18</t>
  </si>
  <si>
    <t>THT47121DYS8T5Z</t>
  </si>
  <si>
    <t>04/01/2025 10:17</t>
  </si>
  <si>
    <t>EQB31</t>
  </si>
  <si>
    <t>04/01/2025 10:15</t>
  </si>
  <si>
    <t>754340800080</t>
  </si>
  <si>
    <t>EQB30</t>
  </si>
  <si>
    <t>ช***ชา ค***ุดม</t>
  </si>
  <si>
    <t>04/01/2025 10:14</t>
  </si>
  <si>
    <t>THT60061E2CU13Z</t>
  </si>
  <si>
    <t>EQB29</t>
  </si>
  <si>
    <t>ส***พร.   ม***ำ</t>
  </si>
  <si>
    <t>04/01/2025 10:13</t>
  </si>
  <si>
    <t>THT58041E30F50Z</t>
  </si>
  <si>
    <t>EQB28</t>
  </si>
  <si>
    <t>ภ******ล</t>
  </si>
  <si>
    <t>******7 ม.5 ตำบลทับมา ตำบลทับมา อำเภอเมืองระยอง จังหวัดระยอง 21000</t>
  </si>
  <si>
    <t>TH253821097070T</t>
  </si>
  <si>
    <t>EQB27</t>
  </si>
  <si>
    <t>N*** P***y L***g</t>
  </si>
  <si>
    <t>04/01/2025 10:10</t>
  </si>
  <si>
    <t>754359689204</t>
  </si>
  <si>
    <t>EQB25</t>
  </si>
  <si>
    <t>ก***ิการ์ ม***สอน</t>
  </si>
  <si>
    <t>04/01/2025 10:09</t>
  </si>
  <si>
    <t>754392168250</t>
  </si>
  <si>
    <t>EQB24</t>
  </si>
  <si>
    <t>ฐ******ง</t>
  </si>
  <si>
    <t>******กเพรียว ตำบลปากเพรียว อำเภอเมืองสระบุรี จังหวัดสระบุรี 18000</t>
  </si>
  <si>
    <t>00</t>
  </si>
  <si>
    <t>04/01/2025 10:33</t>
  </si>
  <si>
    <t>TH10016NVDMB3A</t>
  </si>
  <si>
    <t>04/01/2025 10:03</t>
  </si>
  <si>
    <t>EQB23</t>
  </si>
  <si>
    <t>TH259912294359D</t>
  </si>
  <si>
    <t>EQB22</t>
  </si>
  <si>
    <t>******ือม, อำเภอเฉลิมพระเกียรติ ตำบลหนองงูเหลือม อำเภอเฉลิมพระเกียรติ จังหวัดนครราชสีมา 30000</t>
  </si>
  <si>
    <t>04/01/2025 10:32</t>
  </si>
  <si>
    <t>TH252384413301B</t>
  </si>
  <si>
    <t>04/01/2025 10:02</t>
  </si>
  <si>
    <t>EQB21</t>
  </si>
  <si>
    <t>อ******ะ</t>
  </si>
  <si>
    <t>******ุ่งคล้า ตำบลบุ่งคล้า อำเภอเมืองชัยภูมิ จังหวัดชัยภูมิ 36000</t>
  </si>
  <si>
    <t>TH252457000625X</t>
  </si>
  <si>
    <t>EQB20</t>
  </si>
  <si>
    <t>ก*** บ***รับทรัพย์</t>
  </si>
  <si>
    <t>754344819314</t>
  </si>
  <si>
    <t>EQB19</t>
  </si>
  <si>
    <t>ก***ม๊ะ</t>
  </si>
  <si>
    <t>04/01/2025 10:00</t>
  </si>
  <si>
    <t>754343989210</t>
  </si>
  <si>
    <t>EQB18</t>
  </si>
  <si>
    <t>อ***ุข อ***รมย์</t>
  </si>
  <si>
    <t>04/01/2025 09:58</t>
  </si>
  <si>
    <t>THT37151DZ3Z48Z</t>
  </si>
  <si>
    <t>04/01/2025 09:57</t>
  </si>
  <si>
    <t>EQB17</t>
  </si>
  <si>
    <t>น***สาวิตรี ช***งจันทร์</t>
  </si>
  <si>
    <t>04/01/2025 09:51</t>
  </si>
  <si>
    <t>754382689270</t>
  </si>
  <si>
    <t>EQB16</t>
  </si>
  <si>
    <t>อ***รัตน์  แ***กลาง</t>
  </si>
  <si>
    <t>04/01/2025 09:50</t>
  </si>
  <si>
    <t>754366682263</t>
  </si>
  <si>
    <t>EQB15</t>
  </si>
  <si>
    <t>THT59051E2NBX1Z</t>
  </si>
  <si>
    <t>EQB14</t>
  </si>
  <si>
    <t>04/01/2025 09:48</t>
  </si>
  <si>
    <t>754340549045</t>
  </si>
  <si>
    <t>EQB13</t>
  </si>
  <si>
    <t>ภ******ง</t>
  </si>
  <si>
    <t>******กวาง, อำเภอบรรพตพิสัย ตำบลหูกวาง อำเภอบรรพตพิสัย จังหวัดนครสวรรค์ 60180</t>
  </si>
  <si>
    <t>60180</t>
  </si>
  <si>
    <t>63</t>
  </si>
  <si>
    <t>04/01/2025 09:44</t>
  </si>
  <si>
    <t>TH252706692007T</t>
  </si>
  <si>
    <t>04/01/2025 09:43</t>
  </si>
  <si>
    <t>EQB12</t>
  </si>
  <si>
    <t>ช***ดา บ***าญ</t>
  </si>
  <si>
    <t>04/01/2025 09:41</t>
  </si>
  <si>
    <t>754362271246</t>
  </si>
  <si>
    <t>EQB11</t>
  </si>
  <si>
    <t>เ***พิชชา</t>
  </si>
  <si>
    <t>04/01/2025 09:42</t>
  </si>
  <si>
    <t>754326485220</t>
  </si>
  <si>
    <t>EQB9</t>
  </si>
  <si>
    <t>ร***ีจันทร์ ส***ธชาติ</t>
  </si>
  <si>
    <t>04/01/2025 09:39</t>
  </si>
  <si>
    <t>THT01391DZPZ96Z</t>
  </si>
  <si>
    <t>EQB8</t>
  </si>
  <si>
    <t>อ***รณ ว***กระพันธุ์</t>
  </si>
  <si>
    <t>04/01/2025 09:25</t>
  </si>
  <si>
    <t>754309712030</t>
  </si>
  <si>
    <t>EQB6</t>
  </si>
  <si>
    <t>เ***มเกียรติ์ ต***ยงมัด</t>
  </si>
  <si>
    <t>04/01/2025 09:35</t>
  </si>
  <si>
    <t>754387426015</t>
  </si>
  <si>
    <t>EQB5</t>
  </si>
  <si>
    <t>ก***รณ์ ย***ี</t>
  </si>
  <si>
    <t>04/01/2025 09:33</t>
  </si>
  <si>
    <t>754350514050</t>
  </si>
  <si>
    <t>EQB4</t>
  </si>
  <si>
    <t>ก***รรณ โ***์จันทร์</t>
  </si>
  <si>
    <t>04/01/2025 09:30</t>
  </si>
  <si>
    <t>THT16011DZBME7Z</t>
  </si>
  <si>
    <t>EQB3</t>
  </si>
  <si>
    <t>ค***ยอม ก***กสิกิจ</t>
  </si>
  <si>
    <t>04/01/2025 09:27</t>
  </si>
  <si>
    <t>754365723053</t>
  </si>
  <si>
    <t>EQB2</t>
  </si>
  <si>
    <t>ก***าณี      ก***ม</t>
  </si>
  <si>
    <t>THT20071DYPTQ3Z</t>
  </si>
  <si>
    <t>EQB1</t>
  </si>
  <si>
    <t>ส***ญญา  อ***ต์สุข</t>
  </si>
  <si>
    <t>754380919040</t>
  </si>
  <si>
    <t>EQB0</t>
  </si>
  <si>
    <t>ก***นา  ต***วินิจกุล</t>
  </si>
  <si>
    <t>04/01/2025 09:24</t>
  </si>
  <si>
    <t>754366244074</t>
  </si>
  <si>
    <t>EQA98</t>
  </si>
  <si>
    <t>ธ***นันท์ เ***เดชคณาพัฒน์</t>
  </si>
  <si>
    <t>04/01/2025 09:21</t>
  </si>
  <si>
    <t>THT17031DZ7MX4Z</t>
  </si>
  <si>
    <t>EQA97</t>
  </si>
  <si>
    <t>ณ***ิศา ส***ล</t>
  </si>
  <si>
    <t>04/01/2025 09:20</t>
  </si>
  <si>
    <t>THT01121DYSPG3Z</t>
  </si>
  <si>
    <t>EQA96</t>
  </si>
  <si>
    <t>พ***์ลิตา ศ***นาเรืองทวี</t>
  </si>
  <si>
    <t>754340309096</t>
  </si>
  <si>
    <t>EQA95</t>
  </si>
  <si>
    <t>THT10101DYSV99Z</t>
  </si>
  <si>
    <t>EQA93</t>
  </si>
  <si>
    <t>04/01/2025 09:18</t>
  </si>
  <si>
    <t>TH252801332415K</t>
  </si>
  <si>
    <t>EQA92</t>
  </si>
  <si>
    <t>ส***รี ป***ำสี</t>
  </si>
  <si>
    <t>04/01/2025 09:17</t>
  </si>
  <si>
    <t>THT27081DYQEP3Z</t>
  </si>
  <si>
    <t>EQA90</t>
  </si>
  <si>
    <t>ก***ิกาล ร***ี</t>
  </si>
  <si>
    <t>04/01/2025 09:15</t>
  </si>
  <si>
    <t>754302944006</t>
  </si>
  <si>
    <t>EQA86</t>
  </si>
  <si>
    <t>ภ***รณ  ส***้าย</t>
  </si>
  <si>
    <t>04/01/2025 09:11</t>
  </si>
  <si>
    <t>THT01441E2DAR5Z</t>
  </si>
  <si>
    <t>EQA84</t>
  </si>
  <si>
    <t>ท***กร</t>
  </si>
  <si>
    <t>04/01/2025 09:10</t>
  </si>
  <si>
    <t>THT56071DYSXJ7Z</t>
  </si>
  <si>
    <t>EQA83</t>
  </si>
  <si>
    <t>อ******ล</t>
  </si>
  <si>
    <t>******นบุรี ส่งที่ป้อมยามสนามกอล์ฟบลูเซฟไฟล์ ตำบลช่องด่าน อำเภอบ่อพลอย จังหวัดกาญจนบุรี 71160</t>
  </si>
  <si>
    <t>31</t>
  </si>
  <si>
    <t>TH255954057697V</t>
  </si>
  <si>
    <t>EQA82</t>
  </si>
  <si>
    <t>04/01/2025 09:07</t>
  </si>
  <si>
    <t>THT59051DZ3D05Z</t>
  </si>
  <si>
    <t>EQA80</t>
  </si>
  <si>
    <t>M***sicha B*</t>
  </si>
  <si>
    <t>Phrae</t>
  </si>
  <si>
    <t>04/01/2025 08:53</t>
  </si>
  <si>
    <t>THT51021DZ0K94Z</t>
  </si>
  <si>
    <t>EQA79</t>
  </si>
  <si>
    <t>04/01/2025 08:41</t>
  </si>
  <si>
    <t>754308903342</t>
  </si>
  <si>
    <t>04/01/2025 08:42</t>
  </si>
  <si>
    <t>EQA78</t>
  </si>
  <si>
    <t>THT22091DYSTY1Z</t>
  </si>
  <si>
    <t>EQA76</t>
  </si>
  <si>
    <t>แ***ี ฝ*** พ***์อรพรรณ</t>
  </si>
  <si>
    <t>04/01/2025 08:40</t>
  </si>
  <si>
    <t>754374368274</t>
  </si>
  <si>
    <t>EQA75</t>
  </si>
  <si>
    <t>04/01/2025 08:39</t>
  </si>
  <si>
    <t>754353219314</t>
  </si>
  <si>
    <t>EQA74</t>
  </si>
  <si>
    <t>ส***ลี  น***าจารย์</t>
  </si>
  <si>
    <t>04/01/2025 08:38</t>
  </si>
  <si>
    <t>754383742022</t>
  </si>
  <si>
    <t>EQA72</t>
  </si>
  <si>
    <t>ส***ร เ***ผล</t>
  </si>
  <si>
    <t>04/01/2025 08:33</t>
  </si>
  <si>
    <t>ขอสินค้าตามสั่งสภาพที่สมบรูณขอบคุนคะ</t>
  </si>
  <si>
    <t>754372407025</t>
  </si>
  <si>
    <t>EQA71</t>
  </si>
  <si>
    <t>อ***ลี พ***เกษม</t>
  </si>
  <si>
    <t>04/01/2025 08:29</t>
  </si>
  <si>
    <t>754352423005</t>
  </si>
  <si>
    <t>04/01/2025 08:30</t>
  </si>
  <si>
    <t>EQA69</t>
  </si>
  <si>
    <t>ศ***า ส***ท่น</t>
  </si>
  <si>
    <t>04/01/2025 08:26</t>
  </si>
  <si>
    <t>754394141023</t>
  </si>
  <si>
    <t>04/01/2025 08:25</t>
  </si>
  <si>
    <t>EQA68</t>
  </si>
  <si>
    <t>ป***ฉัตร แ***าค</t>
  </si>
  <si>
    <t>04/01/2025 08:20</t>
  </si>
  <si>
    <t>754368914014</t>
  </si>
  <si>
    <t>04/01/2025 08:19</t>
  </si>
  <si>
    <t>EQA67</t>
  </si>
  <si>
    <t>พ***ษฐ์ พ***ขาว</t>
  </si>
  <si>
    <t>04/01/2025 08:17</t>
  </si>
  <si>
    <t>754364505311</t>
  </si>
  <si>
    <t>EQA66</t>
  </si>
  <si>
    <t>ณ***ันท์  พ***ัน</t>
  </si>
  <si>
    <t>754346390254</t>
  </si>
  <si>
    <t>EQA65</t>
  </si>
  <si>
    <t>ส***  บ***้อน</t>
  </si>
  <si>
    <t>04/01/2025 08:11</t>
  </si>
  <si>
    <t>754227791940</t>
  </si>
  <si>
    <t>EQA63</t>
  </si>
  <si>
    <t>ส***ิดา ว***ารี</t>
  </si>
  <si>
    <t>04/01/2025 08:03</t>
  </si>
  <si>
    <t>754397480233</t>
  </si>
  <si>
    <t>04/01/2025 08:05</t>
  </si>
  <si>
    <t>EQA62</t>
  </si>
  <si>
    <t>น***นา ไ***าะ</t>
  </si>
  <si>
    <t>THT20051DZ2QX2Z</t>
  </si>
  <si>
    <t>04/01/2025 08:04</t>
  </si>
  <si>
    <t>EQA61</t>
  </si>
  <si>
    <t>สมทรง  ติ้นยะเสน</t>
  </si>
  <si>
    <t>ตรงข้ามหมูบ้านวรสิริ   ซอย   ข้าวนึ่ง 73หมู่3ต.หลักหก · หลักหก/ Lak Hok
เมืองปทุมธานี/ Mueang Pathum Thaniปทุมธานี/ Pathum Thani
12000</t>
  </si>
  <si>
    <t>660941293552</t>
  </si>
  <si>
    <t>LEXPU0442286153</t>
  </si>
  <si>
    <t>04/01/2025 08:02</t>
  </si>
  <si>
    <t>04/01/2025 08:01</t>
  </si>
  <si>
    <t>EQA60</t>
  </si>
  <si>
    <t>อ***มย์ ป***ุข</t>
  </si>
  <si>
    <t>เทศบาลเมืองบุรีรัมย์</t>
  </si>
  <si>
    <t>04/01/2025 07:56</t>
  </si>
  <si>
    <t>THT28021E2MVB7Z</t>
  </si>
  <si>
    <t>04/01/2025 07:57</t>
  </si>
  <si>
    <t>EQA55</t>
  </si>
  <si>
    <t>ส***ดา  บ***ัฒน์วรานนท์</t>
  </si>
  <si>
    <t>04/01/2025 07:50</t>
  </si>
  <si>
    <t>754370246092</t>
  </si>
  <si>
    <t>EQA54</t>
  </si>
  <si>
    <t>อ***ญา แ***ิ๋ว</t>
  </si>
  <si>
    <t>04/01/2025 07:49</t>
  </si>
  <si>
    <t>754377171295</t>
  </si>
  <si>
    <t>EQA53</t>
  </si>
  <si>
    <t>ล***</t>
  </si>
  <si>
    <t>04/01/2025 07:48</t>
  </si>
  <si>
    <t>754387240084</t>
  </si>
  <si>
    <t>EQA52</t>
  </si>
  <si>
    <t>แ***ินทีมไลฟ์</t>
  </si>
  <si>
    <t>04/01/2025 07:46</t>
  </si>
  <si>
    <t>754371424004</t>
  </si>
  <si>
    <t>04/01/2025 07:45</t>
  </si>
  <si>
    <t>EQA51</t>
  </si>
  <si>
    <t>ก***รรณ ล***าง</t>
  </si>
  <si>
    <t>04/01/2025 07:44</t>
  </si>
  <si>
    <t>754352285260</t>
  </si>
  <si>
    <t>EQA49</t>
  </si>
  <si>
    <t>อ***น ล***</t>
  </si>
  <si>
    <t>04/01/2025 07:30</t>
  </si>
  <si>
    <t>754350895266</t>
  </si>
  <si>
    <t>04/01/2025 07:29</t>
  </si>
  <si>
    <t>EQA48</t>
  </si>
  <si>
    <t>ฐ*** ไ***าติ</t>
  </si>
  <si>
    <t>04/01/2025 07:27</t>
  </si>
  <si>
    <t>754367047081</t>
  </si>
  <si>
    <t>EQA47</t>
  </si>
  <si>
    <t>ย***ร้อย ก***าเกียรณ</t>
  </si>
  <si>
    <t>04/01/2025 07:00</t>
  </si>
  <si>
    <t>754256076840</t>
  </si>
  <si>
    <t>EQA44</t>
  </si>
  <si>
    <t>04/01/2025 06:56</t>
  </si>
  <si>
    <t>TH28136NH6137E</t>
  </si>
  <si>
    <t>EQA43</t>
  </si>
  <si>
    <t>04/01/2025 06:55</t>
  </si>
  <si>
    <t>754235873834</t>
  </si>
  <si>
    <t>EQA42</t>
  </si>
  <si>
    <t>04/01/2025 06:53</t>
  </si>
  <si>
    <t>TH258964643269W</t>
  </si>
  <si>
    <t>EQA41</t>
  </si>
  <si>
    <t>ว***ษ์ ศ***ัฒน์</t>
  </si>
  <si>
    <t>04/01/2025 06:33</t>
  </si>
  <si>
    <t>THT68021DW42X2Z</t>
  </si>
  <si>
    <t>EQA40</t>
  </si>
  <si>
    <t>ต***</t>
  </si>
  <si>
    <t>04/01/2025 06:26</t>
  </si>
  <si>
    <t>THT02051DW40M0Z</t>
  </si>
  <si>
    <t>EQA39</t>
  </si>
  <si>
    <t>แ***ภา ป***พหมู่</t>
  </si>
  <si>
    <t>04/01/2025 06:20</t>
  </si>
  <si>
    <t>754226295745</t>
  </si>
  <si>
    <t>04/01/2025 06:21</t>
  </si>
  <si>
    <t>EQA38</t>
  </si>
  <si>
    <t>******ตำบลกระแชง อำเภอสามโคก จังหวัดปทุมธานี 12160</t>
  </si>
  <si>
    <t>60</t>
  </si>
  <si>
    <t>04/01/2025 06:03</t>
  </si>
  <si>
    <t>TH2580027670650</t>
  </si>
  <si>
    <t>EQA37</t>
  </si>
  <si>
    <t>ธ******ม</t>
  </si>
  <si>
    <t>******ตำบลสามบัณฑิต อำเภออุทัย จังหวัดพระนครศรีอยุธยา 13210</t>
  </si>
  <si>
    <t>04/01/2025 06:01</t>
  </si>
  <si>
    <t>TH250010191505Y</t>
  </si>
  <si>
    <t>04/01/2025 06:00</t>
  </si>
  <si>
    <t>EQA36</t>
  </si>
  <si>
    <t>ณ***์ธนิน ก***นสมาธิ</t>
  </si>
  <si>
    <t>04/01/2025 05:56</t>
  </si>
  <si>
    <t>754286397745</t>
  </si>
  <si>
    <t>EQA35</t>
  </si>
  <si>
    <t>ศ***ร</t>
  </si>
  <si>
    <t>04/01/2025 05:43</t>
  </si>
  <si>
    <t>754276874831</t>
  </si>
  <si>
    <t>EQA34</t>
  </si>
  <si>
    <t>วรรณี พนาวิชัยกุล</t>
  </si>
  <si>
    <t>6/611 ซอยคู้บอน 27 แยก 58 ถนนรามอินทรา · ท่าแร้ง/ Tha Raeng
บางเขน/ Bang Khenกรุงเทพมหานคร/ Bangkok
10220</t>
  </si>
  <si>
    <t>660896084401</t>
  </si>
  <si>
    <t>04/01/2025 05:17</t>
  </si>
  <si>
    <t>LEXDO0123767259</t>
  </si>
  <si>
    <t>EQA33</t>
  </si>
  <si>
    <t>04/01/2025 05:15</t>
  </si>
  <si>
    <t>LEXPU0441467738</t>
  </si>
  <si>
    <t>04/01/2025 05:14</t>
  </si>
  <si>
    <t>EQA32</t>
  </si>
  <si>
    <t>ส***รัตน์ แ***้อง</t>
  </si>
  <si>
    <t>04/01/2025 05:02</t>
  </si>
  <si>
    <t>754299265882</t>
  </si>
  <si>
    <t>EQA31</t>
  </si>
  <si>
    <t>ส***ญญา ด***ก้ว</t>
  </si>
  <si>
    <t>04/01/2025 04:26</t>
  </si>
  <si>
    <t>THT31011DVX8N6Z</t>
  </si>
  <si>
    <t>04/01/2025 04:27</t>
  </si>
  <si>
    <t>EQA30</t>
  </si>
  <si>
    <t>04/01/2025 04:22</t>
  </si>
  <si>
    <t>754259192750</t>
  </si>
  <si>
    <t>04/01/2025 04:23</t>
  </si>
  <si>
    <t>EQA29</t>
  </si>
  <si>
    <t>04/01/2025 04:42</t>
  </si>
  <si>
    <t>TH252341318242P</t>
  </si>
  <si>
    <t>04/01/2025 04:18</t>
  </si>
  <si>
    <t>EQA28</t>
  </si>
  <si>
    <t>04/01/2025 04:41</t>
  </si>
  <si>
    <t>TH2573194009921</t>
  </si>
  <si>
    <t>04/01/2025 04:17</t>
  </si>
  <si>
    <t>EQA27</t>
  </si>
  <si>
    <t>น***พัชรี. ท***สอน</t>
  </si>
  <si>
    <t>04/01/2025 03:41</t>
  </si>
  <si>
    <t>754237274836</t>
  </si>
  <si>
    <t>EQA26</t>
  </si>
  <si>
    <t>04/01/2025 03:15</t>
  </si>
  <si>
    <t>754267072801</t>
  </si>
  <si>
    <t>EQA25</t>
  </si>
  <si>
    <t>ค***ำรวย บ***ผู้ใหญ่</t>
  </si>
  <si>
    <t>04/01/2025 04:21</t>
  </si>
  <si>
    <t>754218272835</t>
  </si>
  <si>
    <t>04/01/2025 03:04</t>
  </si>
  <si>
    <t>EQA24</t>
  </si>
  <si>
    <t>พจณา แซ่เตี้ยว</t>
  </si>
  <si>
    <t>พี.ที. แมนชั่น,  1ซอยรามคำแหง24แยก22 ถ.รามคำแหง แขวงหัวหมาก เขตบางกะปิ กทม.10240 · หัวหมาก/ Hua Mak
บางกะปิ/ Bang Kapiกรุงเทพมหานคร/ Bangkok
10240</t>
  </si>
  <si>
    <t>660983362342</t>
  </si>
  <si>
    <t>LEXPU0441466879</t>
  </si>
  <si>
    <t>04/01/2025 03:03</t>
  </si>
  <si>
    <t>EQA23</t>
  </si>
  <si>
    <t>ม***า  ร***ก้ว</t>
  </si>
  <si>
    <t>04/01/2025 02:51</t>
  </si>
  <si>
    <t>754238677835</t>
  </si>
  <si>
    <t>EQA22</t>
  </si>
  <si>
    <t>ป***์ธิดา ท***ี</t>
  </si>
  <si>
    <t>04/01/2025 02:23</t>
  </si>
  <si>
    <t>THT01391DVTHA3Z</t>
  </si>
  <si>
    <t>EQA21</t>
  </si>
  <si>
    <t>T***mo</t>
  </si>
  <si>
    <t>04/01/2025 01:56</t>
  </si>
  <si>
    <t>754258763860</t>
  </si>
  <si>
    <t>04/01/2025 01:55</t>
  </si>
  <si>
    <t>EQA20</t>
  </si>
  <si>
    <t>ป***ญา.  น***ประภากร</t>
  </si>
  <si>
    <t>04/01/2025 01:35</t>
  </si>
  <si>
    <t>754243165830</t>
  </si>
  <si>
    <t>04/01/2025 01:36</t>
  </si>
  <si>
    <t>EQA19</t>
  </si>
  <si>
    <t>ท***ูณ ป***ทานะโต</t>
  </si>
  <si>
    <t>04/01/2025 01:33</t>
  </si>
  <si>
    <t>754269163863</t>
  </si>
  <si>
    <t>EQA18</t>
  </si>
  <si>
    <t>สันติภาพ</t>
  </si>
  <si>
    <t>32 ซ.นาวงประชาพัฒนา2  ถ นาวงประชาพัฒนา ต ส์กัน อ ดอนเมือง จ กรุงเทพ
ดอนเมือง/ Don Mueangกรุงเทพมหานคร/ Bangkok
10210</t>
  </si>
  <si>
    <t>660854821324</t>
  </si>
  <si>
    <t>04/01/2025 01:34</t>
  </si>
  <si>
    <t>LEXPU0441481124</t>
  </si>
  <si>
    <t>EQA17</t>
  </si>
  <si>
    <t>อ***ญา อ***โชติ</t>
  </si>
  <si>
    <t>04/01/2025 01:00</t>
  </si>
  <si>
    <t>754216872846</t>
  </si>
  <si>
    <t>EQA16</t>
  </si>
  <si>
    <t>ณ***ดา เ***รจนจินดา</t>
  </si>
  <si>
    <t>04/01/2025 00:54</t>
  </si>
  <si>
    <t>754276890754</t>
  </si>
  <si>
    <t>EQA15</t>
  </si>
  <si>
    <t>น***นทร อ***ะสุข</t>
  </si>
  <si>
    <t>04/01/2025 00:49</t>
  </si>
  <si>
    <t>754250845891</t>
  </si>
  <si>
    <t>04/01/2025 00:50</t>
  </si>
  <si>
    <t>EQA14</t>
  </si>
  <si>
    <t>แ******์</t>
  </si>
  <si>
    <t>******ลเดิมบาง อำเภอเดิมบางนางบวช จังหวัดสุพรรณบุรี 72120</t>
  </si>
  <si>
    <t>66</t>
  </si>
  <si>
    <t>04/01/2025 00:40</t>
  </si>
  <si>
    <t>TH250662562813Q</t>
  </si>
  <si>
    <t>04/01/2025 00:39</t>
  </si>
  <si>
    <t>EQA11</t>
  </si>
  <si>
    <t>ส***น บ***า</t>
  </si>
  <si>
    <t>04/01/2025 00:28</t>
  </si>
  <si>
    <t>754294479842</t>
  </si>
  <si>
    <t>EQA9</t>
  </si>
  <si>
    <t>น***ร บ***ิทธิโกศล</t>
  </si>
  <si>
    <t>04/01/2025 00:23</t>
  </si>
  <si>
    <t>754203934890</t>
  </si>
  <si>
    <t>04/01/2025 00:26</t>
  </si>
  <si>
    <t>EQA8</t>
  </si>
  <si>
    <t>A** G***am</t>
  </si>
  <si>
    <t>04/01/2025 00:19</t>
  </si>
  <si>
    <t>THT47151DW6CW0Z</t>
  </si>
  <si>
    <t>04/01/2025 00:25</t>
  </si>
  <si>
    <t>EQA7</t>
  </si>
  <si>
    <t>******ผุด, อำเภอเกาะสมุย ตำบลบ่อผุด อำเภอเกาะสมุย จังหวัดสุราษฎร์ธานี 84320</t>
  </si>
  <si>
    <t>84320</t>
  </si>
  <si>
    <t>04/01/2025 00:42</t>
  </si>
  <si>
    <t>TH251081664313S</t>
  </si>
  <si>
    <t>EQA6</t>
  </si>
  <si>
    <t>ว** ศ***วรรค์</t>
  </si>
  <si>
    <t>04/01/2025 00:02</t>
  </si>
  <si>
    <t>754237854801</t>
  </si>
  <si>
    <t>04/01/2025 00:03</t>
  </si>
  <si>
    <t>EQA5</t>
  </si>
  <si>
    <t>ส***นดา ใ***้รอบ</t>
  </si>
  <si>
    <t>04/01/2025 00:00</t>
  </si>
  <si>
    <t>754277763816</t>
  </si>
  <si>
    <t>EQA4</t>
  </si>
  <si>
    <t>ช***ัตน์ อ***ีเชาว์</t>
  </si>
  <si>
    <t>754288241862</t>
  </si>
  <si>
    <t>EQA3</t>
  </si>
  <si>
    <t>บ***ากร จ***ช่วย</t>
  </si>
  <si>
    <t>03/01/2025 23:59</t>
  </si>
  <si>
    <t>THT65061DVQA31Z</t>
  </si>
  <si>
    <t>EQA2</t>
  </si>
  <si>
    <t>ท***ัตน์ ค***น</t>
  </si>
  <si>
    <t>754258671810</t>
  </si>
  <si>
    <t>EQA1</t>
  </si>
  <si>
    <t>l***sara</t>
  </si>
  <si>
    <t>03/01/2025 23:58</t>
  </si>
  <si>
    <t>THT65081DW3Z46Z</t>
  </si>
  <si>
    <t>EQA0</t>
  </si>
  <si>
    <t>ส***ณี</t>
  </si>
  <si>
    <t>03/01/2025 23:56</t>
  </si>
  <si>
    <t>754223968853</t>
  </si>
  <si>
    <t>EPZ98</t>
  </si>
  <si>
    <t>ส***วรรณ ส***มัจโร</t>
  </si>
  <si>
    <t>03/01/2025 23:52</t>
  </si>
  <si>
    <t>754242235806</t>
  </si>
  <si>
    <t>EPZ96</t>
  </si>
  <si>
    <t>น***าวอัญชลิกา ม***มูล</t>
  </si>
  <si>
    <t>03/01/2025 23:43</t>
  </si>
  <si>
    <t>754265564824</t>
  </si>
  <si>
    <t>EPZ95</t>
  </si>
  <si>
    <t>ป***ันธ์ ป***ุข</t>
  </si>
  <si>
    <t>03/01/2025 23:42</t>
  </si>
  <si>
    <t>THT64131DW3ZZ2Z</t>
  </si>
  <si>
    <t>EPZ94</t>
  </si>
  <si>
    <t>จ***รกานต์​</t>
  </si>
  <si>
    <t>754239524813</t>
  </si>
  <si>
    <t>EPZ93</t>
  </si>
  <si>
    <t>เ** เ***ิรา</t>
  </si>
  <si>
    <t>03/01/2025 23:41</t>
  </si>
  <si>
    <t>754284780782</t>
  </si>
  <si>
    <t>EPZ92</t>
  </si>
  <si>
    <t>ส***ย์ ศ***ำภา</t>
  </si>
  <si>
    <t>03/01/2025 23:39</t>
  </si>
  <si>
    <t>754250270804</t>
  </si>
  <si>
    <t>EPZ91</t>
  </si>
  <si>
    <t>754247390750</t>
  </si>
  <si>
    <t>EPZ90</t>
  </si>
  <si>
    <t>ศ***ักษณ์ ส***น</t>
  </si>
  <si>
    <t>03/01/2025 23:38</t>
  </si>
  <si>
    <t>754239533880</t>
  </si>
  <si>
    <t>EPZ89</t>
  </si>
  <si>
    <t>ธ***ร โ***สารวงศ์</t>
  </si>
  <si>
    <t>03/01/2025 23:33</t>
  </si>
  <si>
    <t>THT64091DVTQK5Z</t>
  </si>
  <si>
    <t>03/01/2025 23:32</t>
  </si>
  <si>
    <t>EPZ88</t>
  </si>
  <si>
    <t>ธ***รัตน์ ล***งษ์</t>
  </si>
  <si>
    <t>03/01/2025 23:28</t>
  </si>
  <si>
    <t>754299165841</t>
  </si>
  <si>
    <t>EPZ87</t>
  </si>
  <si>
    <t xml:space="preserve">พ***ร ศ***สงใส </t>
  </si>
  <si>
    <t>03/01/2025 23:29</t>
  </si>
  <si>
    <t>754292891752</t>
  </si>
  <si>
    <t>EPZ86</t>
  </si>
  <si>
    <t>ค*** ส***สสรา​  บ***อิน</t>
  </si>
  <si>
    <t>03/01/2025 23:27</t>
  </si>
  <si>
    <t>754208925816</t>
  </si>
  <si>
    <t>EPZ85</t>
  </si>
  <si>
    <t>ณ***ดา ด***าคร</t>
  </si>
  <si>
    <t>03/01/2025 23:25</t>
  </si>
  <si>
    <t>754298660846</t>
  </si>
  <si>
    <t>EPZ84</t>
  </si>
  <si>
    <t>ส***รัตน์ ค***ลา</t>
  </si>
  <si>
    <t>03/01/2025 23:15</t>
  </si>
  <si>
    <t>754241642851</t>
  </si>
  <si>
    <t>EPZ83</t>
  </si>
  <si>
    <t>ว***า    เ***ฐสูงเนิน</t>
  </si>
  <si>
    <t>03/01/2025 23:14</t>
  </si>
  <si>
    <t>754236098766</t>
  </si>
  <si>
    <t>EPZ82</t>
  </si>
  <si>
    <t>03/01/2025 23:10</t>
  </si>
  <si>
    <t>754209460841</t>
  </si>
  <si>
    <t>EPZ81</t>
  </si>
  <si>
    <t>น***พจนีย์ จ***</t>
  </si>
  <si>
    <t>03/01/2025 23:07</t>
  </si>
  <si>
    <t>754256710830</t>
  </si>
  <si>
    <t>EPZ80</t>
  </si>
  <si>
    <t>อ***ลักษณ์ เ***อง</t>
  </si>
  <si>
    <t>03/01/2025 23:05</t>
  </si>
  <si>
    <t>754235924842</t>
  </si>
  <si>
    <t>EPZ79</t>
  </si>
  <si>
    <t>ช***ราวุฒิ โ***ุลย์</t>
  </si>
  <si>
    <t>03/01/2025 23:04</t>
  </si>
  <si>
    <t>754225426824</t>
  </si>
  <si>
    <t>03/01/2025 23:03</t>
  </si>
  <si>
    <t>EPZ78</t>
  </si>
  <si>
    <t>ส***า ว***ทยานเขานางพันธุรัต</t>
  </si>
  <si>
    <t>03/01/2025 22:56</t>
  </si>
  <si>
    <t>ไม่เอาไส้ทุเรียนค่ะ รบกวนเปลี่ยนเป็นไส้อื่นแทนได้ค่ะ ขอบคุณค่ะ</t>
  </si>
  <si>
    <t>754266601896</t>
  </si>
  <si>
    <t>EPZ77</t>
  </si>
  <si>
    <t>น***าวนภัสวรรณ ก***งกาย</t>
  </si>
  <si>
    <t>03/01/2025 22:53</t>
  </si>
  <si>
    <t>THT27101DVMNM7Z</t>
  </si>
  <si>
    <t>EPZ76</t>
  </si>
  <si>
    <t>ด***วายุภัทร์ ส***บาย</t>
  </si>
  <si>
    <t>03/01/2025 22:45</t>
  </si>
  <si>
    <t>754265362826</t>
  </si>
  <si>
    <t>EPZ75</t>
  </si>
  <si>
    <t>ไ***า ค***จันทร์</t>
  </si>
  <si>
    <t>03/01/2025 22:43</t>
  </si>
  <si>
    <t>754258860832</t>
  </si>
  <si>
    <t>สอดไส้+ไม่มีไส้</t>
  </si>
  <si>
    <t>ชิฟฟ่อนสอดไส้6ชิ้ + ชิฟฟ่อนไม่ไส้8ชิ้น</t>
  </si>
  <si>
    <t>EPZ74</t>
  </si>
  <si>
    <t>เ***พรรณ อ***านรัตน์</t>
  </si>
  <si>
    <t>03/01/2025 22:42</t>
  </si>
  <si>
    <t>THT17031DVQEC6Z</t>
  </si>
  <si>
    <t>EPZ73</t>
  </si>
  <si>
    <t>******่าน้าว ตำบลท่าน้าว อำเภอภูเพียง จังหวัดน่าน 55000</t>
  </si>
  <si>
    <t>TH52146NHX894F</t>
  </si>
  <si>
    <t>EPZ72</t>
  </si>
  <si>
    <t>ร***ทิวา ป***พ</t>
  </si>
  <si>
    <t>03/01/2025 22:41</t>
  </si>
  <si>
    <t>754209960814</t>
  </si>
  <si>
    <t>EPZ70</t>
  </si>
  <si>
    <t>ล***าแสงศรี</t>
  </si>
  <si>
    <t>03/01/2025 22:37</t>
  </si>
  <si>
    <t>754212234812</t>
  </si>
  <si>
    <t>EPZ68</t>
  </si>
  <si>
    <t>ป***ทิพย์ อ***สิทธิ์</t>
  </si>
  <si>
    <t>03/01/2025 22:35</t>
  </si>
  <si>
    <t>754283467862</t>
  </si>
  <si>
    <t>EPZ67</t>
  </si>
  <si>
    <t>ศ***ลักษณ์  อ***ลี</t>
  </si>
  <si>
    <t>03/01/2025 22:33</t>
  </si>
  <si>
    <t>754286963861</t>
  </si>
  <si>
    <t>EPZ66</t>
  </si>
  <si>
    <t>ต******์</t>
  </si>
  <si>
    <t>******นสุข (บางกรวย 13) ตำบลบางกรวย ตำบลบางกรวย อำเภอบางกรวย จังหวัดนนทบุรี 11130</t>
  </si>
  <si>
    <t>11130</t>
  </si>
  <si>
    <t>03/01/2025 23:01</t>
  </si>
  <si>
    <t>TH03026NJBXA1B</t>
  </si>
  <si>
    <t>03/01/2025 22:31</t>
  </si>
  <si>
    <t>EPZ65</t>
  </si>
  <si>
    <t>บ***ร  ส***รี</t>
  </si>
  <si>
    <t>03/01/2025 22:27</t>
  </si>
  <si>
    <t>754284258803</t>
  </si>
  <si>
    <t>EPZ63</t>
  </si>
  <si>
    <t>ว***น ไ***ันธ์</t>
  </si>
  <si>
    <t>03/01/2025 22:25</t>
  </si>
  <si>
    <t>754294668864</t>
  </si>
  <si>
    <t>EPZ61</t>
  </si>
  <si>
    <t>น.ส.จันทรา  บุญมี</t>
  </si>
  <si>
    <t>50/3 ม.3 ซ.แม่น้ำ5 · แม่น้ำ/ Mae Nam
เกาะสมุย/ Ko Samuiสุราษฎร์ธานี/ Surat Thani
84330</t>
  </si>
  <si>
    <t>84330</t>
  </si>
  <si>
    <t>660866873609</t>
  </si>
  <si>
    <t>03/01/2025 22:20</t>
  </si>
  <si>
    <t>TH68046NH6834G</t>
  </si>
  <si>
    <t>EPZ59</t>
  </si>
  <si>
    <t>พ***์พรรณ ส***ันธ์</t>
  </si>
  <si>
    <t>03/01/2025 22:15</t>
  </si>
  <si>
    <t>754249466854</t>
  </si>
  <si>
    <t>EPZ58</t>
  </si>
  <si>
    <t>1** ห*** 4 บ***ดงมัน ต***คำนาดี อ***อโพนทอง จ***วัดร้อยเอ็ด 4***</t>
  </si>
  <si>
    <t>03/01/2025 22:12</t>
  </si>
  <si>
    <t>754278071831</t>
  </si>
  <si>
    <t>03/01/2025 22:11</t>
  </si>
  <si>
    <t>EPZ57</t>
  </si>
  <si>
    <t>03/01/2025 22:09</t>
  </si>
  <si>
    <t>754209865802</t>
  </si>
  <si>
    <t>EPZ56</t>
  </si>
  <si>
    <t>อ***ภรณ์   เ***รงค์</t>
  </si>
  <si>
    <t>03/01/2025 22:04</t>
  </si>
  <si>
    <t>754200760810</t>
  </si>
  <si>
    <t>EPZ55</t>
  </si>
  <si>
    <t>โ***วดี  ข***นู</t>
  </si>
  <si>
    <t>754210670813</t>
  </si>
  <si>
    <t>EPZ52</t>
  </si>
  <si>
    <t>นันทิดา ปิบเงิน</t>
  </si>
  <si>
    <t>99/24ม.10 · หนองขาม/ Nong Kham
ศรีราชา/ Si Rachaชลบุรี/ Chonburi
20230</t>
  </si>
  <si>
    <t>660848691618</t>
  </si>
  <si>
    <t>03/01/2025 21:57</t>
  </si>
  <si>
    <t>LEXPU0441480569</t>
  </si>
  <si>
    <t>EPZ51</t>
  </si>
  <si>
    <t>เ***บียร์ ร***ฯ ผ***</t>
  </si>
  <si>
    <t>754221361810</t>
  </si>
  <si>
    <t>EPZ50</t>
  </si>
  <si>
    <t>ป***ภรณ์ ช***ัย</t>
  </si>
  <si>
    <t>03/01/2025 21:56</t>
  </si>
  <si>
    <t>THT20071DW3SE4Z</t>
  </si>
  <si>
    <t>EPZ49</t>
  </si>
  <si>
    <t>อ***รา ร***วุฒิ</t>
  </si>
  <si>
    <t>03/01/2025 21:50</t>
  </si>
  <si>
    <t>THT07021DW3JD0Z</t>
  </si>
  <si>
    <t>EPZ47</t>
  </si>
  <si>
    <t>เ* ท***น</t>
  </si>
  <si>
    <t>03/01/2025 21:47</t>
  </si>
  <si>
    <t>754206066832</t>
  </si>
  <si>
    <t>EPZ46</t>
  </si>
  <si>
    <t>พ***รรณ แ***สำโรง</t>
  </si>
  <si>
    <t>03/01/2025 21:43</t>
  </si>
  <si>
    <t>754274963816</t>
  </si>
  <si>
    <t>03/01/2025 21:42</t>
  </si>
  <si>
    <t>EPZ45</t>
  </si>
  <si>
    <t>ล***ลา ส***ัญญา</t>
  </si>
  <si>
    <t>03/01/2025 21:40</t>
  </si>
  <si>
    <t>THT24051DVKWZ7Z</t>
  </si>
  <si>
    <t>EPZ44</t>
  </si>
  <si>
    <t>อ***งค์</t>
  </si>
  <si>
    <t>03/01/2025 21:39</t>
  </si>
  <si>
    <t>754224059805</t>
  </si>
  <si>
    <t>EPZ43</t>
  </si>
  <si>
    <t>ศ***ัตน์ ข***ครือ</t>
  </si>
  <si>
    <t>754233355875</t>
  </si>
  <si>
    <t>EPZ42</t>
  </si>
  <si>
    <t>เ**ก</t>
  </si>
  <si>
    <t>******, ถนน กาญจนวนิช, ตำบล คอหงส์, อำเภอหาดใหญ่ ตำบลคอหงส์ อำเภอหาดใหญ่ จังหวัดสงขลา 90110</t>
  </si>
  <si>
    <t>03/01/2025 21:38</t>
  </si>
  <si>
    <t>TH71116NH8BK1D0</t>
  </si>
  <si>
    <t>EPZ41</t>
  </si>
  <si>
    <t>นิภาภรณ์ แทนน้อย</t>
  </si>
  <si>
    <t>358หมู่10ตำบลพานทอง
ไทรงาม/ Sai Ngamกำแพงเพชร/ Kamphaeng Phet
62150</t>
  </si>
  <si>
    <t>62150</t>
  </si>
  <si>
    <t>660613599693</t>
  </si>
  <si>
    <t>03/01/2025 21:37</t>
  </si>
  <si>
    <t>TH58026NHBFB9F</t>
  </si>
  <si>
    <t>EPZ40</t>
  </si>
  <si>
    <t>อ***ย</t>
  </si>
  <si>
    <t>THT04021DVSYA3Z</t>
  </si>
  <si>
    <t>EPZ39</t>
  </si>
  <si>
    <t>ป***ุญและปางแม่วัง</t>
  </si>
  <si>
    <t>04/01/2025 07:36</t>
  </si>
  <si>
    <t>754302007325</t>
  </si>
  <si>
    <t>03/01/2025 21:35</t>
  </si>
  <si>
    <t>EPZ38</t>
  </si>
  <si>
    <t>ค***ชลิดา ป***พ</t>
  </si>
  <si>
    <t>03/01/2025 21:32</t>
  </si>
  <si>
    <t>754245761813</t>
  </si>
  <si>
    <t>EPZ37</t>
  </si>
  <si>
    <t>03/01/2025 21:31</t>
  </si>
  <si>
    <t>754257962813</t>
  </si>
  <si>
    <t>EPZ36</t>
  </si>
  <si>
    <t>ว***ี ส***าดุลย์</t>
  </si>
  <si>
    <t>03/01/2025 21:28</t>
  </si>
  <si>
    <t>754253387790</t>
  </si>
  <si>
    <t>03/01/2025 21:29</t>
  </si>
  <si>
    <t>EPZ34</t>
  </si>
  <si>
    <t>03/01/2025 22:03</t>
  </si>
  <si>
    <t>TH61046NH6HC0E</t>
  </si>
  <si>
    <t>EPZ30</t>
  </si>
  <si>
    <t>T***awin</t>
  </si>
  <si>
    <t>03/01/2025 21:22</t>
  </si>
  <si>
    <t>THT01031DW3NZ4Z</t>
  </si>
  <si>
    <t>EPZ28</t>
  </si>
  <si>
    <t>03/01/2025 21:17</t>
  </si>
  <si>
    <t>754260519843</t>
  </si>
  <si>
    <t>03/01/2025 21:18</t>
  </si>
  <si>
    <t>EPZ27</t>
  </si>
  <si>
    <t>จ***าพร ป***สำอางค์</t>
  </si>
  <si>
    <t>THT13051DVTWB3Z</t>
  </si>
  <si>
    <t>EPZ26</t>
  </si>
  <si>
    <t>ว***า  อ***ิต</t>
  </si>
  <si>
    <t>03/01/2025 21:11</t>
  </si>
  <si>
    <t>754243960820</t>
  </si>
  <si>
    <t>03/01/2025 21:16</t>
  </si>
  <si>
    <t>EPZ25</t>
  </si>
  <si>
    <t>อ***วัน. เ***ชัย</t>
  </si>
  <si>
    <t>03/01/2025 21:03</t>
  </si>
  <si>
    <t>THT02061DVHHU1Z</t>
  </si>
  <si>
    <t>EPZ24</t>
  </si>
  <si>
    <t>ศ***ยา อ***ัญจร</t>
  </si>
  <si>
    <t>03/01/2025 20:58</t>
  </si>
  <si>
    <t>754250278821</t>
  </si>
  <si>
    <t>EPZ23</t>
  </si>
  <si>
    <t>03/01/2025 20:57</t>
  </si>
  <si>
    <t>754244731870</t>
  </si>
  <si>
    <t>EPZ20</t>
  </si>
  <si>
    <t>ว***ล ท***ัน</t>
  </si>
  <si>
    <t>03/01/2025 20:55</t>
  </si>
  <si>
    <t>THT46011DW06J0Z</t>
  </si>
  <si>
    <t>03/01/2025 20:56</t>
  </si>
  <si>
    <t>EPZ19</t>
  </si>
  <si>
    <t>เ***มาศ แ***ทอง</t>
  </si>
  <si>
    <t>03/01/2025 20:52</t>
  </si>
  <si>
    <t>754219167822</t>
  </si>
  <si>
    <t>EPZ18</t>
  </si>
  <si>
    <t>เ***า ส***ษ์สา</t>
  </si>
  <si>
    <t>754260565844</t>
  </si>
  <si>
    <t>EPZ17</t>
  </si>
  <si>
    <t>น***สุรีย์รัตน์ ม***สุข</t>
  </si>
  <si>
    <t>03/01/2025 20:51</t>
  </si>
  <si>
    <t>754243568816</t>
  </si>
  <si>
    <t>EPZ16</t>
  </si>
  <si>
    <t>03/01/2025 21:20</t>
  </si>
  <si>
    <t>TH06026NJ4K81B</t>
  </si>
  <si>
    <t>03/01/2025 20:50</t>
  </si>
  <si>
    <t>EPZ15</t>
  </si>
  <si>
    <t>สุชาดา พิณเขียว</t>
  </si>
  <si>
    <t>7หมู่10 ถ.สุรนารายณ์ ต.โคกสูง อ.เมือง จ.นครราชสีมา
เมืองนครราชสีมา/ Mueng Nakorn Ratchasimaนครราชสีมา/ Nakhon Ratchasima
30310</t>
  </si>
  <si>
    <t>660994262516</t>
  </si>
  <si>
    <t>03/01/2025 20:49</t>
  </si>
  <si>
    <t>LEXPU0441458640</t>
  </si>
  <si>
    <t>03/01/2025 20:48</t>
  </si>
  <si>
    <t>EPZ14</t>
  </si>
  <si>
    <t>อ***สยา เ***เกตุการ</t>
  </si>
  <si>
    <t>03/01/2025 20:47</t>
  </si>
  <si>
    <t>THT02011DVPV88Z</t>
  </si>
  <si>
    <t>03/01/2025 20:46</t>
  </si>
  <si>
    <t>ไม่มีไส้8ชิ้น2กล่องสอดไส้6ชิ้น</t>
  </si>
  <si>
    <t>EPZ13</t>
  </si>
  <si>
    <t>น***าววันวิสาข์  พ***ุนทด</t>
  </si>
  <si>
    <t>THT04061DVKZV4Z</t>
  </si>
  <si>
    <t>สอดไส้6ชิ้น2กล่องสอดไส้6ชิ้น</t>
  </si>
  <si>
    <t>EPZ12</t>
  </si>
  <si>
    <t>น***เนเน่</t>
  </si>
  <si>
    <t>03/01/2025 20:41</t>
  </si>
  <si>
    <t>754278369843</t>
  </si>
  <si>
    <t>03/01/2025 20:40</t>
  </si>
  <si>
    <t>EPZ10</t>
  </si>
  <si>
    <t xml:space="preserve">ณ***ร </t>
  </si>
  <si>
    <t>03/01/2025 20:37</t>
  </si>
  <si>
    <t>754293769843</t>
  </si>
  <si>
    <t>EPZ9</t>
  </si>
  <si>
    <t>03/01/2025 20:36</t>
  </si>
  <si>
    <t>754264047880</t>
  </si>
  <si>
    <t>EPZ8</t>
  </si>
  <si>
    <t>ภ***ณี บ***ลับ</t>
  </si>
  <si>
    <t>03/01/2025 20:35</t>
  </si>
  <si>
    <t>THT57021DVFSS3Z</t>
  </si>
  <si>
    <t>EPZ7</t>
  </si>
  <si>
    <t>ว***นา เ***กสุบรนณ</t>
  </si>
  <si>
    <t>754294763854</t>
  </si>
  <si>
    <t>03/01/2025 20:34</t>
  </si>
  <si>
    <t>EPZ6</t>
  </si>
  <si>
    <t>ป***ล่าน</t>
  </si>
  <si>
    <t>03/01/2025 20:31</t>
  </si>
  <si>
    <t>754254062833</t>
  </si>
  <si>
    <t>EPZ5</t>
  </si>
  <si>
    <t>ห***พิรุณ ด***ฆ</t>
  </si>
  <si>
    <t>แต่ละกล่องขอคละมีใส้กับไม่มีใส้นะคะจะเอาไปเป็นของฝากปีใหม่ค่ะ</t>
  </si>
  <si>
    <t>THT59011DVT9N3Z</t>
  </si>
  <si>
    <t>EPZ4</t>
  </si>
  <si>
    <t>น***สมจิตร อ***ันต์</t>
  </si>
  <si>
    <t>03/01/2025 20:28</t>
  </si>
  <si>
    <t>754291942821</t>
  </si>
  <si>
    <t>EPZ2</t>
  </si>
  <si>
    <t>ก*** พ***ไทย</t>
  </si>
  <si>
    <t>03/01/2025 20:22</t>
  </si>
  <si>
    <t>754279279810</t>
  </si>
  <si>
    <t>EPZ1</t>
  </si>
  <si>
    <t>a***cha f***</t>
  </si>
  <si>
    <t>THT04031DVKYF7Z</t>
  </si>
  <si>
    <t>03/01/2025 20:21</t>
  </si>
  <si>
    <t>EPZ0</t>
  </si>
  <si>
    <t>น*** น***ศร ม***้มภัก</t>
  </si>
  <si>
    <t>754287240895</t>
  </si>
  <si>
    <t>03/01/2025 20:17</t>
  </si>
  <si>
    <t>EPY99</t>
  </si>
  <si>
    <t>บ***อิญ ท***ชียง</t>
  </si>
  <si>
    <t>03/01/2025 20:15</t>
  </si>
  <si>
    <t>754227278814</t>
  </si>
  <si>
    <t>EPY98</t>
  </si>
  <si>
    <t>อ***าต ป***าดี</t>
  </si>
  <si>
    <t>03/01/2025 20:11</t>
  </si>
  <si>
    <t>754232875826</t>
  </si>
  <si>
    <t>EPY96</t>
  </si>
  <si>
    <t>อ***</t>
  </si>
  <si>
    <t>03/01/2025 20:06</t>
  </si>
  <si>
    <t>754268364846</t>
  </si>
  <si>
    <t>EPY94</t>
  </si>
  <si>
    <t>ดวงกมล อยู่เย็น  (จากน้องมุก)</t>
  </si>
  <si>
    <t>69/530 หมู่บ้านวีเคโฮม ซอยอนามัยงามเจริญ 31 ถนนอนามัยงามเจริญ · ท่าข้าม/ Tha Kham
บางขุนเทียน/ Bang Khun Thianกรุงเทพมหานคร/ Bangkok
10150</t>
  </si>
  <si>
    <t>660972175574</t>
  </si>
  <si>
    <t>03/01/2025 20:04</t>
  </si>
  <si>
    <t>LEXDO0123756453</t>
  </si>
  <si>
    <t>EPY93</t>
  </si>
  <si>
    <t>******ากเกร็ด จังหวัดนนทบุรี ตำบลคลองข่อย อำเภอปากเกร็ด จังหวัดนนทบุรี 11120</t>
  </si>
  <si>
    <t>52</t>
  </si>
  <si>
    <t>03/01/2025 20:08</t>
  </si>
  <si>
    <t>TH03066NHSM42J</t>
  </si>
  <si>
    <t>03/01/2025 20:02</t>
  </si>
  <si>
    <t>EPY92</t>
  </si>
  <si>
    <t>น*** ส***ิง ห***ทอง</t>
  </si>
  <si>
    <t>THT12011DW64X0Z</t>
  </si>
  <si>
    <t>EPY91</t>
  </si>
  <si>
    <t>วิชุดา วรรณเขต</t>
  </si>
  <si>
    <t>CBC INGS (Thailand) Co.,Ltd หมู่ที่ 5 นิคมอุตสาหกรรมอมตะซิตี้ ชลบุรี 700/869 ตำบล หนองกะขะ อำเภอพานทอง ชลบุรี 20160
พานทอง/ Phan Thongชลบุรี/ Chonburi
20160</t>
  </si>
  <si>
    <t>20160</t>
  </si>
  <si>
    <t>660864077006</t>
  </si>
  <si>
    <t>LEXPU0441461709</t>
  </si>
  <si>
    <t>EPY90</t>
  </si>
  <si>
    <t>จ***รัตน์</t>
  </si>
  <si>
    <t>03/01/2025 20:01</t>
  </si>
  <si>
    <t>754202135886</t>
  </si>
  <si>
    <t>EPY89</t>
  </si>
  <si>
    <t>ข***ขนิษฐา พ***ักษา</t>
  </si>
  <si>
    <t>03/01/2025 20:00</t>
  </si>
  <si>
    <t>THT02051DW28F4Z</t>
  </si>
  <si>
    <t>EPY88</t>
  </si>
  <si>
    <t>ป***ัย แ***ทอง แ**</t>
  </si>
  <si>
    <t>03/01/2025 19:59</t>
  </si>
  <si>
    <t>THT71061DVDAB9Z</t>
  </si>
  <si>
    <t>EPY87</t>
  </si>
  <si>
    <t>เ***อวัลย์ จ***ม</t>
  </si>
  <si>
    <t>03/01/2025 19:56</t>
  </si>
  <si>
    <t>THT25071DVN253Z</t>
  </si>
  <si>
    <t>EPY85</t>
  </si>
  <si>
    <t>น***ช ด***ข็ม</t>
  </si>
  <si>
    <t>03/01/2025 19:55</t>
  </si>
  <si>
    <t>754270809832</t>
  </si>
  <si>
    <t>EPY84</t>
  </si>
  <si>
    <t>ว***า</t>
  </si>
  <si>
    <t>03/01/2025 19:54</t>
  </si>
  <si>
    <t>754278211886</t>
  </si>
  <si>
    <t>EPY83</t>
  </si>
  <si>
    <t>ป***า ล***สมบัติอนันต์</t>
  </si>
  <si>
    <t>03/01/2025 19:53</t>
  </si>
  <si>
    <t>754268368825</t>
  </si>
  <si>
    <t>EPY82</t>
  </si>
  <si>
    <t>แ***้อย  ศ***วณิชชากร</t>
  </si>
  <si>
    <t>03/01/2025 19:52</t>
  </si>
  <si>
    <t>THT02041DVTDA1Z</t>
  </si>
  <si>
    <t>EPY81</t>
  </si>
  <si>
    <t>ข***ฐา​ ด***รัส​</t>
  </si>
  <si>
    <t>03/01/2025 19:50</t>
  </si>
  <si>
    <t>754228731896</t>
  </si>
  <si>
    <t>EPY80</t>
  </si>
  <si>
    <t>******ขวงดินแดง, เขตดินแดง แขวงดินแดง เขตดินแดง จังหวัดกรุงเทพมหานคร 10400</t>
  </si>
  <si>
    <t>03/01/2025 20:18</t>
  </si>
  <si>
    <t>TH01086NJF939B1</t>
  </si>
  <si>
    <t>03/01/2025 19:48</t>
  </si>
  <si>
    <t>EPY79</t>
  </si>
  <si>
    <t>ณ***า ช***ัย</t>
  </si>
  <si>
    <t>754297670836</t>
  </si>
  <si>
    <t>EPY78</t>
  </si>
  <si>
    <t>น***รรยา ช***ูรณ์</t>
  </si>
  <si>
    <t>03/01/2025 19:45</t>
  </si>
  <si>
    <t>754227961826</t>
  </si>
  <si>
    <t>EPY77</t>
  </si>
  <si>
    <t>03/01/2025 19:44</t>
  </si>
  <si>
    <t>TH71056NHFN87C</t>
  </si>
  <si>
    <t>EPY76</t>
  </si>
  <si>
    <t>ร***ียบ แ***ศรี</t>
  </si>
  <si>
    <t>754275801834</t>
  </si>
  <si>
    <t>03/01/2025 19:43</t>
  </si>
  <si>
    <t>EPY75</t>
  </si>
  <si>
    <t>T**</t>
  </si>
  <si>
    <t>03/01/2025 19:39</t>
  </si>
  <si>
    <t>754201397751</t>
  </si>
  <si>
    <t>EPY73</t>
  </si>
  <si>
    <t>ช***นต์ จ***นะชาติ</t>
  </si>
  <si>
    <t>03/01/2025 19:35</t>
  </si>
  <si>
    <t>THT34061DVTA51Z</t>
  </si>
  <si>
    <t>EPY72</t>
  </si>
  <si>
    <t>ช******ม</t>
  </si>
  <si>
    <t>******่ทาวน์โฮม ซ.18 ต.ละหาร ตำบลละหาร อำเภอบางบัวทอง จังหวัดนนทบุรี 11110</t>
  </si>
  <si>
    <t>03/01/2025 19:34</t>
  </si>
  <si>
    <t>TH03046NJ0XC1E</t>
  </si>
  <si>
    <t>EPY71</t>
  </si>
  <si>
    <t>03/01/2025 19:33</t>
  </si>
  <si>
    <t>TH03046NJ0MD1E</t>
  </si>
  <si>
    <t>EPY70</t>
  </si>
  <si>
    <t>ธ******์</t>
  </si>
  <si>
    <t>******อ.บางบัวทอง จ.นนทบุรี 11110 (ซอย18 อยู่ตรงวงเวียน หลังที่2 ขวามือ) ตำบลละหาร อำเภอบางบัวทอง จังหวัดนนทบุรี 11110</t>
  </si>
  <si>
    <t>TH03046NHSVQ1E</t>
  </si>
  <si>
    <t>EPY69</t>
  </si>
  <si>
    <t>ส***ร์ ช***นุช</t>
  </si>
  <si>
    <t>03/01/2025 19:31</t>
  </si>
  <si>
    <t>754257420825</t>
  </si>
  <si>
    <t>EPY68</t>
  </si>
  <si>
    <t>ส***วัลย์ ม***วัน</t>
  </si>
  <si>
    <t>754241512824</t>
  </si>
  <si>
    <t>EPY66</t>
  </si>
  <si>
    <t>อ***ลี​  อ***​เศียร​</t>
  </si>
  <si>
    <t>03/01/2025 19:27</t>
  </si>
  <si>
    <t>754214046876</t>
  </si>
  <si>
    <t>EPY65</t>
  </si>
  <si>
    <t>ส****า</t>
  </si>
  <si>
    <t>******บลลำลูกกา อำเภอลำลูกกา จังหวัดปทุมธานี 12150</t>
  </si>
  <si>
    <t>04</t>
  </si>
  <si>
    <t>03/01/2025 19:26</t>
  </si>
  <si>
    <t>TH250572215401Q</t>
  </si>
  <si>
    <t>03/01/2025 19:25</t>
  </si>
  <si>
    <t>EPY64</t>
  </si>
  <si>
    <t>ชลดา ปิยะศิริภัณฑ์</t>
  </si>
  <si>
    <t>385/59 หมู่ที่ 10 หมู่บ้านเดโชคันทรี่5 · นครสวรรค์ตก/ Nakhon Sawan Tok
เมืองนครสวรรค์/ Mueang Nakhon Sawanนครสวรรค์/ Nakhon Sawan
60000</t>
  </si>
  <si>
    <t>660918379168</t>
  </si>
  <si>
    <t>LEXPU0441484455</t>
  </si>
  <si>
    <t>EPY63</t>
  </si>
  <si>
    <t>บ***ร ห***กระจก</t>
  </si>
  <si>
    <t>03/01/2025 19:24</t>
  </si>
  <si>
    <t>THT05161DVHNV3Z</t>
  </si>
  <si>
    <t>EPY62</t>
  </si>
  <si>
    <t>ป***า ค***งพรหม</t>
  </si>
  <si>
    <t>754232470806</t>
  </si>
  <si>
    <t>EPY61</t>
  </si>
  <si>
    <t>เ***ภา ม***ศรี</t>
  </si>
  <si>
    <t>THT20071DVTP55Z</t>
  </si>
  <si>
    <t>EPY60</t>
  </si>
  <si>
    <t>เ***จวรรณ บ***ะสีทา</t>
  </si>
  <si>
    <t>03/01/2025 19:22</t>
  </si>
  <si>
    <t>754266917854</t>
  </si>
  <si>
    <t>EPY58</t>
  </si>
  <si>
    <t>ศ******ล</t>
  </si>
  <si>
    <t>******ืองสมุทรปราการ (217) ตรงข้ามรร.สวัสดี2020 ตำบลเทพารักษ์ อำเภอเมืองสมุทรปราการ จังหวัดสมุทรปราการ 10270</t>
  </si>
  <si>
    <t>03/01/2025 19:20</t>
  </si>
  <si>
    <t>TH257056273784N</t>
  </si>
  <si>
    <t>03/01/2025 19:19</t>
  </si>
  <si>
    <t>EPY57</t>
  </si>
  <si>
    <t>ส****ล</t>
  </si>
  <si>
    <t>****** 87, ถนน ลาดพร้าว, แขวงคลองเจ้าคุณสิงห์, เขตวังทองหลาง แขวงคลองเจ้าคุณสิงห์ เขตวังทองหลาง จังหวัดกรุงเทพมหานคร 10310</t>
  </si>
  <si>
    <t>03/01/2025 19:15</t>
  </si>
  <si>
    <t>TH01416NJEDA4A</t>
  </si>
  <si>
    <t>03/01/2025 19:14</t>
  </si>
  <si>
    <t>EPY56</t>
  </si>
  <si>
    <t>ศ***พร ม***เรศ</t>
  </si>
  <si>
    <t>03/01/2025 19:07</t>
  </si>
  <si>
    <t>THT10011DVUB98Z</t>
  </si>
  <si>
    <t>EPY55</t>
  </si>
  <si>
    <t>03/01/2025 19:08</t>
  </si>
  <si>
    <t>TH01086NJAUD2B1</t>
  </si>
  <si>
    <t>EPY54</t>
  </si>
  <si>
    <t>เ***ักษร ส***ะนอง</t>
  </si>
  <si>
    <t>03/01/2025 19:06</t>
  </si>
  <si>
    <t>754262718823</t>
  </si>
  <si>
    <t>EPY53</t>
  </si>
  <si>
    <t>น** ช***ร ช***มย์</t>
  </si>
  <si>
    <t>03/01/2025 19:03</t>
  </si>
  <si>
    <t>754215476825</t>
  </si>
  <si>
    <t>03/01/2025 19:02</t>
  </si>
  <si>
    <t>EPY52</t>
  </si>
  <si>
    <t>ป***รรณ</t>
  </si>
  <si>
    <t>03/01/2025 19:01</t>
  </si>
  <si>
    <t>754205269845</t>
  </si>
  <si>
    <t>EPY51</t>
  </si>
  <si>
    <t>ส***นดา เ***ธิ์</t>
  </si>
  <si>
    <t>03/01/2025 19:00</t>
  </si>
  <si>
    <t>754264154851</t>
  </si>
  <si>
    <t>EPY50</t>
  </si>
  <si>
    <t>******ตำบลไร่รถ อำเภอดอนเจดีย์ จังหวัดสุพรรณบุรี 72170</t>
  </si>
  <si>
    <t>72170</t>
  </si>
  <si>
    <t>TH252327345506T</t>
  </si>
  <si>
    <t>03/01/2025 18:58</t>
  </si>
  <si>
    <t>EPY49</t>
  </si>
  <si>
    <t>******ีพาร์ค แยก 6-10 ต.บางบัวทอง ตำบลบางบัวทอง อำเภอบางบัวทอง จังหวัดนนทบุรี 11110</t>
  </si>
  <si>
    <t>TH03046NH8UY5B</t>
  </si>
  <si>
    <t>03/01/2025 18:57</t>
  </si>
  <si>
    <t>EPY48</t>
  </si>
  <si>
    <t>น***สภณ เ***่ยมมุกดา</t>
  </si>
  <si>
    <t>754216875812</t>
  </si>
  <si>
    <t>EPY47</t>
  </si>
  <si>
    <t>ช***นันท์ ว***ษโชค</t>
  </si>
  <si>
    <t>03/01/2025 18:55</t>
  </si>
  <si>
    <t>754258716816</t>
  </si>
  <si>
    <t>EPY46</t>
  </si>
  <si>
    <t>อ***า พ***์คง</t>
  </si>
  <si>
    <t>03/01/2025 18:53</t>
  </si>
  <si>
    <t>754285342823</t>
  </si>
  <si>
    <t>EPY45</t>
  </si>
  <si>
    <t>ส***ญา ศ***พร</t>
  </si>
  <si>
    <t>03/01/2025 18:45</t>
  </si>
  <si>
    <t>754258569842</t>
  </si>
  <si>
    <t>EPY43</t>
  </si>
  <si>
    <t>******ก2 แขวงท่าแร้ง เขตบางเขน จังหวัดกรุงเทพมหานคร 10230</t>
  </si>
  <si>
    <t>03/01/2025 18:43</t>
  </si>
  <si>
    <t>TH2592392284053</t>
  </si>
  <si>
    <t>03/01/2025 18:42</t>
  </si>
  <si>
    <t>EPY42</t>
  </si>
  <si>
    <t>K***ง ค***ิธิวัน</t>
  </si>
  <si>
    <t>03/01/2025 18:40</t>
  </si>
  <si>
    <t>THT03031DVGJF5Z</t>
  </si>
  <si>
    <t>EPY41</t>
  </si>
  <si>
    <t>ชนิดาภา ฉ่ำศรี</t>
  </si>
  <si>
    <t>(ร้านกาแฟหน้าโลตัสเขาหินซ้อน)171 ม2. ต.เขาหินซ้อน
พนมสารคาม/ Phanom Sarakhamฉะเชิงเทรา/ Chachoengsao
24120</t>
  </si>
  <si>
    <t>24120</t>
  </si>
  <si>
    <t>660629651852</t>
  </si>
  <si>
    <t>03/01/2025 18:37</t>
  </si>
  <si>
    <t>LEXPU0441468272</t>
  </si>
  <si>
    <t>EPY40</t>
  </si>
  <si>
    <t>ค***น ล***งดี</t>
  </si>
  <si>
    <t>754291420831</t>
  </si>
  <si>
    <t>03/01/2025 18:36</t>
  </si>
  <si>
    <t>EPY39</t>
  </si>
  <si>
    <t>ป***วบ</t>
  </si>
  <si>
    <t>03/01/2025 18:35</t>
  </si>
  <si>
    <t>754249020825</t>
  </si>
  <si>
    <t>EPY38</t>
  </si>
  <si>
    <t>K***ngKHaGarn</t>
  </si>
  <si>
    <t>03/01/2025 18:34</t>
  </si>
  <si>
    <t>754220273822</t>
  </si>
  <si>
    <t>EPY37</t>
  </si>
  <si>
    <t>ป***พ เ***สุวรรณ</t>
  </si>
  <si>
    <t>03/01/2025 18:33</t>
  </si>
  <si>
    <t>754239245896</t>
  </si>
  <si>
    <t>EPY36</t>
  </si>
  <si>
    <t>ฉ**</t>
  </si>
  <si>
    <t>03/01/2025 18:32</t>
  </si>
  <si>
    <t>754279875812</t>
  </si>
  <si>
    <t>EPY34</t>
  </si>
  <si>
    <t>******าะขันธ์, อำเภอชะอวด ตำบลเกาะขันธ์ อำเภอชะอวด จังหวัดนครศรีธรรมราช 80180</t>
  </si>
  <si>
    <t>80180</t>
  </si>
  <si>
    <t>TH64076NJB225H</t>
  </si>
  <si>
    <t>03/01/2025 18:31</t>
  </si>
  <si>
    <t>EPY33</t>
  </si>
  <si>
    <t>ชุดาภา ล่ามแขก</t>
  </si>
  <si>
    <t>38/2 หมู่7 บ้านศรีฐาน ต.ในเมือง อ.เมือง จ.ขอนแก่น ตรงข้าม ร้าน ซัก อบ รีด พรศรีฐาน
เมืองขอนแก่น/ Mueang Khon Kaenขอนแก่น/ Khon Kaen
40000</t>
  </si>
  <si>
    <t>660880375796</t>
  </si>
  <si>
    <t>03/01/2025 18:30</t>
  </si>
  <si>
    <t>LEXPU0441484952</t>
  </si>
  <si>
    <t>03/01/2025 18:29</t>
  </si>
  <si>
    <t>EPY32</t>
  </si>
  <si>
    <t>ค*** ส***</t>
  </si>
  <si>
    <t>03/01/2025 18:28</t>
  </si>
  <si>
    <t>754220960850</t>
  </si>
  <si>
    <t>EPY31</t>
  </si>
  <si>
    <t>ร******ี</t>
  </si>
  <si>
    <t>******ุณทหารลาดกระบัง วิทยาเขตชุมพร ( หอใน ), ตำบลชุมโค, อำเภอปะทิว ตำบลชุมโค อำเภอปะทิว จังหวัดชุมพร 86160</t>
  </si>
  <si>
    <t>86160</t>
  </si>
  <si>
    <t>86</t>
  </si>
  <si>
    <t>TH70036NHA861D</t>
  </si>
  <si>
    <t>EPY29</t>
  </si>
  <si>
    <t>******2 ตำบลทุ่งหลวง อำเภอคีรีมาศ จังหวัดสุโขทัย 64160</t>
  </si>
  <si>
    <t>64160</t>
  </si>
  <si>
    <t>03/01/2025 18:49</t>
  </si>
  <si>
    <t>TH2532762503758</t>
  </si>
  <si>
    <t>03/01/2025 18:20</t>
  </si>
  <si>
    <t>EPY28</t>
  </si>
  <si>
    <t>ป***วล ค***ำโรง</t>
  </si>
  <si>
    <t>03/01/2025 18:17</t>
  </si>
  <si>
    <t>754288567830</t>
  </si>
  <si>
    <t>03/01/2025 18:16</t>
  </si>
  <si>
    <t>EPY27</t>
  </si>
  <si>
    <t>ห***งฤทัย แ***ูงเนิน</t>
  </si>
  <si>
    <t>754219356855</t>
  </si>
  <si>
    <t>EPY25</t>
  </si>
  <si>
    <t>ป*** ธ***า</t>
  </si>
  <si>
    <t>03/01/2025 18:15</t>
  </si>
  <si>
    <t>THT01211DVT373Z</t>
  </si>
  <si>
    <t>EPY24</t>
  </si>
  <si>
    <t>จ***ร์จิรา ใ***ู</t>
  </si>
  <si>
    <t>03/01/2025 18:11</t>
  </si>
  <si>
    <t>754297569826</t>
  </si>
  <si>
    <t>EPY23</t>
  </si>
  <si>
    <t>น***ิกา น***ะสิงห์ น***แทน</t>
  </si>
  <si>
    <t>THT01031DVXQ28Z</t>
  </si>
  <si>
    <t>03/01/2025 18:10</t>
  </si>
  <si>
    <t>EPY22</t>
  </si>
  <si>
    <t>พ***ียา  น***งษา</t>
  </si>
  <si>
    <t>03/01/2025 18:08</t>
  </si>
  <si>
    <t>THT31021DVM8M5Z</t>
  </si>
  <si>
    <t>EPY21</t>
  </si>
  <si>
    <t>พ***า จ***ร</t>
  </si>
  <si>
    <t>THT13041DVQTD0Z</t>
  </si>
  <si>
    <t>03/01/2025 18:07</t>
  </si>
  <si>
    <t>EPY20</t>
  </si>
  <si>
    <t>ฉ***นา พ***นทึก</t>
  </si>
  <si>
    <t>754259843853</t>
  </si>
  <si>
    <t>EPY19</t>
  </si>
  <si>
    <t>น***า ก***บราณ</t>
  </si>
  <si>
    <t>03/01/2025 18:02</t>
  </si>
  <si>
    <t>754259563831</t>
  </si>
  <si>
    <t>EPY18</t>
  </si>
  <si>
    <t>ธ***พล ร***ะมาณ</t>
  </si>
  <si>
    <t>754259964850</t>
  </si>
  <si>
    <t>EPY17</t>
  </si>
  <si>
    <t>เ***  ร***ังหวัด</t>
  </si>
  <si>
    <t>03/01/2025 18:00</t>
  </si>
  <si>
    <t>754219297742</t>
  </si>
  <si>
    <t>EPY16</t>
  </si>
  <si>
    <t>นางสาวจันทร์จิรา ศรีสิงห์</t>
  </si>
  <si>
    <t>151/3 ถ.รัฐราษฎร์รังสรรค์ ต.ตะพานหิน
ตะพานหิน/ Taphan Hinพิจิตร/ Phichit
66110</t>
  </si>
  <si>
    <t>660873241975</t>
  </si>
  <si>
    <t>03/01/2025 17:59</t>
  </si>
  <si>
    <t>TH62046NH5937A</t>
  </si>
  <si>
    <t>EPY15</t>
  </si>
  <si>
    <t>ก***์สินี</t>
  </si>
  <si>
    <t>03/01/2025 18:03</t>
  </si>
  <si>
    <t>THT41041DVQEA7Z</t>
  </si>
  <si>
    <t>EPY14</t>
  </si>
  <si>
    <t>ศ******ร</t>
  </si>
  <si>
    <t>******น้อย ตึก23/1 ตำบลศีรษะจรเข้ใหญ่ อำเภอบางเสาธง จังหวัดสมุทรปราการ 10540</t>
  </si>
  <si>
    <t>03/01/2025 18:27</t>
  </si>
  <si>
    <t>TH02066NJ3F90C</t>
  </si>
  <si>
    <t>03/01/2025 17:57</t>
  </si>
  <si>
    <t>EPY13</t>
  </si>
  <si>
    <t>ร***าภรณ์ บ***าม</t>
  </si>
  <si>
    <t>03/01/2025 17:56</t>
  </si>
  <si>
    <t>THT01261DVWW80Z</t>
  </si>
  <si>
    <t>EPY12</t>
  </si>
  <si>
    <t>******ุมเกาะ อำเภอสวรรคโลก จังหวัดสุโขทัย 64110</t>
  </si>
  <si>
    <t>TH60076NHBF30I</t>
  </si>
  <si>
    <t>03/01/2025 17:55</t>
  </si>
  <si>
    <t>EPY11</t>
  </si>
  <si>
    <t>ช***ธร  น***าว์</t>
  </si>
  <si>
    <t>754223195773</t>
  </si>
  <si>
    <t>EPY10</t>
  </si>
  <si>
    <t>น***มคิด บ***ีร์</t>
  </si>
  <si>
    <t>03/01/2025 17:54</t>
  </si>
  <si>
    <t>754272679834</t>
  </si>
  <si>
    <t>EPY9</t>
  </si>
  <si>
    <t>จ***า ร***วิลัย</t>
  </si>
  <si>
    <t>THT15021DVSXU2Z</t>
  </si>
  <si>
    <t>EPY8</t>
  </si>
  <si>
    <t>อ***ักดิ์โกยรัมย์</t>
  </si>
  <si>
    <t>03/01/2025 17:48</t>
  </si>
  <si>
    <t>754286965854</t>
  </si>
  <si>
    <t>EPY7</t>
  </si>
  <si>
    <t>03/01/2025 17:47</t>
  </si>
  <si>
    <t>THT02061DVT4A7Z</t>
  </si>
  <si>
    <t>EPY6</t>
  </si>
  <si>
    <t>03/01/2025 17:41</t>
  </si>
  <si>
    <t>754258768852</t>
  </si>
  <si>
    <t>EPY5</t>
  </si>
  <si>
    <t>น*** จ***ุ่ม</t>
  </si>
  <si>
    <t>754296071826</t>
  </si>
  <si>
    <t>EPY4</t>
  </si>
  <si>
    <t>ว***พรรณ ศ***ะวรรณ์</t>
  </si>
  <si>
    <t>03/01/2025 17:38</t>
  </si>
  <si>
    <t>THT47061DVP8J1Z</t>
  </si>
  <si>
    <t>EPY3</t>
  </si>
  <si>
    <t>T******p</t>
  </si>
  <si>
    <t>******สบปราบ ตำบลสมัย อำเภอสบปราบ จังหวัดลำปาง 52170</t>
  </si>
  <si>
    <t>52170</t>
  </si>
  <si>
    <t>TH49116NH9YJ4B</t>
  </si>
  <si>
    <t>EPY2</t>
  </si>
  <si>
    <t>03/01/2025 17:34</t>
  </si>
  <si>
    <t>754230874832</t>
  </si>
  <si>
    <t>EPY1</t>
  </si>
  <si>
    <t>ส***พักตร์ ถ***รอด</t>
  </si>
  <si>
    <t>03/01/2025 17:30</t>
  </si>
  <si>
    <t>754281670844</t>
  </si>
  <si>
    <t>EPX99</t>
  </si>
  <si>
    <t>03/01/2025 17:09</t>
  </si>
  <si>
    <t>754217561845</t>
  </si>
  <si>
    <t>03/01/2025 17:10</t>
  </si>
  <si>
    <t>EPX98</t>
  </si>
  <si>
    <t>03/01/2025 17:08</t>
  </si>
  <si>
    <t>TH01166NJ3779A1</t>
  </si>
  <si>
    <t>EPX96</t>
  </si>
  <si>
    <t>ร***า แ***ำรงกุล</t>
  </si>
  <si>
    <t>03/01/2025 17:07</t>
  </si>
  <si>
    <t>THT15061DVTHT7Z</t>
  </si>
  <si>
    <t>EPX94</t>
  </si>
  <si>
    <t>03/01/2025 17:02</t>
  </si>
  <si>
    <t>THT07011DVA6R3Z</t>
  </si>
  <si>
    <t>EPX93</t>
  </si>
  <si>
    <t>ค***ุญเรือน โ***์ศรี</t>
  </si>
  <si>
    <t>03/01/2025 16:58</t>
  </si>
  <si>
    <t>754217076826</t>
  </si>
  <si>
    <t>EPX90</t>
  </si>
  <si>
    <t>03/01/2025 16:45</t>
  </si>
  <si>
    <t>THT64041DVW4R6Z</t>
  </si>
  <si>
    <t>EPX88</t>
  </si>
  <si>
    <t>ส***ธร ป***ไพริน</t>
  </si>
  <si>
    <t>03/01/2025 16:42</t>
  </si>
  <si>
    <t>754211069813</t>
  </si>
  <si>
    <t>EPX87</t>
  </si>
  <si>
    <t>น***ชิรวิชญ์ ธ***รอนันต์กูร</t>
  </si>
  <si>
    <t>03/01/2025 16:41</t>
  </si>
  <si>
    <t>754288875826</t>
  </si>
  <si>
    <t>EPX86</t>
  </si>
  <si>
    <t>ธ***ิษฐ์ ธ***พรเชาวนันท์</t>
  </si>
  <si>
    <t>754235151854</t>
  </si>
  <si>
    <t>EPX85</t>
  </si>
  <si>
    <t>สำลี แก่นอินทร์</t>
  </si>
  <si>
    <t>หมู่บ้านลานหิน 135หมู่5 · ลานดอกไม้/ Lan Dokmai
เมืองกำแพงเพชร/ Mueang Kamphaeng Phetกำแพงเพชร/ Kamphaeng Phet
62000</t>
  </si>
  <si>
    <t>660979812670</t>
  </si>
  <si>
    <t>LEXPU0441487792</t>
  </si>
  <si>
    <t>03/01/2025 16:40</t>
  </si>
  <si>
    <t>EPX84</t>
  </si>
  <si>
    <t>จ***มาศ โ***ัตน์</t>
  </si>
  <si>
    <t>03/01/2025 16:39</t>
  </si>
  <si>
    <t>754260478812</t>
  </si>
  <si>
    <t>EPX83</t>
  </si>
  <si>
    <t>ค***งศักดิ์ เ***ตะโร</t>
  </si>
  <si>
    <t>03/01/2025 16:38</t>
  </si>
  <si>
    <t>THT71011DW6AT6Z</t>
  </si>
  <si>
    <t>EPX82</t>
  </si>
  <si>
    <t>ป***ณา</t>
  </si>
  <si>
    <t>754256958873</t>
  </si>
  <si>
    <t>EPX81</t>
  </si>
  <si>
    <t>ส***วิณี  โ***์สุวรรณ์</t>
  </si>
  <si>
    <t>03/01/2025 16:36</t>
  </si>
  <si>
    <t>754256678825</t>
  </si>
  <si>
    <t>03/01/2025 16:35</t>
  </si>
  <si>
    <t>EPX79</t>
  </si>
  <si>
    <t>จ***ี่จัง</t>
  </si>
  <si>
    <t>03/01/2025 16:32</t>
  </si>
  <si>
    <t>THT27151DVHNN5Z</t>
  </si>
  <si>
    <t>EPX78</t>
  </si>
  <si>
    <t>ท******ญ</t>
  </si>
  <si>
    <t>******หกรรมไฮเทคบ้านหว้า  ต.บ้านโพธิ์ ตำบลบ้านโพ อำเภอบางปะอิน จังหวัดพระนครศรีอยุธยา 13160</t>
  </si>
  <si>
    <t>03/01/2025 16:56</t>
  </si>
  <si>
    <t>TH05066NH8017C</t>
  </si>
  <si>
    <t>03/01/2025 16:26</t>
  </si>
  <si>
    <t>EPX77</t>
  </si>
  <si>
    <t>จ***ภา จ***สาระ</t>
  </si>
  <si>
    <t>754263820881</t>
  </si>
  <si>
    <t>EPX76</t>
  </si>
  <si>
    <t>น***า บ***อดรักษ์</t>
  </si>
  <si>
    <t>03/01/2025 16:18</t>
  </si>
  <si>
    <t>754288478812</t>
  </si>
  <si>
    <t>03/01/2025 16:17</t>
  </si>
  <si>
    <t>EPX74</t>
  </si>
  <si>
    <t>M** T** M** T**</t>
  </si>
  <si>
    <t>Chon Buri</t>
  </si>
  <si>
    <t>03/01/2025 16:15</t>
  </si>
  <si>
    <t>754298366846</t>
  </si>
  <si>
    <t>EPX72</t>
  </si>
  <si>
    <t>ศศิธร ธรรมนิยม</t>
  </si>
  <si>
    <t>315ม.7 ต.บ้านซ่อง อ.พนมสารคาม จ.ฉะเชิงเทรา
พนมสารคาม/ Phanom Sarakhamฉะเชิงเทรา/ Chachoengsao
24120</t>
  </si>
  <si>
    <t>660642538112</t>
  </si>
  <si>
    <t>03/01/2025 16:14</t>
  </si>
  <si>
    <t>LEXPU0441484092</t>
  </si>
  <si>
    <t>03/01/2025 16:13</t>
  </si>
  <si>
    <t>EPX71</t>
  </si>
  <si>
    <t>ส***งค์</t>
  </si>
  <si>
    <t>03/01/2025 16:08</t>
  </si>
  <si>
    <t>754260662886</t>
  </si>
  <si>
    <t>EPX70</t>
  </si>
  <si>
    <t>บ***ันทร์ พ***ง</t>
  </si>
  <si>
    <t>THT07071DVYVZ6Z</t>
  </si>
  <si>
    <t>EPX69</t>
  </si>
  <si>
    <t>ค***มพู่ ณ ล***ง</t>
  </si>
  <si>
    <t>03/01/2025 16:06</t>
  </si>
  <si>
    <t>THT02051DVW8Z2Z</t>
  </si>
  <si>
    <t>EPX67</t>
  </si>
  <si>
    <t>ณ******ฐ</t>
  </si>
  <si>
    <t>******บลบ่อแดง อำเภอสทิงพระ จังหวัดสงขลา 90190</t>
  </si>
  <si>
    <t>90190</t>
  </si>
  <si>
    <t>TH2514147696715</t>
  </si>
  <si>
    <t>03/01/2025 16:02</t>
  </si>
  <si>
    <t>EPX66</t>
  </si>
  <si>
    <t>******าการ 1 ตึก 79 ต.แพรกษา ตำบลแพรกษา อำเภอเมืองสมุทรปราการ จังหวัดสมุทรปราการ 10280</t>
  </si>
  <si>
    <t>03/01/2025 16:31</t>
  </si>
  <si>
    <t>TH2560636721386</t>
  </si>
  <si>
    <t>03/01/2025 16:01</t>
  </si>
  <si>
    <t>EPX65</t>
  </si>
  <si>
    <t>ก***ิรมย์ ป***ำพันธ์</t>
  </si>
  <si>
    <t>03/01/2025 16:00</t>
  </si>
  <si>
    <t>THT14071DVM695Z</t>
  </si>
  <si>
    <t>EPX64</t>
  </si>
  <si>
    <t>จ***มาศ   ฐ***ารมี</t>
  </si>
  <si>
    <t>03/01/2025 15:58</t>
  </si>
  <si>
    <t>754242364842</t>
  </si>
  <si>
    <t>EPX63</t>
  </si>
  <si>
    <t>03/01/2025 15:55</t>
  </si>
  <si>
    <t>THT04041DW0FM0Z</t>
  </si>
  <si>
    <t>EPX62</t>
  </si>
  <si>
    <t>บานเย็น  อุดด้วง</t>
  </si>
  <si>
    <t>126 ม.3 ต.ห้วยโรง
ร้องกวาง/ Rong Kwangแพร่/ Phrae
54140</t>
  </si>
  <si>
    <t>54140</t>
  </si>
  <si>
    <t>660988212025</t>
  </si>
  <si>
    <t>03/01/2025 15:54</t>
  </si>
  <si>
    <t>TH51026NHCV27I</t>
  </si>
  <si>
    <t>EPX61</t>
  </si>
  <si>
    <t>ย***ี โ***มทา</t>
  </si>
  <si>
    <t>THT21081DVD6F7Z</t>
  </si>
  <si>
    <t>EPX60</t>
  </si>
  <si>
    <t>03/01/2025 16:22</t>
  </si>
  <si>
    <t>TH251319288246Z</t>
  </si>
  <si>
    <t>03/01/2025 15:52</t>
  </si>
  <si>
    <t>EPX59</t>
  </si>
  <si>
    <t>ณัทณพงศ์ ณัฐชญาพัฒน์</t>
  </si>
  <si>
    <t>201/56 มบ.ทิพย์นคร ซ.ประชาอุทิศ 76 ถ.ประชาอุทิศ แขวงทุ่งครุเขตทุ่งครุ
ราษฎร์บูรณะ/ Rat Buranaกรุงเทพมหานคร/ Bangkok
10140</t>
  </si>
  <si>
    <t>660816124164</t>
  </si>
  <si>
    <t>03/01/2025 15:51</t>
  </si>
  <si>
    <t>LEXPU0441485747</t>
  </si>
  <si>
    <t>EPX58</t>
  </si>
  <si>
    <t>ค***า</t>
  </si>
  <si>
    <t>754222523832</t>
  </si>
  <si>
    <t>03/01/2025 15:50</t>
  </si>
  <si>
    <t>EPX57</t>
  </si>
  <si>
    <t>ห***ิ้น  แ***ิ่ม</t>
  </si>
  <si>
    <t>03/01/2025 15:49</t>
  </si>
  <si>
    <t>754251667842</t>
  </si>
  <si>
    <t>EPX56</t>
  </si>
  <si>
    <t>แ*** ศ***โฉม</t>
  </si>
  <si>
    <t>03/01/2025 15:45</t>
  </si>
  <si>
    <t>THT01401DVA279Z</t>
  </si>
  <si>
    <t>EPX55</t>
  </si>
  <si>
    <t>03/01/2025 15:39</t>
  </si>
  <si>
    <t>754265309884</t>
  </si>
  <si>
    <t>03/01/2025 15:40</t>
  </si>
  <si>
    <t>EPX54</t>
  </si>
  <si>
    <t>พ***ล ค***</t>
  </si>
  <si>
    <t>03/01/2025 15:38</t>
  </si>
  <si>
    <t>754258870820</t>
  </si>
  <si>
    <t>EPX53</t>
  </si>
  <si>
    <t>A** M**</t>
  </si>
  <si>
    <t>754207611850</t>
  </si>
  <si>
    <t>EPX51</t>
  </si>
  <si>
    <t>ว***ร ส***รณ์</t>
  </si>
  <si>
    <t>03/01/2025 15:35</t>
  </si>
  <si>
    <t>754203769826</t>
  </si>
  <si>
    <t>EPX50</t>
  </si>
  <si>
    <t>03/01/2025 15:27</t>
  </si>
  <si>
    <t>THT27011DVQG96Z</t>
  </si>
  <si>
    <t>EPX47</t>
  </si>
  <si>
    <t>ศ******ก</t>
  </si>
  <si>
    <t>******, อำเภอเมืองสุพรรณบุรี ตำบลสระแก้ว อำเภอเมืองสุพรรณบุรี จังหวัดสุพรรณบุรี 72230</t>
  </si>
  <si>
    <t>72230</t>
  </si>
  <si>
    <t>03/01/2025 15:21</t>
  </si>
  <si>
    <t>TH14016NHSRB3M</t>
  </si>
  <si>
    <t>EPX46</t>
  </si>
  <si>
    <t>อ***ักดิ์  ล***อย</t>
  </si>
  <si>
    <t>03/01/2025 15:16</t>
  </si>
  <si>
    <t>754294960856</t>
  </si>
  <si>
    <t>ยอดฮิต+สอดไส้</t>
  </si>
  <si>
    <t>ชิฟฟ่อนยอดฮิต+สอดไส้ 2 กล่อง 180</t>
  </si>
  <si>
    <t>EPX45</t>
  </si>
  <si>
    <t>จ***ิมา เ***ทะนง</t>
  </si>
  <si>
    <t>03/01/2025 15:15</t>
  </si>
  <si>
    <t>754270212894</t>
  </si>
  <si>
    <t>EPX44</t>
  </si>
  <si>
    <t>ก***ิการ์ ห***นจิตร</t>
  </si>
  <si>
    <t>754203764801</t>
  </si>
  <si>
    <t>EPX43</t>
  </si>
  <si>
    <t>TH2557072981087</t>
  </si>
  <si>
    <t>EPX42</t>
  </si>
  <si>
    <t>03/01/2025 15:14</t>
  </si>
  <si>
    <t>754224261873</t>
  </si>
  <si>
    <t>EPX41</t>
  </si>
  <si>
    <t>ว*** บ***ที่ยง</t>
  </si>
  <si>
    <t>THT60011DVMZG3Z</t>
  </si>
  <si>
    <t>EPX40</t>
  </si>
  <si>
    <t>ป***ารัตน์ โ***์เจริญ</t>
  </si>
  <si>
    <t>THT04011DW0D40Z</t>
  </si>
  <si>
    <t>03/01/2025 15:13</t>
  </si>
  <si>
    <t>EPX39</t>
  </si>
  <si>
    <t>ธ***พร ป***ำ</t>
  </si>
  <si>
    <t>03/01/2025 15:11</t>
  </si>
  <si>
    <t>754274243881</t>
  </si>
  <si>
    <t>03/01/2025 15:12</t>
  </si>
  <si>
    <t>EPX38</t>
  </si>
  <si>
    <t>เ***รัตน์ ท***าติ</t>
  </si>
  <si>
    <t>754208628806</t>
  </si>
  <si>
    <t>EPX37</t>
  </si>
  <si>
    <t>03/01/2025 15:10</t>
  </si>
  <si>
    <t>754219043885</t>
  </si>
  <si>
    <t>EPX36</t>
  </si>
  <si>
    <t>03/01/2025 15:09</t>
  </si>
  <si>
    <t>THT03021DVTN07Z</t>
  </si>
  <si>
    <t>EPX35</t>
  </si>
  <si>
    <t>ว***ิณี ไ***ิลป์</t>
  </si>
  <si>
    <t>03/01/2025 15:07</t>
  </si>
  <si>
    <t>THT59041DVQWQ5Z</t>
  </si>
  <si>
    <t>EPX34</t>
  </si>
  <si>
    <t>ว*** ท***ุตร</t>
  </si>
  <si>
    <t>03/01/2025 15:06</t>
  </si>
  <si>
    <t>754248169813</t>
  </si>
  <si>
    <t>EPX33</t>
  </si>
  <si>
    <t>ณ*** ค***งคุณ</t>
  </si>
  <si>
    <t>754246339884</t>
  </si>
  <si>
    <t>EPX32</t>
  </si>
  <si>
    <t>อ***พร แ***นึก</t>
  </si>
  <si>
    <t>754245741804</t>
  </si>
  <si>
    <t>EPX31</t>
  </si>
  <si>
    <t>อ***ศรี  ศ***างวัล</t>
  </si>
  <si>
    <t>03/01/2025 15:04</t>
  </si>
  <si>
    <t>754206929836</t>
  </si>
  <si>
    <t>EPX30</t>
  </si>
  <si>
    <t>น***าวพัชรินทร์ ใ***ญ</t>
  </si>
  <si>
    <t>03/01/2025 15:02</t>
  </si>
  <si>
    <t>754280429851</t>
  </si>
  <si>
    <t>EPX29</t>
  </si>
  <si>
    <t>ก***า ถ***อง</t>
  </si>
  <si>
    <t>03/01/2025 14:57</t>
  </si>
  <si>
    <t>754255861870</t>
  </si>
  <si>
    <t>03/01/2025 14:58</t>
  </si>
  <si>
    <t>EPX28</t>
  </si>
  <si>
    <t>THT74041DVPWE8Z</t>
  </si>
  <si>
    <t>EPX27</t>
  </si>
  <si>
    <t>เ*** เ***ชาดี</t>
  </si>
  <si>
    <t>03/01/2025 14:54</t>
  </si>
  <si>
    <t>THT38011DW3UP6Z</t>
  </si>
  <si>
    <t>EPX25</t>
  </si>
  <si>
    <t>03/01/2025 14:50</t>
  </si>
  <si>
    <t>754252820860</t>
  </si>
  <si>
    <t>EPX24</t>
  </si>
  <si>
    <t>อ***ิต แ***อง</t>
  </si>
  <si>
    <t>03/01/2025 14:48</t>
  </si>
  <si>
    <t>754201516891</t>
  </si>
  <si>
    <t>EPX23</t>
  </si>
  <si>
    <t>นงเยา</t>
  </si>
  <si>
    <t>35/3 หมู่3 ซ.มหาทองหยด · ปลายนา/ Plai Na
ศรีประจันต์/ Si Prachanสุพรรณบุรี/ Suphanburi
72140</t>
  </si>
  <si>
    <t>660872462768</t>
  </si>
  <si>
    <t>TH14056NHJHZ9F</t>
  </si>
  <si>
    <t>03/01/2025 14:47</t>
  </si>
  <si>
    <t>EPX22</t>
  </si>
  <si>
    <t>ม***มี่ยว</t>
  </si>
  <si>
    <t>03/01/2025 14:44</t>
  </si>
  <si>
    <t>THT04061DW1F84Z</t>
  </si>
  <si>
    <t>EPX21</t>
  </si>
  <si>
    <t>พ***มาศ แ***ศรี</t>
  </si>
  <si>
    <t>754277349803</t>
  </si>
  <si>
    <t>EPX19</t>
  </si>
  <si>
    <t>เอ็มหนว</t>
  </si>
  <si>
    <t>660987379398</t>
  </si>
  <si>
    <t>LEXPU0441495602</t>
  </si>
  <si>
    <t>03/01/2025 14:39</t>
  </si>
  <si>
    <t>EPX18</t>
  </si>
  <si>
    <t>ก***พร</t>
  </si>
  <si>
    <t>03/01/2025 14:38</t>
  </si>
  <si>
    <t>THT12061DVS355Z</t>
  </si>
  <si>
    <t>EPX17</t>
  </si>
  <si>
    <t>ห*** P*</t>
  </si>
  <si>
    <t>03/01/2025 14:36</t>
  </si>
  <si>
    <t>THT69041DVE3V9Z</t>
  </si>
  <si>
    <t>EPX16</t>
  </si>
  <si>
    <t>ว***ุตม์ ร***รังษี</t>
  </si>
  <si>
    <t>03/01/2025 14:35</t>
  </si>
  <si>
    <t>754270542804</t>
  </si>
  <si>
    <t>EPX15</t>
  </si>
  <si>
    <t>อ*** อ***บุตร</t>
  </si>
  <si>
    <t>เทศบาลนครอุดรธานี</t>
  </si>
  <si>
    <t>03/01/2025 14:34</t>
  </si>
  <si>
    <t>754292840884</t>
  </si>
  <si>
    <t>EPX14</t>
  </si>
  <si>
    <t>อ***ัย</t>
  </si>
  <si>
    <t>03/01/2025 14:32</t>
  </si>
  <si>
    <t>754263259816</t>
  </si>
  <si>
    <t>EPX13</t>
  </si>
  <si>
    <t>บ******ง</t>
  </si>
  <si>
    <t>******บลหนองบัว อำเภอเมืองกาญจนบุรี จังหวัดกาญจนบุรี 71190</t>
  </si>
  <si>
    <t>71190</t>
  </si>
  <si>
    <t>TH13086NJ1DZ6L</t>
  </si>
  <si>
    <t>03/01/2025 14:31</t>
  </si>
  <si>
    <t>EPX12</t>
  </si>
  <si>
    <t>K***้ง</t>
  </si>
  <si>
    <t>754298906863</t>
  </si>
  <si>
    <t>EPX11</t>
  </si>
  <si>
    <t>ด***มล​ แ***​บุบ​ผา​</t>
  </si>
  <si>
    <t>03/01/2025 14:29</t>
  </si>
  <si>
    <t>754260527845</t>
  </si>
  <si>
    <t>EPX10</t>
  </si>
  <si>
    <t>น***ต้า ห***แดง</t>
  </si>
  <si>
    <t>03/01/2025 14:28</t>
  </si>
  <si>
    <t>754289524833</t>
  </si>
  <si>
    <t>EPX9</t>
  </si>
  <si>
    <t>ส***กา ธ***วงค์</t>
  </si>
  <si>
    <t>754295049874</t>
  </si>
  <si>
    <t>EPX8</t>
  </si>
  <si>
    <t>น***าวธนัชพร เ***ยธา</t>
  </si>
  <si>
    <t>03/01/2025 14:23</t>
  </si>
  <si>
    <t>THT37101DVGQ61Z</t>
  </si>
  <si>
    <t>EPX6</t>
  </si>
  <si>
    <t>แ***พ็ญ เ***มเผ่าพัน</t>
  </si>
  <si>
    <t>03/01/2025 14:19</t>
  </si>
  <si>
    <t>754206162824</t>
  </si>
  <si>
    <t>EPX4</t>
  </si>
  <si>
    <t>03/01/2025 14:15</t>
  </si>
  <si>
    <t>754225448885</t>
  </si>
  <si>
    <t>03/01/2025 14:17</t>
  </si>
  <si>
    <t>EPX2</t>
  </si>
  <si>
    <t>แ***ี</t>
  </si>
  <si>
    <t>03/01/2025 14:14</t>
  </si>
  <si>
    <t>754237470814</t>
  </si>
  <si>
    <t>03/01/2025 14:16</t>
  </si>
  <si>
    <t>EPX1</t>
  </si>
  <si>
    <t>คุณวสันต์ วรพฤกษ์กิจ</t>
  </si>
  <si>
    <t>789/27 หมู่1 บริษัทจุฑาวรรณ จำกัด · หนองขาม/ Nong Kham
ศรีราชา/ Si Rachaชลบุรี/ Chonburi
20230</t>
  </si>
  <si>
    <t>660897636339</t>
  </si>
  <si>
    <t>LEXPU0441482980</t>
  </si>
  <si>
    <t>EPX0</t>
  </si>
  <si>
    <t>เ***ลักษณ์</t>
  </si>
  <si>
    <t>03/01/2025 14:10</t>
  </si>
  <si>
    <t>754247637813</t>
  </si>
  <si>
    <t>03/01/2025 14:13</t>
  </si>
  <si>
    <t>EPW99</t>
  </si>
  <si>
    <t>น***พาโชค ว***านะ</t>
  </si>
  <si>
    <t>03/01/2025 14:09</t>
  </si>
  <si>
    <t>754299458802</t>
  </si>
  <si>
    <t>EPW98</t>
  </si>
  <si>
    <t>754214948830</t>
  </si>
  <si>
    <t>EPW97</t>
  </si>
  <si>
    <t>น***วววววว</t>
  </si>
  <si>
    <t>03/01/2025 14:08</t>
  </si>
  <si>
    <t>THT01501DVQDT0Z</t>
  </si>
  <si>
    <t>EPW95</t>
  </si>
  <si>
    <t>******5, Pracha U-thit Road, ตำบล บางแม่นาง ตำบลบางแม่นาง อำเภอบางใหญ่ จังหวัดนนทบุรี 11140</t>
  </si>
  <si>
    <t>03/01/2025 14:37</t>
  </si>
  <si>
    <t>TH250280720511S</t>
  </si>
  <si>
    <t>03/01/2025 14:12</t>
  </si>
  <si>
    <t>EPW94</t>
  </si>
  <si>
    <t>ว***ย</t>
  </si>
  <si>
    <t>Samut Songkhram</t>
  </si>
  <si>
    <t>03/01/2025 14:07</t>
  </si>
  <si>
    <t>754253251813</t>
  </si>
  <si>
    <t>03/01/2025 14:11</t>
  </si>
  <si>
    <t>EPW93</t>
  </si>
  <si>
    <t>อ***ตี  เ***ุข</t>
  </si>
  <si>
    <t>03/01/2025 14:06</t>
  </si>
  <si>
    <t>754257366844</t>
  </si>
  <si>
    <t>EPW92</t>
  </si>
  <si>
    <t>ช***ดดา​ เ***ญ​พิ​พัฒพงษ์​</t>
  </si>
  <si>
    <t>03/01/2025 14:03</t>
  </si>
  <si>
    <t>754241676812</t>
  </si>
  <si>
    <t>03/01/2025 14:04</t>
  </si>
  <si>
    <t>EPW91</t>
  </si>
  <si>
    <t>ธ***ชาติ  ร***บูชา</t>
  </si>
  <si>
    <t>754245324825</t>
  </si>
  <si>
    <t>EPW90</t>
  </si>
  <si>
    <t>น***ัย ใ***รีย์</t>
  </si>
  <si>
    <t>03/01/2025 14:02</t>
  </si>
  <si>
    <t>THT54011DVM3A7Z</t>
  </si>
  <si>
    <t>EPW89</t>
  </si>
  <si>
    <t>Sasvanee Ramanjea</t>
  </si>
  <si>
    <t>18/4 ม.3 · จะแหน/ Chanae
สะบ้าย้อย/ Saba Yoiสงขลา/ Songkhla
90210</t>
  </si>
  <si>
    <t>90210</t>
  </si>
  <si>
    <t>660806587509</t>
  </si>
  <si>
    <t>03/01/2025 14:00</t>
  </si>
  <si>
    <t>TH71066NHCQS5E</t>
  </si>
  <si>
    <t>EPW88</t>
  </si>
  <si>
    <t>น.ส.กุลวดี คงเชียร</t>
  </si>
  <si>
    <t>ศูนย์พัฒนาเด็กเล็กเทศบาลตำบลเชียรใหญ่
เชียรใหญ่/ Chian Yaiนครศรีธรรมราช/ Nakhon Si Thammarat
80190</t>
  </si>
  <si>
    <t>80190</t>
  </si>
  <si>
    <t>660956715451</t>
  </si>
  <si>
    <t>TH64066NH6SC0A</t>
  </si>
  <si>
    <t>EPW87</t>
  </si>
  <si>
    <t>ร***า</t>
  </si>
  <si>
    <t>03/01/2025 13:59</t>
  </si>
  <si>
    <t>THT04031DVQVB8Z</t>
  </si>
  <si>
    <t>EPW86</t>
  </si>
  <si>
    <t>ณ***ล T***O</t>
  </si>
  <si>
    <t>THT01211DVBKQ3Z</t>
  </si>
  <si>
    <t>EPW85</t>
  </si>
  <si>
    <t>ส***ลี  ศ***ิพย์</t>
  </si>
  <si>
    <t>03/01/2025 13:58</t>
  </si>
  <si>
    <t>754288561843</t>
  </si>
  <si>
    <t>EPW82</t>
  </si>
  <si>
    <t>น** เ***กา จ***ลี</t>
  </si>
  <si>
    <t>03/01/2025 13:55</t>
  </si>
  <si>
    <t>754217829890</t>
  </si>
  <si>
    <t>EPW81</t>
  </si>
  <si>
    <t>ส***รณี  ห***ี</t>
  </si>
  <si>
    <t>03/01/2025 13:53</t>
  </si>
  <si>
    <t>754278918805</t>
  </si>
  <si>
    <t>EPW80</t>
  </si>
  <si>
    <t>ท***ีย์ ล***ี 3** ม*** ต***่งพระยา อ***ามชัยเขตุ จ***เชิงเทรา 2***0</t>
  </si>
  <si>
    <t>03/01/2025 13:52</t>
  </si>
  <si>
    <t>754232163856</t>
  </si>
  <si>
    <t>EPW79</t>
  </si>
  <si>
    <t>******พงษ์8 ตำบลท่ามะกา อำเภอท่ามะกา จังหวัดกาญจนบุรี 71120</t>
  </si>
  <si>
    <t>03/01/2025 13:50</t>
  </si>
  <si>
    <t>TH251055123010D</t>
  </si>
  <si>
    <t>EPW78</t>
  </si>
  <si>
    <t>ฐ******ว</t>
  </si>
  <si>
    <t>******คร้ำเอน อำเภอท่ามะกา จังหวัดกาญจนบุรี 71130</t>
  </si>
  <si>
    <t>71130</t>
  </si>
  <si>
    <t>03/01/2025 13:48</t>
  </si>
  <si>
    <t>TH257792344269S</t>
  </si>
  <si>
    <t>03/01/2025 13:47</t>
  </si>
  <si>
    <t>EPW76</t>
  </si>
  <si>
    <t>ป***าภา อ***ฤทธิ์</t>
  </si>
  <si>
    <t>03/01/2025 13:46</t>
  </si>
  <si>
    <t>754231565850</t>
  </si>
  <si>
    <t>EPW73</t>
  </si>
  <si>
    <t>ล***า ฮ***จริญ</t>
  </si>
  <si>
    <t>03/01/2025 13:43</t>
  </si>
  <si>
    <t>754288958883</t>
  </si>
  <si>
    <t>EPW71</t>
  </si>
  <si>
    <t>ค***ะม่อม</t>
  </si>
  <si>
    <t>03/01/2025 13:41</t>
  </si>
  <si>
    <t>754231369802</t>
  </si>
  <si>
    <t>EPW68</t>
  </si>
  <si>
    <t>ท***นภา อ***ยบูลย์</t>
  </si>
  <si>
    <t>03/01/2025 13:34</t>
  </si>
  <si>
    <t>754203440896</t>
  </si>
  <si>
    <t>03/01/2025 13:35</t>
  </si>
  <si>
    <t>EPW67</t>
  </si>
  <si>
    <t>ช******ว</t>
  </si>
  <si>
    <t>******ำบลพระแท่น อำเภอท่ามะกา จังหวัดกาญจนบุรี 71130</t>
  </si>
  <si>
    <t>03/01/2025 13:33</t>
  </si>
  <si>
    <t>TH252460700099P</t>
  </si>
  <si>
    <t>EPW66</t>
  </si>
  <si>
    <t>พ***ี ข***ักดี</t>
  </si>
  <si>
    <t>THT69011DVB4N5Z</t>
  </si>
  <si>
    <t>EPW65</t>
  </si>
  <si>
    <t>ท***</t>
  </si>
  <si>
    <t>THT16031DW3QN2Z</t>
  </si>
  <si>
    <t>EPW64</t>
  </si>
  <si>
    <t>ศ******ิ</t>
  </si>
  <si>
    <t>******ย์บุญชัย28 ถ.ทรัพย์พัฒนา ต.บางเมือง ตำบลบางเมือง อำเภอเมืองสมุทรปราการ จังหวัดสมุทรปราการ 10270</t>
  </si>
  <si>
    <t>54</t>
  </si>
  <si>
    <t>TH258793577864W</t>
  </si>
  <si>
    <t>EPW63</t>
  </si>
  <si>
    <t>ศ***า ส***ลิศ</t>
  </si>
  <si>
    <t>03/01/2025 13:32</t>
  </si>
  <si>
    <t>754212854813</t>
  </si>
  <si>
    <t>EPW61</t>
  </si>
  <si>
    <t>ส***รณ์ น***อี่ยม</t>
  </si>
  <si>
    <t>THT12061DVB3B1Z</t>
  </si>
  <si>
    <t>EPW60</t>
  </si>
  <si>
    <t>ว***ิสา แ***ทองหลาง</t>
  </si>
  <si>
    <t>03/01/2025 13:31</t>
  </si>
  <si>
    <t>754275655814</t>
  </si>
  <si>
    <t>EPW59</t>
  </si>
  <si>
    <t>บ***มาศ ใ***</t>
  </si>
  <si>
    <t>03/01/2025 13:30</t>
  </si>
  <si>
    <t>THT71151DVN7Y3Z</t>
  </si>
  <si>
    <t>EPW58</t>
  </si>
  <si>
    <t>ม***ี ม***คูล</t>
  </si>
  <si>
    <t>754271663880</t>
  </si>
  <si>
    <t>EPW57</t>
  </si>
  <si>
    <t>เ***ิรา ร***าน</t>
  </si>
  <si>
    <t>03/01/2025 13:29</t>
  </si>
  <si>
    <t>754268823895</t>
  </si>
  <si>
    <t>EPW55</t>
  </si>
  <si>
    <t>ป***าภรณ์ ล***ูง</t>
  </si>
  <si>
    <t>03/01/2025 13:27</t>
  </si>
  <si>
    <t>THT12031DV5WE3Z</t>
  </si>
  <si>
    <t>EPW54</t>
  </si>
  <si>
    <t>ส***ตนา ร***าวงษ์</t>
  </si>
  <si>
    <t>03/01/2025 13:26</t>
  </si>
  <si>
    <t>754238923830</t>
  </si>
  <si>
    <t>EPW53</t>
  </si>
  <si>
    <t>จ***นา ภ***งศ์</t>
  </si>
  <si>
    <t>03/01/2025 13:23</t>
  </si>
  <si>
    <t>754284164826</t>
  </si>
  <si>
    <t>EPW52</t>
  </si>
  <si>
    <t>THT01201DVZHT8Z</t>
  </si>
  <si>
    <t>EPW50</t>
  </si>
  <si>
    <t>03/01/2025 13:22</t>
  </si>
  <si>
    <t>THT27071DVY7F2Z</t>
  </si>
  <si>
    <t>EPW49</t>
  </si>
  <si>
    <t>ค******ไ</t>
  </si>
  <si>
    <t>******.เพชรเกษม แขวงวัดท่าพระ เขตบางกอกใหญ่ จังหวัดกรุงเทพมหานคร 10600</t>
  </si>
  <si>
    <t>TH2597619433788</t>
  </si>
  <si>
    <t>03/01/2025 13:20</t>
  </si>
  <si>
    <t>EPW48</t>
  </si>
  <si>
    <t>ด***้อ ภ***อง</t>
  </si>
  <si>
    <t>03/01/2025 13:19</t>
  </si>
  <si>
    <t>754251695761</t>
  </si>
  <si>
    <t>EPW47</t>
  </si>
  <si>
    <t>754208968800</t>
  </si>
  <si>
    <t>EPW46</t>
  </si>
  <si>
    <t>ร***นภา ก***รง</t>
  </si>
  <si>
    <t>03/01/2025 13:17</t>
  </si>
  <si>
    <t>THT63031DVHXF5Z</t>
  </si>
  <si>
    <t>EPW44</t>
  </si>
  <si>
    <t>อ***ดา น***ุทธิ์</t>
  </si>
  <si>
    <t>03/01/2025 13:15</t>
  </si>
  <si>
    <t>754289464832</t>
  </si>
  <si>
    <t>EPW43</t>
  </si>
  <si>
    <t>เ***ยบ ก***ะวี</t>
  </si>
  <si>
    <t>03/01/2025 13:14</t>
  </si>
  <si>
    <t>754200442870</t>
  </si>
  <si>
    <t>EPW41</t>
  </si>
  <si>
    <t>ก***นา</t>
  </si>
  <si>
    <t>03/01/2025 13:12</t>
  </si>
  <si>
    <t>754206061895</t>
  </si>
  <si>
    <t>03/01/2025 13:13</t>
  </si>
  <si>
    <t>EPW40</t>
  </si>
  <si>
    <t>TH2500618274343</t>
  </si>
  <si>
    <t>03/01/2025 13:11</t>
  </si>
  <si>
    <t>EPW38</t>
  </si>
  <si>
    <t>ส***ญ​ เ***์เกิด</t>
  </si>
  <si>
    <t>03/01/2025 13:09</t>
  </si>
  <si>
    <t>754202648872</t>
  </si>
  <si>
    <t>EPW37</t>
  </si>
  <si>
    <t>259 (ลือนาม2) พหลโยธิน46 เสนานิคม · จตุจักร/ Chatuchak
จตุจักร/ Chatuchakกรุงเทพมหานคร/ Bangkok
10900</t>
  </si>
  <si>
    <t>660633393231</t>
  </si>
  <si>
    <t>03/01/2025 13:10</t>
  </si>
  <si>
    <t>LEXPU0441494970</t>
  </si>
  <si>
    <t>03/01/2025 13:08</t>
  </si>
  <si>
    <t>EPW36</t>
  </si>
  <si>
    <t>ก***นา ม***นะ</t>
  </si>
  <si>
    <t>754216841862</t>
  </si>
  <si>
    <t>EPW35</t>
  </si>
  <si>
    <t>ว***า บ***ชน</t>
  </si>
  <si>
    <t>754242692770</t>
  </si>
  <si>
    <t>03/01/2025 13:06</t>
  </si>
  <si>
    <t>EPW34</t>
  </si>
  <si>
    <t>ภ***ารัตน์  ส***ย้ม</t>
  </si>
  <si>
    <t>THT02021DVN3Z1Z</t>
  </si>
  <si>
    <t>EPW33</t>
  </si>
  <si>
    <t>อ***รณ เ***สุข</t>
  </si>
  <si>
    <t>03/01/2025 13:05</t>
  </si>
  <si>
    <t>THT10131DVA1C1Z</t>
  </si>
  <si>
    <t>EPW32</t>
  </si>
  <si>
    <t>ส***พร ศ***ุ่ม</t>
  </si>
  <si>
    <t>03/01/2025 13:04</t>
  </si>
  <si>
    <t>754284265884</t>
  </si>
  <si>
    <t>EPW31</t>
  </si>
  <si>
    <t>THT01201DVZMJ0Z</t>
  </si>
  <si>
    <t>EPW30</t>
  </si>
  <si>
    <t>ธ***นต์ ค***ญ</t>
  </si>
  <si>
    <t>THT58081DVCTF5Z</t>
  </si>
  <si>
    <t>03/01/2025 13:03</t>
  </si>
  <si>
    <t>EPW29</t>
  </si>
  <si>
    <t>จ***ร์เพ็ญ ร***จุล</t>
  </si>
  <si>
    <t>03/01/2025 13:02</t>
  </si>
  <si>
    <t>754271461834</t>
  </si>
  <si>
    <t>EPW28</t>
  </si>
  <si>
    <t>อ***ย ว***ก่อ</t>
  </si>
  <si>
    <t>THT30091DVR792Z</t>
  </si>
  <si>
    <t>EPW27</t>
  </si>
  <si>
    <t>ช*** น***ทร์ ล***ขสาม</t>
  </si>
  <si>
    <t>03/01/2025 13:01</t>
  </si>
  <si>
    <t>754227766806</t>
  </si>
  <si>
    <t>EPW26</t>
  </si>
  <si>
    <t>คุณ​ตาจ่า​วัฒน์​ ​/ คุณ​ แป๋ว​ สุกัญญา​</t>
  </si>
  <si>
    <t>10หมู่6 ร้านธาดาโฟโต้แล็บ ต.หนองไผ่ อ.แก้งคร้อ จ.ชัยภูมิ · หนองไผ่/ Nong Phai
แก้งคร้อ/ Kaeng Khroชัยภูมิ/ Chaiyaphum
36150</t>
  </si>
  <si>
    <t>36150</t>
  </si>
  <si>
    <t>660653379696</t>
  </si>
  <si>
    <t>03/01/2025 12:57</t>
  </si>
  <si>
    <t>TH33126NHC6F9J</t>
  </si>
  <si>
    <t>EPW25</t>
  </si>
  <si>
    <t>03/01/2025 12:52</t>
  </si>
  <si>
    <t>THT01311DVQ6M4Z</t>
  </si>
  <si>
    <t>EPW24</t>
  </si>
  <si>
    <t>ก***ิพย์ เ***ดทหาร</t>
  </si>
  <si>
    <t>THT02051DVZSX4Z</t>
  </si>
  <si>
    <t>EPW23</t>
  </si>
  <si>
    <t>******5, ตำบล เขาชะงุ้ม, อำเภอโพธาราม70120 ตำบลเขาชะงุ้ม อำเภอโพธาราม จังหวัดราชบุรี 70120</t>
  </si>
  <si>
    <t>03/01/2025 12:51</t>
  </si>
  <si>
    <t>TH2526411520975</t>
  </si>
  <si>
    <t>EPW22</t>
  </si>
  <si>
    <t>น***ุญมี ส***าม</t>
  </si>
  <si>
    <t>THT43011DVNQ99Z</t>
  </si>
  <si>
    <t>03/01/2025 12:50</t>
  </si>
  <si>
    <t>EPW19</t>
  </si>
  <si>
    <t>ส***ญญา อ***เสมอ</t>
  </si>
  <si>
    <t>03/01/2025 12:47</t>
  </si>
  <si>
    <t>754276153890</t>
  </si>
  <si>
    <t>EPW18</t>
  </si>
  <si>
    <t>ภ***ชา น***ฟ้า</t>
  </si>
  <si>
    <t>754218756896</t>
  </si>
  <si>
    <t>EPW17</t>
  </si>
  <si>
    <t>ศ***ธร ไ***ุทร</t>
  </si>
  <si>
    <t>03/01/2025 12:46</t>
  </si>
  <si>
    <t>THT12011DVXFN4Z</t>
  </si>
  <si>
    <t>EPW16</t>
  </si>
  <si>
    <t>ศ***รัตน์</t>
  </si>
  <si>
    <t>03/01/2025 12:45</t>
  </si>
  <si>
    <t>THT01231DVTBE7Z</t>
  </si>
  <si>
    <t>EPW15</t>
  </si>
  <si>
    <t>ว***ภรณ์​  ป***จัน​ทึก​</t>
  </si>
  <si>
    <t>754265478820</t>
  </si>
  <si>
    <t>EPW12</t>
  </si>
  <si>
    <t>ก******ู</t>
  </si>
  <si>
    <t>******่ 25 )  คลองพุทรา 1 ซอย5/1 ตำบลบางกระสั้น อำเภอบางปะอิน จังหวัดพระนครศรีอยุธยา 13160</t>
  </si>
  <si>
    <t>TH250580965427H</t>
  </si>
  <si>
    <t>03/01/2025 12:42</t>
  </si>
  <si>
    <t>EPW11</t>
  </si>
  <si>
    <t>พ***ดา บ***าภ น***บีม</t>
  </si>
  <si>
    <t>754279560834</t>
  </si>
  <si>
    <t>EPW9</t>
  </si>
  <si>
    <t>ร***ี เ***ย์วงศ์ณอยุธยา</t>
  </si>
  <si>
    <t>03/01/2025 12:38</t>
  </si>
  <si>
    <t>THT01021DV9BT5Z</t>
  </si>
  <si>
    <t>EPW8</t>
  </si>
  <si>
    <t>ค***ำใย ร***บุรี</t>
  </si>
  <si>
    <t>THT64091DVX3W0Z</t>
  </si>
  <si>
    <t>EPW7</t>
  </si>
  <si>
    <t>******กลัง บ้านสีเทา ถังขยะสีเหลือง) ต.ดอนคา ตำบลดอนคา อำเภออู่ทอง จังหวัดสุพรรณบุรี 72160</t>
  </si>
  <si>
    <t>03/01/2025 12:48</t>
  </si>
  <si>
    <t>TH251680571220V</t>
  </si>
  <si>
    <t>03/01/2025 12:37</t>
  </si>
  <si>
    <t>EPW5</t>
  </si>
  <si>
    <t>ส***ตร์ เ***ัง</t>
  </si>
  <si>
    <t>03/01/2025 12:34</t>
  </si>
  <si>
    <t>754207750892</t>
  </si>
  <si>
    <t>EPW4</t>
  </si>
  <si>
    <t>03/01/2025 12:33</t>
  </si>
  <si>
    <t>754204960806</t>
  </si>
  <si>
    <t>EPW2</t>
  </si>
  <si>
    <t>ว***ธนา ศ***งาม</t>
  </si>
  <si>
    <t>03/01/2025 12:32</t>
  </si>
  <si>
    <t>THT29031DW1YG6Z</t>
  </si>
  <si>
    <t>EPW1</t>
  </si>
  <si>
    <t>******5 ซ.ลาซาล แขวงบางนาใต้ เขตบางนา จังหวัดกรุงเทพมหานคร 10260</t>
  </si>
  <si>
    <t>67</t>
  </si>
  <si>
    <t>03/01/2025 12:28</t>
  </si>
  <si>
    <t>TH259907883185C</t>
  </si>
  <si>
    <t>EPW0</t>
  </si>
  <si>
    <t>******99 ตำบลท่าสะอ้าน อำเภอบางปะกง จังหวัดฉะเชิงเทรา 24130</t>
  </si>
  <si>
    <t>TH24046NJ3606B</t>
  </si>
  <si>
    <t>EPV99</t>
  </si>
  <si>
    <t>น** เ***นภา เ***อนนุช</t>
  </si>
  <si>
    <t>03/01/2025 12:24</t>
  </si>
  <si>
    <t>754243755856</t>
  </si>
  <si>
    <t>EPV94</t>
  </si>
  <si>
    <t>ค***องทศ   โ***์เนียม</t>
  </si>
  <si>
    <t>754269464874</t>
  </si>
  <si>
    <t>03/01/2025 12:22</t>
  </si>
  <si>
    <t>EPV93</t>
  </si>
  <si>
    <t>แ***ยุรา ค***ดงเค็ง</t>
  </si>
  <si>
    <t>03/01/2025 12:20</t>
  </si>
  <si>
    <t>754217157890</t>
  </si>
  <si>
    <t>EPV92</t>
  </si>
  <si>
    <t>ม***ดา ร***อุไร</t>
  </si>
  <si>
    <t>03/01/2025 12:19</t>
  </si>
  <si>
    <t>THT01341DVE7F1Z</t>
  </si>
  <si>
    <t>EPV91</t>
  </si>
  <si>
    <t>นายศศิธร ศรนิล</t>
  </si>
  <si>
    <t>49-50 ม.7 ถ.บางนา-ตราด ถ.254 ต.บ้านเก่า อ.พานทอง  คอนโดพานทอง (ฝาก รปภ ตึก p1) ตึก p7 ชั้น 2 ห้อง 221 · บ้านเก่า/ Ban Kao
พานทอง/ Phan Thongชลบุรี/ Chonburi
20160</t>
  </si>
  <si>
    <t>660937672989</t>
  </si>
  <si>
    <t>03/01/2025 12:18</t>
  </si>
  <si>
    <t>LEXPU0441459807</t>
  </si>
  <si>
    <t>EPV89</t>
  </si>
  <si>
    <t>ณ***ุช ว***ชัย</t>
  </si>
  <si>
    <t>03/01/2025 12:17</t>
  </si>
  <si>
    <t>754206549806</t>
  </si>
  <si>
    <t>EPV87</t>
  </si>
  <si>
    <t>ฐ***พร ร***ุย</t>
  </si>
  <si>
    <t>03/01/2025 12:14</t>
  </si>
  <si>
    <t>754274795702</t>
  </si>
  <si>
    <t>EPV86</t>
  </si>
  <si>
    <t>ว***ี ส***กสิณกรณ์</t>
  </si>
  <si>
    <t>03/01/2025 12:10</t>
  </si>
  <si>
    <t>754294367816</t>
  </si>
  <si>
    <t>EPV85</t>
  </si>
  <si>
    <t>ว***ดา ห***า</t>
  </si>
  <si>
    <t>03/01/2025 12:08</t>
  </si>
  <si>
    <t>754234147800</t>
  </si>
  <si>
    <t>EPV83</t>
  </si>
  <si>
    <t>อ*** บ***า</t>
  </si>
  <si>
    <t>754233255801</t>
  </si>
  <si>
    <t>EPV82</t>
  </si>
  <si>
    <t>03/01/2025 12:07</t>
  </si>
  <si>
    <t>THT01341DVVDZ4Z</t>
  </si>
  <si>
    <t>EPV80</t>
  </si>
  <si>
    <t>ก***กร</t>
  </si>
  <si>
    <t>754213663840</t>
  </si>
  <si>
    <t>EPV79</t>
  </si>
  <si>
    <t>ป***า</t>
  </si>
  <si>
    <t>THT27011DVXM02Z</t>
  </si>
  <si>
    <t>EPV77</t>
  </si>
  <si>
    <t>ว***รณ์ ป***ักษ์กุลวงศา</t>
  </si>
  <si>
    <t>03/01/2025 12:05</t>
  </si>
  <si>
    <t>THT12041DVH1X1Z</t>
  </si>
  <si>
    <t>03/01/2025 12:06</t>
  </si>
  <si>
    <t>EPV75</t>
  </si>
  <si>
    <t>น*** พ***รณ ท***ิมเงิน</t>
  </si>
  <si>
    <t>03/01/2025 12:04</t>
  </si>
  <si>
    <t>THT61041DVPSE0Z</t>
  </si>
  <si>
    <t>EPV74</t>
  </si>
  <si>
    <t>ธ******ง</t>
  </si>
  <si>
    <t>******ยบวารี59 แขวงโคกแฟด แขวงโคกแฝด เขตหนองจอก จังหวัดกรุงเทพมหานคร 10530</t>
  </si>
  <si>
    <t>10530</t>
  </si>
  <si>
    <t>TH258779600243N</t>
  </si>
  <si>
    <t>EPV73</t>
  </si>
  <si>
    <t>03/01/2025 12:00</t>
  </si>
  <si>
    <t>THT12031DVQMG1Z</t>
  </si>
  <si>
    <t>EPV72</t>
  </si>
  <si>
    <t>ร*** ค***วิเชียร</t>
  </si>
  <si>
    <t>THT16011DVTWT5Z</t>
  </si>
  <si>
    <t>EPV70</t>
  </si>
  <si>
    <t>ข***ฐา ข***่อง</t>
  </si>
  <si>
    <t>03/01/2025 11:59</t>
  </si>
  <si>
    <t>มะพร้าว2 เผือก2 ฝอยทอง2 ลูกตาล2 กาแฟ2</t>
  </si>
  <si>
    <t>754259271824</t>
  </si>
  <si>
    <t>EPV68</t>
  </si>
  <si>
    <t>น***นาภรณ์  น***ศิลา</t>
  </si>
  <si>
    <t>03/01/2025 11:57</t>
  </si>
  <si>
    <t>THT30051DVSVP1Z</t>
  </si>
  <si>
    <t>03/01/2025 12:03</t>
  </si>
  <si>
    <t>EPV66</t>
  </si>
  <si>
    <t>พิมพ์ใจ ศิริสมบูรณ์</t>
  </si>
  <si>
    <t>144 หมู่ที่ 1 ต. หนองช้างคืน อ.เมืองลำพูน จ.ลำพูน · หนองช้างคืน/ Nong Chang
เมืองลำพูน/ Mueang Lamphunลำพูน/ Lamphun
51150</t>
  </si>
  <si>
    <t>660817748634</t>
  </si>
  <si>
    <t>LEXDO0123757213</t>
  </si>
  <si>
    <t>EPV65</t>
  </si>
  <si>
    <t>จ***ร์ฉาย  เ***สุขสมาน</t>
  </si>
  <si>
    <t>03/01/2025 11:54</t>
  </si>
  <si>
    <t>754266916804</t>
  </si>
  <si>
    <t>03/01/2025 12:02</t>
  </si>
  <si>
    <t>EPV64</t>
  </si>
  <si>
    <t>ก***วดี  ด***ำเกิง</t>
  </si>
  <si>
    <t>03/01/2025 11:53</t>
  </si>
  <si>
    <t>754253562845</t>
  </si>
  <si>
    <t>03/01/2025 12:01</t>
  </si>
  <si>
    <t>EPV61</t>
  </si>
  <si>
    <t>น***พร แ***อง</t>
  </si>
  <si>
    <t>03/01/2025 11:50</t>
  </si>
  <si>
    <t>THT12061DVHT85Z</t>
  </si>
  <si>
    <t>EPV60</t>
  </si>
  <si>
    <t>******ลน ตำบลขุนโขลน อำเภอพระพุทธบาท จังหวัดสระบุรี 18120</t>
  </si>
  <si>
    <t>18120</t>
  </si>
  <si>
    <t>TH258254369416R</t>
  </si>
  <si>
    <t>EPV59</t>
  </si>
  <si>
    <t>ล***งทราย ค***ร</t>
  </si>
  <si>
    <t>03/01/2025 11:47</t>
  </si>
  <si>
    <t>THT04051DVSTV2Z</t>
  </si>
  <si>
    <t>03/01/2025 11:58</t>
  </si>
  <si>
    <t>EPV57</t>
  </si>
  <si>
    <t>****** ตำบลสำโรงเหนือ ตำบลสำโรงเหนือ อำเภอเมืองสมุทรปราการ จังหวัดสมุทรปราการ 10270</t>
  </si>
  <si>
    <t>03/01/2025 11:55</t>
  </si>
  <si>
    <t>TH259989759379J</t>
  </si>
  <si>
    <t>EPV55</t>
  </si>
  <si>
    <t>ป***ร์</t>
  </si>
  <si>
    <t>03/01/2025 11:36</t>
  </si>
  <si>
    <t>THT16031DVMV79Z</t>
  </si>
  <si>
    <t>EPV54</t>
  </si>
  <si>
    <t>******ท่ายาง ตำบลท่ายาง อำเภอเมืองชุมพร จังหวัดชุมพร 86120</t>
  </si>
  <si>
    <t>86120</t>
  </si>
  <si>
    <t>TH255105070659U</t>
  </si>
  <si>
    <t>ชิฟฟ่อน100ชิ้น</t>
  </si>
  <si>
    <t>ชิฟฟ่อนเค้ก ราคาส่ง ของขวัญแจกวันเด็ก ขนมเบเกอรี่ วรรณวนัช 60-100ชิ้น คละรสให้</t>
  </si>
  <si>
    <t>EPV53</t>
  </si>
  <si>
    <t>LEXDO0123762062</t>
  </si>
  <si>
    <t>EPV52</t>
  </si>
  <si>
    <t>ผ***าศ​  ม***รรม​</t>
  </si>
  <si>
    <t>03/01/2025 11:30</t>
  </si>
  <si>
    <t>THT04011DVZG74Z</t>
  </si>
  <si>
    <t>LEXDO0123762440</t>
  </si>
  <si>
    <t>EPV51</t>
  </si>
  <si>
    <t>ศ***านต์ ข***าจ</t>
  </si>
  <si>
    <t>03/01/2025 11:27</t>
  </si>
  <si>
    <t>THT24041DVK8A5Z</t>
  </si>
  <si>
    <t>03/01/2025 11:52</t>
  </si>
  <si>
    <t>EPV49</t>
  </si>
  <si>
    <t>TH255943562681M</t>
  </si>
  <si>
    <t>03/01/2025 11:51</t>
  </si>
  <si>
    <t>EPV48</t>
  </si>
  <si>
    <t>TH258184498788D</t>
  </si>
  <si>
    <t>EPV47</t>
  </si>
  <si>
    <t>TH2517745668572</t>
  </si>
  <si>
    <t>EPV46</t>
  </si>
  <si>
    <t>******ะขามเตี้ย ตำบลมะขามเตี้ย อำเภอเมืองสุราษฎร์ธานี จังหวัดสุราษฎร์ธานี 84000</t>
  </si>
  <si>
    <t>11</t>
  </si>
  <si>
    <t>TH2538769746117</t>
  </si>
  <si>
    <t>EPV45</t>
  </si>
  <si>
    <t>น.ส.  สำลี โพธิ์ทูล</t>
  </si>
  <si>
    <t>19/2. ม.4.  ต.ไชยมงคล
เมืองนครราชสีมา/ Mueng Nakorn Ratchasimaนครราชสีมา/ Nakhon Ratchasima
30000</t>
  </si>
  <si>
    <t>660806153027</t>
  </si>
  <si>
    <t>03/01/2025 11:45</t>
  </si>
  <si>
    <t>LEXPU0441463011</t>
  </si>
  <si>
    <t>EPV44</t>
  </si>
  <si>
    <t>น***ันท์</t>
  </si>
  <si>
    <t>03/01/2025 11:17</t>
  </si>
  <si>
    <t>754244167865</t>
  </si>
  <si>
    <t>03/01/2025 11:43</t>
  </si>
  <si>
    <t>EPV43</t>
  </si>
  <si>
    <t>ช***กาญจน์ เ***สุทะ</t>
  </si>
  <si>
    <t>03/01/2025 11:19</t>
  </si>
  <si>
    <t>754258524821</t>
  </si>
  <si>
    <t>EPV42</t>
  </si>
  <si>
    <t>03/01/2025 11:24</t>
  </si>
  <si>
    <t>754261724834</t>
  </si>
  <si>
    <t>EPV40</t>
  </si>
  <si>
    <t>ณ***์ เ***สุวรรณ</t>
  </si>
  <si>
    <t>03/01/2025 11:28</t>
  </si>
  <si>
    <t>754250462840</t>
  </si>
  <si>
    <t>EPV39</t>
  </si>
  <si>
    <t>ร***  แ***อี้ยว</t>
  </si>
  <si>
    <t>754280164842</t>
  </si>
  <si>
    <t>EPV38</t>
  </si>
  <si>
    <t>น*** ส***กดี</t>
  </si>
  <si>
    <t>754249229845</t>
  </si>
  <si>
    <t>EPV37</t>
  </si>
  <si>
    <t>พ***พย์ ห***จารีย์</t>
  </si>
  <si>
    <t>03/01/2025 11:33</t>
  </si>
  <si>
    <t>754282860855</t>
  </si>
  <si>
    <t>EPV36</t>
  </si>
  <si>
    <t>ก***าณี ก***งแก้ว</t>
  </si>
  <si>
    <t>03/01/2025 11:35</t>
  </si>
  <si>
    <t>754271339883</t>
  </si>
  <si>
    <t>EPV35</t>
  </si>
  <si>
    <t>ก***ารัตน์  เ***วัสดิ์</t>
  </si>
  <si>
    <t>03/01/2025 11:39</t>
  </si>
  <si>
    <t>754206675810</t>
  </si>
  <si>
    <t>EPV34</t>
  </si>
  <si>
    <t>ส***ดา แ***นุ่น</t>
  </si>
  <si>
    <t>03/01/2025 11:41</t>
  </si>
  <si>
    <t>754221591771</t>
  </si>
  <si>
    <t>EPV33</t>
  </si>
  <si>
    <t>****** 158 ม.3 ตำบล ท่าศาลา, อำเภอท่าศาลา ตำบลท่าศาลา อำเภอท่าศาลา จังหวัดนครศรีธรรมราช 80160</t>
  </si>
  <si>
    <t>80160</t>
  </si>
  <si>
    <t>03/01/2025 11:38</t>
  </si>
  <si>
    <t>TH258114523578E</t>
  </si>
  <si>
    <t>EPV32</t>
  </si>
  <si>
    <t>03/01/2025 11:07</t>
  </si>
  <si>
    <t>THT16011DVZ6N6Z</t>
  </si>
  <si>
    <t>03/01/2025 11:21</t>
  </si>
  <si>
    <t>EPV31</t>
  </si>
  <si>
    <t>ร***ทิวา</t>
  </si>
  <si>
    <t>03/01/2025 11:09</t>
  </si>
  <si>
    <t>THT33071DV6S61Z</t>
  </si>
  <si>
    <t>EPV30</t>
  </si>
  <si>
    <t>ป***ฟ้า</t>
  </si>
  <si>
    <t>03/01/2025 11:15</t>
  </si>
  <si>
    <t>THT03041DVGF79Z</t>
  </si>
  <si>
    <t>EPV29</t>
  </si>
  <si>
    <t>อ***ลักษณ์</t>
  </si>
  <si>
    <t>03/01/2025 11:16</t>
  </si>
  <si>
    <t>THT12011DVXCR0Z</t>
  </si>
  <si>
    <t>EPV27</t>
  </si>
  <si>
    <t>ป***อ็ม</t>
  </si>
  <si>
    <t>03/01/2025 11:03</t>
  </si>
  <si>
    <t>754202544826</t>
  </si>
  <si>
    <t>EPV26</t>
  </si>
  <si>
    <t>ว***อนแก้วเชียงดา</t>
  </si>
  <si>
    <t>754253728841</t>
  </si>
  <si>
    <t>EPV25</t>
  </si>
  <si>
    <t>ส*** ช***่า</t>
  </si>
  <si>
    <t>03/01/2025 11:02</t>
  </si>
  <si>
    <t>754264420814</t>
  </si>
  <si>
    <t>EPV24</t>
  </si>
  <si>
    <t>754282049894</t>
  </si>
  <si>
    <t>EPV23</t>
  </si>
  <si>
    <t>ก******ล</t>
  </si>
  <si>
    <t>****** ตำบลเวียงพางคำ อำเภอแม่สาย จังหวัดเชียงราย 57130</t>
  </si>
  <si>
    <t>57130</t>
  </si>
  <si>
    <t>TH54096NHAM43F</t>
  </si>
  <si>
    <t>EPV22</t>
  </si>
  <si>
    <t>ว***ภา  ส***อด</t>
  </si>
  <si>
    <t>03/01/2025 11:01</t>
  </si>
  <si>
    <t>THT28071DVKQQ6Z</t>
  </si>
  <si>
    <t>EPV21</t>
  </si>
  <si>
    <t>อ**ี</t>
  </si>
  <si>
    <t>******กซ้ายมือขับเข้ามาจนสุด (ซอยตรงข้ามบ้าน 312/1)) ตำบลกาฬสินธุ์ อำเภอเมืองกาฬสินธุ์ จังหวัดกาฬสินธุ์ 46000</t>
  </si>
  <si>
    <t>46000</t>
  </si>
  <si>
    <t>05</t>
  </si>
  <si>
    <t>TH2557066416853</t>
  </si>
  <si>
    <t>EPV20</t>
  </si>
  <si>
    <t>พ***ินทร์ โ***์สุวรรณ</t>
  </si>
  <si>
    <t>03/01/2025 11:00</t>
  </si>
  <si>
    <t>THT02031DW0XK2Z</t>
  </si>
  <si>
    <t>EPV18</t>
  </si>
  <si>
    <t>ย***พรภู่ย้อย</t>
  </si>
  <si>
    <t>03/01/2025 10:59</t>
  </si>
  <si>
    <t>754294560821</t>
  </si>
  <si>
    <t>EPV17</t>
  </si>
  <si>
    <t>ว***พ็ญ อ***ำ</t>
  </si>
  <si>
    <t>03/01/2025 10:57</t>
  </si>
  <si>
    <t>THT09021DVK333Z</t>
  </si>
  <si>
    <t>EPV16</t>
  </si>
  <si>
    <t>เ***นจิตร​  เ***รภา</t>
  </si>
  <si>
    <t>03/01/2025 10:56</t>
  </si>
  <si>
    <t>754299566812</t>
  </si>
  <si>
    <t>EPV15</t>
  </si>
  <si>
    <t>03/01/2025 10:55</t>
  </si>
  <si>
    <t>754212713870</t>
  </si>
  <si>
    <t>EPV14</t>
  </si>
  <si>
    <t>ม***า</t>
  </si>
  <si>
    <t>754242647852</t>
  </si>
  <si>
    <t>EPV13</t>
  </si>
  <si>
    <t>บ** ศ***ญา</t>
  </si>
  <si>
    <t>03/01/2025 10:53</t>
  </si>
  <si>
    <t>754261837803</t>
  </si>
  <si>
    <t>03/01/2025 10:54</t>
  </si>
  <si>
    <t>EPV12</t>
  </si>
  <si>
    <t>พ***ษฐ์ จ***ร์วงค์</t>
  </si>
  <si>
    <t>03/01/2025 10:52</t>
  </si>
  <si>
    <t>754269845895</t>
  </si>
  <si>
    <t>EPV11</t>
  </si>
  <si>
    <t>น***าญ อ***แก้ว</t>
  </si>
  <si>
    <t>03/01/2025 10:51</t>
  </si>
  <si>
    <t>754222846882</t>
  </si>
  <si>
    <t>EPV9</t>
  </si>
  <si>
    <t>น***จรัสศรี  น***สนาะ</t>
  </si>
  <si>
    <t>03/01/2025 10:48</t>
  </si>
  <si>
    <t>THT14011DW0YB8Z</t>
  </si>
  <si>
    <t>EPV8</t>
  </si>
  <si>
    <t>ส***งค์ ใ***ง</t>
  </si>
  <si>
    <t>03/01/2025 10:47</t>
  </si>
  <si>
    <t>THT27181DVA6S5Z</t>
  </si>
  <si>
    <t>EPV7</t>
  </si>
  <si>
    <t>ส***ชชา จ***คำ</t>
  </si>
  <si>
    <t>754200633815</t>
  </si>
  <si>
    <t>EPV5</t>
  </si>
  <si>
    <t>อ***ักดิ์</t>
  </si>
  <si>
    <t>03/01/2025 10:45</t>
  </si>
  <si>
    <t>THT30011DVVZ58Z</t>
  </si>
  <si>
    <t>EPV4</t>
  </si>
  <si>
    <t>ร***ดา</t>
  </si>
  <si>
    <t>03/01/2025 10:44</t>
  </si>
  <si>
    <t>THT05021DVTDV6Z</t>
  </si>
  <si>
    <t>EPV3</t>
  </si>
  <si>
    <t>ท***รรณ ห***ุตร</t>
  </si>
  <si>
    <t>754217541814</t>
  </si>
  <si>
    <t>EPV2</t>
  </si>
  <si>
    <t>ส***ญญา ย***เจริญ</t>
  </si>
  <si>
    <t>03/01/2025 10:43</t>
  </si>
  <si>
    <t>754275213845</t>
  </si>
  <si>
    <t>EPV1</t>
  </si>
  <si>
    <t>ก***นา เ***ญสุข</t>
  </si>
  <si>
    <t>เทศบาลนครเชียงใหม่</t>
  </si>
  <si>
    <t>03/01/2025 10:38</t>
  </si>
  <si>
    <t>754246645880</t>
  </si>
  <si>
    <t>EPV0</t>
  </si>
  <si>
    <t>เ***อวัลย์ ส***ารงาน</t>
  </si>
  <si>
    <t>03/01/2025 10:37</t>
  </si>
  <si>
    <t>754205265833</t>
  </si>
  <si>
    <t>EPU99</t>
  </si>
  <si>
    <t>ม* ว***สกุล</t>
  </si>
  <si>
    <t>THT29121DVMPR5Z</t>
  </si>
  <si>
    <t>EPU97</t>
  </si>
  <si>
    <t>ธ***รรณ ส***</t>
  </si>
  <si>
    <t>03/01/2025 10:31</t>
  </si>
  <si>
    <t>754223161871</t>
  </si>
  <si>
    <t>03/01/2025 10:32</t>
  </si>
  <si>
    <t>EPU96</t>
  </si>
  <si>
    <t>พ***คณาจิต  ถ***</t>
  </si>
  <si>
    <t>754282208820</t>
  </si>
  <si>
    <t>EPU95</t>
  </si>
  <si>
    <t>ร***าภรณ์ บ***ทธิ์</t>
  </si>
  <si>
    <t>754250768821</t>
  </si>
  <si>
    <t>EPU94</t>
  </si>
  <si>
    <t>ก***ร ใ***รัมย์</t>
  </si>
  <si>
    <t>THT28011DVFSZ1Z</t>
  </si>
  <si>
    <t>EPU93</t>
  </si>
  <si>
    <t>น***เพ็ชร อ***ทสุข</t>
  </si>
  <si>
    <t>03/01/2025 10:30</t>
  </si>
  <si>
    <t>754225250811</t>
  </si>
  <si>
    <t>EPU92</t>
  </si>
  <si>
    <t>THT10071DVHQN1Z</t>
  </si>
  <si>
    <t>EPU91</t>
  </si>
  <si>
    <t>03/01/2025 10:28</t>
  </si>
  <si>
    <t>THT10071DVG8S7Z</t>
  </si>
  <si>
    <t>EPU90</t>
  </si>
  <si>
    <t>ส***ี ค***สิน</t>
  </si>
  <si>
    <t>754243861884</t>
  </si>
  <si>
    <t>EPU89</t>
  </si>
  <si>
    <t>แ***ภา ศ***ำ</t>
  </si>
  <si>
    <t>03/01/2025 10:27</t>
  </si>
  <si>
    <t>THT38041DW0TZ0Z</t>
  </si>
  <si>
    <t>EPU87</t>
  </si>
  <si>
    <t>อ***'ศรี</t>
  </si>
  <si>
    <t>03/01/2025 10:24</t>
  </si>
  <si>
    <t>754226940832</t>
  </si>
  <si>
    <t>EPU86</t>
  </si>
  <si>
    <t>d***ee1992</t>
  </si>
  <si>
    <t>754249759830</t>
  </si>
  <si>
    <t>EPU85</t>
  </si>
  <si>
    <t>ช***ติ ช***ยัน</t>
  </si>
  <si>
    <t>03/01/2025 10:23</t>
  </si>
  <si>
    <t>754286363810</t>
  </si>
  <si>
    <t>EPU84</t>
  </si>
  <si>
    <t>ณ***ดา ก***จันทร์เทศ</t>
  </si>
  <si>
    <t>THT10111DVX870Z</t>
  </si>
  <si>
    <t>EPU83</t>
  </si>
  <si>
    <t>อ***ัตน์ ด***จำนงค์</t>
  </si>
  <si>
    <t>03/01/2025 10:22</t>
  </si>
  <si>
    <t>754238543833</t>
  </si>
  <si>
    <t>EPU82</t>
  </si>
  <si>
    <t>ร******จ</t>
  </si>
  <si>
    <t>******ม จ.ราชบุรี ตำบลหนองโพ อำเภอโพธาราม จังหวัดราชบุรี 70120</t>
  </si>
  <si>
    <t>TH2559909609051</t>
  </si>
  <si>
    <t>EPU81</t>
  </si>
  <si>
    <t>ป***ฉัตร. ย***ี้ย</t>
  </si>
  <si>
    <t>03/01/2025 10:17</t>
  </si>
  <si>
    <t>754293341830</t>
  </si>
  <si>
    <t>03/01/2025 10:18</t>
  </si>
  <si>
    <t>EPU80</t>
  </si>
  <si>
    <t>754249279825</t>
  </si>
  <si>
    <t>EPU79</t>
  </si>
  <si>
    <t>เอนก  ปึกขาว</t>
  </si>
  <si>
    <t>487 อาคาร b s V ถนนศรีอยุธยา
ราชเทวี/ Ratchathewiกรุงเทพมหานคร/ Bangkok
10400</t>
  </si>
  <si>
    <t>660847364133</t>
  </si>
  <si>
    <t>LEXPU0441498307</t>
  </si>
  <si>
    <t>EPU78</t>
  </si>
  <si>
    <t>ป***าร ช***ระโทก</t>
  </si>
  <si>
    <t>03/01/2025 10:15</t>
  </si>
  <si>
    <t>754264960864</t>
  </si>
  <si>
    <t>03/01/2025 10:16</t>
  </si>
  <si>
    <t>EPU76</t>
  </si>
  <si>
    <t>ท***์สุดา แ***มั่น</t>
  </si>
  <si>
    <t>03/01/2025 10:11</t>
  </si>
  <si>
    <t>754288443856</t>
  </si>
  <si>
    <t>03/01/2025 10:13</t>
  </si>
  <si>
    <t>EPU75</t>
  </si>
  <si>
    <t>บ***ีนาถ พ***า</t>
  </si>
  <si>
    <t>754270270843</t>
  </si>
  <si>
    <t>EPU74</t>
  </si>
  <si>
    <t>พ***ี​ ท***ัญชา</t>
  </si>
  <si>
    <t>754213457815</t>
  </si>
  <si>
    <t>03/01/2025 10:12</t>
  </si>
  <si>
    <t>EPU73</t>
  </si>
  <si>
    <t>******ซอยอุดมเดช ตำบลบางเมืองใหม่ ตำบลบางเมืองใหม่ อำเภอเมืองสมุทรปราการ จังหวัดสมุทรปราการ 10270</t>
  </si>
  <si>
    <t>TH2599744499110</t>
  </si>
  <si>
    <t>EPU72</t>
  </si>
  <si>
    <t>เ***กา ว***คม</t>
  </si>
  <si>
    <t>03/01/2025 10:06</t>
  </si>
  <si>
    <t>THT25061DVFUX5Z</t>
  </si>
  <si>
    <t>03/01/2025 10:08</t>
  </si>
  <si>
    <t>EPU71</t>
  </si>
  <si>
    <t>จ***า ร***มบัติ</t>
  </si>
  <si>
    <t>03/01/2025 10:04</t>
  </si>
  <si>
    <t>THT12061DVMKT3Z</t>
  </si>
  <si>
    <t>03/01/2025 10:05</t>
  </si>
  <si>
    <t>EPU70</t>
  </si>
  <si>
    <t>เยาวภา แขเกษม</t>
  </si>
  <si>
    <t>100/13 ซ.รามอินทรา 40 แยก 15 ถ.รามอินทรา แขวงนวลจันทร์
บึงกุ่ม/ Bueng Kumกรุงเทพมหานคร/ Bangkok
10230</t>
  </si>
  <si>
    <t>660816321199</t>
  </si>
  <si>
    <t>LEXPU0441480388</t>
  </si>
  <si>
    <t>EPU69</t>
  </si>
  <si>
    <t>จ******์</t>
  </si>
  <si>
    <t>******ศรี อำเภอไทรน้อย จังหวัดนนทบุรี 11150 ตำบลขุนศรี อำเภอไทรน้อย จังหวัดนนทบุรี 11150</t>
  </si>
  <si>
    <t>11150</t>
  </si>
  <si>
    <t>03/01/2025 10:33</t>
  </si>
  <si>
    <t>TH03056NJ32Y4E</t>
  </si>
  <si>
    <t>03/01/2025 10:03</t>
  </si>
  <si>
    <t>EPU68</t>
  </si>
  <si>
    <t>03/01/2025 10:02</t>
  </si>
  <si>
    <t>754235364864</t>
  </si>
  <si>
    <t>EPU66</t>
  </si>
  <si>
    <t>ภ** โ***์ศรี</t>
  </si>
  <si>
    <t>03/01/2025 10:00</t>
  </si>
  <si>
    <t>THT14051DW0Q80Z</t>
  </si>
  <si>
    <t>EPU64</t>
  </si>
  <si>
    <t>ช***ติ ข***คร</t>
  </si>
  <si>
    <t>03/01/2025 09:56</t>
  </si>
  <si>
    <t>754258665860</t>
  </si>
  <si>
    <t>EPU63</t>
  </si>
  <si>
    <t>03/01/2025 09:55</t>
  </si>
  <si>
    <t>754217269853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</si>
  <si>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</si>
  <si>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EPU62</t>
  </si>
  <si>
    <t>ไพศาล​ ฤทธิ์วงค์</t>
  </si>
  <si>
    <t>178 ซอยเอกข้าวต้ม, ซอย7สมใจนึก ตำบลท่าขนุน
ทองผาภูมิ/ Thong Pha Phumกาญจนบุรี/ Kanchanaburi
71180</t>
  </si>
  <si>
    <t>660861635563</t>
  </si>
  <si>
    <t>TH13026NH5X37B</t>
  </si>
  <si>
    <t>EPU61</t>
  </si>
  <si>
    <t>น***อยห้อง6</t>
  </si>
  <si>
    <t>03/01/2025 09:51</t>
  </si>
  <si>
    <t>THT67021DVKGR9Z</t>
  </si>
  <si>
    <t>EPU58</t>
  </si>
  <si>
    <t>ว***ยพร ส***ิสาร</t>
  </si>
  <si>
    <t>03/01/2025 09:48</t>
  </si>
  <si>
    <t>754224659812</t>
  </si>
  <si>
    <t>EPU57</t>
  </si>
  <si>
    <t>ญ***ภรณ์ ส***ิ</t>
  </si>
  <si>
    <t>754287319870</t>
  </si>
  <si>
    <t>EPU56</t>
  </si>
  <si>
    <t>03/01/2025 09:47</t>
  </si>
  <si>
    <t>THT01361DVXT12Z</t>
  </si>
  <si>
    <t>EPU55</t>
  </si>
  <si>
    <t>ท***รรณ แ***ี</t>
  </si>
  <si>
    <t>03/01/2025 09:46</t>
  </si>
  <si>
    <t>754294038805</t>
  </si>
  <si>
    <t>EPU54</t>
  </si>
  <si>
    <t>03/01/2025 09:42</t>
  </si>
  <si>
    <t>754206824851</t>
  </si>
  <si>
    <t>03/01/2025 09:43</t>
  </si>
  <si>
    <t>EPU53</t>
  </si>
  <si>
    <t>ช***ณี ท***รกุล</t>
  </si>
  <si>
    <t>754295660856</t>
  </si>
  <si>
    <t>EPU52</t>
  </si>
  <si>
    <t>อ***ยา โ***์เย็น</t>
  </si>
  <si>
    <t>03/01/2025 09:40</t>
  </si>
  <si>
    <t>THT10071DVXGB6Z</t>
  </si>
  <si>
    <t>EPU50</t>
  </si>
  <si>
    <t>ม***า บ***ต่ง</t>
  </si>
  <si>
    <t>03/01/2025 09:39</t>
  </si>
  <si>
    <t>754225743843</t>
  </si>
  <si>
    <t>03/01/2025 09:38</t>
  </si>
  <si>
    <t>EPU48</t>
  </si>
  <si>
    <t>03/01/2025 09:34</t>
  </si>
  <si>
    <t>THT18041DVPCZ3Z</t>
  </si>
  <si>
    <t>EPU45</t>
  </si>
  <si>
    <t>จ***์จุฑา ก***มกล่ำนุ่ม</t>
  </si>
  <si>
    <t>03/01/2025 09:33</t>
  </si>
  <si>
    <t>754259381783</t>
  </si>
  <si>
    <t>EPU44</t>
  </si>
  <si>
    <t>ชัยชัย ชาแนล</t>
  </si>
  <si>
    <t>TH44086NJ12R5J</t>
  </si>
  <si>
    <t>EPU43</t>
  </si>
  <si>
    <t>LEXDO0123756340</t>
  </si>
  <si>
    <t>03/01/2025 09:32</t>
  </si>
  <si>
    <t>EPU40</t>
  </si>
  <si>
    <t>ก***ร น***นิล</t>
  </si>
  <si>
    <t>03/01/2025 09:28</t>
  </si>
  <si>
    <t>754241199740</t>
  </si>
  <si>
    <t>EPU39</t>
  </si>
  <si>
    <t>อ***ียา น***ะยาย</t>
  </si>
  <si>
    <t>03/01/2025 09:27</t>
  </si>
  <si>
    <t>754237994764</t>
  </si>
  <si>
    <t>EPU38</t>
  </si>
  <si>
    <t>พ***ก  เ***อนถ้ำ</t>
  </si>
  <si>
    <t>THT05061DVQ0T0Z</t>
  </si>
  <si>
    <t>EPU35</t>
  </si>
  <si>
    <t>เ***กมล ส***์ทอง</t>
  </si>
  <si>
    <t>03/01/2025 09:22</t>
  </si>
  <si>
    <t>THT25061DVMTH3Z</t>
  </si>
  <si>
    <t>EPU34</t>
  </si>
  <si>
    <t>ส***ญญา ก***สาทร</t>
  </si>
  <si>
    <t>03/01/2025 09:21</t>
  </si>
  <si>
    <t>754223111832</t>
  </si>
  <si>
    <t>EPU33</t>
  </si>
  <si>
    <t>ห***ญญา ก***นุรักษ์</t>
  </si>
  <si>
    <t>03/01/2025 09:19</t>
  </si>
  <si>
    <t>THT67011DVFN77Z</t>
  </si>
  <si>
    <t>EPU32</t>
  </si>
  <si>
    <t>ผ***</t>
  </si>
  <si>
    <t>03/01/2025 09:18</t>
  </si>
  <si>
    <t>754249332885</t>
  </si>
  <si>
    <t>EPU31</t>
  </si>
  <si>
    <t>ก***า ล***ระเสริฐ</t>
  </si>
  <si>
    <t>03/01/2025 09:16</t>
  </si>
  <si>
    <t>THT04021DVFXT5Z</t>
  </si>
  <si>
    <t>EPU30</t>
  </si>
  <si>
    <t>ค** ล***ากัน</t>
  </si>
  <si>
    <t>03/01/2025 09:15</t>
  </si>
  <si>
    <t>THT37011DVYYG0Z</t>
  </si>
  <si>
    <t>EPU29</t>
  </si>
  <si>
    <t>ค***ชร ก***</t>
  </si>
  <si>
    <t>03/01/2025 09:14</t>
  </si>
  <si>
    <t>754287063854</t>
  </si>
  <si>
    <t>EPU28</t>
  </si>
  <si>
    <t>น***ศนา แ***แก้ว</t>
  </si>
  <si>
    <t>03/01/2025 09:13</t>
  </si>
  <si>
    <t>754215120842</t>
  </si>
  <si>
    <t>EPU27</t>
  </si>
  <si>
    <t>ข***เรียม  อ***ิเเสง</t>
  </si>
  <si>
    <t>03/01/2025 09:12</t>
  </si>
  <si>
    <t>754291062862</t>
  </si>
  <si>
    <t>EPU25</t>
  </si>
  <si>
    <t>ภ***ย์ ส***วงค์</t>
  </si>
  <si>
    <t>03/01/2025 09:10</t>
  </si>
  <si>
    <t>754292150883</t>
  </si>
  <si>
    <t>03/01/2025 09:11</t>
  </si>
  <si>
    <t>EPU24</t>
  </si>
  <si>
    <t>ส***สา</t>
  </si>
  <si>
    <t>03/01/2025 09:09</t>
  </si>
  <si>
    <t>754286420860</t>
  </si>
  <si>
    <t>EPU23</t>
  </si>
  <si>
    <t>N******ย</t>
  </si>
  <si>
    <t>******ล, อำเภอเมืองสุพรรณบุรี ตำบลดอนตาล อำเภอเมืองสุพรรณบุรี จังหวัดสุพรรณบุรี 72000</t>
  </si>
  <si>
    <t>TH14016NJ31P5G</t>
  </si>
  <si>
    <t>EPU22</t>
  </si>
  <si>
    <t>******กรียบ, อำเภอบางปะอิน ตำบลตลาดเกรียบ อำเภอบางปะอิน จังหวัดพระนครศรีอยุธยา 13160</t>
  </si>
  <si>
    <t>TH254384979037Y</t>
  </si>
  <si>
    <t>EPU21</t>
  </si>
  <si>
    <t>N***aya W*</t>
  </si>
  <si>
    <t>03/01/2025 09:04</t>
  </si>
  <si>
    <t>THT63051DVZJY0Z</t>
  </si>
  <si>
    <t>03/01/2025 09:05</t>
  </si>
  <si>
    <t>EPU20</t>
  </si>
  <si>
    <t>อ*** ส***ิสนธ์</t>
  </si>
  <si>
    <t>754299252814</t>
  </si>
  <si>
    <t>EPU18</t>
  </si>
  <si>
    <t>03/01/2025 09:02</t>
  </si>
  <si>
    <t>754207453812</t>
  </si>
  <si>
    <t>EPU15</t>
  </si>
  <si>
    <t>A*r</t>
  </si>
  <si>
    <t>******1 ม.14 ตำบลราชาเทวะ อำเภอบางพลี จังหวัดสมุทรปราการ 10540</t>
  </si>
  <si>
    <t>03/01/2025 08:55</t>
  </si>
  <si>
    <t>TH2513673636452</t>
  </si>
  <si>
    <t>EPU14</t>
  </si>
  <si>
    <t>พ***ินทร์ อ***รัตนพิชัย</t>
  </si>
  <si>
    <t>03/01/2025 08:54</t>
  </si>
  <si>
    <t>THT02031DVY114Z</t>
  </si>
  <si>
    <t>EPU12</t>
  </si>
  <si>
    <t>พ***ิรัช ร***เพชรรัตน์</t>
  </si>
  <si>
    <t>03/01/2025 08:47</t>
  </si>
  <si>
    <t>754293543846</t>
  </si>
  <si>
    <t>EPU11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</si>
  <si>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</si>
  <si>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</si>
  <si>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</si>
  <si>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03/01/2025 08:45</t>
  </si>
  <si>
    <t>LEXPU0441458981</t>
  </si>
  <si>
    <t>EPU9</t>
  </si>
  <si>
    <t>ส*  ส***ิดทอง</t>
  </si>
  <si>
    <t>03/01/2025 08:42</t>
  </si>
  <si>
    <t>THT64171DVB7G5Z</t>
  </si>
  <si>
    <t>EPU8</t>
  </si>
  <si>
    <t>พ******บ</t>
  </si>
  <si>
    <t>******ย จ.เพชรบุรี ตำบลทับคาง อำเภอเขาย้อย จังหวัดเพชรบุรี 76140</t>
  </si>
  <si>
    <t>76140</t>
  </si>
  <si>
    <t>92</t>
  </si>
  <si>
    <t>TH258271336168J</t>
  </si>
  <si>
    <t>EPU7</t>
  </si>
  <si>
    <t>ป***ม น***นที</t>
  </si>
  <si>
    <t>จังหวัดระยอง</t>
  </si>
  <si>
    <t>754220455811</t>
  </si>
  <si>
    <t>03/01/2025 08:40</t>
  </si>
  <si>
    <t>EPU6</t>
  </si>
  <si>
    <t>ณิชาวรินทร์ ขุมคำ</t>
  </si>
  <si>
    <t>บ้านหนองนารี หมู่8 ต.บุสูง อ.วังหิน บ้านเลขที่ 148 · บุสูง/ Bu Sung
วังหิน/ Wang Hinศรีสะเกษ/ Sisaket
33270</t>
  </si>
  <si>
    <t>33270</t>
  </si>
  <si>
    <t>660950031960</t>
  </si>
  <si>
    <t>03/01/2025 08:38</t>
  </si>
  <si>
    <t>TH30156NH9QF7A</t>
  </si>
  <si>
    <t>EPU5</t>
  </si>
  <si>
    <t>พ*** แ***ัตุรัส</t>
  </si>
  <si>
    <t>03/01/2025 08:36</t>
  </si>
  <si>
    <t>754203863851</t>
  </si>
  <si>
    <t>03/01/2025 08:35</t>
  </si>
  <si>
    <t>EPU4</t>
  </si>
  <si>
    <t>ค***างค์  เ***วียง</t>
  </si>
  <si>
    <t>03/01/2025 08:33</t>
  </si>
  <si>
    <t>754255269865</t>
  </si>
  <si>
    <t>เค้กวรรณวนัช ขนมปังครีมฮอร์นเนยสดแท้ คละรส 3กล่อง 6ชิ้น/กล่อง</t>
  </si>
  <si>
    <t>EPU3</t>
  </si>
  <si>
    <t>ส***ตรี ง***ันธ์</t>
  </si>
  <si>
    <t>03/01/2025 08:30</t>
  </si>
  <si>
    <t>THT10051DVJX75Z</t>
  </si>
  <si>
    <t>EPU2</t>
  </si>
  <si>
    <t>ณ***ณิดา แ***พิภพ</t>
  </si>
  <si>
    <t>03/01/2025 08:28</t>
  </si>
  <si>
    <t>THT39121DVMZN5Z</t>
  </si>
  <si>
    <t>EPU1</t>
  </si>
  <si>
    <t>ส***นท์ ด***ง</t>
  </si>
  <si>
    <t>03/01/2025 08:24</t>
  </si>
  <si>
    <t>754276143832</t>
  </si>
  <si>
    <t>EPT97</t>
  </si>
  <si>
    <t>ผ***าศ ศ***ุพัฒน์</t>
  </si>
  <si>
    <t>03/01/2025 08:19</t>
  </si>
  <si>
    <t>THT27061DVT9A4Z</t>
  </si>
  <si>
    <t>03/01/2025 08:20</t>
  </si>
  <si>
    <t>EPT96</t>
  </si>
  <si>
    <t>ธ***ิสิษฐ์ ค***เขตต์</t>
  </si>
  <si>
    <t>754233711873</t>
  </si>
  <si>
    <t>EPT95</t>
  </si>
  <si>
    <t>754228148822</t>
  </si>
  <si>
    <t>EPT94</t>
  </si>
  <si>
    <t>ส***ลยา ข***บาน</t>
  </si>
  <si>
    <t>THT24011DVAQF9Z</t>
  </si>
  <si>
    <t>EPT92</t>
  </si>
  <si>
    <t>เ***นี ล***โหฬาร</t>
  </si>
  <si>
    <t>03/01/2025 08:08</t>
  </si>
  <si>
    <t>754297899773</t>
  </si>
  <si>
    <t>EPT91</t>
  </si>
  <si>
    <t>03/01/2025 08:07</t>
  </si>
  <si>
    <t>LEXDO0123768889</t>
  </si>
  <si>
    <t>03/01/2025 08:06</t>
  </si>
  <si>
    <t>EPT90</t>
  </si>
  <si>
    <t>เ***อมพร ท***หลม</t>
  </si>
  <si>
    <t>03/01/2025 08:03</t>
  </si>
  <si>
    <t>754242548846</t>
  </si>
  <si>
    <t>EPT89</t>
  </si>
  <si>
    <t>ค***ย เ***งเพราะ</t>
  </si>
  <si>
    <t>754220140844</t>
  </si>
  <si>
    <t>EPT87</t>
  </si>
  <si>
    <t>เ***าภา  ท***ำ</t>
  </si>
  <si>
    <t>03/01/2025 08:02</t>
  </si>
  <si>
    <t>754222851815</t>
  </si>
  <si>
    <t>EPT86</t>
  </si>
  <si>
    <t>กนกวรรณ จักรวิเชียร</t>
  </si>
  <si>
    <t>111/150 หมู่ 1 หมู่บ้านมณีรินทร์พาร์ค
เมืองนนทบุรี/ Mueang Nonthaburiนนทบุรี/ Nonthaburi
11000</t>
  </si>
  <si>
    <t>660896915799</t>
  </si>
  <si>
    <t>LEXPU0441474070</t>
  </si>
  <si>
    <t>EPT85</t>
  </si>
  <si>
    <t>น***ุ่งนภา ศ***ิริวัฒน์</t>
  </si>
  <si>
    <t>03/01/2025 07:56</t>
  </si>
  <si>
    <t>754282466851</t>
  </si>
  <si>
    <t>EPT84</t>
  </si>
  <si>
    <t>LEXPU0441485255</t>
  </si>
  <si>
    <t>EPT82</t>
  </si>
  <si>
    <t>ศ***มร</t>
  </si>
  <si>
    <t>03/01/2025 07:46</t>
  </si>
  <si>
    <t>THT01381DVM5K0Z</t>
  </si>
  <si>
    <t>EPT80</t>
  </si>
  <si>
    <t>ท***าว น***์แสวง</t>
  </si>
  <si>
    <t>03/01/2025 07:44</t>
  </si>
  <si>
    <t>754233419892</t>
  </si>
  <si>
    <t>EPT78</t>
  </si>
  <si>
    <t>น***อาทิตยา เ***ญศิลป์</t>
  </si>
  <si>
    <t>03/01/2025 07:41</t>
  </si>
  <si>
    <t>754259640890</t>
  </si>
  <si>
    <t>EPT77</t>
  </si>
  <si>
    <t>ว***ิสา เ***องหลาง</t>
  </si>
  <si>
    <t>03/01/2025 07:42</t>
  </si>
  <si>
    <t>THT01231DVXDX6Z</t>
  </si>
  <si>
    <t>03/01/2025 07:38</t>
  </si>
  <si>
    <t>EPT76</t>
  </si>
  <si>
    <t>ธ***ารัตน์ ไ***ูล</t>
  </si>
  <si>
    <t>03/01/2025 07:39</t>
  </si>
  <si>
    <t>THT68161DVN1S1Z</t>
  </si>
  <si>
    <t>EPT75</t>
  </si>
  <si>
    <t>เ***นีย์</t>
  </si>
  <si>
    <t>03/01/2025 07:36</t>
  </si>
  <si>
    <t>THT20041DVAT39Z</t>
  </si>
  <si>
    <t>EPT74</t>
  </si>
  <si>
    <t>03/01/2025 07:35</t>
  </si>
  <si>
    <t>THT12051DVWYV0Z</t>
  </si>
  <si>
    <t>EPT73</t>
  </si>
  <si>
    <t>03/01/2025 07:32</t>
  </si>
  <si>
    <t>754297265805</t>
  </si>
  <si>
    <t>EPT72</t>
  </si>
  <si>
    <t>อ***ท์ ว***กัลหา</t>
  </si>
  <si>
    <t>03/01/2025 07:29</t>
  </si>
  <si>
    <t>754276069853</t>
  </si>
  <si>
    <t>EPT71</t>
  </si>
  <si>
    <t>บ***โจ้</t>
  </si>
  <si>
    <t>03/01/2025 07:27</t>
  </si>
  <si>
    <t>754204955884</t>
  </si>
  <si>
    <t>EPT69</t>
  </si>
  <si>
    <t>ร***นภา  ว***รัสมี</t>
  </si>
  <si>
    <t>03/01/2025 07:22</t>
  </si>
  <si>
    <t>754261741833</t>
  </si>
  <si>
    <t>03/01/2025 07:23</t>
  </si>
  <si>
    <t>EPT67</t>
  </si>
  <si>
    <t>03/01/2025 07:13</t>
  </si>
  <si>
    <t>754202710833</t>
  </si>
  <si>
    <t>EPT64</t>
  </si>
  <si>
    <t>03/01/2025 07:08</t>
  </si>
  <si>
    <t>754232388560</t>
  </si>
  <si>
    <t>03/01/2025 07:11</t>
  </si>
  <si>
    <t>EPT63</t>
  </si>
  <si>
    <t>ห***ง   ท***ุข</t>
  </si>
  <si>
    <t>03/01/2025 07:02</t>
  </si>
  <si>
    <t>754213832643</t>
  </si>
  <si>
    <t>03/01/2025 07:04</t>
  </si>
  <si>
    <t>EPT62</t>
  </si>
  <si>
    <t>03/01/2025 07:01</t>
  </si>
  <si>
    <t>754241889553</t>
  </si>
  <si>
    <t>EPT60</t>
  </si>
  <si>
    <t>เ***พร น***ุช</t>
  </si>
  <si>
    <t>03/01/2025 06:58</t>
  </si>
  <si>
    <t>754206568511</t>
  </si>
  <si>
    <t>EPT59</t>
  </si>
  <si>
    <t>พ***์นรี ต***้ว</t>
  </si>
  <si>
    <t>03/01/2025 06:56</t>
  </si>
  <si>
    <t>754252638646</t>
  </si>
  <si>
    <t>EPT56</t>
  </si>
  <si>
    <t>วิโชติ  คงคติธรรม</t>
  </si>
  <si>
    <t>451/192  หมู่บ้านปัญฐิญา ซอยสุวินทวงศ์11 แขวงแสนแสบ
มีนบุรี/ Min Buriกรุงเทพมหานคร/ Bangkok
10510</t>
  </si>
  <si>
    <t>660845804097</t>
  </si>
  <si>
    <t>03/01/2025 06:52</t>
  </si>
  <si>
    <t>LEXPU0441117958</t>
  </si>
  <si>
    <t>EPT54</t>
  </si>
  <si>
    <t>ฉ***าภรณ์ ว***ธิ์</t>
  </si>
  <si>
    <t>03/01/2025 06:45</t>
  </si>
  <si>
    <t>754250786575</t>
  </si>
  <si>
    <t>EPT53</t>
  </si>
  <si>
    <t>ป***ร ก***มาโมง</t>
  </si>
  <si>
    <t>03/01/2025 06:43</t>
  </si>
  <si>
    <t>THT33051DSEMY4Z</t>
  </si>
  <si>
    <t>EPT51</t>
  </si>
  <si>
    <t>ว***ะพันธ์ ท***ฉม</t>
  </si>
  <si>
    <t>03/01/2025 06:39</t>
  </si>
  <si>
    <t>754294630644</t>
  </si>
  <si>
    <t>EPT50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</si>
  <si>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</si>
  <si>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</si>
  <si>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20150</t>
  </si>
  <si>
    <t>660868416601</t>
  </si>
  <si>
    <t>03/01/2025 06:36</t>
  </si>
  <si>
    <t>LEXDO0123653449</t>
  </si>
  <si>
    <t>EPT49</t>
  </si>
  <si>
    <t>ม***  ท***หลืองสุข</t>
  </si>
  <si>
    <t>03/01/2025 06:34</t>
  </si>
  <si>
    <t>754221030614</t>
  </si>
  <si>
    <t>EPT48</t>
  </si>
  <si>
    <t>อ******ง</t>
  </si>
  <si>
    <t>******.บางปะอิน จ.อยุธยา ตำบลคลองจิก อำเภอบางปะอิน จังหวัดพระนครศรีอยุธยา 13160</t>
  </si>
  <si>
    <t>03/01/2025 07:03</t>
  </si>
  <si>
    <t>TH252433122536M</t>
  </si>
  <si>
    <t>03/01/2025 06:32</t>
  </si>
  <si>
    <t>EPT47</t>
  </si>
  <si>
    <t>ค***ลัยลักษณ์  ส***นดี</t>
  </si>
  <si>
    <t>03/01/2025 06:11</t>
  </si>
  <si>
    <t>754297961550</t>
  </si>
  <si>
    <t>EPT46</t>
  </si>
  <si>
    <t>ส***งคณา ศ***จริญ</t>
  </si>
  <si>
    <t>03/01/2025 06:07</t>
  </si>
  <si>
    <t>754272036641</t>
  </si>
  <si>
    <t>03/01/2025 06:08</t>
  </si>
  <si>
    <t>EPT45</t>
  </si>
  <si>
    <t>TH252659364336J</t>
  </si>
  <si>
    <t>03/01/2025 06:06</t>
  </si>
  <si>
    <t>EPT44</t>
  </si>
  <si>
    <t>นาง แจ้ว บุตรดา</t>
  </si>
  <si>
    <t>332/2 หมู่3 ตำบลวังแดง
ตรอน/ Tronอุตรดิตถ์/ Uttaradit
53140</t>
  </si>
  <si>
    <t>660961613935</t>
  </si>
  <si>
    <t>03/01/2025 06:03</t>
  </si>
  <si>
    <t>LEXPU0441121158</t>
  </si>
  <si>
    <t>EPT43</t>
  </si>
  <si>
    <t>น***ภา ช***ชำนิ</t>
  </si>
  <si>
    <t>03/01/2025 05:58</t>
  </si>
  <si>
    <t>754235928644</t>
  </si>
  <si>
    <t>EPT41</t>
  </si>
  <si>
    <t>03/01/2025 06:14</t>
  </si>
  <si>
    <t>TH2575139468734</t>
  </si>
  <si>
    <t>03/01/2025 05:44</t>
  </si>
  <si>
    <t>EPT40</t>
  </si>
  <si>
    <t>03/01/2025 06:13</t>
  </si>
  <si>
    <t>TH2526434845601</t>
  </si>
  <si>
    <t>03/01/2025 05:43</t>
  </si>
  <si>
    <t>EPT39</t>
  </si>
  <si>
    <t>03/01/2025 06:12</t>
  </si>
  <si>
    <t>TH250783711832T</t>
  </si>
  <si>
    <t>03/01/2025 05:42</t>
  </si>
  <si>
    <t>EPT38</t>
  </si>
  <si>
    <t>TH2516497196357</t>
  </si>
  <si>
    <t>03/01/2025 05:41</t>
  </si>
  <si>
    <t>EPT37</t>
  </si>
  <si>
    <t>03/01/2025 06:10</t>
  </si>
  <si>
    <t>TH255441532027Z</t>
  </si>
  <si>
    <t>EPT36</t>
  </si>
  <si>
    <t>จ***นา ก***ประโคน</t>
  </si>
  <si>
    <t>03/01/2025 05:38</t>
  </si>
  <si>
    <t>754226324622</t>
  </si>
  <si>
    <t>EPT35</t>
  </si>
  <si>
    <t>อ***ัตน์  พ***ย</t>
  </si>
  <si>
    <t>03/01/2025 05:34</t>
  </si>
  <si>
    <t>THT44011DSN7N7Z</t>
  </si>
  <si>
    <t>EPT34</t>
  </si>
  <si>
    <t>ธ***ยุทธ ส***ร</t>
  </si>
  <si>
    <t>03/01/2025 04:56</t>
  </si>
  <si>
    <t>754211700653</t>
  </si>
  <si>
    <t>EPT33</t>
  </si>
  <si>
    <t>ธนัญญา พัฒนพงษ์</t>
  </si>
  <si>
    <t>110   หมู่ 10 ต.หนองปรือ
พนัสนิคม/ Phanat Nikhomชลบุรี/ Chonburi
20140</t>
  </si>
  <si>
    <t>660925782659</t>
  </si>
  <si>
    <t>03/01/2025 04:43</t>
  </si>
  <si>
    <t>LEXPU0441121223</t>
  </si>
  <si>
    <t>EPT32</t>
  </si>
  <si>
    <t>อ***ุมาลิน บ***ิน</t>
  </si>
  <si>
    <t>03/01/2025 04:31</t>
  </si>
  <si>
    <t>754217202642</t>
  </si>
  <si>
    <t>03/01/2025 04:38</t>
  </si>
  <si>
    <t>EPT31</t>
  </si>
  <si>
    <t>ห***ชนก</t>
  </si>
  <si>
    <t>03/01/2025 04:08</t>
  </si>
  <si>
    <t>754222320692</t>
  </si>
  <si>
    <t>03/01/2025 04:19</t>
  </si>
  <si>
    <t>EPT28</t>
  </si>
  <si>
    <t>P***thiphong B***am</t>
  </si>
  <si>
    <t>03/01/2025 03:17</t>
  </si>
  <si>
    <t>754246587522</t>
  </si>
  <si>
    <t>EPT27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</si>
  <si>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</si>
  <si>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660986531649</t>
  </si>
  <si>
    <t>03/01/2025 02:51</t>
  </si>
  <si>
    <t>LEXPU0441100105</t>
  </si>
  <si>
    <t>03/01/2025 02:50</t>
  </si>
  <si>
    <t>EPT26</t>
  </si>
  <si>
    <t>660986534649</t>
  </si>
  <si>
    <t>03/01/2025 02:46</t>
  </si>
  <si>
    <t>LEXPU0441100579</t>
  </si>
  <si>
    <t>EPT25</t>
  </si>
  <si>
    <t>พิเชษฐ ฮ้องหาญ</t>
  </si>
  <si>
    <t>บ้านเหล่าเจริญ 290 ม.8( ร้านเครื่องเขียนกองหนุน) บ้านเหล่าเจริญ ต.ห้วยหลัว
บ้านม่วง/ Ban Muangสกลนคร/ Sakon Nakhon
47140</t>
  </si>
  <si>
    <t>47140</t>
  </si>
  <si>
    <t>660931521789</t>
  </si>
  <si>
    <t>03/01/2025 02:42</t>
  </si>
  <si>
    <t>TH44106NBSHN2F</t>
  </si>
  <si>
    <t>EPT23</t>
  </si>
  <si>
    <t>ญ******ง</t>
  </si>
  <si>
    <t>******ะโก, อำเภอทุ่งตะโก ตำบลตะโก อำเภอทุ่งตะโก จังหวัดชุมพร 86220</t>
  </si>
  <si>
    <t>86220</t>
  </si>
  <si>
    <t>TH70086ND3829C</t>
  </si>
  <si>
    <t>03/01/2025 02:12</t>
  </si>
  <si>
    <t>EPT22</t>
  </si>
  <si>
    <t>******อุทิศ69 แขวงทุ่งครุ เขตทุ่งครุ จังหวัดกรุงเทพมหานคร 10140</t>
  </si>
  <si>
    <t>03/01/2025 02:11</t>
  </si>
  <si>
    <t>TH2517133776411</t>
  </si>
  <si>
    <t>EPT21</t>
  </si>
  <si>
    <t>ศ***พิชญ์ ท***ย์ประเทือง</t>
  </si>
  <si>
    <t>03/01/2025 01:50</t>
  </si>
  <si>
    <t>754289329662</t>
  </si>
  <si>
    <t>EPT20</t>
  </si>
  <si>
    <t>ร******น</t>
  </si>
  <si>
    <t>******นเสรีไทย แขวงคลองกุ่ม แขวงคลองกุ่ม เขตบึงกุ่ม จังหวัดกรุงเทพมหานคร 10240</t>
  </si>
  <si>
    <t>35</t>
  </si>
  <si>
    <t>03/01/2025 02:43</t>
  </si>
  <si>
    <t>TH257171294988W</t>
  </si>
  <si>
    <t>03/01/2025 02:09</t>
  </si>
  <si>
    <t>EPT19</t>
  </si>
  <si>
    <t>03/01/2025 01:58</t>
  </si>
  <si>
    <t>LEXPU0441099469</t>
  </si>
  <si>
    <t>EPT18</t>
  </si>
  <si>
    <t>ว******)</t>
  </si>
  <si>
    <t>******หาชน ซ.ชัยพฤกษ์ แขวง/เขตตลื่งขชัน แขวงฉิมพลี เขตตลิ่งชัน จังหวัดกรุงเทพมหานคร 10170</t>
  </si>
  <si>
    <t>13</t>
  </si>
  <si>
    <t>03/01/2025 01:48</t>
  </si>
  <si>
    <t>TH250044619078H</t>
  </si>
  <si>
    <t>EPT17</t>
  </si>
  <si>
    <t>TH257299830574A</t>
  </si>
  <si>
    <t>EPT16</t>
  </si>
  <si>
    <t>ณ***ดา  แ***จำรัส</t>
  </si>
  <si>
    <t>03/01/2025 01:29</t>
  </si>
  <si>
    <t>754267839636</t>
  </si>
  <si>
    <t>03/01/2025 01:40</t>
  </si>
  <si>
    <t>EPT15</t>
  </si>
  <si>
    <t>น***กษณ์  ศ***ุช</t>
  </si>
  <si>
    <t>754231523673</t>
  </si>
  <si>
    <t>EPT14</t>
  </si>
  <si>
    <t>บ***ากร ส***รณ์สิน</t>
  </si>
  <si>
    <t>03/01/2025 01:31</t>
  </si>
  <si>
    <t>754233324670</t>
  </si>
  <si>
    <t>EPT13</t>
  </si>
  <si>
    <t>03/01/2025 01:32</t>
  </si>
  <si>
    <t>754230033616</t>
  </si>
  <si>
    <t>EPT12</t>
  </si>
  <si>
    <t>03/01/2025 01:03</t>
  </si>
  <si>
    <t>754285036621</t>
  </si>
  <si>
    <t>03/01/2025 01:08</t>
  </si>
  <si>
    <t>EPT11</t>
  </si>
  <si>
    <t>03/01/2025 01:05</t>
  </si>
  <si>
    <t>LEXDO0123656739</t>
  </si>
  <si>
    <t>03/01/2025 01:02</t>
  </si>
  <si>
    <t>EPT9</t>
  </si>
  <si>
    <t>ส***ุนี</t>
  </si>
  <si>
    <t>03/01/2025 00:52</t>
  </si>
  <si>
    <t>754207435612</t>
  </si>
  <si>
    <t>03/01/2025 00:53</t>
  </si>
  <si>
    <t>EPT8</t>
  </si>
  <si>
    <t>น** ว***วดี ก***นทา</t>
  </si>
  <si>
    <t>จังหวัดนครศรีธรรมราช</t>
  </si>
  <si>
    <t>03/01/2025 00:51</t>
  </si>
  <si>
    <t>754283434634</t>
  </si>
  <si>
    <t>EPT7</t>
  </si>
  <si>
    <t>อ*** ไ***ำราญ</t>
  </si>
  <si>
    <t>03/01/2025 00:49</t>
  </si>
  <si>
    <t>754261720671</t>
  </si>
  <si>
    <t>EPT6</t>
  </si>
  <si>
    <t>LEXDO0123653468</t>
  </si>
  <si>
    <t>EPT5</t>
  </si>
  <si>
    <t>******นหมี่ จ.ลพบุรี ตำบลเชียงงา อำเภอบ้านหมี่ จังหวัดลพบุรี 15110</t>
  </si>
  <si>
    <t>15110</t>
  </si>
  <si>
    <t>03/01/2025 02:03</t>
  </si>
  <si>
    <t>TH252389324538Z</t>
  </si>
  <si>
    <t>03/01/2025 00:50</t>
  </si>
  <si>
    <t>EPT4</t>
  </si>
  <si>
    <t>LEXPU0441105503</t>
  </si>
  <si>
    <t>EPT2</t>
  </si>
  <si>
    <t>******ขันเงิน อ.หลังสวน จ.ชุมพร ตำบลขันเงิน อำเภอหลังสวน จังหวัดชุมพร 86110</t>
  </si>
  <si>
    <t>86110</t>
  </si>
  <si>
    <t>65</t>
  </si>
  <si>
    <t>03/01/2025 00:48</t>
  </si>
  <si>
    <t>TH253532130687Z</t>
  </si>
  <si>
    <t>EPS98</t>
  </si>
  <si>
    <t>******เพอร์เฟค พีค, ตำบล เหมือง, อำเภอเมืองชลบุรี ตำบลเหมือง อำเภอเมืองชลบุรี จังหวัดชลบุรี 20130</t>
  </si>
  <si>
    <t>03/01/2025 00:41</t>
  </si>
  <si>
    <t>TH254698869366X</t>
  </si>
  <si>
    <t>EPS97</t>
  </si>
  <si>
    <t>ม******า</t>
  </si>
  <si>
    <t>******5 ต.เหมือง ตำบลเหมือง อำเภอเมืองชลบุรี จังหวัดชลบุรี 20130</t>
  </si>
  <si>
    <t>TH258661373195D</t>
  </si>
  <si>
    <t>EPS96</t>
  </si>
  <si>
    <t>****** หมู่ที่ 3, ตำบลบ้านลี่, อำเภอบางปะหัน ตำบลบ้านลี่ อำเภอบางปะหัน จังหวัดพระนครศรีอยุธยา 13220</t>
  </si>
  <si>
    <t>13220</t>
  </si>
  <si>
    <t>TH2576732620080</t>
  </si>
  <si>
    <t>EPS95</t>
  </si>
  <si>
    <t>ส***พร  บ***ชิด</t>
  </si>
  <si>
    <t>03/01/2025 00:20</t>
  </si>
  <si>
    <t>754214436625</t>
  </si>
  <si>
    <t>EPS94</t>
  </si>
  <si>
    <t>ก***ร พ***พิ่ม</t>
  </si>
  <si>
    <t>03/01/2025 00:21</t>
  </si>
  <si>
    <t>754236871500</t>
  </si>
  <si>
    <t>03/01/2025 00:40</t>
  </si>
  <si>
    <t>EPS93</t>
  </si>
  <si>
    <t>ร***ซ่อมมอไซค์แยก 4</t>
  </si>
  <si>
    <t>754221235633</t>
  </si>
  <si>
    <t>EPS92</t>
  </si>
  <si>
    <t>น***าวณัฐพร  เ***แจ้ง</t>
  </si>
  <si>
    <t>03/01/2025 00:22</t>
  </si>
  <si>
    <t>754224924655</t>
  </si>
  <si>
    <t>EPS91</t>
  </si>
  <si>
    <t>ว***ัย   แ***ตียว</t>
  </si>
  <si>
    <t>03/01/2025 00:23</t>
  </si>
  <si>
    <t>754279633601</t>
  </si>
  <si>
    <t>EPS90</t>
  </si>
  <si>
    <t>ส***สินี ว***ย</t>
  </si>
  <si>
    <t>03/01/2025 00:27</t>
  </si>
  <si>
    <t>754297526662</t>
  </si>
  <si>
    <t>EPS89</t>
  </si>
  <si>
    <t>ส***ณ โ***ล</t>
  </si>
  <si>
    <t>03/01/2025 00:30</t>
  </si>
  <si>
    <t>754245721633</t>
  </si>
  <si>
    <t>EPS88</t>
  </si>
  <si>
    <t>ก***ิโชค  แ***ง้ว</t>
  </si>
  <si>
    <t>03/01/2025 00:33</t>
  </si>
  <si>
    <t>754210835674</t>
  </si>
  <si>
    <t>EPS87</t>
  </si>
  <si>
    <t>พ***ษฐ์ ย***อง</t>
  </si>
  <si>
    <t>03/01/2025 00:35</t>
  </si>
  <si>
    <t>754247726676</t>
  </si>
  <si>
    <t>EPS86</t>
  </si>
  <si>
    <t>อ***พร ส***ินทร์</t>
  </si>
  <si>
    <t>03/01/2025 00:37</t>
  </si>
  <si>
    <t>754202927693</t>
  </si>
  <si>
    <t>EPS85</t>
  </si>
  <si>
    <t>ส***สา ก***ือก</t>
  </si>
  <si>
    <t>03/01/2025 00:04</t>
  </si>
  <si>
    <t>THT01301DSJF40Z</t>
  </si>
  <si>
    <t>EPS84</t>
  </si>
  <si>
    <t>น***ถ</t>
  </si>
  <si>
    <t>03/01/2025 00:11</t>
  </si>
  <si>
    <t>754271920640</t>
  </si>
  <si>
    <t>03/01/2025 00:18</t>
  </si>
  <si>
    <t>EPS81</t>
  </si>
  <si>
    <t>ป***ศา ภ***ฉาย</t>
  </si>
  <si>
    <t>03/01/2025 00:16</t>
  </si>
  <si>
    <t>754289231603</t>
  </si>
  <si>
    <t>03/01/2025 00:17</t>
  </si>
  <si>
    <t>EPS78</t>
  </si>
  <si>
    <t>อ******์</t>
  </si>
  <si>
    <t>******ู่3 ซ.22 ต.บึงยี่โถ ตำบลบึงยี่โถ อำเภอธัญบุรี จังหวัดปทุมธานี 12130</t>
  </si>
  <si>
    <t>03/01/2025 00:02</t>
  </si>
  <si>
    <t>TH2567788741690</t>
  </si>
  <si>
    <t>EPS77</t>
  </si>
  <si>
    <t>น** ศ***านันท์ ร***ิยม</t>
  </si>
  <si>
    <t>02/01/2025 23:59</t>
  </si>
  <si>
    <t>754209327631</t>
  </si>
  <si>
    <t>03/01/2025 00:00</t>
  </si>
  <si>
    <t>EPS76</t>
  </si>
  <si>
    <t>ฐ***รี​ย์​ ส***ิวัฒนากุล</t>
  </si>
  <si>
    <t>02/01/2025 23:56</t>
  </si>
  <si>
    <t>754257608661</t>
  </si>
  <si>
    <t>EPS75</t>
  </si>
  <si>
    <t>จ***พร ส***ปณะ</t>
  </si>
  <si>
    <t>754212118645</t>
  </si>
  <si>
    <t>EPS74</t>
  </si>
  <si>
    <t>02/01/2025 23:55</t>
  </si>
  <si>
    <t>754292234614</t>
  </si>
  <si>
    <t>EPS73</t>
  </si>
  <si>
    <t>อ***าพ ภ***ีนาค</t>
  </si>
  <si>
    <t>02/01/2025 23:51</t>
  </si>
  <si>
    <t>754267624611</t>
  </si>
  <si>
    <t>02/01/2025 23:52</t>
  </si>
  <si>
    <t>EPS72</t>
  </si>
  <si>
    <t>ค***รงวิทย์</t>
  </si>
  <si>
    <t>02/01/2025 23:49</t>
  </si>
  <si>
    <t>754223070521</t>
  </si>
  <si>
    <t>EPS71</t>
  </si>
  <si>
    <t>ธ*** ท***องคำ</t>
  </si>
  <si>
    <t>02/01/2025 23:48</t>
  </si>
  <si>
    <t>754264913640</t>
  </si>
  <si>
    <t>EPS70</t>
  </si>
  <si>
    <t>นงนภัส สุขจิตต์นิรันดร</t>
  </si>
  <si>
    <t>Wat Ban Mai วัดบ้านมาย 29/3หมู่7 ต.วังเงิน อ.แม่ทะ จ.ลำปาง 52150 · วังเงิน/ Wang Ngoen
แม่ทะ/ Mae Thaลำปาง/ Lampang
52150</t>
  </si>
  <si>
    <t>52150</t>
  </si>
  <si>
    <t>660629165625</t>
  </si>
  <si>
    <t>02/01/2025 23:47</t>
  </si>
  <si>
    <t>TH49106NBZ5R6I</t>
  </si>
  <si>
    <t>EPS68</t>
  </si>
  <si>
    <t>น***สงี่ยม  เ***รไม่คลาย</t>
  </si>
  <si>
    <t>02/01/2025 23:45</t>
  </si>
  <si>
    <t>754277510641</t>
  </si>
  <si>
    <t>EPS67</t>
  </si>
  <si>
    <t>02/01/2025 23:44</t>
  </si>
  <si>
    <t>754254427625</t>
  </si>
  <si>
    <t>EPS65</t>
  </si>
  <si>
    <t>ธ***พร ถ***นา</t>
  </si>
  <si>
    <t>02/01/2025 23:38</t>
  </si>
  <si>
    <t>754247696521</t>
  </si>
  <si>
    <t>EPS64</t>
  </si>
  <si>
    <t>ค** ส***ิโชค บ***ลบ</t>
  </si>
  <si>
    <t>02/01/2025 23:36</t>
  </si>
  <si>
    <t>754210818605</t>
  </si>
  <si>
    <t>EPS62</t>
  </si>
  <si>
    <t>******7, ตำบลหนองม่วง, อำเภอหนองม่วง ตำบลหนองม่วง อำเภอหนองม่วง จังหวัดลพบุรี 15170</t>
  </si>
  <si>
    <t>15170</t>
  </si>
  <si>
    <t>03/01/2025 00:24</t>
  </si>
  <si>
    <t>TH253298415943O</t>
  </si>
  <si>
    <t>02/01/2025 23:34</t>
  </si>
  <si>
    <t>EPS61</t>
  </si>
  <si>
    <t>ห***งฤทัย เ***ขัน</t>
  </si>
  <si>
    <t>754250213603</t>
  </si>
  <si>
    <t>EPS59</t>
  </si>
  <si>
    <t>ค***ัญฑัต อ***โช</t>
  </si>
  <si>
    <t>02/01/2025 23:29</t>
  </si>
  <si>
    <t>754204718654</t>
  </si>
  <si>
    <t>EPS58</t>
  </si>
  <si>
    <t>น***ุบลรัตน์ ค***นธ์</t>
  </si>
  <si>
    <t>02/01/2025 23:28</t>
  </si>
  <si>
    <t>754260086591</t>
  </si>
  <si>
    <t>EPS57</t>
  </si>
  <si>
    <t>M**</t>
  </si>
  <si>
    <t>754232264590</t>
  </si>
  <si>
    <t>EPS54</t>
  </si>
  <si>
    <t>น***น ก***้ว</t>
  </si>
  <si>
    <t>02/01/2025 23:24</t>
  </si>
  <si>
    <t>754238297525</t>
  </si>
  <si>
    <t>EPS53</t>
  </si>
  <si>
    <t>ก***นัย ม***มี</t>
  </si>
  <si>
    <t>02/01/2025 23:23</t>
  </si>
  <si>
    <t>754225109632</t>
  </si>
  <si>
    <t>EPS52</t>
  </si>
  <si>
    <t>ร***ตุ๊กตา</t>
  </si>
  <si>
    <t>754268808694</t>
  </si>
  <si>
    <t>EPS51</t>
  </si>
  <si>
    <t>ส***ิง น***สียง</t>
  </si>
  <si>
    <t>02/01/2025 23:22</t>
  </si>
  <si>
    <t>754221905640</t>
  </si>
  <si>
    <t>EPS50</t>
  </si>
  <si>
    <t>754217819600</t>
  </si>
  <si>
    <t>EPS49</t>
  </si>
  <si>
    <t>โ***ุดา  ส***ระกูล</t>
  </si>
  <si>
    <t>02/01/2025 23:20</t>
  </si>
  <si>
    <t>754291237615</t>
  </si>
  <si>
    <t>02/01/2025 23:21</t>
  </si>
  <si>
    <t>EPS46</t>
  </si>
  <si>
    <t>ฟ***ค</t>
  </si>
  <si>
    <t>754212661576</t>
  </si>
  <si>
    <t>EPS43</t>
  </si>
  <si>
    <t>น***ัตชนก แ***เมือง</t>
  </si>
  <si>
    <t>02/01/2025 23:17</t>
  </si>
  <si>
    <t>754208505632</t>
  </si>
  <si>
    <t>EPS42</t>
  </si>
  <si>
    <t>น*** ส***ศิริ</t>
  </si>
  <si>
    <t>02/01/2025 23:15</t>
  </si>
  <si>
    <t>754293184573</t>
  </si>
  <si>
    <t>EPS41</t>
  </si>
  <si>
    <t>ส***ร แ***ึ้ง</t>
  </si>
  <si>
    <t>754286214603</t>
  </si>
  <si>
    <t>EPS40</t>
  </si>
  <si>
    <t>ค***วงพรพิทักษ์รณชัย</t>
  </si>
  <si>
    <t>02/01/2025 23:12</t>
  </si>
  <si>
    <t>754286921640</t>
  </si>
  <si>
    <t>EPS39</t>
  </si>
  <si>
    <t>ค***ุ่งสัรีย์ แ***ัน</t>
  </si>
  <si>
    <t>754248192596</t>
  </si>
  <si>
    <t>EPS38</t>
  </si>
  <si>
    <t>ส*** ห***ล</t>
  </si>
  <si>
    <t>02/01/2025 23:09</t>
  </si>
  <si>
    <t>754277689513</t>
  </si>
  <si>
    <t>02/01/2025 23:10</t>
  </si>
  <si>
    <t>EPS37</t>
  </si>
  <si>
    <t>ป***ม</t>
  </si>
  <si>
    <t>754214648600</t>
  </si>
  <si>
    <t>ยอดฮิต8ชิ้น2กล่องยอดฮิต8ชิ้น</t>
  </si>
  <si>
    <t>EPS36</t>
  </si>
  <si>
    <t>จ***ิมา จ***ร์คำ</t>
  </si>
  <si>
    <t>02/01/2025 23:08</t>
  </si>
  <si>
    <t>754294203666</t>
  </si>
  <si>
    <t>EPS35</t>
  </si>
  <si>
    <t>ช***กาญจน์ ม***้ว</t>
  </si>
  <si>
    <t>02/01/2025 23:07</t>
  </si>
  <si>
    <t>754228689513</t>
  </si>
  <si>
    <t>EPS34</t>
  </si>
  <si>
    <t>อ***ลิกา ส***สน</t>
  </si>
  <si>
    <t>02/01/2025 23:06</t>
  </si>
  <si>
    <t>754266999592</t>
  </si>
  <si>
    <t>EPS33</t>
  </si>
  <si>
    <t>754229179546</t>
  </si>
  <si>
    <t>EPS32</t>
  </si>
  <si>
    <t>ว***า ใ***น</t>
  </si>
  <si>
    <t>02/01/2025 23:05</t>
  </si>
  <si>
    <t>754223830662</t>
  </si>
  <si>
    <t>EPS31</t>
  </si>
  <si>
    <t>พ***ินทร์ ส***ิชุม0659490637</t>
  </si>
  <si>
    <t>THT42101DS75D7Z</t>
  </si>
  <si>
    <t>EPS30</t>
  </si>
  <si>
    <t>จ***มาศ จ***รีกระยอม</t>
  </si>
  <si>
    <t>02/01/2025 23:03</t>
  </si>
  <si>
    <t>754272035661</t>
  </si>
  <si>
    <t>02/01/2025 23:04</t>
  </si>
  <si>
    <t>EPS29</t>
  </si>
  <si>
    <t>02/01/2025 23:00</t>
  </si>
  <si>
    <t>THT74041DS6S05Z</t>
  </si>
  <si>
    <t>EPS28</t>
  </si>
  <si>
    <t>อ***ราภรณ์ ไ***ล</t>
  </si>
  <si>
    <t>02/01/2025 22:58</t>
  </si>
  <si>
    <t>754232435666</t>
  </si>
  <si>
    <t>EPS27</t>
  </si>
  <si>
    <t>แ** ร***ตาจุก</t>
  </si>
  <si>
    <t>02/01/2025 22:56</t>
  </si>
  <si>
    <t>754251839666</t>
  </si>
  <si>
    <t>EPS26</t>
  </si>
  <si>
    <t>อ***ยา เ***งสุข</t>
  </si>
  <si>
    <t>754299520682</t>
  </si>
  <si>
    <t>EPS25</t>
  </si>
  <si>
    <t>เ***ยบ</t>
  </si>
  <si>
    <t>02/01/2025 22:54</t>
  </si>
  <si>
    <t>754258438566</t>
  </si>
  <si>
    <t>EPS24</t>
  </si>
  <si>
    <t>THT02061DS1W99Z</t>
  </si>
  <si>
    <t>EPS23</t>
  </si>
  <si>
    <t>ส***รณษา พ***งาม</t>
  </si>
  <si>
    <t>754278523692</t>
  </si>
  <si>
    <t>EPS22</t>
  </si>
  <si>
    <t>น***สร ท***ลอด</t>
  </si>
  <si>
    <t>02/01/2025 22:53</t>
  </si>
  <si>
    <t>754297728693</t>
  </si>
  <si>
    <t>EPS21</t>
  </si>
  <si>
    <t>ส***รัตน์ น***ุล</t>
  </si>
  <si>
    <t>02/01/2025 22:52</t>
  </si>
  <si>
    <t>754243633662</t>
  </si>
  <si>
    <t>EPS20</t>
  </si>
  <si>
    <t>จ***ค์  ช***ชม</t>
  </si>
  <si>
    <t>754244231661</t>
  </si>
  <si>
    <t>EPS19</t>
  </si>
  <si>
    <t>ป***ิดา ไ***าตย์</t>
  </si>
  <si>
    <t>754285768526</t>
  </si>
  <si>
    <t>02/01/2025 22:51</t>
  </si>
  <si>
    <t>EPS18</t>
  </si>
  <si>
    <t>ห***า   ศ***ตั้งมั่น</t>
  </si>
  <si>
    <t>754227723690</t>
  </si>
  <si>
    <t>EPS17</t>
  </si>
  <si>
    <t>พ******ฬ</t>
  </si>
  <si>
    <t>******วศ แขวงคลองสามประเวศ เขตลาดกระบัง จังหวัดกรุงเทพมหานคร 10520</t>
  </si>
  <si>
    <t>TH01396ND1AP7G</t>
  </si>
  <si>
    <t>02/01/2025 22:50</t>
  </si>
  <si>
    <t>EPS16</t>
  </si>
  <si>
    <t>น***าถ  ล***ง</t>
  </si>
  <si>
    <t>02/01/2025 22:45</t>
  </si>
  <si>
    <t>754243631665</t>
  </si>
  <si>
    <t>EPS14</t>
  </si>
  <si>
    <t>พ***ทธิ์ จ***โรจน์โถคา</t>
  </si>
  <si>
    <t>02/01/2025 22:40</t>
  </si>
  <si>
    <t>754279121691</t>
  </si>
  <si>
    <t>02/01/2025 22:41</t>
  </si>
  <si>
    <t>EPS13</t>
  </si>
  <si>
    <t>ก***า ส***ติศิริ</t>
  </si>
  <si>
    <t>02/01/2025 22:37</t>
  </si>
  <si>
    <t>754233921685</t>
  </si>
  <si>
    <t>EPS12</t>
  </si>
  <si>
    <t>น***อดชาย ค***ม</t>
  </si>
  <si>
    <t>02/01/2025 22:36</t>
  </si>
  <si>
    <t>754243403653</t>
  </si>
  <si>
    <t>EPS11</t>
  </si>
  <si>
    <t>น** พ***ชรี ป***ันตัง</t>
  </si>
  <si>
    <t>02/01/2025 22:35</t>
  </si>
  <si>
    <t>754275437650</t>
  </si>
  <si>
    <t>EPS10</t>
  </si>
  <si>
    <t>ท***์พร โ***หนองปิง</t>
  </si>
  <si>
    <t>02/01/2025 22:34</t>
  </si>
  <si>
    <t>754257231663</t>
  </si>
  <si>
    <t>EPS9</t>
  </si>
  <si>
    <t>ส*** บ***งศ์</t>
  </si>
  <si>
    <t>02/01/2025 22:33</t>
  </si>
  <si>
    <t>754296032663</t>
  </si>
  <si>
    <t>EPS7</t>
  </si>
  <si>
    <t>02/01/2025 22:30</t>
  </si>
  <si>
    <t>LEXDO0123654274</t>
  </si>
  <si>
    <t>EPS6</t>
  </si>
  <si>
    <t>02/01/2025 22:29</t>
  </si>
  <si>
    <t>754219728695</t>
  </si>
  <si>
    <t>EPS5</t>
  </si>
  <si>
    <t>******่งไหม อำเภอวารินชำราบ จ.อุบลราชธานี ตำบลบุ่งไหม อำเภอวารินชำราบ จังหวัดอุบลราชธานี 34190</t>
  </si>
  <si>
    <t>02/01/2025 22:59</t>
  </si>
  <si>
    <t>TH31136ND3216P</t>
  </si>
  <si>
    <t>EPS4</t>
  </si>
  <si>
    <t>******บุญเรือง, ตำบล พระกลางทุ่ง, อำเภอธาตุพนม ตำบลพระกลางทุ่ง อำเภอธาตุพนม จังหวัดนครพนม 48110</t>
  </si>
  <si>
    <t>02/01/2025 22:27</t>
  </si>
  <si>
    <t>TH45056ND4753D</t>
  </si>
  <si>
    <t>EPS3</t>
  </si>
  <si>
    <t>จ***รรณ ม***ุรินทร์</t>
  </si>
  <si>
    <t>02/01/2025 22:25</t>
  </si>
  <si>
    <t>754220323695</t>
  </si>
  <si>
    <t>EPS2</t>
  </si>
  <si>
    <t>ธ***ญาดา พ***ภณ</t>
  </si>
  <si>
    <t>02/01/2025 22:24</t>
  </si>
  <si>
    <t>754292465581</t>
  </si>
  <si>
    <t>EPS1</t>
  </si>
  <si>
    <t>น***ยา ภ***ญาณ</t>
  </si>
  <si>
    <t>02/01/2025 22:23</t>
  </si>
  <si>
    <t>754211125684</t>
  </si>
  <si>
    <t>EPS0</t>
  </si>
  <si>
    <t>ถ***ีย์ บ***าร</t>
  </si>
  <si>
    <t>02/01/2025 22:20</t>
  </si>
  <si>
    <t>754279663594</t>
  </si>
  <si>
    <t>EPR99</t>
  </si>
  <si>
    <t>ส***ญญา ก***ษ์</t>
  </si>
  <si>
    <t>754217615653</t>
  </si>
  <si>
    <t>EPR97</t>
  </si>
  <si>
    <t>ว***   ฤ***ง</t>
  </si>
  <si>
    <t>02/01/2025 22:19</t>
  </si>
  <si>
    <t>754272727692</t>
  </si>
  <si>
    <t>EPR96</t>
  </si>
  <si>
    <t>ซ***าบีน เ***บองอ</t>
  </si>
  <si>
    <t>02/01/2025 22:17</t>
  </si>
  <si>
    <t>754257636650</t>
  </si>
  <si>
    <t>EPR95</t>
  </si>
  <si>
    <t>ส***ริ ด***องแดง</t>
  </si>
  <si>
    <t>02/01/2025 22:16</t>
  </si>
  <si>
    <t>754277632651</t>
  </si>
  <si>
    <t>EPR94</t>
  </si>
  <si>
    <t>754295630653</t>
  </si>
  <si>
    <t>EPR93</t>
  </si>
  <si>
    <t>จ***ร ม***ย</t>
  </si>
  <si>
    <t>02/01/2025 22:15</t>
  </si>
  <si>
    <t>754295790581</t>
  </si>
  <si>
    <t>EPR91</t>
  </si>
  <si>
    <t>จ***้านควิกลิสซิ่ง</t>
  </si>
  <si>
    <t>02/01/2025 22:14</t>
  </si>
  <si>
    <t>ขอรสเค้กกล้วยหอมด้วยนะคะ พรีสสสสสส🥺🥺🥺</t>
  </si>
  <si>
    <t>THT15051DSJ688Z</t>
  </si>
  <si>
    <t>EPR90</t>
  </si>
  <si>
    <t>ร**</t>
  </si>
  <si>
    <t>02/01/2025 22:12</t>
  </si>
  <si>
    <t>754244603652</t>
  </si>
  <si>
    <t>EPR89</t>
  </si>
  <si>
    <t>02/01/2025 22:10</t>
  </si>
  <si>
    <t>754293824664</t>
  </si>
  <si>
    <t>02/01/2025 22:11</t>
  </si>
  <si>
    <t>EPR88</t>
  </si>
  <si>
    <t>แ***   ด***ป็ง</t>
  </si>
  <si>
    <t>02/01/2025 22:09</t>
  </si>
  <si>
    <t>754249796580</t>
  </si>
  <si>
    <t>EPR87</t>
  </si>
  <si>
    <t>ค***ัตน์  บ***ูช่วย</t>
  </si>
  <si>
    <t>02/01/2025 22:07</t>
  </si>
  <si>
    <t>754224721681</t>
  </si>
  <si>
    <t>02/01/2025 22:08</t>
  </si>
  <si>
    <t>EPR86</t>
  </si>
  <si>
    <t>ส***ภรณ์ ก***นศรีสุข</t>
  </si>
  <si>
    <t>02/01/2025 22:06</t>
  </si>
  <si>
    <t>754263328696</t>
  </si>
  <si>
    <t>EPR85</t>
  </si>
  <si>
    <t>ก***มา ท***ิเวก</t>
  </si>
  <si>
    <t>02/01/2025 22:05</t>
  </si>
  <si>
    <t>754258603652</t>
  </si>
  <si>
    <t>EPR84</t>
  </si>
  <si>
    <t>ธ***พร น***นำ</t>
  </si>
  <si>
    <t>754236636646</t>
  </si>
  <si>
    <t>02/01/2025 22:03</t>
  </si>
  <si>
    <t>EPR83</t>
  </si>
  <si>
    <t>ใ* ส***ม</t>
  </si>
  <si>
    <t>02/01/2025 22:00</t>
  </si>
  <si>
    <t>754209768546</t>
  </si>
  <si>
    <t>EPR82</t>
  </si>
  <si>
    <t>เ***่  โ***่อนทุกครั้ง</t>
  </si>
  <si>
    <t>02/01/2025 21:59</t>
  </si>
  <si>
    <t>754250436660</t>
  </si>
  <si>
    <t>EPR81</t>
  </si>
  <si>
    <t>02/01/2025 21:58</t>
  </si>
  <si>
    <t>754271190584</t>
  </si>
  <si>
    <t>EPR79</t>
  </si>
  <si>
    <t>ก***ัตน์  ส***รัพย์</t>
  </si>
  <si>
    <t>02/01/2025 21:56</t>
  </si>
  <si>
    <t>754262160536</t>
  </si>
  <si>
    <t>EPR78</t>
  </si>
  <si>
    <t>ภ*** ผ***ศรีสุข</t>
  </si>
  <si>
    <t>02/01/2025 21:55</t>
  </si>
  <si>
    <t>THT20071DSHW66Z</t>
  </si>
  <si>
    <t>EPR77</t>
  </si>
  <si>
    <t>น***าวฐาปนี  ค***คิด</t>
  </si>
  <si>
    <t>02/01/2025 21:54</t>
  </si>
  <si>
    <t>THT51041DS4Z05Z</t>
  </si>
  <si>
    <t>EPR75</t>
  </si>
  <si>
    <t>ศ***งษ์</t>
  </si>
  <si>
    <t>02/01/2025 21:51</t>
  </si>
  <si>
    <t>754224936603</t>
  </si>
  <si>
    <t>EPR74</t>
  </si>
  <si>
    <t>ภ***ิรา น***ชาตรี</t>
  </si>
  <si>
    <t>02/01/2025 21:49</t>
  </si>
  <si>
    <t>754224333601</t>
  </si>
  <si>
    <t>EPR73</t>
  </si>
  <si>
    <t>น***ายทอง ก***ะลอง</t>
  </si>
  <si>
    <t>02/01/2025 21:45</t>
  </si>
  <si>
    <t>THT60091DSNGJ1Z</t>
  </si>
  <si>
    <t>02/01/2025 21:44</t>
  </si>
  <si>
    <t>EPR72</t>
  </si>
  <si>
    <t>P***aydow P***han</t>
  </si>
  <si>
    <t>02/01/2025 21:43</t>
  </si>
  <si>
    <t>754256693540</t>
  </si>
  <si>
    <t>EPR71</t>
  </si>
  <si>
    <t>จ***ร จ***ินทร์</t>
  </si>
  <si>
    <t>02/01/2025 21:42</t>
  </si>
  <si>
    <t>754259431660</t>
  </si>
  <si>
    <t>EPR70</t>
  </si>
  <si>
    <t>ว***พ็ญ  ข***ิลึก</t>
  </si>
  <si>
    <t>02/01/2025 21:40</t>
  </si>
  <si>
    <t>754259834661</t>
  </si>
  <si>
    <t>EPR69</t>
  </si>
  <si>
    <t>น***</t>
  </si>
  <si>
    <t>754270631660</t>
  </si>
  <si>
    <t>EPR68</t>
  </si>
  <si>
    <t>นายเอกชัย เนียมคุ้ม</t>
  </si>
  <si>
    <t>69/ๅ0ฃ.บางระมาด3 (บ้านไทรงาม) ถ.บางระมาด แขวงบางระมาด เขต ตลิ่งชัน ก.ท.ม. 10170 · บางระมาด/ Bang Ramat
ตลิ่งชัน/ Taling Chanกรุงเทพมหานคร/ Bangkok
10170</t>
  </si>
  <si>
    <t>660615709405</t>
  </si>
  <si>
    <t>02/01/2025 21:39</t>
  </si>
  <si>
    <t>LEXPU0441105388</t>
  </si>
  <si>
    <t>EPR67</t>
  </si>
  <si>
    <t>02/01/2025 21:38</t>
  </si>
  <si>
    <t>LEXPU0441088071</t>
  </si>
  <si>
    <t>EPR66</t>
  </si>
  <si>
    <t>จ***ร  ว***ระเสริฐ</t>
  </si>
  <si>
    <t>02/01/2025 21:37</t>
  </si>
  <si>
    <t>754278032664</t>
  </si>
  <si>
    <t>EPR65</t>
  </si>
  <si>
    <t>ก******ี</t>
  </si>
  <si>
    <t>******ม1 ตำบลบ่อผุด อำเภอเกาะสมุย ตำบลบ่อผุด อำเภอเกาะสมุย จังหวัดสุราษฎร์ธานี 84320</t>
  </si>
  <si>
    <t>02/01/2025 21:48</t>
  </si>
  <si>
    <t>TH68046ND3G46F1</t>
  </si>
  <si>
    <t>EPR64</t>
  </si>
  <si>
    <t>m**</t>
  </si>
  <si>
    <t>02/01/2025 21:34</t>
  </si>
  <si>
    <t>THT04031DSM1K8Z</t>
  </si>
  <si>
    <t>02/01/2025 21:35</t>
  </si>
  <si>
    <t>EPR63</t>
  </si>
  <si>
    <t>น***า แ***ก้ว</t>
  </si>
  <si>
    <t>02/01/2025 21:30</t>
  </si>
  <si>
    <t>754228837666</t>
  </si>
  <si>
    <t>EPR61</t>
  </si>
  <si>
    <t>ม***รา  ร***ลับ</t>
  </si>
  <si>
    <t>02/01/2025 21:29</t>
  </si>
  <si>
    <t>754226838643</t>
  </si>
  <si>
    <t>EPR60</t>
  </si>
  <si>
    <t>พ***ร ว***ำ</t>
  </si>
  <si>
    <t>754201033666</t>
  </si>
  <si>
    <t>EPR59</t>
  </si>
  <si>
    <t>ว***า พ***าย</t>
  </si>
  <si>
    <t>754254521694</t>
  </si>
  <si>
    <t>EPR58</t>
  </si>
  <si>
    <t>ศ***ภัทร        พ***แก้ว</t>
  </si>
  <si>
    <t>754277926684</t>
  </si>
  <si>
    <t>EPR57</t>
  </si>
  <si>
    <t>02/01/2025 21:28</t>
  </si>
  <si>
    <t>754222233660</t>
  </si>
  <si>
    <t>EPR56</t>
  </si>
  <si>
    <t>อ***้อล</t>
  </si>
  <si>
    <t>02/01/2025 21:27</t>
  </si>
  <si>
    <t>754275325694</t>
  </si>
  <si>
    <t>EPR55</t>
  </si>
  <si>
    <t>ข***อง เ***ดขำ</t>
  </si>
  <si>
    <t>02/01/2025 21:24</t>
  </si>
  <si>
    <t>754208901666</t>
  </si>
  <si>
    <t>EPR54</t>
  </si>
  <si>
    <t>พ***า เ***มผล</t>
  </si>
  <si>
    <t>754240038650</t>
  </si>
  <si>
    <t>EPR52</t>
  </si>
  <si>
    <t>ป***ุมวรรณ ร***ัง</t>
  </si>
  <si>
    <t>02/01/2025 21:11</t>
  </si>
  <si>
    <t>754251198584</t>
  </si>
  <si>
    <t>02/01/2025 21:23</t>
  </si>
  <si>
    <t>EPR51</t>
  </si>
  <si>
    <t>เ***ิน อ***ุวรรณ</t>
  </si>
  <si>
    <t>จังหวัดนครราชสีมา</t>
  </si>
  <si>
    <t>754216960556</t>
  </si>
  <si>
    <t>EPR50</t>
  </si>
  <si>
    <t>บ***นทร์ พ***สิน</t>
  </si>
  <si>
    <t>02/01/2025 21:13</t>
  </si>
  <si>
    <t>754217523684</t>
  </si>
  <si>
    <t>EPR48</t>
  </si>
  <si>
    <t>น***สงหล้า ก***า</t>
  </si>
  <si>
    <t>02/01/2025 21:15</t>
  </si>
  <si>
    <t>754277929683</t>
  </si>
  <si>
    <t>EPR47</t>
  </si>
  <si>
    <t>02/01/2025 21:10</t>
  </si>
  <si>
    <t>754293428641</t>
  </si>
  <si>
    <t>EPR46</t>
  </si>
  <si>
    <t>ก***ัตน์ ช***แดง</t>
  </si>
  <si>
    <t>754202596582</t>
  </si>
  <si>
    <t>EPR45</t>
  </si>
  <si>
    <t>ด***มล ไ***ขตต์</t>
  </si>
  <si>
    <t>02/01/2025 21:16</t>
  </si>
  <si>
    <t>754230500693</t>
  </si>
  <si>
    <t>EPR44</t>
  </si>
  <si>
    <t>ศ***วิมล ม***ใจ</t>
  </si>
  <si>
    <t>02/01/2025 21:17</t>
  </si>
  <si>
    <t>754288525686</t>
  </si>
  <si>
    <t>EPR43</t>
  </si>
  <si>
    <t>754269327685</t>
  </si>
  <si>
    <t>EPR41</t>
  </si>
  <si>
    <t>******15 ตำบลสาริกา ตำบลสาริกา อำเภอเมืองนครนายก จังหวัดนครนายก 26000</t>
  </si>
  <si>
    <t>02/01/2025 21:47</t>
  </si>
  <si>
    <t>TH11016ND1WQ4J</t>
  </si>
  <si>
    <t>EPR39</t>
  </si>
  <si>
    <t>N*   S***rat</t>
  </si>
  <si>
    <t>02/01/2025 21:09</t>
  </si>
  <si>
    <t>754225326540</t>
  </si>
  <si>
    <t>EPR38</t>
  </si>
  <si>
    <t>ส***ตรี  ช***ล</t>
  </si>
  <si>
    <t>754281102621</t>
  </si>
  <si>
    <t>EPR37</t>
  </si>
  <si>
    <t>ส***ย ต***หากิจ</t>
  </si>
  <si>
    <t>02/01/2025 21:07</t>
  </si>
  <si>
    <t>754270407656</t>
  </si>
  <si>
    <t>02/01/2025 21:08</t>
  </si>
  <si>
    <t>EPR36</t>
  </si>
  <si>
    <t>ว***รณ์ ม***บัติ</t>
  </si>
  <si>
    <t>754282822661</t>
  </si>
  <si>
    <t>EPR35</t>
  </si>
  <si>
    <t>ช***ชิดา ภ***ขันธ์</t>
  </si>
  <si>
    <t>754245030630</t>
  </si>
  <si>
    <t>EPR34</t>
  </si>
  <si>
    <t>ว***ี ส***าบูรณ์</t>
  </si>
  <si>
    <t>02/01/2025 21:03</t>
  </si>
  <si>
    <t>754272718625</t>
  </si>
  <si>
    <t>02/01/2025 21:06</t>
  </si>
  <si>
    <t>EPR33</t>
  </si>
  <si>
    <t>ล***น  บ***ั้ง</t>
  </si>
  <si>
    <t>02/01/2025 21:02</t>
  </si>
  <si>
    <t>754264729676</t>
  </si>
  <si>
    <t>EPR32</t>
  </si>
  <si>
    <t>น** จ***วรรณ เ***อนลอย</t>
  </si>
  <si>
    <t>02/01/2025 20:59</t>
  </si>
  <si>
    <t>754256129686</t>
  </si>
  <si>
    <t>EPR31</t>
  </si>
  <si>
    <t>ภ***ดา ส***ศรี</t>
  </si>
  <si>
    <t>02/01/2025 20:57</t>
  </si>
  <si>
    <t>754265432616</t>
  </si>
  <si>
    <t>02/01/2025 20:58</t>
  </si>
  <si>
    <t>EPR30</t>
  </si>
  <si>
    <t>ส***ัตน์คนเดิม</t>
  </si>
  <si>
    <t>02/01/2025 20:56</t>
  </si>
  <si>
    <t>754269837646</t>
  </si>
  <si>
    <t>EPR29</t>
  </si>
  <si>
    <t>น***ุรีย์  ค***งแก้ว</t>
  </si>
  <si>
    <t>02/01/2025 20:55</t>
  </si>
  <si>
    <t>754209632643</t>
  </si>
  <si>
    <t>EPR28</t>
  </si>
  <si>
    <t>เ***รติศักดิ์ แ***ึง</t>
  </si>
  <si>
    <t>02/01/2025 20:53</t>
  </si>
  <si>
    <t>754210230653</t>
  </si>
  <si>
    <t>EPR25</t>
  </si>
  <si>
    <t>พิมพ์ภัทราภรณ์ มากขุนทด</t>
  </si>
  <si>
    <t>129 หมู่4 บ้านชุมม่วง ตำบลชุมตาบง
ชุมตาบง/ Chum Ta Bongนครสวรรค์/ Nakhon Sawan
60150</t>
  </si>
  <si>
    <t>60150</t>
  </si>
  <si>
    <t>660935521748</t>
  </si>
  <si>
    <t>02/01/2025 20:50</t>
  </si>
  <si>
    <t>TH56156NC1MT9A</t>
  </si>
  <si>
    <t>EPR23</t>
  </si>
  <si>
    <t>ศ***พร ศ***ิพัฒน์</t>
  </si>
  <si>
    <t>02/01/2025 20:51</t>
  </si>
  <si>
    <t>754265301602</t>
  </si>
  <si>
    <t>02/01/2025 20:47</t>
  </si>
  <si>
    <t>EPR22</t>
  </si>
  <si>
    <t>ส***รณ์  ป***ทองคำ</t>
  </si>
  <si>
    <t>754259930620</t>
  </si>
  <si>
    <t>EPR21</t>
  </si>
  <si>
    <t>ใ***ิร์น แ***เมืองพล</t>
  </si>
  <si>
    <t>754265125681</t>
  </si>
  <si>
    <t>02/01/2025 20:45</t>
  </si>
  <si>
    <t>EPR20</t>
  </si>
  <si>
    <t>อ***น   ศ***ำราญ</t>
  </si>
  <si>
    <t>02/01/2025 20:44</t>
  </si>
  <si>
    <t>754248834651</t>
  </si>
  <si>
    <t>EPR19</t>
  </si>
  <si>
    <t>ว***ญา ป***ม</t>
  </si>
  <si>
    <t>02/01/2025 20:43</t>
  </si>
  <si>
    <t>754284835636</t>
  </si>
  <si>
    <t>EPR17</t>
  </si>
  <si>
    <t>ห***อม ห***าค</t>
  </si>
  <si>
    <t>02/01/2025 20:42</t>
  </si>
  <si>
    <t>754242072500</t>
  </si>
  <si>
    <t>EPR16</t>
  </si>
  <si>
    <t>ส*** ม***</t>
  </si>
  <si>
    <t>02/01/2025 20:40</t>
  </si>
  <si>
    <t>754253039654</t>
  </si>
  <si>
    <t>EPR15</t>
  </si>
  <si>
    <t>ป***ายแก้ว เ***า</t>
  </si>
  <si>
    <t>02/01/2025 20:39</t>
  </si>
  <si>
    <t>754238031654</t>
  </si>
  <si>
    <t>EPR14</t>
  </si>
  <si>
    <t>ช***ศา พ***์ทอง</t>
  </si>
  <si>
    <t>02/01/2025 20:38</t>
  </si>
  <si>
    <t>754252837656</t>
  </si>
  <si>
    <t>EPR13</t>
  </si>
  <si>
    <t>ป***า ห***ครบุรี</t>
  </si>
  <si>
    <t>02/01/2025 20:36</t>
  </si>
  <si>
    <t>754252502636</t>
  </si>
  <si>
    <t>02/01/2025 20:37</t>
  </si>
  <si>
    <t>EPR12</t>
  </si>
  <si>
    <t>ณ***ท์ แ***มาก</t>
  </si>
  <si>
    <t>754262505695</t>
  </si>
  <si>
    <t>EPR11</t>
  </si>
  <si>
    <t>ม*** เ***งสิทธิ์</t>
  </si>
  <si>
    <t>754231238655</t>
  </si>
  <si>
    <t>EPR9</t>
  </si>
  <si>
    <t>ธ***รัตน์ อ***อง</t>
  </si>
  <si>
    <t>754265528682</t>
  </si>
  <si>
    <t>EPR8</t>
  </si>
  <si>
    <t xml:space="preserve">เ***เจิน </t>
  </si>
  <si>
    <t>754239420594</t>
  </si>
  <si>
    <t>02/01/2025 20:35</t>
  </si>
  <si>
    <t>EPR7</t>
  </si>
  <si>
    <t>แ***ใจ ค***อินทร์</t>
  </si>
  <si>
    <t>02/01/2025 20:32</t>
  </si>
  <si>
    <t>754261438652</t>
  </si>
  <si>
    <t>EPR6</t>
  </si>
  <si>
    <t>ส***ยทองกร  ห***ื่น</t>
  </si>
  <si>
    <t>THT60051DSEA74Z</t>
  </si>
  <si>
    <t>EPR4</t>
  </si>
  <si>
    <t>ภ***พงศ์ ม***ธิมงคล</t>
  </si>
  <si>
    <t>02/01/2025 20:28</t>
  </si>
  <si>
    <t>754214962513</t>
  </si>
  <si>
    <t>02/01/2025 20:29</t>
  </si>
  <si>
    <t>EPR3</t>
  </si>
  <si>
    <t>ว***ทร์ภัค จ***จรรยาพงศ์</t>
  </si>
  <si>
    <t>754220580536</t>
  </si>
  <si>
    <t>EPR1</t>
  </si>
  <si>
    <t>02/01/2025 20:27</t>
  </si>
  <si>
    <t>754258016680</t>
  </si>
  <si>
    <t>EPR0</t>
  </si>
  <si>
    <t>ป***ดา</t>
  </si>
  <si>
    <t>754229430636</t>
  </si>
  <si>
    <t>EPQ98</t>
  </si>
  <si>
    <t>ก***นา น***น้อย</t>
  </si>
  <si>
    <t>02/01/2025 20:23</t>
  </si>
  <si>
    <t>754266286594</t>
  </si>
  <si>
    <t>EPQ97</t>
  </si>
  <si>
    <t>น***พรณ์ ถ***นอก</t>
  </si>
  <si>
    <t>02/01/2025 20:21</t>
  </si>
  <si>
    <t>754255502685</t>
  </si>
  <si>
    <t>EPQ96</t>
  </si>
  <si>
    <t>น***ลธิรา ว***ำเชื้อ</t>
  </si>
  <si>
    <t>754277018681</t>
  </si>
  <si>
    <t>EPQ95</t>
  </si>
  <si>
    <t>ด******)</t>
  </si>
  <si>
    <t>******าด, อำเภอเมืองสุราษฎร์ธานี ตำบลตลาด อำเภอเมืองสุราษฎร์ธานี จังหวัดสุราษฎร์ธานี 84000</t>
  </si>
  <si>
    <t>TH68016ND1FD2A</t>
  </si>
  <si>
    <t>EPQ94</t>
  </si>
  <si>
    <t>น***ุมาลี เ***น้อย</t>
  </si>
  <si>
    <t>02/01/2025 20:20</t>
  </si>
  <si>
    <t>754218631666</t>
  </si>
  <si>
    <t>EPQ92</t>
  </si>
  <si>
    <t>ช*** ณ*</t>
  </si>
  <si>
    <t>02/01/2025 20:18</t>
  </si>
  <si>
    <t>754267920674</t>
  </si>
  <si>
    <t>EPQ91</t>
  </si>
  <si>
    <t>ว***ตน์ น***ผล</t>
  </si>
  <si>
    <t>02/01/2025 20:17</t>
  </si>
  <si>
    <t>THT45011DS4X91Z</t>
  </si>
  <si>
    <t>EPQ90</t>
  </si>
  <si>
    <t>แ******น</t>
  </si>
  <si>
    <t>******  จังหวัดสุราษธานี ตำบลพลูเถื่อน อำเภอพนม จังหวัดสุราษฎร์ธานี 84250</t>
  </si>
  <si>
    <t>84250</t>
  </si>
  <si>
    <t>47</t>
  </si>
  <si>
    <t>TH259699064649R</t>
  </si>
  <si>
    <t>EPQ88</t>
  </si>
  <si>
    <t>พ***รายุทธ ส***กรไทย</t>
  </si>
  <si>
    <t>02/01/2025 20:15</t>
  </si>
  <si>
    <t>754273332606</t>
  </si>
  <si>
    <t>EPQ87</t>
  </si>
  <si>
    <t>THT05071DS4US7Z</t>
  </si>
  <si>
    <t>EPQ86</t>
  </si>
  <si>
    <t>น***ิญโญ ท***ิ้ม</t>
  </si>
  <si>
    <t>02/01/2025 20:14</t>
  </si>
  <si>
    <t>754218588524</t>
  </si>
  <si>
    <t>EPQ85</t>
  </si>
  <si>
    <t>s** c**</t>
  </si>
  <si>
    <t>Surat Thani</t>
  </si>
  <si>
    <t>02/01/2025 20:13</t>
  </si>
  <si>
    <t>754215634642</t>
  </si>
  <si>
    <t>EPQ83</t>
  </si>
  <si>
    <t>ค***้อม</t>
  </si>
  <si>
    <t>02/01/2025 20:12</t>
  </si>
  <si>
    <t>THT15011DS76Y1Z</t>
  </si>
  <si>
    <t>02/01/2025 20:11</t>
  </si>
  <si>
    <t>EPQ82</t>
  </si>
  <si>
    <t>ป***า ท***ำ</t>
  </si>
  <si>
    <t>754200726661</t>
  </si>
  <si>
    <t>EPQ81</t>
  </si>
  <si>
    <t>Prapaporn Wijob</t>
  </si>
  <si>
    <t>163 หมู่ 7 บ้านด่านคนคบ ตำบลด่านคล้า
โนนสูง/ Non Sungนครราชสีมา/ Nakhon Ratchasima
30160</t>
  </si>
  <si>
    <t>660813852682</t>
  </si>
  <si>
    <t>TH27106NBS4K8L</t>
  </si>
  <si>
    <t>EPQ80</t>
  </si>
  <si>
    <t>ท***์เกษร ก***ัตน์</t>
  </si>
  <si>
    <t>02/01/2025 20:10</t>
  </si>
  <si>
    <t>754229298535</t>
  </si>
  <si>
    <t>EPQ79</t>
  </si>
  <si>
    <t>754204093532</t>
  </si>
  <si>
    <t>EPQ78</t>
  </si>
  <si>
    <t>ม***กมล ช***ชื่น</t>
  </si>
  <si>
    <t>02/01/2025 20:09</t>
  </si>
  <si>
    <t>754266526646</t>
  </si>
  <si>
    <t>EPQ76</t>
  </si>
  <si>
    <t>น***ลทิพย์  ส***วัสดิ์</t>
  </si>
  <si>
    <t>754240500661</t>
  </si>
  <si>
    <t>EPQ75</t>
  </si>
  <si>
    <t>ถ***  บ***า</t>
  </si>
  <si>
    <t>02/01/2025 20:06</t>
  </si>
  <si>
    <t>754293524681</t>
  </si>
  <si>
    <t>EPQ74</t>
  </si>
  <si>
    <t>พ***พย์ เ***ะทอง</t>
  </si>
  <si>
    <t>02/01/2025 20:04</t>
  </si>
  <si>
    <t>THT28101DS0VC9Z</t>
  </si>
  <si>
    <t>EPQ73</t>
  </si>
  <si>
    <t>เ******ฆ</t>
  </si>
  <si>
    <t>******ตำบลหนองสามวัง อำเภอหนองเสือ จังหวัดปทุมธานี 12170</t>
  </si>
  <si>
    <t>02/01/2025 20:33</t>
  </si>
  <si>
    <t>TH04046ND12D5E</t>
  </si>
  <si>
    <t>EPQ72</t>
  </si>
  <si>
    <t>น***ท บ***ิริ</t>
  </si>
  <si>
    <t>02/01/2025 20:02</t>
  </si>
  <si>
    <t>754226191585</t>
  </si>
  <si>
    <t>EPQ71</t>
  </si>
  <si>
    <t>ณ***ล  อ***รม</t>
  </si>
  <si>
    <t>754223319673</t>
  </si>
  <si>
    <t>EPQ70</t>
  </si>
  <si>
    <t>02/01/2025 20:01</t>
  </si>
  <si>
    <t>754270560514</t>
  </si>
  <si>
    <t>EPQ69</t>
  </si>
  <si>
    <t>02/01/2025 20:00</t>
  </si>
  <si>
    <t>THT47041DSESQ2Z</t>
  </si>
  <si>
    <t>EPQ68</t>
  </si>
  <si>
    <t>ณ******ง</t>
  </si>
  <si>
    <t>******เมือง จ.ขอนแก่น 40000 ตำบลโคกสี อำเภอเมืองขอนแก่น จังหวัดขอนแก่น 40000</t>
  </si>
  <si>
    <t>02/01/2025 19:58</t>
  </si>
  <si>
    <t>TH37016ND4MJ7C</t>
  </si>
  <si>
    <t>02/01/2025 19:57</t>
  </si>
  <si>
    <t>EPQ67</t>
  </si>
  <si>
    <t>ป***สุทธิ์  ห***ทองหลาง</t>
  </si>
  <si>
    <t>02/01/2025 19:56</t>
  </si>
  <si>
    <t>754298230652</t>
  </si>
  <si>
    <t>EPQ66</t>
  </si>
  <si>
    <t>ก***รรณ ธ***จะดี ก***ฟ</t>
  </si>
  <si>
    <t>754267036655</t>
  </si>
  <si>
    <t>EPQ65</t>
  </si>
  <si>
    <t>ป***สา  แ***มณี</t>
  </si>
  <si>
    <t>754216811655</t>
  </si>
  <si>
    <t>EPQ64</t>
  </si>
  <si>
    <t>อัญชลี พิสุทธิ์ดำรงกุล</t>
  </si>
  <si>
    <t>12/2 ม.5 · รางพิกุล/ Rang Phikun
กำแพงแสน/ Kamphaeng Saenนครปฐม/ Nakhon Pathom
73140</t>
  </si>
  <si>
    <t>660992546988</t>
  </si>
  <si>
    <t>LEXPU0441119694</t>
  </si>
  <si>
    <t>02/01/2025 19:55</t>
  </si>
  <si>
    <t>EPQ63</t>
  </si>
  <si>
    <t>น***รัพย์  ศ***าง</t>
  </si>
  <si>
    <t>02/01/2025 19:54</t>
  </si>
  <si>
    <t>THT29121DSDGP0Z</t>
  </si>
  <si>
    <t>EPQ61</t>
  </si>
  <si>
    <t>ก***์สิรี</t>
  </si>
  <si>
    <t>02/01/2025 19:50</t>
  </si>
  <si>
    <t>THT12051DS4175Z</t>
  </si>
  <si>
    <t>EPQ60</t>
  </si>
  <si>
    <t>สุทิน  คำกำจัด</t>
  </si>
  <si>
    <t>165   หมู่1 บ้านตาลชุม  ตำบลตาลชุม
เวียงสา/ Wiang Saน่าน/ Nan
55110</t>
  </si>
  <si>
    <t>660819181623</t>
  </si>
  <si>
    <t>02/01/2025 19:49</t>
  </si>
  <si>
    <t>TH52076NC62D0D</t>
  </si>
  <si>
    <t>EPQ59</t>
  </si>
  <si>
    <t>ส***ศ แ***อุดม</t>
  </si>
  <si>
    <t>02/01/2025 19:47</t>
  </si>
  <si>
    <t>THT64091DRVFS5Z</t>
  </si>
  <si>
    <t>EPQ58</t>
  </si>
  <si>
    <t>ส***กา ก***นสว่าง</t>
  </si>
  <si>
    <t>754298921644</t>
  </si>
  <si>
    <t>EPQ56</t>
  </si>
  <si>
    <t>ส***วิดา  ศ***ับขวา</t>
  </si>
  <si>
    <t>02/01/2025 19:46</t>
  </si>
  <si>
    <t>754242969524</t>
  </si>
  <si>
    <t>EPQ55</t>
  </si>
  <si>
    <t>ณ***าวุฒิ  ช***ี</t>
  </si>
  <si>
    <t>02/01/2025 19:44</t>
  </si>
  <si>
    <t>754286015685</t>
  </si>
  <si>
    <t>EPQ53</t>
  </si>
  <si>
    <t>ส***จิตร ค***ญ</t>
  </si>
  <si>
    <t>02/01/2025 19:41</t>
  </si>
  <si>
    <t>754237909681</t>
  </si>
  <si>
    <t>EPQ52</t>
  </si>
  <si>
    <t>เ***กนก ส***รณพงศ์</t>
  </si>
  <si>
    <t>02/01/2025 19:39</t>
  </si>
  <si>
    <t>THT33081DS0J75Z</t>
  </si>
  <si>
    <t>EPQ49</t>
  </si>
  <si>
    <t>ส***ทิพย์  ข***อง</t>
  </si>
  <si>
    <t>754295913674</t>
  </si>
  <si>
    <t>EPQ48</t>
  </si>
  <si>
    <t>ก***นก น***ปลอด</t>
  </si>
  <si>
    <t>754206329645</t>
  </si>
  <si>
    <t>EPQ47</t>
  </si>
  <si>
    <t>น***ไข่มุก</t>
  </si>
  <si>
    <t>02/01/2025 19:37</t>
  </si>
  <si>
    <t>754235027615</t>
  </si>
  <si>
    <t>EPQ46</t>
  </si>
  <si>
    <t>02/01/2025 19:36</t>
  </si>
  <si>
    <t>THT01501DSN5R0Z</t>
  </si>
  <si>
    <t>EPQ44</t>
  </si>
  <si>
    <t>ส***รัตน์ น***ทธิ์</t>
  </si>
  <si>
    <t>02/01/2025 19:34</t>
  </si>
  <si>
    <t>754292627675</t>
  </si>
  <si>
    <t>02/01/2025 19:35</t>
  </si>
  <si>
    <t>EPQ43</t>
  </si>
  <si>
    <t>ว***พ็ญ ภ***ก้ว</t>
  </si>
  <si>
    <t>02/01/2025 19:33</t>
  </si>
  <si>
    <t>754226123604</t>
  </si>
  <si>
    <t>02/01/2025 19:32</t>
  </si>
  <si>
    <t>EPQ42</t>
  </si>
  <si>
    <t>02/01/2025 19:30</t>
  </si>
  <si>
    <t>754250087566</t>
  </si>
  <si>
    <t>02/01/2025 19:31</t>
  </si>
  <si>
    <t>EPQ41</t>
  </si>
  <si>
    <t>ส*** พ***พวง</t>
  </si>
  <si>
    <t>754258023610</t>
  </si>
  <si>
    <t>EPQ40</t>
  </si>
  <si>
    <t>อ***รา ป***ก้ว</t>
  </si>
  <si>
    <t>754293317643</t>
  </si>
  <si>
    <t>EPQ39</t>
  </si>
  <si>
    <t>THT01211DSDXW6Z</t>
  </si>
  <si>
    <t>EPQ38</t>
  </si>
  <si>
    <t>ด* ร**</t>
  </si>
  <si>
    <t>02/01/2025 19:26</t>
  </si>
  <si>
    <t>754247919644</t>
  </si>
  <si>
    <t>02/01/2025 19:27</t>
  </si>
  <si>
    <t>EPQ37</t>
  </si>
  <si>
    <t>ส***ตรี ส***รณรักษ์</t>
  </si>
  <si>
    <t>02/01/2025 19:24</t>
  </si>
  <si>
    <t>754274721653</t>
  </si>
  <si>
    <t>EPQ36</t>
  </si>
  <si>
    <t>เ***พร ป***ทอง</t>
  </si>
  <si>
    <t>02/01/2025 19:23</t>
  </si>
  <si>
    <t>THT01051DSJWM5Z</t>
  </si>
  <si>
    <t>EPQ35</t>
  </si>
  <si>
    <t>ศ***ณี  เ***มย์</t>
  </si>
  <si>
    <t>754235768543</t>
  </si>
  <si>
    <t>EPQ34</t>
  </si>
  <si>
    <t>ว***ัทร เ***งคำ</t>
  </si>
  <si>
    <t>02/01/2025 19:21</t>
  </si>
  <si>
    <t>754265525635</t>
  </si>
  <si>
    <t>EPQ33</t>
  </si>
  <si>
    <t>02/01/2025 19:20</t>
  </si>
  <si>
    <t>THT01471DS10R5Z</t>
  </si>
  <si>
    <t>02/01/2025 19:19</t>
  </si>
  <si>
    <t>EPQ32</t>
  </si>
  <si>
    <t>ท***ร ค***ภัย</t>
  </si>
  <si>
    <t>02/01/2025 19:14</t>
  </si>
  <si>
    <t>754236311640</t>
  </si>
  <si>
    <t>EPQ31</t>
  </si>
  <si>
    <t>อ***สา  ว***ียน</t>
  </si>
  <si>
    <t>754281028616</t>
  </si>
  <si>
    <t>EPQ29</t>
  </si>
  <si>
    <t>ล***าวัลย์  จ***ง่า</t>
  </si>
  <si>
    <t>02/01/2025 19:10</t>
  </si>
  <si>
    <t>754256225623</t>
  </si>
  <si>
    <t>EPQ28</t>
  </si>
  <si>
    <t>ส***วดี ส***ี</t>
  </si>
  <si>
    <t>754258914651</t>
  </si>
  <si>
    <t>EPQ27</t>
  </si>
  <si>
    <t>พ******ย</t>
  </si>
  <si>
    <t>******ษม 10 แขวงวัดท่าพระ เขตบางกอกใหญ่ จังหวัดกรุงเทพมหานคร 10600</t>
  </si>
  <si>
    <t>TH01156ND1QP8A1</t>
  </si>
  <si>
    <t>EPQ26</t>
  </si>
  <si>
    <t>02/01/2025 19:09</t>
  </si>
  <si>
    <t>THT04041DSEBK0Z</t>
  </si>
  <si>
    <t>EPQ25</t>
  </si>
  <si>
    <t>THT04041DSEVH8Z</t>
  </si>
  <si>
    <t>EPQ24</t>
  </si>
  <si>
    <t>THT04041DS0WW9Z</t>
  </si>
  <si>
    <t>EPQ23</t>
  </si>
  <si>
    <t>ก***า ท***ค์</t>
  </si>
  <si>
    <t>02/01/2025 19:07</t>
  </si>
  <si>
    <t>754248708684</t>
  </si>
  <si>
    <t>EPQ22</t>
  </si>
  <si>
    <t>u***9795042116912</t>
  </si>
  <si>
    <t>754216708685</t>
  </si>
  <si>
    <t>02/01/2025 19:06</t>
  </si>
  <si>
    <t>EPQ21</t>
  </si>
  <si>
    <t>02/01/2025 19:03</t>
  </si>
  <si>
    <t>754210757580</t>
  </si>
  <si>
    <t>EPQ19</t>
  </si>
  <si>
    <t>ส***ยเพ็ชร ไ***รง</t>
  </si>
  <si>
    <t>02/01/2025 19:01</t>
  </si>
  <si>
    <t>THT62011DS54M3Z</t>
  </si>
  <si>
    <t>EPQ18</t>
  </si>
  <si>
    <t>น***ิรืนุช น***าราม</t>
  </si>
  <si>
    <t>754225113655</t>
  </si>
  <si>
    <t>02/01/2025 19:00</t>
  </si>
  <si>
    <t>EPQ17</t>
  </si>
  <si>
    <t>ส***ดา ป***วะเท</t>
  </si>
  <si>
    <t>02/01/2025 18:58</t>
  </si>
  <si>
    <t>754241512625</t>
  </si>
  <si>
    <t>EPQ16</t>
  </si>
  <si>
    <t>N**</t>
  </si>
  <si>
    <t>ขอเป็นรสวนิลาทั้ง 3 กล่องเลยนะค่ะ</t>
  </si>
  <si>
    <t>THT05011DS7J23Z</t>
  </si>
  <si>
    <t>EPQ15</t>
  </si>
  <si>
    <t>754204567594</t>
  </si>
  <si>
    <t>EPQ14</t>
  </si>
  <si>
    <t>ส***ญญา  เ***องห่อ</t>
  </si>
  <si>
    <t>02/01/2025 18:56</t>
  </si>
  <si>
    <t>754213400695</t>
  </si>
  <si>
    <t>EPQ13</t>
  </si>
  <si>
    <t>ล***ยี  อ***ออฟฟิศ ป***ปั้มใหญ่หลังที่เติมลมรถ</t>
  </si>
  <si>
    <t>02/01/2025 18:55</t>
  </si>
  <si>
    <t>754213420612</t>
  </si>
  <si>
    <t>EPQ11</t>
  </si>
  <si>
    <t>02/01/2025 18:52</t>
  </si>
  <si>
    <t>THT37191DS3JB1Z</t>
  </si>
  <si>
    <t>02/01/2025 18:53</t>
  </si>
  <si>
    <t>EPQ10</t>
  </si>
  <si>
    <t>02/01/2025 18:48</t>
  </si>
  <si>
    <t>THT61011DS72W1Z</t>
  </si>
  <si>
    <t>EPQ9</t>
  </si>
  <si>
    <t>น***าวศิริลักษณ์ พ***พิ่ม</t>
  </si>
  <si>
    <t>02/01/2025 18:47</t>
  </si>
  <si>
    <t>754252619654</t>
  </si>
  <si>
    <t>EPQ8</t>
  </si>
  <si>
    <t>น***สร พ***อง</t>
  </si>
  <si>
    <t>754293528660</t>
  </si>
  <si>
    <t>EPQ7</t>
  </si>
  <si>
    <t>ส***ลี เ***กลาง</t>
  </si>
  <si>
    <t>THT01031DS0ZG5Z</t>
  </si>
  <si>
    <t>EPQ6</t>
  </si>
  <si>
    <t>ธ***์นภัส  ส***ัฒนศิริสุข</t>
  </si>
  <si>
    <t>754237928673</t>
  </si>
  <si>
    <t>EPQ5</t>
  </si>
  <si>
    <t>ป* น***้ว</t>
  </si>
  <si>
    <t>02/01/2025 18:46</t>
  </si>
  <si>
    <t>754276626611</t>
  </si>
  <si>
    <t>EPQ4</t>
  </si>
  <si>
    <t>ช***กร</t>
  </si>
  <si>
    <t>02/01/2025 18:44</t>
  </si>
  <si>
    <t>754263914655</t>
  </si>
  <si>
    <t>EPQ3</t>
  </si>
  <si>
    <t>ส***รณี แ***วาที</t>
  </si>
  <si>
    <t>02/01/2025 18:43</t>
  </si>
  <si>
    <t>754253626674</t>
  </si>
  <si>
    <t>EPQ2</t>
  </si>
  <si>
    <t>อ***ร จ***ร์สืบแถว</t>
  </si>
  <si>
    <t>754297208626</t>
  </si>
  <si>
    <t>EPQ1</t>
  </si>
  <si>
    <t>จ***ชญา  ม***ัตน์</t>
  </si>
  <si>
    <t>02/01/2025 18:40</t>
  </si>
  <si>
    <t>754215883514</t>
  </si>
  <si>
    <t>EPQ0</t>
  </si>
  <si>
    <t>อ***ย ซ***งิน</t>
  </si>
  <si>
    <t>02/01/2025 18:39</t>
  </si>
  <si>
    <t>754222401693</t>
  </si>
  <si>
    <t>EPP99</t>
  </si>
  <si>
    <t>TH14016ND4WM7I</t>
  </si>
  <si>
    <t>EPP98</t>
  </si>
  <si>
    <t>ภ***ินทร์ พ***าวัน</t>
  </si>
  <si>
    <t>02/01/2025 18:38</t>
  </si>
  <si>
    <t>เอาแค่รสเนยนมรสเดียว</t>
  </si>
  <si>
    <t>754260589515</t>
  </si>
  <si>
    <t>EPP97</t>
  </si>
  <si>
    <t>ก***ปเกียรติ   ด***รือง</t>
  </si>
  <si>
    <t>754231108621</t>
  </si>
  <si>
    <t>EPP96</t>
  </si>
  <si>
    <t>TH14016ND4RW1I</t>
  </si>
  <si>
    <t>EPP95</t>
  </si>
  <si>
    <t>ว***รา ด***</t>
  </si>
  <si>
    <t>754295669573</t>
  </si>
  <si>
    <t>EPP94</t>
  </si>
  <si>
    <t>น***ศศินา ก***อก</t>
  </si>
  <si>
    <t>02/01/2025 18:37</t>
  </si>
  <si>
    <t>754220867573</t>
  </si>
  <si>
    <t>EPP93</t>
  </si>
  <si>
    <t>754272712653</t>
  </si>
  <si>
    <t>EPP92</t>
  </si>
  <si>
    <t>ศ***ุดา พ***ู</t>
  </si>
  <si>
    <t>754291026694</t>
  </si>
  <si>
    <t>EPP91</t>
  </si>
  <si>
    <t>THT15031DSM160Z</t>
  </si>
  <si>
    <t>EPP88</t>
  </si>
  <si>
    <t>ศ***านต์ จ***ร์เขียว</t>
  </si>
  <si>
    <t>02/01/2025 18:32</t>
  </si>
  <si>
    <t>754279723610</t>
  </si>
  <si>
    <t>02/01/2025 18:31</t>
  </si>
  <si>
    <t>EPP86</t>
  </si>
  <si>
    <t>ค***ดือน แ*** ซ***ใส้</t>
  </si>
  <si>
    <t>02/01/2025 18:28</t>
  </si>
  <si>
    <t>754240041601</t>
  </si>
  <si>
    <t>EPP85</t>
  </si>
  <si>
    <t>ค***ึรพรรณอาจวงษา</t>
  </si>
  <si>
    <t>02/01/2025 18:27</t>
  </si>
  <si>
    <t>754258217650</t>
  </si>
  <si>
    <t>02/01/2025 18:26</t>
  </si>
  <si>
    <t>EPP84</t>
  </si>
  <si>
    <t>น***อกราช ช***ราษฎร์</t>
  </si>
  <si>
    <t>754236786553</t>
  </si>
  <si>
    <t>02/01/2025 18:25</t>
  </si>
  <si>
    <t>EPP83</t>
  </si>
  <si>
    <t>เ***ไพลิน  พ***้อย</t>
  </si>
  <si>
    <t>754238905615</t>
  </si>
  <si>
    <t>EPP82</t>
  </si>
  <si>
    <t>น** อ***ิทธิ์  เ***ยมสุดใจ</t>
  </si>
  <si>
    <t>THT10021DSJ5A0Z</t>
  </si>
  <si>
    <t>EPP81</t>
  </si>
  <si>
    <t>พ***ี  แ***งาม</t>
  </si>
  <si>
    <t>02/01/2025 18:21</t>
  </si>
  <si>
    <t>754207501611</t>
  </si>
  <si>
    <t>EPP80</t>
  </si>
  <si>
    <t>อ***ินทร์  พ***ลขาว</t>
  </si>
  <si>
    <t>02/01/2025 18:19</t>
  </si>
  <si>
    <t>754253100624</t>
  </si>
  <si>
    <t>02/01/2025 18:20</t>
  </si>
  <si>
    <t>EPP79</t>
  </si>
  <si>
    <t>น***ราวุฒิ  ช***ญ</t>
  </si>
  <si>
    <t>02/01/2025 18:14</t>
  </si>
  <si>
    <t>754233889522</t>
  </si>
  <si>
    <t>02/01/2025 18:15</t>
  </si>
  <si>
    <t>EPP78</t>
  </si>
  <si>
    <t>ช******)</t>
  </si>
  <si>
    <t>******มาศ อำเภอลับแล ตำบลแม่พูล อำเภอลับแล จังหวัดอุตรดิตถ์ 53130</t>
  </si>
  <si>
    <t>53130</t>
  </si>
  <si>
    <t>TH256301711751O</t>
  </si>
  <si>
    <t>EPP76</t>
  </si>
  <si>
    <t>พรพรรณ น.</t>
  </si>
  <si>
    <t>324/27 ม.7 ตำบลพลูตาหลวง · พลูตาหลวง/ Phlu Ta Luang
สัตหีบ/ Sattahipชลบุรี/ Chonburi
20180</t>
  </si>
  <si>
    <t>660843542486</t>
  </si>
  <si>
    <t>02/01/2025 18:13</t>
  </si>
  <si>
    <t>LEXPU0441116224</t>
  </si>
  <si>
    <t>02/01/2025 18:11</t>
  </si>
  <si>
    <t>EPP75</t>
  </si>
  <si>
    <t>02/01/2025 18:09</t>
  </si>
  <si>
    <t>754216704614</t>
  </si>
  <si>
    <t>EPP72</t>
  </si>
  <si>
    <t>แ***ค์</t>
  </si>
  <si>
    <t>02/01/2025 18:06</t>
  </si>
  <si>
    <t>754262403683</t>
  </si>
  <si>
    <t>02/01/2025 18:08</t>
  </si>
  <si>
    <t>EPP71</t>
  </si>
  <si>
    <t>ก***ิพศ จ***ร์ศรี</t>
  </si>
  <si>
    <t>02/01/2025 18:01</t>
  </si>
  <si>
    <t>754283104621</t>
  </si>
  <si>
    <t>EPP70</t>
  </si>
  <si>
    <t>ส***ตา ก***ยาดี</t>
  </si>
  <si>
    <t>754210036602</t>
  </si>
  <si>
    <t>EPP69</t>
  </si>
  <si>
    <t>ส***ตร ส***ิงห์</t>
  </si>
  <si>
    <t>02/01/2025 18:00</t>
  </si>
  <si>
    <t>THT44121DS8CT5Z</t>
  </si>
  <si>
    <t>02/01/2025 17:59</t>
  </si>
  <si>
    <t>EPP67</t>
  </si>
  <si>
    <t>ว***าภรณ์ ค***ม</t>
  </si>
  <si>
    <t>02/01/2025 17:57</t>
  </si>
  <si>
    <t>754259767516</t>
  </si>
  <si>
    <t>EPP66</t>
  </si>
  <si>
    <t>พ***พันธ์ ห***โหล่</t>
  </si>
  <si>
    <t>754291027641</t>
  </si>
  <si>
    <t>EPP65</t>
  </si>
  <si>
    <t>02/01/2025 17:56</t>
  </si>
  <si>
    <t>754234237606</t>
  </si>
  <si>
    <t>EPP63</t>
  </si>
  <si>
    <t>ร***ี</t>
  </si>
  <si>
    <t>02/01/2025 17:55</t>
  </si>
  <si>
    <t>754244830603</t>
  </si>
  <si>
    <t>EPP62</t>
  </si>
  <si>
    <t>ท***าพร ส***รณศรี</t>
  </si>
  <si>
    <t>02/01/2025 17:54</t>
  </si>
  <si>
    <t>THT04031DSXK89Z</t>
  </si>
  <si>
    <t>EPP61</t>
  </si>
  <si>
    <t>ร***าวรรณ ท***หลวง</t>
  </si>
  <si>
    <t>02/01/2025 17:49</t>
  </si>
  <si>
    <t>754251728672</t>
  </si>
  <si>
    <t>EPP60</t>
  </si>
  <si>
    <t>อ***เดช ส***โศภา</t>
  </si>
  <si>
    <t>THT13111DSSTX8Z</t>
  </si>
  <si>
    <t>EPP59</t>
  </si>
  <si>
    <t>******ิญ. แขวงหนองแขม เขตหนองแขม กรุงเทพมหานคร 10160 แขวงหนองแขม เขตหนองแขม จังหวัดกรุงเทพมหานคร 10160</t>
  </si>
  <si>
    <t>TH2572209723058</t>
  </si>
  <si>
    <t>EPP58</t>
  </si>
  <si>
    <t>ค** ส***า</t>
  </si>
  <si>
    <t>02/01/2025 17:45</t>
  </si>
  <si>
    <t>754236230602</t>
  </si>
  <si>
    <t>EPP57</t>
  </si>
  <si>
    <t>น***รินทร์  ห***ทุกข์</t>
  </si>
  <si>
    <t>02/01/2025 17:44</t>
  </si>
  <si>
    <t>THT07061DS9CF1Z</t>
  </si>
  <si>
    <t>EPP56</t>
  </si>
  <si>
    <t>ซ***หม่</t>
  </si>
  <si>
    <t>02/01/2025 17:42</t>
  </si>
  <si>
    <t>754230723610</t>
  </si>
  <si>
    <t>EPP55</t>
  </si>
  <si>
    <t>ธ** ว***ิชย์</t>
  </si>
  <si>
    <t>02/01/2025 17:41</t>
  </si>
  <si>
    <t>754269593593</t>
  </si>
  <si>
    <t>EPP52</t>
  </si>
  <si>
    <t>754212486521</t>
  </si>
  <si>
    <t>โปรชิฟฟ่อนไม่มีไส้ 3 กล่อง 199 บาท คุ้มมาก เก็บได้ 20 วัน 1กล่อง มี8ชิ้น ขนม ยกแพ็ค ถูก</t>
  </si>
  <si>
    <t>EPP51</t>
  </si>
  <si>
    <t>ณัฐทิพา เพียรธรรม</t>
  </si>
  <si>
    <t>บจก. ไทยนามพลาสติกส์ 40 ม.7 ถ.เพชรเกษม · อ้อมน้อย/ Om Noi
กระทุ่มแบน/ Krathum Baenสมุทรสาคร/ Samut Sakhon
74130</t>
  </si>
  <si>
    <t>660641946391</t>
  </si>
  <si>
    <t>02/01/2025 17:40</t>
  </si>
  <si>
    <t>LEXPU0441078022</t>
  </si>
  <si>
    <t>EPP49</t>
  </si>
  <si>
    <t>ห***ย อ***และมูล</t>
  </si>
  <si>
    <t>02/01/2025 17:38</t>
  </si>
  <si>
    <t>754259007681</t>
  </si>
  <si>
    <t>EPP48</t>
  </si>
  <si>
    <t>02/01/2025 17:34</t>
  </si>
  <si>
    <t>LEXPU0441118678</t>
  </si>
  <si>
    <t>EPP47</t>
  </si>
  <si>
    <t>อ***นา ช***ค์</t>
  </si>
  <si>
    <t>754299833663</t>
  </si>
  <si>
    <t>EPP45</t>
  </si>
  <si>
    <t>ช***นก ไ***ิ่นน้อย</t>
  </si>
  <si>
    <t>02/01/2025 17:26</t>
  </si>
  <si>
    <t>THT15051DS5QC3Z</t>
  </si>
  <si>
    <t>02/01/2025 17:25</t>
  </si>
  <si>
    <t>EPP44</t>
  </si>
  <si>
    <t>02/01/2025 17:24</t>
  </si>
  <si>
    <t>THT56061DT50J8Z</t>
  </si>
  <si>
    <t>EPP43</t>
  </si>
  <si>
    <t>น***รัตนา  เ***ยงพูนวงค์</t>
  </si>
  <si>
    <t>02/01/2025 17:23</t>
  </si>
  <si>
    <t>754201721663</t>
  </si>
  <si>
    <t>EPP40</t>
  </si>
  <si>
    <t>เ***อนเรียก เ***ยโป้</t>
  </si>
  <si>
    <t>02/01/2025 17:18</t>
  </si>
  <si>
    <t>754235806671</t>
  </si>
  <si>
    <t>EPP38</t>
  </si>
  <si>
    <t>ก***นา ป***วิสุทธิกุล</t>
  </si>
  <si>
    <t>02/01/2025 17:16</t>
  </si>
  <si>
    <t>754202776574</t>
  </si>
  <si>
    <t>02/01/2025 17:15</t>
  </si>
  <si>
    <t>EPP36</t>
  </si>
  <si>
    <t>ภ***าพร  น***้อม</t>
  </si>
  <si>
    <t>02/01/2025 17:12</t>
  </si>
  <si>
    <t>754208902602</t>
  </si>
  <si>
    <t>EPP34</t>
  </si>
  <si>
    <t>พ***ัย ท***</t>
  </si>
  <si>
    <t>02/01/2025 17:10</t>
  </si>
  <si>
    <t>THT31031DS6PU3Z</t>
  </si>
  <si>
    <t>02/01/2025 17:11</t>
  </si>
  <si>
    <t>EPP33</t>
  </si>
  <si>
    <t>ศ***ลักษณ์ ศ***สน่ห์</t>
  </si>
  <si>
    <t>754295121672</t>
  </si>
  <si>
    <t>EPP32</t>
  </si>
  <si>
    <t>ส***รัตน์ ด***าจันทร์</t>
  </si>
  <si>
    <t>02/01/2025 17:09</t>
  </si>
  <si>
    <t>THT65061DSKK72Z</t>
  </si>
  <si>
    <t>EPP31</t>
  </si>
  <si>
    <t>******เพรียว, อำเภอเมืองสระบุรี (ซอยตรงข้ามศูนย์แพทย์) (ใส่ไว้ในกล่องหน้าบ้าน) ตำบลปากเพรียว อำเภอเมืองสระบุรี จังหวัดสระบุรี 18000</t>
  </si>
  <si>
    <t>02/01/2025 17:08</t>
  </si>
  <si>
    <t>TH10016NE5ZY5A</t>
  </si>
  <si>
    <t>02/01/2025 17:07</t>
  </si>
  <si>
    <t>EPP30</t>
  </si>
  <si>
    <t>อ***อม๊ะ ว***</t>
  </si>
  <si>
    <t>754227208674</t>
  </si>
  <si>
    <t>EPP29</t>
  </si>
  <si>
    <t>น***พร  เ***งความดี</t>
  </si>
  <si>
    <t>02/01/2025 17:05</t>
  </si>
  <si>
    <t>754210702615</t>
  </si>
  <si>
    <t>EPP28</t>
  </si>
  <si>
    <t>******ำบลตาสิทธิ์ อำเภอปลวกแดง ระยอง 21140 ประเทศไทย ตำบลตาสิทธิ์ อำเภอปลวกแดง จังหวัดระยอง 21140</t>
  </si>
  <si>
    <t>21140</t>
  </si>
  <si>
    <t>TH255141942992W</t>
  </si>
  <si>
    <t>02/01/2025 17:04</t>
  </si>
  <si>
    <t>EPP25</t>
  </si>
  <si>
    <t>02/01/2025 17:33</t>
  </si>
  <si>
    <t>TH2537855618220</t>
  </si>
  <si>
    <t>02/01/2025 17:03</t>
  </si>
  <si>
    <t>EPP24</t>
  </si>
  <si>
    <t>******์ทาวน์ ตำบลบางเพรียง ตำบลบางเพรียง อำเภอบางบ่อ จังหวัดสมุทรปราการ 10560</t>
  </si>
  <si>
    <t>TH02026ND5P35D</t>
  </si>
  <si>
    <t>EPP22</t>
  </si>
  <si>
    <t>อ***รา  ผ***</t>
  </si>
  <si>
    <t>754206209632</t>
  </si>
  <si>
    <t>02/01/2025 17:02</t>
  </si>
  <si>
    <t>EPP20</t>
  </si>
  <si>
    <t>ส***ิดา ก***อินทร์</t>
  </si>
  <si>
    <t>02/01/2025 17:01</t>
  </si>
  <si>
    <t>754299105615</t>
  </si>
  <si>
    <t>EPP19</t>
  </si>
  <si>
    <t>02/01/2025 17:31</t>
  </si>
  <si>
    <t>TH257011675634Z</t>
  </si>
  <si>
    <t>EPP18</t>
  </si>
  <si>
    <t>02/01/2025 17:00</t>
  </si>
  <si>
    <t>754228804674</t>
  </si>
  <si>
    <t>EPP17</t>
  </si>
  <si>
    <t>น***ันทกา  พ***ราช</t>
  </si>
  <si>
    <t>02/01/2025 16:59</t>
  </si>
  <si>
    <t>754235403681</t>
  </si>
  <si>
    <t>EPP16</t>
  </si>
  <si>
    <t>น***ปุ่นมีกิจ</t>
  </si>
  <si>
    <t>THT02011DSNN90Z</t>
  </si>
  <si>
    <t>EPP13</t>
  </si>
  <si>
    <t>p***da</t>
  </si>
  <si>
    <t>754281831660</t>
  </si>
  <si>
    <t>02/01/2025 16:58</t>
  </si>
  <si>
    <t>EPP11</t>
  </si>
  <si>
    <t>น***้าง ด***ภูมิ</t>
  </si>
  <si>
    <t>02/01/2025 16:57</t>
  </si>
  <si>
    <t>754239830665</t>
  </si>
  <si>
    <t>EPP10</t>
  </si>
  <si>
    <t>ว***รณ์ ค***ัตถุ</t>
  </si>
  <si>
    <t>THT20041DRTJ83Z</t>
  </si>
  <si>
    <t>02/01/2025 16:56</t>
  </si>
  <si>
    <t>EPP8</t>
  </si>
  <si>
    <t>K*** H*** M*</t>
  </si>
  <si>
    <t>02/01/2025 16:54</t>
  </si>
  <si>
    <t>754292924685</t>
  </si>
  <si>
    <t>EPP7</t>
  </si>
  <si>
    <t>ป***ภา บ***้อม</t>
  </si>
  <si>
    <t>754260121683</t>
  </si>
  <si>
    <t>02/01/2025 16:53</t>
  </si>
  <si>
    <t>EPP6</t>
  </si>
  <si>
    <t>THT16031DS8HR5Z</t>
  </si>
  <si>
    <t>EPP5</t>
  </si>
  <si>
    <t>น***ัตน์ เ***ร์รัตน์</t>
  </si>
  <si>
    <t>02/01/2025 16:52</t>
  </si>
  <si>
    <t>754244880583</t>
  </si>
  <si>
    <t>EPP4</t>
  </si>
  <si>
    <t>ส***สา ช***บรรจง</t>
  </si>
  <si>
    <t>754257405683</t>
  </si>
  <si>
    <t>EPP3</t>
  </si>
  <si>
    <t>02/01/2025 16:50</t>
  </si>
  <si>
    <t>754214607635</t>
  </si>
  <si>
    <t>EPP2</t>
  </si>
  <si>
    <t>ท***พร ส***ิตร</t>
  </si>
  <si>
    <t>02/01/2025 16:48</t>
  </si>
  <si>
    <t>754250414665</t>
  </si>
  <si>
    <t>EPP1</t>
  </si>
  <si>
    <t>จ***ววรรธน์  ช***กิตติเมธ</t>
  </si>
  <si>
    <t>02/01/2025 16:46</t>
  </si>
  <si>
    <t>754270213686</t>
  </si>
  <si>
    <t>EPP0</t>
  </si>
  <si>
    <t>พ******า</t>
  </si>
  <si>
    <t>****** 105 เขตบางนา แขวงบางนา กรุงเทพฯ 10260 แขวงบางนาใต้ เขตบางนา จังหวัดกรุงเทพมหานคร 10260</t>
  </si>
  <si>
    <t>TH256477862539M</t>
  </si>
  <si>
    <t>02/01/2025 16:43</t>
  </si>
  <si>
    <t>EPO99</t>
  </si>
  <si>
    <t>******ลาดกระบัง, เขตลาดกระบัง แขวงลาดกระบัง เขตลาดกระบัง จังหวัดกรุงเทพมหานคร 10520</t>
  </si>
  <si>
    <t>32</t>
  </si>
  <si>
    <t>02/01/2025 16:34</t>
  </si>
  <si>
    <t>TH01396ND4CK4E0</t>
  </si>
  <si>
    <t>EPO98</t>
  </si>
  <si>
    <t>02/01/2025 16:33</t>
  </si>
  <si>
    <t>LEXPU0441116796</t>
  </si>
  <si>
    <t>EPO97</t>
  </si>
  <si>
    <t>ว***ช ส***ระกูล</t>
  </si>
  <si>
    <t>02/01/2025 16:31</t>
  </si>
  <si>
    <t>754240436644</t>
  </si>
  <si>
    <t>EPO96</t>
  </si>
  <si>
    <t>ช******า</t>
  </si>
  <si>
    <t>******ามอินทรา. คู้บอน แขวงท่าแร้ง เขตบางเขน จังหวัดกรุงเทพมหานคร 10220</t>
  </si>
  <si>
    <t>TH252266902171W</t>
  </si>
  <si>
    <t>02/01/2025 16:30</t>
  </si>
  <si>
    <t>EPO95</t>
  </si>
  <si>
    <t>ช******ข</t>
  </si>
  <si>
    <t>******ลพระยาบันลือ อำเภอลาดบัวหลวง จังหวัดพระนครศรีอยุธยา 13230</t>
  </si>
  <si>
    <t>13230</t>
  </si>
  <si>
    <t>02/01/2025 16:27</t>
  </si>
  <si>
    <t>TH252570491738X</t>
  </si>
  <si>
    <t>EPO94</t>
  </si>
  <si>
    <t>ข***วัญ</t>
  </si>
  <si>
    <t>02/01/2025 16:19</t>
  </si>
  <si>
    <t>754221600635</t>
  </si>
  <si>
    <t>EPO93</t>
  </si>
  <si>
    <t>02/01/2025 16:17</t>
  </si>
  <si>
    <t>THT57011DS4XS9Z</t>
  </si>
  <si>
    <t>EPO92</t>
  </si>
  <si>
    <t>อังคณา แก้วประเสริฐ ทราย</t>
  </si>
  <si>
    <t>41/1หมู่9  ต.เกรียงไกร
เมืองนครสวรรค์/ Mueang Nakhon Sawanนครสวรรค์/ Nakhon Sawan
60000</t>
  </si>
  <si>
    <t>660632685073</t>
  </si>
  <si>
    <t>02/01/2025 16:16</t>
  </si>
  <si>
    <t>LEXPU0441109875</t>
  </si>
  <si>
    <t>EPO91</t>
  </si>
  <si>
    <t>กชกร โลซา</t>
  </si>
  <si>
    <t>บ้านนางแตน 55 ซอย10(หลังสุดท้าย)  · ท่าผา/ Tha Pha
เกาะคา/ Ko Khaลำปาง/ Lampang
52130</t>
  </si>
  <si>
    <t>52130</t>
  </si>
  <si>
    <t>660983535235</t>
  </si>
  <si>
    <t>02/01/2025 16:14</t>
  </si>
  <si>
    <t>LEXPU0441118287</t>
  </si>
  <si>
    <t>EPO90</t>
  </si>
  <si>
    <t>ก***รรณ. เ***</t>
  </si>
  <si>
    <t>02/01/2025 16:09</t>
  </si>
  <si>
    <t>754211036655</t>
  </si>
  <si>
    <t>EPO89</t>
  </si>
  <si>
    <t>น***ิชิต  อ***ระเสริฐ</t>
  </si>
  <si>
    <t>02/01/2025 16:06</t>
  </si>
  <si>
    <t>754210526683</t>
  </si>
  <si>
    <t>02/01/2025 16:07</t>
  </si>
  <si>
    <t>EPO88</t>
  </si>
  <si>
    <t>ส***ี  ส***์ทองเศษ</t>
  </si>
  <si>
    <t>02/01/2025 16:05</t>
  </si>
  <si>
    <t>754232039621</t>
  </si>
  <si>
    <t>EPO87</t>
  </si>
  <si>
    <t>เ***นี  ป***ั้น</t>
  </si>
  <si>
    <t>02/01/2025 15:56</t>
  </si>
  <si>
    <t>754255610684</t>
  </si>
  <si>
    <t>02/01/2025 15:57</t>
  </si>
  <si>
    <t>EPO84</t>
  </si>
  <si>
    <t>ศ***พร ท***ดง</t>
  </si>
  <si>
    <t>02/01/2025 15:49</t>
  </si>
  <si>
    <t>754260528652</t>
  </si>
  <si>
    <t>EPO82</t>
  </si>
  <si>
    <t>ปนัดดา ธนานันท์</t>
  </si>
  <si>
    <t>111/228 ม.เปี่ยมสุข
เมืองปทุมธานี/ Mueang Pathum Thaniปทุมธานี/ Pathum Thani
12000</t>
  </si>
  <si>
    <t>660988913716</t>
  </si>
  <si>
    <t>02/01/2025 15:46</t>
  </si>
  <si>
    <t>LEXPU0441106482</t>
  </si>
  <si>
    <t>EPO81</t>
  </si>
  <si>
    <t>ป***า น***ัด</t>
  </si>
  <si>
    <t>02/01/2025 15:36</t>
  </si>
  <si>
    <t>754247002666</t>
  </si>
  <si>
    <t>EPO80</t>
  </si>
  <si>
    <t>02/01/2025 15:33</t>
  </si>
  <si>
    <t>754213610684</t>
  </si>
  <si>
    <t>EPO79</t>
  </si>
  <si>
    <t>จ***มาศ</t>
  </si>
  <si>
    <t>02/01/2025 15:29</t>
  </si>
  <si>
    <t>754284602621</t>
  </si>
  <si>
    <t>EPO78</t>
  </si>
  <si>
    <t>ส***ง ร***อก</t>
  </si>
  <si>
    <t>02/01/2025 15:27</t>
  </si>
  <si>
    <t>754269974570</t>
  </si>
  <si>
    <t>02/01/2025 15:26</t>
  </si>
  <si>
    <t>EPO77</t>
  </si>
  <si>
    <t>แ*น</t>
  </si>
  <si>
    <t>******ขวงบางบำหรุ เขตบางพลัด จังหวัดกรุงเทพมหานคร 10700</t>
  </si>
  <si>
    <t>02/01/2025 15:55</t>
  </si>
  <si>
    <t>TH2521410000512</t>
  </si>
  <si>
    <t>02/01/2025 15:25</t>
  </si>
  <si>
    <t>EPO76</t>
  </si>
  <si>
    <t>ว***พ็ญ ก***นหอม</t>
  </si>
  <si>
    <t>02/01/2025 15:24</t>
  </si>
  <si>
    <t>754234160503</t>
  </si>
  <si>
    <t>EPO74</t>
  </si>
  <si>
    <t>น***วาน</t>
  </si>
  <si>
    <t>754253526644</t>
  </si>
  <si>
    <t>EPO73</t>
  </si>
  <si>
    <t>แ***ียา ศ***รโรจน์</t>
  </si>
  <si>
    <t>02/01/2025 15:23</t>
  </si>
  <si>
    <t>754221082576</t>
  </si>
  <si>
    <t>EPO71</t>
  </si>
  <si>
    <t>ป***ีณา จ***ดีสกุล</t>
  </si>
  <si>
    <t>02/01/2025 15:21</t>
  </si>
  <si>
    <t>THT01141DS57U5Z</t>
  </si>
  <si>
    <t>EPO69</t>
  </si>
  <si>
    <t>อ***มา ผ***กิจ</t>
  </si>
  <si>
    <t>02/01/2025 15:18</t>
  </si>
  <si>
    <t>754293244600</t>
  </si>
  <si>
    <t>EPO68</t>
  </si>
  <si>
    <t>02/01/2025 15:17</t>
  </si>
  <si>
    <t>754250420674</t>
  </si>
  <si>
    <t>EPO67</t>
  </si>
  <si>
    <t>ป***ฉัตร  บ***อด</t>
  </si>
  <si>
    <t>02/01/2025 15:16</t>
  </si>
  <si>
    <t>754233607676</t>
  </si>
  <si>
    <t>EPO65</t>
  </si>
  <si>
    <t>ป***า ว***กันหา</t>
  </si>
  <si>
    <t>02/01/2025 15:12</t>
  </si>
  <si>
    <t>754218712612</t>
  </si>
  <si>
    <t>02/01/2025 15:11</t>
  </si>
  <si>
    <t>EPO64</t>
  </si>
  <si>
    <t>ศ***ลักษณ์  ม***าษา</t>
  </si>
  <si>
    <t>754286713670</t>
  </si>
  <si>
    <t>EPO63</t>
  </si>
  <si>
    <t>พ***าวไลแพทย์เพียร</t>
  </si>
  <si>
    <t>02/01/2025 15:06</t>
  </si>
  <si>
    <t>THT02031DSHV42Z</t>
  </si>
  <si>
    <t>EPO62</t>
  </si>
  <si>
    <t>02/01/2025 15:01</t>
  </si>
  <si>
    <t>THT15061DS0NG9Z</t>
  </si>
  <si>
    <t>02/01/2025 15:02</t>
  </si>
  <si>
    <t>EPO61</t>
  </si>
  <si>
    <t>เ***ญา แ***เกาะสะบ้า</t>
  </si>
  <si>
    <t>02/01/2025 14:58</t>
  </si>
  <si>
    <t>ไม่เอากาแฟนะคะเเจกเด็กๆ</t>
  </si>
  <si>
    <t>754290780504</t>
  </si>
  <si>
    <t>02/01/2025 14:59</t>
  </si>
  <si>
    <t>EPO60</t>
  </si>
  <si>
    <t>น***ทองดี อ***สง</t>
  </si>
  <si>
    <t>02/01/2025 14:57</t>
  </si>
  <si>
    <t>THT25021DS52Q9Z</t>
  </si>
  <si>
    <t>EPO57</t>
  </si>
  <si>
    <t>ธ***า   ท***ินิจ</t>
  </si>
  <si>
    <t>02/01/2025 14:56</t>
  </si>
  <si>
    <t>754223332623</t>
  </si>
  <si>
    <t>EPO55</t>
  </si>
  <si>
    <t>ม*** ผ***ข</t>
  </si>
  <si>
    <t>02/01/2025 14:49</t>
  </si>
  <si>
    <t>THT11011DS59D5Z</t>
  </si>
  <si>
    <t>02/01/2025 14:50</t>
  </si>
  <si>
    <t>EPO54</t>
  </si>
  <si>
    <t>น***าวอัจฉราภรณ์ พ***าโส</t>
  </si>
  <si>
    <t>02/01/2025 14:48</t>
  </si>
  <si>
    <t>754236820680</t>
  </si>
  <si>
    <t>EPO53</t>
  </si>
  <si>
    <t>ม***นอย</t>
  </si>
  <si>
    <t>02/01/2025 14:44</t>
  </si>
  <si>
    <t>THT07011DS8260Z</t>
  </si>
  <si>
    <t>EPO52</t>
  </si>
  <si>
    <t>02/01/2025 14:43</t>
  </si>
  <si>
    <t>754291211656</t>
  </si>
  <si>
    <t>EPO51</t>
  </si>
  <si>
    <t>ป***ากานต์</t>
  </si>
  <si>
    <t>THT03021DRTQS5Z</t>
  </si>
  <si>
    <t>EPO50</t>
  </si>
  <si>
    <t>ส***ิดา ฉ***ทอง</t>
  </si>
  <si>
    <t>754222904680</t>
  </si>
  <si>
    <t>EPO49</t>
  </si>
  <si>
    <t>ข***ิยา ไ***ษา</t>
  </si>
  <si>
    <t>02/01/2025 14:42</t>
  </si>
  <si>
    <t>754287162506</t>
  </si>
  <si>
    <t>EPO48</t>
  </si>
  <si>
    <t>ป***อนด์</t>
  </si>
  <si>
    <t>02/01/2025 14:41</t>
  </si>
  <si>
    <t>THT14051DS9DU0Z</t>
  </si>
  <si>
    <t>EPO47</t>
  </si>
  <si>
    <t>เ*** จ***งพันธ์</t>
  </si>
  <si>
    <t>02/01/2025 14:39</t>
  </si>
  <si>
    <t>754268233681</t>
  </si>
  <si>
    <t>02/01/2025 14:40</t>
  </si>
  <si>
    <t>EPO46</t>
  </si>
  <si>
    <t>จ******อ</t>
  </si>
  <si>
    <t>****** จ.สุราษฎร์ธานี ตำบลสองแพรก อำเภอชัยบุรี จังหวัดสุราษฎร์ธานี 84350</t>
  </si>
  <si>
    <t>84350</t>
  </si>
  <si>
    <t>TH68186ND4FY4A</t>
  </si>
  <si>
    <t>02/01/2025 14:38</t>
  </si>
  <si>
    <t>EPO45</t>
  </si>
  <si>
    <t>จ***รา  ใ***่น</t>
  </si>
  <si>
    <t>02/01/2025 14:36</t>
  </si>
  <si>
    <t>THT06011DSN5P9Z</t>
  </si>
  <si>
    <t>EPO43</t>
  </si>
  <si>
    <t>02/01/2025 15:00</t>
  </si>
  <si>
    <t>TH2581030391663</t>
  </si>
  <si>
    <t>EPO42</t>
  </si>
  <si>
    <t>นาง จำเรียง ภู่ตัน</t>
  </si>
  <si>
    <t>129/1 ม.13 ถ. คลองชลประทาน ต.สุเทพ
เมืองเชียงใหม่/ Mueang Chiang Maiเชียงใหม่/ Chiang Mai
50200</t>
  </si>
  <si>
    <t>50200</t>
  </si>
  <si>
    <t>660894292399</t>
  </si>
  <si>
    <t>02/01/2025 14:32</t>
  </si>
  <si>
    <t>LEXPU0441106194</t>
  </si>
  <si>
    <t>EPO41</t>
  </si>
  <si>
    <t>ร******ฐ</t>
  </si>
  <si>
    <t>******านี 37 (สุขี1) แยก 1/13 ต.บางพูน ตำบลบางพูน อำเภอเมืองปทุมธานี จังหวัดปทุมธานี 12000</t>
  </si>
  <si>
    <t>02/01/2025 14:26</t>
  </si>
  <si>
    <t>TH253824507081H</t>
  </si>
  <si>
    <t>EPO40</t>
  </si>
  <si>
    <t>******งบำหรุ, เขตบางพลัด แขวงบางบำหรุ เขตบางพลัด จังหวัดกรุงเทพมหานคร 10700</t>
  </si>
  <si>
    <t>TH2549614820772</t>
  </si>
  <si>
    <t>EPO39</t>
  </si>
  <si>
    <t>******มคลอง ตำบลอำแพง ตำบลอำแพง อำเภอบ้านแพ้ว จังหวัดสมุทรสาคร 74120</t>
  </si>
  <si>
    <t>74120</t>
  </si>
  <si>
    <t>02/01/2025 14:53</t>
  </si>
  <si>
    <t>TH251766522029D</t>
  </si>
  <si>
    <t>EPO38</t>
  </si>
  <si>
    <t>ญ***ัทร  ห***ก้วสาย</t>
  </si>
  <si>
    <t>02/01/2025 14:10</t>
  </si>
  <si>
    <t>THT49021DS3FD3Z</t>
  </si>
  <si>
    <t>02/01/2025 14:20</t>
  </si>
  <si>
    <t>EPO37</t>
  </si>
  <si>
    <t>ก***ดี แ***คตร</t>
  </si>
  <si>
    <t>02/01/2025 14:12</t>
  </si>
  <si>
    <t>THT07011DSNC15Z</t>
  </si>
  <si>
    <t>EPO36</t>
  </si>
  <si>
    <t>อ***ต์ ม***ิง</t>
  </si>
  <si>
    <t>02/01/2025 14:19</t>
  </si>
  <si>
    <t>THT63111DS3TA5Z</t>
  </si>
  <si>
    <t>EPO34</t>
  </si>
  <si>
    <t>ช***เต้</t>
  </si>
  <si>
    <t>02/01/2025 14:15</t>
  </si>
  <si>
    <t>754220018650</t>
  </si>
  <si>
    <t>02/01/2025 14:17</t>
  </si>
  <si>
    <t>EPO33</t>
  </si>
  <si>
    <t>ส***ตรา พ***สารวงค์</t>
  </si>
  <si>
    <t>754285122603</t>
  </si>
  <si>
    <t>EPO32</t>
  </si>
  <si>
    <t>สมศรี คล้ายศิริ</t>
  </si>
  <si>
    <t>209/85 ม.3 ต.บางปูใหม่
เมืองสมุทรปราการ/ Mueang Samut Prakanสมุทรปราการ/ Samut Prakan
10280</t>
  </si>
  <si>
    <t>660622731871</t>
  </si>
  <si>
    <t>02/01/2025 14:11</t>
  </si>
  <si>
    <t>LEXPU0441097945</t>
  </si>
  <si>
    <t>EPO31</t>
  </si>
  <si>
    <t xml:space="preserve">K***ลทิพย์ แ***เรือง  </t>
  </si>
  <si>
    <t>02/01/2025 14:06</t>
  </si>
  <si>
    <t>754214123600</t>
  </si>
  <si>
    <t>02/01/2025 14:08</t>
  </si>
  <si>
    <t>EPO30</t>
  </si>
  <si>
    <t>ม***  ร***าม</t>
  </si>
  <si>
    <t>02/01/2025 14:07</t>
  </si>
  <si>
    <t>754232237695</t>
  </si>
  <si>
    <t>EPO29</t>
  </si>
  <si>
    <t>02/01/2025 14:01</t>
  </si>
  <si>
    <t>LEXPU0441098352</t>
  </si>
  <si>
    <t>EPO28</t>
  </si>
  <si>
    <t>ประทาน นิลบดี</t>
  </si>
  <si>
    <t>84หมู่6 · เตาปูน/ Tao Pun
โพธาราม/ Photharamราชบุรี/ Ratchaburi
70120</t>
  </si>
  <si>
    <t>660899845222</t>
  </si>
  <si>
    <t>LEXPU0441106939</t>
  </si>
  <si>
    <t>02/01/2025 13:59</t>
  </si>
  <si>
    <t>EPO27</t>
  </si>
  <si>
    <t>******้อยฟ้า, อำเภอโพธาราม ตำบลสร้อยฟ้า อำเภอโพธาราม จังหวัดราชบุรี 70120</t>
  </si>
  <si>
    <t>48</t>
  </si>
  <si>
    <t>02/01/2025 14:00</t>
  </si>
  <si>
    <t>TH2572473752727</t>
  </si>
  <si>
    <t>EPO26</t>
  </si>
  <si>
    <t>ช***า ห***นรักษ์</t>
  </si>
  <si>
    <t>02/01/2025 13:53</t>
  </si>
  <si>
    <t>THT64211DSHX62Z</t>
  </si>
  <si>
    <t>EPO25</t>
  </si>
  <si>
    <t>ธ******ี</t>
  </si>
  <si>
    <t>******กรอก ตำบลสระกะเทียม อำเภอเมืองนครปฐม จังหวัดนครปฐม 73000</t>
  </si>
  <si>
    <t>02/01/2025 13:52</t>
  </si>
  <si>
    <t>TH2534316031228</t>
  </si>
  <si>
    <t>EPO24</t>
  </si>
  <si>
    <t>02/01/2025 13:51</t>
  </si>
  <si>
    <t>THT61081DSJVF4Z</t>
  </si>
  <si>
    <t>EPO23</t>
  </si>
  <si>
    <t>จ***ชยา เ***พร้อม</t>
  </si>
  <si>
    <t>02/01/2025 13:49</t>
  </si>
  <si>
    <t>754274237695</t>
  </si>
  <si>
    <t>EPO22</t>
  </si>
  <si>
    <t>ว***วรรณ  ส***ำ</t>
  </si>
  <si>
    <t>754238187566</t>
  </si>
  <si>
    <t>EPO21</t>
  </si>
  <si>
    <t>ร้านที่3</t>
  </si>
  <si>
    <t>พ******ฐ</t>
  </si>
  <si>
    <t>******านบึง, อำเภอบ้านคา ตำบลบ้านบึง อำเภอบ้านคา จังหวัดราชบุรี 70180</t>
  </si>
  <si>
    <t>02/01/2025 14:30</t>
  </si>
  <si>
    <t>TH12096ND3ZN2B</t>
  </si>
  <si>
    <t>02/01/2025 13:47</t>
  </si>
  <si>
    <t>EPO20</t>
  </si>
  <si>
    <t>น*** ศ***งษา</t>
  </si>
  <si>
    <t>02/01/2025 13:44</t>
  </si>
  <si>
    <t>THT27141DSNDZ3Z</t>
  </si>
  <si>
    <t>EPO19</t>
  </si>
  <si>
    <t>จ*** ธ***ะอา</t>
  </si>
  <si>
    <t>02/01/2025 13:42</t>
  </si>
  <si>
    <t>754234735623</t>
  </si>
  <si>
    <t>EPO17</t>
  </si>
  <si>
    <t>******               ถนน:บ้านกล้วยไทรน้อย  จ.นนทบุรี ตำบลคลองขวาง อำเภอไทรน้อย จังหวัดนนทบุรี 11150</t>
  </si>
  <si>
    <t>TH03056ND3P06F</t>
  </si>
  <si>
    <t>02/01/2025 13:41</t>
  </si>
  <si>
    <t>EPO13</t>
  </si>
  <si>
    <t>ส***ตรา ค***่น</t>
  </si>
  <si>
    <t>02/01/2025 13:33</t>
  </si>
  <si>
    <t>754201519676</t>
  </si>
  <si>
    <t>EPO12</t>
  </si>
  <si>
    <t>ก***ุกออมสิน</t>
  </si>
  <si>
    <t>02/01/2025 13:28</t>
  </si>
  <si>
    <t>ฝอยทอง1 มะพร้าว1 เนยนม1</t>
  </si>
  <si>
    <t>754281284540</t>
  </si>
  <si>
    <t>4แถว</t>
  </si>
  <si>
    <t>ปังแถว 4 แถว ลดเหลือ 110 เก็บได้ 14 วัน</t>
  </si>
  <si>
    <t>EPO11</t>
  </si>
  <si>
    <t>F**</t>
  </si>
  <si>
    <t>02/01/2025 13:27</t>
  </si>
  <si>
    <t>754237808693</t>
  </si>
  <si>
    <t>EPO10</t>
  </si>
  <si>
    <t>02/01/2025 13:24</t>
  </si>
  <si>
    <t>TH258831486962Z</t>
  </si>
  <si>
    <t>EPO9</t>
  </si>
  <si>
    <t>ม***มายด์ จ***น</t>
  </si>
  <si>
    <t>02/01/2025 13:22</t>
  </si>
  <si>
    <t>754205405693</t>
  </si>
  <si>
    <t>02/01/2025 13:23</t>
  </si>
  <si>
    <t>EPO7</t>
  </si>
  <si>
    <t>ส***รณี ณ บ***้าง</t>
  </si>
  <si>
    <t>02/01/2025 13:19</t>
  </si>
  <si>
    <t>754292697535</t>
  </si>
  <si>
    <t>EPO6</t>
  </si>
  <si>
    <t>เอ็มกน</t>
  </si>
  <si>
    <t>74 หมู่9  เอ็ม · ยางช้าย/ Yang Sai
โพธิ์ทอง/ Pho Thongอ่างทอง/ Ang Thong
14120</t>
  </si>
  <si>
    <t>660987376645</t>
  </si>
  <si>
    <t>02/01/2025 13:17</t>
  </si>
  <si>
    <t>LEXPU0441100656</t>
  </si>
  <si>
    <t>02/01/2025 13:16</t>
  </si>
  <si>
    <t>EPO4</t>
  </si>
  <si>
    <t>ศ***ิชญ์ ว***ลสมพงษ์</t>
  </si>
  <si>
    <t>02/01/2025 13:10</t>
  </si>
  <si>
    <t>754258417640</t>
  </si>
  <si>
    <t>EPO3</t>
  </si>
  <si>
    <t>ฐ***มา ร***รัตนพงษ์พร</t>
  </si>
  <si>
    <t>02/01/2025 13:04</t>
  </si>
  <si>
    <t>754247314671</t>
  </si>
  <si>
    <t>EPO2</t>
  </si>
  <si>
    <t>สุนิสา</t>
  </si>
  <si>
    <t>ถ.พหลโยธิน ห.จ.ก วงกลมอิฐบล๊อก เลขที่9  โทร 036-340-431,036-340-433 · ห้วยบง/ Huai Bong
เฉลิมพระเกียรติ/ Chaloem Phra Kiatสระบุรี/ Saraburi
18000</t>
  </si>
  <si>
    <t>660816345288</t>
  </si>
  <si>
    <t>02/01/2025 13:05</t>
  </si>
  <si>
    <t>TH10016NBXQ91A</t>
  </si>
  <si>
    <t>02/01/2025 13:03</t>
  </si>
  <si>
    <t>EPO0</t>
  </si>
  <si>
    <t>ส***ศ อ***ลอง</t>
  </si>
  <si>
    <t>02/01/2025 13:01</t>
  </si>
  <si>
    <t>754287904602</t>
  </si>
  <si>
    <t>02/01/2025 13:00</t>
  </si>
  <si>
    <t>EPN99</t>
  </si>
  <si>
    <t>ห***ย ศ***ิมล</t>
  </si>
  <si>
    <t>02/01/2025 12:59</t>
  </si>
  <si>
    <t>754243594576</t>
  </si>
  <si>
    <t>EPN98</t>
  </si>
  <si>
    <t>ข***เรือน ส***ยธา</t>
  </si>
  <si>
    <t>02/01/2025 12:55</t>
  </si>
  <si>
    <t>754296705621</t>
  </si>
  <si>
    <t>EPN97</t>
  </si>
  <si>
    <t>******้ว อ.สีคิ้ว จ.นครราชสีมา 30140 ตำบลสีคิ้ว อำเภอสีคิ้ว จังหวัดนครราชสีมา 30140</t>
  </si>
  <si>
    <t>TH252262632543Y</t>
  </si>
  <si>
    <t>EPN96</t>
  </si>
  <si>
    <t>51/58 หมู่ 4 ซอย คลองหลวง23 ถนน พหลโยธิน ตำบล คลองหนึ่ง
คลองหลวง/ Khlong Luangปทุมธานี/ Pathum Thani
12120</t>
  </si>
  <si>
    <t>02/01/2025 12:49</t>
  </si>
  <si>
    <t>LEXPU0441099115</t>
  </si>
  <si>
    <t>02/01/2025 12:48</t>
  </si>
  <si>
    <t>EPN94</t>
  </si>
  <si>
    <t>พ*** ส***</t>
  </si>
  <si>
    <t>02/01/2025 12:45</t>
  </si>
  <si>
    <t>754223927623</t>
  </si>
  <si>
    <t>EPN93</t>
  </si>
  <si>
    <t>น***ลียบ. ใ***นต๊ะ</t>
  </si>
  <si>
    <t>02/01/2025 12:44</t>
  </si>
  <si>
    <t>754207286560</t>
  </si>
  <si>
    <t>EPN92</t>
  </si>
  <si>
    <t>ช***ญา เ***เนอร</t>
  </si>
  <si>
    <t>02/01/2025 12:41</t>
  </si>
  <si>
    <t>754232522621</t>
  </si>
  <si>
    <t>EPN91</t>
  </si>
  <si>
    <t>******ลำนารายณ์ อ.ชัยบาดาล จ.ลพบุรี ตำบลลำนารายณ์ อำเภอชัยบาดาล จังหวัดลพบุรี 15130</t>
  </si>
  <si>
    <t>15130</t>
  </si>
  <si>
    <t>02/01/2025 13:11</t>
  </si>
  <si>
    <t>TH256157350959N</t>
  </si>
  <si>
    <t>EPN89</t>
  </si>
  <si>
    <t>บ***ม  เ***อง</t>
  </si>
  <si>
    <t>02/01/2025 12:39</t>
  </si>
  <si>
    <t>754234631695</t>
  </si>
  <si>
    <t>EPN88</t>
  </si>
  <si>
    <t>ม***นันท์ เ***อง</t>
  </si>
  <si>
    <t>02/01/2025 12:33</t>
  </si>
  <si>
    <t>754271625660</t>
  </si>
  <si>
    <t>EPN87</t>
  </si>
  <si>
    <t>น** ว***า ณ ส***า</t>
  </si>
  <si>
    <t>02/01/2025 12:30</t>
  </si>
  <si>
    <t>THT74031DS7E47Z</t>
  </si>
  <si>
    <t>EPN85</t>
  </si>
  <si>
    <t>โ***ดา</t>
  </si>
  <si>
    <t>02/01/2025 12:27</t>
  </si>
  <si>
    <t>754207591572</t>
  </si>
  <si>
    <t>EPN81</t>
  </si>
  <si>
    <t>ทิตติยา</t>
  </si>
  <si>
    <t>บ้านหนองเทา · ท่ามะพลา/ Tha Maphla
หลังสวน/ Lang Suanชุมพร/ Chumphon
86110</t>
  </si>
  <si>
    <t>660641308716</t>
  </si>
  <si>
    <t>02/01/2025 12:24</t>
  </si>
  <si>
    <t>TH70046NC6C67C</t>
  </si>
  <si>
    <t>EPN80</t>
  </si>
  <si>
    <t>TH03016ND16Y7B1</t>
  </si>
  <si>
    <t>02/01/2025 12:23</t>
  </si>
  <si>
    <t>EPN79</t>
  </si>
  <si>
    <t>******.กาญจนบุรี 71120 ตำบลพงตึก อำเภอท่ามะกา จังหวัดกาญจนบุรี 71120</t>
  </si>
  <si>
    <t>02/01/2025 12:25</t>
  </si>
  <si>
    <t>TH259074083009N</t>
  </si>
  <si>
    <t>EPN77</t>
  </si>
  <si>
    <t>พ***ัส ป***โรค</t>
  </si>
  <si>
    <t>02/01/2025 12:22</t>
  </si>
  <si>
    <t>754277625684</t>
  </si>
  <si>
    <t>EPN76</t>
  </si>
  <si>
    <t>พ***  ไ***้อย</t>
  </si>
  <si>
    <t>THT71111DS7C93Z</t>
  </si>
  <si>
    <t>EPN75</t>
  </si>
  <si>
    <t>อ***ชะฮ์ โ***ร</t>
  </si>
  <si>
    <t>754269535622</t>
  </si>
  <si>
    <t>EPN74</t>
  </si>
  <si>
    <t>ว***ษฐา แ***ใส</t>
  </si>
  <si>
    <t>THT68041DT1S18Z</t>
  </si>
  <si>
    <t>EPN71</t>
  </si>
  <si>
    <t>ส***รณเพ็ญ พ***ศร</t>
  </si>
  <si>
    <t>02/01/2025 12:19</t>
  </si>
  <si>
    <t>754290507681</t>
  </si>
  <si>
    <t>EPN70</t>
  </si>
  <si>
    <t>66/45 หมู่ 4 ซอยนารถสุนทร 8 ต.บางเมืองใหม่
เมืองสมุทรปราการ/ Mueang Samut Prakanสมุทรปราการ/ Samut Prakan
10270</t>
  </si>
  <si>
    <t>02/01/2025 12:17</t>
  </si>
  <si>
    <t>LEXPU0441120428</t>
  </si>
  <si>
    <t>EPN67</t>
  </si>
  <si>
    <t>ฐ***รัตน์  ส***ธิ์ใหม่ ย***</t>
  </si>
  <si>
    <t>02/01/2025 12:09</t>
  </si>
  <si>
    <t>754219231684</t>
  </si>
  <si>
    <t>02/01/2025 12:07</t>
  </si>
  <si>
    <t>EPN66</t>
  </si>
  <si>
    <t>ช***านิษฐ์ จ***ร์เที่ยง</t>
  </si>
  <si>
    <t>02/01/2025 12:05</t>
  </si>
  <si>
    <t>THT04031DS3G49Z</t>
  </si>
  <si>
    <t>EPN65</t>
  </si>
  <si>
    <t>อ******ุ</t>
  </si>
  <si>
    <t>******กาะสะบ้า อำเภอเทพา จังหวัดสงขลา 90150</t>
  </si>
  <si>
    <t>02/01/2025 12:35</t>
  </si>
  <si>
    <t>TH2509209974036</t>
  </si>
  <si>
    <t>เซ็ตอิ่มบุญ</t>
  </si>
  <si>
    <t>ชิฟฟ่อนไม่มีไส้2เบาหวิวเล็ก3</t>
  </si>
  <si>
    <t>EPN64</t>
  </si>
  <si>
    <t>******้านสองชั้นหลังที่4) ตำบลบานา อำเภอเมืองปัตตานี จังหวัดปัตตานี 94000</t>
  </si>
  <si>
    <t>94000</t>
  </si>
  <si>
    <t>17</t>
  </si>
  <si>
    <t>02/01/2025 12:04</t>
  </si>
  <si>
    <t>TH253908666124Q</t>
  </si>
  <si>
    <t>EPN63</t>
  </si>
  <si>
    <t>ม***นันท์</t>
  </si>
  <si>
    <t>02/01/2025 12:03</t>
  </si>
  <si>
    <t>THT02041DS3KQ7Z</t>
  </si>
  <si>
    <t>EPN62</t>
  </si>
  <si>
    <t>มยุรา  แสนเดช</t>
  </si>
  <si>
    <t>73 หมู่ 14 ต.หนองไทร
นางรอง/ Nang Rongบุรีรัมย์/ Buriram
31110</t>
  </si>
  <si>
    <t>660823784138</t>
  </si>
  <si>
    <t>02/01/2025 12:01</t>
  </si>
  <si>
    <t>TH28046NBSYQ3G</t>
  </si>
  <si>
    <t>EPN61</t>
  </si>
  <si>
    <t>เ***วรรณ ไ***กิด</t>
  </si>
  <si>
    <t>02/01/2025 11:59</t>
  </si>
  <si>
    <t>754296227683</t>
  </si>
  <si>
    <t>EPN60</t>
  </si>
  <si>
    <t>K* R***</t>
  </si>
  <si>
    <t>02/01/2025 11:58</t>
  </si>
  <si>
    <t>THT68141DSGHP2Z</t>
  </si>
  <si>
    <t>02/01/2025 11:57</t>
  </si>
  <si>
    <t>EPN59</t>
  </si>
  <si>
    <t>TH2568059479362</t>
  </si>
  <si>
    <t>02/01/2025 11:55</t>
  </si>
  <si>
    <t>EPN58</t>
  </si>
  <si>
    <t>02/01/2025 11:54</t>
  </si>
  <si>
    <t>ขอรสกาแฟ6กล่องค่ะ</t>
  </si>
  <si>
    <t>754222588501</t>
  </si>
  <si>
    <t>EPN57</t>
  </si>
  <si>
    <t>ก***ัย ห***ทศ</t>
  </si>
  <si>
    <t>754206980575</t>
  </si>
  <si>
    <t>02/01/2025 11:52</t>
  </si>
  <si>
    <t>EPN56</t>
  </si>
  <si>
    <t>02/01/2025 11:48</t>
  </si>
  <si>
    <t>754268437694</t>
  </si>
  <si>
    <t>EPN55</t>
  </si>
  <si>
    <t>S******E</t>
  </si>
  <si>
    <t>******ัวนครินทร์, ต.บางแก้ว, อำเภอบางพลี ตำบลบางแก้ว อำเภอบางพลี จังหวัดสมุทรปราการ 10540</t>
  </si>
  <si>
    <t>02/01/2025 11:47</t>
  </si>
  <si>
    <t>TH2533737237340</t>
  </si>
  <si>
    <t>02/01/2025 11:45</t>
  </si>
  <si>
    <t>EPN54</t>
  </si>
  <si>
    <t>ส***ญญา ค***</t>
  </si>
  <si>
    <t>02/01/2025 11:42</t>
  </si>
  <si>
    <t>754221642602</t>
  </si>
  <si>
    <t>EPN51</t>
  </si>
  <si>
    <t>02/01/2025 11:41</t>
  </si>
  <si>
    <t>THT27101DS5AM5Z</t>
  </si>
  <si>
    <t>EPN50</t>
  </si>
  <si>
    <t>o***gekajitrit</t>
  </si>
  <si>
    <t>02/01/2025 11:38</t>
  </si>
  <si>
    <t>THT44011DSGNU6Z</t>
  </si>
  <si>
    <t>EPN49</t>
  </si>
  <si>
    <t>แ***าว แ***อง</t>
  </si>
  <si>
    <t>02/01/2025 11:36</t>
  </si>
  <si>
    <t>754276218625</t>
  </si>
  <si>
    <t>EPN48</t>
  </si>
  <si>
    <t>พ***์ฉวี  ส***ลิศ</t>
  </si>
  <si>
    <t>02/01/2025 11:35</t>
  </si>
  <si>
    <t>THT02011DS6J09Z</t>
  </si>
  <si>
    <t>EPN46</t>
  </si>
  <si>
    <t>ด***ร เ***ปั้น</t>
  </si>
  <si>
    <t>02/01/2025 11:37</t>
  </si>
  <si>
    <t>754215216624</t>
  </si>
  <si>
    <t>02/01/2025 11:33</t>
  </si>
  <si>
    <t>EPN45</t>
  </si>
  <si>
    <t>จ***ณี พ***์ปัญญา</t>
  </si>
  <si>
    <t>02/01/2025 11:30</t>
  </si>
  <si>
    <t>754227976585</t>
  </si>
  <si>
    <t>02/01/2025 11:31</t>
  </si>
  <si>
    <t>EPN44</t>
  </si>
  <si>
    <t>จ***รัตน์ ช***ชา</t>
  </si>
  <si>
    <t>THT65061DRT2K1Z</t>
  </si>
  <si>
    <t>EPN43</t>
  </si>
  <si>
    <t>สุพิชฌาพร​ หัวใจฉ่ำ</t>
  </si>
  <si>
    <t>60/5หมู่5  ต.นครปฐม
เมืองนครปฐม/ Mueang Nakhon Pathomนครปฐม/ Nakhon Pathom
73000</t>
  </si>
  <si>
    <t>660875292245</t>
  </si>
  <si>
    <t>02/01/2025 11:26</t>
  </si>
  <si>
    <t>LEXPU0441098335</t>
  </si>
  <si>
    <t>EPN42</t>
  </si>
  <si>
    <t>พ***า  ค***ุล</t>
  </si>
  <si>
    <t>02/01/2025 11:21</t>
  </si>
  <si>
    <t>754230233691</t>
  </si>
  <si>
    <t>EPN40</t>
  </si>
  <si>
    <t>ภ******)</t>
  </si>
  <si>
    <t>******มู่ที่ 5, ถนน พหลโยธิน, ตำบลบ้านกล้วย อำเภอเมืองชัยนาท จังหวัดชัยนาท 17000</t>
  </si>
  <si>
    <t>17000</t>
  </si>
  <si>
    <t>02/01/2025 11:18</t>
  </si>
  <si>
    <t>TH258331572949Z</t>
  </si>
  <si>
    <t>02/01/2025 11:17</t>
  </si>
  <si>
    <t>EPN36</t>
  </si>
  <si>
    <t>02/01/2025 11:43</t>
  </si>
  <si>
    <t>TH253131117131H</t>
  </si>
  <si>
    <t>02/01/2025 11:13</t>
  </si>
  <si>
    <t>EPN35</t>
  </si>
  <si>
    <t>อรกัญญา มูลมณี</t>
  </si>
  <si>
    <t>123 อาคารซันทาวเวอร์ส บี ชั้น 39 ซอยเฉยพ่วง แขวงจอมพล · จอมพล/ Chom Phon
จตุจักร/ Chatuchakกรุงเทพมหานคร/ Bangkok
10900</t>
  </si>
  <si>
    <t>660860907752</t>
  </si>
  <si>
    <t>LEXPU0441073147</t>
  </si>
  <si>
    <t>EPN30</t>
  </si>
  <si>
    <t>จ***พร บ***่ง</t>
  </si>
  <si>
    <t>02/01/2025 11:04</t>
  </si>
  <si>
    <t>754262869570</t>
  </si>
  <si>
    <t>EPN29</t>
  </si>
  <si>
    <t>ม***ี จ***ีเชาว์</t>
  </si>
  <si>
    <t>02/01/2025 11:01</t>
  </si>
  <si>
    <t>754272816625</t>
  </si>
  <si>
    <t>EPN28</t>
  </si>
  <si>
    <t>ส***พร  เ***ี</t>
  </si>
  <si>
    <t>754283036695</t>
  </si>
  <si>
    <t>EPN27</t>
  </si>
  <si>
    <t>THT01111DRW101Z</t>
  </si>
  <si>
    <t>EPN24</t>
  </si>
  <si>
    <t>เ***   จ***ทอง</t>
  </si>
  <si>
    <t>02/01/2025 10:53</t>
  </si>
  <si>
    <t>THT24041DSKH84Z</t>
  </si>
  <si>
    <t>EPN23</t>
  </si>
  <si>
    <t>พ***ินทร์ ว***นิล</t>
  </si>
  <si>
    <t>02/01/2025 10:52</t>
  </si>
  <si>
    <t>THT14021DS7B55Z</t>
  </si>
  <si>
    <t>EPN22</t>
  </si>
  <si>
    <t>ป***ญา  แ***พยัคฆ์</t>
  </si>
  <si>
    <t>02/01/2025 10:50</t>
  </si>
  <si>
    <t>THT57081DSJYG6Z</t>
  </si>
  <si>
    <t>EPN21</t>
  </si>
  <si>
    <t>02/01/2025 10:49</t>
  </si>
  <si>
    <t>754261031510</t>
  </si>
  <si>
    <t>EPN18</t>
  </si>
  <si>
    <t>เ***ิน</t>
  </si>
  <si>
    <t>02/01/2025 10:48</t>
  </si>
  <si>
    <t>754259326531</t>
  </si>
  <si>
    <t>EPN17</t>
  </si>
  <si>
    <t>จ***วดี  เ***จันทร์</t>
  </si>
  <si>
    <t>02/01/2025 10:47</t>
  </si>
  <si>
    <t>754258618610</t>
  </si>
  <si>
    <t>EPN16</t>
  </si>
  <si>
    <t>โ** บ***ย่าง20</t>
  </si>
  <si>
    <t>02/01/2025 10:44</t>
  </si>
  <si>
    <t>THT14071DSJQ22Z</t>
  </si>
  <si>
    <t>EPN14</t>
  </si>
  <si>
    <t xml:space="preserve">น***าวประภาศรี ค***อน ว***ทศ </t>
  </si>
  <si>
    <t>02/01/2025 10:38</t>
  </si>
  <si>
    <t>ขอถุงเล็ก 10 ใบ ใส่แจกปีใหม่ให้คณะครู ขอบคุณคร่า🙏🥰</t>
  </si>
  <si>
    <t>THT15041DSGXQ0Z</t>
  </si>
  <si>
    <t>EPN13</t>
  </si>
  <si>
    <t>ส***รัตน์ พ***์เทียม</t>
  </si>
  <si>
    <t>02/01/2025 10:37</t>
  </si>
  <si>
    <t>THT04021DSHFM8Z</t>
  </si>
  <si>
    <t>EPN12</t>
  </si>
  <si>
    <t>น***จิรารัตน์ เ***โคกกรวด</t>
  </si>
  <si>
    <t>02/01/2025 10:36</t>
  </si>
  <si>
    <t>754208636510</t>
  </si>
  <si>
    <t>02/01/2025 10:35</t>
  </si>
  <si>
    <t>EPN11</t>
  </si>
  <si>
    <t>ว***า  ผ***มณี</t>
  </si>
  <si>
    <t>02/01/2025 10:34</t>
  </si>
  <si>
    <t>THT04061DS5C05Z</t>
  </si>
  <si>
    <t>EPN10</t>
  </si>
  <si>
    <t>02/01/2025 10:32</t>
  </si>
  <si>
    <t>THT04011DS5560Z</t>
  </si>
  <si>
    <t>EPN9</t>
  </si>
  <si>
    <t>ธ***ัย จ***า</t>
  </si>
  <si>
    <t>02/01/2025 10:31</t>
  </si>
  <si>
    <t>THT21061DS4RH3Z</t>
  </si>
  <si>
    <t>EPN8</t>
  </si>
  <si>
    <t>02/01/2025 10:29</t>
  </si>
  <si>
    <t>TH2572575572779</t>
  </si>
  <si>
    <t>EPN7</t>
  </si>
  <si>
    <t>02/01/2025 10:28</t>
  </si>
  <si>
    <t>754265635502</t>
  </si>
  <si>
    <t>EPN6</t>
  </si>
  <si>
    <t>พุนิวัฒน์ ประภาลิมรังสี</t>
  </si>
  <si>
    <t>99/23 ม.1 ต.กุยบุรี · กุยบุรี/ Kui Buri
กุยบุรี/ Kui Buriประจวบคีรีขันธ์/ Prachuap Khiri Khan
77150</t>
  </si>
  <si>
    <t>77150</t>
  </si>
  <si>
    <t>660925685314</t>
  </si>
  <si>
    <t>TH19026NC5WW1A</t>
  </si>
  <si>
    <t>EPN5</t>
  </si>
  <si>
    <t>ฉ***น  โ***พร</t>
  </si>
  <si>
    <t>754292035501</t>
  </si>
  <si>
    <t>02/01/2025 10:27</t>
  </si>
  <si>
    <t>EPN4</t>
  </si>
  <si>
    <t>754299503646</t>
  </si>
  <si>
    <t>EPN1</t>
  </si>
  <si>
    <t>จ***ูญ ส***ดี บ***ุ้ง</t>
  </si>
  <si>
    <t>02/01/2025 10:25</t>
  </si>
  <si>
    <t>754266836514</t>
  </si>
  <si>
    <t>EPN0</t>
  </si>
  <si>
    <t>02/01/2025 10:24</t>
  </si>
  <si>
    <t>TH253014566538F</t>
  </si>
  <si>
    <t>02/01/2025 10:23</t>
  </si>
  <si>
    <t>EPM99</t>
  </si>
  <si>
    <t>ส***ตรี พ***ง</t>
  </si>
  <si>
    <t>02/01/2025 10:22</t>
  </si>
  <si>
    <t>754215998561</t>
  </si>
  <si>
    <t>EPM97</t>
  </si>
  <si>
    <t>ส***วดี ศ***ันทร์</t>
  </si>
  <si>
    <t>02/01/2025 10:19</t>
  </si>
  <si>
    <t>754223883512</t>
  </si>
  <si>
    <t>ชิฟฟ่อนมีไส้40ชิ้นคละรส</t>
  </si>
  <si>
    <t>EPM96</t>
  </si>
  <si>
    <t>เ******ิ</t>
  </si>
  <si>
    <t>******ย, อำเภออู่ทอง ตำบลพลับพลาไชย อำเภออู่ทอง จังหวัดสุพรรณบุรี 72160</t>
  </si>
  <si>
    <t>TH258686655908G</t>
  </si>
  <si>
    <t>EPM94</t>
  </si>
  <si>
    <t>ด***ณี</t>
  </si>
  <si>
    <t>754238200634</t>
  </si>
  <si>
    <t>EPM93</t>
  </si>
  <si>
    <t>02/01/2025 15:35</t>
  </si>
  <si>
    <t>LEXPU0441087295</t>
  </si>
  <si>
    <t>02/01/2025 10:18</t>
  </si>
  <si>
    <t>EPM91</t>
  </si>
  <si>
    <t>จ***ันท์ ป***จริญ</t>
  </si>
  <si>
    <t>02/01/2025 10:16</t>
  </si>
  <si>
    <t>754282190561</t>
  </si>
  <si>
    <t>EPM89</t>
  </si>
  <si>
    <t>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</t>
  </si>
  <si>
    <t>TH2596908977601</t>
  </si>
  <si>
    <t>EPM88</t>
  </si>
  <si>
    <t>น***วัย  น***ะกูล</t>
  </si>
  <si>
    <t>02/01/2025 10:15</t>
  </si>
  <si>
    <t>754245810603</t>
  </si>
  <si>
    <t>EPM86</t>
  </si>
  <si>
    <t>น***นดร ส***ร</t>
  </si>
  <si>
    <t>02/01/2025 10:11</t>
  </si>
  <si>
    <t>THT25041DSM8P4Z</t>
  </si>
  <si>
    <t>02/01/2025 10:12</t>
  </si>
  <si>
    <t>EPM85</t>
  </si>
  <si>
    <t>ณ***ฤตา แ***วชู</t>
  </si>
  <si>
    <t>02/01/2025 10:09</t>
  </si>
  <si>
    <t>754219203651</t>
  </si>
  <si>
    <t>EPM81</t>
  </si>
  <si>
    <t>เ***ลักษณ์​ ส***ิธรรม</t>
  </si>
  <si>
    <t>02/01/2025 10:05</t>
  </si>
  <si>
    <t>754293395590</t>
  </si>
  <si>
    <t>02/01/2025 10:07</t>
  </si>
  <si>
    <t>EPM80</t>
  </si>
  <si>
    <t>จ***วรรณ ศ***ิชัย</t>
  </si>
  <si>
    <t>754246990593</t>
  </si>
  <si>
    <t>02/01/2025 10:06</t>
  </si>
  <si>
    <t>EPM79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</si>
  <si>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</si>
  <si>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</si>
  <si>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</si>
  <si>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LEXDO0123663991</t>
  </si>
  <si>
    <t>EPM78</t>
  </si>
  <si>
    <t>ช***</t>
  </si>
  <si>
    <t>02/01/2025 10:03</t>
  </si>
  <si>
    <t>754222809675</t>
  </si>
  <si>
    <t>EPM77</t>
  </si>
  <si>
    <t>อ***รัตน์</t>
  </si>
  <si>
    <t>02/01/2025 09:59</t>
  </si>
  <si>
    <t>THT02011DS7889Z</t>
  </si>
  <si>
    <t>02/01/2025 09:58</t>
  </si>
  <si>
    <t>EPM76</t>
  </si>
  <si>
    <t>แ***ี่ พ***พย์ ด***ก</t>
  </si>
  <si>
    <t>02/01/2025 09:57</t>
  </si>
  <si>
    <t>754258569503</t>
  </si>
  <si>
    <t>EPM75</t>
  </si>
  <si>
    <t>น***าวจีรวรรณ บ***าม</t>
  </si>
  <si>
    <t>02/01/2025 09:54</t>
  </si>
  <si>
    <t>754222712670</t>
  </si>
  <si>
    <t>EPM74</t>
  </si>
  <si>
    <t>อ*** ช***นุช</t>
  </si>
  <si>
    <t>02/01/2025 09:49</t>
  </si>
  <si>
    <t>754272324606</t>
  </si>
  <si>
    <t>EPM71</t>
  </si>
  <si>
    <t>ท***น จ***จริญ</t>
  </si>
  <si>
    <t>02/01/2025 09:42</t>
  </si>
  <si>
    <t>754286990575</t>
  </si>
  <si>
    <t>EPM70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</si>
  <si>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</si>
  <si>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</si>
  <si>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</si>
  <si>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02/01/2025 09:41</t>
  </si>
  <si>
    <t>LEXPU0441118992</t>
  </si>
  <si>
    <t>EPM68</t>
  </si>
  <si>
    <t>k***ะทีป จ***ร์ใหม่</t>
  </si>
  <si>
    <t>02/01/2025 09:39</t>
  </si>
  <si>
    <t>754201393573</t>
  </si>
  <si>
    <t>02/01/2025 09:38</t>
  </si>
  <si>
    <t>EPM67</t>
  </si>
  <si>
    <t>น*** เ***า​  ป***า</t>
  </si>
  <si>
    <t>02/01/2025 09:37</t>
  </si>
  <si>
    <t>754213528681</t>
  </si>
  <si>
    <t>EPM66</t>
  </si>
  <si>
    <t>ด**</t>
  </si>
  <si>
    <t>02/01/2025 09:35</t>
  </si>
  <si>
    <t>754288927615</t>
  </si>
  <si>
    <t>EPM65</t>
  </si>
  <si>
    <t>02/01/2025 09:34</t>
  </si>
  <si>
    <t>754283926675</t>
  </si>
  <si>
    <t>EPM64</t>
  </si>
  <si>
    <t>ค***น โ***รลึก</t>
  </si>
  <si>
    <t>02/01/2025 09:32</t>
  </si>
  <si>
    <t>754294126681</t>
  </si>
  <si>
    <t>EPM63</t>
  </si>
  <si>
    <t>p***haleeseevijai</t>
  </si>
  <si>
    <t>02/01/2025 09:31</t>
  </si>
  <si>
    <t>754285536620</t>
  </si>
  <si>
    <t>EPM62</t>
  </si>
  <si>
    <t>อ*** พ***พวง แ***</t>
  </si>
  <si>
    <t>754276488512</t>
  </si>
  <si>
    <t>EPM61</t>
  </si>
  <si>
    <t>02/01/2025 09:30</t>
  </si>
  <si>
    <t>754244314670</t>
  </si>
  <si>
    <t>EPM59</t>
  </si>
  <si>
    <t>ส***รณี</t>
  </si>
  <si>
    <t>02/01/2025 09:28</t>
  </si>
  <si>
    <t>THT39051DS5VJ9Z</t>
  </si>
  <si>
    <t>EPM58</t>
  </si>
  <si>
    <t>อ***ี ค***ล</t>
  </si>
  <si>
    <t>02/01/2025 09:26</t>
  </si>
  <si>
    <t>754241406660</t>
  </si>
  <si>
    <t>02/01/2025 09:27</t>
  </si>
  <si>
    <t>EPM57</t>
  </si>
  <si>
    <t>ก*** เ***เพชร์</t>
  </si>
  <si>
    <t>02/01/2025 09:24</t>
  </si>
  <si>
    <t>754252564516</t>
  </si>
  <si>
    <t>02/01/2025 09:25</t>
  </si>
  <si>
    <t>EPM56</t>
  </si>
  <si>
    <t>P a p l e</t>
  </si>
  <si>
    <t>THT64011DSHJD2Z</t>
  </si>
  <si>
    <t>EPM55</t>
  </si>
  <si>
    <t>ป***านุช ค***ะ</t>
  </si>
  <si>
    <t>02/01/2025 09:21</t>
  </si>
  <si>
    <t>754243894541</t>
  </si>
  <si>
    <t>EPM54</t>
  </si>
  <si>
    <t>จุ่ย อังสนา</t>
  </si>
  <si>
    <t>360/1หมู่6ซอยบ้านน้อบพัฒนา(ต,สีคิ้ว)(อ,สีคิ้ว)(จ,นคราสีมา30140 บ้าน
สีคิ้ว/ Sikhioนครราชสีมา/ Nakhon Ratchasima
30140</t>
  </si>
  <si>
    <t>660610143939</t>
  </si>
  <si>
    <t>02/01/2025 09:20</t>
  </si>
  <si>
    <t>LEXPU0441118262</t>
  </si>
  <si>
    <t>EPM53</t>
  </si>
  <si>
    <t>THT15071DSHKR6Z</t>
  </si>
  <si>
    <t>02/01/2025 09:19</t>
  </si>
  <si>
    <t>EPM52</t>
  </si>
  <si>
    <t>จ***คนึง  บ***ง</t>
  </si>
  <si>
    <t>02/01/2025 09:18</t>
  </si>
  <si>
    <t>754213019626</t>
  </si>
  <si>
    <t>EPM51</t>
  </si>
  <si>
    <t>K***ฐพล ท***าย</t>
  </si>
  <si>
    <t>THT13041DSMH12Z</t>
  </si>
  <si>
    <t>EPM50</t>
  </si>
  <si>
    <t>ช***ชา อ***ันทึก</t>
  </si>
  <si>
    <t>THT27201DS4E01Z</t>
  </si>
  <si>
    <t>EPM49</t>
  </si>
  <si>
    <t>ฐ***มา ถ***วัฒนากูล</t>
  </si>
  <si>
    <t>02/01/2025 09:15</t>
  </si>
  <si>
    <t>754258161510</t>
  </si>
  <si>
    <t>EPM48</t>
  </si>
  <si>
    <t>ภ******้</t>
  </si>
  <si>
    <t>******ปลวกแดง อ.ปลวกแดง จ.ระยอง 21140 ตำบลปลวกแดง อำเภอปลวกแดง จังหวัดระยอง 21140</t>
  </si>
  <si>
    <t>02/01/2025 09:14</t>
  </si>
  <si>
    <t>TH252607591225M</t>
  </si>
  <si>
    <t>02/01/2025 09:13</t>
  </si>
  <si>
    <t>EPM47</t>
  </si>
  <si>
    <t>C*t</t>
  </si>
  <si>
    <t>******รถไฟสายใต้ บางซื่อ เขตบางซื่อ แขวงบางซื่อ เขตบางซื่อ จังหวัดกรุงเทพมหานคร 10800</t>
  </si>
  <si>
    <t>TH255403218204U</t>
  </si>
  <si>
    <t>EPM46</t>
  </si>
  <si>
    <t>TH2587453206719</t>
  </si>
  <si>
    <t>02/01/2025 09:12</t>
  </si>
  <si>
    <t>EPM45</t>
  </si>
  <si>
    <t>ก***์ธีรา ป***อบกิจ</t>
  </si>
  <si>
    <t>02/01/2025 09:08</t>
  </si>
  <si>
    <t>THT32021DS4HQ5Z</t>
  </si>
  <si>
    <t>02/01/2025 09:10</t>
  </si>
  <si>
    <t>EPM44</t>
  </si>
  <si>
    <t>ว***า ต***มาก</t>
  </si>
  <si>
    <t>02/01/2025 09:05</t>
  </si>
  <si>
    <t>THT20111DT12Q6Z</t>
  </si>
  <si>
    <t>02/01/2025 09:06</t>
  </si>
  <si>
    <t>EPM42</t>
  </si>
  <si>
    <t>ม***เต๊าะ ด***็ง</t>
  </si>
  <si>
    <t>02/01/2025 09:04</t>
  </si>
  <si>
    <t>754270807662</t>
  </si>
  <si>
    <t>EPM40</t>
  </si>
  <si>
    <t>ค***ัญนรา  ซ***ตย์</t>
  </si>
  <si>
    <t>02/01/2025 09:02</t>
  </si>
  <si>
    <t>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</t>
  </si>
  <si>
    <t>754245773573</t>
  </si>
  <si>
    <t>EPM37</t>
  </si>
  <si>
    <t>อ***รา อ***าทิน</t>
  </si>
  <si>
    <t>02/01/2025 08:57</t>
  </si>
  <si>
    <t>754297104643</t>
  </si>
  <si>
    <t>EPM36</t>
  </si>
  <si>
    <t>ณัฐกานต์​ ศรีมันต</t>
  </si>
  <si>
    <t>13/13ม.3ต.สองสลึงอ.แกลง
แกลง/ Klaengระยอง/ Rayong
21110</t>
  </si>
  <si>
    <t>21110</t>
  </si>
  <si>
    <t>660640738474</t>
  </si>
  <si>
    <t>02/01/2025 08:56</t>
  </si>
  <si>
    <t>LEXPU0441109381</t>
  </si>
  <si>
    <t>EPM35</t>
  </si>
  <si>
    <t>ฐ***พร แ***นู</t>
  </si>
  <si>
    <t>754296838691</t>
  </si>
  <si>
    <t>EPM34</t>
  </si>
  <si>
    <t>02/01/2025 08:55</t>
  </si>
  <si>
    <t>THT24011DS8508Z</t>
  </si>
  <si>
    <t>EPM33</t>
  </si>
  <si>
    <t>สุวรรณี  ธนะนิเวศน์</t>
  </si>
  <si>
    <t>153/273ถนนประชาอุทิศ89/1 · ทุ่งครุ/ Thung Khru
ทุ่งครุ/ Thung Khruกรุงเทพมหานคร/ Bangkok
10140</t>
  </si>
  <si>
    <t>660865702067</t>
  </si>
  <si>
    <t>02/01/2025 08:54</t>
  </si>
  <si>
    <t>LEXPU0441078622</t>
  </si>
  <si>
    <t>EPM32</t>
  </si>
  <si>
    <t>ส***ี เ***ูล</t>
  </si>
  <si>
    <t>02/01/2025 08:53</t>
  </si>
  <si>
    <t>THT13131DS5TA3Z</t>
  </si>
  <si>
    <t>EPM31</t>
  </si>
  <si>
    <t>ภ******ย</t>
  </si>
  <si>
    <t>****** #บ้านทุ่งทอง ตำบลลาดบัวขาว อำเภอบ้านโป่ง จังหวัดราชบุรี 70110</t>
  </si>
  <si>
    <t>70110</t>
  </si>
  <si>
    <t>TH257587284910U</t>
  </si>
  <si>
    <t>02/01/2025 08:52</t>
  </si>
  <si>
    <t>EPM29</t>
  </si>
  <si>
    <t>02/01/2025 08:47</t>
  </si>
  <si>
    <t>LEXDO0123653550</t>
  </si>
  <si>
    <t>EPM27</t>
  </si>
  <si>
    <t>ย***น  เ***เพชร</t>
  </si>
  <si>
    <t>02/01/2025 08:44</t>
  </si>
  <si>
    <t>754272334631</t>
  </si>
  <si>
    <t>EPM25</t>
  </si>
  <si>
    <t>ส******)</t>
  </si>
  <si>
    <t>******นา, อำเภอศรีประจันต์ ตำบลปลายนา อำเภอศรีประจันต์ จังหวัดสุพรรณบุรี 72140</t>
  </si>
  <si>
    <t>02/01/2025 08:48</t>
  </si>
  <si>
    <t>TH252608856772C</t>
  </si>
  <si>
    <t>02/01/2025 08:42</t>
  </si>
  <si>
    <t>EPM21</t>
  </si>
  <si>
    <t>ภ***นันท์ อ***จิราพงศ์</t>
  </si>
  <si>
    <t>02/01/2025 08:33</t>
  </si>
  <si>
    <t>754231013620</t>
  </si>
  <si>
    <t>EPM19</t>
  </si>
  <si>
    <t>****** ต.ท้ายบ้านใหม่ ตำบลท้ายบ้านใหม่ อำเภอเมืองสมุทรปราการ จังหวัดสมุทรปราการ 10280</t>
  </si>
  <si>
    <t>02/01/2025 08:32</t>
  </si>
  <si>
    <t>TH2546289442873</t>
  </si>
  <si>
    <t>EPM18</t>
  </si>
  <si>
    <t>โ***มา   พ***จจติตร</t>
  </si>
  <si>
    <t>02/01/2025 08:29</t>
  </si>
  <si>
    <t>THT05021DSHN26Z</t>
  </si>
  <si>
    <t>EPM17</t>
  </si>
  <si>
    <t>น***ล้า เ***ศักดิ์</t>
  </si>
  <si>
    <t>02/01/2025 08:26</t>
  </si>
  <si>
    <t>754269006632</t>
  </si>
  <si>
    <t>EPM14</t>
  </si>
  <si>
    <t>จ***พร</t>
  </si>
  <si>
    <t>02/01/2025 08:21</t>
  </si>
  <si>
    <t>THT34011DRTEP5Z</t>
  </si>
  <si>
    <t>EPM13</t>
  </si>
  <si>
    <t>ร***ฟ้า ส***ำ</t>
  </si>
  <si>
    <t>02/01/2025 08:19</t>
  </si>
  <si>
    <t>754240424626</t>
  </si>
  <si>
    <t>EPM12</t>
  </si>
  <si>
    <t>อ******ก</t>
  </si>
  <si>
    <t>******งหันลมเขาค้อ หมู่7 ตำบลทุ่งสมอ อำเภอเขาค้อ จังหวัดเพชรบูรณ์ 67270</t>
  </si>
  <si>
    <t>67270</t>
  </si>
  <si>
    <t>TH251192070708P</t>
  </si>
  <si>
    <t>EPM11</t>
  </si>
  <si>
    <t>ค***พ้นท์</t>
  </si>
  <si>
    <t>02/01/2025 08:17</t>
  </si>
  <si>
    <t>THT62061DS6D27Z</t>
  </si>
  <si>
    <t>EPM10</t>
  </si>
  <si>
    <t>พ***าภรณ์ น***ผล</t>
  </si>
  <si>
    <t>02/01/2025 08:16</t>
  </si>
  <si>
    <t>THT19081DS71P7Z</t>
  </si>
  <si>
    <t>EPM8</t>
  </si>
  <si>
    <t>ค***สง -***</t>
  </si>
  <si>
    <t>Chiang Mai</t>
  </si>
  <si>
    <t>02/01/2025 08:15</t>
  </si>
  <si>
    <t>THT47131DS70K9Z</t>
  </si>
  <si>
    <t>EPM6</t>
  </si>
  <si>
    <t>น***ัฒน์  ท***ิกุล</t>
  </si>
  <si>
    <t>02/01/2025 08:12</t>
  </si>
  <si>
    <t>THT49021DSJ7E2Z</t>
  </si>
  <si>
    <t>EPM4</t>
  </si>
  <si>
    <t>ว******ว</t>
  </si>
  <si>
    <t>******ลนาเหรง อำเภอนบพิตำ จังหวัดนครศรีธรรมราช 80160</t>
  </si>
  <si>
    <t>02/01/2025 08:41</t>
  </si>
  <si>
    <t>TH250188715061X</t>
  </si>
  <si>
    <t>02/01/2025 08:11</t>
  </si>
  <si>
    <t>EPM3</t>
  </si>
  <si>
    <t>ม******ี</t>
  </si>
  <si>
    <t>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</t>
  </si>
  <si>
    <t>02/01/2025 08:10</t>
  </si>
  <si>
    <t>TH2566653194433</t>
  </si>
  <si>
    <t>EPM1</t>
  </si>
  <si>
    <t>******.โบสถ์ ตำบลโบสถ์ อำเภอพิมาย จังหวัดนครราชสีมา 30110</t>
  </si>
  <si>
    <t>30110</t>
  </si>
  <si>
    <t>02/01/2025 08:08</t>
  </si>
  <si>
    <t>TH259102398541A</t>
  </si>
  <si>
    <t>EPL97</t>
  </si>
  <si>
    <t>ว***สรร ส***ง</t>
  </si>
  <si>
    <t>02/01/2025 08:04</t>
  </si>
  <si>
    <t>THT01301DRWME7Z</t>
  </si>
  <si>
    <t>EPL96</t>
  </si>
  <si>
    <t>ภ***ล ป***มวงษ์</t>
  </si>
  <si>
    <t>02/01/2025 08:01</t>
  </si>
  <si>
    <t>754236005692</t>
  </si>
  <si>
    <t>EPL95</t>
  </si>
  <si>
    <t>ด***นก ต***พันธ์</t>
  </si>
  <si>
    <t>02/01/2025 08:00</t>
  </si>
  <si>
    <t>754244009691</t>
  </si>
  <si>
    <t>EPL94</t>
  </si>
  <si>
    <t>02/01/2025 07:59</t>
  </si>
  <si>
    <t>THT01231DS5FY8Z</t>
  </si>
  <si>
    <t>EPL92</t>
  </si>
  <si>
    <t>ก***า ท***ามดี</t>
  </si>
  <si>
    <t>02/01/2025 07:58</t>
  </si>
  <si>
    <t>THT05061DRTBJ3Z</t>
  </si>
  <si>
    <t>EPL91</t>
  </si>
  <si>
    <t>น**  ส***นทา  น***ศ</t>
  </si>
  <si>
    <t>754249128603</t>
  </si>
  <si>
    <t>02/01/2025 07:57</t>
  </si>
  <si>
    <t>EPL88</t>
  </si>
  <si>
    <t>พ***ิจ</t>
  </si>
  <si>
    <t>02/01/2025 07:52</t>
  </si>
  <si>
    <t>THT01431DS6EJ7Z</t>
  </si>
  <si>
    <t>ชิฟฟ่อนเล็ก+ใหญ่</t>
  </si>
  <si>
    <t>ชิฟฟ่อนรวมรส 2 กล่อง (กล่องเล็ก+กล่องใหญ่)</t>
  </si>
  <si>
    <t>EPL86</t>
  </si>
  <si>
    <t>น***าวพรกนก  ข***ทัศน์</t>
  </si>
  <si>
    <t>02/01/2025 07:51</t>
  </si>
  <si>
    <t>THT42011DS4KQ7Z</t>
  </si>
  <si>
    <t>EPL84</t>
  </si>
  <si>
    <t>พ***ินทร์ ก***จริญ</t>
  </si>
  <si>
    <t>754249321604</t>
  </si>
  <si>
    <t>02/01/2025 07:49</t>
  </si>
  <si>
    <t>EPL82</t>
  </si>
  <si>
    <t>ต*** ต***</t>
  </si>
  <si>
    <t>02/01/2025 07:44</t>
  </si>
  <si>
    <t>THT01211DS4MH1Z</t>
  </si>
  <si>
    <t>EPL80</t>
  </si>
  <si>
    <t>ส***ดา ส***บุญชู</t>
  </si>
  <si>
    <t>02/01/2025 07:33</t>
  </si>
  <si>
    <t>754288700675</t>
  </si>
  <si>
    <t>EPL79</t>
  </si>
  <si>
    <t>ด***จ ด***ิม</t>
  </si>
  <si>
    <t>02/01/2025 07:32</t>
  </si>
  <si>
    <t>754274033612</t>
  </si>
  <si>
    <t>EPL77</t>
  </si>
  <si>
    <t>ส*** ห***จันทร์</t>
  </si>
  <si>
    <t>02/01/2025 07:31</t>
  </si>
  <si>
    <t>754278027602</t>
  </si>
  <si>
    <t>EPL76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</si>
  <si>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</si>
  <si>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</si>
  <si>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</si>
  <si>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02/01/2025 07:30</t>
  </si>
  <si>
    <t>LEXPU0441088729</t>
  </si>
  <si>
    <t>EPL75</t>
  </si>
  <si>
    <t>โศรนี  นาทรัพย์.NAN.</t>
  </si>
  <si>
    <t>บึงไม้แก่น (ซอย 7)ท้ายซอยหลังบ้านสีเขียวสุดลาดยาง 536/1 ม.11 ต.หนองอิรุณ  อ.บ้านบึง   จ.ชลบุรี
บ้านบึง/ Ban Buengชลบุรี/ Chonburi
20220</t>
  </si>
  <si>
    <t>20220</t>
  </si>
  <si>
    <t>660820524193</t>
  </si>
  <si>
    <t>02/01/2025 07:29</t>
  </si>
  <si>
    <t>LEXPU0441071979</t>
  </si>
  <si>
    <t>EPL72</t>
  </si>
  <si>
    <t>02/01/2025 07:21</t>
  </si>
  <si>
    <t>THT01231DS3BQ7Z</t>
  </si>
  <si>
    <t>02/01/2025 07:23</t>
  </si>
  <si>
    <t>EPL71</t>
  </si>
  <si>
    <t>ข***ชนก  เ***ันฑ์</t>
  </si>
  <si>
    <t>02/01/2025 07:20</t>
  </si>
  <si>
    <t>THT58041DS4BZ3Z</t>
  </si>
  <si>
    <t>EPL68</t>
  </si>
  <si>
    <t>02/01/2025 07:17</t>
  </si>
  <si>
    <t>THT21011DS1FZ3Z</t>
  </si>
  <si>
    <t>EPL66</t>
  </si>
  <si>
    <t>ส******ณ</t>
  </si>
  <si>
    <t>******าชธานี 34000 ตำบลหนองบ่อ อำเภอเมืองอุบลราชธานี จังหวัดอุบลราชธานี 34000</t>
  </si>
  <si>
    <t>02/01/2025 06:48</t>
  </si>
  <si>
    <t>TH31016N6Z1T1G</t>
  </si>
  <si>
    <t>EPL64</t>
  </si>
  <si>
    <t>ศ***ุทธ  จ***พงษ์</t>
  </si>
  <si>
    <t>02/01/2025 06:41</t>
  </si>
  <si>
    <t>754289736340</t>
  </si>
  <si>
    <t>EPL63</t>
  </si>
  <si>
    <t>02/01/2025 06:32</t>
  </si>
  <si>
    <t>754283632373</t>
  </si>
  <si>
    <t>ชิฟฟ่อนมีไส้50ชิ้นคละรส</t>
  </si>
  <si>
    <t>EPL61</t>
  </si>
  <si>
    <t>******วลโกร, เลขที่ 78/1, หมู่ที่ 5 ตำบลบางสมัคร อำเภอบางปะกง จังหวัดฉะเชิงเทรา 24180</t>
  </si>
  <si>
    <t>24180</t>
  </si>
  <si>
    <t>02/01/2025 06:22</t>
  </si>
  <si>
    <t>TH256955344883S</t>
  </si>
  <si>
    <t>02/01/2025 06:21</t>
  </si>
  <si>
    <t>EPL60</t>
  </si>
  <si>
    <t>754293635373</t>
  </si>
  <si>
    <t>EPL59</t>
  </si>
  <si>
    <t>น** อ***มา  แ***ขาว</t>
  </si>
  <si>
    <t>02/01/2025 06:09</t>
  </si>
  <si>
    <t>THT68031DPEQJ8Z</t>
  </si>
  <si>
    <t>EPL57</t>
  </si>
  <si>
    <t>อ***ยา เ***สะและ</t>
  </si>
  <si>
    <t>02/01/2025 06:06</t>
  </si>
  <si>
    <t>754270939306</t>
  </si>
  <si>
    <t>EPL55</t>
  </si>
  <si>
    <t>ก***ินันท์ ช***ฒน์กุลภัค</t>
  </si>
  <si>
    <t>02/01/2025 05:51</t>
  </si>
  <si>
    <t>754220608341</t>
  </si>
  <si>
    <t>EPL54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</si>
  <si>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</si>
  <si>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</si>
  <si>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</si>
  <si>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02/01/2025 05:24</t>
  </si>
  <si>
    <t>LEXPU0440649370</t>
  </si>
  <si>
    <t>EPL53</t>
  </si>
  <si>
    <t>มัณฑนา วัชรินทร์รัตน์</t>
  </si>
  <si>
    <t>29 ถ.รถไฟอุทิศ ต.โนนสูง
โนนสูง/ Non Sungนครราชสีมา/ Nakhon Ratchasima
30160</t>
  </si>
  <si>
    <t>660967629555</t>
  </si>
  <si>
    <t>02/01/2025 05:16</t>
  </si>
  <si>
    <t>TH27106N68U20A</t>
  </si>
  <si>
    <t>02/01/2025 05:15</t>
  </si>
  <si>
    <t>EPL52</t>
  </si>
  <si>
    <t>02/01/2025 05:03</t>
  </si>
  <si>
    <t>TH27106N6A4Z9A</t>
  </si>
  <si>
    <t>02/01/2025 05:02</t>
  </si>
  <si>
    <t>EPL51</t>
  </si>
  <si>
    <t>พ***ก๋ บ***เคราฤาษี</t>
  </si>
  <si>
    <t>02/01/2025 04:52</t>
  </si>
  <si>
    <t>754249876203</t>
  </si>
  <si>
    <t>EPL50</t>
  </si>
  <si>
    <t>02/01/2025 04:42</t>
  </si>
  <si>
    <t>TH47196N6Z893B</t>
  </si>
  <si>
    <t>EPL48</t>
  </si>
  <si>
    <t>02/01/2025 04:39</t>
  </si>
  <si>
    <t>LEXPU0440643922</t>
  </si>
  <si>
    <t>EPL47</t>
  </si>
  <si>
    <t>ค******​</t>
  </si>
  <si>
    <t>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</t>
  </si>
  <si>
    <t>02/01/2025 04:26</t>
  </si>
  <si>
    <t>TH255912801473K</t>
  </si>
  <si>
    <t>EPL46</t>
  </si>
  <si>
    <t>TH259879711404N</t>
  </si>
  <si>
    <t>02/01/2025 04:09</t>
  </si>
  <si>
    <t>EPL45</t>
  </si>
  <si>
    <t>ศ***วรรณ แ***อู๋</t>
  </si>
  <si>
    <t>02/01/2025 03:31</t>
  </si>
  <si>
    <t>754276204345</t>
  </si>
  <si>
    <t>EPL44</t>
  </si>
  <si>
    <t>02/01/2025 03:57</t>
  </si>
  <si>
    <t>TH2526027806535</t>
  </si>
  <si>
    <t>02/01/2025 03:27</t>
  </si>
  <si>
    <t>EPL43</t>
  </si>
  <si>
    <t>02/01/2025 03:56</t>
  </si>
  <si>
    <t>TH259612076342U</t>
  </si>
  <si>
    <t>02/01/2025 03:26</t>
  </si>
  <si>
    <t>EPL42</t>
  </si>
  <si>
    <t>เ***า      น***ัด</t>
  </si>
  <si>
    <t>02/01/2025 03:13</t>
  </si>
  <si>
    <t>754256208300</t>
  </si>
  <si>
    <t>EPL41</t>
  </si>
  <si>
    <t>นางสาวโศรยา โสต้อง</t>
  </si>
  <si>
    <t>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
เมืองกระบี่/ Mueang Krabiกระบี่/ Krabi
81000</t>
  </si>
  <si>
    <t>81000</t>
  </si>
  <si>
    <t>660957649123</t>
  </si>
  <si>
    <t>02/01/2025 02:40</t>
  </si>
  <si>
    <t>LEXPU0440647638</t>
  </si>
  <si>
    <t>EPL40</t>
  </si>
  <si>
    <t>นางสาวลลิตา คุ้มไข่น้ำ</t>
  </si>
  <si>
    <t>ตลาดโนนสาทร ถนนสนามบิน ตำบลในเมือง อำเภอเมือง จังหวัดชัยภูมิ 36000
เมืองชัยภูมิ/ Mueang Chaiyaphumชัยภูมิ/ Chaiyaphum
36000</t>
  </si>
  <si>
    <t>660821737851</t>
  </si>
  <si>
    <t>02/01/2025 02:37</t>
  </si>
  <si>
    <t>LEXPU0440637941</t>
  </si>
  <si>
    <t>EPL39</t>
  </si>
  <si>
    <t>อารี ชัยประเสริฐสิทธิ</t>
  </si>
  <si>
    <t>607/295 ลุมพินี สุขุมวิท77 ถนนอ่อนนุช แขวงอ่อนนุช เขตสวนหลวง
สวนหลวง/ Suan Luangกรุงเทพมหานคร/ Bangkok
10250</t>
  </si>
  <si>
    <t>660837742823</t>
  </si>
  <si>
    <t>02/01/2025 02:23</t>
  </si>
  <si>
    <t>LEXDO0123547914</t>
  </si>
  <si>
    <t>EPL38</t>
  </si>
  <si>
    <t>ศ***วิมลรัตน์  อ***รงค์</t>
  </si>
  <si>
    <t>02/01/2025 02:01</t>
  </si>
  <si>
    <t>754249418300</t>
  </si>
  <si>
    <t>02/01/2025 02:10</t>
  </si>
  <si>
    <t>EPL37</t>
  </si>
  <si>
    <t>น***ี ข***กดี</t>
  </si>
  <si>
    <t>02/01/2025 02:09</t>
  </si>
  <si>
    <t>754235004305</t>
  </si>
  <si>
    <t>EPL36</t>
  </si>
  <si>
    <t>น***สน จ***ร์ดา</t>
  </si>
  <si>
    <t>02/01/2025 01:14</t>
  </si>
  <si>
    <t>754289732302</t>
  </si>
  <si>
    <t>02/01/2025 01:39</t>
  </si>
  <si>
    <t>EPL35</t>
  </si>
  <si>
    <t>น** โ*** โ***หญ่ น***นุ๊ก</t>
  </si>
  <si>
    <t>02/01/2025 01:37</t>
  </si>
  <si>
    <t>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</t>
  </si>
  <si>
    <t>754272437365</t>
  </si>
  <si>
    <t>EPL34</t>
  </si>
  <si>
    <t>แ***ไพริน บ***าน</t>
  </si>
  <si>
    <t>02/01/2025 01:38</t>
  </si>
  <si>
    <t>THT46011DPBQD2Z</t>
  </si>
  <si>
    <t>EPL33</t>
  </si>
  <si>
    <t>(******.</t>
  </si>
  <si>
    <t>******กษ์, อำเภอองครักษ์ ตำบลองครักษ์ อำเภอองครักษ์ จังหวัดนครนายก 26120</t>
  </si>
  <si>
    <t>26120</t>
  </si>
  <si>
    <t>02/01/2025 02:08</t>
  </si>
  <si>
    <t>TH2588279423427</t>
  </si>
  <si>
    <t>02/01/2025 01:18</t>
  </si>
  <si>
    <t>EPL32</t>
  </si>
  <si>
    <t>คุณ ปวีณา พรหมหิตาทร</t>
  </si>
  <si>
    <t>หมู่บ้านธีรายา2 บ้านเลขที่98/53 ม.1 ต.ตลิ่งงาม อ.เกาะสมุย จ.สุราษฎร์ธานี
เกาะสมุย/ Ko Samuiสุราษฎร์ธานี/ Surat Thani
84140</t>
  </si>
  <si>
    <t>84140</t>
  </si>
  <si>
    <t>660860291036</t>
  </si>
  <si>
    <t>02/01/2025 00:54</t>
  </si>
  <si>
    <t>TH68046N6GWN8C</t>
  </si>
  <si>
    <t>EPL30</t>
  </si>
  <si>
    <t>ล***น ว***าหาร</t>
  </si>
  <si>
    <t>02/01/2025 00:48</t>
  </si>
  <si>
    <t>754201014313</t>
  </si>
  <si>
    <t>EPL27</t>
  </si>
  <si>
    <t>น***ร ว***หิรัญ</t>
  </si>
  <si>
    <t>02/01/2025 00:32</t>
  </si>
  <si>
    <t>754212294220</t>
  </si>
  <si>
    <t>02/01/2025 00:37</t>
  </si>
  <si>
    <t>EPL26</t>
  </si>
  <si>
    <t>ว***พร เ***นนรากุล</t>
  </si>
  <si>
    <t>02/01/2025 00:31</t>
  </si>
  <si>
    <t>THT07041DP2J94Z</t>
  </si>
  <si>
    <t>02/01/2025 00:33</t>
  </si>
  <si>
    <t>EPL25</t>
  </si>
  <si>
    <t>ธ******ท</t>
  </si>
  <si>
    <t>******ยรามคำแหง 24/3 แขวงหัวหมาก เขตบางกะปิ จังหวัดกรุงเทพมหานคร 10240</t>
  </si>
  <si>
    <t>TH250285152407W</t>
  </si>
  <si>
    <t>EPL23</t>
  </si>
  <si>
    <t>w***aya</t>
  </si>
  <si>
    <t>02/01/2025 00:08</t>
  </si>
  <si>
    <t>754289659281</t>
  </si>
  <si>
    <t>02/01/2025 00:28</t>
  </si>
  <si>
    <t>EPL22</t>
  </si>
  <si>
    <t>อ***รัตน์ ศ***ำปา</t>
  </si>
  <si>
    <t>02/01/2025 00:13</t>
  </si>
  <si>
    <t>754273584256</t>
  </si>
  <si>
    <t>EPL21</t>
  </si>
  <si>
    <t>01/01/2025 23:59</t>
  </si>
  <si>
    <t>754203846325</t>
  </si>
  <si>
    <t>EPL20</t>
  </si>
  <si>
    <t>ร***านต์  ส***า</t>
  </si>
  <si>
    <t>01/01/2025 23:48</t>
  </si>
  <si>
    <t>754245258292</t>
  </si>
  <si>
    <t>EPL19</t>
  </si>
  <si>
    <t>อ***ตญา พ***ร</t>
  </si>
  <si>
    <t>01/01/2025 23:49</t>
  </si>
  <si>
    <t>754219995200</t>
  </si>
  <si>
    <t>EPL18</t>
  </si>
  <si>
    <t>พ***ตรา</t>
  </si>
  <si>
    <t>01/01/2025 23:47</t>
  </si>
  <si>
    <t>754272049344</t>
  </si>
  <si>
    <t>EPL17</t>
  </si>
  <si>
    <t>อ** อ***ิตา</t>
  </si>
  <si>
    <t>01/01/2025 23:45</t>
  </si>
  <si>
    <t>THT51041DNV6Y2Z</t>
  </si>
  <si>
    <t>EPL15</t>
  </si>
  <si>
    <t>01/01/2025 23:41</t>
  </si>
  <si>
    <t>754293444343</t>
  </si>
  <si>
    <t>EPL14</t>
  </si>
  <si>
    <t>ม***ดา</t>
  </si>
  <si>
    <t>754281443322</t>
  </si>
  <si>
    <t>EPL12</t>
  </si>
  <si>
    <t>บ** ต***มฆ</t>
  </si>
  <si>
    <t>01/01/2025 23:38</t>
  </si>
  <si>
    <t>754296935383</t>
  </si>
  <si>
    <t>EPL11</t>
  </si>
  <si>
    <t>ธ***ศรา ภ***ภักดี</t>
  </si>
  <si>
    <t>01/01/2025 23:35</t>
  </si>
  <si>
    <t>THT13031DNPR27Z</t>
  </si>
  <si>
    <t>01/01/2025 23:34</t>
  </si>
  <si>
    <t>EPL9</t>
  </si>
  <si>
    <t>น***ตน์ พ***รสกุล</t>
  </si>
  <si>
    <t>01/01/2025 23:19</t>
  </si>
  <si>
    <t>754214737371</t>
  </si>
  <si>
    <t>EPL8</t>
  </si>
  <si>
    <t>น** เ***อทิพย์ ห***ไธสงค์</t>
  </si>
  <si>
    <t>01/01/2025 23:18</t>
  </si>
  <si>
    <t>754238036355</t>
  </si>
  <si>
    <t>01/01/2025 23:15</t>
  </si>
  <si>
    <t>EPL7</t>
  </si>
  <si>
    <t>ฝ้าย</t>
  </si>
  <si>
    <t>1/16 ม.1 ซอยเข้าบ้านข้างสนามบอลUFO345คะ บ้านกระจกบานเลื่อนสีดำจ้า · บางตะไนย์/ Bang Tanai
ปากเกร็ด/ Pak Kretนนทบุรี/ Nonthaburi
11120</t>
  </si>
  <si>
    <t>660961419219</t>
  </si>
  <si>
    <t>01/01/2025 23:13</t>
  </si>
  <si>
    <t>LEXPU0440634717</t>
  </si>
  <si>
    <t>EPL6</t>
  </si>
  <si>
    <t>น***นาถ ห***น</t>
  </si>
  <si>
    <t>01/01/2025 23:12</t>
  </si>
  <si>
    <t>754289042334</t>
  </si>
  <si>
    <t>EPL5</t>
  </si>
  <si>
    <t>ว***ียร  แ***อม</t>
  </si>
  <si>
    <t>01/01/2025 23:08</t>
  </si>
  <si>
    <t>ขอเป็นเนยนม6/ช๊อคโกแลค6/นะค่ะ</t>
  </si>
  <si>
    <t>754266133364</t>
  </si>
  <si>
    <t>EPL4</t>
  </si>
  <si>
    <t>ป***อง เ***นพิมาย</t>
  </si>
  <si>
    <t>754257049350</t>
  </si>
  <si>
    <t>01/01/2025 23:06</t>
  </si>
  <si>
    <t>EPL3</t>
  </si>
  <si>
    <t>จ***ภรณ์  ม***ถียร</t>
  </si>
  <si>
    <t>01/01/2025 23:05</t>
  </si>
  <si>
    <t>754246328345</t>
  </si>
  <si>
    <t>EPL2</t>
  </si>
  <si>
    <t>ส***พ ต***ารฤทธิ์</t>
  </si>
  <si>
    <t>01/01/2025 22:43</t>
  </si>
  <si>
    <t>754200636350</t>
  </si>
  <si>
    <t>EPL0</t>
  </si>
  <si>
    <t>ส***ติคู่คิด</t>
  </si>
  <si>
    <t>01/01/2025 22:38</t>
  </si>
  <si>
    <t>754215536373</t>
  </si>
  <si>
    <t>EPK99</t>
  </si>
  <si>
    <t>01/01/2025 22:35</t>
  </si>
  <si>
    <t>754284245341</t>
  </si>
  <si>
    <t>EPK98</t>
  </si>
  <si>
    <t>ช*** ส***ฒตา อ***งค์</t>
  </si>
  <si>
    <t>01/01/2025 22:34</t>
  </si>
  <si>
    <t>754237471201</t>
  </si>
  <si>
    <t>EPK97</t>
  </si>
  <si>
    <t>อ***ลักษณ์ ใ***่อดี 1** ม** ต* น***ลง อ***อวด จ***รศรีธรรมราช 8*</t>
  </si>
  <si>
    <t>754260366252</t>
  </si>
  <si>
    <t>EPK96</t>
  </si>
  <si>
    <t>น******ม</t>
  </si>
  <si>
    <t>******ซอย 14 หมู่3 ตำบลบ้านใหม่ ตำบลบ้านใหม่ อำเภอเมืองปทุมธานี จังหวัดปทุมธานี 12000</t>
  </si>
  <si>
    <t>01/01/2025 22:27</t>
  </si>
  <si>
    <t>TH2542887940401</t>
  </si>
  <si>
    <t>EPK95</t>
  </si>
  <si>
    <t>พ** ห***</t>
  </si>
  <si>
    <t>01/01/2025 22:25</t>
  </si>
  <si>
    <t>754244534374</t>
  </si>
  <si>
    <t>EPK93</t>
  </si>
  <si>
    <t>ซ***์ ศ***ญญา</t>
  </si>
  <si>
    <t>01/01/2025 22:20</t>
  </si>
  <si>
    <t>754246239316</t>
  </si>
  <si>
    <t>EPK92</t>
  </si>
  <si>
    <t>ด******า</t>
  </si>
  <si>
    <t>******ซอยที่ 2 ตรงสุดเจอร้านแก๊ส แล้วเลี้ยวซ้าย ตรงไปบ้านรั้วสีน้ำเงิน ฝั่งซ้าย ตำบลบางพลีใหญ่ อำเภอบางพลี จังหวัดสมุทรปราการ 10540</t>
  </si>
  <si>
    <t>01/01/2025 22:19</t>
  </si>
  <si>
    <t>TH02036N762N6A2</t>
  </si>
  <si>
    <t>EPK91</t>
  </si>
  <si>
    <t>01/01/2025 22:03</t>
  </si>
  <si>
    <t>754283131372</t>
  </si>
  <si>
    <t>EPK90</t>
  </si>
  <si>
    <t>ส***ย์ แ***พชร</t>
  </si>
  <si>
    <t>01/01/2025 22:02</t>
  </si>
  <si>
    <t>754257238313</t>
  </si>
  <si>
    <t>EPK89</t>
  </si>
  <si>
    <t>ส***ตรี เ***ราม</t>
  </si>
  <si>
    <t>01/01/2025 22:01</t>
  </si>
  <si>
    <t>THT32041DPBCC2Z</t>
  </si>
  <si>
    <t>EPK88</t>
  </si>
  <si>
    <t>เ*** ส***า</t>
  </si>
  <si>
    <t>01/01/2025 22:00</t>
  </si>
  <si>
    <t>754293640343</t>
  </si>
  <si>
    <t>EPK87</t>
  </si>
  <si>
    <t>01/01/2025 21:56</t>
  </si>
  <si>
    <t>754242440335</t>
  </si>
  <si>
    <t>EPK86</t>
  </si>
  <si>
    <t>น** อ***ริยา   จ***ร์ทองมล</t>
  </si>
  <si>
    <t>01/01/2025 21:51</t>
  </si>
  <si>
    <t>754298644341</t>
  </si>
  <si>
    <t>EPK85</t>
  </si>
  <si>
    <t>อ***า</t>
  </si>
  <si>
    <t>01/01/2025 21:48</t>
  </si>
  <si>
    <t>754285337341</t>
  </si>
  <si>
    <t>EPK84</t>
  </si>
  <si>
    <t>อ***รัตน์   พ***สวัสดิ์</t>
  </si>
  <si>
    <t>01/01/2025 21:41</t>
  </si>
  <si>
    <t>754263432311</t>
  </si>
  <si>
    <t>EPK83</t>
  </si>
  <si>
    <t>754222183245</t>
  </si>
  <si>
    <t>EPK82</t>
  </si>
  <si>
    <t>ว***นา  น***ี</t>
  </si>
  <si>
    <t>754283044340</t>
  </si>
  <si>
    <t>EPK80</t>
  </si>
  <si>
    <t>ณ****ล</t>
  </si>
  <si>
    <t>******บลบึงคอไห อำเภอลำลูกกา จังหวัดปทุมธานี 12150</t>
  </si>
  <si>
    <t>01/01/2025 21:39</t>
  </si>
  <si>
    <t>TH2592119873387</t>
  </si>
  <si>
    <t>01/01/2025 21:38</t>
  </si>
  <si>
    <t>EPK78</t>
  </si>
  <si>
    <t>01/01/2025 21:35</t>
  </si>
  <si>
    <t>754253932375</t>
  </si>
  <si>
    <t>EPK77</t>
  </si>
  <si>
    <t>d***da5n4plu</t>
  </si>
  <si>
    <t>01/01/2025 21:34</t>
  </si>
  <si>
    <t>754261937376</t>
  </si>
  <si>
    <t>EPK75</t>
  </si>
  <si>
    <t>น***ระทุม  แ***ปานกัน</t>
  </si>
  <si>
    <t>01/01/2025 21:24</t>
  </si>
  <si>
    <t>THT14041DPC556Z</t>
  </si>
  <si>
    <t>01/01/2025 21:26</t>
  </si>
  <si>
    <t>EPK74</t>
  </si>
  <si>
    <t>ส******ศ</t>
  </si>
  <si>
    <t>******ำบลบางซ้าย อำเภอบางซ้าย จังหวัดพระนครศรีอยุธยา 13270</t>
  </si>
  <si>
    <t>13270</t>
  </si>
  <si>
    <t>01/01/2025 21:54</t>
  </si>
  <si>
    <t>TH05136N76GD5A</t>
  </si>
  <si>
    <t>EPK72</t>
  </si>
  <si>
    <t>ส***รณา  โ***อง</t>
  </si>
  <si>
    <t>01/01/2025 21:21</t>
  </si>
  <si>
    <t>754292927345</t>
  </si>
  <si>
    <t>EPK71</t>
  </si>
  <si>
    <t>น***าวขนิษฐา  ค***ยม</t>
  </si>
  <si>
    <t>01/01/2025 21:18</t>
  </si>
  <si>
    <t>754266892201</t>
  </si>
  <si>
    <t>01/01/2025 21:25</t>
  </si>
  <si>
    <t>EPK70</t>
  </si>
  <si>
    <t>ร******ย</t>
  </si>
  <si>
    <t>****** อำเภอเมืองสมุทรสงคราม ตำบลท้ายหาด อำเภอเมืองสมุทรสงคราม จังหวัดสมุทรสงคราม 75000</t>
  </si>
  <si>
    <t>75000</t>
  </si>
  <si>
    <t>TH250197873145N</t>
  </si>
  <si>
    <t>EPK68</t>
  </si>
  <si>
    <t>น***าวสุพัชรี โ***ัมย์</t>
  </si>
  <si>
    <t>จังหวัดบุรีรัมย์</t>
  </si>
  <si>
    <t>01/01/2025 21:14</t>
  </si>
  <si>
    <t>THT28111DNU8W2Z</t>
  </si>
  <si>
    <t>EPK67</t>
  </si>
  <si>
    <t>เ***นเพ็ ช***ิริ</t>
  </si>
  <si>
    <t>01/01/2025 21:06</t>
  </si>
  <si>
    <t>THT36011DNZRB5Z</t>
  </si>
  <si>
    <t>01/01/2025 21:19</t>
  </si>
  <si>
    <t>EPK66</t>
  </si>
  <si>
    <t>ค***ุฑามาศ  พ***ดา</t>
  </si>
  <si>
    <t>01/01/2025 21:08</t>
  </si>
  <si>
    <t>754271835354</t>
  </si>
  <si>
    <t>01/01/2025 21:17</t>
  </si>
  <si>
    <t>EPK65</t>
  </si>
  <si>
    <t>ป***แก้ว</t>
  </si>
  <si>
    <t>01/01/2025 21:12</t>
  </si>
  <si>
    <t>รบกวนไม่ระบุชื่อสินค้าหน้าพัสดุนะคะ ของขวัญให้ญาติผู้ใหญ่ 3 กล่องขอไม่ซ้ำรสนะคะ🙏</t>
  </si>
  <si>
    <t>754280652226</t>
  </si>
  <si>
    <t>EPK64</t>
  </si>
  <si>
    <t>ล***า พ***ากร</t>
  </si>
  <si>
    <t>01/01/2025 21:13</t>
  </si>
  <si>
    <t>754252337381</t>
  </si>
  <si>
    <t>EPK63</t>
  </si>
  <si>
    <t>เ***ุณี ค***สนีย์</t>
  </si>
  <si>
    <t>754277697246</t>
  </si>
  <si>
    <t>EPK61</t>
  </si>
  <si>
    <t>ค***้ำทิพย์ ช***ุวรรณ์</t>
  </si>
  <si>
    <t>01/01/2025 20:58</t>
  </si>
  <si>
    <t>754233339366</t>
  </si>
  <si>
    <t>EPK59</t>
  </si>
  <si>
    <t>ม***ย</t>
  </si>
  <si>
    <t>01/01/2025 20:56</t>
  </si>
  <si>
    <t>754218674215</t>
  </si>
  <si>
    <t>EPK58</t>
  </si>
  <si>
    <t>ป******ว</t>
  </si>
  <si>
    <t>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</t>
  </si>
  <si>
    <t>TH01166N7SHG0B0</t>
  </si>
  <si>
    <t>01/01/2025 20:55</t>
  </si>
  <si>
    <t>EPK57</t>
  </si>
  <si>
    <t>01/01/2025 20:53</t>
  </si>
  <si>
    <t>754237734364</t>
  </si>
  <si>
    <t>EPK56</t>
  </si>
  <si>
    <t>ส***นท์  แ***ทรัพย์</t>
  </si>
  <si>
    <t>01/01/2025 20:52</t>
  </si>
  <si>
    <t>754229446342</t>
  </si>
  <si>
    <t>EPK55</t>
  </si>
  <si>
    <t>01/01/2025 20:51</t>
  </si>
  <si>
    <t>LEXPU0440633703</t>
  </si>
  <si>
    <t>EPK54</t>
  </si>
  <si>
    <t>ม*** ร***ถิตย์</t>
  </si>
  <si>
    <t>01/01/2025 20:48</t>
  </si>
  <si>
    <t>THT15051DPF1A6Z</t>
  </si>
  <si>
    <t>EPK53</t>
  </si>
  <si>
    <t>ร***รรณ   เ***ตระกูล</t>
  </si>
  <si>
    <t>01/01/2025 20:46</t>
  </si>
  <si>
    <t>754207843314</t>
  </si>
  <si>
    <t>EPK49</t>
  </si>
  <si>
    <t>จ*** เ***พรม</t>
  </si>
  <si>
    <t>01/01/2025 20:38</t>
  </si>
  <si>
    <t>754298339351</t>
  </si>
  <si>
    <t>EPK48</t>
  </si>
  <si>
    <t>แ** อ***รัตน์</t>
  </si>
  <si>
    <t>01/01/2025 20:33</t>
  </si>
  <si>
    <t>THT26051DP1G11Z</t>
  </si>
  <si>
    <t>EPK46</t>
  </si>
  <si>
    <t>เ***ห์ จ***</t>
  </si>
  <si>
    <t>01/01/2025 20:31</t>
  </si>
  <si>
    <t>754276137344</t>
  </si>
  <si>
    <t>EPK45</t>
  </si>
  <si>
    <t>น***าพงษ์คเชนทร์</t>
  </si>
  <si>
    <t>01/01/2025 20:29</t>
  </si>
  <si>
    <t>754263232354</t>
  </si>
  <si>
    <t>EPK44</t>
  </si>
  <si>
    <t>01/01/2025 20:27</t>
  </si>
  <si>
    <t>754250641325</t>
  </si>
  <si>
    <t>EPK43</t>
  </si>
  <si>
    <t>01/01/2025 20:26</t>
  </si>
  <si>
    <t>754238390242</t>
  </si>
  <si>
    <t>01/01/2025 20:25</t>
  </si>
  <si>
    <t>EPK42</t>
  </si>
  <si>
    <t>อ***ิมา เ***ยนชัยภูมิ</t>
  </si>
  <si>
    <t>THT28141DP3ZS3Z</t>
  </si>
  <si>
    <t>EPK41</t>
  </si>
  <si>
    <t>ก***ลิดา เ***รัศมี</t>
  </si>
  <si>
    <t>01/01/2025 20:23</t>
  </si>
  <si>
    <t>THT04031DP1JF0Z</t>
  </si>
  <si>
    <t>EPK40</t>
  </si>
  <si>
    <t>ณ******ย</t>
  </si>
  <si>
    <t>****** ตำบลบ้านฆ้อง อำเภอโพธาราม จังหวัดราชบุรี 70120</t>
  </si>
  <si>
    <t>01/01/2025 20:22</t>
  </si>
  <si>
    <t>TH258978982524O</t>
  </si>
  <si>
    <t>EPK39</t>
  </si>
  <si>
    <t>ก******า</t>
  </si>
  <si>
    <t>******สามห่วง มีตู้น้ำเขียวหน้าบ้าน) ตำบลบางปูใหม่ อำเภอเมืองสมุทรปราการ จังหวัดสมุทรปราการ 10280</t>
  </si>
  <si>
    <t>TH02016N76AY2E1</t>
  </si>
  <si>
    <t>01/01/2025 20:19</t>
  </si>
  <si>
    <t>EPK37</t>
  </si>
  <si>
    <t>น***ศศิธร ว***ำ</t>
  </si>
  <si>
    <t>01/01/2025 20:15</t>
  </si>
  <si>
    <t>THT05111DNPH49Z</t>
  </si>
  <si>
    <t>EPK36</t>
  </si>
  <si>
    <t>01/01/2025 20:14</t>
  </si>
  <si>
    <t>754241753230</t>
  </si>
  <si>
    <t>EPK34</t>
  </si>
  <si>
    <t>อ******่</t>
  </si>
  <si>
    <t>******จ.สุพรรณบุรี ตำบลดอนคา อำเภออู่ทอง จังหวัดสุพรรณบุรี 72160</t>
  </si>
  <si>
    <t>01/01/2025 20:35</t>
  </si>
  <si>
    <t>TH2560563123547</t>
  </si>
  <si>
    <t>01/01/2025 20:07</t>
  </si>
  <si>
    <t>EPK32</t>
  </si>
  <si>
    <t>พ***ัยห์ ร***มณี</t>
  </si>
  <si>
    <t>01/01/2025 20:05</t>
  </si>
  <si>
    <t>THT01051DPFCH6Z</t>
  </si>
  <si>
    <t>EPK31</t>
  </si>
  <si>
    <t>TH256870939533C</t>
  </si>
  <si>
    <t>01/01/2025 20:01</t>
  </si>
  <si>
    <t>EPK30</t>
  </si>
  <si>
    <t>เ***ศินี ท***กษร</t>
  </si>
  <si>
    <t>01/01/2025 20:00</t>
  </si>
  <si>
    <t>754295035351</t>
  </si>
  <si>
    <t>EPK28</t>
  </si>
  <si>
    <t>01/01/2025 19:56</t>
  </si>
  <si>
    <t>754241096291</t>
  </si>
  <si>
    <t>01/01/2025 19:57</t>
  </si>
  <si>
    <t>EPK27</t>
  </si>
  <si>
    <t>บ***ร.สลับศรี</t>
  </si>
  <si>
    <t>THT01491DNRQ89Z</t>
  </si>
  <si>
    <t>EPK26</t>
  </si>
  <si>
    <t>ต***ร อ***ดี</t>
  </si>
  <si>
    <t>01/01/2025 19:53</t>
  </si>
  <si>
    <t>THT14021DPF4Y4Z</t>
  </si>
  <si>
    <t>EPK25</t>
  </si>
  <si>
    <t>พ***อน</t>
  </si>
  <si>
    <t>01/01/2025 19:52</t>
  </si>
  <si>
    <t>754216687291</t>
  </si>
  <si>
    <t>EPK24</t>
  </si>
  <si>
    <t>น***พิ่ม บ***้วม</t>
  </si>
  <si>
    <t>01/01/2025 19:50</t>
  </si>
  <si>
    <t>754275985223</t>
  </si>
  <si>
    <t>01/01/2025 19:51</t>
  </si>
  <si>
    <t>EPK23</t>
  </si>
  <si>
    <t>อ***จ ส***ศน์</t>
  </si>
  <si>
    <t>THT48061DPFEA0Z</t>
  </si>
  <si>
    <t>EPK22</t>
  </si>
  <si>
    <t>ส***ยา      ด***ำพา</t>
  </si>
  <si>
    <t>01/01/2025 19:48</t>
  </si>
  <si>
    <t>754256629394</t>
  </si>
  <si>
    <t>EPK21</t>
  </si>
  <si>
    <t>ร***ต.สถิต อ***ิ</t>
  </si>
  <si>
    <t>01/01/2025 19:45</t>
  </si>
  <si>
    <t>THT28071DPF3B4Z</t>
  </si>
  <si>
    <t>EPK20</t>
  </si>
  <si>
    <t>จ*****า</t>
  </si>
  <si>
    <t>******ำไทร ตำบลลำไทร อำเภอวังน้อย จังหวัดพระนครศรีอยุธยา 13170</t>
  </si>
  <si>
    <t>TH05116N7FHH6D</t>
  </si>
  <si>
    <t>01/01/2025 19:44</t>
  </si>
  <si>
    <t>EPK18</t>
  </si>
  <si>
    <t>นาง เกษร บุญกุศล</t>
  </si>
  <si>
    <t>76 หมุ่1 บ้านขั้นไดใหญ่  ตำบล ขั้นไดใหญ่ อ.เมือง จ.ยโสธร
เมืองยโสธร/ Mueang Yasothonยโสธร/ Yasothon
35000</t>
  </si>
  <si>
    <t>660807392472</t>
  </si>
  <si>
    <t>01/01/2025 19:42</t>
  </si>
  <si>
    <t>TH32016N6DDX2H</t>
  </si>
  <si>
    <t>EPK16</t>
  </si>
  <si>
    <t>01/01/2025 19:35</t>
  </si>
  <si>
    <t>754261835386</t>
  </si>
  <si>
    <t>EPK15</t>
  </si>
  <si>
    <t>สุกัญญา สอนสำแดง</t>
  </si>
  <si>
    <t>167หมู่7 · ห้วยแถลง/ Huai Thalaeng
ห้วยแถลง/ Huai Thalaengนครราชสีมา/ Nakhon Ratchasima
30240</t>
  </si>
  <si>
    <t>660857486659</t>
  </si>
  <si>
    <t>01/01/2025 19:34</t>
  </si>
  <si>
    <t>TH27166N6BPR2A</t>
  </si>
  <si>
    <t>EPK14</t>
  </si>
  <si>
    <t>ห***ี เ***อชัย</t>
  </si>
  <si>
    <t>01/01/2025 19:30</t>
  </si>
  <si>
    <t>754229936386</t>
  </si>
  <si>
    <t>01/01/2025 19:31</t>
  </si>
  <si>
    <t>EPK12</t>
  </si>
  <si>
    <t>ช***์นันท์ พ***วัสดิ์</t>
  </si>
  <si>
    <t>01/01/2025 19:28</t>
  </si>
  <si>
    <t>754202834383</t>
  </si>
  <si>
    <t>EPK11</t>
  </si>
  <si>
    <t>ส***ชัย ศ***ระโคน</t>
  </si>
  <si>
    <t>754213589264</t>
  </si>
  <si>
    <t>EPK10</t>
  </si>
  <si>
    <t>******ี, ตำบลกะหรอ, อำเภอนบพิตำ ตำบลกะหรอ อำเภอนบพิตำ จังหวัดนครศรีธรรมราช 80160</t>
  </si>
  <si>
    <t>01/01/2025 19:27</t>
  </si>
  <si>
    <t>TH252710147146Z</t>
  </si>
  <si>
    <t>01/01/2025 19:26</t>
  </si>
  <si>
    <t>EPK9</t>
  </si>
  <si>
    <t>ภ***ร ม***ิบูรณ์</t>
  </si>
  <si>
    <t>01/01/2025 19:24</t>
  </si>
  <si>
    <t>THT16011DNQ1Z1Z</t>
  </si>
  <si>
    <t>01/01/2025 19:25</t>
  </si>
  <si>
    <t>EPK8</t>
  </si>
  <si>
    <t>จ***ิรา  ด***รี</t>
  </si>
  <si>
    <t>01/01/2025 19:22</t>
  </si>
  <si>
    <t>754205389254</t>
  </si>
  <si>
    <t>EPK7</t>
  </si>
  <si>
    <t>อ***มา  ซ***น</t>
  </si>
  <si>
    <t>01/01/2025 19:21</t>
  </si>
  <si>
    <t>754231385261</t>
  </si>
  <si>
    <t>EPK6</t>
  </si>
  <si>
    <t>ร***พร แ***ันทร์</t>
  </si>
  <si>
    <t>THT71111DP5E67Z</t>
  </si>
  <si>
    <t>01/01/2025 19:20</t>
  </si>
  <si>
    <t>EPK3</t>
  </si>
  <si>
    <t>กันตณา กุดกันยา</t>
  </si>
  <si>
    <t>60หมู่17 บ้านโพธิ์ทอง-หมากมาย ตำบลหนองเหล็ก · หนองเหล็ก/ Nong Lek
โกสุมพิสัย/ Kosum Phisaiมหาสารคาม/ Maha Sarakham
44140</t>
  </si>
  <si>
    <t>44140</t>
  </si>
  <si>
    <t>660652461961</t>
  </si>
  <si>
    <t>01/01/2025 19:16</t>
  </si>
  <si>
    <t>TH41036N6KG22G</t>
  </si>
  <si>
    <t>EPK2</t>
  </si>
  <si>
    <t>ล***ียน ศ***ิลัย</t>
  </si>
  <si>
    <t>754266109343</t>
  </si>
  <si>
    <t>EPK1</t>
  </si>
  <si>
    <t>01/01/2025 19:14</t>
  </si>
  <si>
    <t>THT04041DPGGW2Z</t>
  </si>
  <si>
    <t>EPK0</t>
  </si>
  <si>
    <t xml:space="preserve">เ***์ส </t>
  </si>
  <si>
    <t>01/01/2025 19:13</t>
  </si>
  <si>
    <t>THT02061DP2T11Z</t>
  </si>
  <si>
    <t>EPJ99</t>
  </si>
  <si>
    <t>อ***า ส***พงศ์</t>
  </si>
  <si>
    <t>01/01/2025 19:12</t>
  </si>
  <si>
    <t>754240322356</t>
  </si>
  <si>
    <t>EPJ98</t>
  </si>
  <si>
    <t>02/01/2025 05:57</t>
  </si>
  <si>
    <t>THT04021DNZT71Z</t>
  </si>
  <si>
    <t>01/01/2025 19:11</t>
  </si>
  <si>
    <t>EPJ97</t>
  </si>
  <si>
    <t>01/01/2025 19:09</t>
  </si>
  <si>
    <t>754219410313</t>
  </si>
  <si>
    <t>EPJ96</t>
  </si>
  <si>
    <t>ส******ร</t>
  </si>
  <si>
    <t>****** ตำบลไทรใหญ่ อำเภอไทรน้อย จังหวัดนนทบุรี 11150</t>
  </si>
  <si>
    <t>01/01/2025 19:08</t>
  </si>
  <si>
    <t>TH03056N6V7M8D</t>
  </si>
  <si>
    <t>EPJ95</t>
  </si>
  <si>
    <t>จ***ณี</t>
  </si>
  <si>
    <t>754257298211</t>
  </si>
  <si>
    <t>EPJ94</t>
  </si>
  <si>
    <t>ส***ดา ค***อน</t>
  </si>
  <si>
    <t>01/01/2025 19:05</t>
  </si>
  <si>
    <t>THT61011DPBTT0Z</t>
  </si>
  <si>
    <t>EPJ93</t>
  </si>
  <si>
    <t>เ***อวัลย์ บ***รือง</t>
  </si>
  <si>
    <t>01/01/2025 19:03</t>
  </si>
  <si>
    <t>754239107366</t>
  </si>
  <si>
    <t>EPJ92</t>
  </si>
  <si>
    <t>N***hip B***phun</t>
  </si>
  <si>
    <t>01/01/2025 18:57</t>
  </si>
  <si>
    <t>754238601303</t>
  </si>
  <si>
    <t>EPJ91</t>
  </si>
  <si>
    <t>บ***ร ข***ทอง</t>
  </si>
  <si>
    <t>754230782222</t>
  </si>
  <si>
    <t>EPJ90</t>
  </si>
  <si>
    <t>******หมู่บ้าน บ้านท่าขอนยาง, ตำบลท่าขอนยาง, อำเภอกันทรวิชัย ตำบลท่าขอนยาง อำเภอกันทรวิชัย จังหวัดมหาสารคาม 44150</t>
  </si>
  <si>
    <t>TH258841135717X</t>
  </si>
  <si>
    <t>EPJ88</t>
  </si>
  <si>
    <t>จ***รัตน์ พ***เพ็ง</t>
  </si>
  <si>
    <t>01/01/2025 18:52</t>
  </si>
  <si>
    <t>754264879211</t>
  </si>
  <si>
    <t>01/01/2025 18:53</t>
  </si>
  <si>
    <t>EPJ87</t>
  </si>
  <si>
    <t>ก*** ไ***ารัตน์</t>
  </si>
  <si>
    <t>01/01/2025 18:51</t>
  </si>
  <si>
    <t>754237858253</t>
  </si>
  <si>
    <t>EPJ86</t>
  </si>
  <si>
    <t>ส***ชญา ป***จ</t>
  </si>
  <si>
    <t>01/01/2025 18:50</t>
  </si>
  <si>
    <t>754285953293</t>
  </si>
  <si>
    <t>EPJ85</t>
  </si>
  <si>
    <t>ท***ีย์ จ***ร์ดวงศรี</t>
  </si>
  <si>
    <t>754276104304</t>
  </si>
  <si>
    <t>01/01/2025 18:49</t>
  </si>
  <si>
    <t>EPJ84</t>
  </si>
  <si>
    <t>ร***ฤดี ด***สุวรรณ</t>
  </si>
  <si>
    <t>01/01/2025 18:46</t>
  </si>
  <si>
    <t>754253909371</t>
  </si>
  <si>
    <t>EPJ83</t>
  </si>
  <si>
    <t>****** ตำบลไร่ขิง อำเภอสามพราน จังหวัดนครปฐม 73210</t>
  </si>
  <si>
    <t>73210</t>
  </si>
  <si>
    <t>01/01/2025 18:45</t>
  </si>
  <si>
    <t>TH15066N86584H</t>
  </si>
  <si>
    <t>EPJ81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</si>
  <si>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</si>
  <si>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</si>
  <si>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</si>
  <si>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01/01/2025 18:42</t>
  </si>
  <si>
    <t>LEXPU0440658932</t>
  </si>
  <si>
    <t>EPJ80</t>
  </si>
  <si>
    <t>ธ*** เ***สินธุ์</t>
  </si>
  <si>
    <t>01/01/2025 18:41</t>
  </si>
  <si>
    <t>754229489274</t>
  </si>
  <si>
    <t>EPJ76</t>
  </si>
  <si>
    <t>อ***ยา  ภ***ิลป์</t>
  </si>
  <si>
    <t>01/01/2025 18:30</t>
  </si>
  <si>
    <t>754221293280</t>
  </si>
  <si>
    <t>EPJ75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</si>
  <si>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</si>
  <si>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</si>
  <si>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</si>
  <si>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LEXPU0440627337</t>
  </si>
  <si>
    <t>EPJ72</t>
  </si>
  <si>
    <t>ว***พงษ์ ข***ิฉัตร</t>
  </si>
  <si>
    <t>01/01/2025 18:24</t>
  </si>
  <si>
    <t>THT05141DPFG88Z</t>
  </si>
  <si>
    <t>EPJ70</t>
  </si>
  <si>
    <t>ส***ฒ  ศ***สุข</t>
  </si>
  <si>
    <t>01/01/2025 18:23</t>
  </si>
  <si>
    <t>THT29051DP9UF4Z</t>
  </si>
  <si>
    <t>EPJ69</t>
  </si>
  <si>
    <t>01/01/2025 18:22</t>
  </si>
  <si>
    <t>THT05141DP5597Z</t>
  </si>
  <si>
    <t>EPJ67</t>
  </si>
  <si>
    <t>******ขต คันนายาว กรุงเทพฯ10230 แขวงคันนายาว เขตคันนายาว จังหวัดกรุงเทพมหานคร 10230</t>
  </si>
  <si>
    <t>01/01/2025 18:20</t>
  </si>
  <si>
    <t>TH251439878684D</t>
  </si>
  <si>
    <t>EPJ66</t>
  </si>
  <si>
    <t>ห******ิ</t>
  </si>
  <si>
    <t>******านส้อง อำเภอเวียงสระ จังหวัดสุราษฎร์ธานี 84190</t>
  </si>
  <si>
    <t>TH2525115043883</t>
  </si>
  <si>
    <t>EPJ65</t>
  </si>
  <si>
    <t>ม*** ศ***า</t>
  </si>
  <si>
    <t>754276031386</t>
  </si>
  <si>
    <t>01/01/2025 18:19</t>
  </si>
  <si>
    <t>EPJ64</t>
  </si>
  <si>
    <t>******ำบลสามโก้ อำเภอสามโก้ จังหวัดอ่างทอง 14160</t>
  </si>
  <si>
    <t>14160</t>
  </si>
  <si>
    <t>TH06076N83JS9A</t>
  </si>
  <si>
    <t>EPJ63</t>
  </si>
  <si>
    <t>อ***รา ส***ิ์สูงเนิน</t>
  </si>
  <si>
    <t>01/01/2025 18:18</t>
  </si>
  <si>
    <t>754229403373</t>
  </si>
  <si>
    <t>EPJ62</t>
  </si>
  <si>
    <t>ณภาภัช จีนกระจัน</t>
  </si>
  <si>
    <t>บ้านเหียงงาม 199 ม.9 · หนองประดู่/ Nong Pradu
เลาขวัญ/ Lao Khwanกาญจนบุรี/ Kanchanaburi
71210</t>
  </si>
  <si>
    <t>71210</t>
  </si>
  <si>
    <t>660934695624</t>
  </si>
  <si>
    <t>TH13096N67N81D</t>
  </si>
  <si>
    <t>01/01/2025 18:17</t>
  </si>
  <si>
    <t>EPJ60</t>
  </si>
  <si>
    <t>ส***ง พ***ช</t>
  </si>
  <si>
    <t>01/01/2025 18:15</t>
  </si>
  <si>
    <t>754200724340</t>
  </si>
  <si>
    <t>EPJ59</t>
  </si>
  <si>
    <t>ส***ลี เ***ญผล</t>
  </si>
  <si>
    <t>754270588201</t>
  </si>
  <si>
    <t>EPJ58</t>
  </si>
  <si>
    <t>ส***ค์ น***ะอ</t>
  </si>
  <si>
    <t>01/01/2025 18:13</t>
  </si>
  <si>
    <t>754209303304</t>
  </si>
  <si>
    <t>EPJ57</t>
  </si>
  <si>
    <t>น***าว์ ข***์ทอง</t>
  </si>
  <si>
    <t>01/01/2025 18:11</t>
  </si>
  <si>
    <t>754222804381</t>
  </si>
  <si>
    <t>EPJ56</t>
  </si>
  <si>
    <t>อ******ย</t>
  </si>
  <si>
    <t>******น์, ถนน บางกรวย-ไทรน้อย, บางบัวทอง, อำเภอบางบัวทอง ตำบลบางบัวทอง อำเภอบางบัวทอง จังหวัดนนทบุรี 11110</t>
  </si>
  <si>
    <t>01/01/2025 18:10</t>
  </si>
  <si>
    <t>TH255988213536W</t>
  </si>
  <si>
    <t>EPJ55</t>
  </si>
  <si>
    <t>ส*** ไ***คูลเลอร์</t>
  </si>
  <si>
    <t>01/01/2025 18:08</t>
  </si>
  <si>
    <t>THT27101DP4KP7Z</t>
  </si>
  <si>
    <t>01/01/2025 18:09</t>
  </si>
  <si>
    <t>EPJ54</t>
  </si>
  <si>
    <t>ส******ว</t>
  </si>
  <si>
    <t>******ย์อนันต์ซิตี้, ตำบล บ้านสวน, อำเภอเมืองชลบุรี ตำบลบ้านสวน อำเภอเมืองชลบุรี จังหวัดชลบุรี 20000</t>
  </si>
  <si>
    <t>01/01/2025 18:39</t>
  </si>
  <si>
    <t>TH2535534997743</t>
  </si>
  <si>
    <t>EPJ53</t>
  </si>
  <si>
    <t>พรรณมัย พวงเงิน</t>
  </si>
  <si>
    <t>32 ซ.นาวงประชาพัฒนา 2  ถ.นาวงประชาพัฒนา
ดอนเมือง/ Don Mueangกรุงเทพมหานคร/ Bangkok
10210</t>
  </si>
  <si>
    <t>660890711415</t>
  </si>
  <si>
    <t>LEXPU0440633048</t>
  </si>
  <si>
    <t>EPJ52</t>
  </si>
  <si>
    <t>น***ิตติศักดิ์  เ***จันทร์</t>
  </si>
  <si>
    <t>01/01/2025 18:06</t>
  </si>
  <si>
    <t>754231200380</t>
  </si>
  <si>
    <t>01/01/2025 18:07</t>
  </si>
  <si>
    <t>EPJ51</t>
  </si>
  <si>
    <t>01/01/2025 18:04</t>
  </si>
  <si>
    <t>754219767265</t>
  </si>
  <si>
    <t>EPJ50</t>
  </si>
  <si>
    <t>ป***รณ์ ป***พันธ์</t>
  </si>
  <si>
    <t>754247499272</t>
  </si>
  <si>
    <t>EPJ49</t>
  </si>
  <si>
    <t>ส***ินนท์</t>
  </si>
  <si>
    <t>754243803320</t>
  </si>
  <si>
    <t>EPJ47</t>
  </si>
  <si>
    <t>01/01/2025 18:03</t>
  </si>
  <si>
    <t>754206341210</t>
  </si>
  <si>
    <t>EPJ46</t>
  </si>
  <si>
    <t>พ***ู</t>
  </si>
  <si>
    <t>01/01/2025 18:02</t>
  </si>
  <si>
    <t>754249927336</t>
  </si>
  <si>
    <t>EPJ45</t>
  </si>
  <si>
    <t>f***g s***</t>
  </si>
  <si>
    <t>01/01/2025 18:01</t>
  </si>
  <si>
    <t>754200003373</t>
  </si>
  <si>
    <t>EPJ44</t>
  </si>
  <si>
    <t>น***ัยรัช ห***าดี</t>
  </si>
  <si>
    <t>01/01/2025 18:00</t>
  </si>
  <si>
    <t>THT38061DPGDU8Z</t>
  </si>
  <si>
    <t>EPJ43</t>
  </si>
  <si>
    <t>โ** ก***วิชญ์</t>
  </si>
  <si>
    <t>THT13091DPD8G8Z</t>
  </si>
  <si>
    <t>EPJ41</t>
  </si>
  <si>
    <t>******ซอย 44 แขวงจอมทอง แขวงจอมทอง เขตจอมทอง จังหวัดกรุงเทพมหานคร 10150</t>
  </si>
  <si>
    <t>01/01/2025 17:57</t>
  </si>
  <si>
    <t>TH2566923184421</t>
  </si>
  <si>
    <t>EPJ40</t>
  </si>
  <si>
    <t>ร***ร แ***ปิตา</t>
  </si>
  <si>
    <t>01/01/2025 17:56</t>
  </si>
  <si>
    <t>754268269215</t>
  </si>
  <si>
    <t>EPJ39</t>
  </si>
  <si>
    <t>น***าวมลฤดี  ม***้ว</t>
  </si>
  <si>
    <t>01/01/2025 17:55</t>
  </si>
  <si>
    <t>754247762262</t>
  </si>
  <si>
    <t>EPJ38</t>
  </si>
  <si>
    <t>ช***ิน อ***ฉิม</t>
  </si>
  <si>
    <t>01/01/2025 17:54</t>
  </si>
  <si>
    <t>754202996223</t>
  </si>
  <si>
    <t>EPJ36</t>
  </si>
  <si>
    <t>ก***ก จ***ิญโญวัฒน์</t>
  </si>
  <si>
    <t>Ratchaburi</t>
  </si>
  <si>
    <t>01/01/2025 17:48</t>
  </si>
  <si>
    <t>THT12031DP0ZX9Z</t>
  </si>
  <si>
    <t>01/01/2025 17:47</t>
  </si>
  <si>
    <t>EPJ35</t>
  </si>
  <si>
    <t>754259085296</t>
  </si>
  <si>
    <t>EPJ34</t>
  </si>
  <si>
    <t>น.ส.ปิยะวรรณ หาญยุธ</t>
  </si>
  <si>
    <t>9 หมู่3 ตำบลพระธาตุ
เชียงกลาง/ Chiang Klangน่าน/ Nan
55160</t>
  </si>
  <si>
    <t>55160</t>
  </si>
  <si>
    <t>660636753771</t>
  </si>
  <si>
    <t>TH52096N6KW40D</t>
  </si>
  <si>
    <t>EPJ33</t>
  </si>
  <si>
    <t>******ตำบลคลองเมือง อำเภอจักราช จังหวัดนครราชสีมา 30230</t>
  </si>
  <si>
    <t>01/01/2025 18:12</t>
  </si>
  <si>
    <t>TH27066N6UW73K</t>
  </si>
  <si>
    <t>01/01/2025 17:42</t>
  </si>
  <si>
    <t>EPJ31</t>
  </si>
  <si>
    <t>ม***ัตน์ ด***ศรี</t>
  </si>
  <si>
    <t>01/01/2025 17:36</t>
  </si>
  <si>
    <t>754287262260</t>
  </si>
  <si>
    <t>EPJ30</t>
  </si>
  <si>
    <t>เ***ิจ เ***ยญทอง</t>
  </si>
  <si>
    <t>754234696294</t>
  </si>
  <si>
    <t>ซ05</t>
  </si>
  <si>
    <t>ชิฟฟอนเอาแต่ใจ1</t>
  </si>
  <si>
    <t>EPJ29</t>
  </si>
  <si>
    <t>ว*** บ***มือง</t>
  </si>
  <si>
    <t>01/01/2025 17:33</t>
  </si>
  <si>
    <t>THT68181DP0GF4Z</t>
  </si>
  <si>
    <t>01/01/2025 17:32</t>
  </si>
  <si>
    <t>EPJ28</t>
  </si>
  <si>
    <t>01/01/2025 17:31</t>
  </si>
  <si>
    <t>THT38181DP1FF2Z</t>
  </si>
  <si>
    <t>EPJ27</t>
  </si>
  <si>
    <t>ส***ี ว***ติ</t>
  </si>
  <si>
    <t>01/01/2025 17:30</t>
  </si>
  <si>
    <t>754236404331</t>
  </si>
  <si>
    <t>EPJ24</t>
  </si>
  <si>
    <t>แ***ัวไหล.  ม***อนแก่น</t>
  </si>
  <si>
    <t>01/01/2025 17:27</t>
  </si>
  <si>
    <t>THT42051DNR6D9Z</t>
  </si>
  <si>
    <t>01/01/2025 17:25</t>
  </si>
  <si>
    <t>EPJ22</t>
  </si>
  <si>
    <t>น***สรรค์ ส***ินธุ์</t>
  </si>
  <si>
    <t>01/01/2025 17:23</t>
  </si>
  <si>
    <t>754235019344</t>
  </si>
  <si>
    <t>EPJ18</t>
  </si>
  <si>
    <t>โ***กา แ***ทธิ์</t>
  </si>
  <si>
    <t>01/01/2025 17:15</t>
  </si>
  <si>
    <t>754245072232</t>
  </si>
  <si>
    <t>01/01/2025 17:16</t>
  </si>
  <si>
    <t>EPJ13</t>
  </si>
  <si>
    <t>น***วัลย์ ส***รุง</t>
  </si>
  <si>
    <t>01/01/2025 17:04</t>
  </si>
  <si>
    <t>754291893224</t>
  </si>
  <si>
    <t>EPJ11</t>
  </si>
  <si>
    <t>Atjana Sungwal</t>
  </si>
  <si>
    <t>บจก.เจ้าพระยาอินเตอร์เทรด เลขที่23/229. หมู่8 ตำบลอ้อมใหญ่
สามพราน/ Sam Phranนครปฐม/ Nakhon Pathom
73160</t>
  </si>
  <si>
    <t>660895449083</t>
  </si>
  <si>
    <t>01/01/2025 16:58</t>
  </si>
  <si>
    <t>LEXPU0440643601</t>
  </si>
  <si>
    <t>EPJ9</t>
  </si>
  <si>
    <t>น***ลสีชา</t>
  </si>
  <si>
    <t>01/01/2025 16:57</t>
  </si>
  <si>
    <t>754227393220</t>
  </si>
  <si>
    <t>01/01/2025 16:56</t>
  </si>
  <si>
    <t>EPJ8</t>
  </si>
  <si>
    <t>ป***อม ฟ***ันเทียะ</t>
  </si>
  <si>
    <t>754256836351</t>
  </si>
  <si>
    <t>EPJ7</t>
  </si>
  <si>
    <t>ศ*** ค***ศ์ศรี</t>
  </si>
  <si>
    <t>01/01/2025 16:55</t>
  </si>
  <si>
    <t>754245123343</t>
  </si>
  <si>
    <t>EPJ6</t>
  </si>
  <si>
    <t>น***กษณ์ ส***าติ</t>
  </si>
  <si>
    <t>01/01/2025 16:54</t>
  </si>
  <si>
    <t>754250202300</t>
  </si>
  <si>
    <t>EPJ4</t>
  </si>
  <si>
    <t>ม***ยะห์</t>
  </si>
  <si>
    <t>754272756263</t>
  </si>
  <si>
    <t>EPJ2</t>
  </si>
  <si>
    <t>01/01/2025 17:22</t>
  </si>
  <si>
    <t>TH2547230529895</t>
  </si>
  <si>
    <t>01/01/2025 16:52</t>
  </si>
  <si>
    <t>EPJ0</t>
  </si>
  <si>
    <t>ส***ี่บ้านนนน  ป***วดี บ***นุช</t>
  </si>
  <si>
    <t>01/01/2025 16:51</t>
  </si>
  <si>
    <t>754229285202</t>
  </si>
  <si>
    <t>01/01/2025 16:50</t>
  </si>
  <si>
    <t>EPI98</t>
  </si>
  <si>
    <t>******บต. บ้านจะอยู่ตรงสายมือก่อนขึ้นสะพานไปวัดมารวิชัย ตำบลบ้านหลวง อำเภอเสนา จังหวัดพระนครศรีอยุธยา 13110</t>
  </si>
  <si>
    <t>01/01/2025 16:48</t>
  </si>
  <si>
    <t>TH2564225297690</t>
  </si>
  <si>
    <t>01/01/2025 16:43</t>
  </si>
  <si>
    <t>EPI97</t>
  </si>
  <si>
    <t>******เกียรติ ๔๘ แขวงดอกไม้ แขวงดอกไม้ เขตประเวศ จังหวัดกรุงเทพมหานคร 10250</t>
  </si>
  <si>
    <t>01/01/2025 16:42</t>
  </si>
  <si>
    <t>TH251945485676W</t>
  </si>
  <si>
    <t>01/01/2025 16:41</t>
  </si>
  <si>
    <t>EPI95</t>
  </si>
  <si>
    <t>01/01/2025 16:40</t>
  </si>
  <si>
    <t>754275100364</t>
  </si>
  <si>
    <t>EPI94</t>
  </si>
  <si>
    <t>ส***ะวัน เ***ซาเบธ ร***รด์</t>
  </si>
  <si>
    <t>754265708361</t>
  </si>
  <si>
    <t>EPI93</t>
  </si>
  <si>
    <t>01/01/2025 16:38</t>
  </si>
  <si>
    <t>754230179231</t>
  </si>
  <si>
    <t>EPI92</t>
  </si>
  <si>
    <t>TH2549710647372</t>
  </si>
  <si>
    <t>EPI91</t>
  </si>
  <si>
    <t>ม*** ส***หลือ</t>
  </si>
  <si>
    <t>754250297205</t>
  </si>
  <si>
    <t>EPI90</t>
  </si>
  <si>
    <t>ม***วัลย์  ป***สวาสดิ์</t>
  </si>
  <si>
    <t>01/01/2025 16:35</t>
  </si>
  <si>
    <t>THT04071DPDJN0Z</t>
  </si>
  <si>
    <t>EPI88</t>
  </si>
  <si>
    <t>ศ***พร พ***ินทร์</t>
  </si>
  <si>
    <t>01/01/2025 16:34</t>
  </si>
  <si>
    <t>754263193235</t>
  </si>
  <si>
    <t>EPI85</t>
  </si>
  <si>
    <t>01/01/2025 16:25</t>
  </si>
  <si>
    <t>754223607340</t>
  </si>
  <si>
    <t>EPI84</t>
  </si>
  <si>
    <t>754242605340</t>
  </si>
  <si>
    <t>EPI83</t>
  </si>
  <si>
    <t>01/01/2025 16:24</t>
  </si>
  <si>
    <t>THT15061DPDBZ2Z</t>
  </si>
  <si>
    <t>EPI82</t>
  </si>
  <si>
    <t>น***พร ห***ญอร</t>
  </si>
  <si>
    <t>01/01/2025 16:23</t>
  </si>
  <si>
    <t>754261202332</t>
  </si>
  <si>
    <t>EPI80</t>
  </si>
  <si>
    <t>ก***นา ส***ญสุโข</t>
  </si>
  <si>
    <t>01/01/2025 16:19</t>
  </si>
  <si>
    <t>754283302360</t>
  </si>
  <si>
    <t>01/01/2025 16:18</t>
  </si>
  <si>
    <t>EPI79</t>
  </si>
  <si>
    <t>น** อ***ักษ์ ไ***ก้ว</t>
  </si>
  <si>
    <t>01/01/2025 16:16</t>
  </si>
  <si>
    <t>754277690224</t>
  </si>
  <si>
    <t>EPI78</t>
  </si>
  <si>
    <t>******ก ตำบลประชาธิปัตย์ อำเภอธัญบุรี จังหวัดปทุมธานี 12130</t>
  </si>
  <si>
    <t>01/01/2025 16:13</t>
  </si>
  <si>
    <t>TH256389379268D</t>
  </si>
  <si>
    <t>EPI77</t>
  </si>
  <si>
    <t>น***าวกนกวรรณ ส***ัง</t>
  </si>
  <si>
    <t>THT32061DPEU48Z</t>
  </si>
  <si>
    <t>EPI76</t>
  </si>
  <si>
    <t>R***lay</t>
  </si>
  <si>
    <t>Tak</t>
  </si>
  <si>
    <t>01/01/2025 16:09</t>
  </si>
  <si>
    <t>754218990291</t>
  </si>
  <si>
    <t>EPI74</t>
  </si>
  <si>
    <t>01/01/2025 16:02</t>
  </si>
  <si>
    <t>754204134353</t>
  </si>
  <si>
    <t>EPI73</t>
  </si>
  <si>
    <t>ฐ***มา ก***เงิน</t>
  </si>
  <si>
    <t>754223038354</t>
  </si>
  <si>
    <t>EPI71</t>
  </si>
  <si>
    <t>******ย9 ซอยสุดซอยมือ ตำบลในเมือง อำเภอเมืองนครราชสีมา จังหวัดนครราชสีมา 30000</t>
  </si>
  <si>
    <t>01/01/2025 16:29</t>
  </si>
  <si>
    <t>TH252143674774F</t>
  </si>
  <si>
    <t>01/01/2025 15:59</t>
  </si>
  <si>
    <t>EPI70</t>
  </si>
  <si>
    <t>01/01/2025 15:58</t>
  </si>
  <si>
    <t>754280993292</t>
  </si>
  <si>
    <t>EPI68</t>
  </si>
  <si>
    <t>******ระสงค์ อำเภอท่าชนะ จังหวัดสุราษฎร์ธานี 84170</t>
  </si>
  <si>
    <t>84170</t>
  </si>
  <si>
    <t>01/01/2025 15:44</t>
  </si>
  <si>
    <t>TH68076N7ZNB7C</t>
  </si>
  <si>
    <t>EPI66</t>
  </si>
  <si>
    <t>จ*** เ***รประภากุล</t>
  </si>
  <si>
    <t>01/01/2025 15:40</t>
  </si>
  <si>
    <t>THT01161DNWMF2Z</t>
  </si>
  <si>
    <t>EPI65</t>
  </si>
  <si>
    <t>ม***มนต์ จ***พิทักษ์เลิศ</t>
  </si>
  <si>
    <t>01/01/2025 15:38</t>
  </si>
  <si>
    <t>754261799292</t>
  </si>
  <si>
    <t>EPI62</t>
  </si>
  <si>
    <t>01/01/2025 15:32</t>
  </si>
  <si>
    <t>754290236361</t>
  </si>
  <si>
    <t>01/01/2025 15:33</t>
  </si>
  <si>
    <t>EPI61</t>
  </si>
  <si>
    <t>พ***ินทร์ ถ***ทับไทย</t>
  </si>
  <si>
    <t>754290440330</t>
  </si>
  <si>
    <t>EPI60</t>
  </si>
  <si>
    <t>พ***า เ***รงค์</t>
  </si>
  <si>
    <t>01/01/2025 15:30</t>
  </si>
  <si>
    <t>754229601322</t>
  </si>
  <si>
    <t>01/01/2025 15:31</t>
  </si>
  <si>
    <t>EPI59</t>
  </si>
  <si>
    <t>ส***นาฎ  ส***ระเสริฐ</t>
  </si>
  <si>
    <t>01/01/2025 15:28</t>
  </si>
  <si>
    <t>THT07011DPBV00Z</t>
  </si>
  <si>
    <t>EPI57</t>
  </si>
  <si>
    <t>01/01/2025 15:22</t>
  </si>
  <si>
    <t>754248150261</t>
  </si>
  <si>
    <t>EPI53</t>
  </si>
  <si>
    <t>ม***ียร จ***ร่อย</t>
  </si>
  <si>
    <t>01/01/2025 15:19</t>
  </si>
  <si>
    <t>754256647340</t>
  </si>
  <si>
    <t>EPI52</t>
  </si>
  <si>
    <t>พ***วย</t>
  </si>
  <si>
    <t>754253787243</t>
  </si>
  <si>
    <t>EPI51</t>
  </si>
  <si>
    <t>ว***ดา ค***ครอง</t>
  </si>
  <si>
    <t>01/01/2025 15:18</t>
  </si>
  <si>
    <t>754287137354</t>
  </si>
  <si>
    <t>EPI50</t>
  </si>
  <si>
    <t>01/01/2025 15:17</t>
  </si>
  <si>
    <t>754265202320</t>
  </si>
  <si>
    <t>EPI48</t>
  </si>
  <si>
    <t>น*** แ***คำพันธ์</t>
  </si>
  <si>
    <t>THT39081DPB992Z</t>
  </si>
  <si>
    <t>EPI46</t>
  </si>
  <si>
    <t>น***ุวัฒน์  เ***นสันเทียะ</t>
  </si>
  <si>
    <t>754208333373</t>
  </si>
  <si>
    <t>01/01/2025 15:16</t>
  </si>
  <si>
    <t>EPI43</t>
  </si>
  <si>
    <t>01/01/2025 15:15</t>
  </si>
  <si>
    <t>754226326383</t>
  </si>
  <si>
    <t>EPI41</t>
  </si>
  <si>
    <t>ก***า ป***สูงเนิน</t>
  </si>
  <si>
    <t>01/01/2025 15:13</t>
  </si>
  <si>
    <t>754253379246</t>
  </si>
  <si>
    <t>01/01/2025 15:14</t>
  </si>
  <si>
    <t>EPI40</t>
  </si>
  <si>
    <t>ท***หม่ ม***าศ</t>
  </si>
  <si>
    <t>754293800330</t>
  </si>
  <si>
    <t>EPI37</t>
  </si>
  <si>
    <t>แ***จียง ไ***พันธ์</t>
  </si>
  <si>
    <t>จังหวัดยโสธร</t>
  </si>
  <si>
    <t>01/01/2025 15:02</t>
  </si>
  <si>
    <t>754269830355</t>
  </si>
  <si>
    <t>EPI36</t>
  </si>
  <si>
    <t>จ***บ้  แ***นาทม</t>
  </si>
  <si>
    <t>01/01/2025 14:59</t>
  </si>
  <si>
    <t>754253893212</t>
  </si>
  <si>
    <t>01/01/2025 15:00</t>
  </si>
  <si>
    <t>EPI35</t>
  </si>
  <si>
    <t>TH257690003589G</t>
  </si>
  <si>
    <t>01/01/2025 14:58</t>
  </si>
  <si>
    <t>EPI34</t>
  </si>
  <si>
    <t>ท***งค์</t>
  </si>
  <si>
    <t>01/01/2025 14:55</t>
  </si>
  <si>
    <t>THT01381DP9XC4Z</t>
  </si>
  <si>
    <t>EPI32</t>
  </si>
  <si>
    <t>น***พร ส***รณจักร์</t>
  </si>
  <si>
    <t>01/01/2025 14:43</t>
  </si>
  <si>
    <t>754271509364</t>
  </si>
  <si>
    <t>EPI30</t>
  </si>
  <si>
    <t>01/01/2025 14:41</t>
  </si>
  <si>
    <t>TH2569129618711</t>
  </si>
  <si>
    <t>EPI29</t>
  </si>
  <si>
    <t>01/01/2025 14:40</t>
  </si>
  <si>
    <t>754266095273</t>
  </si>
  <si>
    <t>EPI27</t>
  </si>
  <si>
    <t>ส*** บ***ัฒน์</t>
  </si>
  <si>
    <t>01/01/2025 14:38</t>
  </si>
  <si>
    <t>754250700361</t>
  </si>
  <si>
    <t>EPI26</t>
  </si>
  <si>
    <t xml:space="preserve">พ***ีณ์ </t>
  </si>
  <si>
    <t>01/01/2025 14:37</t>
  </si>
  <si>
    <t>THT18021DP2AM4Z</t>
  </si>
  <si>
    <t>EPI24</t>
  </si>
  <si>
    <t>01/01/2025 14:35</t>
  </si>
  <si>
    <t>TH49026N6J113D</t>
  </si>
  <si>
    <t>EPI22</t>
  </si>
  <si>
    <t>ย***พร ช***าลย์</t>
  </si>
  <si>
    <t>01/01/2025 14:32</t>
  </si>
  <si>
    <t>754253199265</t>
  </si>
  <si>
    <t>EPI20</t>
  </si>
  <si>
    <t>ซ***นะห์  ม***</t>
  </si>
  <si>
    <t>01/01/2025 14:28</t>
  </si>
  <si>
    <t>754257331380</t>
  </si>
  <si>
    <t>01/01/2025 14:30</t>
  </si>
  <si>
    <t>EPI19</t>
  </si>
  <si>
    <t>******ำบลไผ่เขียว อำเภอสว่างอารมณ์ จังหวัดอุทัยธานี 61150</t>
  </si>
  <si>
    <t>TH57036N82DY7D</t>
  </si>
  <si>
    <t>EPI18</t>
  </si>
  <si>
    <t>01/01/2025 14:25</t>
  </si>
  <si>
    <t>754272040314</t>
  </si>
  <si>
    <t>EPI17</t>
  </si>
  <si>
    <t>ป***นุช  ย***คราม</t>
  </si>
  <si>
    <t>01/01/2025 14:22</t>
  </si>
  <si>
    <t>754230364241</t>
  </si>
  <si>
    <t>01/01/2025 14:29</t>
  </si>
  <si>
    <t>EPI16</t>
  </si>
  <si>
    <t>ว***วรรณ ก***นหอม</t>
  </si>
  <si>
    <t>01/01/2025 14:21</t>
  </si>
  <si>
    <t>754282302373</t>
  </si>
  <si>
    <t>EPI15</t>
  </si>
  <si>
    <t>อ***ักดิ์ เ***</t>
  </si>
  <si>
    <t>01/01/2025 14:19</t>
  </si>
  <si>
    <t>754286598273</t>
  </si>
  <si>
    <t>ขนมปังแถว4</t>
  </si>
  <si>
    <t>EPI14</t>
  </si>
  <si>
    <t>******มประเวศ แขวงคลองสามประเวศ เขตลาดกระบัง จังหวัดกรุงเทพมหานคร 10520</t>
  </si>
  <si>
    <t>TH256375120375B</t>
  </si>
  <si>
    <t>EPI13</t>
  </si>
  <si>
    <t>ส***นทา ค***จันทร์</t>
  </si>
  <si>
    <t>จังหวัดเชียงราย</t>
  </si>
  <si>
    <t>01/01/2025 14:09</t>
  </si>
  <si>
    <t>THT54031DPB420Z</t>
  </si>
  <si>
    <t>01/01/2025 14:20</t>
  </si>
  <si>
    <t>EPI12</t>
  </si>
  <si>
    <t>ว***ขนิษ  บ***งตา</t>
  </si>
  <si>
    <t>01/01/2025 14:10</t>
  </si>
  <si>
    <t>THT27211DPAGT2Z</t>
  </si>
  <si>
    <t>EPI10</t>
  </si>
  <si>
    <t>ร***าภรณ์​ ศ***ำปลิว</t>
  </si>
  <si>
    <t>THT40051DPDN52Z</t>
  </si>
  <si>
    <t>EPI9</t>
  </si>
  <si>
    <t>01/01/2025 14:08</t>
  </si>
  <si>
    <t>754244592275</t>
  </si>
  <si>
    <t>01/01/2025 14:16</t>
  </si>
  <si>
    <t>EPI8</t>
  </si>
  <si>
    <t>เ***นตา     ศ***าจันทร์</t>
  </si>
  <si>
    <t>754299004340</t>
  </si>
  <si>
    <t>01/01/2025 14:15</t>
  </si>
  <si>
    <t>EPI7</t>
  </si>
  <si>
    <t>พ***รณ ส***ยสน</t>
  </si>
  <si>
    <t>01/01/2025 14:11</t>
  </si>
  <si>
    <t>754205035371</t>
  </si>
  <si>
    <t>EPI6</t>
  </si>
  <si>
    <t>01/01/2025 14:13</t>
  </si>
  <si>
    <t>754209403334</t>
  </si>
  <si>
    <t>EPI3</t>
  </si>
  <si>
    <t>ป******ณ</t>
  </si>
  <si>
    <t>******ุมวิท 89, ตำบลสัตหีบ, อำเภอสัตหีบ ตำบลสัตหีบ อำเภอสัตหีบ จังหวัดชลบุรี 20180</t>
  </si>
  <si>
    <t>01/01/2025 14:34</t>
  </si>
  <si>
    <t>TH20086N6UMD2A</t>
  </si>
  <si>
    <t>01/01/2025 14:12</t>
  </si>
  <si>
    <t>EPI2</t>
  </si>
  <si>
    <t>น***าวพิมพรรณ ใ***อ</t>
  </si>
  <si>
    <t>01/01/2025 14:04</t>
  </si>
  <si>
    <t>THT48011DP0XA1Z</t>
  </si>
  <si>
    <t>EPH99</t>
  </si>
  <si>
    <t>ว***รำไพ ต***นเทียะ</t>
  </si>
  <si>
    <t>01/01/2025 13:57</t>
  </si>
  <si>
    <t>754254635374</t>
  </si>
  <si>
    <t>EPH98</t>
  </si>
  <si>
    <t>ม**า</t>
  </si>
  <si>
    <t>******้านแห อำเภอเมืองอ่างทอง จังหวัดอ่างทอง 14000</t>
  </si>
  <si>
    <t>01/01/2025 13:56</t>
  </si>
  <si>
    <t>TH254033053890A</t>
  </si>
  <si>
    <t>EPH97</t>
  </si>
  <si>
    <t>ป***ี  ต***พุก</t>
  </si>
  <si>
    <t>01/01/2025 13:55</t>
  </si>
  <si>
    <t>754295893212</t>
  </si>
  <si>
    <t>EPH95</t>
  </si>
  <si>
    <t>ม***ยพร ค***ริญ</t>
  </si>
  <si>
    <t>01/01/2025 13:51</t>
  </si>
  <si>
    <t>THT24021DP3VN5Z</t>
  </si>
  <si>
    <t>EPH94</t>
  </si>
  <si>
    <t>ว***ี เ***สิทธิ์</t>
  </si>
  <si>
    <t>THT42031DP0752Z</t>
  </si>
  <si>
    <t>EPH91</t>
  </si>
  <si>
    <t>น***รางค์  แ***โฉม</t>
  </si>
  <si>
    <t>01/01/2025 13:47</t>
  </si>
  <si>
    <t>754228754285</t>
  </si>
  <si>
    <t>01/01/2025 13:48</t>
  </si>
  <si>
    <t>EPH90</t>
  </si>
  <si>
    <t>ก***นา แ***า</t>
  </si>
  <si>
    <t>01/01/2025 13:45</t>
  </si>
  <si>
    <t>THT22051DP22K8Z</t>
  </si>
  <si>
    <t>EPH89</t>
  </si>
  <si>
    <t>จ***ทิพย์ ล***า</t>
  </si>
  <si>
    <t>01/01/2025 13:43</t>
  </si>
  <si>
    <t>754289533362</t>
  </si>
  <si>
    <t>EPH88</t>
  </si>
  <si>
    <t>ท***ร ค***ียว</t>
  </si>
  <si>
    <t>754240796245</t>
  </si>
  <si>
    <t>EPH87</t>
  </si>
  <si>
    <t>แบมบี้</t>
  </si>
  <si>
    <t>320 ม.7 ต.วังพร้าว อ.เกาะคา จ.ลำปาง · วังพร้าว/ Wang Phrao
เกาะคา/ Ko Khaลำปาง/ Lampang
52130</t>
  </si>
  <si>
    <t>660810180547</t>
  </si>
  <si>
    <t>LEXDO0123549680</t>
  </si>
  <si>
    <t>01/01/2025 13:40</t>
  </si>
  <si>
    <t>EPH86</t>
  </si>
  <si>
    <t>จ******ณ</t>
  </si>
  <si>
    <t>******9 ม.8 ต.หนองล่อง ตำบลหนองล่อง อำเภอเวียงหนองล่อง จังหวัดลำพูน 51120</t>
  </si>
  <si>
    <t>01/01/2025 14:26</t>
  </si>
  <si>
    <t>TH48086N6ZQ59A</t>
  </si>
  <si>
    <t>EPH85</t>
  </si>
  <si>
    <t>D***a</t>
  </si>
  <si>
    <t>******7  หมู่ 5 ตำบลบุ่งคล้า อำเภอหล่มสัก จังหวัดเพชรบูรณ์ ตำบลบุ่งคล้า อำเภอหล่มสัก จังหวัดเพชรบูรณ์ 67110</t>
  </si>
  <si>
    <t>TH256382899336U</t>
  </si>
  <si>
    <t>EPH83</t>
  </si>
  <si>
    <t>น***กษณ์  ใ***็จ</t>
  </si>
  <si>
    <t>01/01/2025 13:37</t>
  </si>
  <si>
    <t>THT01401DP0QJ7Z</t>
  </si>
  <si>
    <t>EPH81</t>
  </si>
  <si>
    <t>******บลท่างาม อำเภออินทร์บุรี จังหวัดสิงห์บุรี 16110</t>
  </si>
  <si>
    <t>TH251345580186U</t>
  </si>
  <si>
    <t>01/01/2025 13:34</t>
  </si>
  <si>
    <t>EPH80</t>
  </si>
  <si>
    <t>สมพร กรุงเจริญ</t>
  </si>
  <si>
    <t>คอนโดเมืองทองT8 · บ้านใหม่/ Ban Mai
ปากเกร็ด/ Pak Kretนนทบุรี/ Nonthaburi
11120</t>
  </si>
  <si>
    <t>660623611227</t>
  </si>
  <si>
    <t>01/01/2025 13:33</t>
  </si>
  <si>
    <t>LEXPU0440654876</t>
  </si>
  <si>
    <t>EPH79</t>
  </si>
  <si>
    <t>ห**</t>
  </si>
  <si>
    <t>01/01/2025 13:32</t>
  </si>
  <si>
    <t>754224421392</t>
  </si>
  <si>
    <t>EPH78</t>
  </si>
  <si>
    <t>ช***สา ท***ายใจ</t>
  </si>
  <si>
    <t>754292301313</t>
  </si>
  <si>
    <t>EPH76</t>
  </si>
  <si>
    <t>ศ***รรณ ค***ออ</t>
  </si>
  <si>
    <t>01/01/2025 13:31</t>
  </si>
  <si>
    <t>THT01161DNZQT1Z</t>
  </si>
  <si>
    <t>01/01/2025 13:30</t>
  </si>
  <si>
    <t>EPH75</t>
  </si>
  <si>
    <t>แ***์</t>
  </si>
  <si>
    <t>01/01/2025 13:28</t>
  </si>
  <si>
    <t>THT02011DP0P31Z</t>
  </si>
  <si>
    <t>EPH74</t>
  </si>
  <si>
    <t>อ******ห</t>
  </si>
  <si>
    <t>******า ตำบลคลองนิยมยาตรา อำเภอบางบ่อ จังหวัดสมุทรปราการ 10560</t>
  </si>
  <si>
    <t>01/01/2025 13:26</t>
  </si>
  <si>
    <t>TH2505447412245</t>
  </si>
  <si>
    <t>EPH73</t>
  </si>
  <si>
    <t>ธ***รัตน์ ป***ประวัติ</t>
  </si>
  <si>
    <t>754233935313</t>
  </si>
  <si>
    <t>EPH72</t>
  </si>
  <si>
    <t>เ***รทอง โ***์นอก</t>
  </si>
  <si>
    <t>01/01/2025 13:24</t>
  </si>
  <si>
    <t>754298968242</t>
  </si>
  <si>
    <t>EPH71</t>
  </si>
  <si>
    <t>อ***ภรณ์ ช***ศรี</t>
  </si>
  <si>
    <t>01/01/2025 13:23</t>
  </si>
  <si>
    <t>754296084286</t>
  </si>
  <si>
    <t>EPH70</t>
  </si>
  <si>
    <t>754232307301</t>
  </si>
  <si>
    <t>EPH69</t>
  </si>
  <si>
    <t>ป***ฉัตร ช***ันทร์</t>
  </si>
  <si>
    <t>01/01/2025 13:21</t>
  </si>
  <si>
    <t>THT15031DPA5H6Z</t>
  </si>
  <si>
    <t>EPH68</t>
  </si>
  <si>
    <t>754232733365</t>
  </si>
  <si>
    <t>EPH67</t>
  </si>
  <si>
    <t>น***ภรณ์ บ***ระโทก</t>
  </si>
  <si>
    <t>01/01/2025 13:20</t>
  </si>
  <si>
    <t>754241075221</t>
  </si>
  <si>
    <t>EPH64</t>
  </si>
  <si>
    <t>01/01/2025 13:17</t>
  </si>
  <si>
    <t>754276397254</t>
  </si>
  <si>
    <t>EPH61</t>
  </si>
  <si>
    <t>ม***มีสโตร์</t>
  </si>
  <si>
    <t>01/01/2025 13:13</t>
  </si>
  <si>
    <t>754217836385</t>
  </si>
  <si>
    <t>01/01/2025 13:14</t>
  </si>
  <si>
    <t>EPH59</t>
  </si>
  <si>
    <t>ส***ตร  แ***ี้   1***ู่12ต.ท่าแดง</t>
  </si>
  <si>
    <t>01/01/2025 13:11</t>
  </si>
  <si>
    <t>754254648324</t>
  </si>
  <si>
    <t>EPH58</t>
  </si>
  <si>
    <t>01/01/2025 13:10</t>
  </si>
  <si>
    <t>THT42131DP1771Z</t>
  </si>
  <si>
    <t>EPH57</t>
  </si>
  <si>
    <t>01/01/2025 13:07</t>
  </si>
  <si>
    <t>754293181283</t>
  </si>
  <si>
    <t>EPH56</t>
  </si>
  <si>
    <t>D** L** z**</t>
  </si>
  <si>
    <t>Suphan Buri</t>
  </si>
  <si>
    <t>754259033371</t>
  </si>
  <si>
    <t>EPH55</t>
  </si>
  <si>
    <t>โ* ญ***</t>
  </si>
  <si>
    <t>754272005373</t>
  </si>
  <si>
    <t>EPH54</t>
  </si>
  <si>
    <t>ส***ี  จ***นุช</t>
  </si>
  <si>
    <t>01/01/2025 13:03</t>
  </si>
  <si>
    <t>754265201373</t>
  </si>
  <si>
    <t>EPH52</t>
  </si>
  <si>
    <t>01/01/2025 13:02</t>
  </si>
  <si>
    <t>THT42111DNRE57Z</t>
  </si>
  <si>
    <t>EPH51</t>
  </si>
  <si>
    <t>ช******ย</t>
  </si>
  <si>
    <t>******ะอำ อ.ชะอำ จ.เพชรบุรี ตำบลชะอำ อำเภอชะอำ จังหวัดเพชรบุรี 76120</t>
  </si>
  <si>
    <t>01/01/2025 13:01</t>
  </si>
  <si>
    <t>TH253530636716I</t>
  </si>
  <si>
    <t>EPH50</t>
  </si>
  <si>
    <t>THT13131DP1BU0Z</t>
  </si>
  <si>
    <t>EPH49</t>
  </si>
  <si>
    <t>ฉ***ชัย พ***่งเรืองกุล</t>
  </si>
  <si>
    <t>01/01/2025 13:00</t>
  </si>
  <si>
    <t>THT15011DPA5U8Z</t>
  </si>
  <si>
    <t>EPH48</t>
  </si>
  <si>
    <t>น***สร ค***คา น***วาน</t>
  </si>
  <si>
    <t>01/01/2025 12:59</t>
  </si>
  <si>
    <t>ขอฝอยทองสัก2-3กล่องสาธุๆๆๆ</t>
  </si>
  <si>
    <t>THT37011DPBK38Z</t>
  </si>
  <si>
    <t>EPH47</t>
  </si>
  <si>
    <t>TH2521077330617</t>
  </si>
  <si>
    <t>EPH46</t>
  </si>
  <si>
    <t>ณ***ิดา ว***ันเทียะ</t>
  </si>
  <si>
    <t>01/01/2025 12:58</t>
  </si>
  <si>
    <t>THT33011DP5QK1Z</t>
  </si>
  <si>
    <t>EPH44</t>
  </si>
  <si>
    <t>ว***ช  ส***ทรัพย์</t>
  </si>
  <si>
    <t>01/01/2025 12:55</t>
  </si>
  <si>
    <t>754221392256</t>
  </si>
  <si>
    <t>EPH43</t>
  </si>
  <si>
    <t>01/01/2025 13:25</t>
  </si>
  <si>
    <t>TH259496813423X</t>
  </si>
  <si>
    <t>EPH41</t>
  </si>
  <si>
    <t>ว***าภรณ์ น***ุวรรณ</t>
  </si>
  <si>
    <t>01/01/2025 12:53</t>
  </si>
  <si>
    <t>754274403315</t>
  </si>
  <si>
    <t>EPH40</t>
  </si>
  <si>
    <t>สุรีรัตน์    ประดับวงศ์</t>
  </si>
  <si>
    <t>21/850  ม.2.แถว3/3
สัตหีบ/ Sattahipชลบุรี/ Chonburi
20180</t>
  </si>
  <si>
    <t>660641043082</t>
  </si>
  <si>
    <t>01/01/2025 12:51</t>
  </si>
  <si>
    <t>LEXDO0123547709</t>
  </si>
  <si>
    <t>EPH39</t>
  </si>
  <si>
    <t>ม*** ใ***</t>
  </si>
  <si>
    <t>01/01/2025 12:50</t>
  </si>
  <si>
    <t>754235109305</t>
  </si>
  <si>
    <t>EPH38</t>
  </si>
  <si>
    <t>ส***สรา</t>
  </si>
  <si>
    <t>754240775293</t>
  </si>
  <si>
    <t>EPH37</t>
  </si>
  <si>
    <t>ต***ตา ภ***ิลา</t>
  </si>
  <si>
    <t>01/01/2025 12:47</t>
  </si>
  <si>
    <t>THT31141DP66B2Z</t>
  </si>
  <si>
    <t>EPH36</t>
  </si>
  <si>
    <t>อ*** ร***จริญพันธ์</t>
  </si>
  <si>
    <t>01/01/2025 12:45</t>
  </si>
  <si>
    <t>754212565256</t>
  </si>
  <si>
    <t>EPH34</t>
  </si>
  <si>
    <t>ห***งฤทัย ผ***</t>
  </si>
  <si>
    <t>01/01/2025 12:43</t>
  </si>
  <si>
    <t>THT05011DNZNP7Z</t>
  </si>
  <si>
    <t>EPH33</t>
  </si>
  <si>
    <t>ข***ทราย ว***หงษ์</t>
  </si>
  <si>
    <t>754287633374</t>
  </si>
  <si>
    <t>EPH31</t>
  </si>
  <si>
    <t>ช***าภา ข***ทองยิ้ม</t>
  </si>
  <si>
    <t>01/01/2025 12:40</t>
  </si>
  <si>
    <t>754201779203</t>
  </si>
  <si>
    <t>EPH28</t>
  </si>
  <si>
    <t>ป***ทิพย์  ส***พู</t>
  </si>
  <si>
    <t>01/01/2025 12:37</t>
  </si>
  <si>
    <t>754216792291</t>
  </si>
  <si>
    <t>EPH26</t>
  </si>
  <si>
    <t>01/01/2025 12:34</t>
  </si>
  <si>
    <t>THT21011DP5WV3Z</t>
  </si>
  <si>
    <t>01/01/2025 12:35</t>
  </si>
  <si>
    <t>EPH24</t>
  </si>
  <si>
    <t>K***AE</t>
  </si>
  <si>
    <t>01/01/2025 12:33</t>
  </si>
  <si>
    <t>754200231385</t>
  </si>
  <si>
    <t>EPH23</t>
  </si>
  <si>
    <t>ร***ป้าบุญนาค ศ***า แ***พิน</t>
  </si>
  <si>
    <t>THT50011DPGV46Z</t>
  </si>
  <si>
    <t>EPH22</t>
  </si>
  <si>
    <t>กุลรัศมิ์  ชัยศักดิ์ศรี</t>
  </si>
  <si>
    <t>151/12 หมู่ที่7 ต.บางมัญ
เมืองสิงห์บุรี/ Mueang Sing Buriสิงห์บุรี/ Sing Buri
16000</t>
  </si>
  <si>
    <t>16000</t>
  </si>
  <si>
    <t>660868469039</t>
  </si>
  <si>
    <t>LEXPU0440632608</t>
  </si>
  <si>
    <t>01/01/2025 12:32</t>
  </si>
  <si>
    <t>EPH19</t>
  </si>
  <si>
    <t>754254600363</t>
  </si>
  <si>
    <t>EPH18</t>
  </si>
  <si>
    <t>ก******ิ</t>
  </si>
  <si>
    <t>******วงหัวหมาก เขตบางกะปิ จังหวัดกรุงเทพมหานคร 10240</t>
  </si>
  <si>
    <t>TH252415915871Y</t>
  </si>
  <si>
    <t>EPH17</t>
  </si>
  <si>
    <t>ส*** ส***ลิศ</t>
  </si>
  <si>
    <t>01/01/2025 12:30</t>
  </si>
  <si>
    <t>754260774201</t>
  </si>
  <si>
    <t>EPH14</t>
  </si>
  <si>
    <t>อ***ช</t>
  </si>
  <si>
    <t>01/01/2025 12:28</t>
  </si>
  <si>
    <t>754207208366</t>
  </si>
  <si>
    <t>01/01/2025 12:29</t>
  </si>
  <si>
    <t>EPH13</t>
  </si>
  <si>
    <t>พ***ร ส***คุณยา</t>
  </si>
  <si>
    <t>THT25041DPH5Q2Z</t>
  </si>
  <si>
    <t>EPH12</t>
  </si>
  <si>
    <t>9***ู่2บ้านด่านเหนือ</t>
  </si>
  <si>
    <t>01/01/2025 12:26</t>
  </si>
  <si>
    <t>754293998290</t>
  </si>
  <si>
    <t>EPH11</t>
  </si>
  <si>
    <t>ส***ชฌาพร  ห***จฉ่ำ</t>
  </si>
  <si>
    <t>01/01/2025 12:25</t>
  </si>
  <si>
    <t>754205185241</t>
  </si>
  <si>
    <t>EPH10</t>
  </si>
  <si>
    <t>ภ***ณี ว***ตรขจี</t>
  </si>
  <si>
    <t>754219837313</t>
  </si>
  <si>
    <t>EPH9</t>
  </si>
  <si>
    <t>พ***าภา ร***ชูศรี</t>
  </si>
  <si>
    <t>01/01/2025 12:24</t>
  </si>
  <si>
    <t>754251448322</t>
  </si>
  <si>
    <t>01/01/2025 12:23</t>
  </si>
  <si>
    <t>EPH8</t>
  </si>
  <si>
    <t>สังเวียน  เต้ทอง</t>
  </si>
  <si>
    <t>เลขที่132 หมู่4  หมู่บ้านนาโพธิ์ ตำบลท่ากระดาน
สนามชัยเขต/ Sanam Chai Khetฉะเชิงเทรา/ Chachoengsao
24160</t>
  </si>
  <si>
    <t>660660714540</t>
  </si>
  <si>
    <t>01/01/2025 12:22</t>
  </si>
  <si>
    <t>TH24086N6ECH4B</t>
  </si>
  <si>
    <t>EPH6</t>
  </si>
  <si>
    <t>น***พร   บ***วงศ์</t>
  </si>
  <si>
    <t>01/01/2025 12:13</t>
  </si>
  <si>
    <t>754266474264</t>
  </si>
  <si>
    <t>EPH5</t>
  </si>
  <si>
    <t>อ***ิทธิ์ ท***ี</t>
  </si>
  <si>
    <t>01/01/2025 12:12</t>
  </si>
  <si>
    <t>754282736351</t>
  </si>
  <si>
    <t>EPH4</t>
  </si>
  <si>
    <t>อรษา</t>
  </si>
  <si>
    <t>3/690 ซอยพหลโยธิน52 แยก10 แขวงคลองถนน
สายไหม/ Sai Maiกรุงเทพมหานคร/ Bangkok
10220</t>
  </si>
  <si>
    <t>660937654956</t>
  </si>
  <si>
    <t>LEXPU0440632057</t>
  </si>
  <si>
    <t>EPH2</t>
  </si>
  <si>
    <t>พ***สรณ์ ท***ินทร์</t>
  </si>
  <si>
    <t>01/01/2025 12:10</t>
  </si>
  <si>
    <t>754216241321</t>
  </si>
  <si>
    <t>EPH0</t>
  </si>
  <si>
    <t>ณ***านต์ ค***นุช</t>
  </si>
  <si>
    <t>01/01/2025 12:08</t>
  </si>
  <si>
    <t>THT03051DPGKK6Z</t>
  </si>
  <si>
    <t>EPG99</t>
  </si>
  <si>
    <t>ล***าวัลย์ ส***นทารักษ์</t>
  </si>
  <si>
    <t>01/01/2025 12:07</t>
  </si>
  <si>
    <t>754285792293</t>
  </si>
  <si>
    <t>EPG98</t>
  </si>
  <si>
    <t>ศ***ล ป***านต์</t>
  </si>
  <si>
    <t>754228478264</t>
  </si>
  <si>
    <t>EPG96</t>
  </si>
  <si>
    <t>TH13056N7J6Y5F</t>
  </si>
  <si>
    <t>01/01/2025 12:04</t>
  </si>
  <si>
    <t>EPG95</t>
  </si>
  <si>
    <t>น***พร อ***ยทอง</t>
  </si>
  <si>
    <t>01/01/2025 12:03</t>
  </si>
  <si>
    <t>754230534396</t>
  </si>
  <si>
    <t>EPG94</t>
  </si>
  <si>
    <t>TH13056N7H8B3F</t>
  </si>
  <si>
    <t>01/01/2025 12:02</t>
  </si>
  <si>
    <t>EPG93</t>
  </si>
  <si>
    <t>ส***ะรี บ***ิรมย์</t>
  </si>
  <si>
    <t>01/01/2025 11:58</t>
  </si>
  <si>
    <t>754272272261</t>
  </si>
  <si>
    <t>EPG92</t>
  </si>
  <si>
    <t>ร******ง</t>
  </si>
  <si>
    <t>******ำบลแม่กลอง อำเภอเมืองสมุทรสงคราม จังหวัดสมุทรสงคราม 75000</t>
  </si>
  <si>
    <t>01/01/2025 11:57</t>
  </si>
  <si>
    <t>TH2501452625171</t>
  </si>
  <si>
    <t>EPG89</t>
  </si>
  <si>
    <t>ส***าร ว***พินิจ</t>
  </si>
  <si>
    <t>01/01/2025 11:52</t>
  </si>
  <si>
    <t>754263379273</t>
  </si>
  <si>
    <t>01/01/2025 11:53</t>
  </si>
  <si>
    <t>EPG87</t>
  </si>
  <si>
    <t>ธนกร อุดมพันธุ์</t>
  </si>
  <si>
    <t>โรงแรม @ruamchok hotel  หลังโครงการรวมโชคทอล์ค 204/29
เมืองเชียงใหม่/ Mueang Chiang Maiเชียงใหม่/ Chiang Mai
50000</t>
  </si>
  <si>
    <t>660992289353</t>
  </si>
  <si>
    <t>LEXPU0440657455</t>
  </si>
  <si>
    <t>EPG83</t>
  </si>
  <si>
    <t>พ***ินทร์ แ***แสงทอง</t>
  </si>
  <si>
    <t>01/01/2025 11:50</t>
  </si>
  <si>
    <t>THT29101DPDF60Z</t>
  </si>
  <si>
    <t>01/01/2025 11:51</t>
  </si>
  <si>
    <t>EPG82</t>
  </si>
  <si>
    <t>แ***ะวี พ***ุทธ</t>
  </si>
  <si>
    <t>01/01/2025 11:49</t>
  </si>
  <si>
    <t>THT10081DPGPX6Z</t>
  </si>
  <si>
    <t>EPG81</t>
  </si>
  <si>
    <t>จ***า    ส***รณ์</t>
  </si>
  <si>
    <t>01/01/2025 11:48</t>
  </si>
  <si>
    <t>754298959271</t>
  </si>
  <si>
    <t>EPG80</t>
  </si>
  <si>
    <t>ก***ิการ์ เ***อนพาล</t>
  </si>
  <si>
    <t>01/01/2025 11:45</t>
  </si>
  <si>
    <t>754221269244</t>
  </si>
  <si>
    <t>EPG78</t>
  </si>
  <si>
    <t>ฐ***กัณต์ น***</t>
  </si>
  <si>
    <t>01/01/2025 11:43</t>
  </si>
  <si>
    <t>THT01211DP0HD8Z</t>
  </si>
  <si>
    <t>EPG76</t>
  </si>
  <si>
    <t>ป***าพร ญ***ฝูง</t>
  </si>
  <si>
    <t>01/01/2025 11:39</t>
  </si>
  <si>
    <t>754215571200</t>
  </si>
  <si>
    <t>EPG75</t>
  </si>
  <si>
    <t>บ*** ศ***รึก</t>
  </si>
  <si>
    <t>754246673224</t>
  </si>
  <si>
    <t>EPG74</t>
  </si>
  <si>
    <t>ช******ิ</t>
  </si>
  <si>
    <t>******ุ่งสุขลา, อำเภอศรีราชา ตำบลทุ่งสุขลา อำเภอศรีราชา จังหวัดชลบุรี 20230</t>
  </si>
  <si>
    <t>01/01/2025 11:37</t>
  </si>
  <si>
    <t>TH20076N6ZDP5C0</t>
  </si>
  <si>
    <t>EPG73</t>
  </si>
  <si>
    <t>01/01/2025 11:35</t>
  </si>
  <si>
    <t>754273039321</t>
  </si>
  <si>
    <t>EPG71</t>
  </si>
  <si>
    <t>อ***น  เ***ชาย</t>
  </si>
  <si>
    <t>01/01/2025 11:33</t>
  </si>
  <si>
    <t>754209197280</t>
  </si>
  <si>
    <t>EPG68</t>
  </si>
  <si>
    <t>ก***ก ช***ค</t>
  </si>
  <si>
    <t>01/01/2025 11:30</t>
  </si>
  <si>
    <t>THT42011DP4BW5Z</t>
  </si>
  <si>
    <t>01/01/2025 11:31</t>
  </si>
  <si>
    <t>EPG67</t>
  </si>
  <si>
    <t>ว***ร ท***ย์ปานา</t>
  </si>
  <si>
    <t>01/01/2025 11:28</t>
  </si>
  <si>
    <t>754296170246</t>
  </si>
  <si>
    <t>EPG64</t>
  </si>
  <si>
    <t>น***าวสุวรรณี เ***คล้าย</t>
  </si>
  <si>
    <t>01/01/2025 11:22</t>
  </si>
  <si>
    <t>754210037313</t>
  </si>
  <si>
    <t>EPG62</t>
  </si>
  <si>
    <t>น***า ป***ิคะเน</t>
  </si>
  <si>
    <t>01/01/2025 11:20</t>
  </si>
  <si>
    <t>754296610303</t>
  </si>
  <si>
    <t>EPG61</t>
  </si>
  <si>
    <t>ร***ี  น***ลป์ธนสาร</t>
  </si>
  <si>
    <t>754225975296</t>
  </si>
  <si>
    <t>EPG60</t>
  </si>
  <si>
    <t>ส***ษ์  ส***องนวล</t>
  </si>
  <si>
    <t>754271180283</t>
  </si>
  <si>
    <t>EPG59</t>
  </si>
  <si>
    <t>นิลวดี ดวงสว่าง</t>
  </si>
  <si>
    <t>2/91ซ.เทพกุญชร23 ม.12ต.คลองหนึ่ง
คลองหลวง/ Khlong Luangปทุมธานี/ Pathum Thani
12120</t>
  </si>
  <si>
    <t>660895273511</t>
  </si>
  <si>
    <t>TH52096N6FJ07B</t>
  </si>
  <si>
    <t>01/01/2025 11:19</t>
  </si>
  <si>
    <t>EPG57</t>
  </si>
  <si>
    <t>ว***ะโพธิ์ศรีดา</t>
  </si>
  <si>
    <t>01/01/2025 11:11</t>
  </si>
  <si>
    <t>754263778203</t>
  </si>
  <si>
    <t>EPG56</t>
  </si>
  <si>
    <t>ช***ิพ ย***</t>
  </si>
  <si>
    <t>01/01/2025 11:10</t>
  </si>
  <si>
    <t>THT01171DP0DA2Z</t>
  </si>
  <si>
    <t>EPG55</t>
  </si>
  <si>
    <t>ส***สา เ***วเกตวิทย์</t>
  </si>
  <si>
    <t>754225405312</t>
  </si>
  <si>
    <t>EPG54</t>
  </si>
  <si>
    <t>พ***ย  พ***จะแย้ม</t>
  </si>
  <si>
    <t>01/01/2025 11:09</t>
  </si>
  <si>
    <t>THT14071DP14E5Z</t>
  </si>
  <si>
    <t>EPG53</t>
  </si>
  <si>
    <t>754215431351</t>
  </si>
  <si>
    <t>EPG50</t>
  </si>
  <si>
    <t>ส*** ว***ชัยวะ</t>
  </si>
  <si>
    <t>01/01/2025 11:06</t>
  </si>
  <si>
    <t>754216158286</t>
  </si>
  <si>
    <t>EPG48</t>
  </si>
  <si>
    <t>01/01/2025 11:02</t>
  </si>
  <si>
    <t>754254832321</t>
  </si>
  <si>
    <t>EPG47</t>
  </si>
  <si>
    <t>ช***ัย ท***ล่ำ</t>
  </si>
  <si>
    <t>01/01/2025 11:01</t>
  </si>
  <si>
    <t>754283231321</t>
  </si>
  <si>
    <t>EPG46</t>
  </si>
  <si>
    <t>01/01/2025 11:03</t>
  </si>
  <si>
    <t>TH2591605084685</t>
  </si>
  <si>
    <t>EPG44</t>
  </si>
  <si>
    <t>วรรณนภา</t>
  </si>
  <si>
    <t>136 หมู่ 2 ซอยข้างโลตัส ในซอยโป๊ยก่ายหมูกะทะ ตรงเข้ามาอยู่ขวามือ · องครักษ์/ Ongkharak
องครักษ์/ Ongkharakนครนายก/ Nakhon Nayok
26120</t>
  </si>
  <si>
    <t>660944911445</t>
  </si>
  <si>
    <t>01/01/2025 10:59</t>
  </si>
  <si>
    <t>LEXPU0440634380</t>
  </si>
  <si>
    <t>EPG42</t>
  </si>
  <si>
    <t>น***วงจันทร์ บ***านาม</t>
  </si>
  <si>
    <t>01/01/2025 10:58</t>
  </si>
  <si>
    <t>754228337376</t>
  </si>
  <si>
    <t>EPG39</t>
  </si>
  <si>
    <t>01/01/2025 10:54</t>
  </si>
  <si>
    <t>754258703365</t>
  </si>
  <si>
    <t>EPG38</t>
  </si>
  <si>
    <t>01/01/2025 10:51</t>
  </si>
  <si>
    <t>THT33121DP5BE9Z</t>
  </si>
  <si>
    <t>01/01/2025 10:52</t>
  </si>
  <si>
    <t>EPG37</t>
  </si>
  <si>
    <t>แ***นภา ศ***ุม</t>
  </si>
  <si>
    <t>THT31041DNR5G3Z</t>
  </si>
  <si>
    <t>EPG34</t>
  </si>
  <si>
    <t>01/01/2025 10:41</t>
  </si>
  <si>
    <t>754282899226</t>
  </si>
  <si>
    <t>EPG33</t>
  </si>
  <si>
    <t>ส***ันท์ ส***์คำคูณ</t>
  </si>
  <si>
    <t>01/01/2025 10:39</t>
  </si>
  <si>
    <t>754271555295</t>
  </si>
  <si>
    <t>EPG32</t>
  </si>
  <si>
    <t>ล***ย ส***์ชู</t>
  </si>
  <si>
    <t>01/01/2025 10:37</t>
  </si>
  <si>
    <t>THT65021DNZK19Z</t>
  </si>
  <si>
    <t>EPG31</t>
  </si>
  <si>
    <t>ว***ะ ว***ียร</t>
  </si>
  <si>
    <t>01/01/2025 10:36</t>
  </si>
  <si>
    <t>754256830353</t>
  </si>
  <si>
    <t>EPG30</t>
  </si>
  <si>
    <t>ณ***า ส***บาง</t>
  </si>
  <si>
    <t>01/01/2025 10:34</t>
  </si>
  <si>
    <t>754208389233</t>
  </si>
  <si>
    <t>EPG29</t>
  </si>
  <si>
    <t>ก***นา อ***รทัศน์</t>
  </si>
  <si>
    <t>01/01/2025 10:33</t>
  </si>
  <si>
    <t>754222845353</t>
  </si>
  <si>
    <t>EPG28</t>
  </si>
  <si>
    <t>เ***นภา เ***งแจ่ม</t>
  </si>
  <si>
    <t>01/01/2025 10:32</t>
  </si>
  <si>
    <t>754205474212</t>
  </si>
  <si>
    <t>EPG26</t>
  </si>
  <si>
    <t>ส***ถว</t>
  </si>
  <si>
    <t>01/01/2025 10:30</t>
  </si>
  <si>
    <t>THT71101DNYZ89Z</t>
  </si>
  <si>
    <t>EPG25</t>
  </si>
  <si>
    <t>ว***ี  ส***ดี</t>
  </si>
  <si>
    <t>01/01/2025 10:29</t>
  </si>
  <si>
    <t>754220288264</t>
  </si>
  <si>
    <t>EPG24</t>
  </si>
  <si>
    <t>น** อ***ร บ***ิต</t>
  </si>
  <si>
    <t>THT29041DNPK69Z</t>
  </si>
  <si>
    <t>EPG23</t>
  </si>
  <si>
    <t>s***n c***ichai</t>
  </si>
  <si>
    <t>01/01/2025 10:28</t>
  </si>
  <si>
    <t>754227036356</t>
  </si>
  <si>
    <t>EPG18</t>
  </si>
  <si>
    <t>P***</t>
  </si>
  <si>
    <t>01/01/2025 10:24</t>
  </si>
  <si>
    <t>754251490215</t>
  </si>
  <si>
    <t>EPG17</t>
  </si>
  <si>
    <t>จ***รรณ ว***ำ</t>
  </si>
  <si>
    <t>01/01/2025 10:21</t>
  </si>
  <si>
    <t>THT61091DNHD59Z</t>
  </si>
  <si>
    <t>EPG16</t>
  </si>
  <si>
    <t>ป***</t>
  </si>
  <si>
    <t>01/01/2025 10:19</t>
  </si>
  <si>
    <t>754298180241</t>
  </si>
  <si>
    <t>EPG15</t>
  </si>
  <si>
    <t>ส***ษ์   พ***ีบ</t>
  </si>
  <si>
    <t>754281187251</t>
  </si>
  <si>
    <t>EPG14</t>
  </si>
  <si>
    <t>ปนัดดา  ธนานันท์</t>
  </si>
  <si>
    <t>111/228 ม.5 ซอย7 ต.บางเดื่อ อ.เมืองปทุมธานี
เมืองปทุมธานี/ Mueang Pathum Thaniปทุมธานี/ Pathum Thani
12000</t>
  </si>
  <si>
    <t>660849821072</t>
  </si>
  <si>
    <t>01/01/2025 10:18</t>
  </si>
  <si>
    <t>LEXPU0440647981</t>
  </si>
  <si>
    <t>EPG12</t>
  </si>
  <si>
    <t>อ***ญา ศ***ัพย์</t>
  </si>
  <si>
    <t>01/01/2025 10:15</t>
  </si>
  <si>
    <t>754241145232</t>
  </si>
  <si>
    <t>EPG11</t>
  </si>
  <si>
    <t>พ***ร์อำไพ พ***์ศรี</t>
  </si>
  <si>
    <t>THT42141DP2FW6Z</t>
  </si>
  <si>
    <t>EPG9</t>
  </si>
  <si>
    <t>น***ตน์ น***รัตน์</t>
  </si>
  <si>
    <t>01/01/2025 10:12</t>
  </si>
  <si>
    <t>THT15061DP1JY6Z</t>
  </si>
  <si>
    <t>EPG8</t>
  </si>
  <si>
    <t>เ***นภา  ไ***อง</t>
  </si>
  <si>
    <t>01/01/2025 10:11</t>
  </si>
  <si>
    <t>754286748224</t>
  </si>
  <si>
    <t>EPG5</t>
  </si>
  <si>
    <t>จ***ร์จิรา  ร***เอ๋...การค้า</t>
  </si>
  <si>
    <t>01/01/2025 10:04</t>
  </si>
  <si>
    <t>THT27281DPC9Q4Z</t>
  </si>
  <si>
    <t>EPG4</t>
  </si>
  <si>
    <t>754209831314</t>
  </si>
  <si>
    <t>EPG3</t>
  </si>
  <si>
    <t>น*** ค***ัสดิ์</t>
  </si>
  <si>
    <t>01/01/2025 10:02</t>
  </si>
  <si>
    <t>754207358262</t>
  </si>
  <si>
    <t>EPG2</t>
  </si>
  <si>
    <t>พรณัฐ กิตติสารวัณโณ</t>
  </si>
  <si>
    <t>41ม.4ต.โสธรอ.เมืองจ.ฉะเชิงเทรา24000 · โสธร/ Sothon
เมืองฉะเชิงเทรา/ Mueang Chachoengsaoฉะเชิงเทรา/ Chachoengsao
24000</t>
  </si>
  <si>
    <t>660908101845</t>
  </si>
  <si>
    <t>01/01/2025 10:01</t>
  </si>
  <si>
    <t>LEXPU0440635138</t>
  </si>
  <si>
    <t>EPF99</t>
  </si>
  <si>
    <t>ป***ัติ</t>
  </si>
  <si>
    <t>01/01/2025 09:59</t>
  </si>
  <si>
    <t>THT01011DNPJR1Z</t>
  </si>
  <si>
    <t>EPF98</t>
  </si>
  <si>
    <t>จ***า ย***อ</t>
  </si>
  <si>
    <t>จังหวัดสมุทรปราการ</t>
  </si>
  <si>
    <t>01/01/2025 09:54</t>
  </si>
  <si>
    <t>754264941231</t>
  </si>
  <si>
    <t>EPF97</t>
  </si>
  <si>
    <t>ร***คนธ์ ภ***ย์ไกรภักดิ์</t>
  </si>
  <si>
    <t>01/01/2025 09:53</t>
  </si>
  <si>
    <t>754291920351</t>
  </si>
  <si>
    <t>EPF96</t>
  </si>
  <si>
    <t>ส***ฒ  ส***</t>
  </si>
  <si>
    <t>754297544232</t>
  </si>
  <si>
    <t>EPF93</t>
  </si>
  <si>
    <t>01/01/2025 09:52</t>
  </si>
  <si>
    <t>754230936362</t>
  </si>
  <si>
    <t>EPF92</t>
  </si>
  <si>
    <t>ว***า ด***ี</t>
  </si>
  <si>
    <t>01/01/2025 09:51</t>
  </si>
  <si>
    <t>THT29041DNR0E1Z</t>
  </si>
  <si>
    <t>EPF91</t>
  </si>
  <si>
    <t>เ***์น</t>
  </si>
  <si>
    <t>01/01/2025 09:49</t>
  </si>
  <si>
    <t>754266923340</t>
  </si>
  <si>
    <t>01/01/2025 09:48</t>
  </si>
  <si>
    <t>EPF90</t>
  </si>
  <si>
    <t>น***ยุภาภรณ์  โ***วง</t>
  </si>
  <si>
    <t>01/01/2025 09:47</t>
  </si>
  <si>
    <t>THT56031DP1HB6Z</t>
  </si>
  <si>
    <t>EPF89</t>
  </si>
  <si>
    <t>ค***</t>
  </si>
  <si>
    <t>01/01/2025 09:46</t>
  </si>
  <si>
    <t>THT15061DNQCP7Z</t>
  </si>
  <si>
    <t>EPF88</t>
  </si>
  <si>
    <t>ล***ณา</t>
  </si>
  <si>
    <t>01/01/2025 09:44</t>
  </si>
  <si>
    <t>754226043351</t>
  </si>
  <si>
    <t>01/01/2025 09:43</t>
  </si>
  <si>
    <t>EPF87</t>
  </si>
  <si>
    <t>ร***า ฤ***สง่า</t>
  </si>
  <si>
    <t>754231647271</t>
  </si>
  <si>
    <t>EPF86</t>
  </si>
  <si>
    <t>ด***ดี ส***รณวงษ์</t>
  </si>
  <si>
    <t>01/01/2025 09:42</t>
  </si>
  <si>
    <t>754278980232</t>
  </si>
  <si>
    <t>EPF85</t>
  </si>
  <si>
    <t>พ***รรณ ท***ะ</t>
  </si>
  <si>
    <t>Sing Buri</t>
  </si>
  <si>
    <t>01/01/2025 09:41</t>
  </si>
  <si>
    <t>754245042316</t>
  </si>
  <si>
    <t>01/01/2025 09:40</t>
  </si>
  <si>
    <t>EPF84</t>
  </si>
  <si>
    <t>น***า ห***วี</t>
  </si>
  <si>
    <t>754221344240</t>
  </si>
  <si>
    <t>EPF83</t>
  </si>
  <si>
    <t>ส***งศรี  จ***ร์กมล</t>
  </si>
  <si>
    <t>01/01/2025 09:36</t>
  </si>
  <si>
    <t>THT45051DNPC69Z</t>
  </si>
  <si>
    <t>EPF82</t>
  </si>
  <si>
    <t>01/01/2025 10:05</t>
  </si>
  <si>
    <t>TH255516231450Y</t>
  </si>
  <si>
    <t>01/01/2025 09:35</t>
  </si>
  <si>
    <t>EPF81</t>
  </si>
  <si>
    <t>จ***ภรณ์ ก***สง</t>
  </si>
  <si>
    <t>01/01/2025 09:33</t>
  </si>
  <si>
    <t>THT47071DNZAY7Z</t>
  </si>
  <si>
    <t>EPF80</t>
  </si>
  <si>
    <t>ส***สา อ***จันทึก</t>
  </si>
  <si>
    <t>754256385245</t>
  </si>
  <si>
    <t>EPF79</t>
  </si>
  <si>
    <t>ส***ญญา ก***มัย</t>
  </si>
  <si>
    <t>01/01/2025 09:31</t>
  </si>
  <si>
    <t>THT15061DNR5G9Z</t>
  </si>
  <si>
    <t>EPF78</t>
  </si>
  <si>
    <t>ม***วรรณ ป***ินทร์</t>
  </si>
  <si>
    <t>THT14021DP1881Z</t>
  </si>
  <si>
    <t>01/01/2025 09:30</t>
  </si>
  <si>
    <t>EPF77</t>
  </si>
  <si>
    <t>ส***สา เ***ดี</t>
  </si>
  <si>
    <t>01/01/2025 09:29</t>
  </si>
  <si>
    <t>754240542215</t>
  </si>
  <si>
    <t>EPF75</t>
  </si>
  <si>
    <t>01/01/2025 09:28</t>
  </si>
  <si>
    <t>TH2534306171351</t>
  </si>
  <si>
    <t>01/01/2025 09:27</t>
  </si>
  <si>
    <t>EPF74</t>
  </si>
  <si>
    <t>ป***า  ว***ลี</t>
  </si>
  <si>
    <t>754225950240</t>
  </si>
  <si>
    <t>EPF72</t>
  </si>
  <si>
    <t>อ***ุลรอพี........เจ้ะแม</t>
  </si>
  <si>
    <t>754203940221</t>
  </si>
  <si>
    <t>EPF71</t>
  </si>
  <si>
    <t>ว***ม์ ท***สน</t>
  </si>
  <si>
    <t>01/01/2025 09:26</t>
  </si>
  <si>
    <t>THT01181DNQX87Z</t>
  </si>
  <si>
    <t>EPF70</t>
  </si>
  <si>
    <t>ป***า  ว***แก้ว</t>
  </si>
  <si>
    <t>01/01/2025 09:25</t>
  </si>
  <si>
    <t>754202445290</t>
  </si>
  <si>
    <t>EPF69</t>
  </si>
  <si>
    <t>ม*** โ***์ที</t>
  </si>
  <si>
    <t>01/01/2025 09:24</t>
  </si>
  <si>
    <t>754271166250</t>
  </si>
  <si>
    <t>EPF68</t>
  </si>
  <si>
    <t>LEXPU0440624825</t>
  </si>
  <si>
    <t>EPF67</t>
  </si>
  <si>
    <t>ท***ี   ส***รณอาจ</t>
  </si>
  <si>
    <t>01/01/2025 09:22</t>
  </si>
  <si>
    <t>THT57071DNQUV9Z</t>
  </si>
  <si>
    <t>EPF66</t>
  </si>
  <si>
    <t>ส***ญญา</t>
  </si>
  <si>
    <t>01/01/2025 09:21</t>
  </si>
  <si>
    <t>THT55051DNP7K9Z</t>
  </si>
  <si>
    <t>EPF65</t>
  </si>
  <si>
    <t>ป***รัตน์</t>
  </si>
  <si>
    <t>01/01/2025 09:17</t>
  </si>
  <si>
    <t>754282838352</t>
  </si>
  <si>
    <t>01/01/2025 09:18</t>
  </si>
  <si>
    <t>EPF64</t>
  </si>
  <si>
    <t>ศ***รัตน์ เ***อนอิ่ม</t>
  </si>
  <si>
    <t>THT01361DP2PT7Z</t>
  </si>
  <si>
    <t>EPF63</t>
  </si>
  <si>
    <t>ว***กร   ส***า</t>
  </si>
  <si>
    <t>THT15061DP1CX0Z</t>
  </si>
  <si>
    <t>EPF62</t>
  </si>
  <si>
    <t>ประภาดา ศุภสุธีกุล</t>
  </si>
  <si>
    <t>40/3896 ประชานิเวศน์ 3  ซอย 8/2 ถนนสามัคคี  ต.ท่าทราย
เมืองนนทบุรี/ Mueang Nonthaburiนนทบุรี/ Nonthaburi
11000</t>
  </si>
  <si>
    <t>660988826549</t>
  </si>
  <si>
    <t>LEXPU0440630066</t>
  </si>
  <si>
    <t>01/01/2025 09:16</t>
  </si>
  <si>
    <t>EPF61</t>
  </si>
  <si>
    <t>ส***สา  ก***ือ</t>
  </si>
  <si>
    <t>754272921371</t>
  </si>
  <si>
    <t>EPF60</t>
  </si>
  <si>
    <t>01/01/2025 09:15</t>
  </si>
  <si>
    <t>754285625391</t>
  </si>
  <si>
    <t>EPF59</t>
  </si>
  <si>
    <t>754232637340</t>
  </si>
  <si>
    <t>EPF58</t>
  </si>
  <si>
    <t>ว***รัตน์  บ***ลาง</t>
  </si>
  <si>
    <t>01/01/2025 09:13</t>
  </si>
  <si>
    <t>754299635342</t>
  </si>
  <si>
    <t>01/01/2025 09:14</t>
  </si>
  <si>
    <t>EPF57</t>
  </si>
  <si>
    <t>น***ุกัญญา ส***</t>
  </si>
  <si>
    <t>01/01/2025 09:11</t>
  </si>
  <si>
    <t>THT62041DNQT89Z</t>
  </si>
  <si>
    <t>EPF56</t>
  </si>
  <si>
    <t>TH2596938573444</t>
  </si>
  <si>
    <t>01/01/2025 09:10</t>
  </si>
  <si>
    <t>EPF55</t>
  </si>
  <si>
    <t>TH257673262013S</t>
  </si>
  <si>
    <t>EPF54</t>
  </si>
  <si>
    <t>ส***รณี ช***วาน</t>
  </si>
  <si>
    <t>01/01/2025 09:08</t>
  </si>
  <si>
    <t>THT74091DP4177Z</t>
  </si>
  <si>
    <t>EPF53</t>
  </si>
  <si>
    <t>ป***ิศา ศ***ิลป์</t>
  </si>
  <si>
    <t>01/01/2025 09:07</t>
  </si>
  <si>
    <t>THT69041DP4DV7Z</t>
  </si>
  <si>
    <t>EPF52</t>
  </si>
  <si>
    <t>ส***รณี ป***ิต</t>
  </si>
  <si>
    <t>THT25061DPFBJ0Z</t>
  </si>
  <si>
    <t>EPF51</t>
  </si>
  <si>
    <t>ก***ารัตน์ทานสุทัด</t>
  </si>
  <si>
    <t>01/01/2025 09:06</t>
  </si>
  <si>
    <t>754224894216</t>
  </si>
  <si>
    <t>EPF50</t>
  </si>
  <si>
    <t>01/01/2025 09:04</t>
  </si>
  <si>
    <t>LEXDO0123548133</t>
  </si>
  <si>
    <t>EPF48</t>
  </si>
  <si>
    <t>01/01/2025 09:01</t>
  </si>
  <si>
    <t>THT62061DPATQ6Z</t>
  </si>
  <si>
    <t>EPF47</t>
  </si>
  <si>
    <t>เ***มพล เ***ยมกัน</t>
  </si>
  <si>
    <t>754244326323</t>
  </si>
  <si>
    <t>EPF46</t>
  </si>
  <si>
    <t>ก******ฐ</t>
  </si>
  <si>
    <t>******นะ  หมู่ที่ 3 ตำบล คลองพระอุดม  อำเภอ ปากเกร็ด จังหวัด นนทบุรี ตำบลคลองพระอุดม อำเภอปากเกร็ด จังหวัดนนทบุรี 11120</t>
  </si>
  <si>
    <t>TH2582808287666</t>
  </si>
  <si>
    <t>01/01/2025 08:59</t>
  </si>
  <si>
    <t>EPF45</t>
  </si>
  <si>
    <t>อ***า ม***รรณ</t>
  </si>
  <si>
    <t>THT01491DNRNU3Z</t>
  </si>
  <si>
    <t>EPF44</t>
  </si>
  <si>
    <t>ป***​ ต***ประสิทธิ์</t>
  </si>
  <si>
    <t>01/01/2025 08:58</t>
  </si>
  <si>
    <t>THT25071DNRA69Z</t>
  </si>
  <si>
    <t>EPF43</t>
  </si>
  <si>
    <t>u***7245181622344</t>
  </si>
  <si>
    <t>754208850216</t>
  </si>
  <si>
    <t>EPF42</t>
  </si>
  <si>
    <t>ส***รัตน์  พ***ช</t>
  </si>
  <si>
    <t>01/01/2025 08:55</t>
  </si>
  <si>
    <t>754269231343</t>
  </si>
  <si>
    <t>01/01/2025 08:56</t>
  </si>
  <si>
    <t>EPF41</t>
  </si>
  <si>
    <t>ธัญญ์นภัส สินวัฒนศิริสุข</t>
  </si>
  <si>
    <t>บริษัท URC  1/123 ม.2 ต.ท่าทราย
เมืองสมุทรสาคร/ Mueang Samut Sakhonสมุทรสาคร/ Samut Sakhon
74000</t>
  </si>
  <si>
    <t>660944857330</t>
  </si>
  <si>
    <t>LEXPU0440640130</t>
  </si>
  <si>
    <t>EPF40</t>
  </si>
  <si>
    <t>ว***ย เ***งนวด</t>
  </si>
  <si>
    <t>THT66081DNR8K9Z</t>
  </si>
  <si>
    <t>EPF38</t>
  </si>
  <si>
    <t>ร***ัตน์ ภ***ัง</t>
  </si>
  <si>
    <t>01/01/2025 08:53</t>
  </si>
  <si>
    <t>754249599213</t>
  </si>
  <si>
    <t>EPF36</t>
  </si>
  <si>
    <t>01/01/2025 08:52</t>
  </si>
  <si>
    <t>LEXPU0440641176</t>
  </si>
  <si>
    <t>EPF35</t>
  </si>
  <si>
    <t>นายนทีธร  ชุลีกราน</t>
  </si>
  <si>
    <t>1548/277 เอลลิโอ เดล มอสส์ ซอยพหลโยธิน 34 แขวงเสนานิคม
จตุจักร/ Chatuchakกรุงเทพมหานคร/ Bangkok
10900</t>
  </si>
  <si>
    <t>660621633616</t>
  </si>
  <si>
    <t>01/01/2025 08:51</t>
  </si>
  <si>
    <t>LEXPU0440649891</t>
  </si>
  <si>
    <t>EPF34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</si>
  <si>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</si>
  <si>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</si>
  <si>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</si>
  <si>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01/01/2025 08:50</t>
  </si>
  <si>
    <t>LEXPU0440642392</t>
  </si>
  <si>
    <t>EPF33</t>
  </si>
  <si>
    <t>จ******น</t>
  </si>
  <si>
    <t>******ไม้ตรา อำเภอบางไทร จังหวัดพระนครศรีอยุธยา 13190</t>
  </si>
  <si>
    <t>13190</t>
  </si>
  <si>
    <t>01/01/2025 09:20</t>
  </si>
  <si>
    <t>TH2506319105955</t>
  </si>
  <si>
    <t>EPF30</t>
  </si>
  <si>
    <t>ป***กี้</t>
  </si>
  <si>
    <t>01/01/2025 08:43</t>
  </si>
  <si>
    <t>THT27071DPGB28Z</t>
  </si>
  <si>
    <t>EPF29</t>
  </si>
  <si>
    <t>ว***า ข***ุ้ย</t>
  </si>
  <si>
    <t>01/01/2025 08:41</t>
  </si>
  <si>
    <t>754217164234</t>
  </si>
  <si>
    <t>01/01/2025 08:42</t>
  </si>
  <si>
    <t>EPF27</t>
  </si>
  <si>
    <t>น***วราวรรณ ล***ยบาป</t>
  </si>
  <si>
    <t>01/01/2025 08:39</t>
  </si>
  <si>
    <t>754261462253</t>
  </si>
  <si>
    <t>EPF25</t>
  </si>
  <si>
    <t>ว***ร ไ***ว</t>
  </si>
  <si>
    <t>01/01/2025 08:36</t>
  </si>
  <si>
    <t>754254385231</t>
  </si>
  <si>
    <t>EPF23</t>
  </si>
  <si>
    <t>อนวัช วงศ์เกี่ย</t>
  </si>
  <si>
    <t>Chichaplace(410)  ถนนท่าข้าม 194/20-22 · แสมดำ/ Samae Dam
บางขุนเทียน/ Bang Khun Thianกรุงเทพมหานคร/ Bangkok
10150</t>
  </si>
  <si>
    <t>660938729412</t>
  </si>
  <si>
    <t>LEXPU0440630540</t>
  </si>
  <si>
    <t>01/01/2025 08:34</t>
  </si>
  <si>
    <t>มะพร้าว2กล่องเผือก1กล่อง</t>
  </si>
  <si>
    <t>เค้กเบาหวิวขนาด100กรัม 2แถม1 เลือกรสได้</t>
  </si>
  <si>
    <t>EPF21</t>
  </si>
  <si>
    <t>อ***ทิพย์ ค***ย</t>
  </si>
  <si>
    <t>01/01/2025 08:32</t>
  </si>
  <si>
    <t>THT21061DPGRA8Z</t>
  </si>
  <si>
    <t>เผือก2กล่องฝอยทอง1กล่อง</t>
  </si>
  <si>
    <t>ฝอยทอง2กล่องมะพร้าว1กล่อง</t>
  </si>
  <si>
    <t>EPF20</t>
  </si>
  <si>
    <t>ป***ดา ข***าง</t>
  </si>
  <si>
    <t>01/01/2025 08:29</t>
  </si>
  <si>
    <t>754233169233</t>
  </si>
  <si>
    <t>01/01/2025 08:30</t>
  </si>
  <si>
    <t>EPF19</t>
  </si>
  <si>
    <t>ส***นท์  ร***สุขศรี</t>
  </si>
  <si>
    <t>754210580244</t>
  </si>
  <si>
    <t>EPF18</t>
  </si>
  <si>
    <t>อ***รณ ส***าลย์</t>
  </si>
  <si>
    <t>01/01/2025 08:28</t>
  </si>
  <si>
    <t>754293721370</t>
  </si>
  <si>
    <t>EPF15</t>
  </si>
  <si>
    <t>ส***รณา ข***อ่างทอง</t>
  </si>
  <si>
    <t>01/01/2025 08:25</t>
  </si>
  <si>
    <t>754203184221</t>
  </si>
  <si>
    <t>EPF13</t>
  </si>
  <si>
    <t>ล***ัด</t>
  </si>
  <si>
    <t>01/01/2025 08:24</t>
  </si>
  <si>
    <t>754246435342</t>
  </si>
  <si>
    <t>โปรโมชั่น เซ็ตละ 699 บาท ของฝากวรรณวนัช ชิฟฟอนรวมรส 8 ชิ้น ได้ทั้งหมด 10 กล่อง คุ้มมาก!! เก็บได้ 20 วัน สินค้ามีจำกัด</t>
  </si>
  <si>
    <t>EPF12</t>
  </si>
  <si>
    <t>ณัฐวินณ์  ขวัญทอง</t>
  </si>
  <si>
    <t>ร้านวินวิน เวดดิ้ง 9/2 ถนนทองไมล์ หมู่ 5 ตำบลดอนสัก อำเภอดอนสัก
ดอนสัก/ Don Sakสุราษฎร์ธานี/ Surat Thani
84220</t>
  </si>
  <si>
    <t>84220</t>
  </si>
  <si>
    <t>660619144614</t>
  </si>
  <si>
    <t>01/01/2025 08:22</t>
  </si>
  <si>
    <t>TH68036N6CRZ5A</t>
  </si>
  <si>
    <t>EPF11</t>
  </si>
  <si>
    <t>นภัสวรรณ พลจ่า</t>
  </si>
  <si>
    <t>บ.โนนทอง 90/8  · บ่อใหญ่/ Bo Yai
บรบือ/ Borabueมหาสารคาม/ Maha Sarakham
44130</t>
  </si>
  <si>
    <t>44130</t>
  </si>
  <si>
    <t>660623571109</t>
  </si>
  <si>
    <t>01/01/2025 08:21</t>
  </si>
  <si>
    <t>TH41066N68PT7B</t>
  </si>
  <si>
    <t>EPF10</t>
  </si>
  <si>
    <t>น***าวกมลวรรณ น***เสน</t>
  </si>
  <si>
    <t>01/01/2025 08:16</t>
  </si>
  <si>
    <t>754236121376</t>
  </si>
  <si>
    <t>EPF8</t>
  </si>
  <si>
    <t>******ต.ปกาสัย ตำบลปกาสัย อำเภอเหนือคลอง จังหวัดกระบี่ 81130</t>
  </si>
  <si>
    <t>81130</t>
  </si>
  <si>
    <t>01/01/2025 08:45</t>
  </si>
  <si>
    <t>TH250920049666C</t>
  </si>
  <si>
    <t>01/01/2025 08:15</t>
  </si>
  <si>
    <t>EPF7</t>
  </si>
  <si>
    <t>อ***สา ห***ลี่ยง</t>
  </si>
  <si>
    <t>01/01/2025 08:11</t>
  </si>
  <si>
    <t>754211184215</t>
  </si>
  <si>
    <t>EPF6</t>
  </si>
  <si>
    <t>******สองพี่น้อง จังหวัดสุพรรณบุรี 72110 ตำบลบางตะเคียน อำเภอสองพี่น้อง จังหวัดสุพรรณบุรี 72110</t>
  </si>
  <si>
    <t>01/01/2025 08:10</t>
  </si>
  <si>
    <t>TH259732083431B</t>
  </si>
  <si>
    <t>01/01/2025 08:09</t>
  </si>
  <si>
    <t>EPF5</t>
  </si>
  <si>
    <t>น***า ส***มทรัพย์</t>
  </si>
  <si>
    <t>01/01/2025 08:07</t>
  </si>
  <si>
    <t>THT15021DJGWQ6Z</t>
  </si>
  <si>
    <t>01/01/2025 08:06</t>
  </si>
  <si>
    <t>EPF2</t>
  </si>
  <si>
    <t>น***คณิตรา พ***ตร</t>
  </si>
  <si>
    <t>01/01/2025 07:58</t>
  </si>
  <si>
    <t>754263167254</t>
  </si>
  <si>
    <t>EPF1</t>
  </si>
  <si>
    <t>ก***นา​ ภ***าที</t>
  </si>
  <si>
    <t>01/01/2025 07:52</t>
  </si>
  <si>
    <t>THT04021DP2946Z</t>
  </si>
  <si>
    <t>EPF0</t>
  </si>
  <si>
    <t>พ***็ญ ส***ระเสริฐ</t>
  </si>
  <si>
    <t>01/01/2025 07:51</t>
  </si>
  <si>
    <t>754240167262</t>
  </si>
  <si>
    <t>EPE99</t>
  </si>
  <si>
    <t>ค**  ส***น  ผ***</t>
  </si>
  <si>
    <t>754298361250</t>
  </si>
  <si>
    <t>EPE98</t>
  </si>
  <si>
    <t>ชนม์ชนก หนูจุ้ย</t>
  </si>
  <si>
    <t>ท่าขามซอย4 บ้านสีฟ้า2ชั้น 222 หมู่1 ต.ท่าคอย
ท่ายาง/ Tha Yangเพชรบุรี/ Phetchaburi
76130</t>
  </si>
  <si>
    <t>76130</t>
  </si>
  <si>
    <t>660937847148</t>
  </si>
  <si>
    <t>01/01/2025 07:50</t>
  </si>
  <si>
    <t>LEXPU0440685436</t>
  </si>
  <si>
    <t>EPE97</t>
  </si>
  <si>
    <t>ช***จิตร เ***ล้าย</t>
  </si>
  <si>
    <t>01/01/2025 07:44</t>
  </si>
  <si>
    <t>754210823391</t>
  </si>
  <si>
    <t>EPE96</t>
  </si>
  <si>
    <t>ร***ี   ร***น้อย</t>
  </si>
  <si>
    <t>754293372291</t>
  </si>
  <si>
    <t>EPE94</t>
  </si>
  <si>
    <t>******.นาหม่อม จ.สงขลา 90310 ตำบลนาหม่อม อำเภอนาหม่อม จังหวัดสงขลา 90310</t>
  </si>
  <si>
    <t>90310</t>
  </si>
  <si>
    <t>01/01/2025 07:34</t>
  </si>
  <si>
    <t>TH254136283425J</t>
  </si>
  <si>
    <t>01/01/2025 07:33</t>
  </si>
  <si>
    <t>EPE93</t>
  </si>
  <si>
    <t>ศ***า ศ***ิตร</t>
  </si>
  <si>
    <t>01/01/2025 07:31</t>
  </si>
  <si>
    <t>754272528380</t>
  </si>
  <si>
    <t>EPE91</t>
  </si>
  <si>
    <t>ป******า</t>
  </si>
  <si>
    <t>******ติ จ.บุรีรัมย์ 31110 ตำบลอีสานเขต อำเภอเฉลิมพระเกียรติ จังหวัดบุรีรัมย์ 31110</t>
  </si>
  <si>
    <t>01/01/2025 07:23</t>
  </si>
  <si>
    <t>TH28236N75XF3C</t>
  </si>
  <si>
    <t>EPE90</t>
  </si>
  <si>
    <t>พ***อ.วัชระ ท***บ</t>
  </si>
  <si>
    <t>01/01/2025 07:21</t>
  </si>
  <si>
    <t>754273838356</t>
  </si>
  <si>
    <t>01/01/2025 07:22</t>
  </si>
  <si>
    <t>EPE89</t>
  </si>
  <si>
    <t>01/01/2025 07:46</t>
  </si>
  <si>
    <t>TH2582684191931</t>
  </si>
  <si>
    <t>EPE88</t>
  </si>
  <si>
    <t>ฟ** ส***รัมภา</t>
  </si>
  <si>
    <t>01/01/2025 07:14</t>
  </si>
  <si>
    <t>754202886220</t>
  </si>
  <si>
    <t>EPE87</t>
  </si>
  <si>
    <t>ส***ูณ์   ม***ตย์</t>
  </si>
  <si>
    <t>01/01/2025 07:13</t>
  </si>
  <si>
    <t>754216105370</t>
  </si>
  <si>
    <t>EPE85</t>
  </si>
  <si>
    <t>สุภัทรา สุพักดี</t>
  </si>
  <si>
    <t>6/18 ม. 1 · บางนอน/ Bang Non
เมืองระนอง/ Mueang Ranongระนอง/ Ranong
85000</t>
  </si>
  <si>
    <t>660929041611</t>
  </si>
  <si>
    <t>TH69016N65MT2F</t>
  </si>
  <si>
    <t>EPE83</t>
  </si>
  <si>
    <t>ส***ิต ช***่น</t>
  </si>
  <si>
    <t>01/01/2025 07:05</t>
  </si>
  <si>
    <t>754129278980</t>
  </si>
  <si>
    <t>EPE82</t>
  </si>
  <si>
    <t>******.สมุทรสาคร ตำบลบางโทรัด อำเภอเมืองสมุทรสาคร จังหวัดสมุทรสาคร 74000</t>
  </si>
  <si>
    <t>TH2575836748373</t>
  </si>
  <si>
    <t>01/01/2025 07:11</t>
  </si>
  <si>
    <t>EPE80</t>
  </si>
  <si>
    <t>ฎ***วรรณ์  ว***ไพบูลย์วงศ์</t>
  </si>
  <si>
    <t>01/01/2025 06:50</t>
  </si>
  <si>
    <t>754114282972</t>
  </si>
  <si>
    <t>EPE79</t>
  </si>
  <si>
    <t>TH257529296832U</t>
  </si>
  <si>
    <t>01/01/2025 06:44</t>
  </si>
  <si>
    <t>EPE78</t>
  </si>
  <si>
    <t>ป***งค์ ค***่</t>
  </si>
  <si>
    <t>01/01/2025 06:40</t>
  </si>
  <si>
    <t>754193078984</t>
  </si>
  <si>
    <t>01/01/2025 06:39</t>
  </si>
  <si>
    <t>EPE77</t>
  </si>
  <si>
    <t>01/01/2025 06:32</t>
  </si>
  <si>
    <t>754238901080</t>
  </si>
  <si>
    <t>EPE75</t>
  </si>
  <si>
    <t>01/01/2025 06:25</t>
  </si>
  <si>
    <t>LEXPU0440274838</t>
  </si>
  <si>
    <t>EPE73</t>
  </si>
  <si>
    <t>ป***ดา บ***งแจ้ง</t>
  </si>
  <si>
    <t>01/01/2025 06:06</t>
  </si>
  <si>
    <t>754130679993</t>
  </si>
  <si>
    <t>EPE72</t>
  </si>
  <si>
    <t>ส***พร  ข***ิตติศักดิ์</t>
  </si>
  <si>
    <t>01/01/2025 05:53</t>
  </si>
  <si>
    <t>754163170902</t>
  </si>
  <si>
    <t>EPE71</t>
  </si>
  <si>
    <t>แคทรียา รัมมะสมัย</t>
  </si>
  <si>
    <t>ซอย รังสิตนครนายก28/1  ห้อง122 ตึกC6 52 · ประชาธิปัตย์/ Prachathipat
ธัญบุรี/ Thanyaburiปทุมธานี/ Pathum Thani
12130</t>
  </si>
  <si>
    <t>660643215965</t>
  </si>
  <si>
    <t>01/01/2025 05:51</t>
  </si>
  <si>
    <t>LEXPU0440228693</t>
  </si>
  <si>
    <t>EPE70</t>
  </si>
  <si>
    <t>ศ***วรรณ ค***</t>
  </si>
  <si>
    <t>01/01/2025 05:20</t>
  </si>
  <si>
    <t>754127079985</t>
  </si>
  <si>
    <t>EPE68</t>
  </si>
  <si>
    <t>n***aphone</t>
  </si>
  <si>
    <t>01/01/2025 05:15</t>
  </si>
  <si>
    <t>754182570912</t>
  </si>
  <si>
    <t>01/01/2025 05:16</t>
  </si>
  <si>
    <t>EPE67</t>
  </si>
  <si>
    <t>ส** ส***นเอื้อ</t>
  </si>
  <si>
    <t>01/01/2025 04:13</t>
  </si>
  <si>
    <t>754110371921</t>
  </si>
  <si>
    <t>01/01/2025 04:25</t>
  </si>
  <si>
    <t>EPE66</t>
  </si>
  <si>
    <t>01/01/2025 03:53</t>
  </si>
  <si>
    <t>THT20011DJ23Q2Z</t>
  </si>
  <si>
    <t>EPE64</t>
  </si>
  <si>
    <t>น***ระสิทธิ์</t>
  </si>
  <si>
    <t>01/01/2025 03:41</t>
  </si>
  <si>
    <t>THT01081DJ1Z00Z</t>
  </si>
  <si>
    <t>EPE63</t>
  </si>
  <si>
    <t>น***สมพร บ***ื่น</t>
  </si>
  <si>
    <t>01/01/2025 03:33</t>
  </si>
  <si>
    <t>THT24061DJ44S4Z</t>
  </si>
  <si>
    <t>EPE62</t>
  </si>
  <si>
    <t>01/01/2025 03:23</t>
  </si>
  <si>
    <t>754104179916</t>
  </si>
  <si>
    <t>EPE61</t>
  </si>
  <si>
    <t>01/01/2025 03:15</t>
  </si>
  <si>
    <t>THT41061DHV7P1Z</t>
  </si>
  <si>
    <t>EPE60</t>
  </si>
  <si>
    <t>แ***ะลิ  อ***ผ่า</t>
  </si>
  <si>
    <t>01/01/2025 03:14</t>
  </si>
  <si>
    <t>754261213053</t>
  </si>
  <si>
    <t>EPE59</t>
  </si>
  <si>
    <t>อ***ย์ ล***ทอง</t>
  </si>
  <si>
    <t>01/01/2025 03:11</t>
  </si>
  <si>
    <t>754168275980</t>
  </si>
  <si>
    <t>EPE58</t>
  </si>
  <si>
    <t>m* z**</t>
  </si>
  <si>
    <t>Phuket</t>
  </si>
  <si>
    <t>01/01/2025 02:52</t>
  </si>
  <si>
    <t>754170089901</t>
  </si>
  <si>
    <t>EPE57</t>
  </si>
  <si>
    <t>ธ***ล เ***์ธรรม</t>
  </si>
  <si>
    <t>01/01/2025 02:48</t>
  </si>
  <si>
    <t>754101790971</t>
  </si>
  <si>
    <t>EPE56</t>
  </si>
  <si>
    <t>ส* แ***ัยภูมิ</t>
  </si>
  <si>
    <t>01/01/2025 02:45</t>
  </si>
  <si>
    <t>754216200065</t>
  </si>
  <si>
    <t>EPE55</t>
  </si>
  <si>
    <t>ม***21</t>
  </si>
  <si>
    <t>01/01/2025 02:37</t>
  </si>
  <si>
    <t>754140672994</t>
  </si>
  <si>
    <t>01/01/2025 02:38</t>
  </si>
  <si>
    <t>EPE54</t>
  </si>
  <si>
    <t>ป***ัทธ์ เ***ขาว</t>
  </si>
  <si>
    <t>01/01/2025 02:11</t>
  </si>
  <si>
    <t>THT73081DJ43T2Z</t>
  </si>
  <si>
    <t>01/01/2025 02:28</t>
  </si>
  <si>
    <t>EPE53</t>
  </si>
  <si>
    <t>ม******์</t>
  </si>
  <si>
    <t>******ามระ35 แขวงดินแดง แขวงดินแดง เขตดินแดง จังหวัดกรุงเทพมหานคร 10400</t>
  </si>
  <si>
    <t>01/01/2025 02:39</t>
  </si>
  <si>
    <t>TH01086N349J6B1</t>
  </si>
  <si>
    <t>01/01/2025 02:24</t>
  </si>
  <si>
    <t>EPE52</t>
  </si>
  <si>
    <t>แ***ำ</t>
  </si>
  <si>
    <t>01/01/2025 02:01</t>
  </si>
  <si>
    <t>754199678982</t>
  </si>
  <si>
    <t>01/01/2025 02:12</t>
  </si>
  <si>
    <t>EPE50</t>
  </si>
  <si>
    <t>จ***ร์จิรา  พ***สุภากุล</t>
  </si>
  <si>
    <t>01/01/2025 01:53</t>
  </si>
  <si>
    <t>754106071961</t>
  </si>
  <si>
    <t>01/01/2025 02:09</t>
  </si>
  <si>
    <t>EPE49</t>
  </si>
  <si>
    <t>ห***เช่าสหกรณ์การเกษตรสารภีโชคชัยจำกัด</t>
  </si>
  <si>
    <t>01/01/2025 01:47</t>
  </si>
  <si>
    <t>754276903085</t>
  </si>
  <si>
    <t>01/01/2025 02:08</t>
  </si>
  <si>
    <t>EPE48</t>
  </si>
  <si>
    <t>ว***รจน์​ ล***์โกมล</t>
  </si>
  <si>
    <t>01/01/2025 01:45</t>
  </si>
  <si>
    <t>754167976914</t>
  </si>
  <si>
    <t>EPE47</t>
  </si>
  <si>
    <t>ว***า ส***ัตน์</t>
  </si>
  <si>
    <t>01/01/2025 01:44</t>
  </si>
  <si>
    <t>754115880906</t>
  </si>
  <si>
    <t>EPE46</t>
  </si>
  <si>
    <t>ห***ง</t>
  </si>
  <si>
    <t>754237100083</t>
  </si>
  <si>
    <t>EPE45</t>
  </si>
  <si>
    <t>ห***ย ส***ยู่</t>
  </si>
  <si>
    <t>01/01/2025 01:43</t>
  </si>
  <si>
    <t>754120971925</t>
  </si>
  <si>
    <t>01/01/2025 02:07</t>
  </si>
  <si>
    <t>EPE44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</si>
  <si>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</si>
  <si>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</si>
  <si>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01/01/2025 02:31</t>
  </si>
  <si>
    <t>TH253750037793A</t>
  </si>
  <si>
    <t>EPE41</t>
  </si>
  <si>
    <t>จ***ภา อ***ุพัฒน์</t>
  </si>
  <si>
    <t>01/01/2025 01:12</t>
  </si>
  <si>
    <t>754132589910</t>
  </si>
  <si>
    <t>01/01/2025 01:38</t>
  </si>
  <si>
    <t>EPE40</t>
  </si>
  <si>
    <t>ว***ดา โ***์ตาด</t>
  </si>
  <si>
    <t>01/01/2025 01:25</t>
  </si>
  <si>
    <t>754248002045</t>
  </si>
  <si>
    <t>EPE39</t>
  </si>
  <si>
    <t>ณ***์วรินทร์ ฉ***สงเดือน</t>
  </si>
  <si>
    <t>01/01/2025 01:35</t>
  </si>
  <si>
    <t>754140386915</t>
  </si>
  <si>
    <t>EPE37</t>
  </si>
  <si>
    <t>さ*** み*</t>
  </si>
  <si>
    <t>754279789244</t>
  </si>
  <si>
    <t>01/01/2025 01:00</t>
  </si>
  <si>
    <t>EPE36</t>
  </si>
  <si>
    <t>01/01/2025 00:56</t>
  </si>
  <si>
    <t>754207607042</t>
  </si>
  <si>
    <t>EPE35</t>
  </si>
  <si>
    <t>ว***ีโชกบัณฑิต</t>
  </si>
  <si>
    <t>754185271980</t>
  </si>
  <si>
    <t>EPE34</t>
  </si>
  <si>
    <t>ว***ินทร์ ช***ตุ้ม</t>
  </si>
  <si>
    <t>THT01491DJ41G0Z</t>
  </si>
  <si>
    <t>01/01/2025 00:55</t>
  </si>
  <si>
    <t>EPE31</t>
  </si>
  <si>
    <t>จ***ิลา</t>
  </si>
  <si>
    <t>01/01/2025 00:44</t>
  </si>
  <si>
    <t>754142889905</t>
  </si>
  <si>
    <t>01/01/2025 00:45</t>
  </si>
  <si>
    <t>EPE30</t>
  </si>
  <si>
    <t>น***ุริยน ส***ศน์ณอยุธยา</t>
  </si>
  <si>
    <t>01/01/2025 00:46</t>
  </si>
  <si>
    <t>THT15061DJGRQ0Z</t>
  </si>
  <si>
    <t>EPE29</t>
  </si>
  <si>
    <t>ช***ัฒน์ ส***้ว</t>
  </si>
  <si>
    <t>01/01/2025 00:42</t>
  </si>
  <si>
    <t>754107671984</t>
  </si>
  <si>
    <t>EPE28</t>
  </si>
  <si>
    <t>จ***ลดา บ***ิตสงคราม</t>
  </si>
  <si>
    <t>01/01/2025 00:41</t>
  </si>
  <si>
    <t>754172597975</t>
  </si>
  <si>
    <t>EPE27</t>
  </si>
  <si>
    <t>น***าวปานวาด อ***ร์ศาสตร์</t>
  </si>
  <si>
    <t>01/01/2025 00:36</t>
  </si>
  <si>
    <t>754168960996</t>
  </si>
  <si>
    <t>EPE24</t>
  </si>
  <si>
    <t>ช******ก</t>
  </si>
  <si>
    <t>******ถนนพระราม2 แขวงแสมดำ แขวงแสมดำ เขตบางขุนเทียน จังหวัดกรุงเทพมหานคร 10150</t>
  </si>
  <si>
    <t>01/01/2025 00:37</t>
  </si>
  <si>
    <t>TH01176N3M9P7B2</t>
  </si>
  <si>
    <t>EPE22</t>
  </si>
  <si>
    <t>น***ารุวรรณ  ย***ยืน</t>
  </si>
  <si>
    <t>01/01/2025 00:12</t>
  </si>
  <si>
    <t>754122580901</t>
  </si>
  <si>
    <t>01/01/2025 00:35</t>
  </si>
  <si>
    <t>ป้ายชื่อแถว</t>
  </si>
  <si>
    <t>ผลรวมทั้งหมด</t>
  </si>
  <si>
    <t>ผลรวม ของ ราคา</t>
  </si>
  <si>
    <t>ผลรวม ของ จำนวน</t>
  </si>
  <si>
    <t>รายการขายสินค้าแบบจัดเซตของแผนกออนไลน์ ปี2568</t>
  </si>
  <si>
    <t>NO</t>
  </si>
  <si>
    <t>รหัสเซต</t>
  </si>
  <si>
    <t>ชื่อเซต</t>
  </si>
  <si>
    <t>สินค้าในเซต</t>
  </si>
  <si>
    <t>ราคาขายในแพลตฟอร์ม</t>
  </si>
  <si>
    <t>Facebook / Line OA</t>
  </si>
  <si>
    <t>เค้กเบาหวิว 100 กรัม (คละรส)</t>
  </si>
  <si>
    <t>หน่วย</t>
  </si>
  <si>
    <t>กล่อง</t>
  </si>
  <si>
    <t>ขนมปังแถว</t>
  </si>
  <si>
    <t>แถว</t>
  </si>
  <si>
    <t>ครีมฮอร์นเนยสด รสช็อกโกแลต</t>
  </si>
  <si>
    <t>ครีมฮอร์นเนยสด รสวนิลา</t>
  </si>
  <si>
    <t>ครีมฮอร์นเนยสด (คละรส)</t>
  </si>
  <si>
    <t>ชิฟฟ่อนแยกชิ้น ไม่มีไส้ รสมะพร้าว</t>
  </si>
  <si>
    <t>ชิฟฟ่อนแยกชิ้น ไม่มีไส้ รสใบเตย</t>
  </si>
  <si>
    <t>ชิ้น</t>
  </si>
  <si>
    <t>ชิฟฟ่อนแยกชิ้น ไม่มีไส้ (คละรส)</t>
  </si>
  <si>
    <t>ชิฟฟ่อนแยกชิ้น มีไส้ (คละรส)</t>
  </si>
  <si>
    <t>เบาหวิว ขนาด 110 กรัม (คละรส)</t>
  </si>
  <si>
    <t>เบาหวิว ขนาด 110 กรัม (รสเผือก)</t>
  </si>
  <si>
    <t>เบาหวิว ขนาด 110 กรัม (รสฝอยทอง)</t>
  </si>
  <si>
    <t>เบาหวิว ขนาด 110 กรัม (รสมะพร้าว)</t>
  </si>
  <si>
    <t>ชิฟฟ่อน รวมรส (8 ชิ้น)</t>
  </si>
  <si>
    <t>ชิฟฟ่อนรวมรส ยอดฮิต 8 ชิ้น</t>
  </si>
  <si>
    <t>ชิฟฟ่อนเค้กสอดไส้ รวมรส (6 ชิ้น)</t>
  </si>
  <si>
    <t>ราคาต้นทุนขนมพร้อมแพคเกจจิ้ง</t>
  </si>
  <si>
    <t>ชิฟฟ่อน รวมรส (4 ชิ้น)</t>
  </si>
  <si>
    <t>ชิฟฟ่อนเค้กสอดไส้ รวมรส (3 ชิ้น)</t>
  </si>
  <si>
    <t>ครีมฮอร์นเนยสด รสใบเตย</t>
  </si>
  <si>
    <t>ค่าใช้จ่าย</t>
  </si>
  <si>
    <t>ค่าใช้จ่าย x จำนวนชิ้น</t>
  </si>
  <si>
    <t>รวม</t>
  </si>
  <si>
    <t>รวมราคาทั้งเซต</t>
  </si>
  <si>
    <t>กำไร/ขาดทุน</t>
  </si>
  <si>
    <t>คิดกำไรขาดทุนเป็น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</si>
</sst>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sz val="16"/>
      <color rgb="FFFF0000"/>
      <name val="Angsana New"/>
      <family val="1"/>
    </font>
    <font>
      <b/>
      <sz val="18"/>
      <color rgb="FFFF0000"/>
      <name val="Angsana New"/>
      <family val="1"/>
    </font>
    <font>
      <sz val="12"/>
      <color theme="1"/>
      <name val="Tahoma"/>
      <family val="2"/>
      <scheme val="minor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8"/>
      <color theme="1"/>
      <name val="Angsana New"/>
      <family val="1"/>
    </font>
    <font>
      <sz val="8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9" fontId="7" fillId="5" borderId="1" xfId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9" fontId="7" fillId="5" borderId="3" xfId="1" applyFont="1" applyFill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9" fontId="7" fillId="3" borderId="2" xfId="1" applyFont="1" applyFill="1" applyBorder="1" applyAlignment="1">
      <alignment horizontal="center" vertical="center"/>
    </xf>
    <xf numFmtId="9" fontId="7" fillId="3" borderId="4" xfId="1" applyFont="1" applyFill="1" applyBorder="1" applyAlignment="1">
      <alignment horizontal="center" vertical="center"/>
    </xf>
    <xf numFmtId="9" fontId="7" fillId="3" borderId="3" xfId="1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 vertical="center"/>
    </xf>
    <xf numFmtId="9" fontId="7" fillId="2" borderId="2" xfId="1" applyFont="1" applyFill="1" applyBorder="1" applyAlignment="1">
      <alignment horizontal="center" vertical="center"/>
    </xf>
    <xf numFmtId="9" fontId="7" fillId="4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9" fontId="7" fillId="5" borderId="4" xfId="1" applyFont="1" applyFill="1" applyBorder="1" applyAlignment="1">
      <alignment horizontal="center" vertical="center"/>
    </xf>
    <xf numFmtId="9" fontId="7" fillId="5" borderId="3" xfId="1" applyFont="1" applyFill="1" applyBorder="1" applyAlignment="1">
      <alignment horizontal="center" vertical="center"/>
    </xf>
    <xf numFmtId="9" fontId="7" fillId="3" borderId="2" xfId="1" applyFont="1" applyFill="1" applyBorder="1" applyAlignment="1">
      <alignment horizontal="center" vertical="center"/>
    </xf>
    <xf numFmtId="9" fontId="7" fillId="3" borderId="4" xfId="1" applyFont="1" applyFill="1" applyBorder="1" applyAlignment="1">
      <alignment horizontal="center" vertical="center"/>
    </xf>
    <xf numFmtId="9" fontId="7" fillId="3" borderId="3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9" fontId="7" fillId="2" borderId="2" xfId="1" applyFont="1" applyFill="1" applyBorder="1" applyAlignment="1">
      <alignment horizontal="center" vertical="center"/>
    </xf>
    <xf numFmtId="9" fontId="7" fillId="2" borderId="4" xfId="1" applyFont="1" applyFill="1" applyBorder="1" applyAlignment="1">
      <alignment horizontal="center" vertical="center"/>
    </xf>
    <xf numFmtId="9" fontId="7" fillId="2" borderId="3" xfId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9" fontId="7" fillId="4" borderId="2" xfId="1" applyFont="1" applyFill="1" applyBorder="1" applyAlignment="1">
      <alignment horizontal="center" vertical="center"/>
    </xf>
    <xf numFmtId="9" fontId="7" fillId="4" borderId="3" xfId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9" fontId="7" fillId="4" borderId="4" xfId="1" applyFont="1" applyFill="1" applyBorder="1" applyAlignment="1">
      <alignment horizontal="center" vertical="center"/>
    </xf>
  </cellXfs>
  <cellStyles count="2">
    <cellStyle name="ปกติ" xfId="0" builtinId="0"/>
    <cellStyle name="เปอร์เซ็นต์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FFCCCC"/>
      <color rgb="FF0000FF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67.378808564812" createdVersion="8" refreshedVersion="8" minRefreshableVersion="3" recordCount="4348" xr:uid="{7E533341-68B3-4027-A36A-F0C2D7BF22BA}">
  <cacheSource type="worksheet">
    <worksheetSource ref="A1:U4349" sheet="DATA1-9.01.68"/>
  </cacheSource>
  <cacheFields count="21">
    <cacheField name="รหัสเซ็ต" numFmtId="0">
      <sharedItems count="66">
        <s v="ครีมฮอร์น3กล่อง"/>
        <s v="เบาหวิว6กล่อง"/>
        <s v="เซ็ตลังเลขนมปังครีมฮอร์น9รสคละรส3กล่อง"/>
        <s v="[เซ็ต]ขนมเค้กเบาหวิว ขนาด 100 กรัม 3กล่อง คละรสให้"/>
        <s v="รวมรสสอดไส้3กล่อง"/>
        <s v="เบาหวิวคละรส10กล่อง"/>
        <s v="ยอดฮิต3กล่อง"/>
        <s v="ฝอยทอง2กล่อง"/>
        <s v="เซตงบน้อย"/>
        <s v="รวมรสไม่ไส้3กล่อง"/>
        <s v="ชิฟฟ่อนเล็ก6กล่อง"/>
        <s v="ไม่มีไส้8ชิ้น2กล่องยอดฮิต8ชิ้น"/>
        <s v="รวมรส2กล่อง"/>
        <s v="ชิฟฟอน3กล่อง"/>
        <s v="มะพร้าว2กล่อง"/>
        <s v="ครีมฮอร์น 6 กล่อง"/>
        <s v="สอดไส้3กล่องใหญ่"/>
        <s v="สอดไส้6ชิ้น 10กล่อง"/>
        <s v="ชิฟฟ่อนไส้10ชิ้น"/>
        <s v="รวมรสไม่มีไส้ 3กล่อง"/>
        <s v="ชิฟฟ่อน4ชิ้น จำนวน 5กล่อง"/>
        <s v="โปรฝากรัก"/>
        <s v="ครีมฮอร์นคละรสไส้เนย 3 กล่อง"/>
        <s v="รวมรสไม่มีไส้ 20กล่อง"/>
        <s v="ปีใหม่699"/>
        <s v="ชิฟฟ่อน60ชิ้น"/>
        <s v="ชิฟฟ่อนไส้20ชิ้น"/>
        <s v="ไม่มีไส้8ชิ้น 10กล่อง"/>
        <s v="สอดไส้2กล่อง"/>
        <s v="สอดไส้ 10กล่อง"/>
        <s v="ปังแถว4"/>
        <s v="ชิฟฟ่อน10ชิ้น"/>
        <s v="ปถ6"/>
        <s v="ไม่มีไส้ 10กล่อง"/>
        <s v="ชิฟฟ่อนเล็ก10"/>
        <s v="ขนมปัง3แถว"/>
        <s v="ปังแถว8"/>
        <s v="h003"/>
        <s v="ชิฟฟ่อน20ชิ้น"/>
        <s v="12แถว-1"/>
        <s v="12แถว"/>
        <s v="ชิฟฟ่อนไส้40ชิ้น"/>
        <s v="วนิลา3กล่อง"/>
        <s v="ชิฟฟ่อนไส้80ชิ้น"/>
        <s v="ชิฟฟ่อนไส้30ชิ้น"/>
        <s v="ชิฟฟ่อน90ชิ้น"/>
        <s v="เบาหวิว 30 กล่อง"/>
        <s v="วนิลา4กล่อง"/>
        <s v="ช็อกโกแลต4กล่อง"/>
        <s v="เผือก2กล่อง"/>
        <s v="ชิฟฟ่อนไส้50ชิ้น"/>
        <s v="ชิฟฟ่อน 10 ชิ้น คละรสมะพร้าวกับใบเตย"/>
        <s v="สอดไส้6ชิ้น2กล่องไม่มีไส้8ชิ้น"/>
        <s v="สอดไส้+ไม่มีไส้"/>
        <s v="ไม่มีไส้8ชิ้น2กล่องสอดไส้6ชิ้น"/>
        <s v="สอดไส้6ชิ้น2กล่องสอดไส้6ชิ้น"/>
        <s v="ยอดฮิต+สอดไส้"/>
        <s v="ชิฟฟ่อน100ชิ้น"/>
        <s v="ยอดฮิต8ชิ้น2กล่องยอดฮิต8ชิ้น"/>
        <s v="4แถว"/>
        <s v="เซ็ตอิ่มบุญ"/>
        <s v="ชิฟฟ่อนเล็ก+ใหญ่"/>
        <s v="ซ05"/>
        <s v="มะพร้าว2กล่องเผือก1กล่อง"/>
        <s v="เผือก2กล่องฝอยทอง1กล่อง"/>
        <s v="ฝอยทอง2กล่องมะพร้าว1กล่อง"/>
      </sharedItems>
    </cacheField>
    <cacheField name="ชื่อเซ็ต" numFmtId="0">
      <sharedItems count="93">
        <s v="ครีมฮอร์นเนยสด วรรณวนัช 3รส ช็อกโกแลต1 วนิลา1 ใบเตย1"/>
        <s v="วรรณวนัช เซ็ตเค้ก เบาหวิว ขนาด100กรัม จำนวน 6กล่อง ครบรส"/>
        <s v="Fresh Strawberry Blueberry Oreo cream!!"/>
        <s v="[เซ็ต]ขนมเค้กเบาหวิว ขนาด 100 กรัม 3กล่อง คละรสให้"/>
        <s v="ชิฟฟ่อนเค้ก รวมรส 3กล่อง แบบสอดไส้/แบบไม่มีไส้"/>
        <s v="เบาหวิวคละรส10กล่อง"/>
        <s v="เซ็ตเค้กชิฟฟ่อนแบบกล่อง 3กล่อง  รวมรสยอดฮิต "/>
        <s v="เซ็ทเบาหวิวฝอยทอง2 กล่อง น้ำหนัก 110 กรัม (เก็บไว้ได้ 20 วัน)"/>
        <s v="วรรณวนัช เค้กเบาหวิว 3 กล่อง 100 ราคาพิเศษ"/>
        <s v="เซตงบน้อย ของฝากปีใหม่"/>
        <s v="เซ็ตชิฟฟ่อน แบบสอดไส้/แบบไม่มีไส้ จำนวน 6กล่อง รวมรส"/>
        <s v="เค้กชิฟฟ่อน2แถม1เลือกรสเอง"/>
        <s v="ชิฟฟ่อน รวมรส2กล่อง 180บาท"/>
        <s v="ชิฟฟอนรวมรสไม่มีไส้+มีไส้+ยอดฮิต3กล่อง"/>
        <s v="เซ็ทเบาหวิวมะพร้าว2กล่อง น้ำหนัก 110 กรัม (เก็บไว้ได้ 20 วัน)"/>
        <s v="ครีมฮอร์น 6 กล่อง 200 บาท"/>
        <s v="ชิฟฟ่อนสอดไส้ 3กล่องใหญ่"/>
        <s v="ยกลัง ชิฟฟ่อนสอดไส้ 6ชิ้น จำนวน 10กล่อง"/>
        <s v="ขนมราคาส่ง ถูกกว่า เค้กชิฟฟอนสอดไส้ คละรส 10-100 ชิ้น (เก็บได้ 15 วัน) วรรณวนัช"/>
        <s v="รวมรสไม่มีไส้ 3กล่อง 199"/>
        <s v="ชิฟฟ่อน รวมรส ไม่มีไส้ 4ชิ้น/กล่อง จำนวน 5กล่อง สินค้าเก็บได้ 20 วัน"/>
        <s v="วรรณวนัช โปรฝากรัก ซื้อ 3 กล่อง แถม ครีมฮอร์น (คละรส) 1 กล่อง ของฝาก  "/>
        <s v="ขนมก้นหอย คละรสไส้เนย 3 กล่อง"/>
        <s v="วรรณวนัช เบเกอรี่ โปร ขนมเค้กเบาหวิว ขนาด 100 กรัม จำนวน 3กล่อง คละรสให้ (สินค้าเก็บได้ 20วัน)"/>
        <s v="วรรณวนัช ชิฟฟ่อนไม่มีไส้กล่องใหญ่ 20 กล่อง"/>
        <s v="โปร 699 ปีใหม่"/>
        <s v="ชิฟฟ่อนรวมรส ไม่มีไส้ ของขวัญปีใหม่ วรรณวนัช เบเกอรี่"/>
        <s v="เค้กชิฟฟ่อนรวมรส วรรณวนัช ไม่มีไส้ 3กล่อง ราคาพิเศษ"/>
        <s v="ชิฟฟ่อนไม่มีไส้คละรส 60 ชิ้น"/>
        <s v="ยกลัง ชิฟฟ่อนไม่มีไส้ 8ชิ้น จำนวน 10กล่อง"/>
        <s v="ชิฟฟ่อน 3 กล่อง สุดฮอต วรรณวนัชเบเกอรี่"/>
        <s v="ครีมฮอร์นเนยสด ตัวดังในTikTok  1กล่อง มี6ชิ้น ได้3รส วรรณวนัช"/>
        <s v="ชิฟฟ่อนรวมรส ไม่มีไส้ เบเกอรี่ของฝาก ต้อนรับปีใหม่"/>
        <s v="ชิฟฟ่อนเค้ก ยอดฮิต8ชิ้น โปรพิเศษ ของฝากปีใหม่ พร้อมส่ง"/>
        <s v="ชิฟฟ่อน รวมรสไม่มีไส้ 3กล่อง ราคาส่ง วรรณวนัช"/>
        <s v="ชิฟฟ่อนสอดไส้ 2 กล่อง 180"/>
        <s v="เซ็ตแบบเหมา ชิฟฟ่อนสอดไส้ ยกลัง 10 กล่อง"/>
        <s v="ชิฟฟ่อนรวมรสสอดไส้ 6ชิ้น/กล่อง  เก็บได้ 15 วัน จำนวน 3 กล่อง  คละรสทั้งหมด"/>
        <s v="โปรโมชั่นใหม่!! 3 กล่อง ชิฟฟ่อนเค้ก รวมรสยอดฮิต 1กล่องมี8ชิ้น เก็บได้ 15 วัน มีรสน้ำผึ้ง เมล่อน วนิลา มัลเบอร์รี่ อร่อยทุกรส"/>
        <s v=" ชิฟฟ่อนมีไส้10ชิ้นคละรส"/>
        <s v="ขนมปังแถวทำแซนวิช ราคาส่ง ขนมปังนุ่ม 4แถว"/>
        <s v="ขนมราคาส่ง ถูกกว่า เค้กชิฟฟอนไม่มีไส้ คละรส 10-100 ชิ้น (เก็บได้ 20 วัน) วรรณวนัช"/>
        <s v="ขนมปังแถวหั่นสไลด์ วรรณวนัช ราคาถูก ครึ่งโหล"/>
        <s v=" เซ็ตแบบเหมา ชิฟฟ่อนไม่มีไส้ ยกลัง 10 กล่อง"/>
        <s v="วรรณวนัช เบเกอรี่ [เซ็ต] ขนมเค้กเบาหวิว ขนาด 100 กรัม จำนวน 3กล่อง คละรสให้ (สินค้าเก็บได้ 20วัน)"/>
        <s v="ชิฟฟ่อนกล่องเล็ก 10 กล่อง กล่องละ4ชิ้น เก็บได้ 20 วัน ของฝากยกเซ็ต คุ้มมากๆ ผลิต สดใหม่ทุกวัน"/>
        <s v="วรรณวนัช ขนมปังปอนด์ชนิดแผ่น 3 แถว100บาท"/>
        <s v="ขนมปังปอนด์ 1 แถว 20 แผ่น ขนมปังแถว ขนมปัง เก็บได้ 7-10 วัน 11 มิล"/>
        <s v="ขนมปังแถว8"/>
        <s v="ครีมฮอร์นไส้เนยสด 3 กล่อง วนิลา เตย ชอค"/>
        <s v="ชิฟฟ่อนไม่มีไส้คละรส 20 ชิ้น"/>
        <s v="ขนมปังแถวทำแซนวิช ราคาส่ง ขนมปังนุ่ม 8แถว"/>
        <s v="ชิฟฟ่อนเค้ก ยกแพ็ค ราคาถูกเหมาจำนวน 10 กล่อง ขนมเค้กชิฟฟอนรวมรส ไม่มีไส้ 8 ชิ้น/กล่อง คุ้มมาก!! เก็บได้ 20 วัน"/>
        <s v="ปังแถวครึ่งโหล"/>
        <s v="ชิฟฟ่อน รวมรสไม่มีไส้ 8ชิ้น/กล่อง  ราคาเหมา 20 กล่อง"/>
        <s v="ขนมปังแถวทำแซนวิช ราคาส่ง ขนมปังนุ่ม 12แถว"/>
        <s v="ชิฟฟ่อนมีไส้20ชิ้นคละรส"/>
        <s v="ครีมฮอร์นเนยสด วรรณวนัช 3รส ขนมดังtiktok วรรณวนัช"/>
        <s v="ขนมปังแถว 12แถว"/>
        <s v="เซ็ทขนมปังแถวยกลัง 12 แถว ขนมปังแผ่น เก็บได้ 10 วัน (จำกัด 1 ลัง ต่อ1การสั่งซื้อ)"/>
        <s v="ครีมฮอร์นวนิลา3กล่อง"/>
        <s v="เซตสุดฮอต!! ขนมชิฟฟ่อน ชิฟฟ่อนสอดไส้ ชิฟฟ่อนรวมรสยอดฮิต ชิฟฟ่อนรวมรส คละรส 3 กล่อง ขนม ยกแพ็ค ถูก"/>
        <s v="เซ็ทเบาหวิวฝอยทอง2 กล่อง"/>
        <s v="ขนมชิฟฟ่อนวรรณนัช รวมรส3กล่อง ราคาถูก"/>
        <s v="ชิฟฟ่อนมีไส้80ชิ้นคละรส"/>
        <s v="โปรสุดคุ้ม!!  3 กล่อง ครีมฮอร์น ครีมฮอร์นเนยสด ได้ทุกรสชาติ เก็บได้ 10 วัน"/>
        <s v="ขนมปังแถว ขนมปังแผ่น (1แถวมี20แผ่น) เก็บได้ 7-10 วัน ทำแซนวิชได้ ขนม ยกแพ็ค ถูก!!"/>
        <s v="ครีมฮอร์นเนยสด วรรณวนัช 3รส ตัวดังใน TikTok"/>
        <s v="เบาหวิว 100 กรัม 30 กล่อง"/>
        <s v="ชิฟฟ่อนเล็ก10กล่อง"/>
        <s v="ครีมฮอร์นเนยสด วนิลาล้วน 4 กล่อง"/>
        <s v="ครีมฮอร์นเนยสด ช็อกโกแลตล้วน 4 กล่อง"/>
        <s v="เซ็ทเบาหวิวเผือก2กล่อง น้ำหนัก 100 กรัม (เก็บไว้ได้ 20 วัน)"/>
        <s v="เซ็ทเบาหวิวมะพร้าว2กล่อง"/>
        <s v="โปรชิฟฟ่อนไม่มีไส้ 3 กล่อง คุ้มมาก เก็บได้ 20 วัน 1กล่อง มี8ชิ้น ขนม ยกแพ็ค ถูก"/>
        <s v="ชิฟฟ่อน 10 ชิ้น คละรสมะพร้าวกับใบเตย"/>
        <s v="ขนม ยกแพ็ค ถูกเหมา 10 กล่อง ขนมเค้กชิฟฟอนรวมรส 8 ชิ้น ได้ทั้งหมด  คุ้มมาก!! เก็บได้ 20 วัน"/>
        <s v="ชิฟฟ่อนมีไส้30ชิ้นคละรส"/>
        <s v="ชิฟฟ่อนสอดไส้6ชิ้ + ชิฟฟ่อนไม่ไส้8ชิ้น"/>
        <s v="ชิฟฟ่อนยอดฮิต+สอดไส้ 2 กล่อง 180"/>
        <s v="ชิฟฟ่อนเค้ก ราคาส่ง ของขวัญแจกวันเด็ก ขนมเบเกอรี่ วรรณวนัช 60-100ชิ้น คละรสให้"/>
        <s v="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"/>
        <s v="เค้กวรรณวนัช ขนมปังครีมฮอร์นเนยสดแท้ คละรส 3กล่อง 6ชิ้น/กล่อง"/>
        <s v="โปรชิฟฟ่อนไม่มีไส้ 3 กล่อง 199 บาท คุ้มมาก เก็บได้ 20 วัน 1กล่อง มี8ชิ้น ขนม ยกแพ็ค ถูก"/>
        <s v="ปังแถว 4 แถว ลดเหลือ 110 เก็บได้ 14 วัน"/>
        <s v="ชิฟฟ่อนไม่มีไส้2เบาหวิวเล็ก3"/>
        <s v="ชิฟฟ่อนมีไส้40ชิ้นคละรส"/>
        <s v="ชิฟฟ่อนรวมรส 2 กล่อง (กล่องเล็ก+กล่องใหญ่)"/>
        <s v="ชิฟฟ่อนมีไส้50ชิ้นคละรส"/>
        <s v="ชิฟฟอนเอาแต่ใจ1"/>
        <s v="ขนมปังแถว4"/>
        <s v="เค้กเบาหวิวขนาด100กรัม 2แถม1 เลือกรสได้"/>
        <s v="โปรโมชั่น เซ็ตละ 699 บาท ของฝากวรรณวนัช ชิฟฟอนรวมรส 8 ชิ้น ได้ทั้งหมด 10 กล่อง คุ้มมาก!! เก็บได้ 20 วัน สินค้ามีจำกัด"/>
      </sharedItems>
    </cacheField>
    <cacheField name="ราคา" numFmtId="0">
      <sharedItems containsSemiMixedTypes="0" containsString="0" containsNumber="1" minValue="0" maxValue="1691.2"/>
    </cacheField>
    <cacheField name="จำนวน" numFmtId="0">
      <sharedItems containsSemiMixedTypes="0" containsString="0" containsNumber="1" containsInteger="1" minValue="1" maxValue="13"/>
    </cacheField>
    <cacheField name="มูลค่า" numFmtId="0">
      <sharedItems containsSemiMixedTypes="0" containsString="0" containsNumber="1" containsInteger="1" minValue="0" maxValue="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.95" maxValue="2570"/>
    </cacheField>
    <cacheField name="ค่าส่งที่เก็บลูกค้า" numFmtId="0">
      <sharedItems containsSemiMixedTypes="0" containsString="0" containsNumber="1" minValue="0" maxValue="23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8">
  <r>
    <x v="0"/>
    <x v="0"/>
    <n v="100"/>
    <n v="1"/>
    <n v="0"/>
    <s v="ERA8"/>
    <n v="129"/>
    <n v="29"/>
    <s v="ร้านที่1"/>
    <s v="S***ich C***dee"/>
    <s v="ลพบุรี"/>
    <s v="-"/>
    <s v=""/>
    <s v="09/01/2025 23:57"/>
    <s v="-"/>
    <s v="Flash Express Thailand COD"/>
    <s v="Tiktok"/>
    <s v="จ่ายทีหลัง / COD"/>
    <s v=""/>
    <s v="-"/>
    <s v="09/01/2025 23:57"/>
  </r>
  <r>
    <x v="1"/>
    <x v="1"/>
    <n v="200"/>
    <n v="1"/>
    <n v="0"/>
    <s v="ERA7"/>
    <n v="200"/>
    <n v="0"/>
    <s v="ร้านที่1"/>
    <s v="ค***าย โ***ง ม***นาญ"/>
    <s v="นครราชสีมา"/>
    <s v="-"/>
    <s v=""/>
    <s v="09/01/2025 23:48"/>
    <s v="-"/>
    <s v="J&amp;T COD"/>
    <s v="Tiktok"/>
    <s v="จ่ายทีหลัง / COD"/>
    <s v=""/>
    <s v="-"/>
    <s v="09/01/2025 23:48"/>
  </r>
  <r>
    <x v="2"/>
    <x v="2"/>
    <n v="93.6"/>
    <n v="1"/>
    <n v="0"/>
    <s v="ERA6"/>
    <n v="98.6"/>
    <n v="5"/>
    <s v="ร้านที่1"/>
    <s v="บุญมี มั่นหมาย"/>
    <s v="47 หมู่ 8 บ้านหนองตะเคียน(คุ้มลุมตูม)  · ลุมปุ๊ก/ Lumpuk_x000a__x000a_เมืองบุรีรัมย์/ Mueang Buri Ramบุรีรัมย์/ Buriram_x000a_31000"/>
    <s v="31000"/>
    <s v="660652623479"/>
    <s v="10/01/2025 00:26"/>
    <s v="-"/>
    <s v="Kerry_dropoff"/>
    <s v="Lazada"/>
    <s v="lazada"/>
    <s v=""/>
    <s v="-"/>
    <s v="09/01/2025 23:46"/>
  </r>
  <r>
    <x v="1"/>
    <x v="1"/>
    <n v="200"/>
    <n v="1"/>
    <n v="0"/>
    <s v="ERA4"/>
    <n v="200"/>
    <n v="0"/>
    <s v="ร้านที่1"/>
    <s v="น**"/>
    <s v="ราชบุรี"/>
    <s v="-"/>
    <s v=""/>
    <s v="09/01/2025 23:41"/>
    <s v="-"/>
    <s v="J&amp;T Express"/>
    <s v="Tiktok"/>
    <s v="tiktok"/>
    <s v=""/>
    <s v="-"/>
    <s v="09/01/2025 23:41"/>
  </r>
  <r>
    <x v="3"/>
    <x v="3"/>
    <n v="100"/>
    <n v="1"/>
    <n v="0"/>
    <s v="ERA3"/>
    <n v="200"/>
    <n v="0"/>
    <s v="ร้านที่1"/>
    <s v="ล***า"/>
    <s v="ปทุมธานี"/>
    <s v="-"/>
    <s v=""/>
    <s v="09/01/2025 23:29"/>
    <s v="-"/>
    <s v="J&amp;T COD"/>
    <s v="Tiktok"/>
    <s v="จ่ายทีหลัง / COD"/>
    <s v=""/>
    <s v="-"/>
    <s v="09/01/2025 23:29"/>
  </r>
  <r>
    <x v="4"/>
    <x v="4"/>
    <n v="100"/>
    <n v="1"/>
    <n v="0"/>
    <s v="ERA3"/>
    <n v="200"/>
    <n v="0"/>
    <s v="ร้านที่1"/>
    <s v="ล***า"/>
    <s v="ปทุมธานี"/>
    <s v="-"/>
    <s v=""/>
    <s v="09/01/2025 23:29"/>
    <s v="-"/>
    <s v="J&amp;T COD"/>
    <s v="Tiktok"/>
    <s v="จ่ายทีหลัง / COD"/>
    <s v=""/>
    <s v="-"/>
    <s v="09/01/2025 23:29"/>
  </r>
  <r>
    <x v="1"/>
    <x v="1"/>
    <n v="200"/>
    <n v="1"/>
    <n v="0"/>
    <s v="ERA2"/>
    <n v="200"/>
    <n v="0"/>
    <s v="ร้านที่1"/>
    <s v="ณ***นันท์"/>
    <s v="สมุทรปราการ"/>
    <s v="-"/>
    <s v=""/>
    <s v="09/01/2025 23:26"/>
    <s v="-"/>
    <s v="J&amp;T COD"/>
    <s v="Tiktok"/>
    <s v="จ่ายทีหลัง / COD"/>
    <s v=""/>
    <s v="-"/>
    <s v="09/01/2025 23:27"/>
  </r>
  <r>
    <x v="5"/>
    <x v="5"/>
    <n v="330"/>
    <n v="1"/>
    <n v="0"/>
    <s v="ERA1"/>
    <n v="330"/>
    <n v="0"/>
    <s v="ร้านที่1"/>
    <s v="ร***ทีเอ็นเอ็น"/>
    <s v="เชียงใหม่"/>
    <s v="-"/>
    <s v=""/>
    <s v="09/01/2025 23:05"/>
    <s v="-"/>
    <s v="J&amp;T COD"/>
    <s v="Tiktok"/>
    <s v="จ่ายทีหลัง / COD"/>
    <s v=""/>
    <s v="-"/>
    <s v="09/01/2025 23:06"/>
  </r>
  <r>
    <x v="6"/>
    <x v="6"/>
    <n v="250"/>
    <n v="1"/>
    <n v="0"/>
    <s v="ERA0"/>
    <n v="250"/>
    <n v="0"/>
    <s v="ร้านที่1"/>
    <s v="ค******ล"/>
    <s v="******ิศ90 ถนนประชาอุทิศ แขวงในคลองบางปลากด ตำบลบ้านคลองสวน อำเภอพระสมุทรเจดีย์ จังหวัดสมุทรปราการ 10290"/>
    <s v="10290"/>
    <s v="74"/>
    <s v="09/01/2025 23:02"/>
    <s v="-"/>
    <s v="Flash Express"/>
    <s v="Shopee"/>
    <s v="shopee"/>
    <s v=""/>
    <s v="-"/>
    <s v="09/01/2025 23:02"/>
  </r>
  <r>
    <x v="1"/>
    <x v="1"/>
    <n v="200"/>
    <n v="1"/>
    <n v="0"/>
    <s v="EQZ99"/>
    <n v="200"/>
    <n v="0"/>
    <s v="ร้านที่1"/>
    <s v="ห***ซ่ว่าง"/>
    <s v="กรุงเทพฯ"/>
    <s v="-"/>
    <s v=""/>
    <s v="09/01/2025 22:59"/>
    <s v="-"/>
    <s v="J&amp;T Express"/>
    <s v="Tiktok"/>
    <s v="tiktok"/>
    <s v=""/>
    <s v="-"/>
    <s v="09/01/2025 22:59"/>
  </r>
  <r>
    <x v="0"/>
    <x v="0"/>
    <n v="100"/>
    <n v="2"/>
    <n v="0"/>
    <s v="EQZ98"/>
    <n v="200"/>
    <n v="0"/>
    <s v="ร้านที่1"/>
    <s v="น***ำลอง เ***งพุทรา"/>
    <s v="กรุงเทพฯ"/>
    <s v="-"/>
    <s v=""/>
    <s v="09/01/2025 22:58"/>
    <s v="-"/>
    <s v="J&amp;T Express"/>
    <s v="Tiktok"/>
    <s v="tiktok"/>
    <s v=""/>
    <s v="-"/>
    <s v="09/01/2025 22:58"/>
  </r>
  <r>
    <x v="7"/>
    <x v="7"/>
    <n v="74.400000000000006"/>
    <n v="1"/>
    <n v="0"/>
    <s v="EQZ97"/>
    <n v="79.400000000000006"/>
    <n v="5"/>
    <s v="ร้านที่1"/>
    <s v="พิมพ์สุภา เตย"/>
    <s v="48/51-52 ราชพฤกษ์11 ถนนราชพฤกษ์ เขตตลิ่งชัน เเขวงบางพรม · บางพรม/ Bang Phrom_x000a__x000a_ตลิ่งชัน/ Taling Chanกรุงเทพมหานคร/ Bangkok_x000a_10170"/>
    <s v="10170"/>
    <s v="660990891620"/>
    <s v="09/01/2025 22:55"/>
    <s v="-"/>
    <s v="Kerry_dropoff"/>
    <s v="Lazada"/>
    <s v="lazada"/>
    <s v=""/>
    <s v="-"/>
    <s v="09/01/2025 22:54"/>
  </r>
  <r>
    <x v="3"/>
    <x v="8"/>
    <n v="99.75"/>
    <n v="1"/>
    <n v="0"/>
    <s v="EQZ96"/>
    <n v="104.75"/>
    <n v="5"/>
    <s v="ร้านที่6"/>
    <s v="วิว กาญจนา"/>
    <s v="บ้านเนิน ซอย8 ไม่ต้องโทรมาส่งได้เลย 65 ม.2 · ท่ากระดาน/ Tha Kradan_x000a__x000a_สนามชัยเขต/ Sanam Chai Khetฉะเชิงเทรา/ Chachoengsao_x000a_24160"/>
    <s v="24160"/>
    <s v="660925936105"/>
    <s v="09/01/2025 22:41"/>
    <s v="-"/>
    <s v="Kerry_dropoff"/>
    <s v="Lazada"/>
    <s v="lazada"/>
    <s v=""/>
    <s v="-"/>
    <s v="09/01/2025 22:41"/>
  </r>
  <r>
    <x v="1"/>
    <x v="1"/>
    <n v="200"/>
    <n v="1"/>
    <n v="0"/>
    <s v="EQZ95"/>
    <n v="200"/>
    <n v="0"/>
    <s v="ร้านที่1"/>
    <s v="อ***ตยา พ***ุ้ย"/>
    <s v="พังงา"/>
    <s v="-"/>
    <s v=""/>
    <s v="09/01/2025 22:36"/>
    <s v="-"/>
    <s v="J&amp;T COD"/>
    <s v="Tiktok"/>
    <s v="จ่ายทีหลัง / COD"/>
    <s v=""/>
    <s v="-"/>
    <s v="09/01/2025 22:37"/>
  </r>
  <r>
    <x v="0"/>
    <x v="0"/>
    <n v="100"/>
    <n v="3"/>
    <n v="0"/>
    <s v="EQZ94"/>
    <n v="300"/>
    <n v="0"/>
    <s v="ร้านที่1"/>
    <s v="ธ***ชัย น***ุญ"/>
    <s v="สงขลา"/>
    <s v="-"/>
    <s v=""/>
    <s v="09/01/2025 22:25"/>
    <s v="-"/>
    <s v="J&amp;T COD"/>
    <s v="Tiktok"/>
    <s v="จ่ายทีหลัง / COD"/>
    <s v=""/>
    <s v="-"/>
    <s v="09/01/2025 22:25"/>
  </r>
  <r>
    <x v="8"/>
    <x v="9"/>
    <n v="288"/>
    <n v="1"/>
    <n v="0"/>
    <s v="EQZ93"/>
    <n v="288"/>
    <n v="0"/>
    <s v="ร้านที่1"/>
    <s v="ส***ญญา บ***คลือบ"/>
    <s v="สระบุรี"/>
    <s v="-"/>
    <s v=""/>
    <s v="09/01/2025 22:12"/>
    <s v="-"/>
    <s v="J&amp;T COD"/>
    <s v="Tiktok"/>
    <s v="จ่ายทีหลัง / COD"/>
    <s v=""/>
    <s v="-"/>
    <s v="09/01/2025 22:13"/>
  </r>
  <r>
    <x v="1"/>
    <x v="1"/>
    <n v="200"/>
    <n v="1"/>
    <n v="0"/>
    <s v="EQZ92"/>
    <n v="200"/>
    <n v="0"/>
    <s v="ร้านที่1"/>
    <s v="Y* L**"/>
    <s v="Phetchaburi"/>
    <s v="-"/>
    <s v=""/>
    <s v="09/01/2025 22:11"/>
    <s v="-"/>
    <s v="J&amp;T COD"/>
    <s v="Tiktok"/>
    <s v="จ่ายทีหลัง / COD"/>
    <s v=""/>
    <s v="-"/>
    <s v="09/01/2025 22:11"/>
  </r>
  <r>
    <x v="1"/>
    <x v="1"/>
    <n v="200"/>
    <n v="1"/>
    <n v="0"/>
    <s v="EQZ91"/>
    <n v="200"/>
    <n v="0"/>
    <s v="ร้านที่1"/>
    <s v="ส***ียรติ ว***วิทย์สกุล"/>
    <s v="กรุงเทพฯ"/>
    <s v="-"/>
    <s v=""/>
    <s v="09/01/2025 22:00"/>
    <s v="-"/>
    <s v="J&amp;T Express"/>
    <s v="Tiktok"/>
    <s v="tiktok"/>
    <s v=""/>
    <s v="-"/>
    <s v="09/01/2025 22:00"/>
  </r>
  <r>
    <x v="9"/>
    <x v="4"/>
    <n v="100"/>
    <n v="2"/>
    <n v="0"/>
    <s v="EQZ88"/>
    <n v="200"/>
    <n v="0"/>
    <s v="ร้านที่1"/>
    <s v="น***นันท์ "/>
    <s v="ชุมพร"/>
    <s v="-"/>
    <s v=""/>
    <s v="09/01/2025 21:54"/>
    <s v="-"/>
    <s v="J&amp;T COD"/>
    <s v="Tiktok"/>
    <s v="จ่ายทีหลัง / COD"/>
    <s v=""/>
    <s v="-"/>
    <s v="09/01/2025 21:54"/>
  </r>
  <r>
    <x v="0"/>
    <x v="0"/>
    <n v="100"/>
    <n v="2"/>
    <n v="0"/>
    <s v="EQZ87"/>
    <n v="200"/>
    <n v="0"/>
    <s v="ร้านที่4"/>
    <s v="ช***ฌา ศ***ันทรา"/>
    <s v="ชุมพร"/>
    <s v="-"/>
    <s v=""/>
    <s v="09/01/2025 21:50"/>
    <s v="-"/>
    <s v="Flash Express Thailand COD"/>
    <s v="Tiktok"/>
    <s v="จ่ายทีหลัง / COD"/>
    <s v=""/>
    <s v="-"/>
    <s v="09/01/2025 21:50"/>
  </r>
  <r>
    <x v="10"/>
    <x v="10"/>
    <n v="200"/>
    <n v="1"/>
    <n v="0"/>
    <s v="EQZ85"/>
    <n v="200"/>
    <n v="0"/>
    <s v="ร้านที่1"/>
    <s v="ม***นี ค***ะ"/>
    <s v="หนองคาย"/>
    <s v="-"/>
    <s v=""/>
    <s v="09/01/2025 21:38"/>
    <s v="-"/>
    <s v="J&amp;T COD"/>
    <s v="Tiktok"/>
    <s v="จ่ายทีหลัง / COD"/>
    <s v=""/>
    <s v="-"/>
    <s v="09/01/2025 21:38"/>
  </r>
  <r>
    <x v="9"/>
    <x v="4"/>
    <n v="100"/>
    <n v="1"/>
    <n v="0"/>
    <s v="EQZ84"/>
    <n v="400"/>
    <n v="0"/>
    <s v="ร้านที่1"/>
    <s v="ส***กษณ์ ค***ี"/>
    <s v="จันทบุรี"/>
    <s v="-"/>
    <s v=""/>
    <s v="09/01/2025 21:35"/>
    <s v="-"/>
    <s v="J&amp;T COD"/>
    <s v="Tiktok"/>
    <s v="จ่ายทีหลัง / COD"/>
    <s v=""/>
    <s v="-"/>
    <s v="09/01/2025 21:35"/>
  </r>
  <r>
    <x v="3"/>
    <x v="3"/>
    <n v="100"/>
    <n v="3"/>
    <n v="0"/>
    <s v="EQZ84"/>
    <n v="400"/>
    <n v="0"/>
    <s v="ร้านที่1"/>
    <s v="ส***กษณ์ ค***ี"/>
    <s v="จันทบุรี"/>
    <s v="-"/>
    <s v=""/>
    <s v="09/01/2025 21:35"/>
    <s v="-"/>
    <s v="J&amp;T COD"/>
    <s v="Tiktok"/>
    <s v="จ่ายทีหลัง / COD"/>
    <s v=""/>
    <s v="-"/>
    <s v="09/01/2025 21:35"/>
  </r>
  <r>
    <x v="0"/>
    <x v="0"/>
    <n v="100"/>
    <n v="2"/>
    <n v="0"/>
    <s v="EQZ83"/>
    <n v="200"/>
    <n v="0"/>
    <s v="ร้านที่1"/>
    <s v="อ*** ข***พาลี"/>
    <s v="สตูล"/>
    <s v="-"/>
    <s v=""/>
    <s v="09/01/2025 21:30"/>
    <s v="-"/>
    <s v="J&amp;T COD"/>
    <s v="Tiktok"/>
    <s v="จ่ายทีหลัง / COD"/>
    <s v=""/>
    <s v="-"/>
    <s v="09/01/2025 21:30"/>
  </r>
  <r>
    <x v="3"/>
    <x v="8"/>
    <n v="89.75"/>
    <n v="1"/>
    <n v="0"/>
    <s v="EQZ82"/>
    <n v="94.75"/>
    <n v="5"/>
    <s v="ร้านที่6"/>
    <s v="ทวีชัย เติมวิริยะกุล"/>
    <s v="145/19 ถนน.วุฒากาศ แขวง.ตลาดพลู เขต.ธนบุรี_x000a__x000a_ธนบุรี/ Thon Buriกรุงเทพมหานคร/ Bangkok_x000a_10600"/>
    <s v="10600"/>
    <s v="660990565175"/>
    <s v="09/01/2025 21:23"/>
    <s v="-"/>
    <s v="Kerry_dropoff"/>
    <s v="Lazada"/>
    <s v="lazada"/>
    <s v=""/>
    <s v="-"/>
    <s v="09/01/2025 21:23"/>
  </r>
  <r>
    <x v="4"/>
    <x v="4"/>
    <n v="100"/>
    <n v="1"/>
    <n v="0"/>
    <s v="EQZ81"/>
    <n v="200"/>
    <n v="0"/>
    <s v="ร้านที่1"/>
    <s v="เ***ร์"/>
    <s v="ตำบล กาฬสินธุ์"/>
    <s v="-"/>
    <s v=""/>
    <s v="09/01/2025 21:22"/>
    <s v="-"/>
    <s v="Flash Express Thailand COD"/>
    <s v="Tiktok"/>
    <s v="จ่ายทีหลัง / COD"/>
    <s v=""/>
    <s v="-"/>
    <s v="09/01/2025 21:22"/>
  </r>
  <r>
    <x v="3"/>
    <x v="3"/>
    <n v="100"/>
    <n v="1"/>
    <n v="0"/>
    <s v="EQZ81"/>
    <n v="200"/>
    <n v="0"/>
    <s v="ร้านที่1"/>
    <s v="เ***ร์"/>
    <s v="ตำบล กาฬสินธุ์"/>
    <s v="-"/>
    <s v=""/>
    <s v="09/01/2025 21:22"/>
    <s v="-"/>
    <s v="Flash Express Thailand COD"/>
    <s v="Tiktok"/>
    <s v="จ่ายทีหลัง / COD"/>
    <s v=""/>
    <s v="-"/>
    <s v="09/01/2025 21:22"/>
  </r>
  <r>
    <x v="11"/>
    <x v="11"/>
    <n v="250"/>
    <n v="1"/>
    <n v="0"/>
    <s v="EQZ80"/>
    <n v="250"/>
    <n v="0"/>
    <s v="ร้านที่4"/>
    <s v="ว***พร    ส***น"/>
    <s v="หนองบัวลำภู"/>
    <s v="-"/>
    <s v=""/>
    <s v="09/01/2025 21:20"/>
    <s v="-"/>
    <s v="Flash Express Thailand COD"/>
    <s v="Tiktok"/>
    <s v="จ่ายทีหลัง / COD"/>
    <s v=""/>
    <s v="-"/>
    <s v="09/01/2025 21:20"/>
  </r>
  <r>
    <x v="1"/>
    <x v="1"/>
    <n v="200"/>
    <n v="1"/>
    <n v="0"/>
    <s v="EQZ78"/>
    <n v="200"/>
    <n v="0"/>
    <s v="ร้านที่1"/>
    <s v="ช***ี พ***นธ์ุ"/>
    <s v="เทศบาลนครอุบลราชธานี"/>
    <s v="-"/>
    <s v=""/>
    <s v="09/01/2025 21:17"/>
    <s v="-"/>
    <s v="Flash Express Thailand COD"/>
    <s v="Tiktok"/>
    <s v="จ่ายทีหลัง / COD"/>
    <s v=""/>
    <s v="-"/>
    <s v="09/01/2025 21:17"/>
  </r>
  <r>
    <x v="1"/>
    <x v="1"/>
    <n v="200"/>
    <n v="1"/>
    <n v="0"/>
    <s v="EQZ76"/>
    <n v="200"/>
    <n v="0"/>
    <s v="ร้านที่1"/>
    <s v="อ*** ม***าง"/>
    <s v="สระบุรี"/>
    <s v="-"/>
    <s v=""/>
    <s v="09/01/2025 21:12"/>
    <s v="-"/>
    <s v="J&amp;T COD"/>
    <s v="Tiktok"/>
    <s v="จ่ายทีหลัง / COD"/>
    <s v=""/>
    <s v="-"/>
    <s v="09/01/2025 21:13"/>
  </r>
  <r>
    <x v="1"/>
    <x v="1"/>
    <n v="200"/>
    <n v="2"/>
    <n v="0"/>
    <s v="EQZ75"/>
    <n v="400"/>
    <n v="0"/>
    <s v="ร้านที่1"/>
    <s v="ว***ดา ค***"/>
    <s v="เทศบาลนครนครสวรรค์"/>
    <s v="-"/>
    <s v=""/>
    <s v="09/01/2025 21:01"/>
    <s v="-"/>
    <s v="J&amp;T COD"/>
    <s v="Tiktok"/>
    <s v="จ่ายทีหลัง / COD"/>
    <s v=""/>
    <s v="-"/>
    <s v="09/01/2025 21:01"/>
  </r>
  <r>
    <x v="12"/>
    <x v="12"/>
    <n v="160"/>
    <n v="1"/>
    <n v="0"/>
    <s v="EQZ73"/>
    <n v="410"/>
    <n v="0"/>
    <s v="ร้านที่1"/>
    <s v="น******์"/>
    <s v="******เลียบคลองทวีวัฒนา แขวงบางแคเหนือ เขตบางแค จังหวัดกรุงเทพมหานคร 10160"/>
    <s v="10160"/>
    <s v="53"/>
    <s v="09/01/2025 20:49"/>
    <s v="-"/>
    <s v="SPX Express"/>
    <s v="Shopee"/>
    <s v="shopee"/>
    <s v=""/>
    <s v="-"/>
    <s v="09/01/2025 20:48"/>
  </r>
  <r>
    <x v="13"/>
    <x v="13"/>
    <n v="250"/>
    <n v="1"/>
    <n v="0"/>
    <s v="EQZ73"/>
    <n v="410"/>
    <n v="0"/>
    <s v="ร้านที่1"/>
    <s v="น******์"/>
    <s v="******เลียบคลองทวีวัฒนา แขวงบางแคเหนือ เขตบางแค จังหวัดกรุงเทพมหานคร 10160"/>
    <s v="10160"/>
    <s v="53"/>
    <s v="09/01/2025 20:49"/>
    <s v="-"/>
    <s v="SPX Express"/>
    <s v="Shopee"/>
    <s v="shopee"/>
    <s v=""/>
    <s v="-"/>
    <s v="09/01/2025 20:48"/>
  </r>
  <r>
    <x v="4"/>
    <x v="4"/>
    <n v="100"/>
    <n v="1"/>
    <n v="0"/>
    <s v="EQZ72"/>
    <n v="106"/>
    <n v="6"/>
    <s v="ร้านที่1"/>
    <s v="เ***กาญ ล***อด"/>
    <s v="เชียงใหม่"/>
    <s v="-"/>
    <s v=""/>
    <s v="09/01/2025 20:38"/>
    <s v="-"/>
    <s v="J&amp;T Express"/>
    <s v="Tiktok"/>
    <s v="tiktok"/>
    <s v=""/>
    <s v="-"/>
    <s v="09/01/2025 20:38"/>
  </r>
  <r>
    <x v="2"/>
    <x v="2"/>
    <n v="93.6"/>
    <n v="1"/>
    <n v="0"/>
    <s v="EQZ71"/>
    <n v="98.6"/>
    <n v="5"/>
    <s v="ร้านที่1"/>
    <s v="นางบาน หล่อทอง"/>
    <s v="บ้านเลขที่ 14 ม.4 บ้านสำโรง · ระแงง/ Ra-ngaeng_x000a__x000a_ศีขรภูมิ/ Sikhoraphumสุรินทร์/ Surin_x000a_32110"/>
    <s v="32110"/>
    <s v="660931901422"/>
    <s v="09/01/2025 21:39"/>
    <s v="-"/>
    <s v="Kerry_dropoff"/>
    <s v="Lazada"/>
    <s v="lazada"/>
    <s v=""/>
    <s v="-"/>
    <s v="09/01/2025 20:35"/>
  </r>
  <r>
    <x v="1"/>
    <x v="1"/>
    <n v="200"/>
    <n v="1"/>
    <n v="0"/>
    <s v="EQZ69"/>
    <n v="200"/>
    <n v="0"/>
    <s v="ร้านที่1"/>
    <s v="เ***ิรา ต***ญรัมย์106ม.11.ต.ห้วยสำราญ"/>
    <s v="บุรีรัมย์"/>
    <s v="-"/>
    <s v=""/>
    <s v="09/01/2025 20:33"/>
    <s v="-"/>
    <s v="J&amp;T COD"/>
    <s v="Tiktok"/>
    <s v="จ่ายทีหลัง / COD"/>
    <s v=""/>
    <s v="-"/>
    <s v="09/01/2025 20:33"/>
  </r>
  <r>
    <x v="0"/>
    <x v="0"/>
    <n v="100"/>
    <n v="1"/>
    <n v="0"/>
    <s v="EQZ68"/>
    <n v="100"/>
    <n v="0"/>
    <s v="ร้านที่1"/>
    <s v="น***ธันย์ชนก พ***อง"/>
    <s v="นครสวรรค์"/>
    <s v="-"/>
    <s v=""/>
    <s v="09/01/2025 20:33"/>
    <s v="-"/>
    <s v="J&amp;T COD"/>
    <s v="Tiktok"/>
    <s v="จ่ายทีหลัง / COD"/>
    <s v=""/>
    <s v="-"/>
    <s v="09/01/2025 20:33"/>
  </r>
  <r>
    <x v="14"/>
    <x v="14"/>
    <n v="74.400000000000006"/>
    <n v="1"/>
    <n v="0"/>
    <s v="EQZ67"/>
    <n v="98.4"/>
    <n v="24"/>
    <s v="ร้านที่1"/>
    <s v="นส.ณัชชา รื่นฤทัย"/>
    <s v="48/93 ม.11 หมู่บ้านทองสถิตย์8 ถ.หทัยราษฎร์ · ลาดสวาย/ Lat Sawai_x000a__x000a_ลำลูกกา/ Lam Luk Kaปทุมธานี/ Pathum Thani_x000a_12150"/>
    <s v="12150"/>
    <s v="660957641616"/>
    <s v="09/01/2025 20:29"/>
    <s v="-"/>
    <s v="Kerry_dropoff"/>
    <s v="Lazada"/>
    <s v="lazada"/>
    <s v=""/>
    <s v="-"/>
    <s v="09/01/2025 20:29"/>
  </r>
  <r>
    <x v="2"/>
    <x v="2"/>
    <n v="0"/>
    <n v="1"/>
    <n v="0"/>
    <s v="EQZ64"/>
    <n v="10.39"/>
    <n v="5"/>
    <s v="ร้านที่1"/>
    <s v="ประดับดาว  จันทร์สว่าง"/>
    <s v="199/1 ม.2 ต.เคียนซา_x000a__x000a_เคียนซา/ Khian Saสุราษฎร์ธานี/ Surat Thani_x000a_84260"/>
    <s v="84260"/>
    <s v="660622426640"/>
    <s v="09/01/2025 20:13"/>
    <s v="-"/>
    <s v="Kerry_dropoff"/>
    <s v="Lazada"/>
    <s v="lazada"/>
    <s v=""/>
    <s v="-"/>
    <s v="09/01/2025 20:13"/>
  </r>
  <r>
    <x v="4"/>
    <x v="4"/>
    <n v="5.39"/>
    <n v="1"/>
    <n v="0"/>
    <s v="EQZ64"/>
    <n v="10.39"/>
    <n v="5"/>
    <s v="ร้านที่1"/>
    <s v="ประดับดาว  จันทร์สว่าง"/>
    <s v="199/1 ม.2 ต.เคียนซา_x000a__x000a_เคียนซา/ Khian Saสุราษฎร์ธานี/ Surat Thani_x000a_84260"/>
    <s v="84260"/>
    <s v="660622426640"/>
    <s v="09/01/2025 20:13"/>
    <s v="-"/>
    <s v="Kerry_dropoff"/>
    <s v="Lazada"/>
    <s v="lazada"/>
    <s v=""/>
    <s v="-"/>
    <s v="09/01/2025 20:13"/>
  </r>
  <r>
    <x v="10"/>
    <x v="10"/>
    <n v="200"/>
    <n v="1"/>
    <n v="0"/>
    <s v="EQZ63"/>
    <n v="245"/>
    <n v="45"/>
    <s v="ร้านที่1"/>
    <s v="ด***ม้ถอยกระโทก72หมู่3ต.นกออกอ.ปักธงชัยจ.นครราชสีมา30150"/>
    <s v="นครราชสีมา"/>
    <s v="-"/>
    <s v=""/>
    <s v="09/01/2025 20:11"/>
    <s v="-"/>
    <s v="J&amp;T COD"/>
    <s v="Tiktok"/>
    <s v="จ่ายทีหลัง / COD"/>
    <s v=""/>
    <s v="-"/>
    <s v="09/01/2025 20:11"/>
  </r>
  <r>
    <x v="10"/>
    <x v="10"/>
    <n v="200"/>
    <n v="1"/>
    <n v="0"/>
    <s v="EQZ62"/>
    <n v="200"/>
    <n v="0"/>
    <s v="ร้านที่1"/>
    <s v="ค** ล***า"/>
    <s v="กรุงเทพฯ"/>
    <s v="-"/>
    <s v=""/>
    <s v="09/01/2025 20:12"/>
    <s v="-"/>
    <s v="J&amp;T Express"/>
    <s v="Tiktok"/>
    <s v="tiktok"/>
    <s v=""/>
    <s v="-"/>
    <s v="09/01/2025 20:11"/>
  </r>
  <r>
    <x v="10"/>
    <x v="10"/>
    <n v="200"/>
    <n v="1"/>
    <n v="0"/>
    <s v="EQZ61"/>
    <n v="245"/>
    <n v="45"/>
    <s v="ร้านที่1"/>
    <s v="ด***ม้ถอยกระโทก72หมู่3ต.นกออกอ.ปักธงชัยจ.นครราชสีมา30150"/>
    <s v="นครราชสีมา"/>
    <s v="-"/>
    <s v=""/>
    <s v="09/01/2025 20:11"/>
    <s v="-"/>
    <s v="J&amp;T COD"/>
    <s v="Tiktok"/>
    <s v="จ่ายทีหลัง / COD"/>
    <s v=""/>
    <s v="-"/>
    <s v="09/01/2025 20:11"/>
  </r>
  <r>
    <x v="0"/>
    <x v="0"/>
    <n v="100"/>
    <n v="2"/>
    <n v="0"/>
    <s v="EQZ59"/>
    <n v="245"/>
    <n v="45"/>
    <s v="ร้านที่1"/>
    <s v="จ***พร ว***ยยา"/>
    <s v="อุดรธานี"/>
    <s v="-"/>
    <s v=""/>
    <s v="09/01/2025 20:05"/>
    <s v="-"/>
    <s v="J&amp;T COD"/>
    <s v="Tiktok"/>
    <s v="จ่ายทีหลัง / COD"/>
    <s v=""/>
    <s v="-"/>
    <s v="09/01/2025 20:05"/>
  </r>
  <r>
    <x v="0"/>
    <x v="0"/>
    <n v="100"/>
    <n v="2"/>
    <n v="0"/>
    <s v="EQZ58"/>
    <n v="200"/>
    <n v="0"/>
    <s v="ร้านที่1"/>
    <s v="จ***ณี อ***ร์ทอง"/>
    <s v="สุราษฎร์ธานี"/>
    <s v="-"/>
    <s v=""/>
    <s v="09/01/2025 20:02"/>
    <s v="-"/>
    <s v="J&amp;T COD"/>
    <s v="Tiktok"/>
    <s v="จ่ายทีหลัง / COD"/>
    <s v=""/>
    <s v="-"/>
    <s v="09/01/2025 20:02"/>
  </r>
  <r>
    <x v="15"/>
    <x v="15"/>
    <n v="200"/>
    <n v="1"/>
    <n v="0"/>
    <s v="EQZ57"/>
    <n v="200"/>
    <n v="0"/>
    <s v="ร้านที่1"/>
    <s v="ณ***ฤตา ท***กิด"/>
    <s v="นครปฐม"/>
    <s v="-"/>
    <s v=""/>
    <s v="09/01/2025 20:02"/>
    <s v="-"/>
    <s v="J&amp;T COD"/>
    <s v="Tiktok"/>
    <s v="จ่ายทีหลัง / COD"/>
    <s v=""/>
    <s v="-"/>
    <s v="09/01/2025 20:02"/>
  </r>
  <r>
    <x v="3"/>
    <x v="3"/>
    <n v="100"/>
    <n v="1"/>
    <n v="0"/>
    <s v="EQZ56"/>
    <n v="106"/>
    <n v="6"/>
    <s v="ร้านที่1"/>
    <s v="B*** ต***ม"/>
    <s v="ชลบุรี"/>
    <s v="-"/>
    <s v=""/>
    <s v="09/01/2025 20:01"/>
    <s v="-"/>
    <s v="J&amp;T COD"/>
    <s v="Tiktok"/>
    <s v="จ่ายทีหลัง / COD"/>
    <s v=""/>
    <s v="-"/>
    <s v="09/01/2025 20:01"/>
  </r>
  <r>
    <x v="9"/>
    <x v="4"/>
    <n v="100"/>
    <n v="3"/>
    <n v="0"/>
    <s v="EQZ55"/>
    <n v="300"/>
    <n v="0"/>
    <s v="ร้านที่1"/>
    <s v="น***ิชญ์ ส***์ทอง"/>
    <s v="กรุงเทพฯ"/>
    <s v="-"/>
    <s v=""/>
    <s v="09/01/2025 19:53"/>
    <s v="-"/>
    <s v="J&amp;T Express"/>
    <s v="Tiktok"/>
    <s v="tiktok"/>
    <s v=""/>
    <s v="-"/>
    <s v="09/01/2025 19:53"/>
  </r>
  <r>
    <x v="2"/>
    <x v="2"/>
    <n v="111.6"/>
    <n v="1"/>
    <n v="0"/>
    <s v="EQZ54"/>
    <n v="116.6"/>
    <n v="5"/>
    <s v="ร้านที่1"/>
    <s v="ภัทร์ฐิตา อรรถจิตรากุล"/>
    <s v="สถาบันเทคโนโลยีแห่งเอเชีย (AIT)  แผนกแพทย์ 58 หมู่ 9 ต.คลองหนึ่ง_x000a__x000a_คลองหลวง/ Khlong Luangปทุมธานี/ Pathum Thani_x000a_12120"/>
    <s v="12120"/>
    <s v="660898048245"/>
    <s v="09/01/2025 19:52"/>
    <s v="-"/>
    <s v="Kerry_dropoff"/>
    <s v="Lazada"/>
    <s v="lazada"/>
    <s v=""/>
    <s v="-"/>
    <s v="09/01/2025 19:52"/>
  </r>
  <r>
    <x v="16"/>
    <x v="16"/>
    <n v="250"/>
    <n v="1"/>
    <n v="0"/>
    <s v="EQZ53"/>
    <n v="250"/>
    <n v="0"/>
    <s v="ร้านที่4"/>
    <s v="u***510399365708เกษศิรินทร์  ป***"/>
    <s v="นครปฐม"/>
    <s v="-"/>
    <s v=""/>
    <s v="09/01/2025 19:47"/>
    <s v="-"/>
    <s v="Flash Express Thailand COD"/>
    <s v="Tiktok"/>
    <s v="จ่ายทีหลัง / COD"/>
    <s v=""/>
    <s v="-"/>
    <s v="09/01/2025 19:47"/>
  </r>
  <r>
    <x v="17"/>
    <x v="17"/>
    <n v="800"/>
    <n v="1"/>
    <n v="0"/>
    <s v="EQZ52"/>
    <n v="800"/>
    <n v="0"/>
    <s v="ร้านที่4"/>
    <s v="ก***า ศ***ะนัน"/>
    <s v="กรุงเทพฯ"/>
    <s v="-"/>
    <s v=""/>
    <s v="09/01/2025 19:43"/>
    <s v="-"/>
    <s v="Flash Express Thailand COD"/>
    <s v="Tiktok"/>
    <s v="จ่ายทีหลัง / COD"/>
    <s v=""/>
    <s v="-"/>
    <s v="09/01/2025 19:43"/>
  </r>
  <r>
    <x v="10"/>
    <x v="10"/>
    <n v="200"/>
    <n v="1"/>
    <n v="0"/>
    <s v="EQZ51"/>
    <n v="200"/>
    <n v="0"/>
    <s v="ร้านที่4"/>
    <s v="ย***นา ศ***ิลาศ"/>
    <s v="กรุงเทพมหานคร"/>
    <s v="-"/>
    <s v=""/>
    <s v="-"/>
    <s v="-"/>
    <s v="J&amp;T Express"/>
    <s v="Tiktok"/>
    <s v="-"/>
    <s v=""/>
    <s v="-"/>
    <s v="09/01/2025 19:41"/>
  </r>
  <r>
    <x v="18"/>
    <x v="18"/>
    <n v="117"/>
    <n v="1"/>
    <n v="0"/>
    <s v="EQZ50"/>
    <n v="122"/>
    <n v="5"/>
    <s v="ร้านที่1"/>
    <s v="ลูกเกด"/>
    <s v="33/3/หมู6/ตำบลอิปัน/อำเภอพระแสง · อิปัน/ I-pan_x000a__x000a_พระแสง/ Phrasaengสุราษฎร์ธานี/ Surat Thani_x000a_84210"/>
    <s v="84210"/>
    <s v="660934455302"/>
    <s v="09/01/2025 19:39"/>
    <s v="-"/>
    <s v="Kerry_dropoff"/>
    <s v="Lazada"/>
    <s v="lazada"/>
    <s v=""/>
    <s v="-"/>
    <s v="09/01/2025 19:39"/>
  </r>
  <r>
    <x v="0"/>
    <x v="0"/>
    <n v="100"/>
    <n v="1"/>
    <n v="0"/>
    <s v="EQZ48"/>
    <n v="106"/>
    <n v="6"/>
    <s v="ร้านที่1"/>
    <s v="ว***พงษ์ ป***ะระคะ"/>
    <s v="ฉะเชิงเทรา"/>
    <s v="-"/>
    <s v=""/>
    <s v="09/01/2025 19:27"/>
    <s v="-"/>
    <s v="J&amp;T Express"/>
    <s v="Tiktok"/>
    <s v="tiktok"/>
    <s v=""/>
    <s v="-"/>
    <s v="09/01/2025 19:27"/>
  </r>
  <r>
    <x v="3"/>
    <x v="8"/>
    <n v="105"/>
    <n v="1"/>
    <n v="0"/>
    <s v="EQZ47"/>
    <n v="105"/>
    <n v="0"/>
    <s v="ร้านที่6"/>
    <s v="การินรัตน์ นัยเจริญ"/>
    <s v="61 หมู่ 9 ต บ่อ_x000a__x000a_วังน้อย/ Wang Noiพระนครศรีอยุธยา/ Phra Nakhon Si Ayutthaya_x000a_13170"/>
    <s v="13170"/>
    <s v="660954085324"/>
    <s v="09/01/2025 19:27"/>
    <s v="-"/>
    <s v="Kerry_dropoff"/>
    <s v="Lazada"/>
    <s v="lazada"/>
    <s v=""/>
    <s v="-"/>
    <s v="09/01/2025 19:27"/>
  </r>
  <r>
    <x v="9"/>
    <x v="4"/>
    <n v="100"/>
    <n v="5"/>
    <n v="0"/>
    <s v="EQZ46"/>
    <n v="500"/>
    <n v="0"/>
    <s v="ร้านที่1"/>
    <s v="ก***าภัค บ***สน"/>
    <s v="ปัตตานี"/>
    <s v="-"/>
    <s v=""/>
    <s v="09/01/2025 19:26"/>
    <s v="-"/>
    <s v="J&amp;T Express"/>
    <s v="Tiktok"/>
    <s v="tiktok"/>
    <s v=""/>
    <s v="-"/>
    <s v="09/01/2025 19:24"/>
  </r>
  <r>
    <x v="1"/>
    <x v="1"/>
    <n v="200"/>
    <n v="1"/>
    <n v="0"/>
    <s v="EQZ45"/>
    <n v="300"/>
    <n v="0"/>
    <s v="ร้านที่1"/>
    <s v="อ*** ศ***ุทธิญาณ บ***เลขที่ 1** ห*** 2 แ***อ"/>
    <s v="กำแพงเพชร"/>
    <s v="-"/>
    <s v=""/>
    <s v="09/01/2025 19:25"/>
    <s v="-"/>
    <s v="J&amp;T Express"/>
    <s v="Tiktok"/>
    <s v="tiktok"/>
    <s v=""/>
    <s v="-"/>
    <s v="09/01/2025 19:17"/>
  </r>
  <r>
    <x v="9"/>
    <x v="4"/>
    <n v="100"/>
    <n v="1"/>
    <n v="0"/>
    <s v="EQZ45"/>
    <n v="300"/>
    <n v="0"/>
    <s v="ร้านที่1"/>
    <s v="อ*** ศ***ุทธิญาณ บ***เลขที่ 1** ห*** 2 แ***อ"/>
    <s v="กำแพงเพชร"/>
    <s v="-"/>
    <s v=""/>
    <s v="09/01/2025 19:25"/>
    <s v="-"/>
    <s v="J&amp;T Express"/>
    <s v="Tiktok"/>
    <s v="tiktok"/>
    <s v=""/>
    <s v="-"/>
    <s v="09/01/2025 19:17"/>
  </r>
  <r>
    <x v="0"/>
    <x v="0"/>
    <n v="100"/>
    <n v="1"/>
    <n v="0"/>
    <s v="EQZ41"/>
    <n v="145"/>
    <n v="45"/>
    <s v="ร้านที่1"/>
    <s v="ส***นทิพย์ ส***อง"/>
    <s v="สุราษฎร์ธานี"/>
    <s v="-"/>
    <s v=""/>
    <s v="09/01/2025 19:08"/>
    <s v="-"/>
    <s v="J&amp;T COD"/>
    <s v="Tiktok"/>
    <s v="จ่ายทีหลัง / COD"/>
    <s v=""/>
    <s v="-"/>
    <s v="09/01/2025 19:08"/>
  </r>
  <r>
    <x v="1"/>
    <x v="1"/>
    <n v="200"/>
    <n v="1"/>
    <n v="0"/>
    <s v="EQZ40"/>
    <n v="200"/>
    <n v="0"/>
    <s v="ร้านที่1"/>
    <s v="ข***ชู ฉ***ัย"/>
    <s v="ลพบุรี"/>
    <s v="-"/>
    <s v=""/>
    <s v="09/01/2025 19:07"/>
    <s v="-"/>
    <s v="J&amp;T Express"/>
    <s v="Tiktok"/>
    <s v="tiktok"/>
    <s v="ขอฝอยทอง มะพร้าว เผือก เนยสด ตาลหอม ใบเตย"/>
    <s v="-"/>
    <s v="09/01/2025 19:07"/>
  </r>
  <r>
    <x v="0"/>
    <x v="0"/>
    <n v="100"/>
    <n v="1"/>
    <n v="0"/>
    <s v="EQZ39"/>
    <n v="106"/>
    <n v="6"/>
    <s v="ร้านที่1"/>
    <s v="ม*** ห***วล"/>
    <s v="อุบลราชธานี"/>
    <s v="-"/>
    <s v=""/>
    <s v="09/01/2025 19:07"/>
    <s v="-"/>
    <s v="J&amp;T COD"/>
    <s v="Tiktok"/>
    <s v="จ่ายทีหลัง / COD"/>
    <s v=""/>
    <s v="-"/>
    <s v="09/01/2025 19:07"/>
  </r>
  <r>
    <x v="4"/>
    <x v="4"/>
    <n v="150"/>
    <n v="2"/>
    <n v="0"/>
    <s v="EQZ38"/>
    <n v="345"/>
    <n v="45"/>
    <s v="ร้านที่1"/>
    <s v="พ******)"/>
    <s v="******ง ตำบลสวนผึ้ง อำเภอสวนผึ้ง จังหวัดราชบุรี 70180"/>
    <s v="70180"/>
    <s v="38"/>
    <s v="09/01/2025 19:35"/>
    <s v="-"/>
    <s v="SPX Express"/>
    <s v="Shopee"/>
    <s v="shopee"/>
    <s v=""/>
    <s v="-"/>
    <s v="09/01/2025 19:05"/>
  </r>
  <r>
    <x v="0"/>
    <x v="0"/>
    <n v="100"/>
    <n v="1"/>
    <n v="0"/>
    <s v="EQZ37"/>
    <n v="106"/>
    <n v="6"/>
    <s v="ร้านที่1"/>
    <s v="ท***ีย์ ม***ทธิ์ 5***ู่5 ต***วยพิชัย อ***กชม จ***ย"/>
    <s v="เลย"/>
    <s v="-"/>
    <s v=""/>
    <s v="09/01/2025 19:02"/>
    <s v="-"/>
    <s v="J&amp;T COD"/>
    <s v="Tiktok"/>
    <s v="จ่ายทีหลัง / COD"/>
    <s v=""/>
    <s v="-"/>
    <s v="09/01/2025 19:02"/>
  </r>
  <r>
    <x v="3"/>
    <x v="3"/>
    <n v="100"/>
    <n v="1"/>
    <n v="0"/>
    <s v="EQZ36"/>
    <n v="106"/>
    <n v="6"/>
    <s v="ร้านที่4"/>
    <s v="ธ***า ธ***ัฒน์"/>
    <s v="นครศรีธรรมราช"/>
    <s v="-"/>
    <s v=""/>
    <s v="09/01/2025 19:02"/>
    <s v="-"/>
    <s v="Flash Express Thailand COD"/>
    <s v="Tiktok"/>
    <s v="จ่ายทีหลัง / COD"/>
    <s v=""/>
    <s v="-"/>
    <s v="09/01/2025 19:02"/>
  </r>
  <r>
    <x v="0"/>
    <x v="0"/>
    <n v="100"/>
    <n v="1"/>
    <n v="0"/>
    <s v="EQZ35"/>
    <n v="145"/>
    <n v="45"/>
    <s v="ร้านที่1"/>
    <s v="ป***วดี   เ***กิจ"/>
    <s v="สุราษฎร์ธานี"/>
    <s v="-"/>
    <s v=""/>
    <s v="09/01/2025 18:58"/>
    <s v="-"/>
    <s v="J&amp;T COD"/>
    <s v="Tiktok"/>
    <s v="จ่ายทีหลัง / COD"/>
    <s v=""/>
    <s v="-"/>
    <s v="09/01/2025 18:58"/>
  </r>
  <r>
    <x v="0"/>
    <x v="0"/>
    <n v="100"/>
    <n v="1"/>
    <n v="0"/>
    <s v="EQZ34"/>
    <n v="106"/>
    <n v="6"/>
    <s v="ร้านที่1"/>
    <s v="ป***า พ***พลึง"/>
    <s v="เพชรบุรี"/>
    <s v="-"/>
    <s v=""/>
    <s v="09/01/2025 18:57"/>
    <s v="-"/>
    <s v="J&amp;T Express"/>
    <s v="Tiktok"/>
    <s v="tiktok"/>
    <s v=""/>
    <s v="-"/>
    <s v="09/01/2025 18:57"/>
  </r>
  <r>
    <x v="10"/>
    <x v="10"/>
    <n v="200"/>
    <n v="1"/>
    <n v="0"/>
    <s v="EQZ33"/>
    <n v="200"/>
    <n v="0"/>
    <s v="ร้านที่1"/>
    <s v="ค***ดง"/>
    <s v="ปทุมธานี"/>
    <s v="-"/>
    <s v=""/>
    <s v="09/01/2025 18:52"/>
    <s v="-"/>
    <s v="J&amp;T Express"/>
    <s v="Tiktok"/>
    <s v="tiktok"/>
    <s v=""/>
    <s v="-"/>
    <s v="09/01/2025 18:51"/>
  </r>
  <r>
    <x v="4"/>
    <x v="4"/>
    <n v="100"/>
    <n v="1"/>
    <n v="0"/>
    <s v="EQZ30"/>
    <n v="106"/>
    <n v="6"/>
    <s v="ร้านที่1"/>
    <s v="ณ***ล ห***นชัย"/>
    <s v="ชุมพร"/>
    <s v="-"/>
    <s v=""/>
    <s v="09/01/2025 18:19"/>
    <s v="-"/>
    <s v="J&amp;T COD"/>
    <s v="Tiktok"/>
    <s v="จ่ายทีหลัง / COD"/>
    <s v=""/>
    <s v="-"/>
    <s v="09/01/2025 18:19"/>
  </r>
  <r>
    <x v="1"/>
    <x v="1"/>
    <n v="200"/>
    <n v="1"/>
    <n v="0"/>
    <s v="EQZ29"/>
    <n v="200"/>
    <n v="0"/>
    <s v="ร้านที่1"/>
    <s v="ก*** ป***สุวรรณ์"/>
    <s v="สมุทรสาคร"/>
    <s v="-"/>
    <s v=""/>
    <s v="09/01/2025 18:05"/>
    <s v="-"/>
    <s v="J&amp;T COD"/>
    <s v="Tiktok"/>
    <s v="จ่ายทีหลัง / COD"/>
    <s v=""/>
    <s v="-"/>
    <s v="09/01/2025 18:05"/>
  </r>
  <r>
    <x v="1"/>
    <x v="1"/>
    <n v="200"/>
    <n v="1"/>
    <n v="0"/>
    <s v="EQZ28"/>
    <n v="200"/>
    <n v="0"/>
    <s v="ร้านที่1"/>
    <s v="พ***พา ด***วิเศษ"/>
    <s v="กาญจนบุรี"/>
    <s v="-"/>
    <s v=""/>
    <s v="09/01/2025 17:51"/>
    <s v="-"/>
    <s v="J&amp;T COD"/>
    <s v="Tiktok"/>
    <s v="จ่ายทีหลัง / COD"/>
    <s v=""/>
    <s v="-"/>
    <s v="09/01/2025 17:51"/>
  </r>
  <r>
    <x v="4"/>
    <x v="4"/>
    <n v="100"/>
    <n v="1"/>
    <n v="0"/>
    <s v="EQZ27"/>
    <n v="106"/>
    <n v="6"/>
    <s v="ร้านที่1"/>
    <s v="อ***มา"/>
    <s v="ระยอง"/>
    <s v="-"/>
    <s v=""/>
    <s v="09/01/2025 17:44"/>
    <s v="-"/>
    <s v="J&amp;T COD"/>
    <s v="Tiktok"/>
    <s v="จ่ายทีหลัง / COD"/>
    <s v=""/>
    <s v="-"/>
    <s v="09/01/2025 17:44"/>
  </r>
  <r>
    <x v="1"/>
    <x v="1"/>
    <n v="200"/>
    <n v="1"/>
    <n v="0"/>
    <s v="EQZ25"/>
    <n v="200"/>
    <n v="0"/>
    <s v="ร้านที่1"/>
    <s v="จ***อ.จรูญ ก***ินทร์"/>
    <s v="สระบุรี"/>
    <s v="-"/>
    <s v=""/>
    <s v="09/01/2025 17:34"/>
    <s v="-"/>
    <s v="J&amp;T Express"/>
    <s v="Tiktok"/>
    <s v="tiktok"/>
    <s v=""/>
    <s v="-"/>
    <s v="09/01/2025 17:32"/>
  </r>
  <r>
    <x v="0"/>
    <x v="0"/>
    <n v="100"/>
    <n v="1"/>
    <n v="0"/>
    <s v="EQZ24"/>
    <n v="145"/>
    <n v="45"/>
    <s v="ร้านที่1"/>
    <s v="เ***นี ส***ิสังข์"/>
    <s v="สุรินทร์"/>
    <s v="-"/>
    <s v=""/>
    <s v="09/01/2025 17:26"/>
    <s v="-"/>
    <s v="J&amp;T COD"/>
    <s v="Tiktok"/>
    <s v="จ่ายทีหลัง / COD"/>
    <s v=""/>
    <s v="-"/>
    <s v="09/01/2025 17:26"/>
  </r>
  <r>
    <x v="0"/>
    <x v="0"/>
    <n v="100"/>
    <n v="1"/>
    <n v="0"/>
    <s v="EQZ23"/>
    <n v="200"/>
    <n v="0"/>
    <s v="ร้านที่4"/>
    <s v="น***นา ภ***จริญ"/>
    <s v="ฉะเชิงเทรา"/>
    <s v="-"/>
    <s v=""/>
    <s v="09/01/2025 17:25"/>
    <s v="-"/>
    <s v="Flash Express Thailand COD"/>
    <s v="Tiktok"/>
    <s v="จ่ายทีหลัง / COD"/>
    <s v=""/>
    <s v="-"/>
    <s v="09/01/2025 17:25"/>
  </r>
  <r>
    <x v="4"/>
    <x v="4"/>
    <n v="100"/>
    <n v="1"/>
    <n v="0"/>
    <s v="EQZ23"/>
    <n v="200"/>
    <n v="0"/>
    <s v="ร้านที่4"/>
    <s v="น***นา ภ***จริญ"/>
    <s v="ฉะเชิงเทรา"/>
    <s v="-"/>
    <s v=""/>
    <s v="09/01/2025 17:25"/>
    <s v="-"/>
    <s v="Flash Express Thailand COD"/>
    <s v="Tiktok"/>
    <s v="จ่ายทีหลัง / COD"/>
    <s v=""/>
    <s v="-"/>
    <s v="09/01/2025 17:25"/>
  </r>
  <r>
    <x v="0"/>
    <x v="0"/>
    <n v="100"/>
    <n v="1"/>
    <n v="0"/>
    <s v="EQZ21"/>
    <n v="106"/>
    <n v="6"/>
    <s v="ร้านที่4"/>
    <s v="ฉ***ชัย อ***ศวัฒนะ"/>
    <s v="ชุมพร"/>
    <s v="-"/>
    <s v=""/>
    <s v="09/01/2025 17:13"/>
    <s v="-"/>
    <s v="Flash Express Thailand COD"/>
    <s v="Tiktok"/>
    <s v="จ่ายทีหลัง / COD"/>
    <s v=""/>
    <s v="-"/>
    <s v="09/01/2025 17:13"/>
  </r>
  <r>
    <x v="0"/>
    <x v="0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9"/>
    <x v="4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3"/>
    <x v="3"/>
    <n v="100"/>
    <n v="1"/>
    <n v="0"/>
    <s v="EQZ20"/>
    <n v="300"/>
    <n v="0"/>
    <s v="ร้านที่4"/>
    <s v="พ***าภรณ์ ผ***ผา"/>
    <s v="หนองบัวลำภู"/>
    <s v="-"/>
    <s v=""/>
    <s v="09/01/2025 17:10"/>
    <s v="-"/>
    <s v="Flash Express Thailand"/>
    <s v="Tiktok"/>
    <s v="tiktok"/>
    <s v=""/>
    <s v="-"/>
    <s v="09/01/2025 17:10"/>
  </r>
  <r>
    <x v="9"/>
    <x v="4"/>
    <n v="100"/>
    <n v="1"/>
    <n v="0"/>
    <s v="EQZ19"/>
    <n v="100"/>
    <n v="0"/>
    <s v="ร้านที่4"/>
    <s v="ห***ทิพย์ เ***รพิทักษ์"/>
    <s v="นครนายก"/>
    <s v="-"/>
    <s v=""/>
    <s v="09/01/2025 17:09"/>
    <s v="-"/>
    <s v="Flash Express Thailand COD"/>
    <s v="Tiktok"/>
    <s v="จ่ายทีหลัง / COD"/>
    <s v=""/>
    <s v="-"/>
    <s v="09/01/2025 17:09"/>
  </r>
  <r>
    <x v="10"/>
    <x v="10"/>
    <n v="2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3"/>
    <x v="3"/>
    <n v="1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0"/>
    <x v="0"/>
    <n v="100"/>
    <n v="1"/>
    <n v="0"/>
    <s v="EQZ18"/>
    <n v="400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09/01/2025 17:08"/>
  </r>
  <r>
    <x v="0"/>
    <x v="0"/>
    <n v="100"/>
    <n v="1"/>
    <n v="0"/>
    <s v="EQZ17"/>
    <n v="300"/>
    <n v="0"/>
    <s v="ร้านที่1"/>
    <s v="ป***าภรณ์  ม***ศรี"/>
    <s v="เลย"/>
    <s v="-"/>
    <s v=""/>
    <s v="09/01/2025 17:06"/>
    <s v="-"/>
    <s v="J&amp;T COD"/>
    <s v="Tiktok"/>
    <s v="จ่ายทีหลัง / COD"/>
    <s v=""/>
    <s v="-"/>
    <s v="09/01/2025 17:06"/>
  </r>
  <r>
    <x v="1"/>
    <x v="1"/>
    <n v="200"/>
    <n v="1"/>
    <n v="0"/>
    <s v="EQZ17"/>
    <n v="300"/>
    <n v="0"/>
    <s v="ร้านที่1"/>
    <s v="ป***าภรณ์  ม***ศรี"/>
    <s v="เลย"/>
    <s v="-"/>
    <s v=""/>
    <s v="09/01/2025 17:06"/>
    <s v="-"/>
    <s v="J&amp;T COD"/>
    <s v="Tiktok"/>
    <s v="จ่ายทีหลัง / COD"/>
    <s v=""/>
    <s v="-"/>
    <s v="09/01/2025 17:06"/>
  </r>
  <r>
    <x v="0"/>
    <x v="0"/>
    <n v="100"/>
    <n v="1"/>
    <n v="0"/>
    <s v="EQZ16"/>
    <n v="106"/>
    <n v="6"/>
    <s v="ร้านที่1"/>
    <s v="ก*** ป***งพันธ์"/>
    <s v="ระยอง"/>
    <s v="-"/>
    <s v=""/>
    <s v="09/01/2025 17:05"/>
    <s v="-"/>
    <s v="J&amp;T COD"/>
    <s v="Tiktok"/>
    <s v="จ่ายทีหลัง / COD"/>
    <s v=""/>
    <s v="-"/>
    <s v="09/01/2025 17:05"/>
  </r>
  <r>
    <x v="3"/>
    <x v="3"/>
    <n v="100"/>
    <n v="1"/>
    <n v="0"/>
    <s v="EQZ15"/>
    <n v="150"/>
    <n v="0"/>
    <s v="ร้านที่1"/>
    <s v="อ***มพร ผ***ล"/>
    <s v="พระนครศรีอยุธยา"/>
    <s v="-"/>
    <s v=""/>
    <s v="09/01/2025 17:01"/>
    <s v="-"/>
    <s v="J&amp;T COD"/>
    <s v="Tiktok"/>
    <s v="จ่ายทีหลัง / COD"/>
    <s v=""/>
    <s v="-"/>
    <s v="09/01/2025 17:01"/>
  </r>
  <r>
    <x v="0"/>
    <x v="0"/>
    <n v="100"/>
    <n v="1"/>
    <n v="0"/>
    <s v="EQZ14"/>
    <n v="129"/>
    <n v="29"/>
    <s v="ร้านที่1"/>
    <s v="น** ก***นก"/>
    <s v="พิจิตร"/>
    <s v="-"/>
    <s v=""/>
    <s v="09/01/2025 16:55"/>
    <s v="-"/>
    <s v="J&amp;T COD"/>
    <s v="Tiktok"/>
    <s v="จ่ายทีหลัง / COD"/>
    <s v=""/>
    <s v="-"/>
    <s v="09/01/2025 16:55"/>
  </r>
  <r>
    <x v="0"/>
    <x v="0"/>
    <n v="100"/>
    <n v="1"/>
    <n v="0"/>
    <s v="EQZ13"/>
    <n v="106"/>
    <n v="6"/>
    <s v="ร้านที่1"/>
    <s v="ป*** อ***ะ"/>
    <s v="อุดรธานี"/>
    <s v="-"/>
    <s v=""/>
    <s v="09/01/2025 16:53"/>
    <s v="-"/>
    <s v="J&amp;T COD"/>
    <s v="Tiktok"/>
    <s v="จ่ายทีหลัง / COD"/>
    <s v=""/>
    <s v="-"/>
    <s v="09/01/2025 16:53"/>
  </r>
  <r>
    <x v="0"/>
    <x v="0"/>
    <n v="100"/>
    <n v="1"/>
    <n v="0"/>
    <s v="EQZ12"/>
    <n v="106"/>
    <n v="6"/>
    <s v="ร้านที่1"/>
    <s v="ก***า ส***ก้ว"/>
    <s v="กรุงเทพฯ"/>
    <s v="-"/>
    <s v=""/>
    <s v="09/01/2025 16:45"/>
    <s v="-"/>
    <s v="J&amp;T COD"/>
    <s v="Tiktok"/>
    <s v="จ่ายทีหลัง / COD"/>
    <s v=""/>
    <s v="-"/>
    <s v="09/01/2025 16:46"/>
  </r>
  <r>
    <x v="1"/>
    <x v="1"/>
    <n v="200"/>
    <n v="2"/>
    <n v="0"/>
    <s v="EQZ11"/>
    <n v="400"/>
    <n v="0"/>
    <s v="ร้านที่1"/>
    <s v="ส***รณา โ***ือง"/>
    <s v="กรุงเทพฯ"/>
    <s v="-"/>
    <s v=""/>
    <s v="09/01/2025 16:38"/>
    <s v="-"/>
    <s v="J&amp;T COD"/>
    <s v="Tiktok"/>
    <s v="จ่ายทีหลัง / COD"/>
    <s v=""/>
    <s v="-"/>
    <s v="09/01/2025 16:38"/>
  </r>
  <r>
    <x v="0"/>
    <x v="0"/>
    <n v="100"/>
    <n v="2"/>
    <n v="0"/>
    <s v="EQZ6"/>
    <n v="200"/>
    <n v="0"/>
    <s v="ร้านที่1"/>
    <s v="ม***วีณา414"/>
    <s v="ปทุมธานี"/>
    <s v="-"/>
    <s v=""/>
    <s v="09/01/2025 16:33"/>
    <s v="-"/>
    <s v="J&amp;T COD"/>
    <s v="Tiktok"/>
    <s v="จ่ายทีหลัง / COD"/>
    <s v=""/>
    <s v="-"/>
    <s v="09/01/2025 16:33"/>
  </r>
  <r>
    <x v="2"/>
    <x v="2"/>
    <n v="102"/>
    <n v="1"/>
    <n v="0"/>
    <s v="EQZ5"/>
    <n v="249"/>
    <n v="45"/>
    <s v="ร้านที่1"/>
    <s v="มาลินี สำโรง"/>
    <s v="14/3 ม.3 ต.พิมพา_x000a__x000a_บางปะกง/ Bang Pakongฉะเชิงเทรา/ Chachoengsao_x000a_24130"/>
    <s v="24130"/>
    <s v="660925584120"/>
    <s v="09/01/2025 16:33"/>
    <s v="-"/>
    <s v="Kerry_dropoff"/>
    <s v="Lazada"/>
    <s v="lazada"/>
    <s v=""/>
    <s v="-"/>
    <s v="09/01/2025 16:33"/>
  </r>
  <r>
    <x v="2"/>
    <x v="2"/>
    <n v="102"/>
    <n v="1"/>
    <n v="0"/>
    <s v="EQZ5"/>
    <n v="249"/>
    <n v="45"/>
    <s v="ร้านที่1"/>
    <s v="มาลินี สำโรง"/>
    <s v="14/3 ม.3 ต.พิมพา_x000a__x000a_บางปะกง/ Bang Pakongฉะเชิงเทรา/ Chachoengsao_x000a_24130"/>
    <s v="24130"/>
    <s v="660925584120"/>
    <s v="09/01/2025 16:33"/>
    <s v="-"/>
    <s v="Kerry_dropoff"/>
    <s v="Lazada"/>
    <s v="lazada"/>
    <s v=""/>
    <s v="-"/>
    <s v="09/01/2025 16:33"/>
  </r>
  <r>
    <x v="5"/>
    <x v="5"/>
    <n v="330"/>
    <n v="1"/>
    <n v="0"/>
    <s v="EQZ4"/>
    <n v="330"/>
    <n v="0"/>
    <s v="ร้านที่1"/>
    <s v="ช***านต์ ร***ยวิโรจน์การค้า"/>
    <s v="นครศรีธรรมราช"/>
    <s v="-"/>
    <s v=""/>
    <s v="09/01/2025 16:33"/>
    <s v="-"/>
    <s v="J&amp;T COD"/>
    <s v="Tiktok"/>
    <s v="จ่ายทีหลัง / COD"/>
    <s v=""/>
    <s v="-"/>
    <s v="09/01/2025 16:33"/>
  </r>
  <r>
    <x v="0"/>
    <x v="0"/>
    <n v="100"/>
    <n v="1"/>
    <n v="0"/>
    <s v="EQZ2"/>
    <n v="100"/>
    <n v="0"/>
    <s v="ร้านที่1"/>
    <s v="ว***ตา อ***"/>
    <s v="พระนครศรีอยุธยา"/>
    <s v="-"/>
    <s v=""/>
    <s v="09/01/2025 16:24"/>
    <s v="-"/>
    <s v="J&amp;T COD"/>
    <s v="Tiktok"/>
    <s v="จ่ายทีหลัง / COD"/>
    <s v=""/>
    <s v="-"/>
    <s v="09/01/2025 16:24"/>
  </r>
  <r>
    <x v="3"/>
    <x v="3"/>
    <n v="100"/>
    <n v="1"/>
    <n v="0"/>
    <s v="EQZ0"/>
    <n v="129"/>
    <n v="29"/>
    <s v="ร้านที่4"/>
    <s v="ก***กร ว***ล"/>
    <s v="นครสวรรค์"/>
    <s v="-"/>
    <s v=""/>
    <s v="09/01/2025 16:14"/>
    <s v="-"/>
    <s v="Flash Express Thailand COD"/>
    <s v="Tiktok"/>
    <s v="จ่ายทีหลัง / COD"/>
    <s v=""/>
    <s v="-"/>
    <s v="09/01/2025 16:14"/>
  </r>
  <r>
    <x v="0"/>
    <x v="0"/>
    <n v="100"/>
    <n v="1"/>
    <n v="0"/>
    <s v="EQY99"/>
    <n v="200"/>
    <n v="0"/>
    <s v="ร้านที่4"/>
    <s v="น** โ***า ห***ุวรรณ์"/>
    <s v="ชัยภูมิ"/>
    <s v="-"/>
    <s v=""/>
    <s v="09/01/2025 16:11"/>
    <s v="-"/>
    <s v="Flash Express Thailand COD"/>
    <s v="Tiktok"/>
    <s v="จ่ายทีหลัง / COD"/>
    <s v=""/>
    <s v="-"/>
    <s v="09/01/2025 16:11"/>
  </r>
  <r>
    <x v="3"/>
    <x v="3"/>
    <n v="100"/>
    <n v="1"/>
    <n v="0"/>
    <s v="EQY99"/>
    <n v="200"/>
    <n v="0"/>
    <s v="ร้านที่4"/>
    <s v="น** โ***า ห***ุวรรณ์"/>
    <s v="ชัยภูมิ"/>
    <s v="-"/>
    <s v=""/>
    <s v="09/01/2025 16:11"/>
    <s v="-"/>
    <s v="Flash Express Thailand COD"/>
    <s v="Tiktok"/>
    <s v="จ่ายทีหลัง / COD"/>
    <s v=""/>
    <s v="-"/>
    <s v="09/01/2025 16:11"/>
  </r>
  <r>
    <x v="1"/>
    <x v="1"/>
    <n v="200"/>
    <n v="1"/>
    <n v="0"/>
    <s v="EQY98"/>
    <n v="200"/>
    <n v="0"/>
    <s v="ร้านที่1"/>
    <s v="ช***มา  พ***ขตนคร"/>
    <s v="จังหวัดนครสวรรค์"/>
    <s v="-"/>
    <s v=""/>
    <s v="09/01/2025 16:04"/>
    <s v="-"/>
    <s v="J&amp;T COD"/>
    <s v="Tiktok"/>
    <s v="จ่ายทีหลัง / COD"/>
    <s v=""/>
    <s v="-"/>
    <s v="09/01/2025 16:04"/>
  </r>
  <r>
    <x v="9"/>
    <x v="4"/>
    <n v="100"/>
    <n v="2"/>
    <n v="0"/>
    <s v="EQY97"/>
    <n v="200"/>
    <n v="0"/>
    <s v="ร้านที่1"/>
    <s v="เ***น ป***าปิง"/>
    <s v="นครปฐม"/>
    <s v="-"/>
    <s v=""/>
    <s v="09/01/2025 16:03"/>
    <s v="-"/>
    <s v="J&amp;T COD"/>
    <s v="Tiktok"/>
    <s v="จ่ายทีหลัง / COD"/>
    <s v=""/>
    <s v="-"/>
    <s v="09/01/2025 16:03"/>
  </r>
  <r>
    <x v="0"/>
    <x v="0"/>
    <n v="100"/>
    <n v="2"/>
    <n v="0"/>
    <s v="EQY95"/>
    <n v="200"/>
    <n v="0"/>
    <s v="ร้านที่4"/>
    <s v="น***ยะห์  พ***สวย"/>
    <s v="ฉะเชิงเทรา"/>
    <s v="-"/>
    <s v=""/>
    <s v="09/01/2025 16:01"/>
    <s v="-"/>
    <s v="Flash Express Thailand COD"/>
    <s v="Tiktok"/>
    <s v="จ่ายทีหลัง / COD"/>
    <s v=""/>
    <s v="-"/>
    <s v="09/01/2025 16:01"/>
  </r>
  <r>
    <x v="1"/>
    <x v="1"/>
    <n v="200"/>
    <n v="1"/>
    <n v="0"/>
    <s v="EQY94"/>
    <n v="200"/>
    <n v="0"/>
    <s v="ร้านที่1"/>
    <s v="ค** ย***น"/>
    <s v="กรุงเทพฯ"/>
    <s v="-"/>
    <s v=""/>
    <s v="09/01/2025 15:59"/>
    <s v="-"/>
    <s v="J&amp;T COD"/>
    <s v="Tiktok"/>
    <s v="จ่ายทีหลัง / COD"/>
    <s v=""/>
    <s v="-"/>
    <s v="09/01/2025 15:59"/>
  </r>
  <r>
    <x v="4"/>
    <x v="4"/>
    <n v="100"/>
    <n v="2"/>
    <n v="0"/>
    <s v="EQY93"/>
    <n v="200"/>
    <n v="0"/>
    <s v="ร้านที่1"/>
    <s v="ส***มล  แ***ข้อ   ซ***้านปะยางก่อนถึง อ***"/>
    <s v="นครราชสีมา"/>
    <s v="-"/>
    <s v=""/>
    <s v="09/01/2025 15:55"/>
    <s v="-"/>
    <s v="J&amp;T Express"/>
    <s v="Tiktok"/>
    <s v="tiktok"/>
    <s v=""/>
    <s v="-"/>
    <s v="09/01/2025 15:55"/>
  </r>
  <r>
    <x v="1"/>
    <x v="1"/>
    <n v="200"/>
    <n v="1"/>
    <n v="0"/>
    <s v="EQY92"/>
    <n v="200"/>
    <n v="0"/>
    <s v="ร้านที่1"/>
    <s v="ธ***ร ส***วง พ***ตอร์"/>
    <s v="อำนาจเจริญ"/>
    <s v="-"/>
    <s v=""/>
    <s v="09/01/2025 15:55"/>
    <s v="-"/>
    <s v="J&amp;T Express"/>
    <s v="Tiktok"/>
    <s v="tiktok"/>
    <s v=""/>
    <s v="-"/>
    <s v="09/01/2025 15:55"/>
  </r>
  <r>
    <x v="1"/>
    <x v="1"/>
    <n v="200"/>
    <n v="1"/>
    <n v="0"/>
    <s v="EQY91"/>
    <n v="200"/>
    <n v="0"/>
    <s v="ร้านที่1"/>
    <s v="อ*** ย***ย็น"/>
    <s v="ปทุมธานี"/>
    <s v="-"/>
    <s v=""/>
    <s v="09/01/2025 15:48"/>
    <s v="-"/>
    <s v="J&amp;T COD"/>
    <s v="Tiktok"/>
    <s v="จ่ายทีหลัง / COD"/>
    <s v=""/>
    <s v="-"/>
    <s v="09/01/2025 15:48"/>
  </r>
  <r>
    <x v="1"/>
    <x v="1"/>
    <n v="200"/>
    <n v="1"/>
    <n v="0"/>
    <s v="EQY90"/>
    <n v="200"/>
    <n v="0"/>
    <s v="ร้านที่1"/>
    <s v="อ*** ย***ย็น"/>
    <s v="ปทุมธานี"/>
    <s v="-"/>
    <s v=""/>
    <s v="09/01/2025 15:47"/>
    <s v="-"/>
    <s v="J&amp;T COD"/>
    <s v="Tiktok"/>
    <s v="จ่ายทีหลัง / COD"/>
    <s v=""/>
    <s v="-"/>
    <s v="09/01/2025 15:48"/>
  </r>
  <r>
    <x v="0"/>
    <x v="0"/>
    <n v="100"/>
    <n v="1"/>
    <n v="0"/>
    <s v="EQY88"/>
    <n v="106"/>
    <n v="6"/>
    <s v="ร้านที่2"/>
    <s v="S** s* S***k"/>
    <s v="สตูล"/>
    <s v="-"/>
    <s v=""/>
    <s v="09/01/2025 15:32"/>
    <s v="-"/>
    <s v="J&amp;T COD"/>
    <s v="Tiktok"/>
    <s v="จ่ายทีหลัง / COD"/>
    <s v=""/>
    <s v="-"/>
    <s v="09/01/2025 15:33"/>
  </r>
  <r>
    <x v="0"/>
    <x v="0"/>
    <n v="100"/>
    <n v="1"/>
    <n v="0"/>
    <s v="EQY87"/>
    <n v="106"/>
    <n v="6"/>
    <s v="ร้านที่2"/>
    <s v="ค*** ว***า"/>
    <s v="มหาสารคาม"/>
    <s v="-"/>
    <s v=""/>
    <s v="09/01/2025 15:29"/>
    <s v="-"/>
    <s v="J&amp;T COD"/>
    <s v="Tiktok"/>
    <s v="จ่ายทีหลัง / COD"/>
    <s v=""/>
    <s v="-"/>
    <s v="09/01/2025 15:29"/>
  </r>
  <r>
    <x v="1"/>
    <x v="1"/>
    <n v="200"/>
    <n v="1"/>
    <n v="0"/>
    <s v="EQY86"/>
    <n v="200"/>
    <n v="0"/>
    <s v="ร้านที่1"/>
    <s v="น***ิยา เ***สังข์"/>
    <s v="สุราษฎร์ธานี"/>
    <s v="-"/>
    <s v=""/>
    <s v="09/01/2025 15:27"/>
    <s v="-"/>
    <s v="J&amp;T COD"/>
    <s v="Tiktok"/>
    <s v="จ่ายทีหลัง / COD"/>
    <s v=""/>
    <s v="-"/>
    <s v="09/01/2025 15:27"/>
  </r>
  <r>
    <x v="19"/>
    <x v="19"/>
    <n v="225"/>
    <n v="2"/>
    <n v="0"/>
    <s v="EQY84"/>
    <n v="450"/>
    <n v="0"/>
    <s v="ร้านที่2"/>
    <s v="น******น"/>
    <s v="******ตำบลหมูสี ตำบลหมูสี อำเภอปากช่อง จังหวัดนครราชสีมา 30130"/>
    <s v="30130"/>
    <s v="97"/>
    <s v="09/01/2025 15:25"/>
    <s v="-"/>
    <s v="SPX Express"/>
    <s v="Shopee"/>
    <s v="shopee"/>
    <s v=""/>
    <s v="-"/>
    <s v="09/01/2025 15:25"/>
  </r>
  <r>
    <x v="0"/>
    <x v="0"/>
    <n v="100"/>
    <n v="1"/>
    <n v="0"/>
    <s v="EQY82"/>
    <n v="106"/>
    <n v="6"/>
    <s v="ร้านที่1"/>
    <s v="ณ***ิดา"/>
    <s v="ร้อยเอ็ด"/>
    <s v="-"/>
    <s v=""/>
    <s v="09/01/2025 15:11"/>
    <s v="-"/>
    <s v="J&amp;T COD"/>
    <s v="Tiktok"/>
    <s v="จ่ายทีหลัง / COD"/>
    <s v=""/>
    <s v="-"/>
    <s v="09/01/2025 15:12"/>
  </r>
  <r>
    <x v="0"/>
    <x v="0"/>
    <n v="100"/>
    <n v="1"/>
    <n v="0"/>
    <s v="EQY81"/>
    <n v="129"/>
    <n v="29"/>
    <s v="ร้านที่1"/>
    <s v="บ***ม"/>
    <s v="พิจิตร"/>
    <s v="-"/>
    <s v=""/>
    <s v="09/01/2025 15:10"/>
    <s v="-"/>
    <s v="J&amp;T COD"/>
    <s v="Tiktok"/>
    <s v="จ่ายทีหลัง / COD"/>
    <s v=""/>
    <s v="-"/>
    <s v="09/01/2025 15:11"/>
  </r>
  <r>
    <x v="1"/>
    <x v="1"/>
    <n v="200"/>
    <n v="1"/>
    <n v="0"/>
    <s v="EQY80"/>
    <n v="200"/>
    <n v="0"/>
    <s v="ร้านที่1"/>
    <s v="อ***์"/>
    <s v="พิษณุโลก"/>
    <s v="-"/>
    <s v=""/>
    <s v="09/01/2025 15:10"/>
    <s v="-"/>
    <s v="Flash Express Thailand COD"/>
    <s v="Tiktok"/>
    <s v="จ่ายทีหลัง / COD"/>
    <s v=""/>
    <s v="-"/>
    <s v="09/01/2025 15:10"/>
  </r>
  <r>
    <x v="20"/>
    <x v="20"/>
    <n v="199"/>
    <n v="1"/>
    <n v="0"/>
    <s v="EQY79"/>
    <n v="206"/>
    <n v="7"/>
    <s v="ร้านที่1"/>
    <s v="ร******ด"/>
    <s v="******่ 99/99 หมู่ 4, ต.บางเสาธง, อำเภอบางเสาธง ตำบลบางเสาธง อำเภอบางเสาธง จังหวัดสมุทรปราการ 10570"/>
    <s v="10570"/>
    <s v="78"/>
    <s v="09/01/2025 15:10"/>
    <s v="-"/>
    <s v="Flash Express"/>
    <s v="Shopee"/>
    <s v="shopee"/>
    <s v=""/>
    <s v="-"/>
    <s v="09/01/2025 15:10"/>
  </r>
  <r>
    <x v="0"/>
    <x v="0"/>
    <n v="100"/>
    <n v="1"/>
    <n v="0"/>
    <s v="EQY78"/>
    <n v="106"/>
    <n v="6"/>
    <s v="ร้านที่1"/>
    <s v="ก***ิธัช ห***งบุญ"/>
    <s v="กรุงเทพฯ"/>
    <s v="-"/>
    <s v=""/>
    <s v="09/01/2025 15:09"/>
    <s v="-"/>
    <s v="J&amp;T COD"/>
    <s v="Tiktok"/>
    <s v="จ่ายทีหลัง / COD"/>
    <s v=""/>
    <s v="-"/>
    <s v="09/01/2025 15:10"/>
  </r>
  <r>
    <x v="1"/>
    <x v="1"/>
    <n v="200"/>
    <n v="1"/>
    <n v="0"/>
    <s v="EQY77"/>
    <n v="200"/>
    <n v="0"/>
    <s v="ร้านที่1"/>
    <s v="น***าวบุษยาภรณ์  อ***เครือ"/>
    <s v="แม่ฮ่องสอน"/>
    <s v="-"/>
    <s v=""/>
    <s v="09/01/2025 15:08"/>
    <s v="-"/>
    <s v="J&amp;T COD"/>
    <s v="Tiktok"/>
    <s v="จ่ายทีหลัง / COD"/>
    <s v=""/>
    <s v="-"/>
    <s v="09/01/2025 15:08"/>
  </r>
  <r>
    <x v="3"/>
    <x v="3"/>
    <n v="100"/>
    <n v="1"/>
    <n v="0"/>
    <s v="EQY76"/>
    <n v="100"/>
    <n v="0"/>
    <s v="ร้านที่4"/>
    <s v="น***าว อ***า ส***ต้"/>
    <s v="สุโขทัย"/>
    <s v="-"/>
    <s v=""/>
    <s v="-"/>
    <s v="-"/>
    <s v="J&amp;T Express"/>
    <s v="Tiktok"/>
    <s v="-"/>
    <s v=""/>
    <s v="-"/>
    <s v="09/01/2025 14:59"/>
  </r>
  <r>
    <x v="21"/>
    <x v="21"/>
    <n v="149"/>
    <n v="1"/>
    <n v="0"/>
    <s v="EQY75"/>
    <n v="149"/>
    <n v="0"/>
    <s v="ร้านที่4"/>
    <s v="n***hamon c***thongraat"/>
    <s v="Samut Sakhon"/>
    <s v="-"/>
    <s v=""/>
    <s v="09/01/2025 14:49"/>
    <s v="-"/>
    <s v="Flash Express Thailand"/>
    <s v="Tiktok"/>
    <s v="tiktok"/>
    <s v=""/>
    <s v="-"/>
    <s v="09/01/2025 14:49"/>
  </r>
  <r>
    <x v="22"/>
    <x v="22"/>
    <n v="130"/>
    <n v="2"/>
    <n v="0"/>
    <s v="EQY73"/>
    <n v="305"/>
    <n v="45"/>
    <s v="ร้านที่1"/>
    <s v="เ******ย"/>
    <s v="******ลโยธะกา อำเภอบางน้ำเปรี้ยว จังหวัดฉะเชิงเทรา 24150"/>
    <s v="24150"/>
    <s v="68"/>
    <s v="09/01/2025 14:48"/>
    <s v="-"/>
    <s v="SPX Express"/>
    <s v="Shopee"/>
    <s v="shopee"/>
    <s v=""/>
    <s v="-"/>
    <s v="09/01/2025 14:47"/>
  </r>
  <r>
    <x v="2"/>
    <x v="2"/>
    <n v="109.1"/>
    <n v="1"/>
    <n v="0"/>
    <s v="EQY72"/>
    <n v="223.2"/>
    <n v="5"/>
    <s v="ร้านที่1"/>
    <s v="ศรีวรรณ ผ่องใส"/>
    <s v="ส่งหน้าโลตัสตลาดสดสุรินทร์_x000a__x000a_เมืองสุรินทร์/ Mueang Surinสุรินทร์/ Surin_x000a_32000"/>
    <s v="32000"/>
    <s v="660894261297"/>
    <s v="09/01/2025 14:47"/>
    <s v="-"/>
    <s v="Kerry_dropoff"/>
    <s v="Lazada"/>
    <s v="lazada"/>
    <s v=""/>
    <s v="-"/>
    <s v="09/01/2025 14:47"/>
  </r>
  <r>
    <x v="2"/>
    <x v="2"/>
    <n v="109.1"/>
    <n v="1"/>
    <n v="0"/>
    <s v="EQY72"/>
    <n v="223.2"/>
    <n v="5"/>
    <s v="ร้านที่1"/>
    <s v="ศรีวรรณ ผ่องใส"/>
    <s v="ส่งหน้าโลตัสตลาดสดสุรินทร์_x000a__x000a_เมืองสุรินทร์/ Mueang Surinสุรินทร์/ Surin_x000a_32000"/>
    <s v="32000"/>
    <s v="660894261297"/>
    <s v="09/01/2025 14:47"/>
    <s v="-"/>
    <s v="Kerry_dropoff"/>
    <s v="Lazada"/>
    <s v="lazada"/>
    <s v=""/>
    <s v="-"/>
    <s v="09/01/2025 14:47"/>
  </r>
  <r>
    <x v="7"/>
    <x v="7"/>
    <n v="9"/>
    <n v="1"/>
    <n v="0"/>
    <s v="EQY71"/>
    <n v="9"/>
    <n v="0"/>
    <s v="ร้านที่1"/>
    <s v="รุจิสรร"/>
    <s v="602/43 ม.โฮมการ์เด้นสระครก หมู่ 6 ถ.รัตนพิธาร · จอหอ/ Cho Ho_x000a__x000a_เมืองนครราชสีมา/ Mueng Nakorn Ratchasimaนครราชสีมา/ Nakhon Ratchasima_x000a_30310"/>
    <s v="30310"/>
    <s v="660986532643"/>
    <s v="09/01/2025 14:46"/>
    <s v="-"/>
    <s v="Kerry_dropoff"/>
    <s v="Lazada"/>
    <s v="lazada"/>
    <s v=""/>
    <s v="-"/>
    <s v="09/01/2025 14:46"/>
  </r>
  <r>
    <x v="0"/>
    <x v="0"/>
    <n v="100"/>
    <n v="1"/>
    <n v="0"/>
    <s v="EQY70"/>
    <n v="106"/>
    <n v="6"/>
    <s v="ร้านที่4"/>
    <s v="อ***า จ***ร์ภิรมย์"/>
    <s v="นครราชสีมา"/>
    <s v="-"/>
    <s v=""/>
    <s v="09/01/2025 14:48"/>
    <s v="-"/>
    <s v="Flash Express Thailand"/>
    <s v="Tiktok"/>
    <s v="tiktok"/>
    <s v=""/>
    <s v="-"/>
    <s v="09/01/2025 14:46"/>
  </r>
  <r>
    <x v="0"/>
    <x v="0"/>
    <n v="100"/>
    <n v="4"/>
    <n v="0"/>
    <s v="EQY69"/>
    <n v="400"/>
    <n v="0"/>
    <s v="ร้านที่1"/>
    <s v="ส***นทา ข***ษ์"/>
    <s v="พิจิตร"/>
    <s v="-"/>
    <s v=""/>
    <s v="09/01/2025 14:46"/>
    <s v="-"/>
    <s v="J&amp;T COD"/>
    <s v="Tiktok"/>
    <s v="จ่ายทีหลัง / COD"/>
    <s v=""/>
    <s v="-"/>
    <s v="09/01/2025 14:46"/>
  </r>
  <r>
    <x v="3"/>
    <x v="3"/>
    <n v="100"/>
    <n v="1"/>
    <n v="0"/>
    <s v="EQY68"/>
    <n v="106"/>
    <n v="6"/>
    <s v="ร้านที่4"/>
    <s v="ก***าวีร์ ห***อกพลอย"/>
    <s v="สมุทรปราการ"/>
    <s v="-"/>
    <s v=""/>
    <s v="09/01/2025 14:46"/>
    <s v="-"/>
    <s v="Flash Express Thailand"/>
    <s v="Tiktok"/>
    <s v="tiktok"/>
    <s v=""/>
    <s v="-"/>
    <s v="09/01/2025 14:46"/>
  </r>
  <r>
    <x v="1"/>
    <x v="1"/>
    <n v="200"/>
    <n v="1"/>
    <n v="0"/>
    <s v="EQY66"/>
    <n v="200"/>
    <n v="0"/>
    <s v="ร้านที่2"/>
    <s v="ธ***ลย์ เ***"/>
    <s v="อุดรธานี"/>
    <s v="-"/>
    <s v=""/>
    <s v="09/01/2025 14:42"/>
    <s v="-"/>
    <s v="J&amp;T COD"/>
    <s v="Tiktok"/>
    <s v="จ่ายทีหลัง / COD"/>
    <s v=""/>
    <s v="-"/>
    <s v="09/01/2025 14:42"/>
  </r>
  <r>
    <x v="0"/>
    <x v="0"/>
    <n v="100"/>
    <n v="1"/>
    <n v="0"/>
    <s v="EQY65"/>
    <n v="106"/>
    <n v="6"/>
    <s v="ร้านที่2"/>
    <s v="ว***ล ศ***วราวาท"/>
    <s v="ชลบุรี"/>
    <s v="-"/>
    <s v=""/>
    <s v="09/01/2025 14:41"/>
    <s v="-"/>
    <s v="J&amp;T COD"/>
    <s v="Tiktok"/>
    <s v="จ่ายทีหลัง / COD"/>
    <s v=""/>
    <s v="-"/>
    <s v="09/01/2025 14:41"/>
  </r>
  <r>
    <x v="5"/>
    <x v="5"/>
    <n v="330"/>
    <n v="1"/>
    <n v="0"/>
    <s v="EQY64"/>
    <n v="330"/>
    <n v="0"/>
    <s v="ร้านที่1"/>
    <s v="น***ัศมี อ***วรทัต"/>
    <s v="นครราชสีมา"/>
    <s v="-"/>
    <s v=""/>
    <s v="09/01/2025 14:39"/>
    <s v="-"/>
    <s v="J&amp;T COD"/>
    <s v="Tiktok"/>
    <s v="จ่ายทีหลัง / COD"/>
    <s v=""/>
    <s v="-"/>
    <s v="09/01/2025 14:39"/>
  </r>
  <r>
    <x v="1"/>
    <x v="1"/>
    <n v="200"/>
    <n v="1"/>
    <n v="0"/>
    <s v="EQY61"/>
    <n v="200"/>
    <n v="0"/>
    <s v="ร้านที่1"/>
    <s v="แ***ม"/>
    <s v="นครราชสีมา"/>
    <s v="-"/>
    <s v=""/>
    <s v="09/01/2025 14:27"/>
    <s v="-"/>
    <s v="J&amp;T COD"/>
    <s v="Tiktok"/>
    <s v="จ่ายทีหลัง / COD"/>
    <s v=""/>
    <s v="-"/>
    <s v="09/01/2025 14:27"/>
  </r>
  <r>
    <x v="19"/>
    <x v="19"/>
    <n v="225"/>
    <n v="10"/>
    <n v="0"/>
    <s v="EQY59"/>
    <n v="2346"/>
    <n v="96"/>
    <s v="ร้านที่2"/>
    <s v="แ*ค"/>
    <s v="******ำเภอท่าวุ้ง ตำบลบางลี่ อำเภอท่าวุ้ง จังหวัดลพบุรี 15150"/>
    <s v="15150"/>
    <s v="55"/>
    <s v="09/01/2025 14:52"/>
    <s v="-"/>
    <s v="SPX Express"/>
    <s v="Shopee"/>
    <s v="shopee"/>
    <s v=""/>
    <s v="-"/>
    <s v="09/01/2025 14:22"/>
  </r>
  <r>
    <x v="19"/>
    <x v="19"/>
    <n v="225"/>
    <n v="10"/>
    <n v="0"/>
    <s v="EQY58"/>
    <n v="2346"/>
    <n v="96"/>
    <s v="ร้านที่2"/>
    <s v="แ*ค"/>
    <s v="******ำเภอท่าวุ้ง ตำบลบางลี่ อำเภอท่าวุ้ง จังหวัดลพบุรี 15150"/>
    <s v="15150"/>
    <s v="55"/>
    <s v="09/01/2025 14:52"/>
    <s v="-"/>
    <s v="SPX Express"/>
    <s v="Shopee"/>
    <s v="shopee"/>
    <s v=""/>
    <s v="-"/>
    <s v="09/01/2025 14:22"/>
  </r>
  <r>
    <x v="3"/>
    <x v="23"/>
    <n v="150"/>
    <n v="1"/>
    <n v="0"/>
    <s v="EQY57"/>
    <n v="195"/>
    <n v="45"/>
    <s v="ร้านที่1"/>
    <s v="ชนิกานต์ รำเพย วิโรจน์การค้า"/>
    <s v="201/1 ม.7 ต.ปริก อ.ทุ่งใหญ่_x000a__x000a_ทุ่งใหญ่/ Thung Yaiนครศรีธรรมราช/ Nakhon Si Thammarat_x000a_80240"/>
    <s v="80240"/>
    <s v="660986760387"/>
    <s v="09/01/2025 14:20"/>
    <s v="-"/>
    <s v="Kerry_dropoff"/>
    <s v="Lazada"/>
    <s v="lazada"/>
    <s v=""/>
    <s v="-"/>
    <s v="09/01/2025 14:20"/>
  </r>
  <r>
    <x v="3"/>
    <x v="23"/>
    <n v="150"/>
    <n v="1"/>
    <n v="0"/>
    <s v="EQY56"/>
    <n v="195"/>
    <n v="45"/>
    <s v="ร้านที่1"/>
    <s v="คุณ มายยย**********"/>
    <s v="คุณหลวงเรสซิเดนซ์มิ้นท์ห้อง 43 โทร 0812650360 คุณหลวงเรสซิเดนซ์มิ้นท์ห้อง 43 โทร 0812650360 68 ลาดพร้าว 124 พลับพลา วังทองหลางกรุงเทพมหานคร 10310 · พลับพลา/ Phlapphla_x000a__x000a_วังทองหลาง/ Wang Thonglangกรุงเทพมหานคร/ Bangkok_x000a_10310"/>
    <s v="10310"/>
    <s v=""/>
    <s v="-"/>
    <s v="-"/>
    <s v="Kerry_dropoff"/>
    <s v="Lazada"/>
    <s v="-"/>
    <s v=""/>
    <s v="-"/>
    <s v="09/01/2025 14:18"/>
  </r>
  <r>
    <x v="4"/>
    <x v="4"/>
    <n v="100"/>
    <n v="1"/>
    <n v="0"/>
    <s v="EQY55"/>
    <n v="106"/>
    <n v="6"/>
    <s v="ร้านที่4"/>
    <s v="ค** เ*** ห***ผล"/>
    <s v="สุรินทร์"/>
    <s v="-"/>
    <s v=""/>
    <s v="09/01/2025 14:18"/>
    <s v="-"/>
    <s v="Flash Express Thailand"/>
    <s v="Tiktok"/>
    <s v="tiktok"/>
    <s v=""/>
    <s v="-"/>
    <s v="09/01/2025 14:18"/>
  </r>
  <r>
    <x v="5"/>
    <x v="5"/>
    <n v="330"/>
    <n v="1"/>
    <n v="0"/>
    <s v="EQY53"/>
    <n v="330"/>
    <n v="0"/>
    <s v="ร้านที่1"/>
    <s v="ส***สรีญา​ ใ***้ว"/>
    <s v="กาญจนบุรี"/>
    <s v="-"/>
    <s v=""/>
    <s v="09/01/2025 14:10"/>
    <s v="-"/>
    <s v="J&amp;T COD"/>
    <s v="Tiktok"/>
    <s v="จ่ายทีหลัง / COD"/>
    <s v="เน้นฝอยทองคะ"/>
    <s v="-"/>
    <s v="09/01/2025 14:14"/>
  </r>
  <r>
    <x v="3"/>
    <x v="8"/>
    <n v="84"/>
    <n v="1"/>
    <n v="0"/>
    <s v="EQY52"/>
    <n v="84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9/01/2025 14:12"/>
    <s v="-"/>
    <s v="Kerry_dropoff"/>
    <s v="Lazada"/>
    <s v="lazada"/>
    <s v=""/>
    <s v="-"/>
    <s v="09/01/2025 14:12"/>
  </r>
  <r>
    <x v="4"/>
    <x v="4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3"/>
    <x v="3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0"/>
    <x v="0"/>
    <n v="100"/>
    <n v="1"/>
    <n v="0"/>
    <s v="EQY51"/>
    <n v="300"/>
    <n v="0"/>
    <s v="ร้านที่4"/>
    <s v="ก***ร ส***กษม"/>
    <s v="เทศบาลนครนครศรีธรรมราช"/>
    <s v="-"/>
    <s v=""/>
    <s v="09/01/2025 14:05"/>
    <s v="-"/>
    <s v="Flash Express Thailand"/>
    <s v="Tiktok"/>
    <s v="tiktok"/>
    <s v=""/>
    <s v="-"/>
    <s v="09/01/2025 14:09"/>
  </r>
  <r>
    <x v="0"/>
    <x v="0"/>
    <n v="100"/>
    <n v="1"/>
    <n v="0"/>
    <s v="EQY50"/>
    <n v="106"/>
    <n v="6"/>
    <s v="ร้านที่1"/>
    <s v="ส***ายสุระสรางค์"/>
    <s v="กรุงเทพฯ"/>
    <s v="-"/>
    <s v=""/>
    <s v="-"/>
    <s v="-"/>
    <s v="J&amp;T Express"/>
    <s v="Tiktok"/>
    <s v="-"/>
    <s v=""/>
    <s v="-"/>
    <s v="09/01/2025 14:09"/>
  </r>
  <r>
    <x v="4"/>
    <x v="4"/>
    <n v="100"/>
    <n v="1"/>
    <n v="0"/>
    <s v="EQY49"/>
    <n v="200"/>
    <n v="0"/>
    <s v="ร้านที่2"/>
    <s v="ภ***ี"/>
    <s v="ลำปาง"/>
    <s v="-"/>
    <s v=""/>
    <s v="09/01/2025 14:05"/>
    <s v="-"/>
    <s v="J&amp;T Express"/>
    <s v="Tiktok"/>
    <s v="tiktok"/>
    <s v=""/>
    <s v="-"/>
    <s v="09/01/2025 14:07"/>
  </r>
  <r>
    <x v="9"/>
    <x v="4"/>
    <n v="100"/>
    <n v="1"/>
    <n v="0"/>
    <s v="EQY49"/>
    <n v="200"/>
    <n v="0"/>
    <s v="ร้านที่2"/>
    <s v="ภ***ี"/>
    <s v="ลำปาง"/>
    <s v="-"/>
    <s v=""/>
    <s v="09/01/2025 14:05"/>
    <s v="-"/>
    <s v="J&amp;T Express"/>
    <s v="Tiktok"/>
    <s v="tiktok"/>
    <s v=""/>
    <s v="-"/>
    <s v="09/01/2025 14:07"/>
  </r>
  <r>
    <x v="9"/>
    <x v="4"/>
    <n v="100"/>
    <n v="2"/>
    <n v="0"/>
    <s v="EQY48"/>
    <n v="200"/>
    <n v="0"/>
    <s v="ร้านที่2"/>
    <s v="บ***ิกานต์ เ***ยงคำเรือง"/>
    <s v="มุกดาหาร"/>
    <s v="-"/>
    <s v=""/>
    <s v="09/01/2025 13:57"/>
    <s v="-"/>
    <s v="J&amp;T COD"/>
    <s v="Tiktok"/>
    <s v="จ่ายทีหลัง / COD"/>
    <s v=""/>
    <s v="-"/>
    <s v="09/01/2025 13:57"/>
  </r>
  <r>
    <x v="0"/>
    <x v="0"/>
    <n v="100"/>
    <n v="2"/>
    <n v="0"/>
    <s v="EQY47"/>
    <n v="200"/>
    <n v="0"/>
    <s v="ร้านที่1"/>
    <s v="จ***ภา เ***มวย"/>
    <s v="นครปฐม"/>
    <s v="-"/>
    <s v=""/>
    <s v="09/01/2025 13:56"/>
    <s v="-"/>
    <s v="J&amp;T COD"/>
    <s v="Tiktok"/>
    <s v="จ่ายทีหลัง / COD"/>
    <s v=""/>
    <s v="-"/>
    <s v="09/01/2025 13:56"/>
  </r>
  <r>
    <x v="1"/>
    <x v="1"/>
    <n v="200"/>
    <n v="1"/>
    <n v="0"/>
    <s v="EQY46"/>
    <n v="200"/>
    <n v="0"/>
    <s v="ร้านที่1"/>
    <s v="ล***าฟาร์ม"/>
    <s v="ระยอง"/>
    <s v="-"/>
    <s v=""/>
    <s v="09/01/2025 13:53"/>
    <s v="-"/>
    <s v="J&amp;T Express"/>
    <s v="Tiktok"/>
    <s v="tiktok"/>
    <s v=""/>
    <s v="-"/>
    <s v="09/01/2025 13:52"/>
  </r>
  <r>
    <x v="0"/>
    <x v="0"/>
    <n v="100"/>
    <n v="1"/>
    <n v="0"/>
    <s v="EQY45"/>
    <n v="106"/>
    <n v="6"/>
    <s v="ร้านที่1"/>
    <s v="B**"/>
    <s v="พะเยา"/>
    <s v="-"/>
    <s v=""/>
    <s v="09/01/2025 13:50"/>
    <s v="-"/>
    <s v="J&amp;T COD"/>
    <s v="Tiktok"/>
    <s v="จ่ายทีหลัง / COD"/>
    <s v=""/>
    <s v="-"/>
    <s v="09/01/2025 13:50"/>
  </r>
  <r>
    <x v="3"/>
    <x v="8"/>
    <n v="84"/>
    <n v="1"/>
    <n v="0"/>
    <s v="EQY43"/>
    <n v="84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9/01/2025 13:40"/>
    <s v="-"/>
    <s v="Kerry_dropoff"/>
    <s v="Lazada"/>
    <s v="lazada"/>
    <s v=""/>
    <s v="-"/>
    <s v="09/01/2025 13:40"/>
  </r>
  <r>
    <x v="1"/>
    <x v="1"/>
    <n v="200"/>
    <n v="1"/>
    <n v="0"/>
    <s v="EQY40"/>
    <n v="200"/>
    <n v="0"/>
    <s v="ร้านที่2"/>
    <s v="ล***ลย์ ศ***ิน"/>
    <s v="กาญจนบุรี"/>
    <s v="-"/>
    <s v=""/>
    <s v="09/01/2025 13:37"/>
    <s v="-"/>
    <s v="J&amp;T COD"/>
    <s v="Tiktok"/>
    <s v="จ่ายทีหลัง / COD"/>
    <s v=""/>
    <s v="754429889043"/>
    <s v="09/01/2025 13:37"/>
  </r>
  <r>
    <x v="0"/>
    <x v="0"/>
    <n v="100"/>
    <n v="4"/>
    <n v="0"/>
    <s v="EQY39"/>
    <n v="400"/>
    <n v="0"/>
    <s v="ร้านที่4"/>
    <s v="ด***ภา เ***ิพย์"/>
    <s v="เพชรบุรี"/>
    <s v="-"/>
    <s v=""/>
    <s v="09/01/2025 13:23"/>
    <s v="-"/>
    <s v="Flash Express Thailand COD"/>
    <s v="Tiktok"/>
    <s v="จ่ายทีหลัง / COD"/>
    <s v=""/>
    <s v="THT18081ED6D41Z"/>
    <s v="09/01/2025 13:23"/>
  </r>
  <r>
    <x v="1"/>
    <x v="1"/>
    <n v="200"/>
    <n v="1"/>
    <n v="0"/>
    <s v="EQY38"/>
    <n v="200"/>
    <n v="0"/>
    <s v="ร้านที่1"/>
    <s v="น***ัฒนา ศ***ิเมืองใจ"/>
    <s v="เชียงราย"/>
    <s v="-"/>
    <s v=""/>
    <s v="09/01/2025 13:17"/>
    <s v="-"/>
    <s v="J&amp;T Express"/>
    <s v="Tiktok"/>
    <s v="tiktok"/>
    <s v=""/>
    <s v="754490975092"/>
    <s v="09/01/2025 13:16"/>
  </r>
  <r>
    <x v="9"/>
    <x v="4"/>
    <n v="100"/>
    <n v="10"/>
    <n v="0"/>
    <s v="EQY36"/>
    <n v="1000"/>
    <n v="0"/>
    <s v="ร้านที่4"/>
    <s v="ด***ภา เ***ิพย์"/>
    <s v="เพชรบุรี"/>
    <s v="-"/>
    <s v=""/>
    <s v="09/01/2025 13:14"/>
    <s v="-"/>
    <s v="Flash Express Thailand COD"/>
    <s v="Tiktok"/>
    <s v="จ่ายทีหลัง / COD"/>
    <s v=""/>
    <s v="THT18081ED6BH1Z"/>
    <s v="09/01/2025 13:14"/>
  </r>
  <r>
    <x v="0"/>
    <x v="0"/>
    <n v="100"/>
    <n v="6"/>
    <n v="0"/>
    <s v="EQY35"/>
    <n v="600"/>
    <n v="0"/>
    <s v="ร้านที่4"/>
    <s v="ด***ภา เ***ิพย์"/>
    <s v="เพชรบุรี"/>
    <s v="-"/>
    <s v=""/>
    <s v="09/01/2025 13:08"/>
    <s v="-"/>
    <s v="Flash Express Thailand COD"/>
    <s v="Tiktok"/>
    <s v="จ่ายทีหลัง / COD"/>
    <s v=""/>
    <s v="THT18081ED79V3Z"/>
    <s v="09/01/2025 13:08"/>
  </r>
  <r>
    <x v="4"/>
    <x v="4"/>
    <n v="100"/>
    <n v="1"/>
    <n v="0"/>
    <s v="EQY33"/>
    <n v="129"/>
    <n v="29"/>
    <s v="ร้านที่4"/>
    <s v="ภ***ชนาถ ภ***ศน์"/>
    <s v="สระบุรี"/>
    <s v="-"/>
    <s v=""/>
    <s v="09/01/2025 13:03"/>
    <s v="-"/>
    <s v="Flash Express Thailand COD"/>
    <s v="Tiktok"/>
    <s v="จ่ายทีหลัง / COD"/>
    <s v=""/>
    <s v="THT10031ED6A61Z"/>
    <s v="09/01/2025 13:03"/>
  </r>
  <r>
    <x v="23"/>
    <x v="24"/>
    <n v="1691.2"/>
    <n v="1"/>
    <n v="0"/>
    <s v="EQY32"/>
    <n v="1795.2"/>
    <n v="104"/>
    <s v="ร้านที่9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1/2025 13:01"/>
    <s v="-"/>
    <s v="Kerry_dropoff"/>
    <s v="Lazada"/>
    <s v="lazada"/>
    <s v=""/>
    <s v="LEXDO0124322842"/>
    <s v="09/01/2025 13:01"/>
  </r>
  <r>
    <x v="24"/>
    <x v="25"/>
    <n v="800"/>
    <n v="2"/>
    <n v="0"/>
    <s v="EQY31"/>
    <n v="1734"/>
    <n v="13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3:00"/>
    <s v="-"/>
    <s v="SPX Express"/>
    <s v="Shopee"/>
    <s v="shopee"/>
    <s v=""/>
    <s v="TH250074368949O"/>
    <s v="09/01/2025 13:00"/>
  </r>
  <r>
    <x v="24"/>
    <x v="25"/>
    <n v="800"/>
    <n v="2"/>
    <n v="0"/>
    <s v="EQY30"/>
    <n v="1734"/>
    <n v="13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2:54"/>
    <s v="-"/>
    <s v="SPX Express"/>
    <s v="Shopee"/>
    <s v="shopee"/>
    <s v=""/>
    <s v="TH255297090372F"/>
    <s v="09/01/2025 12:54"/>
  </r>
  <r>
    <x v="10"/>
    <x v="10"/>
    <n v="200"/>
    <n v="1"/>
    <n v="0"/>
    <s v="EQY29"/>
    <n v="200"/>
    <n v="0"/>
    <s v="ร้านที่1"/>
    <s v="ภ***าวดี ข***โต๊ะเร๊ะ"/>
    <s v="สงขลา"/>
    <s v="-"/>
    <s v=""/>
    <s v="09/01/2025 12:53"/>
    <s v="-"/>
    <s v="J&amp;T COD"/>
    <s v="Tiktok"/>
    <s v="จ่ายทีหลัง / COD"/>
    <s v=""/>
    <s v="754449481026"/>
    <s v="09/01/2025 12:54"/>
  </r>
  <r>
    <x v="9"/>
    <x v="4"/>
    <n v="100"/>
    <n v="1"/>
    <n v="0"/>
    <s v="EQY28"/>
    <n v="100"/>
    <n v="0"/>
    <s v="ร้านที่1"/>
    <s v="ป***สรา แ***ศรี"/>
    <s v="เพชรบูรณ์"/>
    <s v="-"/>
    <s v=""/>
    <s v="09/01/2025 12:52"/>
    <s v="-"/>
    <s v="J&amp;T COD"/>
    <s v="Tiktok"/>
    <s v="จ่ายทีหลัง / COD"/>
    <s v=""/>
    <s v="754461088032"/>
    <s v="09/01/2025 12:52"/>
  </r>
  <r>
    <x v="1"/>
    <x v="1"/>
    <n v="200"/>
    <n v="1"/>
    <n v="0"/>
    <s v="EQY27"/>
    <n v="200"/>
    <n v="0"/>
    <s v="ร้านที่2"/>
    <s v="น***อ้ย   ศ***สภณ"/>
    <s v="ลพบุรี"/>
    <s v="-"/>
    <s v=""/>
    <s v="09/01/2025 12:50"/>
    <s v="-"/>
    <s v="J&amp;T COD"/>
    <s v="Tiktok"/>
    <s v="จ่ายทีหลัง / COD"/>
    <s v=""/>
    <s v="754403083033"/>
    <s v="09/01/2025 12:50"/>
  </r>
  <r>
    <x v="0"/>
    <x v="0"/>
    <n v="100"/>
    <n v="1"/>
    <n v="0"/>
    <s v="EQY26"/>
    <n v="200"/>
    <n v="0"/>
    <s v="ร้านที่4"/>
    <s v="ณ***ล แ***งแก"/>
    <s v="สุราษฎร์ธานี"/>
    <s v="-"/>
    <s v=""/>
    <s v="09/01/2025 12:50"/>
    <s v="-"/>
    <s v="Flash Express Thailand COD"/>
    <s v="Tiktok"/>
    <s v="จ่ายทีหลัง / COD"/>
    <s v=""/>
    <s v="THT68161ED7NX5Z"/>
    <s v="09/01/2025 12:50"/>
  </r>
  <r>
    <x v="4"/>
    <x v="4"/>
    <n v="100"/>
    <n v="1"/>
    <n v="0"/>
    <s v="EQY26"/>
    <n v="200"/>
    <n v="0"/>
    <s v="ร้านที่4"/>
    <s v="ณ***ล แ***งแก"/>
    <s v="สุราษฎร์ธานี"/>
    <s v="-"/>
    <s v=""/>
    <s v="09/01/2025 12:50"/>
    <s v="-"/>
    <s v="Flash Express Thailand COD"/>
    <s v="Tiktok"/>
    <s v="จ่ายทีหลัง / COD"/>
    <s v=""/>
    <s v="THT68161ED7NX5Z"/>
    <s v="09/01/2025 12:50"/>
  </r>
  <r>
    <x v="18"/>
    <x v="18"/>
    <n v="139"/>
    <n v="1"/>
    <n v="0"/>
    <s v="EQY25"/>
    <n v="323"/>
    <n v="45"/>
    <s v="ร้านที่1"/>
    <s v="อรพันธ์ุ ทองธิว"/>
    <s v="82/931 ม.20 หมู่บ้านสุธาวี_x000a__x000a_บางพลี/ Bang Phliสมุทรปราการ/ Samut Prakan_x000a_10540"/>
    <s v="10540"/>
    <s v="660891500522"/>
    <s v="09/01/2025 12:47"/>
    <s v="-"/>
    <s v="Kerry_dropoff"/>
    <s v="Lazada"/>
    <s v="lazada"/>
    <s v=""/>
    <s v="LEXPU0443822696"/>
    <s v="09/01/2025 12:47"/>
  </r>
  <r>
    <x v="18"/>
    <x v="18"/>
    <n v="139"/>
    <n v="1"/>
    <n v="0"/>
    <s v="EQY25"/>
    <n v="323"/>
    <n v="45"/>
    <s v="ร้านที่1"/>
    <s v="อรพันธ์ุ ทองธิว"/>
    <s v="82/931 ม.20 หมู่บ้านสุธาวี_x000a__x000a_บางพลี/ Bang Phliสมุทรปราการ/ Samut Prakan_x000a_10540"/>
    <s v="10540"/>
    <s v="660891500522"/>
    <s v="09/01/2025 12:47"/>
    <s v="-"/>
    <s v="Kerry_dropoff"/>
    <s v="Lazada"/>
    <s v="lazada"/>
    <s v=""/>
    <s v="LEXPU0443822696"/>
    <s v="09/01/2025 12:47"/>
  </r>
  <r>
    <x v="5"/>
    <x v="5"/>
    <n v="330"/>
    <n v="1"/>
    <n v="0"/>
    <s v="EQY24"/>
    <n v="330"/>
    <n v="0"/>
    <s v="ร้านที่1"/>
    <s v="ส***ด  ท***ัด"/>
    <s v="อุทัยธานี"/>
    <s v="-"/>
    <s v=""/>
    <s v="09/01/2025 12:45"/>
    <s v="-"/>
    <s v="J&amp;T Express"/>
    <s v="Tiktok"/>
    <s v="tiktok"/>
    <s v=""/>
    <s v="754461173060"/>
    <s v="09/01/2025 12:45"/>
  </r>
  <r>
    <x v="10"/>
    <x v="10"/>
    <n v="200"/>
    <n v="1"/>
    <n v="0"/>
    <s v="EQY23"/>
    <n v="200"/>
    <n v="0"/>
    <s v="ร้านที่2"/>
    <s v="ส***วดี แ***อำไพ"/>
    <s v="ปราจีนบุรี"/>
    <s v="-"/>
    <s v=""/>
    <s v="09/01/2025 12:42"/>
    <s v="-"/>
    <s v="J&amp;T COD"/>
    <s v="Tiktok"/>
    <s v="จ่ายทีหลัง / COD"/>
    <s v=""/>
    <s v="754428484025"/>
    <s v="09/01/2025 12:42"/>
  </r>
  <r>
    <x v="1"/>
    <x v="1"/>
    <n v="200"/>
    <n v="1"/>
    <n v="0"/>
    <s v="EQY21"/>
    <n v="200"/>
    <n v="0"/>
    <s v="ร้านที่2"/>
    <s v="อ***์ ศ***ี"/>
    <s v="มหาสารคาม"/>
    <s v="-"/>
    <s v=""/>
    <s v="09/01/2025 12:42"/>
    <s v="-"/>
    <s v="J&amp;T COD"/>
    <s v="Tiktok"/>
    <s v="จ่ายทีหลัง / COD"/>
    <s v=""/>
    <s v="754498082041"/>
    <s v="09/01/2025 12:42"/>
  </r>
  <r>
    <x v="20"/>
    <x v="20"/>
    <n v="199"/>
    <n v="2"/>
    <n v="0"/>
    <s v="EQY20"/>
    <n v="462"/>
    <n v="64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9/01/2025 12:31"/>
    <s v="-"/>
    <s v="SPX Express"/>
    <s v="Shopee"/>
    <s v="shopee"/>
    <s v=""/>
    <s v="TH2529528192476"/>
    <s v="09/01/2025 12:31"/>
  </r>
  <r>
    <x v="0"/>
    <x v="0"/>
    <n v="100"/>
    <n v="1"/>
    <n v="0"/>
    <s v="EQY18"/>
    <n v="106"/>
    <n v="6"/>
    <s v="ร้านที่1"/>
    <s v="เ***ี่"/>
    <s v="สุราษฎร์ธานี"/>
    <s v="-"/>
    <s v=""/>
    <s v="09/01/2025 12:24"/>
    <s v="-"/>
    <s v="J&amp;T COD"/>
    <s v="Tiktok"/>
    <s v="จ่ายทีหลัง / COD"/>
    <s v=""/>
    <s v="754483485022"/>
    <s v="09/01/2025 12:25"/>
  </r>
  <r>
    <x v="9"/>
    <x v="4"/>
    <n v="100"/>
    <n v="1"/>
    <n v="0"/>
    <s v="EQY17"/>
    <n v="106"/>
    <n v="6"/>
    <s v="ร้านที่1"/>
    <s v="แ***ม"/>
    <s v="กาญจนบุรี"/>
    <s v="-"/>
    <s v=""/>
    <s v="09/01/2025 12:22"/>
    <s v="-"/>
    <s v="J&amp;T COD"/>
    <s v="Tiktok"/>
    <s v="จ่ายทีหลัง / COD"/>
    <s v=""/>
    <s v="754410375073"/>
    <s v="09/01/2025 12:24"/>
  </r>
  <r>
    <x v="3"/>
    <x v="3"/>
    <n v="100"/>
    <n v="1"/>
    <n v="0"/>
    <s v="EQY15"/>
    <n v="200"/>
    <n v="0"/>
    <s v="ร้านที่4"/>
    <s v="จ***า ร***รัตน์"/>
    <s v="ระยอง"/>
    <s v="-"/>
    <s v=""/>
    <s v="09/01/2025 12:17"/>
    <s v="-"/>
    <s v="Flash Express Thailand COD"/>
    <s v="Tiktok"/>
    <s v="จ่ายทีหลัง / COD"/>
    <s v=""/>
    <s v="THT21051EDJJJ6Z"/>
    <s v="09/01/2025 12:18"/>
  </r>
  <r>
    <x v="0"/>
    <x v="0"/>
    <n v="100"/>
    <n v="1"/>
    <n v="0"/>
    <s v="EQY15"/>
    <n v="200"/>
    <n v="0"/>
    <s v="ร้านที่4"/>
    <s v="จ***า ร***รัตน์"/>
    <s v="ระยอง"/>
    <s v="-"/>
    <s v=""/>
    <s v="09/01/2025 12:17"/>
    <s v="-"/>
    <s v="Flash Express Thailand COD"/>
    <s v="Tiktok"/>
    <s v="จ่ายทีหลัง / COD"/>
    <s v=""/>
    <s v="THT21051EDJJJ6Z"/>
    <s v="09/01/2025 12:18"/>
  </r>
  <r>
    <x v="0"/>
    <x v="0"/>
    <n v="100"/>
    <n v="1"/>
    <n v="0"/>
    <s v="EQY14"/>
    <n v="106"/>
    <n v="6"/>
    <s v="ร้านที่1"/>
    <s v="ก***"/>
    <s v="เทศบาลนครเชียงราย"/>
    <s v="-"/>
    <s v=""/>
    <s v="09/01/2025 12:13"/>
    <s v="-"/>
    <s v="J&amp;T COD"/>
    <s v="Tiktok"/>
    <s v="จ่ายทีหลัง / COD"/>
    <s v=""/>
    <s v="754493772060"/>
    <s v="09/01/2025 12:13"/>
  </r>
  <r>
    <x v="4"/>
    <x v="4"/>
    <n v="100"/>
    <n v="5"/>
    <n v="0"/>
    <s v="EQY12"/>
    <n v="500"/>
    <n v="0"/>
    <s v="ร้านที่2"/>
    <s v="น***าวอริสา เ***อคุณ"/>
    <s v="ราชบุรี"/>
    <s v="-"/>
    <s v=""/>
    <s v="09/01/2025 12:02"/>
    <s v="-"/>
    <s v="J&amp;T Express"/>
    <s v="Tiktok"/>
    <s v="tiktok"/>
    <s v=""/>
    <s v="754456172046"/>
    <s v="09/01/2025 12:01"/>
  </r>
  <r>
    <x v="0"/>
    <x v="0"/>
    <n v="100"/>
    <n v="1"/>
    <n v="0"/>
    <s v="EQY11"/>
    <n v="200"/>
    <n v="0"/>
    <s v="ร้านที่4"/>
    <s v="ว***ัตน์ ช***่น"/>
    <s v="ขอนแก่น"/>
    <s v="-"/>
    <s v=""/>
    <s v="09/01/2025 11:59"/>
    <s v="-"/>
    <s v="Flash Express Thailand COD"/>
    <s v="Tiktok"/>
    <s v="จ่ายทีหลัง / COD"/>
    <s v=""/>
    <s v="THT37251EDJHJ4Z"/>
    <s v="09/01/2025 11:59"/>
  </r>
  <r>
    <x v="3"/>
    <x v="3"/>
    <n v="100"/>
    <n v="1"/>
    <n v="0"/>
    <s v="EQY11"/>
    <n v="200"/>
    <n v="0"/>
    <s v="ร้านที่4"/>
    <s v="ว***ัตน์ ช***่น"/>
    <s v="ขอนแก่น"/>
    <s v="-"/>
    <s v=""/>
    <s v="09/01/2025 11:59"/>
    <s v="-"/>
    <s v="Flash Express Thailand COD"/>
    <s v="Tiktok"/>
    <s v="จ่ายทีหลัง / COD"/>
    <s v=""/>
    <s v="THT37251EDJHJ4Z"/>
    <s v="09/01/2025 11:59"/>
  </r>
  <r>
    <x v="24"/>
    <x v="26"/>
    <n v="714.3"/>
    <n v="1"/>
    <n v="0"/>
    <s v="EQY10"/>
    <n v="778.3"/>
    <n v="64"/>
    <s v="ร้านที่9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1/2025 11:50"/>
    <s v="-"/>
    <s v="Kerry_dropoff"/>
    <s v="Lazada"/>
    <s v="lazada"/>
    <s v=""/>
    <s v="LEXDO0124323187"/>
    <s v="09/01/2025 11:50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19"/>
    <x v="27"/>
    <n v="220"/>
    <n v="1"/>
    <n v="0"/>
    <s v="EQY9"/>
    <n v="660"/>
    <n v="0"/>
    <s v="ร้านที่10"/>
    <s v="วิสุจิตตรา  บุญนำมา"/>
    <s v="บ้านไร่ซับสวรรค์โฮมสเตย์  29/1  หมู่ 5  ต.คลองไผ่ อ.สีคิ้ว · คลองไผ่/ Khlong Phai_x000a__x000a_สีคิ้ว/ Sikhioนครราชสีมา/ Nakhon Ratchasima_x000a_30340"/>
    <s v="30340"/>
    <s v="660611816449"/>
    <s v="09/01/2025 11:46"/>
    <s v="-"/>
    <s v="Kerry_dropoff"/>
    <s v="Lazada"/>
    <s v="lazada"/>
    <s v=""/>
    <s v="LEXDO0124322994"/>
    <s v="09/01/2025 11:46"/>
  </r>
  <r>
    <x v="3"/>
    <x v="3"/>
    <n v="100"/>
    <n v="1"/>
    <n v="0"/>
    <s v="EQY7"/>
    <n v="106"/>
    <n v="6"/>
    <s v="ร้านที่4"/>
    <s v="ร***นทร์  ร***าติ"/>
    <s v="สุรินทร์"/>
    <s v="-"/>
    <s v=""/>
    <s v="09/01/2025 11:39"/>
    <s v="-"/>
    <s v="Flash Express Thailand COD"/>
    <s v="Tiktok"/>
    <s v="จ่ายทีหลัง / COD"/>
    <s v="ไม่รับรสกาแฟคะ"/>
    <s v="THT29101EDJRU6Z"/>
    <s v="09/01/2025 11:39"/>
  </r>
  <r>
    <x v="3"/>
    <x v="3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0"/>
    <x v="0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9"/>
    <x v="4"/>
    <n v="100"/>
    <n v="2"/>
    <n v="0"/>
    <s v="EQY6"/>
    <n v="600"/>
    <n v="0"/>
    <s v="ร้านที่4"/>
    <s v="โ***ส เ***ยงกระโทก"/>
    <s v="นครราชสีมา"/>
    <s v="-"/>
    <s v=""/>
    <s v="09/01/2025 11:36"/>
    <s v="-"/>
    <s v="Flash Express Thailand COD"/>
    <s v="Tiktok"/>
    <s v="จ่ายทีหลัง / COD"/>
    <s v=""/>
    <s v="THT27071EDK1R6Z"/>
    <s v="09/01/2025 11:36"/>
  </r>
  <r>
    <x v="1"/>
    <x v="1"/>
    <n v="200"/>
    <n v="1"/>
    <n v="0"/>
    <s v="EQY5"/>
    <n v="200"/>
    <n v="0"/>
    <s v="ร้านที่1"/>
    <s v="บ***ืน อ***รรณัง"/>
    <s v="กรุงเทพฯ"/>
    <s v="-"/>
    <s v=""/>
    <s v="09/01/2025 11:33"/>
    <s v="-"/>
    <s v="J&amp;T Express"/>
    <s v="Tiktok"/>
    <s v="tiktok"/>
    <s v=""/>
    <s v="754487881044"/>
    <s v="09/01/2025 11:33"/>
  </r>
  <r>
    <x v="0"/>
    <x v="0"/>
    <n v="100"/>
    <n v="2"/>
    <n v="0"/>
    <s v="EQY3"/>
    <n v="200"/>
    <n v="0"/>
    <s v="ร้านที่4"/>
    <s v="ว***ชัย ต***ะวาโย"/>
    <s v="ระยอง"/>
    <s v="-"/>
    <s v=""/>
    <s v="09/01/2025 11:31"/>
    <s v="-"/>
    <s v="Flash Express Thailand"/>
    <s v="Tiktok"/>
    <s v="tiktok"/>
    <s v=""/>
    <s v="THT21051ED73G1Z"/>
    <s v="09/01/2025 11:29"/>
  </r>
  <r>
    <x v="13"/>
    <x v="13"/>
    <n v="250"/>
    <n v="1"/>
    <n v="0"/>
    <s v="EQY2"/>
    <n v="295"/>
    <n v="45"/>
    <s v="ร้านที่1"/>
    <s v="น******ศ"/>
    <s v="******ง อำเภอเมืองฉะเชิงเทรา จังหวัดฉะเชิงเทรา 24000"/>
    <s v="24000"/>
    <s v="39"/>
    <s v="09/01/2025 11:29"/>
    <s v="-"/>
    <s v="SPX Express"/>
    <s v="Shopee"/>
    <s v="shopee"/>
    <s v=""/>
    <s v="TH256013098252T"/>
    <s v="09/01/2025 11:29"/>
  </r>
  <r>
    <x v="10"/>
    <x v="10"/>
    <n v="200"/>
    <n v="1"/>
    <n v="0"/>
    <s v="EQY1"/>
    <n v="200"/>
    <n v="0"/>
    <s v="ร้านที่4"/>
    <s v="ก***ิสา  ก***ัตน์"/>
    <s v="สุพรรณบุรี"/>
    <s v="-"/>
    <s v=""/>
    <s v="09/01/2025 11:23"/>
    <s v="-"/>
    <s v="Flash Express Thailand COD"/>
    <s v="Tiktok"/>
    <s v="จ่ายทีหลัง / COD"/>
    <s v=""/>
    <s v="THT14081EDH5Z6Z"/>
    <s v="09/01/2025 11:23"/>
  </r>
  <r>
    <x v="0"/>
    <x v="0"/>
    <n v="100"/>
    <n v="1"/>
    <n v="0"/>
    <s v="EQY0"/>
    <n v="153"/>
    <n v="29"/>
    <s v="ร้านที่1"/>
    <s v="ค** ม***าง แ***นิ่ง"/>
    <s v="อ่างทอง"/>
    <s v="-"/>
    <s v=""/>
    <s v="09/01/2025 11:16"/>
    <s v="-"/>
    <s v="J&amp;T COD"/>
    <s v="Tiktok"/>
    <s v="จ่ายทีหลัง / COD"/>
    <s v=""/>
    <s v="754496776073"/>
    <s v="09/01/2025 11:16"/>
  </r>
  <r>
    <x v="1"/>
    <x v="1"/>
    <n v="200"/>
    <n v="1"/>
    <n v="0"/>
    <s v="EQX99"/>
    <n v="200"/>
    <n v="0"/>
    <s v="ร้านที่1"/>
    <s v="จ***พร เ***งฤทธิ์"/>
    <s v="ปทุมธานี"/>
    <s v="-"/>
    <s v=""/>
    <s v="09/01/2025 11:06"/>
    <s v="-"/>
    <s v="J&amp;T COD"/>
    <s v="Tiktok"/>
    <s v="จ่ายทีหลัง / COD"/>
    <s v=""/>
    <s v="754469483040"/>
    <s v="09/01/2025 11:06"/>
  </r>
  <r>
    <x v="0"/>
    <x v="0"/>
    <n v="100"/>
    <n v="1"/>
    <n v="0"/>
    <s v="EQX98"/>
    <n v="200"/>
    <n v="0"/>
    <s v="ร้านที่4"/>
    <s v="ส***รา ไ***ินดา"/>
    <s v="สงขลา"/>
    <s v="-"/>
    <s v=""/>
    <s v="09/01/2025 11:00"/>
    <s v="-"/>
    <s v="Flash Express Thailand COD"/>
    <s v="Tiktok"/>
    <s v="จ่ายทีหลัง / COD"/>
    <s v=""/>
    <s v="THT71161ED87Q9Z"/>
    <s v="09/01/2025 11:00"/>
  </r>
  <r>
    <x v="4"/>
    <x v="4"/>
    <n v="100"/>
    <n v="1"/>
    <n v="0"/>
    <s v="EQX98"/>
    <n v="200"/>
    <n v="0"/>
    <s v="ร้านที่4"/>
    <s v="ส***รา ไ***ินดา"/>
    <s v="สงขลา"/>
    <s v="-"/>
    <s v=""/>
    <s v="09/01/2025 11:00"/>
    <s v="-"/>
    <s v="Flash Express Thailand COD"/>
    <s v="Tiktok"/>
    <s v="จ่ายทีหลัง / COD"/>
    <s v=""/>
    <s v="THT71161ED87Q9Z"/>
    <s v="09/01/2025 11:00"/>
  </r>
  <r>
    <x v="0"/>
    <x v="0"/>
    <n v="100"/>
    <n v="1"/>
    <n v="0"/>
    <s v="EQX97"/>
    <n v="106"/>
    <n v="6"/>
    <s v="ร้านที่2"/>
    <s v="แ***ยุภา"/>
    <s v="อุตรดิตถ์"/>
    <s v="-"/>
    <s v=""/>
    <s v="09/01/2025 11:00"/>
    <s v="-"/>
    <s v="J&amp;T Express"/>
    <s v="Tiktok"/>
    <s v="tiktok"/>
    <s v=""/>
    <s v="754414372062"/>
    <s v="09/01/2025 10:59"/>
  </r>
  <r>
    <x v="24"/>
    <x v="26"/>
    <n v="615"/>
    <n v="1"/>
    <n v="0"/>
    <s v="EQX96"/>
    <n v="639"/>
    <n v="24"/>
    <s v="ร้านที่9"/>
    <s v="พิเชษฐ แสงสุข"/>
    <s v="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_x000a__x000a_เมืองสระบุรี/ Mueang Saraburiสระบุรี/ Saraburi_x000a_18000"/>
    <s v="18000"/>
    <s v="660822972368"/>
    <s v="09/01/2025 10:59"/>
    <s v="-"/>
    <s v="Kerry_dropoff"/>
    <s v="Lazada"/>
    <s v="lazada"/>
    <s v=""/>
    <s v="LEXDO0124323000"/>
    <s v="09/01/2025 10:59"/>
  </r>
  <r>
    <x v="10"/>
    <x v="10"/>
    <n v="200"/>
    <n v="1"/>
    <n v="0"/>
    <s v="EQX95"/>
    <n v="200"/>
    <n v="0"/>
    <s v="ร้านที่4"/>
    <s v="ส*** พ***อน"/>
    <s v="พิจิตร"/>
    <s v="-"/>
    <s v=""/>
    <s v="09/01/2025 10:50"/>
    <s v="-"/>
    <s v="Flash Express Thailand"/>
    <s v="Tiktok"/>
    <s v="tiktok"/>
    <s v=""/>
    <s v="THT62011EDHBX6Z"/>
    <s v="09/01/2025 10:49"/>
  </r>
  <r>
    <x v="0"/>
    <x v="0"/>
    <n v="100"/>
    <n v="1"/>
    <n v="0"/>
    <s v="EQX94"/>
    <n v="106"/>
    <n v="6"/>
    <s v="ร้านที่4"/>
    <s v="จ***ามณี จ***งกลาง"/>
    <s v="หนองบัวลำภู"/>
    <s v="-"/>
    <s v=""/>
    <s v="09/01/2025 10:48"/>
    <s v="-"/>
    <s v="Flash Express Thailand COD"/>
    <s v="Tiktok"/>
    <s v="จ่ายทีหลัง / COD"/>
    <s v=""/>
    <s v="THT36021ED7FA7Z"/>
    <s v="09/01/2025 10:48"/>
  </r>
  <r>
    <x v="0"/>
    <x v="0"/>
    <n v="100"/>
    <n v="2"/>
    <n v="0"/>
    <s v="EQX93"/>
    <n v="200"/>
    <n v="0"/>
    <s v="ร้านที่4"/>
    <s v="ม***ย  จ***ร์ขาว"/>
    <s v="กาฬสินธุ์"/>
    <s v="-"/>
    <s v=""/>
    <s v="09/01/2025 10:45"/>
    <s v="-"/>
    <s v="Flash Express Thailand COD"/>
    <s v="Tiktok"/>
    <s v="จ่ายทีหลัง / COD"/>
    <s v="🥰🥰คละ อย่างละ 2 กล่อง นะค่ะ 💚🤎💛"/>
    <s v="THT43011ED6TK1Z"/>
    <s v="09/01/2025 10:45"/>
  </r>
  <r>
    <x v="0"/>
    <x v="0"/>
    <n v="100"/>
    <n v="5"/>
    <n v="0"/>
    <s v="EQX92"/>
    <n v="500"/>
    <n v="0"/>
    <s v="ร้านที่4"/>
    <s v="อ**"/>
    <s v="นนทบุรี"/>
    <s v="-"/>
    <s v=""/>
    <s v="09/01/2025 10:43"/>
    <s v="-"/>
    <s v="Flash Express Thailand COD"/>
    <s v="Tiktok"/>
    <s v="จ่ายทีหลัง / COD"/>
    <s v="ช็อคโกแลต 9 วนิลา 4ใบเตย 2"/>
    <s v="THT03061EDHVA0Z"/>
    <s v="09/01/2025 10:43"/>
  </r>
  <r>
    <x v="1"/>
    <x v="1"/>
    <n v="200"/>
    <n v="1"/>
    <n v="0"/>
    <s v="EQX91"/>
    <n v="200"/>
    <n v="0"/>
    <s v="ร้านที่1"/>
    <s v="ก***"/>
    <s v="สมุทรปราการ"/>
    <s v="-"/>
    <s v=""/>
    <s v="09/01/2025 10:39"/>
    <s v="-"/>
    <s v="J&amp;T COD"/>
    <s v="Tiktok"/>
    <s v="จ่ายทีหลัง / COD"/>
    <s v=""/>
    <s v="754451373093"/>
    <s v="09/01/2025 10:39"/>
  </r>
  <r>
    <x v="0"/>
    <x v="0"/>
    <n v="100"/>
    <n v="1"/>
    <n v="0"/>
    <s v="EQX90"/>
    <n v="106"/>
    <n v="6"/>
    <s v="ร้านที่1"/>
    <s v="ว***า ท***ชร"/>
    <s v="นครราชสีมา"/>
    <s v="-"/>
    <s v=""/>
    <s v="09/01/2025 10:35"/>
    <s v="-"/>
    <s v="J&amp;T COD"/>
    <s v="Tiktok"/>
    <s v="จ่ายทีหลัง / COD"/>
    <s v=""/>
    <s v="754434575064"/>
    <s v="09/01/2025 10:35"/>
  </r>
  <r>
    <x v="19"/>
    <x v="19"/>
    <n v="250"/>
    <n v="1"/>
    <n v="0"/>
    <s v="EQX89"/>
    <n v="350"/>
    <n v="0"/>
    <s v="ร้านที่4"/>
    <s v="ม***่"/>
    <s v="พะเยา"/>
    <s v="-"/>
    <s v=""/>
    <s v="09/01/2025 10:30"/>
    <s v="-"/>
    <s v="Flash Express Thailand"/>
    <s v="Tiktok"/>
    <s v="tiktok"/>
    <s v=""/>
    <s v="THT53071ED8K19Z"/>
    <s v="09/01/2025 10:30"/>
  </r>
  <r>
    <x v="3"/>
    <x v="3"/>
    <n v="100"/>
    <n v="1"/>
    <n v="0"/>
    <s v="EQX89"/>
    <n v="350"/>
    <n v="0"/>
    <s v="ร้านที่4"/>
    <s v="ม***่"/>
    <s v="พะเยา"/>
    <s v="-"/>
    <s v=""/>
    <s v="09/01/2025 10:30"/>
    <s v="-"/>
    <s v="Flash Express Thailand"/>
    <s v="Tiktok"/>
    <s v="tiktok"/>
    <s v=""/>
    <s v="THT53071ED8K19Z"/>
    <s v="09/01/2025 10:30"/>
  </r>
  <r>
    <x v="3"/>
    <x v="3"/>
    <n v="100"/>
    <n v="2"/>
    <n v="0"/>
    <s v="EQX88"/>
    <n v="200"/>
    <n v="0"/>
    <s v="ร้านที่4"/>
    <s v="ว***ลักษณ์ ช***ทอง"/>
    <s v="Phitsanulok"/>
    <s v="-"/>
    <s v=""/>
    <s v="09/01/2025 10:25"/>
    <s v="-"/>
    <s v="Flash Express Thailand COD"/>
    <s v="Tiktok"/>
    <s v="จ่ายทีหลัง / COD"/>
    <s v=""/>
    <s v="THT61041EDJVP2Z"/>
    <s v="09/01/2025 10:25"/>
  </r>
  <r>
    <x v="1"/>
    <x v="1"/>
    <n v="200"/>
    <n v="1"/>
    <n v="0"/>
    <s v="EQX87"/>
    <n v="200"/>
    <n v="0"/>
    <s v="ร้านที่1"/>
    <s v="เ***รัตน์  น***งค์"/>
    <s v="สมุทรสาคร"/>
    <s v="-"/>
    <s v=""/>
    <s v="09/01/2025 10:19"/>
    <s v="-"/>
    <s v="J&amp;T COD"/>
    <s v="Tiktok"/>
    <s v="จ่ายทีหลัง / COD"/>
    <s v=""/>
    <s v="754432886056"/>
    <s v="09/01/2025 10:19"/>
  </r>
  <r>
    <x v="1"/>
    <x v="1"/>
    <n v="200"/>
    <n v="1"/>
    <n v="0"/>
    <s v="EQX86"/>
    <n v="200"/>
    <n v="0"/>
    <s v="ร้านที่1"/>
    <s v="ค** ห**"/>
    <s v="กรุงเทพฯ"/>
    <s v="-"/>
    <s v=""/>
    <s v="09/01/2025 10:19"/>
    <s v="-"/>
    <s v="J&amp;T COD"/>
    <s v="Tiktok"/>
    <s v="จ่ายทีหลัง / COD"/>
    <s v=""/>
    <s v="754449880030"/>
    <s v="09/01/2025 10:19"/>
  </r>
  <r>
    <x v="1"/>
    <x v="1"/>
    <n v="200"/>
    <n v="1"/>
    <n v="0"/>
    <s v="EQX85"/>
    <n v="200"/>
    <n v="0"/>
    <s v="ร้านที่1"/>
    <s v="ส***"/>
    <s v="สงขลา"/>
    <s v="-"/>
    <s v=""/>
    <s v="09/01/2025 10:14"/>
    <s v="-"/>
    <s v="J&amp;T COD"/>
    <s v="Tiktok"/>
    <s v="จ่ายทีหลัง / COD"/>
    <s v=""/>
    <s v="754419178074"/>
    <s v="09/01/2025 10:14"/>
  </r>
  <r>
    <x v="3"/>
    <x v="3"/>
    <n v="100"/>
    <n v="1"/>
    <n v="0"/>
    <s v="EQX84"/>
    <n v="129"/>
    <n v="29"/>
    <s v="ร้านที่4"/>
    <s v="ส** ด***ม้อ"/>
    <s v="สมุทรสาคร"/>
    <s v="-"/>
    <s v=""/>
    <s v="09/01/2025 10:13"/>
    <s v="-"/>
    <s v="Flash Express Thailand COD"/>
    <s v="Tiktok"/>
    <s v="จ่ายทีหลัง / COD"/>
    <s v=""/>
    <s v="THT16011EDK9D4Z"/>
    <s v="09/01/2025 10:13"/>
  </r>
  <r>
    <x v="1"/>
    <x v="1"/>
    <n v="200"/>
    <n v="1"/>
    <n v="0"/>
    <s v="EQX83"/>
    <n v="200"/>
    <n v="0"/>
    <s v="ร้านที่1"/>
    <s v="พ***า โ***รักษ์"/>
    <s v="ภูเก็ต"/>
    <s v="-"/>
    <s v=""/>
    <s v="09/01/2025 10:12"/>
    <s v="-"/>
    <s v="J&amp;T COD"/>
    <s v="Tiktok"/>
    <s v="จ่ายทีหลัง / COD"/>
    <s v=""/>
    <s v="754404480034"/>
    <s v="09/01/2025 10:12"/>
  </r>
  <r>
    <x v="0"/>
    <x v="0"/>
    <n v="100"/>
    <n v="3"/>
    <n v="0"/>
    <s v="EQX82"/>
    <n v="300"/>
    <n v="0"/>
    <s v="ร้านที่4"/>
    <s v="ภ***รานิษฐ์  ร***ปังนมสด"/>
    <s v="สระแก้ว"/>
    <s v="-"/>
    <s v=""/>
    <s v="09/01/2025 10:10"/>
    <s v="-"/>
    <s v="Flash Express Thailand COD"/>
    <s v="Tiktok"/>
    <s v="จ่ายทีหลัง / COD"/>
    <s v=""/>
    <s v="THT26061EDJ0P6Z"/>
    <s v="09/01/2025 10:10"/>
  </r>
  <r>
    <x v="9"/>
    <x v="4"/>
    <n v="100"/>
    <n v="1"/>
    <n v="0"/>
    <s v="EQX81"/>
    <n v="106"/>
    <n v="6"/>
    <s v="ร้านที่1"/>
    <s v="ป***ินทร์ ว***วุฒิปัญญา"/>
    <s v="กรุงเทพฯ"/>
    <s v="-"/>
    <s v=""/>
    <s v="09/01/2025 10:06"/>
    <s v="-"/>
    <s v="J&amp;T COD"/>
    <s v="Tiktok"/>
    <s v="จ่ายทีหลัง / COD"/>
    <s v=""/>
    <s v="754419488023"/>
    <s v="09/01/2025 10:06"/>
  </r>
  <r>
    <x v="3"/>
    <x v="3"/>
    <n v="100"/>
    <n v="2"/>
    <n v="0"/>
    <s v="EQX79"/>
    <n v="200"/>
    <n v="0"/>
    <s v="ร้านที่4"/>
    <s v="เ**"/>
    <s v="สมุทรปราการ"/>
    <s v="-"/>
    <s v=""/>
    <s v="09/01/2025 09:42"/>
    <s v="-"/>
    <s v="Flash Express Thailand"/>
    <s v="Tiktok"/>
    <s v="tiktok"/>
    <s v=""/>
    <s v="THT02011EDJUE6Z"/>
    <s v="09/01/2025 09:42"/>
  </r>
  <r>
    <x v="1"/>
    <x v="1"/>
    <n v="200"/>
    <n v="1"/>
    <n v="0"/>
    <s v="EQX78"/>
    <n v="200"/>
    <n v="0"/>
    <s v="ร้านที่1"/>
    <s v="น***นาตาลี ส***ค์"/>
    <s v="พระนครศรีอยุธยา"/>
    <s v="-"/>
    <s v=""/>
    <s v="09/01/2025 09:39"/>
    <s v="-"/>
    <s v="J&amp;T COD"/>
    <s v="Tiktok"/>
    <s v="จ่ายทีหลัง / COD"/>
    <s v=""/>
    <s v="754491374081"/>
    <s v="09/01/2025 09:39"/>
  </r>
  <r>
    <x v="1"/>
    <x v="1"/>
    <n v="200"/>
    <n v="1"/>
    <n v="0"/>
    <s v="EQX77"/>
    <n v="200"/>
    <n v="0"/>
    <s v="ร้านที่1"/>
    <s v="น***ปิยะพรรณ ท***ิน"/>
    <s v="เลย"/>
    <s v="-"/>
    <s v=""/>
    <s v="09/01/2025 09:36"/>
    <s v="-"/>
    <s v="Flash Express Thailand COD"/>
    <s v="Tiktok"/>
    <s v="จ่ายทีหลัง / COD"/>
    <s v=""/>
    <s v="THT39051ED7GP9Z"/>
    <s v="09/01/2025 09:36"/>
  </r>
  <r>
    <x v="4"/>
    <x v="4"/>
    <n v="150"/>
    <n v="1"/>
    <n v="0"/>
    <s v="EQX76"/>
    <n v="413"/>
    <n v="64"/>
    <s v="ร้านที่1"/>
    <s v="น******ร"/>
    <s v="******ำบลหน้าไม้, อำเภอลาดหลุมแก้ว ตำบลหน้าไม้ อำเภอลาดหลุมแก้ว จังหวัดปทุมธานี 12140"/>
    <s v="12140"/>
    <s v="87"/>
    <s v="09/01/2025 09:33"/>
    <s v="-"/>
    <s v="SPX Express"/>
    <s v="Shopee"/>
    <s v="shopee"/>
    <s v=""/>
    <s v="TH257984179934R"/>
    <s v="09/01/2025 09:33"/>
  </r>
  <r>
    <x v="20"/>
    <x v="20"/>
    <n v="199"/>
    <n v="1"/>
    <n v="0"/>
    <s v="EQX76"/>
    <n v="413"/>
    <n v="64"/>
    <s v="ร้านที่1"/>
    <s v="น******ร"/>
    <s v="******ำบลหน้าไม้, อำเภอลาดหลุมแก้ว ตำบลหน้าไม้ อำเภอลาดหลุมแก้ว จังหวัดปทุมธานี 12140"/>
    <s v="12140"/>
    <s v="87"/>
    <s v="09/01/2025 09:33"/>
    <s v="-"/>
    <s v="SPX Express"/>
    <s v="Shopee"/>
    <s v="shopee"/>
    <s v=""/>
    <s v="TH257984179934R"/>
    <s v="09/01/2025 09:33"/>
  </r>
  <r>
    <x v="3"/>
    <x v="3"/>
    <n v="150"/>
    <n v="2"/>
    <n v="0"/>
    <s v="EQX75"/>
    <n v="329"/>
    <n v="29"/>
    <s v="ร้านที่2"/>
    <s v="ส******์"/>
    <s v="******อำเภออู่ทอง จังหวัดสุพรรณบุรี 72160 ตำบลบ้านโข้ง อำเภออู่ทอง จังหวัดสุพรรณบุรี 72160"/>
    <s v="72160"/>
    <s v="30"/>
    <s v="09/01/2025 09:10"/>
    <s v="-"/>
    <s v="SPX Express"/>
    <s v="Shopee"/>
    <s v="shopee"/>
    <s v=""/>
    <s v="TH2520677448859"/>
    <s v="09/01/2025 09:10"/>
  </r>
  <r>
    <x v="19"/>
    <x v="19"/>
    <n v="225"/>
    <n v="1"/>
    <n v="0"/>
    <s v="EQX74"/>
    <n v="254"/>
    <n v="29"/>
    <s v="ร้านที่2"/>
    <s v="ก******์"/>
    <s v="******คี จ.กำแพงเพชร ตำบลวังชะโอน อำเภอบึงสามัคคี จังหวัดกำแพงเพชร 62210"/>
    <s v="62210"/>
    <s v="26"/>
    <s v="09/01/2025 09:38"/>
    <s v="-"/>
    <s v="Flash Express"/>
    <s v="Shopee"/>
    <s v="shopee"/>
    <s v=""/>
    <s v="TH58106PEX2F9B"/>
    <s v="09/01/2025 09:08"/>
  </r>
  <r>
    <x v="25"/>
    <x v="28"/>
    <n v="600"/>
    <n v="1"/>
    <n v="0"/>
    <s v="EQX72"/>
    <n v="729"/>
    <n v="64"/>
    <s v="ร้านที่1"/>
    <s v="น******ี"/>
    <s v="******บลสำราญ อำเภอเมืองขอนแก่น จังหวัดขอนแก่น 40000"/>
    <s v="40000"/>
    <s v="29"/>
    <s v="09/01/2025 08:59"/>
    <s v="-"/>
    <s v="SPX Express"/>
    <s v="Shopee"/>
    <s v="shopee"/>
    <s v=""/>
    <s v="TH2594396949085"/>
    <s v="09/01/2025 08:59"/>
  </r>
  <r>
    <x v="1"/>
    <x v="1"/>
    <n v="200"/>
    <n v="1"/>
    <n v="0"/>
    <s v="EQX70"/>
    <n v="200"/>
    <n v="0"/>
    <s v="ร้านที่1"/>
    <s v="เ**"/>
    <s v="กำแพงเพชร"/>
    <s v="-"/>
    <s v=""/>
    <s v="09/01/2025 08:42"/>
    <s v="-"/>
    <s v="J&amp;T COD"/>
    <s v="Tiktok"/>
    <s v="จ่ายทีหลัง / COD"/>
    <s v=""/>
    <s v="754483371084"/>
    <s v="09/01/2025 08:42"/>
  </r>
  <r>
    <x v="1"/>
    <x v="1"/>
    <n v="200"/>
    <n v="1"/>
    <n v="0"/>
    <s v="EQX69"/>
    <n v="200"/>
    <n v="0"/>
    <s v="ร้านที่2"/>
    <s v="น*** พ***์​ แ***ลบ"/>
    <s v="พะเยา"/>
    <s v="-"/>
    <s v=""/>
    <s v="09/01/2025 08:40"/>
    <s v="-"/>
    <s v="J&amp;T COD"/>
    <s v="Tiktok"/>
    <s v="จ่ายทีหลัง / COD"/>
    <s v=""/>
    <s v="754474178080"/>
    <s v="09/01/2025 08:41"/>
  </r>
  <r>
    <x v="20"/>
    <x v="20"/>
    <n v="182"/>
    <n v="1"/>
    <n v="0"/>
    <s v="EQX68"/>
    <n v="182"/>
    <n v="0"/>
    <s v="ร้านที่1"/>
    <s v="จรัญญา ถาวร"/>
    <s v="8/8 ซ.23 (วัดดาวเสด็จ) ถ.พหลโยธิน ต.ปากเพรียว อ.เมือง จ.สระบุรี18000 · ปากเพรียว/ Pak Phriao_x000a__x000a_เมืองสระบุรี/ Mueang Saraburiสระบุรี/ Saraburi_x000a_18000"/>
    <s v="18000"/>
    <s v="660917377272"/>
    <s v="09/01/2025 08:37"/>
    <s v="-"/>
    <s v="Kerry_dropoff"/>
    <s v="Lazada"/>
    <s v="lazada"/>
    <s v=""/>
    <s v="LEXPU0443822905"/>
    <s v="09/01/2025 08:37"/>
  </r>
  <r>
    <x v="1"/>
    <x v="1"/>
    <n v="200"/>
    <n v="1"/>
    <n v="0"/>
    <s v="EQX67"/>
    <n v="200"/>
    <n v="0"/>
    <s v="ร้านที่1"/>
    <s v="ม***นแซ่ลี"/>
    <s v="สุราษฎร์ธานี"/>
    <s v="-"/>
    <s v=""/>
    <s v="09/01/2025 08:37"/>
    <s v="-"/>
    <s v="J&amp;T COD"/>
    <s v="Tiktok"/>
    <s v="จ่ายทีหลัง / COD"/>
    <s v=""/>
    <s v="754402575080"/>
    <s v="09/01/2025 08:37"/>
  </r>
  <r>
    <x v="4"/>
    <x v="4"/>
    <n v="100"/>
    <n v="1"/>
    <n v="0"/>
    <s v="EQX66"/>
    <n v="200"/>
    <n v="0"/>
    <s v="ร้านที่1"/>
    <s v="พ***า โ***รักษ์"/>
    <s v="ภูเก็ต"/>
    <s v="-"/>
    <s v=""/>
    <s v="09/01/2025 08:31"/>
    <s v="-"/>
    <s v="J&amp;T COD"/>
    <s v="Tiktok"/>
    <s v="จ่ายทีหลัง / COD"/>
    <s v=""/>
    <s v="754467282026"/>
    <s v="09/01/2025 08:31"/>
  </r>
  <r>
    <x v="9"/>
    <x v="4"/>
    <n v="100"/>
    <n v="1"/>
    <n v="0"/>
    <s v="EQX66"/>
    <n v="200"/>
    <n v="0"/>
    <s v="ร้านที่1"/>
    <s v="พ***า โ***รักษ์"/>
    <s v="ภูเก็ต"/>
    <s v="-"/>
    <s v=""/>
    <s v="09/01/2025 08:31"/>
    <s v="-"/>
    <s v="J&amp;T COD"/>
    <s v="Tiktok"/>
    <s v="จ่ายทีหลัง / COD"/>
    <s v=""/>
    <s v="754467282026"/>
    <s v="09/01/2025 08:31"/>
  </r>
  <r>
    <x v="26"/>
    <x v="18"/>
    <n v="273"/>
    <n v="1"/>
    <n v="0"/>
    <s v="EQX65"/>
    <n v="318"/>
    <n v="45"/>
    <s v="ร้านที่1"/>
    <s v="คุณ​ อุทัย​  ธรรมมา"/>
    <s v="71หมู่3 บ้านโนนสว่าง · โนนเมือง/ Non Mueang_x000a__x000a_โนนสัง/ Non Sangหนองบัวลำภู/ Nongbua Lamphu_x000a_39140"/>
    <s v="39140"/>
    <s v="660944933007"/>
    <s v="09/01/2025 08:29"/>
    <s v="-"/>
    <s v="Kerry_dropoff"/>
    <s v="Lazada"/>
    <s v="lazada"/>
    <s v=""/>
    <s v="TH36036PER261F"/>
    <s v="09/01/2025 08:29"/>
  </r>
  <r>
    <x v="0"/>
    <x v="0"/>
    <n v="100"/>
    <n v="1"/>
    <n v="0"/>
    <s v="EQX64"/>
    <n v="106"/>
    <n v="6"/>
    <s v="ร้านที่1"/>
    <s v="ล***งดาว"/>
    <s v="ประจวบคีรีขันธ์"/>
    <s v="-"/>
    <s v=""/>
    <s v="09/01/2025 08:23"/>
    <s v="-"/>
    <s v="J&amp;T COD"/>
    <s v="Tiktok"/>
    <s v="จ่ายทีหลัง / COD"/>
    <s v=""/>
    <s v="754466280024"/>
    <s v="09/01/2025 08:23"/>
  </r>
  <r>
    <x v="12"/>
    <x v="12"/>
    <n v="160"/>
    <n v="1"/>
    <n v="0"/>
    <s v="EQX62"/>
    <n v="160"/>
    <n v="0"/>
    <s v="ร้านที่1"/>
    <s v="ท***ล"/>
    <s v="******น (ข้างสถานี Bts กรมทหารราบที่ 11 หน้าทางเข้าอพาร์ทเม้นท์มีตู้กดน้ำ) แขวงอนุสาวรีย์ เขตบางเขน จังหวัดกรุงเทพมหานคร 10220"/>
    <s v="10220"/>
    <s v="73"/>
    <s v="09/01/2025 08:17"/>
    <s v="-"/>
    <s v="SPX Express"/>
    <s v="Shopee"/>
    <s v="shopee"/>
    <s v=""/>
    <s v="TH2568394781441"/>
    <s v="09/01/2025 08:15"/>
  </r>
  <r>
    <x v="5"/>
    <x v="5"/>
    <n v="330"/>
    <n v="1"/>
    <n v="0"/>
    <s v="EQX61"/>
    <n v="330"/>
    <n v="0"/>
    <s v="ร้านที่1"/>
    <s v="ก***า เ***ยมสมบูรณ์"/>
    <s v="พระนครศรีอยุธยา"/>
    <s v="-"/>
    <s v=""/>
    <s v="09/01/2025 08:08"/>
    <s v="-"/>
    <s v="J&amp;T COD"/>
    <s v="Tiktok"/>
    <s v="จ่ายทีหลัง / COD"/>
    <s v=""/>
    <s v="754451778065"/>
    <s v="09/01/2025 08:08"/>
  </r>
  <r>
    <x v="0"/>
    <x v="0"/>
    <n v="100"/>
    <n v="5"/>
    <n v="0"/>
    <s v="EQX60"/>
    <n v="500"/>
    <n v="0"/>
    <s v="ร้านที่1"/>
    <s v="บ***"/>
    <s v="เทศบาลนครนครราชสีมา"/>
    <s v="-"/>
    <s v=""/>
    <s v="09/01/2025 08:04"/>
    <s v="-"/>
    <s v="J&amp;T COD"/>
    <s v="Tiktok"/>
    <s v="จ่ายทีหลัง / COD"/>
    <s v=""/>
    <s v="754496880001"/>
    <s v="09/01/2025 08:05"/>
  </r>
  <r>
    <x v="3"/>
    <x v="8"/>
    <n v="105"/>
    <n v="1"/>
    <n v="0"/>
    <s v="EQX59"/>
    <n v="150"/>
    <n v="45"/>
    <s v="ร้านที่6"/>
    <s v="พัชรี อภิรักษ์"/>
    <s v="899/19 หมู่ 2 ซอยประชาอุทิศ 90 ต.บ้านคลองสวน_x000a__x000a_พระสมุทรเจดีย์/ Phra Samut Chediสมุทรปราการ/ Samut Prakan_x000a_10290"/>
    <s v="10290"/>
    <s v="660814961843"/>
    <s v="09/01/2025 07:50"/>
    <s v="-"/>
    <s v="Kerry_dropoff"/>
    <s v="Lazada"/>
    <s v="lazada"/>
    <s v=""/>
    <s v="LEXPU0443823095"/>
    <s v="09/01/2025 07:50"/>
  </r>
  <r>
    <x v="1"/>
    <x v="1"/>
    <n v="200"/>
    <n v="4"/>
    <n v="0"/>
    <s v="EQX58"/>
    <n v="800"/>
    <n v="0"/>
    <s v="ร้านที่1"/>
    <s v="ช***พร"/>
    <s v="ระยอง"/>
    <s v="-"/>
    <s v=""/>
    <s v="09/01/2025 07:47"/>
    <s v="-"/>
    <s v="J&amp;T COD"/>
    <s v="Tiktok"/>
    <s v="จ่ายทีหลัง / COD"/>
    <s v=""/>
    <s v="754497777073"/>
    <s v="09/01/2025 07:48"/>
  </r>
  <r>
    <x v="10"/>
    <x v="10"/>
    <n v="200"/>
    <n v="1"/>
    <n v="0"/>
    <s v="EQX57"/>
    <n v="200"/>
    <n v="0"/>
    <s v="ร้านที่4"/>
    <s v="ส***รัตน์ ค***ญฐิติสกุล"/>
    <s v="บุรีรัมย์"/>
    <s v="-"/>
    <s v=""/>
    <s v="09/01/2025 07:47"/>
    <s v="-"/>
    <s v="Flash Express Thailand COD"/>
    <s v="Tiktok"/>
    <s v="จ่ายทีหลัง / COD"/>
    <s v=""/>
    <s v="THT28031ED5WW5Z"/>
    <s v="09/01/2025 07:47"/>
  </r>
  <r>
    <x v="0"/>
    <x v="0"/>
    <n v="100"/>
    <n v="2"/>
    <n v="0"/>
    <s v="EQX56"/>
    <n v="200"/>
    <n v="0"/>
    <s v="ร้านที่1"/>
    <s v="ต*** ล***าวัลย์ บ***งชีพ"/>
    <s v="ปทุมธานี"/>
    <s v="-"/>
    <s v=""/>
    <s v="09/01/2025 07:44"/>
    <s v="-"/>
    <s v="J&amp;T COD"/>
    <s v="Tiktok"/>
    <s v="จ่ายทีหลัง / COD"/>
    <s v=""/>
    <s v="754460883035"/>
    <s v="09/01/2025 07:44"/>
  </r>
  <r>
    <x v="10"/>
    <x v="10"/>
    <n v="200"/>
    <n v="1"/>
    <n v="0"/>
    <s v="EQX54"/>
    <n v="200"/>
    <n v="0"/>
    <s v="ร้านที่4"/>
    <s v="เ***  ศ***ชติ"/>
    <s v="สมุทรสงคราม"/>
    <s v="-"/>
    <s v=""/>
    <s v="09/01/2025 07:43"/>
    <s v="-"/>
    <s v="Flash Express Thailand COD"/>
    <s v="Tiktok"/>
    <s v="จ่ายทีหลัง / COD"/>
    <s v=""/>
    <s v="THT17031EDHDG4Z"/>
    <s v="09/01/2025 07:43"/>
  </r>
  <r>
    <x v="0"/>
    <x v="0"/>
    <n v="100"/>
    <n v="1"/>
    <n v="0"/>
    <s v="EQX53"/>
    <n v="100"/>
    <n v="0"/>
    <s v="ร้านที่1"/>
    <s v="โ***กา"/>
    <s v="สระบุรี"/>
    <s v="-"/>
    <s v=""/>
    <s v="09/01/2025 07:37"/>
    <s v="-"/>
    <s v="J&amp;T COD"/>
    <s v="Tiktok"/>
    <s v="จ่ายทีหลัง / COD"/>
    <s v=""/>
    <s v="754464179066"/>
    <s v="09/01/2025 07:37"/>
  </r>
  <r>
    <x v="10"/>
    <x v="10"/>
    <n v="200"/>
    <n v="1"/>
    <n v="0"/>
    <s v="EQX52"/>
    <n v="200"/>
    <n v="0"/>
    <s v="ร้านที่4"/>
    <s v="อ***ุอร"/>
    <s v="กรุงเทพมหานคร"/>
    <s v="-"/>
    <s v=""/>
    <s v="09/01/2025 07:24"/>
    <s v="-"/>
    <s v="Flash Express Thailand COD"/>
    <s v="Tiktok"/>
    <s v="จ่ายทีหลัง / COD"/>
    <s v=""/>
    <s v="THT01051EDHDC0Z"/>
    <s v="09/01/2025 07:24"/>
  </r>
  <r>
    <x v="9"/>
    <x v="4"/>
    <n v="130"/>
    <n v="3"/>
    <n v="0"/>
    <s v="EQX51"/>
    <n v="426"/>
    <n v="41"/>
    <s v="ร้านที่2"/>
    <s v="น******จ"/>
    <s v="******นสุพรรณ, ซอย 3, ตำบลป่าแมต, อำเภอเมืองแพร่ ตำบลป่าแมต อำเภอเมืองแพร่ จังหวัดแพร่ 54000"/>
    <s v="54000"/>
    <s v="27"/>
    <s v="09/01/2025 07:14"/>
    <s v="-"/>
    <s v="SPX Express"/>
    <s v="Shopee"/>
    <s v="shopee"/>
    <s v=""/>
    <s v="TH2505402988295"/>
    <s v="09/01/2025 07:14"/>
  </r>
  <r>
    <x v="15"/>
    <x v="15"/>
    <n v="200"/>
    <n v="1"/>
    <n v="0"/>
    <s v="EQX50"/>
    <n v="200"/>
    <n v="0"/>
    <s v="ร้านที่1"/>
    <s v="น***ัตน์ ห***ภา"/>
    <s v="พะเยา"/>
    <s v="-"/>
    <s v=""/>
    <s v="09/01/2025 07:11"/>
    <s v="-"/>
    <s v="J&amp;T COD"/>
    <s v="Tiktok"/>
    <s v="จ่ายทีหลัง / COD"/>
    <s v=""/>
    <s v="754445228040"/>
    <s v="09/01/2025 07:12"/>
  </r>
  <r>
    <x v="3"/>
    <x v="8"/>
    <n v="84"/>
    <n v="1"/>
    <n v="0"/>
    <s v="EQX49"/>
    <n v="84"/>
    <n v="0"/>
    <s v="ร้านที่6"/>
    <s v="ซัน"/>
    <s v="158 ม.4 · ป่าเลา/ Pa Lao_x000a__x000a_เมืองเพชรบูรณ์/ Mueang Phetchabunเพชรบูรณ์/ Phetchabun_x000a_67000"/>
    <s v="67000"/>
    <s v="660961569110"/>
    <s v="09/01/2025 07:09"/>
    <s v="-"/>
    <s v="Kerry_dropoff"/>
    <s v="Lazada"/>
    <s v="lazada"/>
    <s v=""/>
    <s v="LEXPU0443736971"/>
    <s v="09/01/2025 07:09"/>
  </r>
  <r>
    <x v="10"/>
    <x v="10"/>
    <n v="200"/>
    <n v="1"/>
    <n v="0"/>
    <s v="EQX48"/>
    <n v="200"/>
    <n v="0"/>
    <s v="ร้านที่1"/>
    <s v="A***n N***samlee"/>
    <s v="ฉะเชิงเทรา"/>
    <s v="-"/>
    <s v=""/>
    <s v="09/01/2025 07:06"/>
    <s v="-"/>
    <s v="J&amp;T Express"/>
    <s v="Tiktok"/>
    <s v="tiktok"/>
    <s v=""/>
    <s v="754474234043"/>
    <s v="09/01/2025 07:09"/>
  </r>
  <r>
    <x v="0"/>
    <x v="0"/>
    <n v="100"/>
    <n v="1"/>
    <n v="0"/>
    <s v="EQX47"/>
    <n v="106"/>
    <n v="6"/>
    <s v="ร้านที่1"/>
    <s v="อ***ณา ศ***ันทร์มา"/>
    <s v="หนองคาย"/>
    <s v="-"/>
    <s v=""/>
    <s v="09/01/2025 07:06"/>
    <s v="-"/>
    <s v="J&amp;T COD"/>
    <s v="Tiktok"/>
    <s v="จ่ายทีหลัง / COD"/>
    <s v=""/>
    <s v="754464118052"/>
    <s v="09/01/2025 07:09"/>
  </r>
  <r>
    <x v="27"/>
    <x v="29"/>
    <n v="800"/>
    <n v="1"/>
    <n v="0"/>
    <s v="EQX46"/>
    <n v="800"/>
    <n v="0"/>
    <s v="ร้านที่4"/>
    <s v="ณ***นม์ เ***เลิศ"/>
    <s v="อ่างทอง"/>
    <s v="-"/>
    <s v=""/>
    <s v="09/01/2025 07:04"/>
    <s v="-"/>
    <s v="Flash Express Thailand COD"/>
    <s v="Tiktok"/>
    <s v="จ่ายทีหลัง / COD"/>
    <s v=""/>
    <s v="THT06031ECP7Q0Z"/>
    <s v="09/01/2025 07:04"/>
  </r>
  <r>
    <x v="13"/>
    <x v="30"/>
    <n v="213.75"/>
    <n v="1"/>
    <n v="0"/>
    <s v="EQX44"/>
    <n v="218.75"/>
    <n v="5"/>
    <s v="ร้านที่9"/>
    <s v="บุษบากร เลิศเจริญลาภ"/>
    <s v="101/69 ซ.2 มบ.วังใหม่วิลล่า ถ.เกาะกลอย-บ้านค่าย ม.4 ต.น้ำคอก_x000a__x000a_เมืองระยอง/ Mueang Rayongระยอง/ Rayong_x000a_21000"/>
    <s v="21000"/>
    <s v="660824612140"/>
    <s v="09/01/2025 06:28"/>
    <s v="-"/>
    <s v="Kerry_dropoff"/>
    <s v="Lazada"/>
    <s v="lazada"/>
    <s v=""/>
    <s v="LEXDO0124305315"/>
    <s v="09/01/2025 06:28"/>
  </r>
  <r>
    <x v="10"/>
    <x v="10"/>
    <n v="200"/>
    <n v="1"/>
    <n v="0"/>
    <s v="EQX43"/>
    <n v="200"/>
    <n v="0"/>
    <s v="ร้านที่4"/>
    <s v="ภ***า ศ***ปโชติ"/>
    <s v="กรุงเทพฯ"/>
    <s v="-"/>
    <s v=""/>
    <s v="09/01/2025 06:28"/>
    <s v="-"/>
    <s v="Flash Express Thailand COD"/>
    <s v="Tiktok"/>
    <s v="จ่ายทีหลัง / COD"/>
    <s v=""/>
    <s v="THT01481ECKPB3Z"/>
    <s v="09/01/2025 06:28"/>
  </r>
  <r>
    <x v="4"/>
    <x v="4"/>
    <n v="100"/>
    <n v="3"/>
    <n v="0"/>
    <s v="EQX42"/>
    <n v="300"/>
    <n v="0"/>
    <s v="ร้านที่1"/>
    <s v="S***nya D***n"/>
    <s v="สุพรรณบุรี"/>
    <s v="-"/>
    <s v=""/>
    <s v="09/01/2025 06:19"/>
    <s v="-"/>
    <s v="J&amp;T COD"/>
    <s v="Tiktok"/>
    <s v="จ่ายทีหลัง / COD"/>
    <s v=""/>
    <s v="754498937006"/>
    <s v="09/01/2025 06:19"/>
  </r>
  <r>
    <x v="0"/>
    <x v="0"/>
    <n v="100"/>
    <n v="3"/>
    <n v="0"/>
    <s v="EQX41"/>
    <n v="300"/>
    <n v="0"/>
    <s v="ร้านที่1"/>
    <s v="เ***ลักษณ์ อ***ูล"/>
    <s v="ระยอง"/>
    <s v="-"/>
    <s v=""/>
    <s v="09/01/2025 05:32"/>
    <s v="-"/>
    <s v="J&amp;T COD"/>
    <s v="Tiktok"/>
    <s v="จ่ายทีหลัง / COD"/>
    <s v=""/>
    <s v="754462226055"/>
    <s v="09/01/2025 05:33"/>
  </r>
  <r>
    <x v="10"/>
    <x v="10"/>
    <n v="200"/>
    <n v="1"/>
    <n v="0"/>
    <s v="EQX40"/>
    <n v="200"/>
    <n v="0"/>
    <s v="ร้านที่4"/>
    <s v="น***ิมลพัทธ์ดีที่ยงธรรม"/>
    <s v="บุรีรัมย์"/>
    <s v="-"/>
    <s v=""/>
    <s v="09/01/2025 03:43"/>
    <s v="-"/>
    <s v="Flash Express Thailand COD"/>
    <s v="Tiktok"/>
    <s v="จ่ายทีหลัง / COD"/>
    <s v=""/>
    <s v="THT28031ECMJ69Z"/>
    <s v="09/01/2025 03:43"/>
  </r>
  <r>
    <x v="1"/>
    <x v="1"/>
    <n v="200"/>
    <n v="1"/>
    <n v="0"/>
    <s v="EQX38"/>
    <n v="200"/>
    <n v="0"/>
    <s v="ร้านที่1"/>
    <s v="อ***ลักษณ์ ใ***่อดี 2***.7ต.อ่าวนาง อ***ือง จ***ะบี่ "/>
    <s v="กระบี่"/>
    <s v="-"/>
    <s v=""/>
    <s v="09/01/2025 02:25"/>
    <s v="-"/>
    <s v="J&amp;T COD"/>
    <s v="Tiktok"/>
    <s v="จ่ายทีหลัง / COD"/>
    <s v=""/>
    <s v="754469646066"/>
    <s v="09/01/2025 02:25"/>
  </r>
  <r>
    <x v="1"/>
    <x v="1"/>
    <n v="200"/>
    <n v="1"/>
    <n v="0"/>
    <s v="EQX36"/>
    <n v="200"/>
    <n v="0"/>
    <s v="ร้านที่1"/>
    <s v="ว***ตรา ย***ณี"/>
    <s v="สุราษฎร์ธานี"/>
    <s v="-"/>
    <s v=""/>
    <s v="09/01/2025 02:07"/>
    <s v="-"/>
    <s v="J&amp;T COD"/>
    <s v="Tiktok"/>
    <s v="จ่ายทีหลัง / COD"/>
    <s v=""/>
    <s v="754475649056"/>
    <s v="09/01/2025 02:07"/>
  </r>
  <r>
    <x v="10"/>
    <x v="10"/>
    <n v="200"/>
    <n v="1"/>
    <n v="0"/>
    <s v="EQX35"/>
    <n v="200"/>
    <n v="0"/>
    <s v="ร้านที่4"/>
    <s v="ช** เ***ัคดี"/>
    <s v="ตรัง"/>
    <s v="-"/>
    <s v=""/>
    <s v="09/01/2025 02:01"/>
    <s v="-"/>
    <s v="Flash Express Thailand COD"/>
    <s v="Tiktok"/>
    <s v="จ่ายทีหลัง / COD"/>
    <s v=""/>
    <s v="THT73011ECYS32Z"/>
    <s v="09/01/2025 02:01"/>
  </r>
  <r>
    <x v="10"/>
    <x v="10"/>
    <n v="200"/>
    <n v="1"/>
    <n v="0"/>
    <s v="EQX31"/>
    <n v="200"/>
    <n v="0"/>
    <s v="ร้านที่4"/>
    <s v="น***อรัญญา ม***กุล"/>
    <s v="สระแก้ว"/>
    <s v="-"/>
    <s v=""/>
    <s v="09/01/2025 01:07"/>
    <s v="-"/>
    <s v="Flash Express Thailand COD"/>
    <s v="Tiktok"/>
    <s v="จ่ายทีหลัง / COD"/>
    <s v=""/>
    <s v="THT26051ECYQS6Z"/>
    <s v="09/01/2025 01:19"/>
  </r>
  <r>
    <x v="0"/>
    <x v="0"/>
    <n v="100"/>
    <n v="1"/>
    <n v="0"/>
    <s v="EQX30"/>
    <n v="106"/>
    <n v="6"/>
    <s v="ร้านที่1"/>
    <s v="ป***วีร์  ท***"/>
    <s v="ชุมพร"/>
    <s v="-"/>
    <s v=""/>
    <s v="09/01/2025 00:52"/>
    <s v="-"/>
    <s v="J&amp;T COD"/>
    <s v="Tiktok"/>
    <s v="จ่ายทีหลัง / COD"/>
    <s v=""/>
    <s v="754405822015"/>
    <s v="09/01/2025 00:52"/>
  </r>
  <r>
    <x v="4"/>
    <x v="4"/>
    <n v="100"/>
    <n v="2"/>
    <n v="0"/>
    <s v="EQX29"/>
    <n v="200"/>
    <n v="0"/>
    <s v="ร้านที่4"/>
    <s v="ส***รณี ท***าก"/>
    <s v="สุราษฎร์ธานี"/>
    <s v="-"/>
    <s v=""/>
    <s v="09/01/2025 00:51"/>
    <s v="-"/>
    <s v="Flash Express Thailand COD"/>
    <s v="Tiktok"/>
    <s v="จ่ายทีหลัง / COD"/>
    <s v=""/>
    <s v="THT68121ECAEJ3Z"/>
    <s v="09/01/2025 00:51"/>
  </r>
  <r>
    <x v="3"/>
    <x v="3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9"/>
    <x v="4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0"/>
    <x v="0"/>
    <n v="100"/>
    <n v="1"/>
    <n v="0"/>
    <s v="EQX27"/>
    <n v="300"/>
    <n v="0"/>
    <s v="ร้านที่2"/>
    <s v="เ* เ*"/>
    <s v="สตูล"/>
    <s v="-"/>
    <s v=""/>
    <s v="09/01/2025 00:42"/>
    <s v="-"/>
    <s v="J&amp;T COD"/>
    <s v="Tiktok"/>
    <s v="จ่ายทีหลัง / COD"/>
    <s v=""/>
    <s v="754465239010"/>
    <s v="09/01/2025 00:43"/>
  </r>
  <r>
    <x v="1"/>
    <x v="1"/>
    <n v="200"/>
    <n v="1"/>
    <n v="0"/>
    <s v="EQX26"/>
    <n v="200"/>
    <n v="0"/>
    <s v="ร้านที่1"/>
    <s v="ญ***นท์ เ***ับ"/>
    <s v="นครปฐม"/>
    <s v="-"/>
    <s v=""/>
    <s v="09/01/2025 00:40"/>
    <s v="-"/>
    <s v="J&amp;T Express"/>
    <s v="Tiktok"/>
    <s v="tiktok"/>
    <s v=""/>
    <s v="754404444054"/>
    <s v="09/01/2025 00:40"/>
  </r>
  <r>
    <x v="1"/>
    <x v="1"/>
    <n v="200"/>
    <n v="2"/>
    <n v="0"/>
    <s v="EQX25"/>
    <n v="400"/>
    <n v="0"/>
    <s v="ร้านที่2"/>
    <s v="ก***า  อ***จุดพันธ์"/>
    <s v="กรุงเทพฯ"/>
    <s v="-"/>
    <s v=""/>
    <s v="09/01/2025 00:38"/>
    <s v="-"/>
    <s v="J&amp;T COD"/>
    <s v="Tiktok"/>
    <s v="จ่ายทีหลัง / COD"/>
    <s v=""/>
    <s v="754418431034"/>
    <s v="09/01/2025 00:38"/>
  </r>
  <r>
    <x v="3"/>
    <x v="3"/>
    <n v="100"/>
    <n v="1"/>
    <n v="0"/>
    <s v="EQX24"/>
    <n v="106"/>
    <n v="6"/>
    <s v="ร้านที่2"/>
    <s v="ท***คับ"/>
    <s v="กาฬสินธุ์"/>
    <s v="-"/>
    <s v=""/>
    <s v="09/01/2025 00:24"/>
    <s v="-"/>
    <s v="J&amp;T COD"/>
    <s v="Tiktok"/>
    <s v="จ่ายทีหลัง / COD"/>
    <s v=""/>
    <s v="754459430060"/>
    <s v="09/01/2025 00:26"/>
  </r>
  <r>
    <x v="0"/>
    <x v="31"/>
    <n v="100.83"/>
    <n v="1"/>
    <n v="0"/>
    <s v="EQX21"/>
    <n v="105.83"/>
    <n v="5"/>
    <s v="ร้านที่6"/>
    <s v="มิ่งขวัญ สุดสงวน ขวัญ"/>
    <s v="เลขที่ 132/3 ถ.คลองตาเค็ดตะวันออก ต.ปากน้ำ · ปากน้ำ/ Pak Nam_x000a__x000a_เมืองสมุทรปราการ/ Mueang Samut Prakanสมุทรปราการ/ Samut Prakan_x000a_10270"/>
    <s v="10270"/>
    <s v="660994122645"/>
    <s v="08/01/2025 23:46"/>
    <s v="-"/>
    <s v="Kerry_dropoff"/>
    <s v="Lazada"/>
    <s v="lazada"/>
    <s v=""/>
    <s v="LEXPU0443742960"/>
    <s v="08/01/2025 23:45"/>
  </r>
  <r>
    <x v="13"/>
    <x v="30"/>
    <n v="134.82"/>
    <n v="1"/>
    <n v="0"/>
    <s v="EQX20"/>
    <n v="134.82"/>
    <n v="0"/>
    <s v="ร้านที่9"/>
    <s v="คันธิมา ไกรคงจิตต์"/>
    <s v="142 ถนน พุทธบูชา · ในเมือง/ Nai Mueang_x000a__x000a_เมืองพิษณุโลก/ Mueang Phitsanulokพิษณุโลก/ Phitsanulok_x000a_65000"/>
    <s v="65000"/>
    <s v="660642355661"/>
    <s v="08/01/2025 23:40"/>
    <s v="-"/>
    <s v="Kerry_dropoff"/>
    <s v="Lazada"/>
    <s v="lazada"/>
    <s v=""/>
    <s v="LEXDO0124299028"/>
    <s v="08/01/2025 23:40"/>
  </r>
  <r>
    <x v="0"/>
    <x v="0"/>
    <n v="100"/>
    <n v="1"/>
    <n v="0"/>
    <s v="EQX19"/>
    <n v="106"/>
    <n v="6"/>
    <s v="ร้านที่1"/>
    <s v="ย***"/>
    <s v="บุรีรัมย์"/>
    <s v="-"/>
    <s v=""/>
    <s v="08/01/2025 23:39"/>
    <s v="-"/>
    <s v="J&amp;T COD"/>
    <s v="Tiktok"/>
    <s v="จ่ายทีหลัง / COD"/>
    <s v=""/>
    <s v="754485501066"/>
    <s v="08/01/2025 23:39"/>
  </r>
  <r>
    <x v="0"/>
    <x v="0"/>
    <n v="100"/>
    <n v="2"/>
    <n v="0"/>
    <s v="EQX18"/>
    <n v="200"/>
    <n v="0"/>
    <s v="ร้านที่1"/>
    <s v="อ***าพร..อยู่บำรุง"/>
    <s v="กรุงเทพฯ"/>
    <s v="-"/>
    <s v=""/>
    <s v="08/01/2025 23:20"/>
    <s v="-"/>
    <s v="J&amp;T COD"/>
    <s v="Tiktok"/>
    <s v="จ่ายทีหลัง / COD"/>
    <s v=""/>
    <s v="754411826044"/>
    <s v="08/01/2025 23:21"/>
  </r>
  <r>
    <x v="0"/>
    <x v="0"/>
    <n v="100"/>
    <n v="1"/>
    <n v="0"/>
    <s v="EQX16"/>
    <n v="106"/>
    <n v="6"/>
    <s v="ร้านที่1"/>
    <s v="ณ***งษ์"/>
    <s v="บุรีรัมย์"/>
    <s v="-"/>
    <s v=""/>
    <s v="08/01/2025 23:03"/>
    <s v="-"/>
    <s v="J&amp;T COD"/>
    <s v="Tiktok"/>
    <s v="จ่ายทีหลัง / COD"/>
    <s v=""/>
    <s v="754460618030"/>
    <s v="08/01/2025 23:03"/>
  </r>
  <r>
    <x v="0"/>
    <x v="0"/>
    <n v="100"/>
    <n v="2"/>
    <n v="0"/>
    <s v="EQX15"/>
    <n v="200"/>
    <n v="0"/>
    <s v="ร้านที่4"/>
    <s v="w***"/>
    <s v="กรุงเทพมหานคร"/>
    <s v="-"/>
    <s v=""/>
    <s v="08/01/2025 23:01"/>
    <s v="-"/>
    <s v="Flash Express Thailand COD"/>
    <s v="Tiktok"/>
    <s v="จ่ายทีหลัง / COD"/>
    <s v=""/>
    <s v="THT01261ECY428Z"/>
    <s v="08/01/2025 23:01"/>
  </r>
  <r>
    <x v="15"/>
    <x v="15"/>
    <n v="200"/>
    <n v="1"/>
    <n v="0"/>
    <s v="EQX14"/>
    <n v="200"/>
    <n v="0"/>
    <s v="ร้านที่1"/>
    <s v="น***า จ***มั่น"/>
    <s v="เทศบาลนครลำปาง"/>
    <s v="-"/>
    <s v=""/>
    <s v="08/01/2025 23:00"/>
    <s v="-"/>
    <s v="J&amp;T COD"/>
    <s v="Tiktok"/>
    <s v="จ่ายทีหลัง / COD"/>
    <s v=""/>
    <s v="754410519085"/>
    <s v="08/01/2025 23:00"/>
  </r>
  <r>
    <x v="24"/>
    <x v="26"/>
    <n v="499.89"/>
    <n v="1"/>
    <n v="0"/>
    <s v="EQX13"/>
    <n v="513.89"/>
    <n v="14"/>
    <s v="ร้านที่9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08/01/2025 22:46"/>
    <s v="-"/>
    <s v="Kerry_dropoff"/>
    <s v="Lazada"/>
    <s v="lazada"/>
    <s v=""/>
    <s v="TH64036PCW8M5D"/>
    <s v="08/01/2025 22:46"/>
  </r>
  <r>
    <x v="10"/>
    <x v="10"/>
    <n v="200"/>
    <n v="1"/>
    <n v="0"/>
    <s v="EQX12"/>
    <n v="200"/>
    <n v="0"/>
    <s v="ร้านที่4"/>
    <s v="ธ***รัตน์  ก***าป้อง"/>
    <s v="ขอนแก่น"/>
    <s v="-"/>
    <s v=""/>
    <s v="08/01/2025 22:44"/>
    <s v="-"/>
    <s v="Flash Express Thailand"/>
    <s v="Tiktok"/>
    <s v="tiktok"/>
    <s v=""/>
    <s v="THT37071ECYB28Z"/>
    <s v="08/01/2025 22:44"/>
  </r>
  <r>
    <x v="0"/>
    <x v="0"/>
    <n v="100"/>
    <n v="1"/>
    <n v="0"/>
    <s v="EQX11"/>
    <n v="106"/>
    <n v="6"/>
    <s v="ร้านที่1"/>
    <s v="ส***รีย์"/>
    <s v="เทศบาลนครนครศรีธรรมราช"/>
    <s v="-"/>
    <s v=""/>
    <s v="08/01/2025 22:41"/>
    <s v="-"/>
    <s v="J&amp;T COD"/>
    <s v="Tiktok"/>
    <s v="จ่ายทีหลัง / COD"/>
    <s v=""/>
    <s v="754403029015"/>
    <s v="08/01/2025 22:41"/>
  </r>
  <r>
    <x v="4"/>
    <x v="4"/>
    <n v="100"/>
    <n v="1"/>
    <n v="0"/>
    <s v="EQX10"/>
    <n v="145"/>
    <n v="45"/>
    <s v="ร้านที่2"/>
    <s v="น***พิศมัย  พ***"/>
    <s v="อำนาจเจริญ"/>
    <s v="-"/>
    <s v=""/>
    <s v="08/01/2025 22:38"/>
    <s v="-"/>
    <s v="J&amp;T COD"/>
    <s v="Tiktok"/>
    <s v="จ่ายทีหลัง / COD"/>
    <s v=""/>
    <s v="754403530020"/>
    <s v="08/01/2025 22:38"/>
  </r>
  <r>
    <x v="24"/>
    <x v="32"/>
    <n v="445.66"/>
    <n v="1"/>
    <n v="0"/>
    <s v="EQX9"/>
    <n v="445.66"/>
    <n v="0"/>
    <s v="ร้านที่6"/>
    <s v="แสนคม กระจ่างโพธิ์"/>
    <s v="229 ม.12 (ส่งบ้านดอน หลังสีเหลือง)ต.ธารปราสาท_x000a__x000a_โนนสูง/ Non Sungนครราชสีมา/ Nakhon Ratchasima_x000a_30420"/>
    <s v="30420"/>
    <s v="660995052824"/>
    <s v="08/01/2025 22:38"/>
    <s v="-"/>
    <s v="Kerry_dropoff"/>
    <s v="Lazada"/>
    <s v="lazada"/>
    <s v=""/>
    <s v="TH27106PCWD56F"/>
    <s v="08/01/2025 22:38"/>
  </r>
  <r>
    <x v="18"/>
    <x v="18"/>
    <n v="89.39"/>
    <n v="1"/>
    <n v="0"/>
    <s v="EQX7"/>
    <n v="127.59"/>
    <n v="5"/>
    <s v="ร้านที่1"/>
    <s v="ณัทรินีย์ ไสยเรือง"/>
    <s v="122 ม.10 ต.บุ่งหวาย_x000a__x000a_วารินชำราบ/ Warin Chamrapอุบลราชธานี/ Ubon Ratchathani_x000a_34310"/>
    <s v="34310"/>
    <s v="660660032790"/>
    <s v="08/01/2025 22:33"/>
    <s v="-"/>
    <s v="Kerry_dropoff"/>
    <s v="Lazada"/>
    <s v="lazada"/>
    <s v=""/>
    <s v="TH31136PDB2X1H"/>
    <s v="08/01/2025 22:33"/>
  </r>
  <r>
    <x v="3"/>
    <x v="3"/>
    <n v="150"/>
    <n v="2"/>
    <n v="0"/>
    <s v="EQX6"/>
    <n v="345"/>
    <n v="4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8/01/2025 22:32"/>
    <s v="-"/>
    <s v="SPX Express"/>
    <s v="Shopee"/>
    <s v="shopee"/>
    <s v=""/>
    <s v="TH256830565431S"/>
    <s v="08/01/2025 22:32"/>
  </r>
  <r>
    <x v="13"/>
    <x v="30"/>
    <n v="130.31"/>
    <n v="1"/>
    <n v="0"/>
    <s v="EQX5"/>
    <n v="135.31"/>
    <n v="5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1/2025 22:30"/>
    <s v="-"/>
    <s v="Kerry_dropoff"/>
    <s v="Lazada"/>
    <s v="lazada"/>
    <s v=""/>
    <s v="LEXDO0124304711"/>
    <s v="08/01/2025 22:30"/>
  </r>
  <r>
    <x v="10"/>
    <x v="10"/>
    <n v="200"/>
    <n v="1"/>
    <n v="0"/>
    <s v="EQX4"/>
    <n v="245"/>
    <n v="45"/>
    <s v="ร้านที่4"/>
    <s v="ส***ี"/>
    <s v="กรุงเทพมหานคร"/>
    <s v="-"/>
    <s v=""/>
    <s v="08/01/2025 22:29"/>
    <s v="-"/>
    <s v="Flash Express Thailand COD"/>
    <s v="Tiktok"/>
    <s v="จ่ายทีหลัง / COD"/>
    <s v=""/>
    <s v="THT01161ECKZ17Z"/>
    <s v="08/01/2025 22:29"/>
  </r>
  <r>
    <x v="10"/>
    <x v="10"/>
    <n v="200"/>
    <n v="1"/>
    <n v="0"/>
    <s v="EQX2"/>
    <n v="200"/>
    <n v="0"/>
    <s v="ร้านที่2"/>
    <s v="ส***ล บ***ือสันต์"/>
    <s v="สมุทรปราการ"/>
    <s v="-"/>
    <s v=""/>
    <s v="08/01/2025 22:19"/>
    <s v="-"/>
    <s v="J&amp;T Express"/>
    <s v="Tiktok"/>
    <s v="tiktok"/>
    <s v=""/>
    <s v="754453724080"/>
    <s v="08/01/2025 22:19"/>
  </r>
  <r>
    <x v="10"/>
    <x v="10"/>
    <n v="200"/>
    <n v="1"/>
    <n v="0"/>
    <s v="EQX1"/>
    <n v="200"/>
    <n v="0"/>
    <s v="ร้านที่4"/>
    <s v="น** ข***นภา อ***จริญ"/>
    <s v="สระบุรี"/>
    <s v="-"/>
    <s v=""/>
    <s v="08/01/2025 22:19"/>
    <s v="-"/>
    <s v="Flash Express Thailand COD"/>
    <s v="Tiktok"/>
    <s v="จ่ายทีหลัง / COD"/>
    <s v=""/>
    <s v="THT10031ECY5A4Z"/>
    <s v="08/01/2025 22:19"/>
  </r>
  <r>
    <x v="6"/>
    <x v="33"/>
    <n v="225"/>
    <n v="1"/>
    <n v="0"/>
    <s v="EQX0"/>
    <n v="225"/>
    <n v="0"/>
    <s v="ร้านที่10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2798"/>
    <s v="08/01/2025 22:19"/>
  </r>
  <r>
    <x v="1"/>
    <x v="1"/>
    <n v="200"/>
    <n v="1"/>
    <n v="0"/>
    <s v="EQW99"/>
    <n v="200"/>
    <n v="0"/>
    <s v="ร้านที่1"/>
    <s v="ส***ก ศ***ันทา"/>
    <s v="พระนครศรีอยุธยา"/>
    <s v="-"/>
    <s v=""/>
    <s v="08/01/2025 22:18"/>
    <s v="-"/>
    <s v="J&amp;T COD"/>
    <s v="Tiktok"/>
    <s v="จ่ายทีหลัง / COD"/>
    <s v=""/>
    <s v="754427944001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19"/>
    <x v="34"/>
    <n v="142.31"/>
    <n v="1"/>
    <n v="0"/>
    <s v="EQW98"/>
    <n v="471.93"/>
    <n v="45"/>
    <s v="ร้านที่9"/>
    <s v="วรัญญา"/>
    <s v="149/43 ม.2 ร้านเสริมสวยมาดามปู(ถ้าไม่รับสายส่งร้านเสริมสวยได้เลยค่ะ) · รังสิต/ Rangsit_x000a__x000a_ธัญบุรี/ Thanyaburiปทุมธานี/ Pathum Thani_x000a_12110"/>
    <s v="12110"/>
    <s v="660945422080"/>
    <s v="08/01/2025 22:19"/>
    <s v="-"/>
    <s v="Kerry_dropoff"/>
    <s v="Lazada"/>
    <s v="lazada"/>
    <s v=""/>
    <s v="LEXDO0124286079"/>
    <s v="08/01/2025 22:19"/>
  </r>
  <r>
    <x v="3"/>
    <x v="8"/>
    <n v="87.33"/>
    <n v="1"/>
    <n v="0"/>
    <s v="EQW97"/>
    <n v="87.33"/>
    <n v="0"/>
    <s v="ร้านที่6"/>
    <s v="รังสิมา เงินเหรียญ"/>
    <s v="บริษัทสยามแฟ็ทแอนด์ออยล์ เลขที่ 89 หมู่ 3 ถนนเศรษฐกิจ 1 ต.อ้อมน้อย_x000a__x000a_กระทุ่มแบน/ Krathum Baenสมุทรสาคร/ Samut Sakhon_x000a_74130"/>
    <s v="74130"/>
    <s v="660830514877"/>
    <s v="08/01/2025 22:16"/>
    <s v="-"/>
    <s v="Kerry_dropoff"/>
    <s v="Lazada"/>
    <s v="lazada"/>
    <s v=""/>
    <s v="LEXPU0443738059"/>
    <s v="08/01/2025 22:16"/>
  </r>
  <r>
    <x v="1"/>
    <x v="1"/>
    <n v="200"/>
    <n v="1"/>
    <n v="0"/>
    <s v="EQW96"/>
    <n v="200"/>
    <n v="0"/>
    <s v="ร้านที่1"/>
    <s v="บ***ัย"/>
    <s v="Bangkok"/>
    <s v="-"/>
    <s v=""/>
    <s v="08/01/2025 22:13"/>
    <s v="-"/>
    <s v="J&amp;T COD"/>
    <s v="Tiktok"/>
    <s v="จ่ายทีหลัง / COD"/>
    <s v=""/>
    <s v="754436544002"/>
    <s v="08/01/2025 22:13"/>
  </r>
  <r>
    <x v="0"/>
    <x v="0"/>
    <n v="100"/>
    <n v="2"/>
    <n v="0"/>
    <s v="EQW95"/>
    <n v="200"/>
    <n v="0"/>
    <s v="ร้านที่2"/>
    <s v="ก***ิยา แ***ัวะ"/>
    <s v="สุราษฎร์ธานี"/>
    <s v="-"/>
    <s v=""/>
    <s v="08/01/2025 22:13"/>
    <s v="-"/>
    <s v="J&amp;T COD"/>
    <s v="Tiktok"/>
    <s v="จ่ายทีหลัง / COD"/>
    <s v=""/>
    <s v="754478116070"/>
    <s v="08/01/2025 22:13"/>
  </r>
  <r>
    <x v="5"/>
    <x v="5"/>
    <n v="330"/>
    <n v="1"/>
    <n v="0"/>
    <s v="EQW94"/>
    <n v="330"/>
    <n v="0"/>
    <s v="ร้านที่1"/>
    <s v="ว***นทร์ ภ***ทอง"/>
    <s v="ตาก"/>
    <s v="-"/>
    <s v=""/>
    <s v="08/01/2025 22:12"/>
    <s v="-"/>
    <s v="J&amp;T COD"/>
    <s v="Tiktok"/>
    <s v="จ่ายทีหลัง / COD"/>
    <s v=""/>
    <s v="754454130006"/>
    <s v="08/01/2025 22:12"/>
  </r>
  <r>
    <x v="3"/>
    <x v="8"/>
    <n v="78.14"/>
    <n v="1"/>
    <n v="0"/>
    <s v="EQW93"/>
    <n v="161.28"/>
    <n v="5"/>
    <s v="ร้านที่6"/>
    <s v="พนมพร สิงหเสนา"/>
    <s v="7 หมู่ 6 บ้านพังซ่อน  (ฟาร์มวัว) ต.พังงู_x000a__x000a_หนองหาน/ Nong Hanอุดรธานี/ Udon Thani_x000a_41130"/>
    <s v="41130"/>
    <s v="660959908840"/>
    <s v="08/01/2025 22:11"/>
    <s v="-"/>
    <s v="Kerry_dropoff"/>
    <s v="Lazada"/>
    <s v="lazada"/>
    <s v=""/>
    <s v="TH38066PD6H10C"/>
    <s v="08/01/2025 22:11"/>
  </r>
  <r>
    <x v="3"/>
    <x v="8"/>
    <n v="78.14"/>
    <n v="1"/>
    <n v="0"/>
    <s v="EQW93"/>
    <n v="161.28"/>
    <n v="5"/>
    <s v="ร้านที่6"/>
    <s v="พนมพร สิงหเสนา"/>
    <s v="7 หมู่ 6 บ้านพังซ่อน  (ฟาร์มวัว) ต.พังงู_x000a__x000a_หนองหาน/ Nong Hanอุดรธานี/ Udon Thani_x000a_41130"/>
    <s v="41130"/>
    <s v="660959908840"/>
    <s v="08/01/2025 22:11"/>
    <s v="-"/>
    <s v="Kerry_dropoff"/>
    <s v="Lazada"/>
    <s v="lazada"/>
    <s v=""/>
    <s v="TH38066PD6H10C"/>
    <s v="08/01/2025 22:11"/>
  </r>
  <r>
    <x v="13"/>
    <x v="30"/>
    <n v="119.84"/>
    <n v="1"/>
    <n v="0"/>
    <s v="EQW92"/>
    <n v="124.84"/>
    <n v="5"/>
    <s v="ร้านที่9"/>
    <s v="วิไลลักษณ์ แชจันทร์"/>
    <s v="45/121ซอยเพชรเกษม47 บางแคซิตี้คอนโด_x000a__x000a_บางแค/ Bang Khaeกรุงเทพมหานคร/ Bangkok_x000a_10160"/>
    <s v="10160"/>
    <s v="660922519482"/>
    <s v="08/01/2025 22:04"/>
    <s v="-"/>
    <s v="Kerry_dropoff"/>
    <s v="Lazada"/>
    <s v="lazada"/>
    <s v=""/>
    <s v="LEXDO0124304735"/>
    <s v="08/01/2025 22:04"/>
  </r>
  <r>
    <x v="10"/>
    <x v="10"/>
    <n v="200"/>
    <n v="1"/>
    <n v="0"/>
    <s v="EQW91"/>
    <n v="200"/>
    <n v="0"/>
    <s v="ร้านที่1"/>
    <s v="เ***มภพ เ***์โท"/>
    <s v="ตาก"/>
    <s v="-"/>
    <s v=""/>
    <s v="08/01/2025 22:03"/>
    <s v="-"/>
    <s v="J&amp;T COD"/>
    <s v="Tiktok"/>
    <s v="จ่ายทีหลัง / COD"/>
    <s v=""/>
    <s v="754430630074"/>
    <s v="08/01/2025 22:04"/>
  </r>
  <r>
    <x v="4"/>
    <x v="4"/>
    <n v="100"/>
    <n v="1"/>
    <n v="0"/>
    <s v="EQW90"/>
    <n v="300"/>
    <n v="0"/>
    <s v="ร้านที่2"/>
    <s v="ม***"/>
    <s v="ราชบุรี"/>
    <s v="-"/>
    <s v=""/>
    <s v="08/01/2025 22:03"/>
    <s v="-"/>
    <s v="Flash Express Thailand"/>
    <s v="Tiktok"/>
    <s v="tiktok"/>
    <s v=""/>
    <s v="THT12051ECJF99Z"/>
    <s v="08/01/2025 22:03"/>
  </r>
  <r>
    <x v="1"/>
    <x v="1"/>
    <n v="200"/>
    <n v="1"/>
    <n v="0"/>
    <s v="EQW90"/>
    <n v="300"/>
    <n v="0"/>
    <s v="ร้านที่2"/>
    <s v="ม***"/>
    <s v="ราชบุรี"/>
    <s v="-"/>
    <s v=""/>
    <s v="08/01/2025 22:03"/>
    <s v="-"/>
    <s v="Flash Express Thailand"/>
    <s v="Tiktok"/>
    <s v="tiktok"/>
    <s v=""/>
    <s v="THT12051ECJF99Z"/>
    <s v="08/01/2025 22:03"/>
  </r>
  <r>
    <x v="10"/>
    <x v="10"/>
    <n v="200"/>
    <n v="1"/>
    <n v="0"/>
    <s v="EQW89"/>
    <n v="200"/>
    <n v="0"/>
    <s v="ร้านที่4"/>
    <s v="ว***นทร์ ภ***ทอง"/>
    <s v="ตาก"/>
    <s v="-"/>
    <s v=""/>
    <s v="08/01/2025 22:00"/>
    <s v="-"/>
    <s v="Flash Express Thailand COD"/>
    <s v="Tiktok"/>
    <s v="จ่ายทีหลัง / COD"/>
    <s v=""/>
    <s v="THT59061ECKW67Z"/>
    <s v="08/01/2025 22:00"/>
  </r>
  <r>
    <x v="1"/>
    <x v="1"/>
    <n v="200"/>
    <n v="1"/>
    <n v="0"/>
    <s v="EQW88"/>
    <n v="200"/>
    <n v="0"/>
    <s v="ร้านที่1"/>
    <s v="ป***า ฟ***อย"/>
    <s v="เชียงใหม่"/>
    <s v="-"/>
    <s v=""/>
    <s v="08/01/2025 21:55"/>
    <s v="-"/>
    <s v="J&amp;T COD"/>
    <s v="Tiktok"/>
    <s v="จ่ายทีหลัง / COD"/>
    <s v=""/>
    <s v="754483842066"/>
    <s v="08/01/2025 21:55"/>
  </r>
  <r>
    <x v="1"/>
    <x v="1"/>
    <n v="200"/>
    <n v="1"/>
    <n v="0"/>
    <s v="EQW87"/>
    <n v="200"/>
    <n v="0"/>
    <s v="ร้านที่1"/>
    <s v="ม***ี ธ***นวรัตน์"/>
    <s v="พิจิตร"/>
    <s v="-"/>
    <s v=""/>
    <s v="08/01/2025 21:55"/>
    <s v="-"/>
    <s v="J&amp;T Express"/>
    <s v="Tiktok"/>
    <s v="tiktok"/>
    <s v=""/>
    <s v="754498947005"/>
    <s v="08/01/2025 21:55"/>
  </r>
  <r>
    <x v="4"/>
    <x v="4"/>
    <n v="150"/>
    <n v="1"/>
    <n v="0"/>
    <s v="EQW86"/>
    <n v="150"/>
    <n v="0"/>
    <s v="ร้านที่1"/>
    <s v="น******ง"/>
    <s v="******ที่ 1 ซ.เรวดี17 ตำบลตลาดขวัญ อำเภอเมืองนนทบุรี จังหวัดนนทบุรี 11000"/>
    <s v="11000"/>
    <s v="06"/>
    <s v="08/01/2025 21:51"/>
    <s v="-"/>
    <s v="Flash Express"/>
    <s v="Shopee"/>
    <s v="shopee"/>
    <s v=""/>
    <s v="TH03016PDGNR0B1"/>
    <s v="08/01/2025 21:51"/>
  </r>
  <r>
    <x v="1"/>
    <x v="1"/>
    <n v="200"/>
    <n v="1"/>
    <n v="0"/>
    <s v="EQW85"/>
    <n v="200"/>
    <n v="0"/>
    <s v="ร้านที่1"/>
    <s v="ฐ***วัลคุ์ ม***รบุรี"/>
    <s v="นครราชสีมา"/>
    <s v="-"/>
    <s v=""/>
    <s v="08/01/2025 21:50"/>
    <s v="-"/>
    <s v="J&amp;T COD"/>
    <s v="Tiktok"/>
    <s v="จ่ายทีหลัง / COD"/>
    <s v=""/>
    <s v="754488647076"/>
    <s v="08/01/2025 21:50"/>
  </r>
  <r>
    <x v="1"/>
    <x v="1"/>
    <n v="200"/>
    <n v="1"/>
    <n v="0"/>
    <s v="EQW82"/>
    <n v="200"/>
    <n v="0"/>
    <s v="ร้านที่2"/>
    <s v="ล*** อ***พิทักษ์"/>
    <s v="สมุทรสาคร"/>
    <s v="-"/>
    <s v=""/>
    <s v="08/01/2025 21:41"/>
    <s v="-"/>
    <s v="J&amp;T COD"/>
    <s v="Tiktok"/>
    <s v="จ่ายทีหลัง / COD"/>
    <s v=""/>
    <s v="754475043070"/>
    <s v="08/01/2025 21:41"/>
  </r>
  <r>
    <x v="1"/>
    <x v="1"/>
    <n v="200"/>
    <n v="1"/>
    <n v="0"/>
    <s v="EQW81"/>
    <n v="200"/>
    <n v="0"/>
    <s v="ร้านที่1"/>
    <s v="ก***ัฐ ล***ภา"/>
    <s v="ฉะเชิงเทรา"/>
    <s v="-"/>
    <s v=""/>
    <s v="08/01/2025 21:40"/>
    <s v="-"/>
    <s v="J&amp;T COD"/>
    <s v="Tiktok"/>
    <s v="จ่ายทีหลัง / COD"/>
    <s v=""/>
    <s v="754402932091"/>
    <s v="08/01/2025 21:40"/>
  </r>
  <r>
    <x v="13"/>
    <x v="30"/>
    <n v="119.84"/>
    <n v="1"/>
    <n v="0"/>
    <s v="EQW79"/>
    <n v="124.84"/>
    <n v="5"/>
    <s v="ร้านที่9"/>
    <s v="ภรณ์สุดา เมืองชนะ"/>
    <s v="126/6 ม.8 ซ.ทุ่งคา1 ต.พรหมโลก_x000a__x000a_พรหมคีรี/ Phrom  Khiriนครศรีธรรมราช/ Nakhon Si Thammarat_x000a_80320"/>
    <s v="80320"/>
    <s v="660958391552"/>
    <s v="08/01/2025 21:36"/>
    <s v="-"/>
    <s v="Kerry_dropoff"/>
    <s v="Lazada"/>
    <s v="lazada"/>
    <s v=""/>
    <s v="TH64026PDSNQ5A"/>
    <s v="08/01/2025 21:36"/>
  </r>
  <r>
    <x v="0"/>
    <x v="0"/>
    <n v="100"/>
    <n v="1"/>
    <n v="0"/>
    <s v="EQW78"/>
    <n v="106"/>
    <n v="6"/>
    <s v="ร้านที่1"/>
    <s v="ช***า ว***ะโภคา"/>
    <s v="นครราชสีมา"/>
    <s v="-"/>
    <s v=""/>
    <s v="08/01/2025 21:35"/>
    <s v="-"/>
    <s v="J&amp;T COD"/>
    <s v="Tiktok"/>
    <s v="จ่ายทีหลัง / COD"/>
    <s v=""/>
    <s v="754489410043"/>
    <s v="08/01/2025 21:36"/>
  </r>
  <r>
    <x v="1"/>
    <x v="1"/>
    <n v="200"/>
    <n v="1"/>
    <n v="0"/>
    <s v="EQW77"/>
    <n v="200"/>
    <n v="0"/>
    <s v="ร้านที่1"/>
    <s v="ช***า"/>
    <s v="ชลบุรี"/>
    <s v="-"/>
    <s v=""/>
    <s v="08/01/2025 21:31"/>
    <s v="-"/>
    <s v="J&amp;T COD"/>
    <s v="Tiktok"/>
    <s v="จ่ายทีหลัง / COD"/>
    <s v=""/>
    <s v="754449047063"/>
    <s v="08/01/2025 21:31"/>
  </r>
  <r>
    <x v="0"/>
    <x v="0"/>
    <n v="100"/>
    <n v="1"/>
    <n v="0"/>
    <s v="EQW75"/>
    <n v="209"/>
    <n v="45"/>
    <s v="ร้านที่1"/>
    <s v="ธ***ัลย์ เ***วงศ์เจริญ"/>
    <s v="ชลบุรี"/>
    <s v="-"/>
    <s v=""/>
    <s v="08/01/2025 21:20"/>
    <s v="-"/>
    <s v="J&amp;T COD"/>
    <s v="Tiktok"/>
    <s v="จ่ายทีหลัง / COD"/>
    <s v=""/>
    <s v="754413220002"/>
    <s v="08/01/2025 21:20"/>
  </r>
  <r>
    <x v="10"/>
    <x v="10"/>
    <n v="200"/>
    <n v="1"/>
    <n v="0"/>
    <s v="EQW73"/>
    <n v="200"/>
    <n v="0"/>
    <s v="ร้านที่4"/>
    <s v="เ***นจิตร ค***น"/>
    <s v="เชียงใหม่"/>
    <s v="-"/>
    <s v=""/>
    <s v="08/01/2025 21:16"/>
    <s v="-"/>
    <s v="Flash Express Thailand"/>
    <s v="Tiktok"/>
    <s v="tiktok"/>
    <s v=""/>
    <s v="THT47141ECY0R8Z"/>
    <s v="08/01/2025 21:16"/>
  </r>
  <r>
    <x v="0"/>
    <x v="0"/>
    <n v="100"/>
    <n v="1"/>
    <n v="0"/>
    <s v="EQW72"/>
    <n v="106"/>
    <n v="6"/>
    <s v="ร้านที่1"/>
    <s v="ณ***ัฒน์"/>
    <s v="มุกดาหาร"/>
    <s v="-"/>
    <s v=""/>
    <s v="08/01/2025 21:14"/>
    <s v="-"/>
    <s v="J&amp;T COD"/>
    <s v="Tiktok"/>
    <s v="จ่ายทีหลัง / COD"/>
    <s v=""/>
    <s v="754414824026"/>
    <s v="08/01/2025 21:15"/>
  </r>
  <r>
    <x v="10"/>
    <x v="10"/>
    <n v="200"/>
    <n v="1"/>
    <n v="0"/>
    <s v="EQW71"/>
    <n v="200"/>
    <n v="0"/>
    <s v="ร้านที่4"/>
    <s v="ก***ณ ท***ห้"/>
    <s v="อุตรดิตถ์"/>
    <s v="-"/>
    <s v=""/>
    <s v="08/01/2025 21:12"/>
    <s v="-"/>
    <s v="Flash Express Thailand COD"/>
    <s v="Tiktok"/>
    <s v="จ่ายทีหลัง / COD"/>
    <s v=""/>
    <s v="THT50011ECKST3Z"/>
    <s v="08/01/2025 21:14"/>
  </r>
  <r>
    <x v="4"/>
    <x v="4"/>
    <n v="100"/>
    <n v="1"/>
    <n v="0"/>
    <s v="EQW70"/>
    <n v="200"/>
    <n v="0"/>
    <s v="ร้านที่2"/>
    <s v="ฉ***ชัย เ***สุวรรณ์"/>
    <s v="ปทุมธานี"/>
    <s v="-"/>
    <s v=""/>
    <s v="08/01/2025 21:12"/>
    <s v="-"/>
    <s v="J&amp;T Express"/>
    <s v="Tiktok"/>
    <s v="tiktok"/>
    <s v=""/>
    <s v="754419911022"/>
    <s v="08/01/2025 21:14"/>
  </r>
  <r>
    <x v="0"/>
    <x v="0"/>
    <n v="100"/>
    <n v="1"/>
    <n v="0"/>
    <s v="EQW70"/>
    <n v="200"/>
    <n v="0"/>
    <s v="ร้านที่2"/>
    <s v="ฉ***ชัย เ***สุวรรณ์"/>
    <s v="ปทุมธานี"/>
    <s v="-"/>
    <s v=""/>
    <s v="08/01/2025 21:12"/>
    <s v="-"/>
    <s v="J&amp;T Express"/>
    <s v="Tiktok"/>
    <s v="tiktok"/>
    <s v=""/>
    <s v="754419911022"/>
    <s v="08/01/2025 21:14"/>
  </r>
  <r>
    <x v="1"/>
    <x v="1"/>
    <n v="200"/>
    <n v="1"/>
    <n v="0"/>
    <s v="EQW69"/>
    <n v="200"/>
    <n v="0"/>
    <s v="ร้านที่1"/>
    <s v="น** ส***ตน์  ช***ี"/>
    <s v="กรุงเทพฯ"/>
    <s v="-"/>
    <s v=""/>
    <s v="08/01/2025 21:09"/>
    <s v="-"/>
    <s v="J&amp;T Express"/>
    <s v="Tiktok"/>
    <s v="tiktok"/>
    <s v=""/>
    <s v="754486841076"/>
    <s v="08/01/2025 21:13"/>
  </r>
  <r>
    <x v="10"/>
    <x v="10"/>
    <n v="200"/>
    <n v="1"/>
    <n v="0"/>
    <s v="EQW68"/>
    <n v="200"/>
    <n v="0"/>
    <s v="ร้านที่1"/>
    <s v="ส***  จ***ทวี"/>
    <s v="พิษณุโลก"/>
    <s v="-"/>
    <s v=""/>
    <s v="08/01/2025 21:06"/>
    <s v="-"/>
    <s v="J&amp;T COD"/>
    <s v="Tiktok"/>
    <s v="จ่ายทีหลัง / COD"/>
    <s v=""/>
    <s v="754443524096"/>
    <s v="08/01/2025 21:11"/>
  </r>
  <r>
    <x v="10"/>
    <x v="10"/>
    <n v="200"/>
    <n v="1"/>
    <n v="0"/>
    <s v="EQW66"/>
    <n v="200"/>
    <n v="0"/>
    <s v="ร้านที่1"/>
    <s v="จ***นา พ***ันทร์"/>
    <s v="เทศบาลนครนครศรีธรรมราช"/>
    <s v="-"/>
    <s v=""/>
    <s v="08/01/2025 21:06"/>
    <s v="-"/>
    <s v="Flash Express Thailand COD"/>
    <s v="Tiktok"/>
    <s v="จ่ายทีหลัง / COD"/>
    <s v=""/>
    <s v="THT64011ECKQU3Z"/>
    <s v="08/01/2025 21:09"/>
  </r>
  <r>
    <x v="3"/>
    <x v="3"/>
    <n v="100"/>
    <n v="1"/>
    <n v="0"/>
    <s v="EQW65"/>
    <n v="200"/>
    <n v="0"/>
    <s v="ร้านที่1"/>
    <s v="อ***รรณ ศ***ระจันทร์"/>
    <s v="เชียงราย"/>
    <s v="-"/>
    <s v=""/>
    <s v="08/01/2025 21:04"/>
    <s v="-"/>
    <s v="J&amp;T COD"/>
    <s v="Tiktok"/>
    <s v="จ่ายทีหลัง / COD"/>
    <s v=""/>
    <s v="754481314042"/>
    <s v="08/01/2025 21:06"/>
  </r>
  <r>
    <x v="0"/>
    <x v="0"/>
    <n v="100"/>
    <n v="1"/>
    <n v="0"/>
    <s v="EQW65"/>
    <n v="200"/>
    <n v="0"/>
    <s v="ร้านที่1"/>
    <s v="อ***รรณ ศ***ระจันทร์"/>
    <s v="เชียงราย"/>
    <s v="-"/>
    <s v=""/>
    <s v="08/01/2025 21:04"/>
    <s v="-"/>
    <s v="J&amp;T COD"/>
    <s v="Tiktok"/>
    <s v="จ่ายทีหลัง / COD"/>
    <s v=""/>
    <s v="754481314042"/>
    <s v="08/01/2025 21:06"/>
  </r>
  <r>
    <x v="1"/>
    <x v="1"/>
    <n v="200"/>
    <n v="1"/>
    <n v="0"/>
    <s v="EQW64"/>
    <n v="200"/>
    <n v="0"/>
    <s v="ร้านที่1"/>
    <s v="บ***ฤทธิ์      ท***่งศรี"/>
    <s v="สงขลา"/>
    <s v="-"/>
    <s v=""/>
    <s v="08/01/2025 21:04"/>
    <s v="-"/>
    <s v="J&amp;T COD"/>
    <s v="Tiktok"/>
    <s v="จ่ายทีหลัง / COD"/>
    <s v=""/>
    <s v="754477845074"/>
    <s v="08/01/2025 21:06"/>
  </r>
  <r>
    <x v="1"/>
    <x v="1"/>
    <n v="200"/>
    <n v="1"/>
    <n v="0"/>
    <s v="EQW63"/>
    <n v="200"/>
    <n v="0"/>
    <s v="ร้านที่2"/>
    <s v="m***urous"/>
    <s v="ปทุมธานี"/>
    <s v="-"/>
    <s v=""/>
    <s v="08/01/2025 21:01"/>
    <s v="-"/>
    <s v="J&amp;T COD"/>
    <s v="Tiktok"/>
    <s v="จ่ายทีหลัง / COD"/>
    <s v=""/>
    <s v="754491041076"/>
    <s v="08/01/2025 21:01"/>
  </r>
  <r>
    <x v="10"/>
    <x v="10"/>
    <n v="200"/>
    <n v="1"/>
    <n v="0"/>
    <s v="EQW62"/>
    <n v="200"/>
    <n v="0"/>
    <s v="ร้านที่1"/>
    <s v="ซ***ี่"/>
    <s v="ราชบุรี"/>
    <s v="-"/>
    <s v=""/>
    <s v="08/01/2025 21:00"/>
    <s v="-"/>
    <s v="J&amp;T COD"/>
    <s v="Tiktok"/>
    <s v="จ่ายทีหลัง / COD"/>
    <s v=""/>
    <s v="754408322091"/>
    <s v="08/01/2025 21:00"/>
  </r>
  <r>
    <x v="0"/>
    <x v="0"/>
    <n v="100"/>
    <n v="1"/>
    <n v="0"/>
    <s v="EQW61"/>
    <n v="106"/>
    <n v="6"/>
    <s v="ร้านที่2"/>
    <s v="พ* แ***ย่าง"/>
    <s v="ลำพูน"/>
    <s v="-"/>
    <s v=""/>
    <s v="08/01/2025 20:51"/>
    <s v="-"/>
    <s v="J&amp;T COD"/>
    <s v="Tiktok"/>
    <s v="จ่ายทีหลัง / COD"/>
    <s v=""/>
    <s v="754409011053"/>
    <s v="08/01/2025 20:51"/>
  </r>
  <r>
    <x v="5"/>
    <x v="5"/>
    <n v="330"/>
    <n v="1"/>
    <n v="0"/>
    <s v="EQW60"/>
    <n v="330"/>
    <n v="0"/>
    <s v="ร้านที่1"/>
    <s v="อ***ณา จ***ง"/>
    <s v="นครศรีธรรมราช"/>
    <s v="-"/>
    <s v=""/>
    <s v="08/01/2025 20:45"/>
    <s v="-"/>
    <s v="J&amp;T COD"/>
    <s v="Tiktok"/>
    <s v="จ่ายทีหลัง / COD"/>
    <s v=""/>
    <s v="754467238066"/>
    <s v="08/01/2025 20:45"/>
  </r>
  <r>
    <x v="1"/>
    <x v="1"/>
    <n v="200"/>
    <n v="1"/>
    <n v="0"/>
    <s v="EQW59"/>
    <n v="200"/>
    <n v="0"/>
    <s v="ร้านที่1"/>
    <s v="น***ิดา แ***สุวรรณ์ "/>
    <s v="สมุทรสาคร"/>
    <s v="-"/>
    <s v=""/>
    <s v="08/01/2025 20:44"/>
    <s v="-"/>
    <s v="J&amp;T COD"/>
    <s v="Tiktok"/>
    <s v="จ่ายทีหลัง / COD"/>
    <s v=""/>
    <s v="754474045076"/>
    <s v="08/01/2025 20:44"/>
  </r>
  <r>
    <x v="2"/>
    <x v="2"/>
    <n v="110.3"/>
    <n v="1"/>
    <n v="0"/>
    <s v="EQW58"/>
    <n v="115.3"/>
    <n v="5"/>
    <s v="ร้านที่1"/>
    <s v="อนิศา กุลบุตร"/>
    <s v="149 ซ.ศูนย์การค้าแฮปปี้แลนด์สาย2 ลาดพร้าว คลองจั่ · คลองจั่น/ Khlong Chan_x000a__x000a_บางกะปิ/ Bang Kapiกรุงเทพมหานคร/ Bangkok_x000a_10240"/>
    <s v="10240"/>
    <s v="660637561196"/>
    <s v="08/01/2025 20:44"/>
    <s v="-"/>
    <s v="Kerry_dropoff"/>
    <s v="Lazada"/>
    <s v="lazada"/>
    <s v=""/>
    <s v="LEXPU0443742588"/>
    <s v="08/01/2025 20:44"/>
  </r>
  <r>
    <x v="0"/>
    <x v="0"/>
    <n v="100"/>
    <n v="1"/>
    <n v="0"/>
    <s v="EQW57"/>
    <n v="129"/>
    <n v="29"/>
    <s v="ร้านที่1"/>
    <s v="เ***ิรินทร์  ป***้น"/>
    <s v="สุโขทัย"/>
    <s v="-"/>
    <s v=""/>
    <s v="08/01/2025 20:43"/>
    <s v="-"/>
    <s v="Flash Express Thailand COD"/>
    <s v="Tiktok"/>
    <s v="จ่ายทีหลัง / COD"/>
    <s v=""/>
    <s v="THT60021ECKAU7Z"/>
    <s v="08/01/2025 20:43"/>
  </r>
  <r>
    <x v="0"/>
    <x v="0"/>
    <n v="100"/>
    <n v="1"/>
    <n v="0"/>
    <s v="EQW56"/>
    <n v="200"/>
    <n v="0"/>
    <s v="ร้านที่1"/>
    <s v="ศ***รรณ แ***ุญเรือง"/>
    <s v="ตาก"/>
    <s v="-"/>
    <s v=""/>
    <s v="08/01/2025 20:41"/>
    <s v="-"/>
    <s v="J&amp;T Express"/>
    <s v="Tiktok"/>
    <s v="tiktok"/>
    <s v=""/>
    <s v="754494234012"/>
    <s v="08/01/2025 20:41"/>
  </r>
  <r>
    <x v="9"/>
    <x v="4"/>
    <n v="100"/>
    <n v="1"/>
    <n v="0"/>
    <s v="EQW56"/>
    <n v="200"/>
    <n v="0"/>
    <s v="ร้านที่1"/>
    <s v="ศ***รรณ แ***ุญเรือง"/>
    <s v="ตาก"/>
    <s v="-"/>
    <s v=""/>
    <s v="08/01/2025 20:41"/>
    <s v="-"/>
    <s v="J&amp;T Express"/>
    <s v="Tiktok"/>
    <s v="tiktok"/>
    <s v=""/>
    <s v="754494234012"/>
    <s v="08/01/2025 20:41"/>
  </r>
  <r>
    <x v="25"/>
    <x v="28"/>
    <n v="600"/>
    <n v="1"/>
    <n v="0"/>
    <s v="EQW55"/>
    <n v="645"/>
    <n v="45"/>
    <s v="ร้านที่1"/>
    <s v="ก******ย"/>
    <s v="******อสามโคก ปทุมธานี 12160 ประเทศไทย ตำบลเชียงรากใหญ่ อำเภอสามโคก จังหวัดปทุมธานี 12160"/>
    <s v="12160"/>
    <s v="98"/>
    <s v="08/01/2025 20:38"/>
    <s v="-"/>
    <s v="SPX Express"/>
    <s v="Shopee"/>
    <s v="shopee"/>
    <s v=""/>
    <s v="TH254809380137C"/>
    <s v="08/01/2025 20:38"/>
  </r>
  <r>
    <x v="24"/>
    <x v="32"/>
    <n v="440.79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6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59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28"/>
    <x v="35"/>
    <n v="114.58"/>
    <n v="1"/>
    <n v="0"/>
    <s v="EQW54"/>
    <n v="813.56"/>
    <n v="29"/>
    <s v="ร้านที่6"/>
    <s v="หฤทัย"/>
    <s v="121/1 ม.1 ต.เขาแก้ว อ.สรรพยา - ชัยนาท · เขาแก้ว/ Khao Kaeo_x000a__x000a_สรรพยา/ Sapphayaชัยนาท/ Chainat_x000a_17150"/>
    <s v="17150"/>
    <s v="660872025216"/>
    <s v="08/01/2025 20:31"/>
    <s v="-"/>
    <s v="Kerry_dropoff"/>
    <s v="Lazada"/>
    <s v="lazada"/>
    <s v=""/>
    <s v="LEXPU0443691536"/>
    <s v="08/01/2025 20:31"/>
  </r>
  <r>
    <x v="0"/>
    <x v="0"/>
    <n v="100"/>
    <n v="1"/>
    <n v="0"/>
    <s v="EQW53"/>
    <n v="106"/>
    <n v="6"/>
    <s v="ร้านที่1"/>
    <s v="น***ัญญา ม***มณี"/>
    <s v="กาญจนบุรี"/>
    <s v="-"/>
    <s v=""/>
    <s v="08/01/2025 20:29"/>
    <s v="-"/>
    <s v="J&amp;T COD"/>
    <s v="Tiktok"/>
    <s v="จ่ายทีหลัง / COD"/>
    <s v=""/>
    <s v="754413504062"/>
    <s v="08/01/2025 20:29"/>
  </r>
  <r>
    <x v="13"/>
    <x v="30"/>
    <n v="118.59"/>
    <n v="1"/>
    <n v="0"/>
    <s v="EQW52"/>
    <n v="123.59"/>
    <n v="5"/>
    <s v="ร้านที่9"/>
    <s v="ศิริวรรณ อัคนิวรรณ"/>
    <s v="109/74 เสนาวิลล่า ถ.พระยาสุเรนทร์ ซ.35 แขวงบางชัน กทม. 10510_x000a__x000a_คลองสามวา/ Klong Sam Waกรุงเทพมหานคร/ Bangkok_x000a_10510"/>
    <s v="10510"/>
    <s v="660869022011"/>
    <s v="08/01/2025 20:25"/>
    <s v="-"/>
    <s v="Kerry_dropoff"/>
    <s v="Lazada"/>
    <s v="lazada"/>
    <s v=""/>
    <s v="LEXDO0124304540"/>
    <s v="08/01/2025 20:25"/>
  </r>
  <r>
    <x v="4"/>
    <x v="4"/>
    <n v="100"/>
    <n v="2"/>
    <n v="0"/>
    <s v="EQW50"/>
    <n v="200"/>
    <n v="0"/>
    <s v="ร้านที่4"/>
    <s v="ต***ตา ร***นภา"/>
    <s v="นครปฐม"/>
    <s v="-"/>
    <s v=""/>
    <s v="08/01/2025 20:22"/>
    <s v="-"/>
    <s v="Flash Express Thailand COD"/>
    <s v="Tiktok"/>
    <s v="จ่ายทีหลัง / COD"/>
    <s v=""/>
    <s v="THT15011ECN6P4Z"/>
    <s v="08/01/2025 20:22"/>
  </r>
  <r>
    <x v="1"/>
    <x v="1"/>
    <n v="200"/>
    <n v="1"/>
    <n v="0"/>
    <s v="EQW49"/>
    <n v="200"/>
    <n v="0"/>
    <s v="ร้านที่1"/>
    <s v="ธ***าพร บ***มั่น"/>
    <s v="ชลบุรี"/>
    <s v="-"/>
    <s v=""/>
    <s v="08/01/2025 20:19"/>
    <s v="-"/>
    <s v="J&amp;T COD"/>
    <s v="Tiktok"/>
    <s v="จ่ายทีหลัง / COD"/>
    <s v=""/>
    <s v="754446643075"/>
    <s v="08/01/2025 20:19"/>
  </r>
  <r>
    <x v="6"/>
    <x v="6"/>
    <n v="250"/>
    <n v="2"/>
    <n v="0"/>
    <s v="EQW47"/>
    <n v="575"/>
    <n v="75"/>
    <s v="ร้านที่1"/>
    <s v="ค******ก"/>
    <s v="******นมทวน, อำเภอพนมทวน ตำบลพนมทวน อำเภอพนมทวน จังหวัดกาญจนบุรี 71140"/>
    <s v="71140"/>
    <s v="64"/>
    <s v="08/01/2025 20:13"/>
    <s v="-"/>
    <s v="Flash Express"/>
    <s v="Shopee"/>
    <s v="shopee"/>
    <s v=""/>
    <s v="TH13076PDM3Q2D"/>
    <s v="08/01/2025 20:13"/>
  </r>
  <r>
    <x v="1"/>
    <x v="1"/>
    <n v="200"/>
    <n v="1"/>
    <n v="0"/>
    <s v="EQW46"/>
    <n v="200"/>
    <n v="0"/>
    <s v="ร้านที่1"/>
    <s v="น*** พ***์​ แ***ลบ"/>
    <s v="พะเยา"/>
    <s v="-"/>
    <s v=""/>
    <s v="08/01/2025 20:09"/>
    <s v="-"/>
    <s v="J&amp;T COD"/>
    <s v="Tiktok"/>
    <s v="จ่ายทีหลัง / COD"/>
    <s v=""/>
    <s v="754455744011"/>
    <s v="08/01/2025 20:09"/>
  </r>
  <r>
    <x v="0"/>
    <x v="0"/>
    <n v="100"/>
    <n v="1"/>
    <n v="0"/>
    <s v="EQW45"/>
    <n v="106"/>
    <n v="6"/>
    <s v="ร้านที่1"/>
    <s v="ร***า ข***กุล"/>
    <s v="กาฬสินธุ์"/>
    <s v="-"/>
    <s v=""/>
    <s v="08/01/2025 20:09"/>
    <s v="-"/>
    <s v="J&amp;T COD"/>
    <s v="Tiktok"/>
    <s v="จ่ายทีหลัง / COD"/>
    <s v=""/>
    <s v="754489905072"/>
    <s v="08/01/2025 20:09"/>
  </r>
  <r>
    <x v="3"/>
    <x v="8"/>
    <n v="87.33"/>
    <n v="1"/>
    <n v="0"/>
    <s v="EQW43"/>
    <n v="92.33"/>
    <n v="5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7"/>
    <s v="-"/>
    <s v="Kerry_dropoff"/>
    <s v="Lazada"/>
    <s v="lazada"/>
    <s v=""/>
    <s v="LEXPU0443737636"/>
    <s v="08/01/2025 20:07"/>
  </r>
  <r>
    <x v="20"/>
    <x v="20"/>
    <n v="199"/>
    <n v="1"/>
    <n v="0"/>
    <s v="EQW42"/>
    <n v="228"/>
    <n v="29"/>
    <s v="ร้านที่1"/>
    <s v="ร******์"/>
    <s v="******ล ตาลเดี่ยว, อำเภอหล่มสัก ตำบลตาลเดี่ยว อำเภอหล่มสัก จังหวัดเพชรบูรณ์ 67110"/>
    <s v="67110"/>
    <s v="61"/>
    <s v="08/01/2025 20:37"/>
    <s v="-"/>
    <s v="Flash Express"/>
    <s v="Shopee"/>
    <s v="shopee"/>
    <s v=""/>
    <s v="TH63036PDPU12C"/>
    <s v="08/01/2025 20:07"/>
  </r>
  <r>
    <x v="20"/>
    <x v="20"/>
    <n v="199"/>
    <n v="1"/>
    <n v="0"/>
    <s v="EQW41"/>
    <n v="244"/>
    <n v="45"/>
    <s v="ร้านที่1"/>
    <s v="อ******ม"/>
    <s v="******.มาเจริญ แขวงหนองแขม เขตหนองแขม จังหวัดกรุงเทพมหานคร 10160"/>
    <s v="10160"/>
    <s v="41"/>
    <s v="09/01/2025 08:46"/>
    <s v="-"/>
    <s v="SPX Express"/>
    <s v="Shopee"/>
    <s v="shopee"/>
    <s v=""/>
    <s v="TH258986720396P"/>
    <s v="08/01/2025 20:05"/>
  </r>
  <r>
    <x v="3"/>
    <x v="8"/>
    <n v="87.34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3"/>
    <x v="8"/>
    <n v="87.33"/>
    <n v="1"/>
    <n v="0"/>
    <s v="EQW40"/>
    <n v="363.33"/>
    <n v="14"/>
    <s v="ร้านที่6"/>
    <s v="งานศึกษาและพัฒนาด้านข้าว"/>
    <s v="ศูนย์ศึกษาการพัฒนาภูพานอันเนื่องมาจากพระราชดำริ · ห้วยยาง/ Huai Yang_x000a__x000a_เมืองสกลนคร/ Mueang Sakon Nakhonสกลนคร/ Sakon Nakhon_x000a_47000"/>
    <s v="47000"/>
    <s v="660612727385"/>
    <s v="08/01/2025 20:05"/>
    <s v="-"/>
    <s v="Kerry_dropoff"/>
    <s v="Lazada"/>
    <s v="lazada"/>
    <s v=""/>
    <s v="LEXPU0443741263"/>
    <s v="08/01/2025 20:05"/>
  </r>
  <r>
    <x v="1"/>
    <x v="1"/>
    <n v="200"/>
    <n v="1"/>
    <n v="0"/>
    <s v="EQW38"/>
    <n v="200"/>
    <n v="0"/>
    <s v="ร้านที่1"/>
    <s v="น***า  ร***ประหาต"/>
    <s v="เทศบาลนครนครราชสีมา"/>
    <s v="-"/>
    <s v=""/>
    <s v="08/01/2025 20:04"/>
    <s v="-"/>
    <s v="J&amp;T COD"/>
    <s v="Tiktok"/>
    <s v="จ่ายทีหลัง / COD"/>
    <s v=""/>
    <s v="754488844056"/>
    <s v="08/01/2025 20:04"/>
  </r>
  <r>
    <x v="0"/>
    <x v="0"/>
    <n v="100"/>
    <n v="1"/>
    <n v="0"/>
    <s v="EQW37"/>
    <n v="106"/>
    <n v="6"/>
    <s v="ร้านที่2"/>
    <s v="1***UM"/>
    <s v="ฉะเชิงเทรา"/>
    <s v="-"/>
    <s v=""/>
    <s v="08/01/2025 20:01"/>
    <s v="-"/>
    <s v="J&amp;T COD"/>
    <s v="Tiktok"/>
    <s v="จ่ายทีหลัง / COD"/>
    <s v=""/>
    <s v="754413706082"/>
    <s v="08/01/2025 20:01"/>
  </r>
  <r>
    <x v="9"/>
    <x v="4"/>
    <n v="100"/>
    <n v="2"/>
    <n v="0"/>
    <s v="EQW35"/>
    <n v="200"/>
    <n v="0"/>
    <s v="ร้านที่1"/>
    <s v="ส***ิดา  ห***ชื่น"/>
    <s v="นราธิวาส"/>
    <s v="-"/>
    <s v=""/>
    <s v="08/01/2025 19:59"/>
    <s v="-"/>
    <s v="J&amp;T COD"/>
    <s v="Tiktok"/>
    <s v="จ่ายทีหลัง / COD"/>
    <s v=""/>
    <s v="754497723044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19"/>
    <x v="34"/>
    <n v="104.86"/>
    <n v="1"/>
    <n v="0"/>
    <s v="EQW34"/>
    <n v="319.58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8/01/2025 20:00"/>
    <s v="-"/>
    <s v="Kerry_dropoff"/>
    <s v="Lazada"/>
    <s v="lazada"/>
    <s v=""/>
    <s v="LEXDO0124286153"/>
    <s v="08/01/2025 19:59"/>
  </r>
  <r>
    <x v="5"/>
    <x v="5"/>
    <n v="330"/>
    <n v="1"/>
    <n v="0"/>
    <s v="EQW31"/>
    <n v="330"/>
    <n v="0"/>
    <s v="ร้านที่1"/>
    <s v="ค***เนื้ออุ่น,บารัน,หวาน"/>
    <s v="ลำปาง"/>
    <s v="-"/>
    <s v=""/>
    <s v="08/01/2025 19:54"/>
    <s v="-"/>
    <s v="J&amp;T Express"/>
    <s v="Tiktok"/>
    <s v="tiktok"/>
    <s v=""/>
    <s v="754425320095"/>
    <s v="08/01/2025 19:53"/>
  </r>
  <r>
    <x v="19"/>
    <x v="34"/>
    <n v="119.84"/>
    <n v="1"/>
    <n v="0"/>
    <s v="EQW30"/>
    <n v="239.68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1/2025 19:48"/>
    <s v="-"/>
    <s v="Kerry_dropoff"/>
    <s v="Lazada"/>
    <s v="lazada"/>
    <s v=""/>
    <s v="LEXDO0124281213"/>
    <s v="08/01/2025 19:48"/>
  </r>
  <r>
    <x v="13"/>
    <x v="30"/>
    <n v="119.84"/>
    <n v="1"/>
    <n v="0"/>
    <s v="EQW30"/>
    <n v="239.68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8/01/2025 19:48"/>
    <s v="-"/>
    <s v="Kerry_dropoff"/>
    <s v="Lazada"/>
    <s v="lazada"/>
    <s v=""/>
    <s v="LEXDO0124281213"/>
    <s v="08/01/2025 19:48"/>
  </r>
  <r>
    <x v="10"/>
    <x v="10"/>
    <n v="200"/>
    <n v="1"/>
    <n v="0"/>
    <s v="EQW29"/>
    <n v="200"/>
    <n v="0"/>
    <s v="ร้านที่1"/>
    <s v="เ***วรรณ  บ***าค"/>
    <s v="กรุงเทพฯ"/>
    <s v="-"/>
    <s v=""/>
    <s v="08/01/2025 19:44"/>
    <s v="-"/>
    <s v="J&amp;T COD"/>
    <s v="Tiktok"/>
    <s v="จ่ายทีหลัง / COD"/>
    <s v=""/>
    <s v="754480133013"/>
    <s v="08/01/2025 19:45"/>
  </r>
  <r>
    <x v="1"/>
    <x v="1"/>
    <n v="200"/>
    <n v="1"/>
    <n v="0"/>
    <s v="EQW28"/>
    <n v="200"/>
    <n v="0"/>
    <s v="ร้านที่2"/>
    <s v="ส***ิ้ม"/>
    <s v="นนทบุรี"/>
    <s v="-"/>
    <s v=""/>
    <s v="08/01/2025 19:43"/>
    <s v="-"/>
    <s v="J&amp;T COD"/>
    <s v="Tiktok"/>
    <s v="จ่ายทีหลัง / COD"/>
    <s v=""/>
    <s v="754412743000"/>
    <s v="08/01/2025 19:43"/>
  </r>
  <r>
    <x v="13"/>
    <x v="30"/>
    <n v="119.84"/>
    <n v="1"/>
    <n v="0"/>
    <s v="EQW27"/>
    <n v="124.84"/>
    <n v="5"/>
    <s v="ร้านที่9"/>
    <s v="คุณ วนิดา เด็ดพุดซา"/>
    <s v="96 หมู่ 12 บ้านหนองยารักษ์ · พุดซา/ Phutsa_x000a__x000a_เมืองนครราชสีมา/ Mueng Nakorn Ratchasimaนครราชสีมา/ Nakhon Ratchasima_x000a_30000"/>
    <s v="30000"/>
    <s v="660934180382"/>
    <s v="08/01/2025 19:38"/>
    <s v="-"/>
    <s v="Kerry_dropoff"/>
    <s v="Lazada"/>
    <s v="lazada"/>
    <s v=""/>
    <s v="LEXDO0124299127"/>
    <s v="08/01/2025 19:38"/>
  </r>
  <r>
    <x v="13"/>
    <x v="30"/>
    <n v="109.84"/>
    <n v="1"/>
    <n v="0"/>
    <s v="EQW26"/>
    <n v="114.84"/>
    <n v="5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08/01/2025 19:36"/>
    <s v="-"/>
    <s v="Kerry_dropoff"/>
    <s v="Lazada"/>
    <s v="lazada"/>
    <s v=""/>
    <s v="LEXDO0124304631"/>
    <s v="08/01/2025 19:36"/>
  </r>
  <r>
    <x v="10"/>
    <x v="10"/>
    <n v="200"/>
    <n v="1"/>
    <n v="0"/>
    <s v="EQW25"/>
    <n v="200"/>
    <n v="0"/>
    <s v="ร้านที่1"/>
    <s v="ส***น ด***ี"/>
    <s v="นครราชสีมา"/>
    <s v="-"/>
    <s v=""/>
    <s v="08/01/2025 19:35"/>
    <s v="-"/>
    <s v="J&amp;T COD"/>
    <s v="Tiktok"/>
    <s v="จ่ายทีหลัง / COD"/>
    <s v=""/>
    <s v="754466122093"/>
    <s v="08/01/2025 19:35"/>
  </r>
  <r>
    <x v="0"/>
    <x v="0"/>
    <n v="100"/>
    <n v="1"/>
    <n v="0"/>
    <s v="EQW24"/>
    <n v="106"/>
    <n v="6"/>
    <s v="ร้านที่1"/>
    <s v="ธ***ันท์   จ***าคำ"/>
    <s v="อุบลราชธานี"/>
    <s v="-"/>
    <s v=""/>
    <s v="08/01/2025 19:30"/>
    <s v="-"/>
    <s v="J&amp;T COD"/>
    <s v="Tiktok"/>
    <s v="จ่ายทีหลัง / COD"/>
    <s v=""/>
    <s v="754412707086"/>
    <s v="08/01/2025 19:30"/>
  </r>
  <r>
    <x v="10"/>
    <x v="10"/>
    <n v="200"/>
    <n v="1"/>
    <n v="0"/>
    <s v="EQW23"/>
    <n v="200"/>
    <n v="0"/>
    <s v="ร้านที่4"/>
    <s v="ว***วรรณ โ***"/>
    <s v="อ่างทอง"/>
    <s v="-"/>
    <s v=""/>
    <s v="08/01/2025 19:28"/>
    <s v="-"/>
    <s v="Flash Express Thailand COD"/>
    <s v="Tiktok"/>
    <s v="จ่ายทีหลัง / COD"/>
    <s v=""/>
    <s v="THT06041ECJ4E9Z"/>
    <s v="08/01/2025 19:28"/>
  </r>
  <r>
    <x v="0"/>
    <x v="0"/>
    <n v="100"/>
    <n v="2"/>
    <n v="0"/>
    <s v="EQW22"/>
    <n v="200"/>
    <n v="0"/>
    <s v="ร้านที่4"/>
    <s v="น***าว ม***การ ห***สนาม"/>
    <s v="กรุงเทพฯ"/>
    <s v="-"/>
    <s v=""/>
    <s v="08/01/2025 19:27"/>
    <s v="-"/>
    <s v="Flash Express Thailand COD"/>
    <s v="Tiktok"/>
    <s v="จ่ายทีหลัง / COD"/>
    <s v=""/>
    <s v="THT01481ECGMM7Z"/>
    <s v="08/01/2025 19:27"/>
  </r>
  <r>
    <x v="9"/>
    <x v="4"/>
    <n v="100"/>
    <n v="1"/>
    <n v="0"/>
    <s v="EQW20"/>
    <n v="106"/>
    <n v="6"/>
    <s v="ร้านที่1"/>
    <s v="ส***"/>
    <s v="กรุงเทพมหานคร"/>
    <s v="-"/>
    <s v=""/>
    <s v="08/01/2025 19:25"/>
    <s v="-"/>
    <s v="J&amp;T COD"/>
    <s v="Tiktok"/>
    <s v="จ่ายทีหลัง / COD"/>
    <s v=""/>
    <s v="754423528040"/>
    <s v="08/01/2025 19:25"/>
  </r>
  <r>
    <x v="13"/>
    <x v="30"/>
    <n v="119.84"/>
    <n v="1"/>
    <n v="0"/>
    <s v="EQW19"/>
    <n v="124.84"/>
    <n v="5"/>
    <s v="ร้านที่9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08/01/2025 19:22"/>
    <s v="-"/>
    <s v="Kerry_dropoff"/>
    <s v="Lazada"/>
    <s v="lazada"/>
    <s v=""/>
    <s v="LEXDO0124304582"/>
    <s v="08/01/2025 19:22"/>
  </r>
  <r>
    <x v="19"/>
    <x v="34"/>
    <n v="149.80000000000001"/>
    <n v="1"/>
    <n v="0"/>
    <s v="EQW18"/>
    <n v="194.8"/>
    <n v="45"/>
    <s v="ร้านที่9"/>
    <s v="กรณภา"/>
    <s v="ธนาคารซีไอเอ็มบีไทย สำนักงานใหญ่ ถนนหลังสวน, 44 ถนน หลังสวน 44 · ลุมพินี/ Lumphini_x000a__x000a_ปทุมวัน/ Pathum Wanกรุงเทพมหานคร/ Bangkok_x000a_10330"/>
    <s v="10330"/>
    <s v="660877636292"/>
    <s v="08/01/2025 19:09"/>
    <s v="-"/>
    <s v="Kerry_dropoff"/>
    <s v="Lazada"/>
    <s v="lazada"/>
    <s v=""/>
    <s v="LEXDO0124288142"/>
    <s v="08/01/2025 19:09"/>
  </r>
  <r>
    <x v="3"/>
    <x v="8"/>
    <n v="90.43"/>
    <n v="1"/>
    <n v="0"/>
    <s v="EQW17"/>
    <n v="90.43"/>
    <n v="0"/>
    <s v="ร้านที่6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08/01/2025 19:07"/>
    <s v="-"/>
    <s v="Kerry_dropoff"/>
    <s v="Lazada"/>
    <s v="lazada"/>
    <s v=""/>
    <s v="LEXPU0443737179"/>
    <s v="08/01/2025 19:06"/>
  </r>
  <r>
    <x v="0"/>
    <x v="0"/>
    <n v="100"/>
    <n v="1"/>
    <n v="0"/>
    <s v="EQW16"/>
    <n v="195"/>
    <n v="0"/>
    <s v="ร้านที่1"/>
    <s v="น***ุมาภรณ์ ส***ตคำ"/>
    <s v="ระยอง"/>
    <s v="-"/>
    <s v=""/>
    <s v="08/01/2025 19:06"/>
    <s v="-"/>
    <s v="J&amp;T Express"/>
    <s v="Tiktok"/>
    <s v="tiktok"/>
    <s v=""/>
    <s v="754412633074"/>
    <s v="08/01/2025 19:06"/>
  </r>
  <r>
    <x v="5"/>
    <x v="5"/>
    <n v="350"/>
    <n v="1"/>
    <n v="0"/>
    <s v="EQW15"/>
    <n v="350"/>
    <n v="0"/>
    <s v="ร้านที่4"/>
    <s v="อ*** ย***ย็น"/>
    <s v="ปทุมธานี"/>
    <s v="-"/>
    <s v=""/>
    <s v="08/01/2025 19:01"/>
    <s v="-"/>
    <s v="Flash Express Thailand COD"/>
    <s v="Tiktok"/>
    <s v="จ่ายทีหลัง / COD"/>
    <s v=""/>
    <s v="THT04041ECFKQ1Z"/>
    <s v="08/01/2025 19:01"/>
  </r>
  <r>
    <x v="15"/>
    <x v="15"/>
    <n v="200"/>
    <n v="2"/>
    <n v="0"/>
    <s v="EQW14"/>
    <n v="1200"/>
    <n v="0"/>
    <s v="ร้านที่2"/>
    <s v="ฐ***ฎฐ์ แ***อง"/>
    <s v="สุรินทร์"/>
    <s v="-"/>
    <s v=""/>
    <s v="08/01/2025 19:00"/>
    <s v="-"/>
    <s v="J&amp;T COD"/>
    <s v="Tiktok"/>
    <s v="จ่ายทีหลัง / COD"/>
    <s v=""/>
    <s v="754476032004"/>
    <s v="08/01/2025 19:00"/>
  </r>
  <r>
    <x v="29"/>
    <x v="36"/>
    <n v="400"/>
    <n v="2"/>
    <n v="0"/>
    <s v="EQW14"/>
    <n v="1200"/>
    <n v="0"/>
    <s v="ร้านที่2"/>
    <s v="ฐ***ฎฐ์ แ***อง"/>
    <s v="สุรินทร์"/>
    <s v="-"/>
    <s v=""/>
    <s v="08/01/2025 19:00"/>
    <s v="-"/>
    <s v="J&amp;T COD"/>
    <s v="Tiktok"/>
    <s v="จ่ายทีหลัง / COD"/>
    <s v=""/>
    <s v="754476032004"/>
    <s v="08/01/2025 19:00"/>
  </r>
  <r>
    <x v="3"/>
    <x v="3"/>
    <n v="100"/>
    <n v="1"/>
    <n v="0"/>
    <s v="EQW13"/>
    <n v="106"/>
    <n v="6"/>
    <s v="ร้านที่1"/>
    <s v="ศ***ภรณ์"/>
    <s v="กาฬสินธุ์"/>
    <s v="-"/>
    <s v=""/>
    <s v="08/01/2025 18:58"/>
    <s v="-"/>
    <s v="J&amp;T Express"/>
    <s v="Tiktok"/>
    <s v="tiktok"/>
    <s v=""/>
    <s v="754466839066"/>
    <s v="08/01/2025 18:58"/>
  </r>
  <r>
    <x v="3"/>
    <x v="8"/>
    <n v="90.43"/>
    <n v="1"/>
    <n v="0"/>
    <s v="EQW11"/>
    <n v="305.89"/>
    <n v="24"/>
    <s v="ร้านที่6"/>
    <s v="สิรินทิพย์ กงจก"/>
    <s v="203/286 หมู่บ้านนาวงวิลล่า · หลักหก/ Lak Hok_x000a__x000a_เมืองปทุมธานี/ Mueang Pathum Thaniปทุมธานี/ Pathum Thani_x000a_12000"/>
    <s v="12000"/>
    <s v="660651196263"/>
    <s v="08/01/2025 18:53"/>
    <s v="-"/>
    <s v="Kerry_dropoff"/>
    <s v="Lazada"/>
    <s v="lazada"/>
    <s v=""/>
    <s v="LEXPU0443740265"/>
    <s v="08/01/2025 18:53"/>
  </r>
  <r>
    <x v="0"/>
    <x v="31"/>
    <n v="100.83"/>
    <n v="1"/>
    <n v="0"/>
    <s v="EQW11"/>
    <n v="305.89"/>
    <n v="24"/>
    <s v="ร้านที่6"/>
    <s v="สิรินทิพย์ กงจก"/>
    <s v="203/286 หมู่บ้านนาวงวิลล่า · หลักหก/ Lak Hok_x000a__x000a_เมืองปทุมธานี/ Mueang Pathum Thaniปทุมธานี/ Pathum Thani_x000a_12000"/>
    <s v="12000"/>
    <s v="660651196263"/>
    <s v="08/01/2025 18:53"/>
    <s v="-"/>
    <s v="Kerry_dropoff"/>
    <s v="Lazada"/>
    <s v="lazada"/>
    <s v=""/>
    <s v="LEXPU0443740265"/>
    <s v="08/01/2025 18:53"/>
  </r>
  <r>
    <x v="20"/>
    <x v="20"/>
    <n v="199"/>
    <n v="1"/>
    <n v="0"/>
    <s v="EQW10"/>
    <n v="228"/>
    <n v="29"/>
    <s v="ร้านที่1"/>
    <s v="ร******์"/>
    <s v="******ล ตาลเดี่ยว, อำเภอหล่มสัก ตำบลตาลเดี่ยว อำเภอหล่มสัก จังหวัดเพชรบูรณ์ 67110"/>
    <s v="67110"/>
    <s v="61"/>
    <s v="08/01/2025 20:05"/>
    <s v="-"/>
    <s v="Flash Express"/>
    <s v="Shopee"/>
    <s v="shopee"/>
    <s v=""/>
    <s v="TH63036PDPPS5C"/>
    <s v="08/01/2025 18:52"/>
  </r>
  <r>
    <x v="1"/>
    <x v="1"/>
    <n v="200"/>
    <n v="1"/>
    <n v="0"/>
    <s v="EQW7"/>
    <n v="200"/>
    <n v="0"/>
    <s v="ร้านที่1"/>
    <s v="เ***งพิง ฟ***ิน"/>
    <s v="เชียงใหม่"/>
    <s v="-"/>
    <s v=""/>
    <s v="08/01/2025 18:49"/>
    <s v="-"/>
    <s v="J&amp;T COD"/>
    <s v="Tiktok"/>
    <s v="จ่ายทีหลัง / COD"/>
    <s v=""/>
    <s v="754423441063"/>
    <s v="08/01/2025 18:49"/>
  </r>
  <r>
    <x v="19"/>
    <x v="34"/>
    <n v="133.12"/>
    <n v="1"/>
    <n v="0"/>
    <s v="EQW6"/>
    <n v="266.24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08/01/2025 18:45"/>
    <s v="-"/>
    <s v="Kerry_dropoff"/>
    <s v="Lazada"/>
    <s v="lazada"/>
    <s v=""/>
    <s v="LEXDO0124285211"/>
    <s v="08/01/2025 18:45"/>
  </r>
  <r>
    <x v="19"/>
    <x v="34"/>
    <n v="133.12"/>
    <n v="1"/>
    <n v="0"/>
    <s v="EQW6"/>
    <n v="266.24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08/01/2025 18:45"/>
    <s v="-"/>
    <s v="Kerry_dropoff"/>
    <s v="Lazada"/>
    <s v="lazada"/>
    <s v=""/>
    <s v="LEXDO0124285211"/>
    <s v="08/01/2025 18:45"/>
  </r>
  <r>
    <x v="10"/>
    <x v="10"/>
    <n v="200"/>
    <n v="1"/>
    <n v="0"/>
    <s v="EQW5"/>
    <n v="200"/>
    <n v="0"/>
    <s v="ร้านที่1"/>
    <s v="S***it T***"/>
    <s v="ชัยภูมิ"/>
    <s v="-"/>
    <s v=""/>
    <s v="08/01/2025 18:42"/>
    <s v="-"/>
    <s v="J&amp;T COD"/>
    <s v="Tiktok"/>
    <s v="จ่ายทีหลัง / COD"/>
    <s v=""/>
    <s v="754433037046"/>
    <s v="08/01/2025 18:42"/>
  </r>
  <r>
    <x v="9"/>
    <x v="4"/>
    <n v="100"/>
    <n v="2"/>
    <n v="0"/>
    <s v="EQW3"/>
    <n v="200"/>
    <n v="0"/>
    <s v="ร้านที่4"/>
    <s v="อ***ร้ตน์  พ***สวัสดิ์"/>
    <s v="กรุงเทพมหานคร"/>
    <s v="-"/>
    <s v=""/>
    <s v="08/01/2025 18:40"/>
    <s v="-"/>
    <s v="Flash Express Thailand COD"/>
    <s v="Tiktok"/>
    <s v="จ่ายทีหลัง / COD"/>
    <s v=""/>
    <s v="THT01011ECF4Z3Z"/>
    <s v="08/01/2025 18:40"/>
  </r>
  <r>
    <x v="1"/>
    <x v="1"/>
    <n v="200"/>
    <n v="1"/>
    <n v="0"/>
    <s v="EQW2"/>
    <n v="200"/>
    <n v="0"/>
    <s v="ร้านที่1"/>
    <s v="ร***สมายท์"/>
    <s v="กรุงเทพฯ"/>
    <s v="-"/>
    <s v=""/>
    <s v="08/01/2025 18:31"/>
    <s v="-"/>
    <s v="J&amp;T COD"/>
    <s v="Tiktok"/>
    <s v="จ่ายทีหลัง / COD"/>
    <s v=""/>
    <s v="754456241066"/>
    <s v="08/01/2025 18:31"/>
  </r>
  <r>
    <x v="1"/>
    <x v="1"/>
    <n v="200"/>
    <n v="1"/>
    <n v="0"/>
    <s v="EQW1"/>
    <n v="200"/>
    <n v="0"/>
    <s v="ร้านที่1"/>
    <s v="พ***ศักดิ์ ฤ***สาร"/>
    <s v="กาญจนบุรี"/>
    <s v="-"/>
    <s v=""/>
    <s v="08/01/2025 18:29"/>
    <s v="-"/>
    <s v="J&amp;T COD"/>
    <s v="Tiktok"/>
    <s v="จ่ายทีหลัง / COD"/>
    <s v=""/>
    <s v="754451545002"/>
    <s v="08/01/2025 18:29"/>
  </r>
  <r>
    <x v="9"/>
    <x v="4"/>
    <n v="100"/>
    <n v="4"/>
    <n v="0"/>
    <s v="EQW0"/>
    <n v="400"/>
    <n v="0"/>
    <s v="ร้านที่4"/>
    <s v="อ***ช ค***นกลาง"/>
    <s v="นครราชสีมา"/>
    <s v="-"/>
    <s v=""/>
    <s v="08/01/2025 18:25"/>
    <s v="-"/>
    <s v="Flash Express Thailand COD"/>
    <s v="Tiktok"/>
    <s v="จ่ายทีหลัง / COD"/>
    <s v=""/>
    <s v="THT27021ECPB86Z"/>
    <s v="08/01/2025 18:26"/>
  </r>
  <r>
    <x v="13"/>
    <x v="30"/>
    <n v="130.31"/>
    <n v="1"/>
    <n v="0"/>
    <s v="EQV99"/>
    <n v="135.31"/>
    <n v="5"/>
    <s v="ร้านที่9"/>
    <s v="น.ส.สุกัลยา เกื้อกูล"/>
    <s v="47/3 บ้านลุงอีด ม.2 ต.ไทรขึง อ.พระแสง จ.สุราษฎร์ธานี · ไทรขึง/ Sai Khueng_x000a__x000a_พระแสง/ Phrasaengสุราษฎร์ธานี/ Surat Thani_x000a_84210"/>
    <s v="84210"/>
    <s v="660838898066"/>
    <s v="08/01/2025 18:16"/>
    <s v="-"/>
    <s v="Kerry_dropoff"/>
    <s v="Lazada"/>
    <s v="lazada"/>
    <s v=""/>
    <s v="TH68166PDSJT0D"/>
    <s v="08/01/2025 18:16"/>
  </r>
  <r>
    <x v="19"/>
    <x v="34"/>
    <n v="129.46"/>
    <n v="1"/>
    <n v="0"/>
    <s v="EQV97"/>
    <n v="134.46"/>
    <n v="5"/>
    <s v="ร้านที่9"/>
    <s v="ปราณี อาวบรี้"/>
    <s v="54 ถนน ราชสีมา-ปักธงชัย บ้าน2ชั่น · ในเมือง/ Nai Mueang_x000a__x000a_เมืองนครราชสีมา/ Mueng Nakorn Ratchasimaนครราชสีมา/ Nakhon Ratchasima_x000a_30000"/>
    <s v="30000"/>
    <s v="660818353261"/>
    <s v="08/01/2025 18:10"/>
    <s v="-"/>
    <s v="Kerry_dropoff"/>
    <s v="Lazada"/>
    <s v="lazada"/>
    <s v=""/>
    <s v="LEXDO0124282223"/>
    <s v="08/01/2025 18:10"/>
  </r>
  <r>
    <x v="1"/>
    <x v="1"/>
    <n v="200"/>
    <n v="1"/>
    <n v="0"/>
    <s v="EQV95"/>
    <n v="200"/>
    <n v="0"/>
    <s v="ร้านที่2"/>
    <s v="ศ***ร    ภ***ง"/>
    <s v="สุพรรณบุรี"/>
    <s v="-"/>
    <s v=""/>
    <s v="08/01/2025 18:04"/>
    <s v="-"/>
    <s v="J&amp;T COD"/>
    <s v="Tiktok"/>
    <s v="จ่ายทีหลัง / COD"/>
    <s v=""/>
    <s v="754478446061"/>
    <s v="08/01/2025 18:04"/>
  </r>
  <r>
    <x v="3"/>
    <x v="3"/>
    <n v="100"/>
    <n v="2"/>
    <n v="0"/>
    <s v="EQV94"/>
    <n v="200"/>
    <n v="0"/>
    <s v="ร้านที่4"/>
    <s v="ส***จ เ***าติ"/>
    <s v="สมุทรปราการ"/>
    <s v="-"/>
    <s v=""/>
    <s v="08/01/2025 18:02"/>
    <s v="-"/>
    <s v="Flash Express Thailand COD"/>
    <s v="Tiktok"/>
    <s v="จ่ายทีหลัง / COD"/>
    <s v=""/>
    <s v="THT02061ECSQN0Z"/>
    <s v="08/01/2025 18:02"/>
  </r>
  <r>
    <x v="1"/>
    <x v="1"/>
    <n v="200"/>
    <n v="1"/>
    <n v="0"/>
    <s v="EQV93"/>
    <n v="200"/>
    <n v="0"/>
    <s v="ร้านที่1"/>
    <s v="ก***ิการ์  ก***ชาติ"/>
    <s v="กรุงเทพมหานคร"/>
    <s v="-"/>
    <s v=""/>
    <s v="08/01/2025 17:56"/>
    <s v="-"/>
    <s v="J&amp;T COD"/>
    <s v="Tiktok"/>
    <s v="จ่ายทีหลัง / COD"/>
    <s v=""/>
    <s v="754410247065"/>
    <s v="08/01/2025 17:56"/>
  </r>
  <r>
    <x v="5"/>
    <x v="5"/>
    <n v="330"/>
    <n v="1"/>
    <n v="0"/>
    <s v="EQV91"/>
    <n v="330"/>
    <n v="0"/>
    <s v="ร้านที่2"/>
    <s v="ป***อม ท***ุ่ม"/>
    <s v="กาญจนบุรี"/>
    <s v="-"/>
    <s v=""/>
    <s v="08/01/2025 17:49"/>
    <s v="-"/>
    <s v="J&amp;T COD"/>
    <s v="Tiktok"/>
    <s v="จ่ายทีหลัง / COD"/>
    <s v=""/>
    <s v="754431830062"/>
    <s v="08/01/2025 17:49"/>
  </r>
  <r>
    <x v="9"/>
    <x v="4"/>
    <n v="100"/>
    <n v="1"/>
    <n v="0"/>
    <s v="EQV90"/>
    <n v="106"/>
    <n v="6"/>
    <s v="ร้านที่1"/>
    <s v="ว***ชัย​ ท***"/>
    <s v="เทศบาลนครนครศรีธรรมราช"/>
    <s v="-"/>
    <s v=""/>
    <s v="08/01/2025 17:41"/>
    <s v="-"/>
    <s v="J&amp;T COD"/>
    <s v="Tiktok"/>
    <s v="จ่ายทีหลัง / COD"/>
    <s v=""/>
    <s v="754454433051"/>
    <s v="08/01/2025 17:41"/>
  </r>
  <r>
    <x v="16"/>
    <x v="37"/>
    <n v="218.97"/>
    <n v="1"/>
    <n v="0"/>
    <s v="EQV89"/>
    <n v="242.97"/>
    <n v="24"/>
    <s v="ร้านที่1"/>
    <s v="ใบข้าว กฤษฏา ป้องนาค"/>
    <s v="ถ.สุขสวัสดิ์ 96 ม.11 · ในคลองบางปลากด/ Nai Khlong Bang Pla Kot_x000a__x000a_พระสมุทรเจดีย์/ Phra Samut Chediสมุทรปราการ/ Samut Prakan_x000a_10290"/>
    <s v="10290"/>
    <s v="660808557874"/>
    <s v="08/01/2025 17:40"/>
    <s v="-"/>
    <s v="Kerry_dropoff"/>
    <s v="Lazada"/>
    <s v="lazada"/>
    <s v=""/>
    <s v="LEXPU0443699515"/>
    <s v="08/01/2025 17:39"/>
  </r>
  <r>
    <x v="4"/>
    <x v="4"/>
    <n v="100"/>
    <n v="3"/>
    <n v="0"/>
    <s v="EQV88"/>
    <n v="300"/>
    <n v="0"/>
    <s v="ร้านที่1"/>
    <s v="ว***า ท***"/>
    <s v="ศรีสะเกษ"/>
    <s v="-"/>
    <s v=""/>
    <s v="08/01/2025 17:36"/>
    <s v="-"/>
    <s v="J&amp;T Express"/>
    <s v="Tiktok"/>
    <s v="tiktok"/>
    <s v=""/>
    <s v="754422833076"/>
    <s v="08/01/2025 17:34"/>
  </r>
  <r>
    <x v="0"/>
    <x v="0"/>
    <n v="100"/>
    <n v="1"/>
    <n v="0"/>
    <s v="EQV85"/>
    <n v="129"/>
    <n v="29"/>
    <s v="ร้านที่2"/>
    <s v="ก***าณัฐ ผ***หลือง"/>
    <s v="สุโขทัย"/>
    <s v="-"/>
    <s v=""/>
    <s v="08/01/2025 17:18"/>
    <s v="-"/>
    <s v="J&amp;T COD"/>
    <s v="Tiktok"/>
    <s v="จ่ายทีหลัง / COD"/>
    <s v=""/>
    <s v="754494010056"/>
    <s v="08/01/2025 17:18"/>
  </r>
  <r>
    <x v="1"/>
    <x v="1"/>
    <n v="200"/>
    <n v="1"/>
    <n v="0"/>
    <s v="EQV83"/>
    <n v="200"/>
    <n v="0"/>
    <s v="ร้านที่2"/>
    <s v="ป***ารัตน์ ก***ระภานันท์"/>
    <s v="กรุงเทพฯ"/>
    <s v="-"/>
    <s v=""/>
    <s v="08/01/2025 17:08"/>
    <s v="-"/>
    <s v="J&amp;T Express"/>
    <s v="Tiktok"/>
    <s v="tiktok"/>
    <s v=""/>
    <s v="754463245071"/>
    <s v="08/01/2025 17:08"/>
  </r>
  <r>
    <x v="1"/>
    <x v="1"/>
    <n v="200"/>
    <n v="1"/>
    <n v="0"/>
    <s v="EQV82"/>
    <n v="200"/>
    <n v="0"/>
    <s v="ร้านที่2"/>
    <s v="ร***า จ***ร์แย้ม"/>
    <s v="Pathum Thani"/>
    <s v="-"/>
    <s v=""/>
    <s v="08/01/2025 16:58"/>
    <s v="-"/>
    <s v="J&amp;T COD"/>
    <s v="Tiktok"/>
    <s v="จ่ายทีหลัง / COD"/>
    <s v=""/>
    <s v="754442443075"/>
    <s v="08/01/2025 16:58"/>
  </r>
  <r>
    <x v="10"/>
    <x v="10"/>
    <n v="200"/>
    <n v="5"/>
    <n v="0"/>
    <s v="EQV80"/>
    <n v="1000"/>
    <n v="0"/>
    <s v="ร้านที่4"/>
    <s v="ส***ย ส***ภิรมณ์"/>
    <s v="ฉะเชิงเทรา"/>
    <s v="-"/>
    <s v=""/>
    <s v="08/01/2025 16:57"/>
    <s v="-"/>
    <s v="Flash Express Thailand COD"/>
    <s v="Tiktok"/>
    <s v="จ่ายทีหลัง / COD"/>
    <s v=""/>
    <s v="THT24051ECHUB3Z"/>
    <s v="08/01/2025 16:57"/>
  </r>
  <r>
    <x v="0"/>
    <x v="0"/>
    <n v="100"/>
    <n v="1"/>
    <n v="0"/>
    <s v="EQV79"/>
    <n v="106"/>
    <n v="6"/>
    <s v="ร้านที่4"/>
    <s v="ภ***วดี ว***ชาลี"/>
    <s v="ชัยภูมิ"/>
    <s v="-"/>
    <s v=""/>
    <s v="08/01/2025 16:48"/>
    <s v="-"/>
    <s v="Flash Express Thailand COD"/>
    <s v="Tiktok"/>
    <s v="จ่ายทีหลัง / COD"/>
    <s v=""/>
    <s v="THT33051ECKG81Z"/>
    <s v="08/01/2025 16:48"/>
  </r>
  <r>
    <x v="0"/>
    <x v="0"/>
    <n v="100"/>
    <n v="1"/>
    <n v="0"/>
    <s v="EQV78"/>
    <n v="200"/>
    <n v="0"/>
    <s v="ร้านที่4"/>
    <s v="ช***กาญจน์  เ***ิตร์ธนาลัย"/>
    <s v="แพร่"/>
    <s v="-"/>
    <s v=""/>
    <s v="08/01/2025 16:45"/>
    <s v="-"/>
    <s v="Flash Express Thailand COD"/>
    <s v="Tiktok"/>
    <s v="จ่ายทีหลัง / COD"/>
    <s v=""/>
    <s v="THT51011ECKFN3Z"/>
    <s v="08/01/2025 16:45"/>
  </r>
  <r>
    <x v="4"/>
    <x v="4"/>
    <n v="100"/>
    <n v="1"/>
    <n v="0"/>
    <s v="EQV78"/>
    <n v="200"/>
    <n v="0"/>
    <s v="ร้านที่4"/>
    <s v="ช***กาญจน์  เ***ิตร์ธนาลัย"/>
    <s v="แพร่"/>
    <s v="-"/>
    <s v=""/>
    <s v="08/01/2025 16:45"/>
    <s v="-"/>
    <s v="Flash Express Thailand COD"/>
    <s v="Tiktok"/>
    <s v="จ่ายทีหลัง / COD"/>
    <s v=""/>
    <s v="THT51011ECKFN3Z"/>
    <s v="08/01/2025 16:45"/>
  </r>
  <r>
    <x v="0"/>
    <x v="0"/>
    <n v="100"/>
    <n v="1"/>
    <n v="0"/>
    <s v="EQV77"/>
    <n v="100"/>
    <n v="0"/>
    <s v="ร้านที่2"/>
    <s v="พ***า บ***รม"/>
    <s v="นครปฐม"/>
    <s v="-"/>
    <s v=""/>
    <s v="08/01/2025 16:34"/>
    <s v="-"/>
    <s v="J&amp;T COD"/>
    <s v="Tiktok"/>
    <s v="จ่ายทีหลัง / COD"/>
    <s v=""/>
    <s v="754404016026"/>
    <s v="08/01/2025 16:34"/>
  </r>
  <r>
    <x v="1"/>
    <x v="1"/>
    <n v="200"/>
    <n v="1"/>
    <n v="0"/>
    <s v="EQV76"/>
    <n v="200"/>
    <n v="0"/>
    <s v="ร้านที่1"/>
    <s v="น***น่อย  ส***สุทธิ์"/>
    <s v="นครราชสีมา"/>
    <s v="-"/>
    <s v=""/>
    <s v="08/01/2025 16:29"/>
    <s v="-"/>
    <s v="J&amp;T COD"/>
    <s v="Tiktok"/>
    <s v="จ่ายทีหลัง / COD"/>
    <s v=""/>
    <s v="754477540003"/>
    <s v="08/01/2025 16:29"/>
  </r>
  <r>
    <x v="0"/>
    <x v="0"/>
    <n v="100"/>
    <n v="2"/>
    <n v="0"/>
    <s v="EQV75"/>
    <n v="200"/>
    <n v="0"/>
    <s v="ร้านที่4"/>
    <s v="ก***ณา เ***่ยมบาง"/>
    <s v="กำแพงเพชร"/>
    <s v="-"/>
    <s v=""/>
    <s v="08/01/2025 16:21"/>
    <s v="-"/>
    <s v="Flash Express Thailand COD"/>
    <s v="Tiktok"/>
    <s v="จ่ายทีหลัง / COD"/>
    <s v=""/>
    <s v="THT58061ECXYR0Z"/>
    <s v="08/01/2025 16:21"/>
  </r>
  <r>
    <x v="13"/>
    <x v="30"/>
    <n v="102.17"/>
    <n v="1"/>
    <n v="0"/>
    <s v="EQV71"/>
    <n v="107.17"/>
    <n v="5"/>
    <s v="ร้านที่9"/>
    <s v="พนิดา"/>
    <s v="164/9หมู่3 ถ.บ้านกล้วยไทรน้ิอย ต.พิมลราช อ.บางบัวทอง_x000a__x000a_บางบัวทอง/ Bang Bua Thongนนทบุรี/ Nonthaburi_x000a_11110"/>
    <s v="11110"/>
    <s v="660894894393"/>
    <s v="08/01/2025 16:16"/>
    <s v="-"/>
    <s v="Kerry_dropoff"/>
    <s v="Lazada"/>
    <s v="lazada"/>
    <s v=""/>
    <s v="LEXDO0124304799"/>
    <s v="08/01/2025 16:16"/>
  </r>
  <r>
    <x v="0"/>
    <x v="0"/>
    <n v="100"/>
    <n v="1"/>
    <n v="0"/>
    <s v="EQV70"/>
    <n v="106"/>
    <n v="6"/>
    <s v="ร้านที่2"/>
    <s v="ว***พ็ญ   แ***ทองเจริญ"/>
    <s v="กรุงเทพฯ"/>
    <s v="-"/>
    <s v=""/>
    <s v="08/01/2025 16:16"/>
    <s v="-"/>
    <s v="J&amp;T COD"/>
    <s v="Tiktok"/>
    <s v="จ่ายทีหลัง / COD"/>
    <s v=""/>
    <s v="754429909063"/>
    <s v="08/01/2025 16:16"/>
  </r>
  <r>
    <x v="1"/>
    <x v="1"/>
    <n v="200"/>
    <n v="1"/>
    <n v="0"/>
    <s v="EQV69"/>
    <n v="229"/>
    <n v="29"/>
    <s v="ร้านที่1"/>
    <s v="ท***้วน พ***ันธ์"/>
    <s v="สระบุรี"/>
    <s v="-"/>
    <s v=""/>
    <s v="08/01/2025 16:15"/>
    <s v="-"/>
    <s v="J&amp;T COD"/>
    <s v="Tiktok"/>
    <s v="จ่ายทีหลัง / COD"/>
    <s v=""/>
    <s v="754488739093"/>
    <s v="08/01/2025 16:15"/>
  </r>
  <r>
    <x v="0"/>
    <x v="0"/>
    <n v="100"/>
    <n v="1"/>
    <n v="0"/>
    <s v="EQV66"/>
    <n v="106"/>
    <n v="6"/>
    <s v="ร้านที่1"/>
    <s v="น***วาน T***ok"/>
    <s v="ขอนแก่น"/>
    <s v="-"/>
    <s v=""/>
    <s v="08/01/2025 16:08"/>
    <s v="-"/>
    <s v="J&amp;T COD"/>
    <s v="Tiktok"/>
    <s v="จ่ายทีหลัง / COD"/>
    <s v=""/>
    <s v="754425213032"/>
    <s v="08/01/2025 16:08"/>
  </r>
  <r>
    <x v="1"/>
    <x v="1"/>
    <n v="200"/>
    <n v="1"/>
    <n v="0"/>
    <s v="EQV62"/>
    <n v="200"/>
    <n v="0"/>
    <s v="ร้านที่2"/>
    <s v="ว***า   บ***า"/>
    <s v="สมุทรปราการ"/>
    <s v="-"/>
    <s v=""/>
    <s v="08/01/2025 15:57"/>
    <s v="-"/>
    <s v="J&amp;T COD"/>
    <s v="Tiktok"/>
    <s v="จ่ายทีหลัง / COD"/>
    <s v=""/>
    <s v="754483646055"/>
    <s v="08/01/2025 15:58"/>
  </r>
  <r>
    <x v="4"/>
    <x v="4"/>
    <n v="100"/>
    <n v="1"/>
    <n v="0"/>
    <s v="EQV61"/>
    <n v="100"/>
    <n v="0"/>
    <s v="ร้านที่1"/>
    <s v="ว***ชัย ท***น้ำ"/>
    <s v="พระนครศรีอยุธยา"/>
    <s v="-"/>
    <s v=""/>
    <s v="08/01/2025 15:57"/>
    <s v="-"/>
    <s v="J&amp;T COD"/>
    <s v="Tiktok"/>
    <s v="จ่ายทีหลัง / COD"/>
    <s v=""/>
    <s v="754436831083"/>
    <s v="08/01/2025 15:57"/>
  </r>
  <r>
    <x v="0"/>
    <x v="0"/>
    <n v="100"/>
    <n v="3"/>
    <n v="0"/>
    <s v="EQV60"/>
    <n v="300"/>
    <n v="0"/>
    <s v="ร้านที่2"/>
    <s v="แ***นภา  แ***ก้ว"/>
    <s v="เลย"/>
    <s v="-"/>
    <s v=""/>
    <s v="08/01/2025 15:56"/>
    <s v="-"/>
    <s v="Flash Express Thailand COD"/>
    <s v="Tiktok"/>
    <s v="จ่ายทีหลัง / COD"/>
    <s v=""/>
    <s v="THT39051ECXSJ6Z"/>
    <s v="08/01/2025 15:56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3"/>
    <x v="8"/>
    <n v="95.19"/>
    <n v="1"/>
    <n v="0"/>
    <s v="EQV59"/>
    <n v="292.57"/>
    <n v="7"/>
    <s v="ร้านที่6"/>
    <s v="นิรมล  นราศรี"/>
    <s v="58/25 ม4 ม.ศิริวรรณ · ธรรมศาลา/ Thammasala_x000a__x000a_เมืองนครปฐม/ Mueang Nakhon Pathomนครปฐม/ Nakhon Pathom_x000a_73000"/>
    <s v="73000"/>
    <s v="660819098516"/>
    <s v="08/01/2025 16:06"/>
    <s v="-"/>
    <s v="Kerry_dropoff"/>
    <s v="Lazada"/>
    <s v="lazada"/>
    <s v=""/>
    <s v="LEXPU0443740591"/>
    <s v="08/01/2025 15:53"/>
  </r>
  <r>
    <x v="0"/>
    <x v="0"/>
    <n v="100"/>
    <n v="1"/>
    <n v="0"/>
    <s v="EQV58"/>
    <n v="106"/>
    <n v="6"/>
    <s v="ร้านที่4"/>
    <s v="พ***ตา ห***นหินลาด"/>
    <s v="ระยอง"/>
    <s v="-"/>
    <s v=""/>
    <s v="08/01/2025 15:44"/>
    <s v="-"/>
    <s v="Flash Express Thailand COD"/>
    <s v="Tiktok"/>
    <s v="จ่ายทีหลัง / COD"/>
    <s v=""/>
    <s v="THT21061ECXG66Z"/>
    <s v="08/01/2025 15:45"/>
  </r>
  <r>
    <x v="1"/>
    <x v="1"/>
    <n v="200"/>
    <n v="1"/>
    <n v="0"/>
    <s v="EQV57"/>
    <n v="200"/>
    <n v="0"/>
    <s v="ร้านที่2"/>
    <s v="ป***า ต***ุน"/>
    <s v="กระบี่"/>
    <s v="-"/>
    <s v=""/>
    <s v="08/01/2025 15:42"/>
    <s v="-"/>
    <s v="J&amp;T COD"/>
    <s v="Tiktok"/>
    <s v="จ่ายทีหลัง / COD"/>
    <s v=""/>
    <s v="754474335090"/>
    <s v="08/01/2025 15:43"/>
  </r>
  <r>
    <x v="1"/>
    <x v="1"/>
    <n v="200"/>
    <n v="1"/>
    <n v="0"/>
    <s v="EQV56"/>
    <n v="200"/>
    <n v="0"/>
    <s v="ร้านที่1"/>
    <s v="อ***์ ด***ี"/>
    <s v="นครสวรรค์"/>
    <s v="-"/>
    <s v=""/>
    <s v="08/01/2025 15:31"/>
    <s v="-"/>
    <s v="J&amp;T COD"/>
    <s v="Tiktok"/>
    <s v="จ่ายทีหลัง / COD"/>
    <s v=""/>
    <s v="754434133095"/>
    <s v="08/01/2025 15:31"/>
  </r>
  <r>
    <x v="10"/>
    <x v="10"/>
    <n v="200"/>
    <n v="1"/>
    <n v="0"/>
    <s v="EQV54"/>
    <n v="200"/>
    <n v="0"/>
    <s v="ร้านที่4"/>
    <s v="ช***มา  ค***ีย  9***8 ต***ะบาทวังตวง อ***่พริก จ***ปาง  5***0"/>
    <s v="เทศบาลนครลำปาง"/>
    <s v="-"/>
    <s v=""/>
    <s v="08/01/2025 15:26"/>
    <s v="-"/>
    <s v="Flash Express Thailand COD"/>
    <s v="Tiktok"/>
    <s v="จ่ายทีหลัง / COD"/>
    <s v=""/>
    <s v="THT49091ECWE34Z"/>
    <s v="08/01/2025 15:26"/>
  </r>
  <r>
    <x v="4"/>
    <x v="4"/>
    <n v="100"/>
    <n v="2"/>
    <n v="0"/>
    <s v="EQV53"/>
    <n v="200"/>
    <n v="0"/>
    <s v="ร้านที่2"/>
    <s v="ก***ล"/>
    <s v="ราชบุรี"/>
    <s v="-"/>
    <s v=""/>
    <s v="08/01/2025 15:23"/>
    <s v="-"/>
    <s v="J&amp;T COD"/>
    <s v="Tiktok"/>
    <s v="จ่ายทีหลัง / COD"/>
    <s v=""/>
    <s v="754455530021"/>
    <s v="08/01/2025 15:23"/>
  </r>
  <r>
    <x v="6"/>
    <x v="6"/>
    <n v="250"/>
    <n v="1"/>
    <n v="0"/>
    <s v="EQV52"/>
    <n v="250"/>
    <n v="0"/>
    <s v="ร้านที่1"/>
    <s v="ศ******)"/>
    <s v="******เชียงใหม่-ลำพูน, ตำบล สารภี ตำบลสารภี อำเภอสารภี จังหวัดเชียงใหม่ 50140"/>
    <s v="50140"/>
    <s v="91"/>
    <s v="08/01/2025 15:21"/>
    <s v="-"/>
    <s v="SPX Express"/>
    <s v="Shopee"/>
    <s v="shopee"/>
    <s v=""/>
    <s v="TH259900732081W"/>
    <s v="08/01/2025 15:21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7"/>
    <x v="7"/>
    <n v="72.8"/>
    <n v="1"/>
    <n v="0"/>
    <s v="EQV51"/>
    <n v="282.39999999999998"/>
    <n v="64"/>
    <s v="ร้านที่1"/>
    <s v="นารีรัตน์   จวนสันเทียะ"/>
    <s v="1/96. ม.สวยริมบึง.  (ซ. 3. ) ซ. รามอินทรา67  แยก 12 แขวงท่าแร้ง._x000a__x000a_บางเขน/ Bang Khenกรุงเทพมหานคร/ Bangkok_x000a_10230"/>
    <s v="10230"/>
    <s v="660859167217"/>
    <s v="08/01/2025 15:24"/>
    <s v="-"/>
    <s v="Kerry_dropoff"/>
    <s v="Lazada"/>
    <s v="lazada"/>
    <s v=""/>
    <s v="LEXPU0443733472"/>
    <s v="08/01/2025 15:20"/>
  </r>
  <r>
    <x v="13"/>
    <x v="30"/>
    <n v="119.84"/>
    <n v="1"/>
    <n v="0"/>
    <s v="EQV50"/>
    <n v="119.84"/>
    <n v="0"/>
    <s v="ร้านที่9"/>
    <s v="มลิวรรณ พ่วงประเสริฐ"/>
    <s v="85/1 หมู่ 14 · แสวงหา/ Sawaeng Ha_x000a__x000a_แสวงหา/ Sawaeng Haอ่างทอง/ Ang Thong_x000a_14150"/>
    <s v="14150"/>
    <s v="660639361564"/>
    <s v="09/01/2025 09:37"/>
    <s v="-"/>
    <s v="Kerry_dropoff"/>
    <s v="Lazada"/>
    <s v="lazada"/>
    <s v=""/>
    <s v="TH06056PER614A"/>
    <s v="08/01/2025 15:13"/>
  </r>
  <r>
    <x v="7"/>
    <x v="7"/>
    <n v="62.4"/>
    <n v="1"/>
    <n v="0"/>
    <s v="EQV48"/>
    <n v="67.400000000000006"/>
    <n v="5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08/01/2025 15:11"/>
    <s v="-"/>
    <s v="Kerry_dropoff"/>
    <s v="Lazada"/>
    <s v="lazada"/>
    <s v=""/>
    <s v="LEXPU0443736676"/>
    <s v="08/01/2025 15:11"/>
  </r>
  <r>
    <x v="19"/>
    <x v="34"/>
    <n v="127.33"/>
    <n v="1"/>
    <n v="0"/>
    <s v="EQV47"/>
    <n v="259.66000000000003"/>
    <n v="5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08/01/2025 15:07"/>
    <s v="-"/>
    <s v="Kerry_dropoff"/>
    <s v="Lazada"/>
    <s v="lazada"/>
    <s v=""/>
    <s v="LEXDO0124285785"/>
    <s v="08/01/2025 15:07"/>
  </r>
  <r>
    <x v="19"/>
    <x v="34"/>
    <n v="127.33"/>
    <n v="1"/>
    <n v="0"/>
    <s v="EQV47"/>
    <n v="259.66000000000003"/>
    <n v="5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08/01/2025 15:07"/>
    <s v="-"/>
    <s v="Kerry_dropoff"/>
    <s v="Lazada"/>
    <s v="lazada"/>
    <s v=""/>
    <s v="LEXDO0124285785"/>
    <s v="08/01/2025 15:07"/>
  </r>
  <r>
    <x v="13"/>
    <x v="13"/>
    <n v="230"/>
    <n v="1"/>
    <n v="0"/>
    <s v="EQV46"/>
    <n v="259"/>
    <n v="29"/>
    <s v="ร้านที่2"/>
    <s v="ช******์"/>
    <s v="******ดีย์ ตำบลพระปฐมเจดีย์ อำเภอเมืองนครปฐม จังหวัดนครปฐม 73000"/>
    <s v="73000"/>
    <s v="99"/>
    <s v="08/01/2025 15:34"/>
    <s v="-"/>
    <s v="SPX Express"/>
    <s v="Shopee"/>
    <s v="shopee"/>
    <s v=""/>
    <s v="TH256813437805A"/>
    <s v="08/01/2025 15:04"/>
  </r>
  <r>
    <x v="0"/>
    <x v="0"/>
    <n v="100"/>
    <n v="1"/>
    <n v="0"/>
    <s v="EQV45"/>
    <n v="145"/>
    <n v="45"/>
    <s v="ร้านที่2"/>
    <s v="ป***ดา  น***คร"/>
    <s v="ชัยภูมิ"/>
    <s v="-"/>
    <s v=""/>
    <s v="08/01/2025 15:01"/>
    <s v="-"/>
    <s v="J&amp;T COD"/>
    <s v="Tiktok"/>
    <s v="จ่ายทีหลัง / COD"/>
    <s v=""/>
    <s v="754459700083"/>
    <s v="08/01/2025 15:01"/>
  </r>
  <r>
    <x v="0"/>
    <x v="0"/>
    <n v="100"/>
    <n v="1"/>
    <n v="0"/>
    <s v="EQV44"/>
    <n v="106"/>
    <n v="6"/>
    <s v="ร้านที่1"/>
    <s v="u***74624777248664"/>
    <s v="อุดรธานี"/>
    <s v="-"/>
    <s v=""/>
    <s v="08/01/2025 14:55"/>
    <s v="-"/>
    <s v="J&amp;T COD"/>
    <s v="Tiktok"/>
    <s v="จ่ายทีหลัง / COD"/>
    <s v=""/>
    <s v="754491611053"/>
    <s v="08/01/2025 14:55"/>
  </r>
  <r>
    <x v="1"/>
    <x v="1"/>
    <n v="200"/>
    <n v="1"/>
    <n v="0"/>
    <s v="EQV43"/>
    <n v="200"/>
    <n v="0"/>
    <s v="ร้านที่2"/>
    <s v="ค***ุ้ม"/>
    <s v="ชลบุรี"/>
    <s v="-"/>
    <s v=""/>
    <s v="08/01/2025 14:51"/>
    <s v="-"/>
    <s v="J&amp;T COD"/>
    <s v="Tiktok"/>
    <s v="จ่ายทีหลัง / COD"/>
    <s v=""/>
    <s v="754484848073"/>
    <s v="08/01/2025 14:51"/>
  </r>
  <r>
    <x v="5"/>
    <x v="5"/>
    <n v="330"/>
    <n v="1"/>
    <n v="0"/>
    <s v="EQV42"/>
    <n v="330"/>
    <n v="0"/>
    <s v="ร้านที่2"/>
    <s v="น***ิริพร ป***ันกลาง"/>
    <s v="นครราชสีมา"/>
    <s v="-"/>
    <s v=""/>
    <s v="08/01/2025 14:51"/>
    <s v="-"/>
    <s v="J&amp;T COD"/>
    <s v="Tiktok"/>
    <s v="จ่ายทีหลัง / COD"/>
    <s v=""/>
    <s v="754469039052"/>
    <s v="08/01/2025 14:51"/>
  </r>
  <r>
    <x v="19"/>
    <x v="34"/>
    <n v="119.59"/>
    <n v="1"/>
    <n v="0"/>
    <s v="EQV41"/>
    <n v="119.59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08/01/2025 14:51"/>
    <s v="-"/>
    <s v="Kerry_dropoff"/>
    <s v="Lazada"/>
    <s v="lazada"/>
    <s v=""/>
    <s v="TH14086PD28Z6B"/>
    <s v="08/01/2025 14:50"/>
  </r>
  <r>
    <x v="3"/>
    <x v="3"/>
    <n v="100"/>
    <n v="1"/>
    <n v="0"/>
    <s v="EQV40"/>
    <n v="200"/>
    <n v="0"/>
    <s v="ร้านที่2"/>
    <s v="ม***พย์ ศ***วล"/>
    <s v="สกลนคร"/>
    <s v="-"/>
    <s v=""/>
    <s v="08/01/2025 14:47"/>
    <s v="-"/>
    <s v="J&amp;T COD"/>
    <s v="Tiktok"/>
    <s v="จ่ายทีหลัง / COD"/>
    <s v=""/>
    <s v="754401436014"/>
    <s v="08/01/2025 14:47"/>
  </r>
  <r>
    <x v="0"/>
    <x v="0"/>
    <n v="100"/>
    <n v="1"/>
    <n v="0"/>
    <s v="EQV40"/>
    <n v="200"/>
    <n v="0"/>
    <s v="ร้านที่2"/>
    <s v="ม***พย์ ศ***วล"/>
    <s v="สกลนคร"/>
    <s v="-"/>
    <s v=""/>
    <s v="08/01/2025 14:47"/>
    <s v="-"/>
    <s v="J&amp;T COD"/>
    <s v="Tiktok"/>
    <s v="จ่ายทีหลัง / COD"/>
    <s v=""/>
    <s v="754401436014"/>
    <s v="08/01/2025 14:47"/>
  </r>
  <r>
    <x v="3"/>
    <x v="3"/>
    <n v="100"/>
    <n v="1"/>
    <n v="0"/>
    <s v="EQV38"/>
    <n v="106"/>
    <n v="6"/>
    <s v="ร้านที่4"/>
    <s v="ส***กานดา   ช***าติ"/>
    <s v="บุรีรัมย์"/>
    <s v="-"/>
    <s v=""/>
    <s v="08/01/2025 14:38"/>
    <s v="-"/>
    <s v="Flash Express Thailand COD"/>
    <s v="Tiktok"/>
    <s v="จ่ายทีหลัง / COD"/>
    <s v=""/>
    <s v="THT28041ECG4U1Z"/>
    <s v="08/01/2025 14:38"/>
  </r>
  <r>
    <x v="0"/>
    <x v="0"/>
    <n v="100"/>
    <n v="1"/>
    <n v="0"/>
    <s v="EQV37"/>
    <n v="300"/>
    <n v="0"/>
    <s v="ร้านที่4"/>
    <s v="บ***ย็น ไ***มภู"/>
    <s v="เทศบาลนครเชียงราย"/>
    <s v="-"/>
    <s v=""/>
    <s v="08/01/2025 14:37"/>
    <s v="-"/>
    <s v="Flash Express Thailand COD"/>
    <s v="Tiktok"/>
    <s v="จ่ายทีหลัง / COD"/>
    <s v=""/>
    <s v="THT54011ECKM17Z"/>
    <s v="08/01/2025 14:37"/>
  </r>
  <r>
    <x v="4"/>
    <x v="4"/>
    <n v="100"/>
    <n v="2"/>
    <n v="0"/>
    <s v="EQV37"/>
    <n v="300"/>
    <n v="0"/>
    <s v="ร้านที่4"/>
    <s v="บ***ย็น ไ***มภู"/>
    <s v="เทศบาลนครเชียงราย"/>
    <s v="-"/>
    <s v=""/>
    <s v="08/01/2025 14:37"/>
    <s v="-"/>
    <s v="Flash Express Thailand COD"/>
    <s v="Tiktok"/>
    <s v="จ่ายทีหลัง / COD"/>
    <s v=""/>
    <s v="THT54011ECKM17Z"/>
    <s v="08/01/2025 14:37"/>
  </r>
  <r>
    <x v="1"/>
    <x v="1"/>
    <n v="200"/>
    <n v="1"/>
    <n v="0"/>
    <s v="EQV36"/>
    <n v="200"/>
    <n v="0"/>
    <s v="ร้านที่1"/>
    <s v="ม***รรณ ด***ถิ"/>
    <s v="พระนครศรีอยุธยา"/>
    <s v="-"/>
    <s v=""/>
    <s v="08/01/2025 14:32"/>
    <s v="-"/>
    <s v="J&amp;T COD"/>
    <s v="Tiktok"/>
    <s v="จ่ายทีหลัง / COD"/>
    <s v=""/>
    <s v="754446136091"/>
    <s v="08/01/2025 14:32"/>
  </r>
  <r>
    <x v="10"/>
    <x v="10"/>
    <n v="200"/>
    <n v="1"/>
    <n v="0"/>
    <s v="EQV35"/>
    <n v="200"/>
    <n v="0"/>
    <s v="ร้านที่4"/>
    <s v="เ***รัตน์  ร***ียบดี"/>
    <s v="กรุงเทพฯ"/>
    <s v="-"/>
    <s v=""/>
    <s v="08/01/2025 14:26"/>
    <s v="-"/>
    <s v="Flash Express Thailand COD"/>
    <s v="Tiktok"/>
    <s v="จ่ายทีหลัง / COD"/>
    <s v=""/>
    <s v="THT01381ECWCX6Z"/>
    <s v="08/01/2025 14:26"/>
  </r>
  <r>
    <x v="1"/>
    <x v="1"/>
    <n v="200"/>
    <n v="1"/>
    <n v="0"/>
    <s v="EQV34"/>
    <n v="200"/>
    <n v="0"/>
    <s v="ร้านที่1"/>
    <s v="ท***นัท แ***ำมูล"/>
    <s v="แพร่"/>
    <s v="-"/>
    <s v=""/>
    <s v="08/01/2025 14:22"/>
    <s v="-"/>
    <s v="J&amp;T COD"/>
    <s v="Tiktok"/>
    <s v="จ่ายทีหลัง / COD"/>
    <s v=""/>
    <s v="754431242051"/>
    <s v="08/01/2025 14:22"/>
  </r>
  <r>
    <x v="9"/>
    <x v="4"/>
    <n v="100"/>
    <n v="3"/>
    <n v="0"/>
    <s v="EQV33"/>
    <n v="300"/>
    <n v="0"/>
    <s v="ร้านที่2"/>
    <s v="แ***ดือน น***วม"/>
    <s v="น่าน"/>
    <s v="-"/>
    <s v=""/>
    <s v="08/01/2025 14:16"/>
    <s v="-"/>
    <s v="J&amp;T COD"/>
    <s v="Tiktok"/>
    <s v="จ่ายทีหลัง / COD"/>
    <s v=""/>
    <s v="754481438012"/>
    <s v="08/01/2025 14:17"/>
  </r>
  <r>
    <x v="0"/>
    <x v="0"/>
    <n v="100"/>
    <n v="2"/>
    <n v="0"/>
    <s v="EQV32"/>
    <n v="200"/>
    <n v="0"/>
    <s v="ร้านที่4"/>
    <s v="ว***วิสา ร***าษา"/>
    <s v="กำแพงเพชร"/>
    <s v="-"/>
    <s v=""/>
    <s v="08/01/2025 14:10"/>
    <s v="-"/>
    <s v="Flash Express Thailand COD"/>
    <s v="Tiktok"/>
    <s v="จ่ายทีหลัง / COD"/>
    <s v=""/>
    <s v="THT58011ECXWJ6Z"/>
    <s v="08/01/2025 14:15"/>
  </r>
  <r>
    <x v="26"/>
    <x v="18"/>
    <n v="223.42"/>
    <n v="1"/>
    <n v="0"/>
    <s v="EQV31"/>
    <n v="228.42"/>
    <n v="5"/>
    <s v="ร้านที่1"/>
    <s v="ด.ช วิชชุกร บุษบา"/>
    <s v="14 หมู่5 ซอย3 ต.บ้านสาง อ.เมือง จ.พะเยา 56000_x000a__x000a_เมืองพะเยา/ Mueang Phayaoพะเยา/ Phayao_x000a_56000"/>
    <s v="56000"/>
    <s v="660965899759"/>
    <s v="08/01/2025 14:11"/>
    <s v="-"/>
    <s v="Kerry_dropoff"/>
    <s v="Lazada"/>
    <s v="lazada"/>
    <s v=""/>
    <s v="LEXPU0443745299"/>
    <s v="08/01/2025 14:11"/>
  </r>
  <r>
    <x v="0"/>
    <x v="0"/>
    <n v="100"/>
    <n v="2"/>
    <n v="0"/>
    <s v="EQV29"/>
    <n v="200"/>
    <n v="0"/>
    <s v="ร้านที่4"/>
    <s v="ว***พัฒ บ***ร้าง"/>
    <s v="ประจวบคีรีขันธ์"/>
    <s v="-"/>
    <s v=""/>
    <s v="08/01/2025 13:44"/>
    <s v="-"/>
    <s v="Flash Express Thailand COD"/>
    <s v="Tiktok"/>
    <s v="จ่ายทีหลัง / COD"/>
    <s v=""/>
    <s v="THT19061ECKV19Z"/>
    <s v="08/01/2025 14:08"/>
  </r>
  <r>
    <x v="1"/>
    <x v="1"/>
    <n v="200"/>
    <n v="1"/>
    <n v="0"/>
    <s v="EQV28"/>
    <n v="200"/>
    <n v="0"/>
    <s v="ร้านที่1"/>
    <s v="ส***ตต์ พ***ุ์ทับทิม"/>
    <s v="ราชบุรี"/>
    <s v="-"/>
    <s v=""/>
    <s v="08/01/2025 14:06"/>
    <s v="-"/>
    <s v="J&amp;T Express"/>
    <s v="Tiktok"/>
    <s v="tiktok"/>
    <s v=""/>
    <s v="754486444051"/>
    <s v="08/01/2025 14:07"/>
  </r>
  <r>
    <x v="0"/>
    <x v="0"/>
    <n v="100"/>
    <n v="2"/>
    <n v="0"/>
    <s v="EQV27"/>
    <n v="200"/>
    <n v="0"/>
    <s v="ร้านที่4"/>
    <s v="K* ป***"/>
    <s v="มหาสารคาม"/>
    <s v="-"/>
    <s v=""/>
    <s v="08/01/2025 14:12"/>
    <s v="-"/>
    <s v="Flash Express Thailand"/>
    <s v="Tiktok"/>
    <s v="tiktok"/>
    <s v=""/>
    <s v="THT41011ECYHZ6Z"/>
    <s v="08/01/2025 14:03"/>
  </r>
  <r>
    <x v="4"/>
    <x v="4"/>
    <n v="100"/>
    <n v="1"/>
    <n v="0"/>
    <s v="EQV26"/>
    <n v="106"/>
    <n v="6"/>
    <s v="ร้านที่2"/>
    <s v="แ***ิ้งสารภี น***วงศ์"/>
    <s v="นครศรีธรรมราช"/>
    <s v="-"/>
    <s v=""/>
    <s v="08/01/2025 13:59"/>
    <s v="-"/>
    <s v="J&amp;T Express"/>
    <s v="Tiktok"/>
    <s v="tiktok"/>
    <s v=""/>
    <s v="754451530022"/>
    <s v="08/01/2025 13:59"/>
  </r>
  <r>
    <x v="19"/>
    <x v="19"/>
    <n v="225"/>
    <n v="2"/>
    <n v="0"/>
    <s v="EQV25"/>
    <n v="508"/>
    <n v="58"/>
    <s v="ร้านที่2"/>
    <s v="ป******ง"/>
    <s v="******ไผ่, อำเภอรัตนบุรี ตำบลไผ่ อำเภอรัตนบุรี จังหวัดสุรินทร์ 32130"/>
    <s v="32130"/>
    <s v="70"/>
    <s v="08/01/2025 14:14"/>
    <s v="-"/>
    <s v="SPX Express"/>
    <s v="Shopee"/>
    <s v="shopee"/>
    <s v=""/>
    <s v="TH2531671456127"/>
    <s v="08/01/2025 13:58"/>
  </r>
  <r>
    <x v="0"/>
    <x v="0"/>
    <n v="100"/>
    <n v="1"/>
    <n v="0"/>
    <s v="EQV24"/>
    <n v="106"/>
    <n v="6"/>
    <s v="ร้านที่1"/>
    <s v="อ***ัย เ***สีดา"/>
    <s v="มหาสารคาม"/>
    <s v="-"/>
    <s v=""/>
    <s v="08/01/2025 13:46"/>
    <s v="-"/>
    <s v="J&amp;T COD"/>
    <s v="Tiktok"/>
    <s v="จ่ายทีหลัง / COD"/>
    <s v=""/>
    <s v="754479817033"/>
    <s v="08/01/2025 13:47"/>
  </r>
  <r>
    <x v="0"/>
    <x v="0"/>
    <n v="100"/>
    <n v="1"/>
    <n v="0"/>
    <s v="EQV23"/>
    <n v="100"/>
    <n v="0"/>
    <s v="ร้านที่1"/>
    <s v="ช***า เ***ศรี"/>
    <s v="พระนครศรีอยุธยา"/>
    <s v="-"/>
    <s v=""/>
    <s v="08/01/2025 13:44"/>
    <s v="-"/>
    <s v="J&amp;T COD"/>
    <s v="Tiktok"/>
    <s v="จ่ายทีหลัง / COD"/>
    <s v=""/>
    <s v="754477217034"/>
    <s v="08/01/2025 13:44"/>
  </r>
  <r>
    <x v="3"/>
    <x v="3"/>
    <n v="100"/>
    <n v="1"/>
    <n v="0"/>
    <s v="EQV22"/>
    <n v="100"/>
    <n v="0"/>
    <s v="ร้านที่4"/>
    <s v="ว***พร ศ***ษ์คำ"/>
    <s v="นครนายก"/>
    <s v="-"/>
    <s v=""/>
    <s v="08/01/2025 13:43"/>
    <s v="-"/>
    <s v="Flash Express Thailand COD"/>
    <s v="Tiktok"/>
    <s v="จ่ายทีหลัง / COD"/>
    <s v=""/>
    <s v="THT11031ECG5V9Z"/>
    <s v="08/01/2025 13:43"/>
  </r>
  <r>
    <x v="6"/>
    <x v="38"/>
    <n v="244.2"/>
    <n v="1"/>
    <n v="0"/>
    <s v="EQV21"/>
    <n v="268.2"/>
    <n v="24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08/01/2025 13:42"/>
    <s v="-"/>
    <s v="Kerry_dropoff"/>
    <s v="Lazada"/>
    <s v="lazada"/>
    <s v=""/>
    <s v="LEXPU0443698332"/>
    <s v="08/01/2025 13:42"/>
  </r>
  <r>
    <x v="10"/>
    <x v="10"/>
    <n v="200"/>
    <n v="1"/>
    <n v="0"/>
    <s v="EQV20"/>
    <n v="200"/>
    <n v="0"/>
    <s v="ร้านที่4"/>
    <s v="น***ล"/>
    <s v="นครศรีธรรมราช"/>
    <s v="-"/>
    <s v=""/>
    <s v="08/01/2025 13:34"/>
    <s v="-"/>
    <s v="Flash Express Thailand COD"/>
    <s v="Tiktok"/>
    <s v="จ่ายทีหลัง / COD"/>
    <s v=""/>
    <s v="THT64041ECVZ36Z"/>
    <s v="08/01/2025 13:34"/>
  </r>
  <r>
    <x v="18"/>
    <x v="39"/>
    <n v="140"/>
    <n v="1"/>
    <n v="0"/>
    <s v="EQV19"/>
    <n v="310"/>
    <n v="45"/>
    <s v="ร้านที่1"/>
    <s v="พ****า"/>
    <s v="******่5 ซ้ายมือครับ) ตำบลบางกุ้ง อำเภอเมืองสุราษฎร์ธานี จังหวัดสุราษฎร์ธานี 84000"/>
    <s v="84000"/>
    <s v="20"/>
    <s v="08/01/2025 13:33"/>
    <s v="-"/>
    <s v="Flash Express"/>
    <s v="Shopee"/>
    <s v="shopee"/>
    <s v=""/>
    <s v="TH68016PDG6V4J"/>
    <s v="08/01/2025 13:33"/>
  </r>
  <r>
    <x v="3"/>
    <x v="3"/>
    <n v="100"/>
    <n v="1"/>
    <n v="0"/>
    <s v="EQV18"/>
    <n v="106"/>
    <n v="6"/>
    <s v="ร้านที่4"/>
    <s v="ส***ตรา ค***น"/>
    <s v="สระแก้ว"/>
    <s v="-"/>
    <s v=""/>
    <s v="08/01/2025 13:32"/>
    <s v="-"/>
    <s v="Flash Express Thailand COD"/>
    <s v="Tiktok"/>
    <s v="จ่ายทีหลัง / COD"/>
    <s v=""/>
    <s v="THT26091ECU2F2Z"/>
    <s v="08/01/2025 13:32"/>
  </r>
  <r>
    <x v="0"/>
    <x v="0"/>
    <n v="100"/>
    <n v="1"/>
    <n v="0"/>
    <s v="EQV17"/>
    <n v="200"/>
    <n v="0"/>
    <s v="ร้านที่4"/>
    <s v="ป***นุช  น***กลี้ยง"/>
    <s v="พัทลุง"/>
    <s v="-"/>
    <s v=""/>
    <s v="08/01/2025 13:30"/>
    <s v="-"/>
    <s v="Flash Express Thailand COD"/>
    <s v="Tiktok"/>
    <s v="จ่ายทีหลัง / COD"/>
    <s v=""/>
    <s v="THT74101ECYQE0Z"/>
    <s v="08/01/2025 13:30"/>
  </r>
  <r>
    <x v="3"/>
    <x v="3"/>
    <n v="100"/>
    <n v="1"/>
    <n v="0"/>
    <s v="EQV17"/>
    <n v="200"/>
    <n v="0"/>
    <s v="ร้านที่4"/>
    <s v="ป***นุช  น***กลี้ยง"/>
    <s v="พัทลุง"/>
    <s v="-"/>
    <s v=""/>
    <s v="08/01/2025 13:30"/>
    <s v="-"/>
    <s v="Flash Express Thailand COD"/>
    <s v="Tiktok"/>
    <s v="จ่ายทีหลัง / COD"/>
    <s v=""/>
    <s v="THT74101ECYQE0Z"/>
    <s v="08/01/2025 13:30"/>
  </r>
  <r>
    <x v="3"/>
    <x v="3"/>
    <n v="100"/>
    <n v="1"/>
    <n v="0"/>
    <s v="EQV16"/>
    <n v="106"/>
    <n v="6"/>
    <s v="ร้านที่4"/>
    <s v="เ***ค."/>
    <s v="นครราชสีมา"/>
    <s v="-"/>
    <s v=""/>
    <s v="08/01/2025 13:29"/>
    <s v="-"/>
    <s v="Flash Express Thailand COD"/>
    <s v="Tiktok"/>
    <s v="จ่ายทีหลัง / COD"/>
    <s v=""/>
    <s v="THT27151ECU496Z"/>
    <s v="08/01/2025 13:30"/>
  </r>
  <r>
    <x v="5"/>
    <x v="5"/>
    <n v="350"/>
    <n v="1"/>
    <n v="0"/>
    <s v="EQV15"/>
    <n v="350"/>
    <n v="0"/>
    <s v="ร้านที่4"/>
    <s v="อ***น โ***์เย็น"/>
    <s v="ราชบุรี"/>
    <s v="-"/>
    <s v=""/>
    <s v="08/01/2025 13:26"/>
    <s v="-"/>
    <s v="Flash Express Thailand COD"/>
    <s v="Tiktok"/>
    <s v="จ่ายทีหลัง / COD"/>
    <s v=""/>
    <s v="THT12041ECT6H6Z"/>
    <s v="08/01/2025 13:26"/>
  </r>
  <r>
    <x v="0"/>
    <x v="0"/>
    <n v="100"/>
    <n v="1"/>
    <n v="0"/>
    <s v="EQV14"/>
    <n v="106"/>
    <n v="6"/>
    <s v="ร้านที่2"/>
    <s v="ส***ญญา ช***ปลูก"/>
    <s v="สมุทรปราการ"/>
    <s v="-"/>
    <s v=""/>
    <s v="08/01/2025 13:23"/>
    <s v="-"/>
    <s v="J&amp;T Express"/>
    <s v="Tiktok"/>
    <s v="tiktok"/>
    <s v=""/>
    <s v="754467706075"/>
    <s v="08/01/2025 13:23"/>
  </r>
  <r>
    <x v="0"/>
    <x v="0"/>
    <n v="100"/>
    <n v="6"/>
    <n v="0"/>
    <s v="EQV13"/>
    <n v="600"/>
    <n v="0"/>
    <s v="ร้านที่4"/>
    <s v="ป**"/>
    <s v="พัทลุง"/>
    <s v="-"/>
    <s v=""/>
    <s v="08/01/2025 13:19"/>
    <s v="-"/>
    <s v="Flash Express Thailand COD"/>
    <s v="Tiktok"/>
    <s v="จ่ายทีหลัง / COD"/>
    <s v=""/>
    <s v="THT74041ECM5U9Z"/>
    <s v="08/01/2025 13:19"/>
  </r>
  <r>
    <x v="3"/>
    <x v="8"/>
    <n v="80.91"/>
    <n v="1"/>
    <n v="0"/>
    <s v="EQV12"/>
    <n v="85.91"/>
    <n v="5"/>
    <s v="ร้านที่6"/>
    <s v="กัญญาพร เปี่ยมวารี"/>
    <s v="ม. นครทองเฟรสซิเด้น 196/136 ต. แพรกษาใหม่ อ. เมือง · แพรกษาใหม่/ Phraek Sa Mai_x000a__x000a_เมืองสมุทรปราการ/ Mueang Samut Prakanสมุทรปราการ/ Samut Prakan_x000a_10280"/>
    <s v="10280"/>
    <s v="660868237758"/>
    <s v="08/01/2025 13:18"/>
    <s v="-"/>
    <s v="Kerry_dropoff"/>
    <s v="Lazada"/>
    <s v="lazada"/>
    <s v=""/>
    <s v="LEXPU0443740193"/>
    <s v="08/01/2025 13:18"/>
  </r>
  <r>
    <x v="19"/>
    <x v="34"/>
    <n v="127.33"/>
    <n v="1"/>
    <n v="0"/>
    <s v="EQV11"/>
    <n v="259.66000000000003"/>
    <n v="5"/>
    <s v="ร้านที่9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8/01/2025 13:15"/>
    <s v="-"/>
    <s v="Kerry_dropoff"/>
    <s v="Lazada"/>
    <s v="lazada"/>
    <s v=""/>
    <s v="LEXDO0124281489"/>
    <s v="08/01/2025 13:15"/>
  </r>
  <r>
    <x v="13"/>
    <x v="30"/>
    <n v="127.33"/>
    <n v="1"/>
    <n v="0"/>
    <s v="EQV11"/>
    <n v="259.66000000000003"/>
    <n v="5"/>
    <s v="ร้านที่9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8/01/2025 13:15"/>
    <s v="-"/>
    <s v="Kerry_dropoff"/>
    <s v="Lazada"/>
    <s v="lazada"/>
    <s v=""/>
    <s v="LEXDO0124281489"/>
    <s v="08/01/2025 13:15"/>
  </r>
  <r>
    <x v="9"/>
    <x v="4"/>
    <n v="100"/>
    <n v="1"/>
    <n v="0"/>
    <s v="EQV9"/>
    <n v="100"/>
    <n v="0"/>
    <s v="ร้านที่4"/>
    <s v="u***510399365708เกษศิรินทร์  ป***"/>
    <s v="นครปฐม"/>
    <s v="-"/>
    <s v=""/>
    <s v="08/01/2025 13:08"/>
    <s v="-"/>
    <s v="Flash Express Thailand COD"/>
    <s v="Tiktok"/>
    <s v="จ่ายทีหลัง / COD"/>
    <s v=""/>
    <s v="THT15031ECF8T3Z"/>
    <s v="08/01/2025 13:08"/>
  </r>
  <r>
    <x v="5"/>
    <x v="5"/>
    <n v="330"/>
    <n v="1"/>
    <n v="0"/>
    <s v="EQV8"/>
    <n v="330"/>
    <n v="0"/>
    <s v="ร้านที่1"/>
    <s v="A**"/>
    <s v="Ranong"/>
    <s v="-"/>
    <s v=""/>
    <s v="08/01/2025 13:07"/>
    <s v="-"/>
    <s v="J&amp;T COD"/>
    <s v="Tiktok"/>
    <s v="จ่ายทีหลัง / COD"/>
    <s v=""/>
    <s v="754402736006"/>
    <s v="08/01/2025 13:07"/>
  </r>
  <r>
    <x v="1"/>
    <x v="1"/>
    <n v="200"/>
    <n v="2"/>
    <n v="0"/>
    <s v="EQV7"/>
    <n v="400"/>
    <n v="0"/>
    <s v="ร้านที่1"/>
    <s v="เ***ินี ม***วิเชียร"/>
    <s v="กรุงเทพฯ"/>
    <s v="-"/>
    <s v=""/>
    <s v="08/01/2025 13:07"/>
    <s v="-"/>
    <s v="J&amp;T COD"/>
    <s v="Tiktok"/>
    <s v="จ่ายทีหลัง / COD"/>
    <s v=""/>
    <s v="754480523075"/>
    <s v="08/01/2025 13:07"/>
  </r>
  <r>
    <x v="10"/>
    <x v="10"/>
    <n v="200"/>
    <n v="1"/>
    <n v="0"/>
    <s v="EQV6"/>
    <n v="200"/>
    <n v="0"/>
    <s v="ร้านที่1"/>
    <s v="ข***ตา ค***ล้า"/>
    <s v="พังงา"/>
    <s v="-"/>
    <s v=""/>
    <s v="08/01/2025 13:04"/>
    <s v="-"/>
    <s v="J&amp;T COD"/>
    <s v="Tiktok"/>
    <s v="จ่ายทีหลัง / COD"/>
    <s v=""/>
    <s v="754462528083"/>
    <s v="08/01/2025 13:04"/>
  </r>
  <r>
    <x v="3"/>
    <x v="3"/>
    <n v="100"/>
    <n v="1"/>
    <n v="0"/>
    <s v="EQV5"/>
    <n v="100"/>
    <n v="0"/>
    <s v="ร้านที่4"/>
    <s v="ด***ก. พ***จันทร์"/>
    <s v="สุพรรณบุรี"/>
    <s v="-"/>
    <s v=""/>
    <s v="08/01/2025 12:57"/>
    <s v="-"/>
    <s v="Flash Express Thailand COD"/>
    <s v="Tiktok"/>
    <s v="จ่ายทีหลัง / COD"/>
    <s v=""/>
    <s v="THT14051ECG9M7Z"/>
    <s v="08/01/2025 12:57"/>
  </r>
  <r>
    <x v="0"/>
    <x v="0"/>
    <n v="100"/>
    <n v="1"/>
    <n v="0"/>
    <s v="EQV4"/>
    <n v="100"/>
    <n v="0"/>
    <s v="ร้านที่2"/>
    <s v="u***9108554734984"/>
    <s v="สระบุรี"/>
    <s v="-"/>
    <s v=""/>
    <s v="08/01/2025 12:53"/>
    <s v="-"/>
    <s v="J&amp;T COD"/>
    <s v="Tiktok"/>
    <s v="จ่ายทีหลัง / COD"/>
    <s v=""/>
    <s v="754496612052"/>
    <s v="08/01/2025 12:53"/>
  </r>
  <r>
    <x v="3"/>
    <x v="8"/>
    <n v="80.91"/>
    <n v="1"/>
    <n v="0"/>
    <s v="EQV3"/>
    <n v="85.91"/>
    <n v="5"/>
    <s v="ร้านที่6"/>
    <s v="รุจิรา จรัสอุทัย"/>
    <s v="168/45 หมูบ้านดิเอมเมอรัลดิ์พาร์ค3 · พิมลราช/ Phimon Rat_x000a__x000a_บางบัวทอง/ Bang Bua Thongนนทบุรี/ Nonthaburi_x000a_11110"/>
    <s v="11110"/>
    <s v="660874529245"/>
    <s v="08/01/2025 12:50"/>
    <s v="-"/>
    <s v="Kerry_dropoff"/>
    <s v="Lazada"/>
    <s v="lazada"/>
    <s v=""/>
    <s v="LEXPU0443738668"/>
    <s v="08/01/2025 12:49"/>
  </r>
  <r>
    <x v="2"/>
    <x v="2"/>
    <n v="89.93"/>
    <n v="1"/>
    <n v="0"/>
    <s v="EQV2"/>
    <n v="144.93"/>
    <n v="55"/>
    <s v="ร้านที่1"/>
    <s v="เนตรนภา ถูกจิตร"/>
    <s v="135/1หมู่ 4 · แม่เหาะ/ Mae Ho_x000a__x000a_แม่สะเรียง/ Mae Sariangแม่ฮ่องสอน/ Mae Hong Son_x000a_58110"/>
    <s v="58110"/>
    <s v="660962935949"/>
    <s v="08/01/2025 12:45"/>
    <s v="-"/>
    <s v="Kerry_dropoff"/>
    <s v="Lazada"/>
    <s v="lazada"/>
    <s v=""/>
    <s v="TH55046PD9YS1D"/>
    <s v="08/01/2025 12:45"/>
  </r>
  <r>
    <x v="1"/>
    <x v="1"/>
    <n v="200"/>
    <n v="1"/>
    <n v="0"/>
    <s v="EQV1"/>
    <n v="200"/>
    <n v="0"/>
    <s v="ร้านที่1"/>
    <s v="ข***ตา ค***ล้า"/>
    <s v="พังงา"/>
    <s v="-"/>
    <s v=""/>
    <s v="08/01/2025 12:38"/>
    <s v="-"/>
    <s v="J&amp;T COD"/>
    <s v="Tiktok"/>
    <s v="จ่ายทีหลัง / COD"/>
    <s v=""/>
    <s v="754440943012"/>
    <s v="08/01/2025 12:38"/>
  </r>
  <r>
    <x v="1"/>
    <x v="1"/>
    <n v="200"/>
    <n v="1"/>
    <n v="0"/>
    <s v="EQV0"/>
    <n v="200"/>
    <n v="0"/>
    <s v="ร้านที่2"/>
    <s v="ข***ตา ค***ล้า"/>
    <s v="พังงา"/>
    <s v="-"/>
    <s v=""/>
    <s v="08/01/2025 12:38"/>
    <s v="-"/>
    <s v="J&amp;T COD"/>
    <s v="Tiktok"/>
    <s v="จ่ายทีหลัง / COD"/>
    <s v=""/>
    <s v="-"/>
    <s v="08/01/2025 12:38"/>
  </r>
  <r>
    <x v="2"/>
    <x v="2"/>
    <n v="89.93"/>
    <n v="1"/>
    <n v="0"/>
    <s v="EQU99"/>
    <n v="94.93"/>
    <n v="5"/>
    <s v="ร้านที่1"/>
    <s v="กิติพงษ์  พรหมบุตร"/>
    <s v="ส่งตึกแถวตรงข้ามหน้าเอสอาคอมแพล้ค ส่งหลังตึกแถวลานจอดรถจ้าเลขที่2/17ต.หนองป่าครั่ง อ.เมือง จ.เชียงใหม่ 5000โทรหาจ้า · หนองป่าครั่ง/ Nong Pa Khrang_x000a__x000a_เมืองเชียงใหม่/ Mueang Chiang Maiเชียงใหม่/ Chiang Mai_x000a_50000"/>
    <s v="50000"/>
    <s v="660951458259"/>
    <s v="08/01/2025 12:38"/>
    <s v="-"/>
    <s v="Kerry_dropoff"/>
    <s v="Lazada"/>
    <s v="lazada"/>
    <s v=""/>
    <s v="LEXPU0443741806"/>
    <s v="08/01/2025 12:38"/>
  </r>
  <r>
    <x v="0"/>
    <x v="0"/>
    <n v="100"/>
    <n v="1"/>
    <n v="0"/>
    <s v="EQU98"/>
    <n v="106"/>
    <n v="6"/>
    <s v="ร้านที่2"/>
    <s v="น***ุนทร ข***ักษ์"/>
    <s v="ราชบุรี"/>
    <s v="-"/>
    <s v=""/>
    <s v="08/01/2025 12:38"/>
    <s v="-"/>
    <s v="J&amp;T COD"/>
    <s v="Tiktok"/>
    <s v="จ่ายทีหลัง / COD"/>
    <s v=""/>
    <s v="754410414026"/>
    <s v="08/01/2025 12:38"/>
  </r>
  <r>
    <x v="10"/>
    <x v="10"/>
    <n v="200"/>
    <n v="1"/>
    <n v="0"/>
    <s v="EQU97"/>
    <n v="200"/>
    <n v="0"/>
    <s v="ร้านที่4"/>
    <s v="ส***ตรา ส***รณชัย"/>
    <s v="เลย"/>
    <s v="-"/>
    <s v=""/>
    <s v="08/01/2025 12:29"/>
    <s v="-"/>
    <s v="Flash Express Thailand COD"/>
    <s v="Tiktok"/>
    <s v="จ่ายทีหลัง / COD"/>
    <s v=""/>
    <s v="THT39011ECZ364Z"/>
    <s v="08/01/2025 12:29"/>
  </r>
  <r>
    <x v="0"/>
    <x v="0"/>
    <n v="100"/>
    <n v="1"/>
    <n v="0"/>
    <s v="EQU96"/>
    <n v="100"/>
    <n v="0"/>
    <s v="ร้านที่1"/>
    <s v="พ***ร"/>
    <s v="สุพรรณบุรี"/>
    <s v="-"/>
    <s v=""/>
    <s v="08/01/2025 12:28"/>
    <s v="-"/>
    <s v="J&amp;T COD"/>
    <s v="Tiktok"/>
    <s v="จ่ายทีหลัง / COD"/>
    <s v=""/>
    <s v="754412210020"/>
    <s v="08/01/2025 12:28"/>
  </r>
  <r>
    <x v="6"/>
    <x v="6"/>
    <n v="230"/>
    <n v="1"/>
    <n v="0"/>
    <s v="EQU94"/>
    <n v="270"/>
    <n v="45"/>
    <s v="ร้านที่2"/>
    <s v="(******า"/>
    <s v="****** ตำบลท่ามะกา อำเภอท่ามะกา จังหวัดกาญจนบุรี 71120"/>
    <s v="71120"/>
    <s v="36"/>
    <s v="08/01/2025 12:56"/>
    <s v="-"/>
    <s v="SPX Express"/>
    <s v="Shopee"/>
    <s v="shopee"/>
    <s v=""/>
    <s v="TH2550458399018"/>
    <s v="08/01/2025 12:26"/>
  </r>
  <r>
    <x v="4"/>
    <x v="4"/>
    <n v="100"/>
    <n v="1"/>
    <n v="0"/>
    <s v="EQU93"/>
    <n v="106"/>
    <n v="6"/>
    <s v="ร้านที่1"/>
    <s v="ส***ตรา ส***รณชัย"/>
    <s v="เลย"/>
    <s v="-"/>
    <s v=""/>
    <s v="08/01/2025 12:26"/>
    <s v="-"/>
    <s v="J&amp;T COD"/>
    <s v="Tiktok"/>
    <s v="จ่ายทีหลัง / COD"/>
    <s v=""/>
    <s v="754487739014"/>
    <s v="08/01/2025 12:26"/>
  </r>
  <r>
    <x v="9"/>
    <x v="4"/>
    <n v="100"/>
    <n v="3"/>
    <n v="0"/>
    <s v="EQU91"/>
    <n v="300"/>
    <n v="0"/>
    <s v="ร้านที่1"/>
    <s v="น***ยม พ***"/>
    <s v="ปราจีนบุรี"/>
    <s v="-"/>
    <s v=""/>
    <s v="08/01/2025 12:23"/>
    <s v="-"/>
    <s v="J&amp;T COD"/>
    <s v="Tiktok"/>
    <s v="จ่ายทีหลัง / COD"/>
    <s v=""/>
    <s v="754449124052"/>
    <s v="08/01/2025 12:23"/>
  </r>
  <r>
    <x v="1"/>
    <x v="1"/>
    <n v="200"/>
    <n v="1"/>
    <n v="0"/>
    <s v="EQU90"/>
    <n v="200"/>
    <n v="0"/>
    <s v="ร้านที่2"/>
    <s v="แ***้องน้ำขิง"/>
    <s v="ขอนแก่น"/>
    <s v="-"/>
    <s v=""/>
    <s v="08/01/2025 12:22"/>
    <s v="-"/>
    <s v="J&amp;T Express"/>
    <s v="Tiktok"/>
    <s v="tiktok"/>
    <s v=""/>
    <s v="754451532096"/>
    <s v="08/01/2025 12:22"/>
  </r>
  <r>
    <x v="0"/>
    <x v="0"/>
    <n v="100"/>
    <n v="2"/>
    <n v="0"/>
    <s v="EQU89"/>
    <n v="200"/>
    <n v="0"/>
    <s v="ร้านที่1"/>
    <s v="จ***า ห***ชุม"/>
    <s v="นครพนม"/>
    <s v="-"/>
    <s v=""/>
    <s v="08/01/2025 12:19"/>
    <s v="-"/>
    <s v="J&amp;T COD"/>
    <s v="Tiktok"/>
    <s v="จ่ายทีหลัง / COD"/>
    <s v=""/>
    <s v="754406829046"/>
    <s v="08/01/2025 12:19"/>
  </r>
  <r>
    <x v="13"/>
    <x v="13"/>
    <n v="250"/>
    <n v="1"/>
    <n v="0"/>
    <s v="EQU88"/>
    <n v="295"/>
    <n v="45"/>
    <s v="ร้านที่1"/>
    <s v="เ******ะ"/>
    <s v="******ไหม34, แขวงสายไหม, เขตสายไหม แขวงสายไหม เขตสายไหม จังหวัดกรุงเทพมหานคร 10220"/>
    <s v="10220"/>
    <s v="82"/>
    <s v="08/01/2025 12:45"/>
    <s v="-"/>
    <s v="SPX Express"/>
    <s v="Shopee"/>
    <s v="shopee"/>
    <s v=""/>
    <s v="TH250361979423U"/>
    <s v="08/01/2025 12:17"/>
  </r>
  <r>
    <x v="3"/>
    <x v="8"/>
    <n v="90.43"/>
    <n v="1"/>
    <n v="0"/>
    <s v="EQU87"/>
    <n v="180.86"/>
    <n v="0"/>
    <s v="ร้านที่6"/>
    <s v="น้องเล็ก"/>
    <s v="56/3 หมู่ที่4 ต.มหาสวัสดิ์_x000a__x000a_พุทธมณฑล/ Phutthamonthonนครปฐม/ Nakhon Pathom_x000a_73170"/>
    <s v="73170"/>
    <s v="660815872686"/>
    <s v="08/01/2025 12:12"/>
    <s v="-"/>
    <s v="Kerry_dropoff"/>
    <s v="Lazada"/>
    <s v="lazada"/>
    <s v=""/>
    <s v="LEXPU0443734224"/>
    <s v="08/01/2025 12:12"/>
  </r>
  <r>
    <x v="3"/>
    <x v="8"/>
    <n v="90.43"/>
    <n v="1"/>
    <n v="0"/>
    <s v="EQU87"/>
    <n v="180.86"/>
    <n v="0"/>
    <s v="ร้านที่6"/>
    <s v="น้องเล็ก"/>
    <s v="56/3 หมู่ที่4 ต.มหาสวัสดิ์_x000a__x000a_พุทธมณฑล/ Phutthamonthonนครปฐม/ Nakhon Pathom_x000a_73170"/>
    <s v="73170"/>
    <s v="660815872686"/>
    <s v="08/01/2025 12:12"/>
    <s v="-"/>
    <s v="Kerry_dropoff"/>
    <s v="Lazada"/>
    <s v="lazada"/>
    <s v=""/>
    <s v="LEXPU0443734224"/>
    <s v="08/01/2025 12:12"/>
  </r>
  <r>
    <x v="3"/>
    <x v="3"/>
    <n v="100"/>
    <n v="1"/>
    <n v="0"/>
    <s v="EQU86"/>
    <n v="106"/>
    <n v="6"/>
    <s v="ร้านที่4"/>
    <s v="เ***าภา ส***ตน์"/>
    <s v="ศรีสะเกษ"/>
    <s v="-"/>
    <s v=""/>
    <s v="08/01/2025 12:10"/>
    <s v="-"/>
    <s v="Flash Express Thailand"/>
    <s v="Tiktok"/>
    <s v="tiktok"/>
    <s v=""/>
    <s v="THT30071ECTY48Z"/>
    <s v="08/01/2025 12:10"/>
  </r>
  <r>
    <x v="10"/>
    <x v="10"/>
    <n v="200"/>
    <n v="1"/>
    <n v="0"/>
    <s v="EQU85"/>
    <n v="200"/>
    <n v="0"/>
    <s v="ร้านที่4"/>
    <s v="ป***้อย"/>
    <s v="ประจวบคีรีขันธ์"/>
    <s v="-"/>
    <s v=""/>
    <s v="08/01/2025 12:07"/>
    <s v="-"/>
    <s v="Flash Express Thailand COD"/>
    <s v="Tiktok"/>
    <s v="จ่ายทีหลัง / COD"/>
    <s v=""/>
    <s v="THT19061ECMA57Z"/>
    <s v="08/01/2025 12:07"/>
  </r>
  <r>
    <x v="1"/>
    <x v="1"/>
    <n v="200"/>
    <n v="1"/>
    <n v="0"/>
    <s v="EQU84"/>
    <n v="200"/>
    <n v="0"/>
    <s v="ร้านที่1"/>
    <s v="ธ***.จอดนอก."/>
    <s v="เทศบาลนครนครราชสีมา"/>
    <s v="-"/>
    <s v=""/>
    <s v="08/01/2025 12:04"/>
    <s v="-"/>
    <s v="J&amp;T COD"/>
    <s v="Tiktok"/>
    <s v="จ่ายทีหลัง / COD"/>
    <s v=""/>
    <s v="754443735091"/>
    <s v="08/01/2025 12:04"/>
  </r>
  <r>
    <x v="4"/>
    <x v="4"/>
    <n v="100"/>
    <n v="1"/>
    <n v="0"/>
    <s v="EQU82"/>
    <n v="106"/>
    <n v="6"/>
    <s v="ร้านที่4"/>
    <s v="น***ร    พ***ศษ"/>
    <s v="พัทลุง"/>
    <s v="-"/>
    <s v=""/>
    <s v="08/01/2025 12:00"/>
    <s v="-"/>
    <s v="Flash Express Thailand COD"/>
    <s v="Tiktok"/>
    <s v="จ่ายทีหลัง / COD"/>
    <s v=""/>
    <s v="THT74021ECA6A1Z"/>
    <s v="08/01/2025 12:00"/>
  </r>
  <r>
    <x v="13"/>
    <x v="30"/>
    <n v="119.84"/>
    <n v="1"/>
    <n v="0"/>
    <s v="EQU81"/>
    <n v="124.84"/>
    <n v="5"/>
    <s v="ร้านที่9"/>
    <s v="สุเมธ เข็มทอง"/>
    <s v="676 หมู่ 8 บ้านโคกนาคลอง  ต.หนองขวานกว้าง ( ร้านเกียวเตียวแม่แต๋ว) นิคมอุตสาหกรรมอุดรธานี_x000a__x000a_เมืองอุดรธานี/ Mueang Udon Thaniอุดรธานี/ Udon Thani_x000a_41000"/>
    <s v="41000"/>
    <s v="660808846725"/>
    <s v="08/01/2025 11:54"/>
    <s v="-"/>
    <s v="Kerry_dropoff"/>
    <s v="Lazada"/>
    <s v="lazada"/>
    <s v=""/>
    <s v="LEXDO0124282012"/>
    <s v="08/01/2025 11:54"/>
  </r>
  <r>
    <x v="0"/>
    <x v="0"/>
    <n v="100"/>
    <n v="1"/>
    <n v="0"/>
    <s v="EQU78"/>
    <n v="106"/>
    <n v="6"/>
    <s v="ร้านที่4"/>
    <s v="ป***์"/>
    <s v="กรุงเทพฯ"/>
    <s v="-"/>
    <s v=""/>
    <s v="08/01/2025 11:41"/>
    <s v="-"/>
    <s v="Flash Express Thailand COD"/>
    <s v="Tiktok"/>
    <s v="จ่ายทีหลัง / COD"/>
    <s v=""/>
    <s v="THT01031ECK7G1Z"/>
    <s v="08/01/2025 11:41"/>
  </r>
  <r>
    <x v="19"/>
    <x v="34"/>
    <n v="119.84"/>
    <n v="1"/>
    <n v="0"/>
    <s v="EQU77"/>
    <n v="119.84"/>
    <n v="0"/>
    <s v="ร้านที่9"/>
    <s v="รัตนวดี ทองสา"/>
    <s v="181 หมู่ 1 ต.หนองรี_x000a__x000a_ลำสนธิ/ Lam Sonthiลพบุรี/ Lopburi_x000a_15190"/>
    <s v="15190"/>
    <s v="660954752212"/>
    <s v="08/01/2025 11:36"/>
    <s v="-"/>
    <s v="Kerry_dropoff"/>
    <s v="Lazada"/>
    <s v="lazada"/>
    <s v=""/>
    <s v="TH07106PD2374C"/>
    <s v="08/01/2025 11:36"/>
  </r>
  <r>
    <x v="3"/>
    <x v="8"/>
    <n v="90.43"/>
    <n v="1"/>
    <n v="0"/>
    <s v="EQU76"/>
    <n v="185.86"/>
    <n v="5"/>
    <s v="ร้านที่6"/>
    <s v="จำนงค์ ดอนชาไพร"/>
    <s v="97/9 ม.6 ต.สัตหีบ อ.สัตหีบ จ.ชลบุรี2018 · สัตหีบ/ Sattahip_x000a__x000a_สัตหีบ/ Sattahipชลบุรี/ Chonburi_x000a_20180"/>
    <s v="20180"/>
    <s v="660934943771"/>
    <s v="08/01/2025 11:36"/>
    <s v="-"/>
    <s v="Kerry_dropoff"/>
    <s v="Lazada"/>
    <s v="lazada"/>
    <s v=""/>
    <s v="LEXPU0443733869"/>
    <s v="08/01/2025 11:36"/>
  </r>
  <r>
    <x v="3"/>
    <x v="8"/>
    <n v="90.43"/>
    <n v="1"/>
    <n v="0"/>
    <s v="EQU76"/>
    <n v="185.86"/>
    <n v="5"/>
    <s v="ร้านที่6"/>
    <s v="จำนงค์ ดอนชาไพร"/>
    <s v="97/9 ม.6 ต.สัตหีบ อ.สัตหีบ จ.ชลบุรี2018 · สัตหีบ/ Sattahip_x000a__x000a_สัตหีบ/ Sattahipชลบุรี/ Chonburi_x000a_20180"/>
    <s v="20180"/>
    <s v="660934943771"/>
    <s v="08/01/2025 11:36"/>
    <s v="-"/>
    <s v="Kerry_dropoff"/>
    <s v="Lazada"/>
    <s v="lazada"/>
    <s v=""/>
    <s v="LEXPU0443733869"/>
    <s v="08/01/2025 11:36"/>
  </r>
  <r>
    <x v="24"/>
    <x v="26"/>
    <n v="436.74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9"/>
    <x v="34"/>
    <n v="124.34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9"/>
    <x v="34"/>
    <n v="124.33"/>
    <n v="1"/>
    <n v="0"/>
    <s v="EQU75"/>
    <n v="699.41"/>
    <n v="14"/>
    <s v="ร้านที่9"/>
    <s v="ปัทมา สุทธิพันธุ์"/>
    <s v="103 หมู่ 7 · เดิมบาง/ Doem Bang_x000a__x000a_เดิมบางนางบวช/ Doem Bang Nang Buatสุพรรณบุรี/ Suphanburi_x000a_72120"/>
    <s v="72120"/>
    <s v="660897461906"/>
    <s v="08/01/2025 11:35"/>
    <s v="-"/>
    <s v="Kerry_dropoff"/>
    <s v="Lazada"/>
    <s v="lazada"/>
    <s v=""/>
    <s v="TH14026PCVYE8J"/>
    <s v="08/01/2025 11:35"/>
  </r>
  <r>
    <x v="10"/>
    <x v="10"/>
    <n v="200"/>
    <n v="1"/>
    <n v="0"/>
    <s v="EQU74"/>
    <n v="200"/>
    <n v="0"/>
    <s v="ร้านที่2"/>
    <s v="ว***า ไ***ุรินทร์"/>
    <s v="พัทลุง"/>
    <s v="-"/>
    <s v=""/>
    <s v="08/01/2025 11:30"/>
    <s v="-"/>
    <s v="J&amp;T Express"/>
    <s v="Tiktok"/>
    <s v="tiktok"/>
    <s v=""/>
    <s v="754404328090"/>
    <s v="08/01/2025 11:30"/>
  </r>
  <r>
    <x v="29"/>
    <x v="36"/>
    <n v="400"/>
    <n v="1"/>
    <n v="0"/>
    <s v="EQU73"/>
    <n v="400"/>
    <n v="0"/>
    <s v="ร้านที่1"/>
    <s v="K***วา"/>
    <s v="นนทบุรี"/>
    <s v="-"/>
    <s v=""/>
    <s v="08/01/2025 11:29"/>
    <s v="-"/>
    <s v="J&amp;T COD"/>
    <s v="Tiktok"/>
    <s v="จ่ายทีหลัง / COD"/>
    <s v=""/>
    <s v="754490133014"/>
    <s v="08/01/2025 11:29"/>
  </r>
  <r>
    <x v="10"/>
    <x v="10"/>
    <n v="200"/>
    <n v="1"/>
    <n v="0"/>
    <s v="EQU72"/>
    <n v="200"/>
    <n v="0"/>
    <s v="ร้านที่4"/>
    <s v="ส***ลี ข***ิยะ"/>
    <s v="เลย"/>
    <s v="-"/>
    <s v=""/>
    <s v="08/01/2025 11:28"/>
    <s v="-"/>
    <s v="Flash Express Thailand COD"/>
    <s v="Tiktok"/>
    <s v="จ่ายทีหลัง / COD"/>
    <s v=""/>
    <s v="THT39031ECM9Q7Z"/>
    <s v="08/01/2025 11:28"/>
  </r>
  <r>
    <x v="0"/>
    <x v="0"/>
    <n v="100"/>
    <n v="1"/>
    <n v="0"/>
    <s v="EQU71"/>
    <n v="106"/>
    <n v="6"/>
    <s v="ร้านที่4"/>
    <s v="ศ***ลักษณ์ ด***น"/>
    <s v="สระแก้ว"/>
    <s v="-"/>
    <s v=""/>
    <s v="08/01/2025 11:27"/>
    <s v="-"/>
    <s v="Flash Express Thailand COD"/>
    <s v="Tiktok"/>
    <s v="จ่ายทีหลัง / COD"/>
    <s v=""/>
    <s v="THT26061ECK8Z3Z"/>
    <s v="08/01/2025 11:27"/>
  </r>
  <r>
    <x v="0"/>
    <x v="0"/>
    <n v="100"/>
    <n v="1"/>
    <n v="0"/>
    <s v="EQU70"/>
    <n v="200"/>
    <n v="0"/>
    <s v="ร้านที่4"/>
    <s v="จ***รัตน์ ม***ณหา"/>
    <s v="พิษณุโลก"/>
    <s v="-"/>
    <s v=""/>
    <s v="08/01/2025 11:13"/>
    <s v="-"/>
    <s v="Flash Express Thailand COD"/>
    <s v="Tiktok"/>
    <s v="จ่ายทีหลัง / COD"/>
    <s v=""/>
    <s v="THT61031ECMBB3Z"/>
    <s v="08/01/2025 11:14"/>
  </r>
  <r>
    <x v="3"/>
    <x v="3"/>
    <n v="100"/>
    <n v="1"/>
    <n v="0"/>
    <s v="EQU70"/>
    <n v="200"/>
    <n v="0"/>
    <s v="ร้านที่4"/>
    <s v="จ***รัตน์ ม***ณหา"/>
    <s v="พิษณุโลก"/>
    <s v="-"/>
    <s v=""/>
    <s v="08/01/2025 11:13"/>
    <s v="-"/>
    <s v="Flash Express Thailand COD"/>
    <s v="Tiktok"/>
    <s v="จ่ายทีหลัง / COD"/>
    <s v=""/>
    <s v="THT61031ECMBB3Z"/>
    <s v="08/01/2025 11:14"/>
  </r>
  <r>
    <x v="3"/>
    <x v="3"/>
    <n v="100"/>
    <n v="2"/>
    <n v="0"/>
    <s v="EQU69"/>
    <n v="200"/>
    <n v="0"/>
    <s v="ร้านที่1"/>
    <s v="ส***พร ท***มบัติ"/>
    <s v="กาฬสินธุ์"/>
    <s v="-"/>
    <s v=""/>
    <s v="08/01/2025 11:13"/>
    <s v="-"/>
    <s v="J&amp;T Express"/>
    <s v="Tiktok"/>
    <s v="tiktok"/>
    <s v=""/>
    <s v="754459531092"/>
    <s v="08/01/2025 11:13"/>
  </r>
  <r>
    <x v="4"/>
    <x v="4"/>
    <n v="100"/>
    <n v="1"/>
    <n v="0"/>
    <s v="EQU66"/>
    <n v="106"/>
    <n v="6"/>
    <s v="ร้านที่1"/>
    <s v="น***มชาย เ***นขุนทด"/>
    <s v="นครราชสีมา"/>
    <s v="-"/>
    <s v=""/>
    <s v="08/01/2025 11:03"/>
    <s v="-"/>
    <s v="J&amp;T Express"/>
    <s v="Tiktok"/>
    <s v="tiktok"/>
    <s v=""/>
    <s v="754476938014"/>
    <s v="08/01/2025 11:03"/>
  </r>
  <r>
    <x v="0"/>
    <x v="0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4"/>
    <x v="4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3"/>
    <x v="3"/>
    <n v="100"/>
    <n v="1"/>
    <n v="0"/>
    <s v="EQU64"/>
    <n v="300"/>
    <n v="0"/>
    <s v="ร้านที่4"/>
    <s v="บ***"/>
    <s v="หนองคาย"/>
    <s v="-"/>
    <s v=""/>
    <s v="08/01/2025 10:34"/>
    <s v="-"/>
    <s v="Flash Express Thailand COD"/>
    <s v="Tiktok"/>
    <s v="จ่ายทีหลัง / COD"/>
    <s v=""/>
    <s v="THT40051ECMEU5Z"/>
    <s v="08/01/2025 10:34"/>
  </r>
  <r>
    <x v="9"/>
    <x v="4"/>
    <n v="100"/>
    <n v="1"/>
    <n v="0"/>
    <s v="EQU63"/>
    <n v="106"/>
    <n v="6"/>
    <s v="ร้านที่2"/>
    <s v="ก***"/>
    <s v="นครศรีธรรมราช"/>
    <s v="-"/>
    <s v=""/>
    <s v="08/01/2025 10:32"/>
    <s v="-"/>
    <s v="J&amp;T COD"/>
    <s v="Tiktok"/>
    <s v="จ่ายทีหลัง / COD"/>
    <s v=""/>
    <s v="754422923041"/>
    <s v="08/01/2025 10:32"/>
  </r>
  <r>
    <x v="5"/>
    <x v="5"/>
    <n v="350"/>
    <n v="1"/>
    <n v="0"/>
    <s v="EQU62"/>
    <n v="350"/>
    <n v="0"/>
    <s v="ร้านที่4"/>
    <s v="น***าวปรินดา  ต***ินดา"/>
    <s v="สระบุรี"/>
    <s v="-"/>
    <s v=""/>
    <s v="08/01/2025 10:32"/>
    <s v="-"/>
    <s v="Flash Express Thailand COD"/>
    <s v="Tiktok"/>
    <s v="จ่ายทีหลัง / COD"/>
    <s v=""/>
    <s v="THT10101ECTB78Z"/>
    <s v="08/01/2025 10:32"/>
  </r>
  <r>
    <x v="29"/>
    <x v="36"/>
    <n v="400"/>
    <n v="1"/>
    <n v="0"/>
    <s v="EQU61"/>
    <n v="400"/>
    <n v="0"/>
    <s v="ร้านที่4"/>
    <s v="M***"/>
    <s v="สมุทรปราการ"/>
    <s v="-"/>
    <s v=""/>
    <s v="08/01/2025 10:30"/>
    <s v="-"/>
    <s v="Flash Express Thailand COD"/>
    <s v="Tiktok"/>
    <s v="จ่ายทีหลัง / COD"/>
    <s v=""/>
    <s v="THT02031ECANT3Z"/>
    <s v="08/01/2025 10:31"/>
  </r>
  <r>
    <x v="1"/>
    <x v="1"/>
    <n v="200"/>
    <n v="1"/>
    <n v="0"/>
    <s v="EQU59"/>
    <n v="200"/>
    <n v="0"/>
    <s v="ร้านที่2"/>
    <s v="ป***ี๊ด"/>
    <s v="เทศบาลนครนครราชสีมา"/>
    <s v="-"/>
    <s v=""/>
    <s v="08/01/2025 10:21"/>
    <s v="-"/>
    <s v="J&amp;T COD"/>
    <s v="Tiktok"/>
    <s v="จ่ายทีหลัง / COD"/>
    <s v=""/>
    <s v="754440443050"/>
    <s v="08/01/2025 10:21"/>
  </r>
  <r>
    <x v="1"/>
    <x v="1"/>
    <n v="200"/>
    <n v="1"/>
    <n v="0"/>
    <s v="EQU58"/>
    <n v="200"/>
    <n v="0"/>
    <s v="ร้านที่2"/>
    <s v="ค***อย"/>
    <s v="นครนายก"/>
    <s v="-"/>
    <s v=""/>
    <s v="08/01/2025 10:13"/>
    <s v="-"/>
    <s v="J&amp;T COD"/>
    <s v="Tiktok"/>
    <s v="จ่ายทีหลัง / COD"/>
    <s v=""/>
    <s v="754489443046"/>
    <s v="08/01/2025 10:13"/>
  </r>
  <r>
    <x v="19"/>
    <x v="19"/>
    <n v="225"/>
    <n v="2"/>
    <n v="0"/>
    <s v="EQU57"/>
    <n v="514"/>
    <n v="64"/>
    <s v="ร้านที่2"/>
    <s v="ป******ี"/>
    <s v="******นประชาสัมพันธ์ ตำบลช้างคลาน ตำบลช้างคลาน อำเภอเมืองเชียงใหม่ จังหวัดเชียงใหม่ 50100"/>
    <s v="50100"/>
    <s v="73"/>
    <s v="08/01/2025 10:10"/>
    <s v="-"/>
    <s v="SPX Express"/>
    <s v="Shopee"/>
    <s v="shopee"/>
    <s v=""/>
    <s v="TH258053833625I"/>
    <s v="08/01/2025 10:08"/>
  </r>
  <r>
    <x v="0"/>
    <x v="0"/>
    <n v="100"/>
    <n v="3"/>
    <n v="0"/>
    <s v="EQU56"/>
    <n v="300"/>
    <n v="0"/>
    <s v="ร้านที่1"/>
    <s v="ส***นทา ข***ษ์"/>
    <s v="พิจิตร"/>
    <s v="-"/>
    <s v=""/>
    <s v="08/01/2025 10:03"/>
    <s v="-"/>
    <s v="J&amp;T Express"/>
    <s v="Tiktok"/>
    <s v="tiktok"/>
    <s v=""/>
    <s v="754456622054"/>
    <s v="08/01/2025 10:03"/>
  </r>
  <r>
    <x v="4"/>
    <x v="4"/>
    <n v="100"/>
    <n v="1"/>
    <n v="0"/>
    <s v="EQU55"/>
    <n v="200"/>
    <n v="0"/>
    <s v="ร้านที่4"/>
    <s v="ว***า เ***ทองสุข"/>
    <s v="ปราจีนบุรี"/>
    <s v="-"/>
    <s v=""/>
    <s v="08/01/2025 10:01"/>
    <s v="-"/>
    <s v="Flash Express Thailand COD"/>
    <s v="Tiktok"/>
    <s v="จ่ายทีหลัง / COD"/>
    <s v=""/>
    <s v="THT25011ECK8X9Z"/>
    <s v="08/01/2025 10:01"/>
  </r>
  <r>
    <x v="0"/>
    <x v="0"/>
    <n v="100"/>
    <n v="1"/>
    <n v="0"/>
    <s v="EQU55"/>
    <n v="200"/>
    <n v="0"/>
    <s v="ร้านที่4"/>
    <s v="ว***า เ***ทองสุข"/>
    <s v="ปราจีนบุรี"/>
    <s v="-"/>
    <s v=""/>
    <s v="08/01/2025 10:01"/>
    <s v="-"/>
    <s v="Flash Express Thailand COD"/>
    <s v="Tiktok"/>
    <s v="จ่ายทีหลัง / COD"/>
    <s v=""/>
    <s v="THT25011ECK8X9Z"/>
    <s v="08/01/2025 10:01"/>
  </r>
  <r>
    <x v="29"/>
    <x v="36"/>
    <n v="400"/>
    <n v="1"/>
    <n v="0"/>
    <s v="EQU54"/>
    <n v="400"/>
    <n v="0"/>
    <s v="ร้านที่4"/>
    <s v="แ***อม"/>
    <s v="กาญจนบุรี"/>
    <s v="-"/>
    <s v=""/>
    <s v="08/01/2025 09:58"/>
    <s v="-"/>
    <s v="Flash Express Thailand"/>
    <s v="Tiktok"/>
    <s v="tiktok"/>
    <s v=""/>
    <s v="THT13071ECAFP5Z"/>
    <s v="08/01/2025 09:58"/>
  </r>
  <r>
    <x v="0"/>
    <x v="0"/>
    <n v="100"/>
    <n v="1"/>
    <n v="0"/>
    <s v="EQU53"/>
    <n v="106"/>
    <n v="6"/>
    <s v="ร้านที่1"/>
    <s v="จ***รนต์ ค***ม"/>
    <s v="ชลบุรี"/>
    <s v="-"/>
    <s v=""/>
    <s v="08/01/2025 09:55"/>
    <s v="-"/>
    <s v="J&amp;T COD"/>
    <s v="Tiktok"/>
    <s v="จ่ายทีหลัง / COD"/>
    <s v=""/>
    <s v="754440113066"/>
    <s v="08/01/2025 09:56"/>
  </r>
  <r>
    <x v="3"/>
    <x v="3"/>
    <n v="100"/>
    <n v="13"/>
    <n v="0"/>
    <s v="EQU52"/>
    <n v="1300"/>
    <n v="0"/>
    <s v="ร้านที่4"/>
    <s v="ส***ลี  ภ***งแก้ว"/>
    <s v="สระบุรี"/>
    <s v="-"/>
    <s v=""/>
    <s v="08/01/2025 09:53"/>
    <s v="-"/>
    <s v="Flash Express Thailand COD"/>
    <s v="Tiktok"/>
    <s v="จ่ายทีหลัง / COD"/>
    <s v=""/>
    <s v="THT10021ECP3F0Z"/>
    <s v="08/01/2025 09:53"/>
  </r>
  <r>
    <x v="10"/>
    <x v="10"/>
    <n v="200"/>
    <n v="1"/>
    <n v="0"/>
    <s v="EQU51"/>
    <n v="200"/>
    <n v="0"/>
    <s v="ร้านที่4"/>
    <s v="ส***ญญา  ค***ุปผา"/>
    <s v="พระนครศรีอยุธยา"/>
    <s v="-"/>
    <s v=""/>
    <s v="08/01/2025 09:52"/>
    <s v="-"/>
    <s v="Flash Express Thailand COD"/>
    <s v="Tiktok"/>
    <s v="จ่ายทีหลัง / COD"/>
    <s v=""/>
    <s v="THT05041ECM7B7Z"/>
    <s v="08/01/2025 09:53"/>
  </r>
  <r>
    <x v="19"/>
    <x v="34"/>
    <n v="141.81"/>
    <n v="1"/>
    <n v="0"/>
    <s v="EQU50"/>
    <n v="141.81"/>
    <n v="0"/>
    <s v="ร้านที่9"/>
    <s v="สุภาพร  วงษ์เหม"/>
    <s v="15/4 หมู่ 14. ซอย6 สายจัตวา หลังวัดวงษ์เพชร_x000a__x000a_เมืองลพบุรี/ Mueang Lop Buriลพบุรี/ Lopburi_x000a_15210"/>
    <s v="15210"/>
    <s v="660919034881"/>
    <s v="08/01/2025 09:46"/>
    <s v="-"/>
    <s v="Kerry_dropoff"/>
    <s v="Lazada"/>
    <s v="lazada"/>
    <s v=""/>
    <s v="LEXDO0124288210"/>
    <s v="08/01/2025 09:46"/>
  </r>
  <r>
    <x v="0"/>
    <x v="0"/>
    <n v="100"/>
    <n v="1"/>
    <n v="0"/>
    <s v="EQU49"/>
    <n v="200"/>
    <n v="0"/>
    <s v="ร้านที่4"/>
    <s v="จ***นุตม์  แ***แสง"/>
    <s v="แพร่"/>
    <s v="-"/>
    <s v=""/>
    <s v="08/01/2025 09:45"/>
    <s v="-"/>
    <s v="Flash Express Thailand COD"/>
    <s v="Tiktok"/>
    <s v="จ่ายทีหลัง / COD"/>
    <s v=""/>
    <s v="THT51041ECJZR1Z"/>
    <s v="08/01/2025 09:45"/>
  </r>
  <r>
    <x v="9"/>
    <x v="4"/>
    <n v="100"/>
    <n v="1"/>
    <n v="0"/>
    <s v="EQU49"/>
    <n v="200"/>
    <n v="0"/>
    <s v="ร้านที่4"/>
    <s v="จ***นุตม์  แ***แสง"/>
    <s v="แพร่"/>
    <s v="-"/>
    <s v=""/>
    <s v="08/01/2025 09:45"/>
    <s v="-"/>
    <s v="Flash Express Thailand COD"/>
    <s v="Tiktok"/>
    <s v="จ่ายทีหลัง / COD"/>
    <s v=""/>
    <s v="THT51041ECJZR1Z"/>
    <s v="08/01/2025 09:45"/>
  </r>
  <r>
    <x v="30"/>
    <x v="40"/>
    <n v="112.44"/>
    <n v="1"/>
    <n v="0"/>
    <s v="EQU48"/>
    <n v="117.44"/>
    <n v="5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8/01/2025 09:42"/>
    <s v="-"/>
    <s v="Kerry_dropoff"/>
    <s v="Lazada"/>
    <s v="lazada"/>
    <s v=""/>
    <s v="TH49026PDS1V3D"/>
    <s v="08/01/2025 09:42"/>
  </r>
  <r>
    <x v="19"/>
    <x v="27"/>
    <n v="220"/>
    <n v="1"/>
    <n v="0"/>
    <s v="EQU47"/>
    <n v="220"/>
    <n v="0"/>
    <s v="ร้านที่10"/>
    <s v="ไพฑูรย์ ใจยะตา"/>
    <s v="108ม.6 หมู่บ้านทุ่งสำราญ · สากเหล็ก/ Sak Lek_x000a__x000a_สากเหล็ก/ Sak Lekพิจิตร/ Phichit_x000a_66160"/>
    <s v="66160"/>
    <s v="660935436481"/>
    <s v="08/01/2025 09:41"/>
    <s v="-"/>
    <s v="Kerry_dropoff"/>
    <s v="Lazada"/>
    <s v="lazada"/>
    <s v=""/>
    <s v="LEXDO0124288373"/>
    <s v="08/01/2025 09:40"/>
  </r>
  <r>
    <x v="13"/>
    <x v="30"/>
    <n v="119.84"/>
    <n v="1"/>
    <n v="0"/>
    <s v="EQU46"/>
    <n v="124.84"/>
    <n v="5"/>
    <s v="ร้านที่9"/>
    <s v="อลงกรณ์  วงษ์คำหาญ"/>
    <s v="353/297 หมู่บ้านเดอะคอนเนค 7/1 ถ.เทิดราชัน สีกัน ดอนเมือง กทม 10210 · สีกัน/ Si Kan_x000a__x000a_ดอนเมือง/ Don Mueangกรุงเทพมหานคร/ Bangkok_x000a_10210"/>
    <s v="10210"/>
    <s v="660812502516"/>
    <s v="08/01/2025 09:39"/>
    <s v="-"/>
    <s v="Kerry_dropoff"/>
    <s v="Lazada"/>
    <s v="lazada"/>
    <s v=""/>
    <s v="LEXDO0124282419"/>
    <s v="08/01/2025 09:37"/>
  </r>
  <r>
    <x v="31"/>
    <x v="41"/>
    <n v="25.5"/>
    <n v="1"/>
    <n v="0"/>
    <s v="EQU45"/>
    <n v="25.5"/>
    <n v="0"/>
    <s v="ร้านที่1"/>
    <s v="jsมายด์"/>
    <s v="บ้านอยู่ข้างศาลากลางหมู่บ้านหลังคาสีม่วงหมู่ 3 บ้านหนองไทรตำบลหนองน้ำใส 30140 · หนองน้ำใส/ Nong Nam Sai_x000a__x000a_สีคิ้ว/ Sikhioนครราชสีมา/ Nakhon Ratchasima_x000a_30140"/>
    <s v="30140"/>
    <s v="660623691807"/>
    <s v="08/01/2025 09:41"/>
    <s v="-"/>
    <s v="Kerry_dropoff"/>
    <s v="Lazada"/>
    <s v="lazada"/>
    <s v=""/>
    <s v="LEXPU0443744038"/>
    <s v="08/01/2025 09:37"/>
  </r>
  <r>
    <x v="0"/>
    <x v="0"/>
    <n v="100"/>
    <n v="2"/>
    <n v="0"/>
    <s v="EQU44"/>
    <n v="200"/>
    <n v="0"/>
    <s v="ร้านที่4"/>
    <s v="ร***นัทกับภูมิ"/>
    <s v="พะเยา"/>
    <s v="-"/>
    <s v=""/>
    <s v="08/01/2025 09:37"/>
    <s v="-"/>
    <s v="Flash Express Thailand COD"/>
    <s v="Tiktok"/>
    <s v="จ่ายทีหลัง / COD"/>
    <s v=""/>
    <s v="THT53011ECKW85Z"/>
    <s v="08/01/2025 09:37"/>
  </r>
  <r>
    <x v="4"/>
    <x v="4"/>
    <n v="100"/>
    <n v="1"/>
    <n v="0"/>
    <s v="EQU43"/>
    <n v="100"/>
    <n v="0"/>
    <s v="ร้านที่2"/>
    <s v="จ***กริช บ***ผู้ใหญ่สัญญา"/>
    <s v="นครปฐม"/>
    <s v="-"/>
    <s v=""/>
    <s v="08/01/2025 09:30"/>
    <s v="-"/>
    <s v="J&amp;T COD"/>
    <s v="Tiktok"/>
    <s v="จ่ายทีหลัง / COD"/>
    <s v=""/>
    <s v="754489335014"/>
    <s v="08/01/2025 09:30"/>
  </r>
  <r>
    <x v="24"/>
    <x v="26"/>
    <n v="447.27"/>
    <n v="1"/>
    <n v="0"/>
    <s v="EQU42"/>
    <n v="461.27"/>
    <n v="14"/>
    <s v="ร้านที่9"/>
    <s v="นางสาวพวงชมพู  พันธุวร"/>
    <s v="สำนักงานเขตพื้นที่การศึกษาประถมศึกษาหนองคาย เขต 1_x000a__x000a_เมืองหนองคาย/ Mueang Nong Khaiหนองคาย/ Nong Khai_x000a_43000"/>
    <s v="43000"/>
    <s v="660972244594"/>
    <s v="08/01/2025 09:30"/>
    <s v="-"/>
    <s v="Kerry_dropoff"/>
    <s v="Lazada"/>
    <s v="lazada"/>
    <s v=""/>
    <s v="LEXDO0124284629"/>
    <s v="08/01/2025 09:30"/>
  </r>
  <r>
    <x v="10"/>
    <x v="10"/>
    <n v="200"/>
    <n v="1"/>
    <n v="0"/>
    <s v="EQU41"/>
    <n v="200"/>
    <n v="0"/>
    <s v="ร้านที่4"/>
    <s v="ส* ป***มผล"/>
    <s v="เทศบาลเมืองจันทบุรี"/>
    <s v="-"/>
    <s v=""/>
    <s v="08/01/2025 09:28"/>
    <s v="-"/>
    <s v="Flash Express Thailand COD"/>
    <s v="Tiktok"/>
    <s v="จ่ายทีหลัง / COD"/>
    <s v=""/>
    <s v="THT22101ECM621Z"/>
    <s v="08/01/2025 09:28"/>
  </r>
  <r>
    <x v="10"/>
    <x v="10"/>
    <n v="200"/>
    <n v="1"/>
    <n v="0"/>
    <s v="EQU40"/>
    <n v="200"/>
    <n v="0"/>
    <s v="ร้านที่4"/>
    <s v="ช***ร ฉ***"/>
    <s v="สุราษฎร์ธานี"/>
    <s v="-"/>
    <s v=""/>
    <s v="08/01/2025 09:25"/>
    <s v="-"/>
    <s v="Flash Express Thailand COD"/>
    <s v="Tiktok"/>
    <s v="จ่ายทีหลัง / COD"/>
    <s v=""/>
    <s v="THT68171ECYET6Z"/>
    <s v="08/01/2025 09:25"/>
  </r>
  <r>
    <x v="5"/>
    <x v="5"/>
    <n v="330"/>
    <n v="2"/>
    <n v="0"/>
    <s v="EQU39"/>
    <n v="660"/>
    <n v="0"/>
    <s v="ร้านที่1"/>
    <s v="ธ***ักษณ์"/>
    <s v="ฉะเชิงเทรา"/>
    <s v="-"/>
    <s v=""/>
    <s v="08/01/2025 09:22"/>
    <s v="-"/>
    <s v="J&amp;T COD"/>
    <s v="Tiktok"/>
    <s v="จ่ายทีหลัง / COD"/>
    <s v="ขอฝอยทอง5กล่องนะค่ะ"/>
    <s v="754426831034"/>
    <s v="08/01/2025 09:22"/>
  </r>
  <r>
    <x v="1"/>
    <x v="1"/>
    <n v="200"/>
    <n v="1"/>
    <n v="0"/>
    <s v="EQU38"/>
    <n v="200"/>
    <n v="0"/>
    <s v="ร้านที่1"/>
    <s v="ส***พรย์ แ***ศิริ"/>
    <s v="อุดรธานี"/>
    <s v="-"/>
    <s v=""/>
    <s v="08/01/2025 09:21"/>
    <s v="-"/>
    <s v="Flash Express Thailand COD"/>
    <s v="Tiktok"/>
    <s v="จ่ายทีหลัง / COD"/>
    <s v=""/>
    <s v="THT38091ECSUA8Z"/>
    <s v="08/01/2025 09:21"/>
  </r>
  <r>
    <x v="0"/>
    <x v="0"/>
    <n v="100"/>
    <n v="1"/>
    <n v="0"/>
    <s v="EQU37"/>
    <n v="100"/>
    <n v="0"/>
    <s v="ร้านที่2"/>
    <s v="ฟ**"/>
    <s v="นครสวรรค์"/>
    <s v="-"/>
    <s v=""/>
    <s v="08/01/2025 09:16"/>
    <s v="-"/>
    <s v="J&amp;T COD"/>
    <s v="Tiktok"/>
    <s v="จ่ายทีหลัง / COD"/>
    <s v=""/>
    <s v="754431227023"/>
    <s v="08/01/2025 09:16"/>
  </r>
  <r>
    <x v="3"/>
    <x v="3"/>
    <n v="100"/>
    <n v="2"/>
    <n v="0"/>
    <s v="EQU36"/>
    <n v="200"/>
    <n v="0"/>
    <s v="ร้านที่4"/>
    <s v="L***phet C***grod"/>
    <s v="เพชรบุรี"/>
    <s v="-"/>
    <s v=""/>
    <s v="08/01/2025 09:04"/>
    <s v="-"/>
    <s v="Flash Express Thailand COD"/>
    <s v="Tiktok"/>
    <s v="จ่ายทีหลัง / COD"/>
    <s v=""/>
    <s v="THT18011ECF2B3Z"/>
    <s v="08/01/2025 09:04"/>
  </r>
  <r>
    <x v="29"/>
    <x v="36"/>
    <n v="400"/>
    <n v="1"/>
    <n v="0"/>
    <s v="EQU35"/>
    <n v="400"/>
    <n v="0"/>
    <s v="ร้านที่1"/>
    <s v="ก***าพัชร ภ***ง"/>
    <s v="เทศบาลเมืองมุกดาหาร"/>
    <s v="-"/>
    <s v=""/>
    <s v="08/01/2025 09:00"/>
    <s v="-"/>
    <s v="J&amp;T COD"/>
    <s v="Tiktok"/>
    <s v="จ่ายทีหลัง / COD"/>
    <s v=""/>
    <s v="754421535011"/>
    <s v="08/01/2025 09:00"/>
  </r>
  <r>
    <x v="9"/>
    <x v="4"/>
    <n v="100"/>
    <n v="1"/>
    <n v="0"/>
    <s v="EQU34"/>
    <n v="200"/>
    <n v="0"/>
    <s v="ร้านที่4"/>
    <s v="น** ป***ชาติ  อ***รมหา"/>
    <s v="ระยอง"/>
    <s v="-"/>
    <s v=""/>
    <s v="08/01/2025 09:00"/>
    <s v="-"/>
    <s v="Flash Express Thailand COD"/>
    <s v="Tiktok"/>
    <s v="จ่ายทีหลัง / COD"/>
    <s v=""/>
    <s v="THT21051ECM379Z"/>
    <s v="08/01/2025 09:00"/>
  </r>
  <r>
    <x v="4"/>
    <x v="4"/>
    <n v="100"/>
    <n v="1"/>
    <n v="0"/>
    <s v="EQU34"/>
    <n v="200"/>
    <n v="0"/>
    <s v="ร้านที่4"/>
    <s v="น** ป***ชาติ  อ***รมหา"/>
    <s v="ระยอง"/>
    <s v="-"/>
    <s v=""/>
    <s v="08/01/2025 09:00"/>
    <s v="-"/>
    <s v="Flash Express Thailand COD"/>
    <s v="Tiktok"/>
    <s v="จ่ายทีหลัง / COD"/>
    <s v=""/>
    <s v="THT21051ECM379Z"/>
    <s v="08/01/2025 09:00"/>
  </r>
  <r>
    <x v="5"/>
    <x v="5"/>
    <n v="330"/>
    <n v="1"/>
    <n v="0"/>
    <s v="EQU33"/>
    <n v="330"/>
    <n v="0"/>
    <s v="ร้านที่1"/>
    <s v="ร*** ห*** ห*** ซ***ปอร์สโตร์"/>
    <s v="อุดรธานี"/>
    <s v="-"/>
    <s v=""/>
    <s v="08/01/2025 08:56"/>
    <s v="-"/>
    <s v="J&amp;T Express"/>
    <s v="Tiktok"/>
    <s v="tiktok"/>
    <s v=""/>
    <s v="754422237063"/>
    <s v="08/01/2025 08:56"/>
  </r>
  <r>
    <x v="0"/>
    <x v="0"/>
    <n v="100"/>
    <n v="1"/>
    <n v="0"/>
    <s v="EQU32"/>
    <n v="106"/>
    <n v="6"/>
    <s v="ร้านที่1"/>
    <s v="บ***ร    ว***ะ"/>
    <s v="ศรีสะเกษ"/>
    <s v="-"/>
    <s v=""/>
    <s v="08/01/2025 08:47"/>
    <s v="-"/>
    <s v="J&amp;T COD"/>
    <s v="Tiktok"/>
    <s v="จ่ายทีหลัง / COD"/>
    <s v=""/>
    <s v="754437916050"/>
    <s v="08/01/2025 08:47"/>
  </r>
  <r>
    <x v="4"/>
    <x v="4"/>
    <n v="100"/>
    <n v="1"/>
    <n v="0"/>
    <s v="EQU31"/>
    <n v="106"/>
    <n v="6"/>
    <s v="ร้านที่4"/>
    <s v="จ***์จุฑาอบเชย"/>
    <s v="กรุงเทพฯ"/>
    <s v="-"/>
    <s v=""/>
    <s v="08/01/2025 08:47"/>
    <s v="-"/>
    <s v="Flash Express Thailand COD"/>
    <s v="Tiktok"/>
    <s v="จ่ายทีหลัง / COD"/>
    <s v=""/>
    <s v="THT01301ECAUU7Z"/>
    <s v="08/01/2025 08:47"/>
  </r>
  <r>
    <x v="3"/>
    <x v="8"/>
    <n v="80.91"/>
    <n v="1"/>
    <n v="0"/>
    <s v="EQU30"/>
    <n v="85.91"/>
    <n v="5"/>
    <s v="ร้านที่6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8/01/2025 08:39"/>
    <s v="-"/>
    <s v="Kerry_dropoff"/>
    <s v="Lazada"/>
    <s v="lazada"/>
    <s v=""/>
    <s v="TH19016PD8EC9A"/>
    <s v="08/01/2025 08:39"/>
  </r>
  <r>
    <x v="21"/>
    <x v="21"/>
    <n v="149"/>
    <n v="1"/>
    <n v="0"/>
    <s v="EQU29"/>
    <n v="149"/>
    <n v="0"/>
    <s v="ร้านที่4"/>
    <s v="ส***วดี ใ***็นสุข"/>
    <s v="เทศบาลนครนครปฐม"/>
    <s v="-"/>
    <s v=""/>
    <s v="08/01/2025 08:33"/>
    <s v="-"/>
    <s v="Flash Express Thailand COD"/>
    <s v="Tiktok"/>
    <s v="จ่ายทีหลัง / COD"/>
    <s v=""/>
    <s v="THT15021ECKBK5Z"/>
    <s v="08/01/2025 08:33"/>
  </r>
  <r>
    <x v="0"/>
    <x v="0"/>
    <n v="100"/>
    <n v="1"/>
    <n v="0"/>
    <s v="EQU28"/>
    <n v="106"/>
    <n v="6"/>
    <s v="ร้านที่1"/>
    <s v="ล**"/>
    <s v="กรุงเทพฯ"/>
    <s v="-"/>
    <s v=""/>
    <s v="08/01/2025 08:30"/>
    <s v="-"/>
    <s v="J&amp;T COD"/>
    <s v="Tiktok"/>
    <s v="จ่ายทีหลัง / COD"/>
    <s v=""/>
    <s v="754438026016"/>
    <s v="08/01/2025 08:31"/>
  </r>
  <r>
    <x v="3"/>
    <x v="3"/>
    <n v="100"/>
    <n v="1"/>
    <n v="0"/>
    <s v="EQU27"/>
    <n v="106"/>
    <n v="6"/>
    <s v="ร้านที่2"/>
    <s v="ร***สัก N*** t***oo"/>
    <s v="นครราชสีมา"/>
    <s v="-"/>
    <s v=""/>
    <s v="08/01/2025 08:28"/>
    <s v="-"/>
    <s v="J&amp;T COD"/>
    <s v="Tiktok"/>
    <s v="จ่ายทีหลัง / COD"/>
    <s v=""/>
    <s v="754407937006"/>
    <s v="08/01/2025 08:28"/>
  </r>
  <r>
    <x v="10"/>
    <x v="10"/>
    <n v="200"/>
    <n v="1"/>
    <n v="0"/>
    <s v="EQU26"/>
    <n v="200"/>
    <n v="0"/>
    <s v="ร้านที่2"/>
    <s v="อ*** ท***พิ่ม"/>
    <s v="ลพบุรี"/>
    <s v="-"/>
    <s v=""/>
    <s v="08/01/2025 08:28"/>
    <s v="-"/>
    <s v="J&amp;T Express"/>
    <s v="Tiktok"/>
    <s v="tiktok"/>
    <s v=""/>
    <s v="754431234060"/>
    <s v="08/01/2025 08:27"/>
  </r>
  <r>
    <x v="1"/>
    <x v="1"/>
    <n v="200"/>
    <n v="1"/>
    <n v="0"/>
    <s v="EQU24"/>
    <n v="200"/>
    <n v="0"/>
    <s v="ร้านที่1"/>
    <s v="ข***ฐา พ***นํ้า"/>
    <s v="ปราจีนบุรี"/>
    <s v="-"/>
    <s v=""/>
    <s v="08/01/2025 08:20"/>
    <s v="-"/>
    <s v="J&amp;T Express"/>
    <s v="Tiktok"/>
    <s v="tiktok"/>
    <s v=""/>
    <s v="754477248044"/>
    <s v="08/01/2025 08:19"/>
  </r>
  <r>
    <x v="19"/>
    <x v="34"/>
    <n v="142.31"/>
    <n v="1"/>
    <n v="0"/>
    <s v="EQU23"/>
    <n v="147.31"/>
    <n v="5"/>
    <s v="ร้านที่9"/>
    <s v="อภิวัฒนา จันทร์สว่าง"/>
    <s v="บ้านเลขที่96ซอยรามคำแหง62. แยกย่อย 1/7 ถนนรามคำแหง หัวหมาก เขตบางกะปิ กทม.10240 · คลองจั่น/ Khlong Chan_x000a__x000a_บางกะปิ/ Bang Kapiกรุงเทพมหานคร/ Bangkok_x000a_10240"/>
    <s v="10240"/>
    <s v="660891831313"/>
    <s v="08/01/2025 08:18"/>
    <s v="-"/>
    <s v="Kerry_dropoff"/>
    <s v="Lazada"/>
    <s v="lazada"/>
    <s v=""/>
    <s v="LEXDO0124288110"/>
    <s v="08/01/2025 08:18"/>
  </r>
  <r>
    <x v="1"/>
    <x v="1"/>
    <n v="200"/>
    <n v="1"/>
    <n v="0"/>
    <s v="EQU22"/>
    <n v="200"/>
    <n v="0"/>
    <s v="ร้านที่1"/>
    <s v="อ***รวิไล"/>
    <s v="ลพบุรี"/>
    <s v="-"/>
    <s v=""/>
    <s v="08/01/2025 08:18"/>
    <s v="-"/>
    <s v="J&amp;T COD"/>
    <s v="Tiktok"/>
    <s v="จ่ายทีหลัง / COD"/>
    <s v=""/>
    <s v="754491741006"/>
    <s v="08/01/2025 08:18"/>
  </r>
  <r>
    <x v="4"/>
    <x v="4"/>
    <n v="100"/>
    <n v="1"/>
    <n v="0"/>
    <s v="EQU21"/>
    <n v="300"/>
    <n v="0"/>
    <s v="ร้านที่4"/>
    <s v="น**"/>
    <s v="เทศบาลนครนครราชสีมา"/>
    <s v="-"/>
    <s v=""/>
    <s v="08/01/2025 08:12"/>
    <s v="-"/>
    <s v="Flash Express Thailand COD"/>
    <s v="Tiktok"/>
    <s v="จ่ายทีหลัง / COD"/>
    <s v=""/>
    <s v="THT27011ECJM79Z"/>
    <s v="08/01/2025 08:13"/>
  </r>
  <r>
    <x v="3"/>
    <x v="3"/>
    <n v="100"/>
    <n v="2"/>
    <n v="0"/>
    <s v="EQU21"/>
    <n v="300"/>
    <n v="0"/>
    <s v="ร้านที่4"/>
    <s v="น**"/>
    <s v="เทศบาลนครนครราชสีมา"/>
    <s v="-"/>
    <s v=""/>
    <s v="08/01/2025 08:12"/>
    <s v="-"/>
    <s v="Flash Express Thailand COD"/>
    <s v="Tiktok"/>
    <s v="จ่ายทีหลัง / COD"/>
    <s v=""/>
    <s v="THT27011ECJM79Z"/>
    <s v="08/01/2025 08:13"/>
  </r>
  <r>
    <x v="10"/>
    <x v="10"/>
    <n v="200"/>
    <n v="1"/>
    <n v="0"/>
    <s v="EQU20"/>
    <n v="200"/>
    <n v="0"/>
    <s v="ร้านที่4"/>
    <s v="ป***ัสสร"/>
    <s v="สมุทรปราการ"/>
    <s v="-"/>
    <s v=""/>
    <s v="08/01/2025 08:08"/>
    <s v="-"/>
    <s v="Flash Express Thailand COD"/>
    <s v="Tiktok"/>
    <s v="จ่ายทีหลัง / COD"/>
    <s v=""/>
    <s v="THT02041ECJ285Z"/>
    <s v="08/01/2025 08:09"/>
  </r>
  <r>
    <x v="3"/>
    <x v="3"/>
    <n v="150"/>
    <n v="1"/>
    <n v="0"/>
    <s v="EQU19"/>
    <n v="179"/>
    <n v="29"/>
    <s v="ร้านที่2"/>
    <s v="อ******า"/>
    <s v="******, หมู่ที่ 9, ตำบลเชียงรากน้อย, อำเภอบางปะอิน ตำบลเชียงรากน้อย อำเภอบางปะอิน จังหวัดพระนครศรีอยุธยา 13180"/>
    <s v="13180"/>
    <s v="09"/>
    <s v="08/01/2025 08:08"/>
    <s v="-"/>
    <s v="SPX Express"/>
    <s v="Shopee"/>
    <s v="shopee"/>
    <s v=""/>
    <s v="TH254880562214K"/>
    <s v="08/01/2025 08:08"/>
  </r>
  <r>
    <x v="13"/>
    <x v="30"/>
    <n v="119.84"/>
    <n v="1"/>
    <n v="0"/>
    <s v="EQU18"/>
    <n v="124.84"/>
    <n v="5"/>
    <s v="ร้านที่9"/>
    <s v="ดวงกมล เจตนาไทกุล"/>
    <s v="21/306 ม.พฤกษา 21 ซ.6/1 ถ.บ้านใหม่ ต.บางแม่นาง อ.บางใหญ่_x000a__x000a_บางใหญ่/ Bang Yaiนนทบุรี/ Nonthaburi_x000a_11140"/>
    <s v="11140"/>
    <s v="660894901689"/>
    <s v="08/01/2025 08:04"/>
    <s v="-"/>
    <s v="Kerry_dropoff"/>
    <s v="Lazada"/>
    <s v="lazada"/>
    <s v=""/>
    <s v="LEXDO0124282617"/>
    <s v="08/01/2025 08:04"/>
  </r>
  <r>
    <x v="32"/>
    <x v="42"/>
    <n v="195.2"/>
    <n v="1"/>
    <n v="0"/>
    <s v="EQU17"/>
    <n v="195.2"/>
    <n v="0"/>
    <s v="ร้านที่10"/>
    <s v="ละออง เเก้วสูงเนิน"/>
    <s v="ซอยเขาเทพนม 205/1 ม. 19 · คลองลานพัฒนา/ Khlong Lan Phatthana_x000a__x000a_คลองลาน/ Khlong Lanกำแพงเพชร/ Kamphaeng Phet_x000a_62180"/>
    <s v="62180"/>
    <s v="660649026902"/>
    <s v="08/01/2025 08:00"/>
    <s v="-"/>
    <s v="Kerry_dropoff"/>
    <s v="Lazada"/>
    <s v="lazada"/>
    <s v=""/>
    <s v="-"/>
    <s v="08/01/2025 08:00"/>
  </r>
  <r>
    <x v="5"/>
    <x v="5"/>
    <n v="350"/>
    <n v="1"/>
    <n v="0"/>
    <s v="EQU16"/>
    <n v="450"/>
    <n v="0"/>
    <s v="ร้านที่4"/>
    <s v="อ** ไ***่ง"/>
    <s v="นครราชสีมา"/>
    <s v="-"/>
    <s v=""/>
    <s v="08/01/2025 07:58"/>
    <s v="-"/>
    <s v="Flash Express Thailand COD"/>
    <s v="Tiktok"/>
    <s v="จ่ายทีหลัง / COD"/>
    <s v=""/>
    <s v="THT27141ECNVU5Z"/>
    <s v="08/01/2025 07:58"/>
  </r>
  <r>
    <x v="0"/>
    <x v="0"/>
    <n v="100"/>
    <n v="1"/>
    <n v="0"/>
    <s v="EQU16"/>
    <n v="450"/>
    <n v="0"/>
    <s v="ร้านที่4"/>
    <s v="อ** ไ***่ง"/>
    <s v="นครราชสีมา"/>
    <s v="-"/>
    <s v=""/>
    <s v="08/01/2025 07:58"/>
    <s v="-"/>
    <s v="Flash Express Thailand COD"/>
    <s v="Tiktok"/>
    <s v="จ่ายทีหลัง / COD"/>
    <s v=""/>
    <s v="THT27141ECNVU5Z"/>
    <s v="08/01/2025 07:58"/>
  </r>
  <r>
    <x v="33"/>
    <x v="43"/>
    <n v="400"/>
    <n v="1"/>
    <n v="0"/>
    <s v="EQU15"/>
    <n v="400"/>
    <n v="0"/>
    <s v="ร้านที่1"/>
    <s v="อ***ี   แ***สม"/>
    <s v="สงขลา"/>
    <s v="-"/>
    <s v=""/>
    <s v="08/01/2025 07:50"/>
    <s v="-"/>
    <s v="J&amp;T COD"/>
    <s v="Tiktok"/>
    <s v="จ่ายทีหลัง / COD"/>
    <s v=""/>
    <s v="754460724054"/>
    <s v="08/01/2025 07:50"/>
  </r>
  <r>
    <x v="0"/>
    <x v="0"/>
    <n v="100"/>
    <n v="2"/>
    <n v="0"/>
    <s v="EQU14"/>
    <n v="200"/>
    <n v="0"/>
    <s v="ร้านที่1"/>
    <s v="น***​ ม***ธรรม"/>
    <s v="กระบี่"/>
    <s v="-"/>
    <s v=""/>
    <s v="08/01/2025 07:35"/>
    <s v="-"/>
    <s v="J&amp;T COD"/>
    <s v="Tiktok"/>
    <s v="จ่ายทีหลัง / COD"/>
    <s v=""/>
    <s v="754486312086"/>
    <s v="08/01/2025 07:35"/>
  </r>
  <r>
    <x v="19"/>
    <x v="34"/>
    <n v="119.84"/>
    <n v="1"/>
    <n v="0"/>
    <s v="EQU13"/>
    <n v="124.84"/>
    <n v="5"/>
    <s v="ร้านที่9"/>
    <s v="กมลวรรณ สกุลชาติ"/>
    <s v="66/45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8/01/2025 07:28"/>
    <s v="-"/>
    <s v="Kerry_dropoff"/>
    <s v="Lazada"/>
    <s v="lazada"/>
    <s v=""/>
    <s v="LEXDO0124288171"/>
    <s v="08/01/2025 07:28"/>
  </r>
  <r>
    <x v="13"/>
    <x v="30"/>
    <n v="119.84"/>
    <n v="1"/>
    <n v="0"/>
    <s v="EQU12"/>
    <n v="124.84"/>
    <n v="5"/>
    <s v="ร้านที่9"/>
    <s v="กัลยาณี วันทวี"/>
    <s v="149หมู่1 · ห้วยแถลง/ Huai Thalaeng_x000a__x000a_ห้วยแถลง/ Huai Thalaengนครราชสีมา/ Nakhon Ratchasima_x000a_30240"/>
    <s v="30240"/>
    <s v="660910372233"/>
    <s v="08/01/2025 07:22"/>
    <s v="-"/>
    <s v="Kerry_dropoff"/>
    <s v="Lazada"/>
    <s v="lazada"/>
    <s v=""/>
    <s v="TH27166PDT4M7A"/>
    <s v="08/01/2025 07:22"/>
  </r>
  <r>
    <x v="13"/>
    <x v="30"/>
    <n v="142.31"/>
    <n v="1"/>
    <n v="0"/>
    <s v="EQU11"/>
    <n v="147.31"/>
    <n v="5"/>
    <s v="ร้านที่9"/>
    <s v="พิลาวรรณ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08/01/2025 07:22"/>
    <s v="-"/>
    <s v="Kerry_dropoff"/>
    <s v="Lazada"/>
    <s v="lazada"/>
    <s v=""/>
    <s v="TH44086PDT063J"/>
    <s v="08/01/2025 07:22"/>
  </r>
  <r>
    <x v="9"/>
    <x v="4"/>
    <n v="100"/>
    <n v="1"/>
    <n v="0"/>
    <s v="EQU10"/>
    <n v="200"/>
    <n v="0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8/01/2025 07:10"/>
    <s v="-"/>
    <s v="Flash Express Thailand COD"/>
    <s v="Tiktok"/>
    <s v="จ่ายทีหลัง / COD"/>
    <s v=""/>
    <s v="THT02011EADCU0Z"/>
    <s v="08/01/2025 07:11"/>
  </r>
  <r>
    <x v="4"/>
    <x v="4"/>
    <n v="100"/>
    <n v="1"/>
    <n v="0"/>
    <s v="EQU10"/>
    <n v="200"/>
    <n v="0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8/01/2025 07:10"/>
    <s v="-"/>
    <s v="Flash Express Thailand COD"/>
    <s v="Tiktok"/>
    <s v="จ่ายทีหลัง / COD"/>
    <s v=""/>
    <s v="THT02011EADCU0Z"/>
    <s v="08/01/2025 07:11"/>
  </r>
  <r>
    <x v="10"/>
    <x v="10"/>
    <n v="200"/>
    <n v="1"/>
    <n v="0"/>
    <s v="EQU9"/>
    <n v="200"/>
    <n v="0"/>
    <s v="ร้านที่2"/>
    <s v="ศ***พร"/>
    <s v="เพชรบูรณ์"/>
    <s v="-"/>
    <s v=""/>
    <s v="08/01/2025 06:53"/>
    <s v="-"/>
    <s v="J&amp;T COD"/>
    <s v="Tiktok"/>
    <s v="จ่ายทีหลัง / COD"/>
    <s v=""/>
    <s v="754361438854"/>
    <s v="08/01/2025 06:53"/>
  </r>
  <r>
    <x v="0"/>
    <x v="0"/>
    <n v="100"/>
    <n v="1"/>
    <n v="0"/>
    <s v="EQU8"/>
    <n v="106"/>
    <n v="6"/>
    <s v="ร้านที่2"/>
    <s v="ท***ัลย์  เ***สวัสวิ์"/>
    <s v="ฉะเชิงเทรา"/>
    <s v="-"/>
    <s v=""/>
    <s v="08/01/2025 06:51"/>
    <s v="-"/>
    <s v="J&amp;T COD"/>
    <s v="Tiktok"/>
    <s v="จ่ายทีหลัง / COD"/>
    <s v=""/>
    <s v="754324125844"/>
    <s v="08/01/2025 06:51"/>
  </r>
  <r>
    <x v="1"/>
    <x v="1"/>
    <n v="200"/>
    <n v="1"/>
    <n v="0"/>
    <s v="EQU7"/>
    <n v="200"/>
    <n v="0"/>
    <s v="ร้านที่2"/>
    <s v="น***าวอุณาภรณ์ พ***สิทธิ์"/>
    <s v="หนองบัวลำภู"/>
    <s v="-"/>
    <s v=""/>
    <s v="08/01/2025 06:36"/>
    <s v="-"/>
    <s v="J&amp;T COD"/>
    <s v="Tiktok"/>
    <s v="จ่ายทีหลัง / COD"/>
    <s v=""/>
    <s v="754399241853"/>
    <s v="08/01/2025 06:36"/>
  </r>
  <r>
    <x v="0"/>
    <x v="0"/>
    <n v="100"/>
    <n v="1"/>
    <n v="0"/>
    <s v="EQU6"/>
    <n v="156"/>
    <n v="56"/>
    <s v="ร้านที่2"/>
    <s v="แ***"/>
    <s v="เชียงราย"/>
    <s v="-"/>
    <s v=""/>
    <s v="08/01/2025 06:35"/>
    <s v="-"/>
    <s v="J&amp;T COD"/>
    <s v="Tiktok"/>
    <s v="จ่ายทีหลัง / COD"/>
    <s v=""/>
    <s v="754396234815"/>
    <s v="08/01/2025 06:35"/>
  </r>
  <r>
    <x v="0"/>
    <x v="0"/>
    <n v="100"/>
    <n v="1"/>
    <n v="0"/>
    <s v="EQU5"/>
    <n v="169"/>
    <n v="0"/>
    <s v="ร้านที่1"/>
    <s v="ค***อ้"/>
    <s v="กาญจนบุรี"/>
    <s v="-"/>
    <s v=""/>
    <s v="08/01/2025 06:30"/>
    <s v="-"/>
    <s v="J&amp;T Express"/>
    <s v="Tiktok"/>
    <s v="tiktok"/>
    <s v=""/>
    <s v="754365915870"/>
    <s v="08/01/2025 06:29"/>
  </r>
  <r>
    <x v="19"/>
    <x v="34"/>
    <n v="104.86"/>
    <n v="1"/>
    <n v="0"/>
    <s v="EQU4"/>
    <n v="214.72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8/01/2025 06:25"/>
    <s v="-"/>
    <s v="Kerry_dropoff"/>
    <s v="Lazada"/>
    <s v="lazada"/>
    <s v=""/>
    <s v="TH19046P9CSG9B"/>
    <s v="08/01/2025 06:25"/>
  </r>
  <r>
    <x v="19"/>
    <x v="34"/>
    <n v="104.86"/>
    <n v="1"/>
    <n v="0"/>
    <s v="EQU4"/>
    <n v="214.72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8/01/2025 06:25"/>
    <s v="-"/>
    <s v="Kerry_dropoff"/>
    <s v="Lazada"/>
    <s v="lazada"/>
    <s v=""/>
    <s v="TH19046P9CSG9B"/>
    <s v="08/01/2025 06:25"/>
  </r>
  <r>
    <x v="10"/>
    <x v="10"/>
    <n v="200"/>
    <n v="1"/>
    <n v="0"/>
    <s v="EQU2"/>
    <n v="200"/>
    <n v="0"/>
    <s v="ร้านที่2"/>
    <s v="ส***ัว เ***นเงิน"/>
    <s v="นครสวรรค์"/>
    <s v="-"/>
    <s v=""/>
    <s v="08/01/2025 06:05"/>
    <s v="-"/>
    <s v="J&amp;T COD"/>
    <s v="Tiktok"/>
    <s v="จ่ายทีหลัง / COD"/>
    <s v=""/>
    <s v="754328834840"/>
    <s v="08/01/2025 06:05"/>
  </r>
  <r>
    <x v="4"/>
    <x v="4"/>
    <n v="100"/>
    <n v="2"/>
    <n v="0"/>
    <s v="EQU0"/>
    <n v="200"/>
    <n v="0"/>
    <s v="ร้านที่1"/>
    <s v="ภ***ร  ป***ิษฐค่าย"/>
    <s v="พระนครศรีอยุธยา"/>
    <s v="-"/>
    <s v=""/>
    <s v="08/01/2025 05:49"/>
    <s v="-"/>
    <s v="J&amp;T COD"/>
    <s v="Tiktok"/>
    <s v="จ่ายทีหลัง / COD"/>
    <s v=""/>
    <s v="754344424820"/>
    <s v="08/01/2025 05:50"/>
  </r>
  <r>
    <x v="9"/>
    <x v="4"/>
    <n v="100"/>
    <n v="1"/>
    <n v="0"/>
    <s v="EQT99"/>
    <n v="106"/>
    <n v="6"/>
    <s v="ร้านที่2"/>
    <s v="น***จิราพัชร ค***วี"/>
    <s v="สงขลา"/>
    <s v="-"/>
    <s v=""/>
    <s v="08/01/2025 05:41"/>
    <s v="-"/>
    <s v="J&amp;T COD"/>
    <s v="Tiktok"/>
    <s v="จ่ายทีหลัง / COD"/>
    <s v=""/>
    <s v="754304438893"/>
    <s v="08/01/2025 05:41"/>
  </r>
  <r>
    <x v="1"/>
    <x v="1"/>
    <n v="200"/>
    <n v="1"/>
    <n v="0"/>
    <s v="EQT98"/>
    <n v="200"/>
    <n v="0"/>
    <s v="ร้านที่2"/>
    <s v="ธ***มัย น***ักษ์"/>
    <s v="พังงา"/>
    <s v="-"/>
    <s v=""/>
    <s v="08/01/2025 05:24"/>
    <s v="-"/>
    <s v="J&amp;T COD"/>
    <s v="Tiktok"/>
    <s v="จ่ายทีหลัง / COD"/>
    <s v=""/>
    <s v="754301743812"/>
    <s v="08/01/2025 05:24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5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13"/>
    <x v="30"/>
    <n v="116.84"/>
    <n v="1"/>
    <n v="0"/>
    <s v="EQT97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21:53"/>
    <s v="-"/>
    <s v="Kerry_dropoff"/>
    <s v="Lazada"/>
    <s v="lazada"/>
    <s v=""/>
    <s v="-"/>
    <s v="08/01/2025 05:22"/>
  </r>
  <r>
    <x v="0"/>
    <x v="0"/>
    <n v="100"/>
    <n v="1"/>
    <n v="0"/>
    <s v="EQT96"/>
    <n v="106"/>
    <n v="6"/>
    <s v="ร้านที่2"/>
    <s v="เ***ยบ จ***รา"/>
    <s v="เลย"/>
    <s v="-"/>
    <s v=""/>
    <s v="08/01/2025 05:21"/>
    <s v="-"/>
    <s v="J&amp;T COD"/>
    <s v="Tiktok"/>
    <s v="จ่ายทีหลัง / COD"/>
    <s v=""/>
    <s v="754319321851"/>
    <s v="08/01/2025 05:21"/>
  </r>
  <r>
    <x v="19"/>
    <x v="34"/>
    <n v="112.35"/>
    <n v="1"/>
    <n v="0"/>
    <s v="EQT95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08/01/2025 05:08"/>
    <s v="-"/>
    <s v="Kerry_dropoff"/>
    <s v="Lazada"/>
    <s v="lazada"/>
    <s v=""/>
    <s v="TH14056P9DX56H"/>
    <s v="08/01/2025 05:08"/>
  </r>
  <r>
    <x v="0"/>
    <x v="0"/>
    <n v="100"/>
    <n v="1"/>
    <n v="0"/>
    <s v="EQT94"/>
    <n v="145"/>
    <n v="45"/>
    <s v="ร้านที่1"/>
    <s v="L**"/>
    <s v="ปทุมธานี"/>
    <s v="-"/>
    <s v=""/>
    <s v="08/01/2025 04:53"/>
    <s v="-"/>
    <s v="J&amp;T COD"/>
    <s v="Tiktok"/>
    <s v="จ่ายทีหลัง / COD"/>
    <s v=""/>
    <s v="754310921862"/>
    <s v="08/01/2025 04:53"/>
  </r>
  <r>
    <x v="13"/>
    <x v="13"/>
    <n v="230"/>
    <n v="1"/>
    <n v="0"/>
    <s v="EQT92"/>
    <n v="259"/>
    <n v="29"/>
    <s v="ร้านที่2"/>
    <s v="ช******ล"/>
    <s v="******เอน, อำเภออินทร์บุรี ตำบลทองเอน อำเภออินทร์บุรี จังหวัดสิงห์บุรี 16110"/>
    <s v="16110"/>
    <s v="62"/>
    <s v="08/01/2025 04:08"/>
    <s v="-"/>
    <s v="Flash Express"/>
    <s v="Shopee"/>
    <s v="shopee"/>
    <s v=""/>
    <s v="TH08066P8MDX6H"/>
    <s v="08/01/2025 04:08"/>
  </r>
  <r>
    <x v="1"/>
    <x v="1"/>
    <n v="200"/>
    <n v="1"/>
    <n v="0"/>
    <s v="EQT91"/>
    <n v="200"/>
    <n v="0"/>
    <s v="ร้านที่2"/>
    <s v="S***atthanak S**"/>
    <s v="Rayong"/>
    <s v="-"/>
    <s v=""/>
    <s v="08/01/2025 03:56"/>
    <s v="-"/>
    <s v="J&amp;T COD"/>
    <s v="Tiktok"/>
    <s v="จ่ายทีหลัง / COD"/>
    <s v=""/>
    <s v="754302441885"/>
    <s v="08/01/2025 03:56"/>
  </r>
  <r>
    <x v="0"/>
    <x v="0"/>
    <n v="100"/>
    <n v="1"/>
    <n v="0"/>
    <s v="EQT90"/>
    <n v="106"/>
    <n v="6"/>
    <s v="ร้านที่1"/>
    <s v="ส***ญ โ***นธ์"/>
    <s v="ศรีสะเกษ"/>
    <s v="-"/>
    <s v=""/>
    <s v="08/01/2025 03:50"/>
    <s v="-"/>
    <s v="J&amp;T COD"/>
    <s v="Tiktok"/>
    <s v="จ่ายทีหลัง / COD"/>
    <s v=""/>
    <s v="754306730800"/>
    <s v="08/01/2025 03:50"/>
  </r>
  <r>
    <x v="3"/>
    <x v="44"/>
    <n v="132.47"/>
    <n v="1"/>
    <n v="0"/>
    <s v="EQT89"/>
    <n v="137.47"/>
    <n v="5"/>
    <s v="ร้านที่1"/>
    <s v="อัมพา  สุวรรณ"/>
    <s v="291/1ม.10ต.ยุหว่า  อ.สันป่าตอง  จ.เชียงใหม่_x000a__x000a_สันป่าตอง/ San Pa Tongเชียงใหม่/ Chiang Mai_x000a_50120"/>
    <s v="50120"/>
    <s v="660850354427"/>
    <s v="08/01/2025 03:36"/>
    <s v="-"/>
    <s v="Kerry_dropoff"/>
    <s v="Lazada"/>
    <s v="lazada"/>
    <s v=""/>
    <s v="LEXPU0443391172"/>
    <s v="08/01/2025 03:36"/>
  </r>
  <r>
    <x v="10"/>
    <x v="10"/>
    <n v="200"/>
    <n v="1"/>
    <n v="0"/>
    <s v="EQT87"/>
    <n v="200"/>
    <n v="0"/>
    <s v="ร้านที่2"/>
    <s v="อ***นา ศ***รงผล"/>
    <s v="สมุทรสาคร"/>
    <s v="-"/>
    <s v=""/>
    <s v="08/01/2025 02:43"/>
    <s v="-"/>
    <s v="J&amp;T Express"/>
    <s v="Tiktok"/>
    <s v="tiktok"/>
    <s v=""/>
    <s v="754300438850"/>
    <s v="08/01/2025 02:43"/>
  </r>
  <r>
    <x v="0"/>
    <x v="0"/>
    <n v="100"/>
    <n v="1"/>
    <n v="0"/>
    <s v="EQT85"/>
    <n v="106"/>
    <n v="6"/>
    <s v="ร้านที่1"/>
    <s v="ว***รา ว***ยโย"/>
    <s v="กรุงเทพฯ"/>
    <s v="-"/>
    <s v=""/>
    <s v="08/01/2025 01:05"/>
    <s v="-"/>
    <s v="J&amp;T Express"/>
    <s v="Tiktok"/>
    <s v="tiktok"/>
    <s v=""/>
    <s v="754355124843"/>
    <s v="08/01/2025 01:08"/>
  </r>
  <r>
    <x v="0"/>
    <x v="0"/>
    <n v="100"/>
    <n v="2"/>
    <n v="0"/>
    <s v="EQT84"/>
    <n v="200"/>
    <n v="0"/>
    <s v="ร้านที่4"/>
    <s v="ภ***พรรณ"/>
    <s v="Chanthaburi"/>
    <s v="-"/>
    <s v=""/>
    <s v="08/01/2025 00:54"/>
    <s v="-"/>
    <s v="Flash Express Thailand"/>
    <s v="Tiktok"/>
    <s v="tiktok"/>
    <s v=""/>
    <s v="THT22081E9MD51Z"/>
    <s v="08/01/2025 00:54"/>
  </r>
  <r>
    <x v="24"/>
    <x v="26"/>
    <n v="413.86"/>
    <n v="1"/>
    <n v="0"/>
    <s v="EQT83"/>
    <n v="427.86"/>
    <n v="1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8/01/2025 00:49"/>
    <s v="-"/>
    <s v="Kerry_dropoff"/>
    <s v="Lazada"/>
    <s v="lazada"/>
    <s v=""/>
    <s v="LEXDO0124222547"/>
    <s v="08/01/2025 00:49"/>
  </r>
  <r>
    <x v="10"/>
    <x v="10"/>
    <n v="200"/>
    <n v="1"/>
    <n v="0"/>
    <s v="EQT82"/>
    <n v="200"/>
    <n v="0"/>
    <s v="ร้านที่4"/>
    <s v="ไ***ร น***ยสีทอง"/>
    <s v="สุพรรณบุรี"/>
    <s v="-"/>
    <s v=""/>
    <s v="08/01/2025 00:47"/>
    <s v="-"/>
    <s v="Flash Express Thailand COD"/>
    <s v="Tiktok"/>
    <s v="จ่ายทีหลัง / COD"/>
    <s v=""/>
    <s v="THT14011EA05P1Z"/>
    <s v="08/01/2025 00:47"/>
  </r>
  <r>
    <x v="3"/>
    <x v="3"/>
    <n v="100"/>
    <n v="1"/>
    <n v="0"/>
    <s v="EQT81"/>
    <n v="200"/>
    <n v="0"/>
    <s v="ร้านที่1"/>
    <s v="จ***ียร"/>
    <s v="ปทุมธานี"/>
    <s v="-"/>
    <s v=""/>
    <s v="08/01/2025 00:47"/>
    <s v="-"/>
    <s v="J&amp;T Express"/>
    <s v="Tiktok"/>
    <s v="tiktok"/>
    <s v=""/>
    <s v="754348229832"/>
    <s v="08/01/2025 00:47"/>
  </r>
  <r>
    <x v="4"/>
    <x v="4"/>
    <n v="100"/>
    <n v="1"/>
    <n v="0"/>
    <s v="EQT81"/>
    <n v="200"/>
    <n v="0"/>
    <s v="ร้านที่1"/>
    <s v="จ***ียร"/>
    <s v="ปทุมธานี"/>
    <s v="-"/>
    <s v=""/>
    <s v="08/01/2025 00:47"/>
    <s v="-"/>
    <s v="J&amp;T Express"/>
    <s v="Tiktok"/>
    <s v="tiktok"/>
    <s v=""/>
    <s v="754348229832"/>
    <s v="08/01/2025 00:47"/>
  </r>
  <r>
    <x v="0"/>
    <x v="0"/>
    <n v="100"/>
    <n v="1"/>
    <n v="0"/>
    <s v="EQT80"/>
    <n v="145"/>
    <n v="45"/>
    <s v="ร้านที่1"/>
    <s v="ป**"/>
    <s v="ชลบุรี"/>
    <s v="-"/>
    <s v=""/>
    <s v="08/01/2025 00:38"/>
    <s v="-"/>
    <s v="J&amp;T Express"/>
    <s v="Tiktok"/>
    <s v="tiktok"/>
    <s v=""/>
    <s v="754356143800"/>
    <s v="08/01/2025 00:38"/>
  </r>
  <r>
    <x v="24"/>
    <x v="26"/>
    <n v="447.27"/>
    <n v="1"/>
    <n v="0"/>
    <s v="EQT77"/>
    <n v="461.27"/>
    <n v="14"/>
    <s v="ร้านที่9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08/01/2025 00:33"/>
    <s v="-"/>
    <s v="Kerry_dropoff"/>
    <s v="Lazada"/>
    <s v="lazada"/>
    <s v=""/>
    <s v="TH64036P9MEN1D"/>
    <s v="08/01/2025 00:33"/>
  </r>
  <r>
    <x v="0"/>
    <x v="0"/>
    <n v="100"/>
    <n v="2"/>
    <n v="0"/>
    <s v="EQT76"/>
    <n v="200"/>
    <n v="0"/>
    <s v="ร้านที่1"/>
    <s v="ท***วรรณ"/>
    <s v="ตาก"/>
    <s v="-"/>
    <s v=""/>
    <s v="08/01/2025 00:31"/>
    <s v="-"/>
    <s v="J&amp;T Express"/>
    <s v="Tiktok"/>
    <s v="tiktok"/>
    <s v=""/>
    <s v="754315049876"/>
    <s v="08/01/2025 00:31"/>
  </r>
  <r>
    <x v="0"/>
    <x v="0"/>
    <n v="100"/>
    <n v="1"/>
    <n v="0"/>
    <s v="EQT75"/>
    <n v="165"/>
    <n v="0"/>
    <s v="ร้านที่2"/>
    <s v="ป***าพร"/>
    <s v="บึงกาฬ"/>
    <s v="-"/>
    <s v=""/>
    <s v="08/01/2025 00:30"/>
    <s v="-"/>
    <s v="J&amp;T COD"/>
    <s v="Tiktok"/>
    <s v="จ่ายทีหลัง / COD"/>
    <s v=""/>
    <s v="754368100894"/>
    <s v="08/01/2025 00:31"/>
  </r>
  <r>
    <x v="7"/>
    <x v="7"/>
    <n v="74.400000000000006"/>
    <n v="1"/>
    <n v="0"/>
    <s v="EQT74"/>
    <n v="148.80000000000001"/>
    <n v="0"/>
    <s v="ร้านที่1"/>
    <s v="ฐิติพร พูลทอง"/>
    <s v="3 ถนนเทศบาล 8 ตำบลตลาดหลวง_x000a__x000a_เมืองอ่างทอง/ Mueang Ang Thongอ่างทอง/ Ang Thong_x000a_14000"/>
    <s v="14000"/>
    <s v=""/>
    <s v="-"/>
    <s v="-"/>
    <s v="Kerry_dropoff"/>
    <s v="Lazada"/>
    <s v="-"/>
    <s v=""/>
    <s v="-"/>
    <s v="08/01/2025 00:27"/>
  </r>
  <r>
    <x v="7"/>
    <x v="7"/>
    <n v="74.400000000000006"/>
    <n v="1"/>
    <n v="0"/>
    <s v="EQT74"/>
    <n v="148.80000000000001"/>
    <n v="0"/>
    <s v="ร้านที่1"/>
    <s v="ฐิติพร พูลทอง"/>
    <s v="3 ถนนเทศบาล 8 ตำบลตลาดหลวง_x000a__x000a_เมืองอ่างทอง/ Mueang Ang Thongอ่างทอง/ Ang Thong_x000a_14000"/>
    <s v="14000"/>
    <s v=""/>
    <s v="-"/>
    <s v="-"/>
    <s v="Kerry_dropoff"/>
    <s v="Lazada"/>
    <s v="-"/>
    <s v=""/>
    <s v="-"/>
    <s v="08/01/2025 00:27"/>
  </r>
  <r>
    <x v="0"/>
    <x v="0"/>
    <n v="100"/>
    <n v="1"/>
    <n v="0"/>
    <s v="EQT73"/>
    <n v="106"/>
    <n v="6"/>
    <s v="ร้านที่1"/>
    <s v="พ***ทธิ์   ม***งาม"/>
    <s v="ราชบุรี"/>
    <s v="-"/>
    <s v=""/>
    <s v="08/01/2025 00:25"/>
    <s v="-"/>
    <s v="J&amp;T COD"/>
    <s v="Tiktok"/>
    <s v="จ่ายทีหลัง / COD"/>
    <s v=""/>
    <s v="754326326843"/>
    <s v="08/01/2025 00:26"/>
  </r>
  <r>
    <x v="1"/>
    <x v="1"/>
    <n v="200"/>
    <n v="1"/>
    <n v="0"/>
    <s v="EQT70"/>
    <n v="200"/>
    <n v="0"/>
    <s v="ร้านที่4"/>
    <s v="ก***นี ร***ิติวิริยะ"/>
    <s v="แพร่"/>
    <s v="-"/>
    <s v=""/>
    <s v="08/01/2025 00:18"/>
    <s v="-"/>
    <s v="Flash Express Thailand"/>
    <s v="Tiktok"/>
    <s v="tiktok"/>
    <s v=""/>
    <s v="THT51011EAEV52Z"/>
    <s v="08/01/2025 00:24"/>
  </r>
  <r>
    <x v="3"/>
    <x v="3"/>
    <n v="100"/>
    <n v="2"/>
    <n v="0"/>
    <s v="EQT66"/>
    <n v="200"/>
    <n v="0"/>
    <s v="ร้านที่1"/>
    <s v="ต*** ศ***ิทธิ์"/>
    <s v="กรุงเทพฯ"/>
    <s v="-"/>
    <s v=""/>
    <s v="07/01/2025 23:47"/>
    <s v="-"/>
    <s v="J&amp;T Express"/>
    <s v="Tiktok"/>
    <s v="tiktok"/>
    <s v=""/>
    <s v="754300040863"/>
    <s v="07/01/2025 23:47"/>
  </r>
  <r>
    <x v="4"/>
    <x v="4"/>
    <n v="100"/>
    <n v="3"/>
    <n v="0"/>
    <s v="EQT65"/>
    <n v="300"/>
    <n v="0"/>
    <s v="ร้านที่4"/>
    <s v="ก***ร์"/>
    <s v="ฉะเชิงเทรา"/>
    <s v="-"/>
    <s v=""/>
    <s v="07/01/2025 23:35"/>
    <s v="-"/>
    <s v="Flash Express Thailand"/>
    <s v="Tiktok"/>
    <s v="tiktok"/>
    <s v=""/>
    <s v="THT24011E9P563Z"/>
    <s v="07/01/2025 23:34"/>
  </r>
  <r>
    <x v="10"/>
    <x v="10"/>
    <n v="200"/>
    <n v="1"/>
    <n v="0"/>
    <s v="EQT64"/>
    <n v="200"/>
    <n v="0"/>
    <s v="ร้านที่4"/>
    <s v="ช*** เ***เรียน"/>
    <s v="นครปฐม"/>
    <s v="-"/>
    <s v=""/>
    <s v="07/01/2025 23:22"/>
    <s v="-"/>
    <s v="Flash Express Thailand COD"/>
    <s v="Tiktok"/>
    <s v="จ่ายทีหลัง / COD"/>
    <s v=""/>
    <s v="THT15031EADAS4Z"/>
    <s v="07/01/2025 23:22"/>
  </r>
  <r>
    <x v="3"/>
    <x v="3"/>
    <n v="150"/>
    <n v="2"/>
    <n v="0"/>
    <s v="EQT63"/>
    <n v="335"/>
    <n v="35"/>
    <s v="ร้านที่1"/>
    <s v="ก******์"/>
    <s v="******3/3 ถ.ศรีนครินทร์ ต.บางเมือง อ.เมืองฯ จ.สมุทรปราการ 10270 ตำบลบางเมือง อำเภอเมืองสมุทรปราการ จังหวัดสมุทรปราการ 10270"/>
    <s v="10270"/>
    <s v="03"/>
    <s v="07/01/2025 23:16"/>
    <s v="-"/>
    <s v="Flash Express"/>
    <s v="Shopee"/>
    <s v="shopee"/>
    <s v=""/>
    <s v="TH02016P8TMY3C"/>
    <s v="07/01/2025 23:16"/>
  </r>
  <r>
    <x v="3"/>
    <x v="8"/>
    <n v="78.14"/>
    <n v="1"/>
    <n v="0"/>
    <s v="EQT62"/>
    <n v="78.14"/>
    <n v="0"/>
    <s v="ร้านที่6"/>
    <s v="ปุ้ย-ปภาดา"/>
    <s v="99/406 หมู่ 1 ซอย 9 A หมู่บ้านอมรชัย5 ต.บางน้ำจืด อ.เมือง_x000a__x000a_เมืองสมุทรสาคร/ Mueang Samut Sakhonสมุทรสาคร/ Samut Sakhon_x000a_74000"/>
    <s v="74000"/>
    <s v="660891309555"/>
    <s v="07/01/2025 23:03"/>
    <s v="-"/>
    <s v="Kerry_dropoff"/>
    <s v="Lazada"/>
    <s v="lazada"/>
    <s v=""/>
    <s v="LEXPU0443391513"/>
    <s v="07/01/2025 23:03"/>
  </r>
  <r>
    <x v="9"/>
    <x v="4"/>
    <n v="100"/>
    <n v="1"/>
    <n v="0"/>
    <s v="EQT61"/>
    <n v="200"/>
    <n v="0"/>
    <s v="ร้านที่2"/>
    <s v="ข***ตา ผ***ดี"/>
    <s v="สุรินทร์"/>
    <s v="-"/>
    <s v=""/>
    <s v="07/01/2025 23:04"/>
    <s v="-"/>
    <s v="J&amp;T Express"/>
    <s v="Tiktok"/>
    <s v="tiktok"/>
    <s v=""/>
    <s v="754359217861"/>
    <s v="07/01/2025 23:03"/>
  </r>
  <r>
    <x v="0"/>
    <x v="0"/>
    <n v="100"/>
    <n v="1"/>
    <n v="0"/>
    <s v="EQT61"/>
    <n v="200"/>
    <n v="0"/>
    <s v="ร้านที่2"/>
    <s v="ข***ตา ผ***ดี"/>
    <s v="สุรินทร์"/>
    <s v="-"/>
    <s v=""/>
    <s v="07/01/2025 23:04"/>
    <s v="-"/>
    <s v="J&amp;T Express"/>
    <s v="Tiktok"/>
    <s v="tiktok"/>
    <s v=""/>
    <s v="754359217861"/>
    <s v="07/01/2025 23:03"/>
  </r>
  <r>
    <x v="19"/>
    <x v="34"/>
    <n v="119.84"/>
    <n v="1"/>
    <n v="0"/>
    <s v="EQT60"/>
    <n v="239.68"/>
    <n v="0"/>
    <s v="ร้านที่9"/>
    <s v="นภาลัย ไทรฟัก"/>
    <s v="ม.1 ต.สว่างอารมณ์_x000a__x000a_สว่างอารมณ์/ Sawang Aromอุทัยธานี/ Uthai Thani_x000a_61150"/>
    <s v="61150"/>
    <s v="660891697798"/>
    <s v="07/01/2025 22:56"/>
    <s v="-"/>
    <s v="Kerry_dropoff"/>
    <s v="Lazada"/>
    <s v="lazada"/>
    <s v=""/>
    <s v="TH57036P9CHA0A"/>
    <s v="07/01/2025 22:56"/>
  </r>
  <r>
    <x v="19"/>
    <x v="34"/>
    <n v="119.84"/>
    <n v="1"/>
    <n v="0"/>
    <s v="EQT60"/>
    <n v="239.68"/>
    <n v="0"/>
    <s v="ร้านที่9"/>
    <s v="นภาลัย ไทรฟัก"/>
    <s v="ม.1 ต.สว่างอารมณ์_x000a__x000a_สว่างอารมณ์/ Sawang Aromอุทัยธานี/ Uthai Thani_x000a_61150"/>
    <s v="61150"/>
    <s v="660891697798"/>
    <s v="07/01/2025 22:56"/>
    <s v="-"/>
    <s v="Kerry_dropoff"/>
    <s v="Lazada"/>
    <s v="lazada"/>
    <s v=""/>
    <s v="TH57036P9CHA0A"/>
    <s v="07/01/2025 22:56"/>
  </r>
  <r>
    <x v="10"/>
    <x v="10"/>
    <n v="200"/>
    <n v="1"/>
    <n v="0"/>
    <s v="EQT59"/>
    <n v="200"/>
    <n v="0"/>
    <s v="ร้านที่2"/>
    <s v="ภ***ทิพย์ ร***ประเสริฐพร"/>
    <s v="เลย"/>
    <s v="-"/>
    <s v=""/>
    <s v="07/01/2025 22:49"/>
    <s v="-"/>
    <s v="J&amp;T COD"/>
    <s v="Tiktok"/>
    <s v="จ่ายทีหลัง / COD"/>
    <s v=""/>
    <s v="754399831846"/>
    <s v="07/01/2025 22:49"/>
  </r>
  <r>
    <x v="3"/>
    <x v="8"/>
    <n v="78.14"/>
    <n v="1"/>
    <n v="0"/>
    <s v="EQT58"/>
    <n v="290.04000000000002"/>
    <n v="14"/>
    <s v="ร้านที่6"/>
    <s v="เวภิกา ทองขาว"/>
    <s v="299/30 เคหะร่มเกล้า33_x000a__x000a_ลาดกระบัง/ Lat Krabangกรุงเทพมหานคร/ Bangkok_x000a_10520"/>
    <s v="10520"/>
    <s v="660640103792"/>
    <s v="07/01/2025 22:48"/>
    <s v="-"/>
    <s v="Kerry_dropoff"/>
    <s v="Lazada"/>
    <s v="lazada"/>
    <s v=""/>
    <s v="BSTPU041937328"/>
    <s v="07/01/2025 22:48"/>
  </r>
  <r>
    <x v="3"/>
    <x v="8"/>
    <n v="74.88"/>
    <n v="1"/>
    <n v="0"/>
    <s v="EQT57"/>
    <n v="94.8"/>
    <n v="5"/>
    <s v="ร้านที่6"/>
    <s v="ทิวาพร วงษ์พานิช"/>
    <s v="308 วัดห้วยบง หมู่ 3 · ศรีวิชัย/ Si Wichai_x000a__x000a_ลี้/ Liลำพูน/ Lamphun_x000a_51110"/>
    <s v="51110"/>
    <s v="660907312382"/>
    <s v="07/01/2025 22:48"/>
    <s v="-"/>
    <s v="Kerry_dropoff"/>
    <s v="Lazada"/>
    <s v="lazada"/>
    <s v=""/>
    <s v="520004281053"/>
    <s v="07/01/2025 22:48"/>
  </r>
  <r>
    <x v="0"/>
    <x v="0"/>
    <n v="100"/>
    <n v="1"/>
    <n v="0"/>
    <s v="EQT56"/>
    <n v="145"/>
    <n v="45"/>
    <s v="ร้านที่2"/>
    <s v="พ***ต เ***สัจจา"/>
    <s v="พะเยา"/>
    <s v="-"/>
    <s v=""/>
    <s v="07/01/2025 22:43"/>
    <s v="-"/>
    <s v="J&amp;T COD"/>
    <s v="Tiktok"/>
    <s v="จ่ายทีหลัง / COD"/>
    <s v=""/>
    <s v="754370038822"/>
    <s v="07/01/2025 22:43"/>
  </r>
  <r>
    <x v="1"/>
    <x v="1"/>
    <n v="200"/>
    <n v="1"/>
    <n v="0"/>
    <s v="EQT55"/>
    <n v="200"/>
    <n v="0"/>
    <s v="ร้านที่2"/>
    <s v="p***ินทร ฤ***สําราญ"/>
    <s v="นนทบุรี"/>
    <s v="-"/>
    <s v=""/>
    <s v="07/01/2025 22:35"/>
    <s v="-"/>
    <s v="J&amp;T COD"/>
    <s v="Tiktok"/>
    <s v="จ่ายทีหลัง / COD"/>
    <s v=""/>
    <s v="754378446883"/>
    <s v="07/01/2025 22:35"/>
  </r>
  <r>
    <x v="19"/>
    <x v="34"/>
    <n v="102.36"/>
    <n v="1"/>
    <n v="0"/>
    <s v="EQT54"/>
    <n v="209.72"/>
    <n v="5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07/01/2025 22:24"/>
    <s v="-"/>
    <s v="Kerry_dropoff"/>
    <s v="Lazada"/>
    <s v="lazada"/>
    <s v=""/>
    <s v="LEXDO0124221531"/>
    <s v="07/01/2025 22:24"/>
  </r>
  <r>
    <x v="19"/>
    <x v="34"/>
    <n v="102.36"/>
    <n v="1"/>
    <n v="0"/>
    <s v="EQT54"/>
    <n v="209.72"/>
    <n v="5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07/01/2025 22:24"/>
    <s v="-"/>
    <s v="Kerry_dropoff"/>
    <s v="Lazada"/>
    <s v="lazada"/>
    <s v=""/>
    <s v="LEXDO0124221531"/>
    <s v="07/01/2025 22:24"/>
  </r>
  <r>
    <x v="3"/>
    <x v="3"/>
    <n v="150"/>
    <n v="1"/>
    <n v="0"/>
    <s v="EQT51"/>
    <n v="600"/>
    <n v="0"/>
    <s v="ร้านที่2"/>
    <s v="ว******์"/>
    <s v="******านกรด  (ซอย 14) ตำบลบ้านกรด อำเภอบางปะอิน จังหวัดพระนครศรีอยุธยา 13160"/>
    <s v="13160"/>
    <s v="90"/>
    <s v="07/01/2025 22:47"/>
    <s v="-"/>
    <s v="Flash Express"/>
    <s v="Shopee"/>
    <s v="shopee"/>
    <s v=""/>
    <s v="TH05066P8Y8S3D"/>
    <s v="07/01/2025 22:17"/>
  </r>
  <r>
    <x v="19"/>
    <x v="19"/>
    <n v="225"/>
    <n v="2"/>
    <n v="0"/>
    <s v="EQT51"/>
    <n v="600"/>
    <n v="0"/>
    <s v="ร้านที่2"/>
    <s v="ว******์"/>
    <s v="******านกรด  (ซอย 14) ตำบลบ้านกรด อำเภอบางปะอิน จังหวัดพระนครศรีอยุธยา 13160"/>
    <s v="13160"/>
    <s v="90"/>
    <s v="07/01/2025 22:47"/>
    <s v="-"/>
    <s v="Flash Express"/>
    <s v="Shopee"/>
    <s v="shopee"/>
    <s v=""/>
    <s v="TH05066P8Y8S3D"/>
    <s v="07/01/2025 22:17"/>
  </r>
  <r>
    <x v="3"/>
    <x v="8"/>
    <n v="74.680000000000007"/>
    <n v="1"/>
    <n v="0"/>
    <s v="EQT50"/>
    <n v="79.680000000000007"/>
    <n v="5"/>
    <s v="ร้านที่6"/>
    <s v="น่านฟ้า"/>
    <s v="365/6 ม.2 ซอยบ้านควนมหาชัย · ควนศรี/ Khuan Si_x000a__x000a_บ้านนาสาร/ Ban Na Sanสุราษฎร์ธานี/ Surat Thani_x000a_84270"/>
    <s v="84270"/>
    <s v="660918260967"/>
    <s v="07/01/2025 22:15"/>
    <s v="-"/>
    <s v="Kerry_dropoff"/>
    <s v="Lazada"/>
    <s v="lazada"/>
    <s v=""/>
    <s v="TH68126P972J3F"/>
    <s v="07/01/2025 22:15"/>
  </r>
  <r>
    <x v="1"/>
    <x v="1"/>
    <n v="200"/>
    <n v="1"/>
    <n v="0"/>
    <s v="EQT49"/>
    <n v="285"/>
    <n v="0"/>
    <s v="ร้านที่4"/>
    <s v="ณ***ิกา บ***ูรณ์"/>
    <s v="พระนครศรีอยุธยา"/>
    <s v="-"/>
    <s v=""/>
    <s v="07/01/2025 22:13"/>
    <s v="-"/>
    <s v="Flash Express Thailand"/>
    <s v="Tiktok"/>
    <s v="tiktok"/>
    <s v=""/>
    <s v="THT05061EAESV8Z"/>
    <s v="07/01/2025 22:13"/>
  </r>
  <r>
    <x v="9"/>
    <x v="4"/>
    <n v="100"/>
    <n v="2"/>
    <n v="0"/>
    <s v="EQT48"/>
    <n v="200"/>
    <n v="0"/>
    <s v="ร้านที่1"/>
    <s v="น***วรรณ"/>
    <s v="เลย"/>
    <s v="-"/>
    <s v=""/>
    <s v="07/01/2025 22:10"/>
    <s v="-"/>
    <s v="J&amp;T COD"/>
    <s v="Tiktok"/>
    <s v="จ่ายทีหลัง / COD"/>
    <s v=""/>
    <s v="754390231840"/>
    <s v="07/01/2025 22:10"/>
  </r>
  <r>
    <x v="13"/>
    <x v="30"/>
    <n v="119.84"/>
    <n v="1"/>
    <n v="0"/>
    <s v="EQT45"/>
    <n v="124.84"/>
    <n v="5"/>
    <s v="ร้านที่9"/>
    <s v="ละอองเดือน"/>
    <s v="111/13 เอื้ออาทรบึงกุ่ม ซ.เสรีไทย43 · คลองกุ่ม/ Khlong Kum_x000a__x000a_บึงกุ่ม/ Bueng Kumกรุงเทพมหานคร/ Bangkok_x000a_10240"/>
    <s v="10240"/>
    <s v="660966399479"/>
    <s v="07/01/2025 22:09"/>
    <s v="-"/>
    <s v="Kerry_dropoff"/>
    <s v="Lazada"/>
    <s v="lazada"/>
    <s v=""/>
    <s v="LEXDO0124206267"/>
    <s v="07/01/2025 22:08"/>
  </r>
  <r>
    <x v="5"/>
    <x v="5"/>
    <n v="330"/>
    <n v="1"/>
    <n v="0"/>
    <s v="EQT43"/>
    <n v="330"/>
    <n v="0"/>
    <s v="ร้านที่1"/>
    <s v="ป***าย ส***พเพชร"/>
    <s v="ชัยภูมิ"/>
    <s v="-"/>
    <s v=""/>
    <s v="07/01/2025 21:59"/>
    <s v="-"/>
    <s v="Flash Express Thailand COD"/>
    <s v="Tiktok"/>
    <s v="จ่ายทีหลัง / COD"/>
    <s v=""/>
    <s v="THT33041EAD0H8Z"/>
    <s v="07/01/2025 21:59"/>
  </r>
  <r>
    <x v="19"/>
    <x v="34"/>
    <n v="142.31"/>
    <n v="1"/>
    <n v="0"/>
    <s v="EQT42"/>
    <n v="147.31"/>
    <n v="5"/>
    <s v="ร้านที่9"/>
    <s v="นายไพศาล ภู่ไพโรจน์นภาลัย"/>
    <s v="32 ถ.คุรุสามัคคี ต.ปากช่อง · ปากช่อง/ Pak Chong_x000a__x000a_ปากช่อง/ Pak Chongนครราชสีมา/ Nakhon Ratchasima_x000a_30130"/>
    <s v="30130"/>
    <s v="660842828770"/>
    <s v="07/01/2025 21:47"/>
    <s v="-"/>
    <s v="Kerry_dropoff"/>
    <s v="Lazada"/>
    <s v="lazada"/>
    <s v=""/>
    <s v="LEXDO0124222321"/>
    <s v="07/01/2025 21:47"/>
  </r>
  <r>
    <x v="3"/>
    <x v="3"/>
    <n v="100"/>
    <n v="1"/>
    <n v="0"/>
    <s v="EQT41"/>
    <n v="100"/>
    <n v="0"/>
    <s v="ร้านที่4"/>
    <s v="ส***าย  น***รรณ์"/>
    <s v="สุโขทัย"/>
    <s v="-"/>
    <s v=""/>
    <s v="07/01/2025 21:45"/>
    <s v="-"/>
    <s v="Flash Express Thailand COD"/>
    <s v="Tiktok"/>
    <s v="จ่ายทีหลัง / COD"/>
    <s v=""/>
    <s v="THT60071EAET82Z"/>
    <s v="07/01/2025 21:45"/>
  </r>
  <r>
    <x v="0"/>
    <x v="0"/>
    <n v="100"/>
    <n v="1"/>
    <n v="0"/>
    <s v="EQT40"/>
    <n v="106"/>
    <n v="6"/>
    <s v="ร้านที่4"/>
    <s v="ค***าย"/>
    <s v="ชลบุรี"/>
    <s v="-"/>
    <s v=""/>
    <s v="07/01/2025 21:42"/>
    <s v="-"/>
    <s v="Flash Express Thailand"/>
    <s v="Tiktok"/>
    <s v="tiktok"/>
    <s v=""/>
    <s v="THT20071E9AQQ3Z"/>
    <s v="07/01/2025 21:42"/>
  </r>
  <r>
    <x v="0"/>
    <x v="0"/>
    <n v="100"/>
    <n v="1"/>
    <n v="0"/>
    <s v="EQT39"/>
    <n v="129"/>
    <n v="29"/>
    <s v="ร้านที่1"/>
    <s v="น***รา อ***ผิว"/>
    <s v="สระบุรี"/>
    <s v="-"/>
    <s v=""/>
    <s v="07/01/2025 21:38"/>
    <s v="-"/>
    <s v="J&amp;T COD"/>
    <s v="Tiktok"/>
    <s v="จ่ายทีหลัง / COD"/>
    <s v=""/>
    <s v="754355524834"/>
    <s v="07/01/2025 21:39"/>
  </r>
  <r>
    <x v="1"/>
    <x v="1"/>
    <n v="200"/>
    <n v="1"/>
    <n v="0"/>
    <s v="EQT38"/>
    <n v="200"/>
    <n v="0"/>
    <s v="ร้านที่1"/>
    <s v="น***สวง ก***นประภา"/>
    <s v="กาฬสินธุ์"/>
    <s v="-"/>
    <s v=""/>
    <s v="07/01/2025 21:37"/>
    <s v="-"/>
    <s v="J&amp;T Express"/>
    <s v="Tiktok"/>
    <s v="tiktok"/>
    <s v=""/>
    <s v="754396247824"/>
    <s v="07/01/2025 21:37"/>
  </r>
  <r>
    <x v="0"/>
    <x v="0"/>
    <n v="100"/>
    <n v="1"/>
    <n v="0"/>
    <s v="EQT37"/>
    <n v="106"/>
    <n v="6"/>
    <s v="ร้านที่1"/>
    <s v="ณ***ุฒิ ห***กระโทก"/>
    <s v="เชียงใหม่"/>
    <s v="-"/>
    <s v=""/>
    <s v="07/01/2025 21:33"/>
    <s v="-"/>
    <s v="J&amp;T COD"/>
    <s v="Tiktok"/>
    <s v="จ่ายทีหลัง / COD"/>
    <s v=""/>
    <s v="754339039801"/>
    <s v="07/01/2025 21:34"/>
  </r>
  <r>
    <x v="0"/>
    <x v="0"/>
    <n v="100"/>
    <n v="2"/>
    <n v="0"/>
    <s v="EQT36"/>
    <n v="200"/>
    <n v="0"/>
    <s v="ร้านที่1"/>
    <s v="พ***ัย  ส***าลา"/>
    <s v="สระบุรี"/>
    <s v="-"/>
    <s v=""/>
    <s v="07/01/2025 21:22"/>
    <s v="-"/>
    <s v="J&amp;T COD"/>
    <s v="Tiktok"/>
    <s v="จ่ายทีหลัง / COD"/>
    <s v=""/>
    <s v="754343745805"/>
    <s v="07/01/2025 21:22"/>
  </r>
  <r>
    <x v="9"/>
    <x v="4"/>
    <n v="100"/>
    <n v="1"/>
    <n v="0"/>
    <s v="EQT35"/>
    <n v="106"/>
    <n v="6"/>
    <s v="ร้านที่1"/>
    <s v="ห*** ภ***วรรณ"/>
    <s v="กรุงเทพฯ"/>
    <s v="-"/>
    <s v=""/>
    <s v="07/01/2025 21:20"/>
    <s v="-"/>
    <s v="J&amp;T COD"/>
    <s v="Tiktok"/>
    <s v="จ่ายทีหลัง / COD"/>
    <s v=""/>
    <s v="754301845824"/>
    <s v="07/01/2025 21:21"/>
  </r>
  <r>
    <x v="19"/>
    <x v="34"/>
    <n v="127.42"/>
    <n v="1"/>
    <n v="0"/>
    <s v="EQT34"/>
    <n v="127.42"/>
    <n v="0"/>
    <s v="ร้านที่9"/>
    <s v="ชุติญาภัค ศุภดิฐโถคิน"/>
    <s v="52 หมู่ 9 ซ.รวมพลังรัก ต.หนองโอ่ง_x000a__x000a_อู่ทอง/ U Thongสุพรรณบุรี/ Suphanburi_x000a_72160"/>
    <s v="72160"/>
    <s v="660839095515"/>
    <s v="07/01/2025 21:20"/>
    <s v="-"/>
    <s v="Kerry_dropoff"/>
    <s v="Lazada"/>
    <s v="lazada"/>
    <s v=""/>
    <s v="LEXDO0124222085"/>
    <s v="07/01/2025 21:20"/>
  </r>
  <r>
    <x v="3"/>
    <x v="3"/>
    <n v="100"/>
    <n v="1"/>
    <n v="0"/>
    <s v="EQT33"/>
    <n v="200"/>
    <n v="0"/>
    <s v="ร้านที่1"/>
    <s v="ร***าพร ด***ร"/>
    <s v="สุรินทร์"/>
    <s v="-"/>
    <s v=""/>
    <s v="07/01/2025 21:19"/>
    <s v="-"/>
    <s v="J&amp;T COD"/>
    <s v="Tiktok"/>
    <s v="จ่ายทีหลัง / COD"/>
    <s v=""/>
    <s v="754375829841"/>
    <s v="07/01/2025 21:19"/>
  </r>
  <r>
    <x v="0"/>
    <x v="0"/>
    <n v="100"/>
    <n v="1"/>
    <n v="0"/>
    <s v="EQT33"/>
    <n v="200"/>
    <n v="0"/>
    <s v="ร้านที่1"/>
    <s v="ร***าพร ด***ร"/>
    <s v="สุรินทร์"/>
    <s v="-"/>
    <s v=""/>
    <s v="07/01/2025 21:19"/>
    <s v="-"/>
    <s v="J&amp;T COD"/>
    <s v="Tiktok"/>
    <s v="จ่ายทีหลัง / COD"/>
    <s v=""/>
    <s v="754375829841"/>
    <s v="07/01/2025 21:19"/>
  </r>
  <r>
    <x v="9"/>
    <x v="4"/>
    <n v="100"/>
    <n v="1"/>
    <n v="0"/>
    <s v="EQT32"/>
    <n v="106"/>
    <n v="6"/>
    <s v="ร้านที่1"/>
    <s v="ก***า ย***านนท์"/>
    <s v="เทศบาลนครนครราชสีมา"/>
    <s v="-"/>
    <s v=""/>
    <s v="07/01/2025 21:19"/>
    <s v="-"/>
    <s v="J&amp;T COD"/>
    <s v="Tiktok"/>
    <s v="จ่ายทีหลัง / COD"/>
    <s v=""/>
    <s v="754342432896"/>
    <s v="07/01/2025 21:19"/>
  </r>
  <r>
    <x v="3"/>
    <x v="3"/>
    <n v="150"/>
    <n v="1"/>
    <n v="0"/>
    <s v="EQT31"/>
    <n v="331"/>
    <n v="41"/>
    <s v="ร้านที่1"/>
    <s v="ว******์"/>
    <s v="******่าวัด, ตำบลโนนตาเถร, อำเภอโนนแดง ตำบลโนนตาเถร อำเภอโนนแดง จังหวัดนครราชสีมา 30360"/>
    <s v="30360"/>
    <s v="70"/>
    <s v="07/01/2025 21:19"/>
    <s v="-"/>
    <s v="Flash Express"/>
    <s v="Shopee"/>
    <s v="shopee"/>
    <s v=""/>
    <s v="TH27246P8SDY4B"/>
    <s v="07/01/2025 21:18"/>
  </r>
  <r>
    <x v="18"/>
    <x v="39"/>
    <n v="140"/>
    <n v="1"/>
    <n v="0"/>
    <s v="EQT31"/>
    <n v="331"/>
    <n v="41"/>
    <s v="ร้านที่1"/>
    <s v="ว******์"/>
    <s v="******่าวัด, ตำบลโนนตาเถร, อำเภอโนนแดง ตำบลโนนตาเถร อำเภอโนนแดง จังหวัดนครราชสีมา 30360"/>
    <s v="30360"/>
    <s v="70"/>
    <s v="07/01/2025 21:19"/>
    <s v="-"/>
    <s v="Flash Express"/>
    <s v="Shopee"/>
    <s v="shopee"/>
    <s v=""/>
    <s v="TH27246P8SDY4B"/>
    <s v="07/01/2025 21:18"/>
  </r>
  <r>
    <x v="9"/>
    <x v="4"/>
    <n v="100"/>
    <n v="1"/>
    <n v="0"/>
    <s v="EQT27"/>
    <n v="106"/>
    <n v="6"/>
    <s v="ร้านที่2"/>
    <s v="จ***พร ส***ุม"/>
    <s v="กรุงเทพฯ"/>
    <s v="-"/>
    <s v=""/>
    <s v="07/01/2025 21:07"/>
    <s v="-"/>
    <s v="J&amp;T COD"/>
    <s v="Tiktok"/>
    <s v="จ่ายทีหลัง / COD"/>
    <s v=""/>
    <s v="754314832891"/>
    <s v="07/01/2025 21:11"/>
  </r>
  <r>
    <x v="3"/>
    <x v="3"/>
    <n v="150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6"/>
    <x v="6"/>
    <n v="250"/>
    <n v="2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24"/>
    <x v="25"/>
    <n v="800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20"/>
    <x v="20"/>
    <n v="199"/>
    <n v="1"/>
    <n v="0"/>
    <s v="EQT26"/>
    <n v="1943"/>
    <n v="13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07/01/2025 21:09"/>
    <s v="-"/>
    <s v="Flash Express"/>
    <s v="Shopee"/>
    <s v="shopee"/>
    <s v=""/>
    <s v="TH30196P8R1W0D"/>
    <s v="07/01/2025 21:09"/>
  </r>
  <r>
    <x v="12"/>
    <x v="12"/>
    <n v="160"/>
    <n v="1"/>
    <n v="0"/>
    <s v="EQT25"/>
    <n v="160"/>
    <n v="0"/>
    <s v="ร้านที่1"/>
    <s v="ธ******า"/>
    <s v="****** เมือง จ สระบุรี ตำบลปากเพรียว อำเภอเมืองสระบุรี จังหวัดสระบุรี 18000"/>
    <s v="18000"/>
    <s v="36"/>
    <s v="07/01/2025 21:09"/>
    <s v="-"/>
    <s v="Flash Express"/>
    <s v="Shopee"/>
    <s v="shopee"/>
    <s v=""/>
    <s v="TH10016P8EQS8A"/>
    <s v="07/01/2025 21:09"/>
  </r>
  <r>
    <x v="19"/>
    <x v="34"/>
    <n v="112.35"/>
    <n v="1"/>
    <n v="0"/>
    <s v="EQT24"/>
    <n v="117.35"/>
    <n v="5"/>
    <s v="ร้านที่9"/>
    <s v="อมราภรณ์ ปากวิเศษ"/>
    <s v="บ้านเลขที่11หมู่1 ตำบลไชยวาน_x000a__x000a_ไชยวาน/ Chai Wanอุดรธานี/ Udon Thani_x000a_41290"/>
    <s v="41290"/>
    <s v="660610701016"/>
    <s v="07/01/2025 21:05"/>
    <s v="-"/>
    <s v="Kerry_dropoff"/>
    <s v="Lazada"/>
    <s v="lazada"/>
    <s v=""/>
    <s v="TH38086P9DJG2A"/>
    <s v="07/01/2025 21:05"/>
  </r>
  <r>
    <x v="0"/>
    <x v="0"/>
    <n v="100"/>
    <n v="1"/>
    <n v="0"/>
    <s v="EQT22"/>
    <n v="106"/>
    <n v="6"/>
    <s v="ร้านที่1"/>
    <s v="โ***กษณ์ประภา"/>
    <s v="กรุงเทพมหานคร"/>
    <s v="-"/>
    <s v=""/>
    <s v="07/01/2025 21:03"/>
    <s v="-"/>
    <s v="J&amp;T Express"/>
    <s v="Tiktok"/>
    <s v="tiktok"/>
    <s v=""/>
    <s v="754363432885"/>
    <s v="07/01/2025 21:04"/>
  </r>
  <r>
    <x v="12"/>
    <x v="12"/>
    <n v="160"/>
    <n v="1"/>
    <n v="0"/>
    <s v="EQT21"/>
    <n v="160"/>
    <n v="0"/>
    <s v="ร้านที่1"/>
    <s v="ส****ี"/>
    <s v="****** 0 ตำบลนาจอมเทียน อำเภอสัตหีบ จังหวัดชลบุรี 20250"/>
    <s v="20250"/>
    <s v="58"/>
    <s v="07/01/2025 21:03"/>
    <s v="-"/>
    <s v="Flash Express"/>
    <s v="Shopee"/>
    <s v="shopee"/>
    <s v=""/>
    <s v="TH20086P8EUY1B"/>
    <s v="07/01/2025 21:02"/>
  </r>
  <r>
    <x v="24"/>
    <x v="26"/>
    <n v="468.47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24"/>
    <x v="26"/>
    <n v="468.46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24"/>
    <x v="26"/>
    <n v="468.47"/>
    <n v="1"/>
    <n v="0"/>
    <s v="EQT20"/>
    <n v="1469.4"/>
    <n v="64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7/01/2025 21:00"/>
    <s v="-"/>
    <s v="Kerry_dropoff"/>
    <s v="Lazada"/>
    <s v="lazada"/>
    <s v=""/>
    <s v="LEXDO0124204236"/>
    <s v="07/01/2025 21:00"/>
  </r>
  <r>
    <x v="3"/>
    <x v="44"/>
    <n v="130.8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3"/>
    <x v="44"/>
    <n v="130.8000000000000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3"/>
    <x v="44"/>
    <n v="130.80000000000001"/>
    <n v="1"/>
    <n v="0"/>
    <s v="EQT18"/>
    <n v="419.41"/>
    <n v="27"/>
    <s v="ร้านที่1"/>
    <s v="ลาวัลย์ ศรีสุขโข"/>
    <s v="หจก.โบนัสซัพพลาย 497/7 ม.11 ต.คลองด่าน_x000a__x000a_บางบ่อ/ Bang Boสมุทรปราการ/ Samut Prakan_x000a_10550"/>
    <s v="10550"/>
    <s v="660991594653"/>
    <s v="07/01/2025 20:55"/>
    <s v="-"/>
    <s v="Kerry_dropoff"/>
    <s v="Lazada"/>
    <s v="lazada"/>
    <s v=""/>
    <s v="LEXPU0443397738"/>
    <s v="07/01/2025 20:55"/>
  </r>
  <r>
    <x v="0"/>
    <x v="0"/>
    <n v="100"/>
    <n v="1"/>
    <n v="0"/>
    <s v="EQT17"/>
    <n v="106"/>
    <n v="6"/>
    <s v="ร้านที่1"/>
    <s v="จ***ร์เพ็ญ เ***งคำ"/>
    <s v="สมุทรปราการ"/>
    <s v="-"/>
    <s v=""/>
    <s v="07/01/2025 20:53"/>
    <s v="-"/>
    <s v="J&amp;T COD"/>
    <s v="Tiktok"/>
    <s v="จ่ายทีหลัง / COD"/>
    <s v=""/>
    <s v="754314234881"/>
    <s v="07/01/2025 20:53"/>
  </r>
  <r>
    <x v="19"/>
    <x v="34"/>
    <n v="119.84"/>
    <n v="1"/>
    <n v="0"/>
    <s v="EQT15"/>
    <n v="124.84"/>
    <n v="5"/>
    <s v="ร้านที่9"/>
    <s v="นิตยา มากแก้ว"/>
    <s v="118 ม.5 · พญาขัน/ Phaya Khan_x000a__x000a_เมืองพัทลุง/ Mueang Phatthalungพัทลุง/ Phatthalung_x000a_93000"/>
    <s v="93000"/>
    <s v="660950353801"/>
    <s v="07/01/2025 20:43"/>
    <s v="-"/>
    <s v="Kerry_dropoff"/>
    <s v="Lazada"/>
    <s v="lazada"/>
    <s v=""/>
    <s v="TH74016P9DE52N"/>
    <s v="07/01/2025 20:43"/>
  </r>
  <r>
    <x v="1"/>
    <x v="1"/>
    <n v="200"/>
    <n v="1"/>
    <n v="0"/>
    <s v="EQT14"/>
    <n v="200"/>
    <n v="0"/>
    <s v="ร้านที่1"/>
    <s v="ส***นทรา ส***ยทอง"/>
    <s v="ตรัง"/>
    <s v="-"/>
    <s v=""/>
    <s v="07/01/2025 20:38"/>
    <s v="-"/>
    <s v="J&amp;T COD"/>
    <s v="Tiktok"/>
    <s v="จ่ายทีหลัง / COD"/>
    <s v=""/>
    <s v="754382442870"/>
    <s v="07/01/2025 20:38"/>
  </r>
  <r>
    <x v="34"/>
    <x v="45"/>
    <n v="358.92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34"/>
    <x v="45"/>
    <n v="358.91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34"/>
    <x v="45"/>
    <n v="358.92"/>
    <n v="1"/>
    <n v="0"/>
    <s v="EQT13"/>
    <n v="1170.75"/>
    <n v="94"/>
    <s v="ร้านที่1"/>
    <s v="วรรณภา เนาวรัตน์"/>
    <s v="107 ม.7 ต.แม่กุ · แม่กุ/ Mae Ku_x000a__x000a_แม่สอด/ Mae Sotตาก/ Tak_x000a_63110"/>
    <s v="63110"/>
    <s v="660927033977"/>
    <s v="07/01/2025 20:34"/>
    <s v="-"/>
    <s v="Kerry_dropoff"/>
    <s v="Lazada"/>
    <s v="lazada"/>
    <s v=""/>
    <s v="LEXPU0443347757"/>
    <s v="07/01/2025 20:34"/>
  </r>
  <r>
    <x v="7"/>
    <x v="7"/>
    <n v="74.400000000000006"/>
    <n v="1"/>
    <n v="0"/>
    <s v="EQT12"/>
    <n v="79.400000000000006"/>
    <n v="5"/>
    <s v="ร้านที่1"/>
    <s v="สุธาสิณี ยงยืน"/>
    <s v="17/2ม.1(บ้านยุ้งซอย4) · บ้านโพธิ์/ Ban Pho_x000a__x000a_เมืองนครราชสีมา/ Mueng Nakorn Ratchasimaนครราชสีมา/ Nakhon Ratchasima_x000a_30310"/>
    <s v="30310"/>
    <s v="660641716616"/>
    <s v="07/01/2025 20:33"/>
    <s v="-"/>
    <s v="Kerry_dropoff"/>
    <s v="Lazada"/>
    <s v="lazada"/>
    <s v=""/>
    <s v="LEXPU0443391669"/>
    <s v="07/01/2025 20:33"/>
  </r>
  <r>
    <x v="0"/>
    <x v="0"/>
    <n v="100"/>
    <n v="1"/>
    <n v="0"/>
    <s v="EQT11"/>
    <n v="106"/>
    <n v="6"/>
    <s v="ร้านที่1"/>
    <s v="จ***ดี เ***สูงเนิน"/>
    <s v="นครราชสีมา"/>
    <s v="-"/>
    <s v=""/>
    <s v="07/01/2025 20:29"/>
    <s v="-"/>
    <s v="J&amp;T COD"/>
    <s v="Tiktok"/>
    <s v="จ่ายทีหลัง / COD"/>
    <s v=""/>
    <s v="754336549805"/>
    <s v="07/01/2025 20:29"/>
  </r>
  <r>
    <x v="19"/>
    <x v="34"/>
    <n v="119.84"/>
    <n v="1"/>
    <n v="0"/>
    <s v="EQT10"/>
    <n v="124.84"/>
    <n v="5"/>
    <s v="ร้านที่9"/>
    <s v="ดวงจันทร์ วงค์สองสัตย์"/>
    <s v="60/9,61/9บริษัทเอ็มเค ต.ศรัษระจระเข้ใหญ่_x000a__x000a_บางเสาธง/ Bang Sao Thongสมุทรปราการ/ Samut Prakan_x000a_10570"/>
    <s v="10570"/>
    <s v="660838432046"/>
    <s v="07/01/2025 20:32"/>
    <s v="-"/>
    <s v="Kerry_dropoff"/>
    <s v="Lazada"/>
    <s v="lazada"/>
    <s v=""/>
    <s v="LEXDO0124222067"/>
    <s v="07/01/2025 20:29"/>
  </r>
  <r>
    <x v="13"/>
    <x v="30"/>
    <n v="114.84"/>
    <n v="1"/>
    <n v="0"/>
    <s v="EQT9"/>
    <n v="119.84"/>
    <n v="5"/>
    <s v="ร้านที่9"/>
    <s v="รัชนี ทองถม"/>
    <s v="814 หมู่บ้านพระปิ่น2 ซ.บรมราชชนนี70 แขวง ศาลาธรรมสพน์_x000a__x000a_ทวีวัฒนา/ Thawi Watthanaกรุงเทพมหานคร/ Bangkok_x000a_10170"/>
    <s v="10170"/>
    <s v="660896780592"/>
    <s v="07/01/2025 20:28"/>
    <s v="-"/>
    <s v="Kerry_dropoff"/>
    <s v="Lazada"/>
    <s v="lazada"/>
    <s v=""/>
    <s v="LEXDO0124208911"/>
    <s v="07/01/2025 20:28"/>
  </r>
  <r>
    <x v="19"/>
    <x v="34"/>
    <n v="127.33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3"/>
    <x v="30"/>
    <n v="110.49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3"/>
    <x v="30"/>
    <n v="110.49"/>
    <n v="1"/>
    <n v="0"/>
    <s v="EQT8"/>
    <n v="362.31"/>
    <n v="14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07/01/2025 20:28"/>
    <s v="-"/>
    <s v="Kerry_dropoff"/>
    <s v="Lazada"/>
    <s v="lazada"/>
    <s v=""/>
    <s v="TH69046P8FQ54E"/>
    <s v="07/01/2025 20:28"/>
  </r>
  <r>
    <x v="1"/>
    <x v="1"/>
    <n v="200"/>
    <n v="1"/>
    <n v="0"/>
    <s v="EQT7"/>
    <n v="200"/>
    <n v="0"/>
    <s v="ร้านที่1"/>
    <s v="ย***"/>
    <s v="สมุทรสงคราม"/>
    <s v="-"/>
    <s v=""/>
    <s v="07/01/2025 20:27"/>
    <s v="-"/>
    <s v="J&amp;T COD"/>
    <s v="Tiktok"/>
    <s v="จ่ายทีหลัง / COD"/>
    <s v=""/>
    <s v="754333649856"/>
    <s v="07/01/2025 20:27"/>
  </r>
  <r>
    <x v="0"/>
    <x v="0"/>
    <n v="100"/>
    <n v="1"/>
    <n v="0"/>
    <s v="EQT6"/>
    <n v="200"/>
    <n v="0"/>
    <s v="ร้านที่2"/>
    <s v="ช***ชิดา จ***ง"/>
    <s v="สงขลา"/>
    <s v="-"/>
    <s v=""/>
    <s v="07/01/2025 20:27"/>
    <s v="-"/>
    <s v="J&amp;T COD"/>
    <s v="Tiktok"/>
    <s v="จ่ายทีหลัง / COD"/>
    <s v=""/>
    <s v="754334019876"/>
    <s v="07/01/2025 20:27"/>
  </r>
  <r>
    <x v="4"/>
    <x v="4"/>
    <n v="100"/>
    <n v="1"/>
    <n v="0"/>
    <s v="EQT6"/>
    <n v="200"/>
    <n v="0"/>
    <s v="ร้านที่2"/>
    <s v="ช***ชิดา จ***ง"/>
    <s v="สงขลา"/>
    <s v="-"/>
    <s v=""/>
    <s v="07/01/2025 20:27"/>
    <s v="-"/>
    <s v="J&amp;T COD"/>
    <s v="Tiktok"/>
    <s v="จ่ายทีหลัง / COD"/>
    <s v=""/>
    <s v="754334019876"/>
    <s v="07/01/2025 20:27"/>
  </r>
  <r>
    <x v="3"/>
    <x v="8"/>
    <n v="78.14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3"/>
    <x v="8"/>
    <n v="78.14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24"/>
    <x v="32"/>
    <n v="431.61"/>
    <n v="1"/>
    <n v="0"/>
    <s v="EQT5"/>
    <n v="611.89"/>
    <n v="24"/>
    <s v="ร้านที่6"/>
    <s v="ขวัญ​เนตร​ ศรีเสมอ"/>
    <s v="โรงพยาบาลประโคนชัย · ประโคนชัย/ Prakhon Chai_x000a__x000a_ประโคนชัย/ Prakhon Chaiบุรีรัมย์/ Buriram_x000a_31140"/>
    <s v="31140"/>
    <s v="660929356920"/>
    <s v="07/01/2025 20:24"/>
    <s v="-"/>
    <s v="Kerry_dropoff"/>
    <s v="Lazada"/>
    <s v="lazada"/>
    <s v=""/>
    <s v="BSTPU041937652"/>
    <s v="07/01/2025 20:24"/>
  </r>
  <r>
    <x v="1"/>
    <x v="1"/>
    <n v="200"/>
    <n v="1"/>
    <n v="0"/>
    <s v="EQT4"/>
    <n v="200"/>
    <n v="0"/>
    <s v="ร้านที่1"/>
    <s v="จ* เ***จัง"/>
    <s v="เชียงใหม่"/>
    <s v="-"/>
    <s v=""/>
    <s v="07/01/2025 20:18"/>
    <s v="-"/>
    <s v="J&amp;T COD"/>
    <s v="Tiktok"/>
    <s v="จ่ายทีหลัง / COD"/>
    <s v=""/>
    <s v="754349643876"/>
    <s v="07/01/2025 20:18"/>
  </r>
  <r>
    <x v="10"/>
    <x v="10"/>
    <n v="200"/>
    <n v="2"/>
    <n v="0"/>
    <s v="EQT3"/>
    <n v="400"/>
    <n v="0"/>
    <s v="ร้านที่4"/>
    <s v="ส***"/>
    <s v="เพชรบูรณ์"/>
    <s v="-"/>
    <s v=""/>
    <s v="07/01/2025 20:15"/>
    <s v="-"/>
    <s v="Flash Express Thailand COD"/>
    <s v="Tiktok"/>
    <s v="จ่ายทีหลัง / COD"/>
    <s v=""/>
    <s v="THT63031EA0GY9Z"/>
    <s v="07/01/2025 20:15"/>
  </r>
  <r>
    <x v="0"/>
    <x v="0"/>
    <n v="100"/>
    <n v="1"/>
    <n v="0"/>
    <s v="EQT2"/>
    <n v="106"/>
    <n v="6"/>
    <s v="ร้านที่1"/>
    <s v="น***ียา ป***ังข์"/>
    <s v="ปัตตานี"/>
    <s v="-"/>
    <s v=""/>
    <s v="07/01/2025 20:12"/>
    <s v="-"/>
    <s v="J&amp;T COD"/>
    <s v="Tiktok"/>
    <s v="จ่ายทีหลัง / COD"/>
    <s v=""/>
    <s v="754341839834"/>
    <s v="07/01/2025 20:12"/>
  </r>
  <r>
    <x v="4"/>
    <x v="4"/>
    <n v="100"/>
    <n v="1"/>
    <n v="0"/>
    <s v="EQT1"/>
    <n v="100"/>
    <n v="0"/>
    <s v="ร้านที่2"/>
    <s v="ท***ีย์​   ก***ย์"/>
    <s v="ลพบุรี"/>
    <s v="-"/>
    <s v=""/>
    <s v="07/01/2025 20:12"/>
    <s v="-"/>
    <s v="J&amp;T COD"/>
    <s v="Tiktok"/>
    <s v="จ่ายทีหลัง / COD"/>
    <s v=""/>
    <s v="754314822844"/>
    <s v="07/01/2025 20:12"/>
  </r>
  <r>
    <x v="0"/>
    <x v="0"/>
    <n v="100"/>
    <n v="2"/>
    <n v="0"/>
    <s v="EQS99"/>
    <n v="200"/>
    <n v="0"/>
    <s v="ร้านที่2"/>
    <s v="ช***ญ เ***ยงน้อย"/>
    <s v="นครสวรรค์"/>
    <s v="-"/>
    <s v=""/>
    <s v="07/01/2025 20:10"/>
    <s v="-"/>
    <s v="J&amp;T COD"/>
    <s v="Tiktok"/>
    <s v="จ่ายทีหลัง / COD"/>
    <s v=""/>
    <s v="754376341806"/>
    <s v="07/01/2025 20:10"/>
  </r>
  <r>
    <x v="0"/>
    <x v="0"/>
    <n v="100"/>
    <n v="2"/>
    <n v="0"/>
    <s v="EQS98"/>
    <n v="200"/>
    <n v="0"/>
    <s v="ร้านที่1"/>
    <s v="ช***ญ เ***ยงน้อย"/>
    <s v="นครสวรรค์"/>
    <s v="-"/>
    <s v=""/>
    <s v="07/01/2025 20:10"/>
    <s v="-"/>
    <s v="J&amp;T COD"/>
    <s v="Tiktok"/>
    <s v="จ่ายทีหลัง / COD"/>
    <s v=""/>
    <s v="754376341806"/>
    <s v="07/01/2025 20:10"/>
  </r>
  <r>
    <x v="13"/>
    <x v="30"/>
    <n v="119.84"/>
    <n v="1"/>
    <n v="0"/>
    <s v="EQS97"/>
    <n v="124.84"/>
    <n v="5"/>
    <s v="ร้านที่9"/>
    <s v="หมวย"/>
    <s v="201หมู่10ต.ปากปวน อ.วังสะพุง จ.เลย_x000a__x000a_วังสะพุง/ Wang Saphungเลย/ Loei_x000a_42130"/>
    <s v="42130"/>
    <s v="660649670905"/>
    <s v="07/01/2025 20:08"/>
    <s v="-"/>
    <s v="Kerry_dropoff"/>
    <s v="Lazada"/>
    <s v="lazada"/>
    <s v=""/>
    <s v="TH39096P8TD66E"/>
    <s v="07/01/2025 20:08"/>
  </r>
  <r>
    <x v="0"/>
    <x v="0"/>
    <n v="100"/>
    <n v="1"/>
    <n v="0"/>
    <s v="EQS96"/>
    <n v="106"/>
    <n v="6"/>
    <s v="ร้านที่1"/>
    <s v="ค***็ชร ก***ันทึก"/>
    <s v="นครราชสีมา"/>
    <s v="-"/>
    <s v=""/>
    <s v="07/01/2025 20:05"/>
    <s v="-"/>
    <s v="J&amp;T COD"/>
    <s v="Tiktok"/>
    <s v="จ่ายทีหลัง / COD"/>
    <s v=""/>
    <s v="754327146801"/>
    <s v="07/01/2025 20:05"/>
  </r>
  <r>
    <x v="9"/>
    <x v="4"/>
    <n v="100"/>
    <n v="2"/>
    <n v="0"/>
    <s v="EQS95"/>
    <n v="200"/>
    <n v="0"/>
    <s v="ร้านที่1"/>
    <s v="เ***พิชชา ศ***ิ์ศิริรัตน์ ค***บว์"/>
    <s v="สมุทรสงคราม"/>
    <s v="-"/>
    <s v=""/>
    <s v="07/01/2025 20:01"/>
    <s v="-"/>
    <s v="J&amp;T COD"/>
    <s v="Tiktok"/>
    <s v="จ่ายทีหลัง / COD"/>
    <s v=""/>
    <s v="754307430833"/>
    <s v="07/01/2025 20:01"/>
  </r>
  <r>
    <x v="10"/>
    <x v="10"/>
    <n v="200"/>
    <n v="1"/>
    <n v="0"/>
    <s v="EQS94"/>
    <n v="200"/>
    <n v="0"/>
    <s v="ร้านที่2"/>
    <s v="ส***ศิณี ห***าน"/>
    <s v="พะเยา"/>
    <s v="-"/>
    <s v=""/>
    <s v="07/01/2025 19:57"/>
    <s v="-"/>
    <s v="J&amp;T COD"/>
    <s v="Tiktok"/>
    <s v="จ่ายทีหลัง / COD"/>
    <s v=""/>
    <s v="754364438833"/>
    <s v="07/01/2025 19:57"/>
  </r>
  <r>
    <x v="13"/>
    <x v="30"/>
    <n v="118.84"/>
    <n v="1"/>
    <n v="0"/>
    <s v="EQS92"/>
    <n v="123.84"/>
    <n v="5"/>
    <s v="ร้านที่9"/>
    <s v="โชติกา เพ็ชร์จิตร"/>
    <s v="12หมู่9(ติดกับบ้านผู้ใหญ่ ล็อค8) · ผ่านศึก/ Phan Suek_x000a__x000a_อรัญประเทศ/ Aranyaprathetสระแก้ว/ Sa Kaeo_x000a_27120"/>
    <s v="27120"/>
    <s v="660648079849"/>
    <s v="07/01/2025 19:56"/>
    <s v="-"/>
    <s v="Kerry_dropoff"/>
    <s v="Lazada"/>
    <s v="lazada"/>
    <s v=""/>
    <s v="LEXDO0124208845"/>
    <s v="07/01/2025 19:56"/>
  </r>
  <r>
    <x v="1"/>
    <x v="1"/>
    <n v="200"/>
    <n v="1"/>
    <n v="0"/>
    <s v="EQS90"/>
    <n v="200"/>
    <n v="0"/>
    <s v="ร้านที่2"/>
    <s v="อ***์ลักษณ์ น***ิริทิภากรณ์"/>
    <s v="นครราชสีมา"/>
    <s v="-"/>
    <s v=""/>
    <s v="07/01/2025 19:47"/>
    <s v="-"/>
    <s v="J&amp;T COD"/>
    <s v="Tiktok"/>
    <s v="จ่ายทีหลัง / COD"/>
    <s v=""/>
    <s v="754330544822"/>
    <s v="07/01/2025 19:48"/>
  </r>
  <r>
    <x v="0"/>
    <x v="0"/>
    <n v="100"/>
    <n v="1"/>
    <n v="0"/>
    <s v="EQS89"/>
    <n v="106"/>
    <n v="6"/>
    <s v="ร้านที่4"/>
    <s v="ว***พร    โ***วัฒน์"/>
    <s v="กรุงเทพฯ"/>
    <s v="-"/>
    <s v=""/>
    <s v="07/01/2025 19:47"/>
    <s v="-"/>
    <s v="Flash Express Thailand COD"/>
    <s v="Tiktok"/>
    <s v="จ่ายทีหลัง / COD"/>
    <s v=""/>
    <s v="THT01091E9NK14Z"/>
    <s v="07/01/2025 19:47"/>
  </r>
  <r>
    <x v="0"/>
    <x v="0"/>
    <n v="100"/>
    <n v="1"/>
    <n v="0"/>
    <s v="EQS88"/>
    <n v="106"/>
    <n v="6"/>
    <s v="ร้านที่4"/>
    <s v="ณ***ทัย ห***นทองหลาง"/>
    <s v="นครราชสีมา"/>
    <s v="-"/>
    <s v=""/>
    <s v="07/01/2025 19:43"/>
    <s v="-"/>
    <s v="Flash Express Thailand COD"/>
    <s v="Tiktok"/>
    <s v="จ่ายทีหลัง / COD"/>
    <s v=""/>
    <s v="THT27011E9NW88Z"/>
    <s v="07/01/2025 19:43"/>
  </r>
  <r>
    <x v="1"/>
    <x v="1"/>
    <n v="200"/>
    <n v="1"/>
    <n v="0"/>
    <s v="EQS86"/>
    <n v="200"/>
    <n v="0"/>
    <s v="ร้านที่2"/>
    <s v="เ***"/>
    <s v="ชลบุรี"/>
    <s v="-"/>
    <s v=""/>
    <s v="07/01/2025 19:38"/>
    <s v="-"/>
    <s v="J&amp;T COD"/>
    <s v="Tiktok"/>
    <s v="จ่ายทีหลัง / COD"/>
    <s v=""/>
    <s v="754390243880"/>
    <s v="07/01/2025 19:38"/>
  </r>
  <r>
    <x v="13"/>
    <x v="30"/>
    <n v="104.86"/>
    <n v="1"/>
    <n v="0"/>
    <s v="EQS85"/>
    <n v="233.72"/>
    <n v="24"/>
    <s v="ร้านที่9"/>
    <s v="นิตยา  พุทธธรรมรักษา"/>
    <s v="2 พหลโยธิน 87 ซอย 2 ต.ประชาธิปัตย์ CKC 03 มหาวิทยาลัยเทคโนโลยีราชมงคลธัญบุรีศูนย์รังสิต_x000a__x000a_ธัญบุรี/ Thanyaburiปทุมธานี/ Pathum Thani_x000a_12130"/>
    <s v="12130"/>
    <s v="660867629682"/>
    <s v="07/01/2025 19:37"/>
    <s v="-"/>
    <s v="Kerry_dropoff"/>
    <s v="Lazada"/>
    <s v="lazada"/>
    <s v=""/>
    <s v="LEXDO0124205351"/>
    <s v="07/01/2025 19:37"/>
  </r>
  <r>
    <x v="13"/>
    <x v="30"/>
    <n v="104.86"/>
    <n v="1"/>
    <n v="0"/>
    <s v="EQS85"/>
    <n v="233.72"/>
    <n v="24"/>
    <s v="ร้านที่9"/>
    <s v="นิตยา  พุทธธรรมรักษา"/>
    <s v="2 พหลโยธิน 87 ซอย 2 ต.ประชาธิปัตย์ CKC 03 มหาวิทยาลัยเทคโนโลยีราชมงคลธัญบุรีศูนย์รังสิต_x000a__x000a_ธัญบุรี/ Thanyaburiปทุมธานี/ Pathum Thani_x000a_12130"/>
    <s v="12130"/>
    <s v="660867629682"/>
    <s v="07/01/2025 19:37"/>
    <s v="-"/>
    <s v="Kerry_dropoff"/>
    <s v="Lazada"/>
    <s v="lazada"/>
    <s v=""/>
    <s v="LEXDO0124205351"/>
    <s v="07/01/2025 19:37"/>
  </r>
  <r>
    <x v="35"/>
    <x v="46"/>
    <n v="100"/>
    <n v="3"/>
    <n v="0"/>
    <s v="EQS84"/>
    <n v="300"/>
    <n v="0"/>
    <s v="ร้านที่4"/>
    <s v="ณ***ยาน์ ว***ษชนธีร์"/>
    <s v="ชัยภูมิ"/>
    <s v="-"/>
    <s v=""/>
    <s v="07/01/2025 19:36"/>
    <s v="-"/>
    <s v="Flash Express Thailand COD"/>
    <s v="Tiktok"/>
    <s v="จ่ายทีหลัง / COD"/>
    <s v=""/>
    <s v="THT33121E9YWS2Z"/>
    <s v="07/01/2025 19:36"/>
  </r>
  <r>
    <x v="35"/>
    <x v="46"/>
    <n v="100"/>
    <n v="1"/>
    <n v="0"/>
    <s v="EQS83"/>
    <n v="125"/>
    <n v="25"/>
    <s v="ร้านที่4"/>
    <s v="ธ***ร  เ***งคำ"/>
    <s v="ศรีสะเกษ"/>
    <s v="-"/>
    <s v=""/>
    <s v="07/01/2025 19:36"/>
    <s v="-"/>
    <s v="Flash Express Thailand COD"/>
    <s v="Tiktok"/>
    <s v="จ่ายทีหลัง / COD"/>
    <s v=""/>
    <s v="THT30031E9N707Z"/>
    <s v="07/01/2025 19:36"/>
  </r>
  <r>
    <x v="0"/>
    <x v="0"/>
    <n v="100"/>
    <n v="1"/>
    <n v="0"/>
    <s v="EQS82"/>
    <n v="100"/>
    <n v="0"/>
    <s v="ร้านที่4"/>
    <s v="ส***ญดา  ท***นเทียะ"/>
    <s v="สมุทรสาคร"/>
    <s v="-"/>
    <s v=""/>
    <s v="07/01/2025 19:35"/>
    <s v="-"/>
    <s v="Flash Express Thailand"/>
    <s v="Tiktok"/>
    <s v="tiktok"/>
    <s v=""/>
    <s v="THT16021E9AUS9Z"/>
    <s v="07/01/2025 19:34"/>
  </r>
  <r>
    <x v="10"/>
    <x v="10"/>
    <n v="200"/>
    <n v="1"/>
    <n v="0"/>
    <s v="EQS81"/>
    <n v="200"/>
    <n v="0"/>
    <s v="ร้านที่1"/>
    <s v="น***เจนจิรา ร***์วงศ์"/>
    <s v="สงขลา"/>
    <s v="-"/>
    <s v=""/>
    <s v="07/01/2025 19:32"/>
    <s v="-"/>
    <s v="J&amp;T Express"/>
    <s v="Tiktok"/>
    <s v="tiktok"/>
    <s v=""/>
    <s v="754321121864"/>
    <s v="07/01/2025 19:32"/>
  </r>
  <r>
    <x v="0"/>
    <x v="0"/>
    <n v="100"/>
    <n v="1"/>
    <n v="0"/>
    <s v="EQS80"/>
    <n v="106"/>
    <n v="6"/>
    <s v="ร้านที่4"/>
    <s v="ว***วรรณ์ ช***แก้ว"/>
    <s v="กรุงเทพฯ"/>
    <s v="-"/>
    <s v=""/>
    <s v="07/01/2025 19:31"/>
    <s v="-"/>
    <s v="Flash Express Thailand"/>
    <s v="Tiktok"/>
    <s v="tiktok"/>
    <s v=""/>
    <s v="THT01481E9P9F2Z"/>
    <s v="07/01/2025 19:31"/>
  </r>
  <r>
    <x v="1"/>
    <x v="1"/>
    <n v="200"/>
    <n v="1"/>
    <n v="0"/>
    <s v="EQS79"/>
    <n v="200"/>
    <n v="0"/>
    <s v="ร้านที่2"/>
    <s v="น***า ค***ะเสริฐ"/>
    <s v="ราชบุรี"/>
    <s v="-"/>
    <s v=""/>
    <s v="07/01/2025 19:31"/>
    <s v="-"/>
    <s v="J&amp;T COD"/>
    <s v="Tiktok"/>
    <s v="จ่ายทีหลัง / COD"/>
    <s v=""/>
    <s v="754308334883"/>
    <s v="07/01/2025 19:31"/>
  </r>
  <r>
    <x v="0"/>
    <x v="0"/>
    <n v="100"/>
    <n v="1"/>
    <n v="0"/>
    <s v="EQS78"/>
    <n v="106"/>
    <n v="6"/>
    <s v="ร้านที่4"/>
    <s v="น***น"/>
    <s v="กาญจนบุรี"/>
    <s v="-"/>
    <s v=""/>
    <s v="07/01/2025 19:30"/>
    <s v="-"/>
    <s v="Flash Express Thailand COD"/>
    <s v="Tiktok"/>
    <s v="จ่ายทีหลัง / COD"/>
    <s v=""/>
    <s v="THT13051E9BEP7Z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7"/>
    <x v="7"/>
    <n v="74.400000000000006"/>
    <n v="1"/>
    <n v="0"/>
    <s v="EQS77"/>
    <n v="247.2"/>
    <n v="24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7/01/2025 19:31"/>
    <s v="-"/>
    <s v="Kerry_dropoff"/>
    <s v="Lazada"/>
    <s v="lazada"/>
    <s v=""/>
    <s v="LEXPU0443398174"/>
    <s v="07/01/2025 19:30"/>
  </r>
  <r>
    <x v="32"/>
    <x v="47"/>
    <n v="160.61000000000001"/>
    <n v="1"/>
    <n v="0"/>
    <s v="EQS76"/>
    <n v="165.61"/>
    <n v="5"/>
    <s v="ร้านที่8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07/01/2025 19:22"/>
    <s v="-"/>
    <s v="Kerry_dropoff"/>
    <s v="Lazada"/>
    <s v="lazada"/>
    <s v=""/>
    <s v="LEXPU0443364555"/>
    <s v="07/01/2025 19:22"/>
  </r>
  <r>
    <x v="1"/>
    <x v="1"/>
    <n v="200"/>
    <n v="1"/>
    <n v="0"/>
    <s v="EQS75"/>
    <n v="200"/>
    <n v="0"/>
    <s v="ร้านที่1"/>
    <s v="M***ie"/>
    <s v="Samut Prakan"/>
    <s v="-"/>
    <s v=""/>
    <s v="07/01/2025 19:21"/>
    <s v="-"/>
    <s v="J&amp;T Express"/>
    <s v="Tiktok"/>
    <s v="tiktok"/>
    <s v=""/>
    <s v="754341841886"/>
    <s v="07/01/2025 19:20"/>
  </r>
  <r>
    <x v="4"/>
    <x v="4"/>
    <n v="100"/>
    <n v="1"/>
    <n v="0"/>
    <s v="EQS74"/>
    <n v="129"/>
    <n v="29"/>
    <s v="ร้านที่2"/>
    <s v="น***ช      ช***ข"/>
    <s v="นครปฐม"/>
    <s v="-"/>
    <s v=""/>
    <s v="07/01/2025 19:12"/>
    <s v="-"/>
    <s v="J&amp;T COD"/>
    <s v="Tiktok"/>
    <s v="จ่ายทีหลัง / COD"/>
    <s v=""/>
    <s v="754314114842"/>
    <s v="07/01/2025 19:12"/>
  </r>
  <r>
    <x v="36"/>
    <x v="48"/>
    <n v="280"/>
    <n v="1"/>
    <n v="0"/>
    <s v="EQS73"/>
    <n v="321"/>
    <n v="41"/>
    <s v="ร้านที่2"/>
    <s v="เ******์"/>
    <s v="******.ศรีมงคล ตำบลศรีมงคล อำเภอไทรโยค จังหวัดกาญจนบุรี 71150"/>
    <s v="71150"/>
    <s v="51"/>
    <s v="07/01/2025 19:08"/>
    <s v="-"/>
    <s v="Flash Express"/>
    <s v="Shopee"/>
    <s v="shopee"/>
    <s v=""/>
    <s v="TH13056PDQZF4F"/>
    <s v="07/01/2025 19:08"/>
  </r>
  <r>
    <x v="3"/>
    <x v="3"/>
    <n v="130"/>
    <n v="1"/>
    <n v="0"/>
    <s v="EQS72"/>
    <n v="363"/>
    <n v="3"/>
    <s v="ร้านที่2"/>
    <s v="ค******)"/>
    <s v="****** อำเภอบ้านโพธิ์ ตำบลแสนภูดาษ อำเภอบ้านโพธิ์ จังหวัดฉะเชิงเทรา 24140"/>
    <s v="24140"/>
    <s v="56"/>
    <s v="07/01/2025 19:08"/>
    <s v="-"/>
    <s v="Flash Express"/>
    <s v="Shopee"/>
    <s v="shopee"/>
    <s v=""/>
    <s v="TH24056P94NN3P"/>
    <s v="07/01/2025 19:08"/>
  </r>
  <r>
    <x v="13"/>
    <x v="13"/>
    <n v="230"/>
    <n v="1"/>
    <n v="0"/>
    <s v="EQS72"/>
    <n v="363"/>
    <n v="3"/>
    <s v="ร้านที่2"/>
    <s v="ค******)"/>
    <s v="****** อำเภอบ้านโพธิ์ ตำบลแสนภูดาษ อำเภอบ้านโพธิ์ จังหวัดฉะเชิงเทรา 24140"/>
    <s v="24140"/>
    <s v="56"/>
    <s v="07/01/2025 19:08"/>
    <s v="-"/>
    <s v="Flash Express"/>
    <s v="Shopee"/>
    <s v="shopee"/>
    <s v=""/>
    <s v="TH24056P94NN3P"/>
    <s v="07/01/2025 19:08"/>
  </r>
  <r>
    <x v="0"/>
    <x v="0"/>
    <n v="100"/>
    <n v="1"/>
    <n v="0"/>
    <s v="EQS71"/>
    <n v="106"/>
    <n v="6"/>
    <s v="ร้านที่1"/>
    <s v="น***กร จ***ศิริเสถียร"/>
    <s v="สงขลา"/>
    <s v="-"/>
    <s v=""/>
    <s v="07/01/2025 19:08"/>
    <s v="-"/>
    <s v="J&amp;T COD"/>
    <s v="Tiktok"/>
    <s v="จ่ายทีหลัง / COD"/>
    <s v=""/>
    <s v="754382835813"/>
    <s v="07/01/2025 19:08"/>
  </r>
  <r>
    <x v="0"/>
    <x v="0"/>
    <n v="100"/>
    <n v="1"/>
    <n v="0"/>
    <s v="EQS70"/>
    <n v="100"/>
    <n v="0"/>
    <s v="ร้านที่1"/>
    <s v="ว***ย   น***งห์"/>
    <s v="พระนครศรีอยุธยา"/>
    <s v="-"/>
    <s v=""/>
    <s v="07/01/2025 19:00"/>
    <s v="-"/>
    <s v="J&amp;T COD"/>
    <s v="Tiktok"/>
    <s v="จ่ายทีหลัง / COD"/>
    <s v=""/>
    <s v="754365830805"/>
    <s v="07/01/2025 19:00"/>
  </r>
  <r>
    <x v="0"/>
    <x v="0"/>
    <n v="100"/>
    <n v="1"/>
    <n v="0"/>
    <s v="EQS69"/>
    <n v="106"/>
    <n v="6"/>
    <s v="ร้านที่1"/>
    <s v="ณ*** ท***าก"/>
    <s v="จังหวัดสงขลา"/>
    <s v="-"/>
    <s v=""/>
    <s v="07/01/2025 18:52"/>
    <s v="-"/>
    <s v="J&amp;T COD"/>
    <s v="Tiktok"/>
    <s v="จ่ายทีหลัง / COD"/>
    <s v=""/>
    <s v="754384122833"/>
    <s v="07/01/2025 18:52"/>
  </r>
  <r>
    <x v="0"/>
    <x v="0"/>
    <n v="100"/>
    <n v="1"/>
    <n v="0"/>
    <s v="EQS68"/>
    <n v="106"/>
    <n v="6"/>
    <s v="ร้านที่1"/>
    <s v="h***igan182"/>
    <s v="Bangkok"/>
    <s v="-"/>
    <s v=""/>
    <s v="07/01/2025 18:50"/>
    <s v="-"/>
    <s v="Flash Express Thailand COD"/>
    <s v="Tiktok"/>
    <s v="จ่ายทีหลัง / COD"/>
    <s v=""/>
    <s v="THT01051E9P140Z"/>
    <s v="07/01/2025 18:50"/>
  </r>
  <r>
    <x v="20"/>
    <x v="20"/>
    <n v="199"/>
    <n v="2"/>
    <n v="0"/>
    <s v="EQS67"/>
    <n v="446"/>
    <n v="48"/>
    <s v="ร้านที่1"/>
    <s v="ร******ว"/>
    <s v="****** 49/1 ต. เสาธงหิน ตำบลเสาธงหิน อำเภอบางใหญ่ จังหวัดนนทบุรี 11140"/>
    <s v="11140"/>
    <s v="59"/>
    <s v="07/01/2025 18:44"/>
    <s v="-"/>
    <s v="SPX Express"/>
    <s v="Shopee"/>
    <s v="shopee"/>
    <s v=""/>
    <s v="TH259110542232S"/>
    <s v="07/01/2025 18:44"/>
  </r>
  <r>
    <x v="0"/>
    <x v="0"/>
    <n v="100"/>
    <n v="1"/>
    <n v="0"/>
    <s v="EQS66"/>
    <n v="129"/>
    <n v="29"/>
    <s v="ร้านที่4"/>
    <s v="ก***ากร เ***งทอง"/>
    <s v="สระบุรี"/>
    <s v="-"/>
    <s v=""/>
    <s v="07/01/2025 18:40"/>
    <s v="-"/>
    <s v="Flash Express Thailand COD"/>
    <s v="Tiktok"/>
    <s v="จ่ายทีหลัง / COD"/>
    <s v=""/>
    <s v="THT10011E9NUA6Z"/>
    <s v="07/01/2025 18:40"/>
  </r>
  <r>
    <x v="19"/>
    <x v="34"/>
    <n v="142.31"/>
    <n v="1"/>
    <n v="0"/>
    <s v="EQS65"/>
    <n v="147.31"/>
    <n v="5"/>
    <s v="ร้านที่9"/>
    <s v="โดนัท"/>
    <s v="98 แยก 28 - 7 หมู่บ้านร่วมเกื้อ แขวงทวีวัฒนา_x000a__x000a_ทวีวัฒนา/ Thawi Watthanaกรุงเทพมหานคร/ Bangkok_x000a_10170"/>
    <s v="10170"/>
    <s v="660806786793"/>
    <s v="07/01/2025 18:34"/>
    <s v="-"/>
    <s v="Kerry_dropoff"/>
    <s v="Lazada"/>
    <s v="lazada"/>
    <s v=""/>
    <s v="LEXDO0124223395"/>
    <s v="07/01/2025 18:34"/>
  </r>
  <r>
    <x v="3"/>
    <x v="3"/>
    <n v="100"/>
    <n v="1"/>
    <n v="0"/>
    <s v="EQS62"/>
    <n v="129"/>
    <n v="29"/>
    <s v="ร้านที่4"/>
    <s v="แ***"/>
    <s v="สุพรรณบุรี"/>
    <s v="-"/>
    <s v=""/>
    <s v="07/01/2025 18:34"/>
    <s v="-"/>
    <s v="Flash Express Thailand"/>
    <s v="Tiktok"/>
    <s v="tiktok"/>
    <s v=""/>
    <s v="THT14081EA46H9Z"/>
    <s v="07/01/2025 18:32"/>
  </r>
  <r>
    <x v="4"/>
    <x v="4"/>
    <n v="100"/>
    <n v="1"/>
    <n v="0"/>
    <s v="EQS60"/>
    <n v="100"/>
    <n v="0"/>
    <s v="ร้านที่2"/>
    <s v="พ***า. ส***"/>
    <s v="อ่างทอง"/>
    <s v="-"/>
    <s v=""/>
    <s v="07/01/2025 18:28"/>
    <s v="-"/>
    <s v="J&amp;T COD"/>
    <s v="Tiktok"/>
    <s v="จ่ายทีหลัง / COD"/>
    <s v=""/>
    <s v="754327114844"/>
    <s v="07/01/2025 18:28"/>
  </r>
  <r>
    <x v="2"/>
    <x v="2"/>
    <n v="89.93"/>
    <n v="1"/>
    <n v="0"/>
    <s v="EQS58"/>
    <n v="94.93"/>
    <n v="5"/>
    <s v="ร้านที่1"/>
    <s v="อังคณา คุณเทียน"/>
    <s v="บ้านเลขทีา116หมู่17 · เทพาลัย/ Thephalai_x000a__x000a_คง/ Khongนครราชสีมา/ Nakhon Ratchasima_x000a_30260"/>
    <s v="30260"/>
    <s v="660852598210"/>
    <s v="07/01/2025 18:25"/>
    <s v="-"/>
    <s v="Kerry_dropoff"/>
    <s v="Lazada"/>
    <s v="lazada"/>
    <s v=""/>
    <s v="TH27046P9AUS1C"/>
    <s v="07/01/2025 18:25"/>
  </r>
  <r>
    <x v="0"/>
    <x v="0"/>
    <n v="100"/>
    <n v="2"/>
    <n v="0"/>
    <s v="EQS57"/>
    <n v="200"/>
    <n v="0"/>
    <s v="ร้านที่1"/>
    <s v="อ***ตย์  พ***ธสง"/>
    <s v="กำแพงเพชร"/>
    <s v="-"/>
    <s v=""/>
    <s v="07/01/2025 18:21"/>
    <s v="-"/>
    <s v="J&amp;T COD"/>
    <s v="Tiktok"/>
    <s v="จ่ายทีหลัง / COD"/>
    <s v=""/>
    <s v="754312046876"/>
    <s v="07/01/2025 18:21"/>
  </r>
  <r>
    <x v="35"/>
    <x v="46"/>
    <n v="100"/>
    <n v="4"/>
    <n v="0"/>
    <s v="EQS56"/>
    <n v="414"/>
    <n v="14"/>
    <s v="ร้านที่4"/>
    <s v="ส***รัตน์ ว***ุกร์"/>
    <s v="กระบี่"/>
    <s v="-"/>
    <s v=""/>
    <s v="07/01/2025 18:20"/>
    <s v="-"/>
    <s v="Flash Express Thailand COD"/>
    <s v="Tiktok"/>
    <s v="จ่ายทีหลัง / COD"/>
    <s v=""/>
    <s v="THT65011E978K5Z"/>
    <s v="07/01/2025 18:20"/>
  </r>
  <r>
    <x v="0"/>
    <x v="0"/>
    <n v="100"/>
    <n v="1"/>
    <n v="0"/>
    <s v="EQS55"/>
    <n v="106"/>
    <n v="6"/>
    <s v="ร้านที่1"/>
    <s v="ว***า ม***หอม"/>
    <s v="เลย"/>
    <s v="-"/>
    <s v=""/>
    <s v="07/01/2025 18:21"/>
    <s v="-"/>
    <s v="J&amp;T Express"/>
    <s v="Tiktok"/>
    <s v="tiktok"/>
    <s v=""/>
    <s v="754342231812"/>
    <s v="07/01/2025 18:19"/>
  </r>
  <r>
    <x v="37"/>
    <x v="49"/>
    <n v="100"/>
    <n v="1"/>
    <n v="0"/>
    <s v="EQS53"/>
    <n v="106"/>
    <n v="6"/>
    <s v="ร้านที่4"/>
    <s v="ส*** ห***นถนอม"/>
    <s v="สุราษฎร์ธานี"/>
    <s v="-"/>
    <s v=""/>
    <s v="07/01/2025 18:15"/>
    <s v="-"/>
    <s v="Flash Express Thailand COD"/>
    <s v="Tiktok"/>
    <s v="จ่ายทีหลัง / COD"/>
    <s v=""/>
    <s v="THT68151E9NQ06Z"/>
    <s v="07/01/2025 18:15"/>
  </r>
  <r>
    <x v="3"/>
    <x v="3"/>
    <n v="100"/>
    <n v="1"/>
    <n v="0"/>
    <s v="EQS52"/>
    <n v="106"/>
    <n v="6"/>
    <s v="ร้านที่4"/>
    <s v="อ***พร ข***งิน"/>
    <s v="ร้อยเอ็ด"/>
    <s v="-"/>
    <s v=""/>
    <s v="07/01/2025 18:13"/>
    <s v="-"/>
    <s v="Flash Express Thailand COD"/>
    <s v="Tiktok"/>
    <s v="จ่ายทีหลัง / COD"/>
    <s v=""/>
    <s v="THT42071EA4B35Z"/>
    <s v="07/01/2025 18:13"/>
  </r>
  <r>
    <x v="0"/>
    <x v="0"/>
    <n v="100"/>
    <n v="1"/>
    <n v="0"/>
    <s v="EQS50"/>
    <n v="106"/>
    <n v="6"/>
    <s v="ร้านที่1"/>
    <s v="ท***ัฐ จ***จริญ"/>
    <s v="ฉะเชิงเทรา"/>
    <s v="-"/>
    <s v=""/>
    <s v="07/01/2025 18:10"/>
    <s v="-"/>
    <s v="Flash Express Thailand"/>
    <s v="Tiktok"/>
    <s v="tiktok"/>
    <s v=""/>
    <s v="THT24041E9NHZ8Z"/>
    <s v="07/01/2025 18:10"/>
  </r>
  <r>
    <x v="3"/>
    <x v="3"/>
    <n v="150"/>
    <n v="1"/>
    <n v="0"/>
    <s v="EQS49"/>
    <n v="455"/>
    <n v="45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07/01/2025 18:06"/>
    <s v="-"/>
    <s v="Flash Express"/>
    <s v="Shopee"/>
    <s v="shopee"/>
    <s v=""/>
    <s v="TH01136P94HM9C"/>
    <s v="07/01/2025 18:07"/>
  </r>
  <r>
    <x v="22"/>
    <x v="22"/>
    <n v="130"/>
    <n v="1"/>
    <n v="0"/>
    <s v="EQS49"/>
    <n v="455"/>
    <n v="45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07/01/2025 18:06"/>
    <s v="-"/>
    <s v="Flash Express"/>
    <s v="Shopee"/>
    <s v="shopee"/>
    <s v=""/>
    <s v="TH01136P94HM9C"/>
    <s v="07/01/2025 18:06"/>
  </r>
  <r>
    <x v="19"/>
    <x v="34"/>
    <n v="119.84"/>
    <n v="1"/>
    <n v="0"/>
    <s v="EQS48"/>
    <n v="124.84"/>
    <n v="5"/>
    <s v="ร้านที่9"/>
    <s v="สุรชาติ ยายศ"/>
    <s v="3/1 บ้านกระเพรา หมู่ 10 ต.เมืองปราสาท_x000a__x000a_โนนสูง/ Non Sungนครราชสีมา/ Nakhon Ratchasima_x000a_30160"/>
    <s v="30160"/>
    <s v="660840536252"/>
    <s v="07/01/2025 18:01"/>
    <s v="-"/>
    <s v="Kerry_dropoff"/>
    <s v="Lazada"/>
    <s v="lazada"/>
    <s v=""/>
    <s v="TH27106P9GFQ4N"/>
    <s v="07/01/2025 17:57"/>
  </r>
  <r>
    <x v="3"/>
    <x v="3"/>
    <n v="100"/>
    <n v="1"/>
    <n v="0"/>
    <s v="EQS47"/>
    <n v="100"/>
    <n v="0"/>
    <s v="ร้านที่1"/>
    <s v="ฝ***พย์  ว***ตา"/>
    <s v="อุดรธานี"/>
    <s v="-"/>
    <s v=""/>
    <s v="07/01/2025 17:54"/>
    <s v="-"/>
    <s v="J&amp;T COD"/>
    <s v="Tiktok"/>
    <s v="จ่ายทีหลัง / COD"/>
    <s v=""/>
    <s v="754324833861"/>
    <s v="07/01/2025 17:54"/>
  </r>
  <r>
    <x v="4"/>
    <x v="4"/>
    <n v="100"/>
    <n v="1"/>
    <n v="0"/>
    <s v="EQS46"/>
    <n v="106"/>
    <n v="6"/>
    <s v="ร้านที่2"/>
    <s v="ป***ดา น***รี"/>
    <s v="ระยอง"/>
    <s v="-"/>
    <s v=""/>
    <s v="07/01/2025 17:53"/>
    <s v="-"/>
    <s v="J&amp;T COD"/>
    <s v="Tiktok"/>
    <s v="จ่ายทีหลัง / COD"/>
    <s v=""/>
    <s v="754369913861"/>
    <s v="07/01/2025 17:53"/>
  </r>
  <r>
    <x v="0"/>
    <x v="0"/>
    <n v="100"/>
    <n v="1"/>
    <n v="0"/>
    <s v="EQS45"/>
    <n v="106"/>
    <n v="6"/>
    <s v="ร้านที่2"/>
    <s v="ศ***แสงมะณี"/>
    <s v="ร้อยเอ็ด"/>
    <s v="-"/>
    <s v=""/>
    <s v="07/01/2025 17:53"/>
    <s v="-"/>
    <s v="J&amp;T COD"/>
    <s v="Tiktok"/>
    <s v="จ่ายทีหลัง / COD"/>
    <s v=""/>
    <s v="754323235816"/>
    <s v="07/01/2025 17:53"/>
  </r>
  <r>
    <x v="4"/>
    <x v="4"/>
    <n v="130"/>
    <n v="1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9"/>
    <x v="4"/>
    <n v="130"/>
    <n v="2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38"/>
    <x v="50"/>
    <n v="260"/>
    <n v="1"/>
    <n v="0"/>
    <s v="EQS44"/>
    <n v="714"/>
    <n v="64"/>
    <s v="ร้านที่2"/>
    <s v="ใ******์"/>
    <s v="******้าว 60 วังทองหลาง กทม. 10310 แขวงวังทองหลาง เขตวังทองหลาง จังหวัดกรุงเทพมหานคร 10310"/>
    <s v="10310"/>
    <s v="96"/>
    <s v="07/01/2025 17:53"/>
    <s v="-"/>
    <s v="Flash Express"/>
    <s v="Shopee"/>
    <s v="shopee"/>
    <s v=""/>
    <s v="TH01416P9H306C1"/>
    <s v="07/01/2025 17:52"/>
  </r>
  <r>
    <x v="4"/>
    <x v="4"/>
    <n v="100"/>
    <n v="3"/>
    <n v="0"/>
    <s v="EQS43"/>
    <n v="300"/>
    <n v="0"/>
    <s v="ร้านที่4"/>
    <s v="เ*** ว***ัฐ"/>
    <s v="ลพบุรี"/>
    <s v="-"/>
    <s v=""/>
    <s v="07/01/2025 17:43"/>
    <s v="-"/>
    <s v="Flash Express Thailand COD"/>
    <s v="Tiktok"/>
    <s v="จ่ายทีหลัง / COD"/>
    <s v=""/>
    <s v="THT07011EA0CB0Z"/>
    <s v="07/01/2025 17:43"/>
  </r>
  <r>
    <x v="0"/>
    <x v="0"/>
    <n v="100"/>
    <n v="1"/>
    <n v="0"/>
    <s v="EQS42"/>
    <n v="100"/>
    <n v="0"/>
    <s v="ร้านที่1"/>
    <s v="แ** อ***"/>
    <s v="สุพรรณบุรี"/>
    <s v="-"/>
    <s v=""/>
    <s v="07/01/2025 17:40"/>
    <s v="-"/>
    <s v="J&amp;T COD"/>
    <s v="Tiktok"/>
    <s v="จ่ายทีหลัง / COD"/>
    <s v=""/>
    <s v="754332729846"/>
    <s v="07/01/2025 17:40"/>
  </r>
  <r>
    <x v="24"/>
    <x v="26"/>
    <n v="447.27"/>
    <n v="1"/>
    <n v="0"/>
    <s v="EQS41"/>
    <n v="461.27"/>
    <n v="14"/>
    <s v="ร้านที่9"/>
    <s v="อัมพา  สุวรรณ"/>
    <s v="291/1ม.10ต.ยุหว่า  อ.สันป่าตอง  จ.เชียงใหม่_x000a__x000a_สันป่าตอง/ San Pa Tongเชียงใหม่/ Chiang Mai_x000a_50120"/>
    <s v="50120"/>
    <s v="660850354427"/>
    <s v="07/01/2025 17:33"/>
    <s v="-"/>
    <s v="Kerry_dropoff"/>
    <s v="Lazada"/>
    <s v="lazada"/>
    <s v=""/>
    <s v="LEXDO0124222348"/>
    <s v="07/01/2025 17:33"/>
  </r>
  <r>
    <x v="5"/>
    <x v="5"/>
    <n v="330"/>
    <n v="1"/>
    <n v="0"/>
    <s v="EQS39"/>
    <n v="330"/>
    <n v="0"/>
    <s v="ร้านที่1"/>
    <s v="ก***มา ส***รณนิมิตร"/>
    <s v="นครศรีธรรมราช"/>
    <s v="-"/>
    <s v=""/>
    <s v="07/01/2025 17:30"/>
    <s v="-"/>
    <s v="J&amp;T COD"/>
    <s v="Tiktok"/>
    <s v="จ่ายทีหลัง / COD"/>
    <s v=""/>
    <s v="754322326870"/>
    <s v="07/01/2025 17:31"/>
  </r>
  <r>
    <x v="9"/>
    <x v="4"/>
    <n v="100"/>
    <n v="1"/>
    <n v="0"/>
    <s v="EQS38"/>
    <n v="129"/>
    <n v="29"/>
    <s v="ร้านที่2"/>
    <s v="ส***สา  อ***านุร์กษ์"/>
    <s v="อ่างทอง"/>
    <s v="-"/>
    <s v=""/>
    <s v="07/01/2025 17:29"/>
    <s v="-"/>
    <s v="J&amp;T COD"/>
    <s v="Tiktok"/>
    <s v="จ่ายทีหลัง / COD"/>
    <s v=""/>
    <s v="754371732822"/>
    <s v="07/01/2025 17:29"/>
  </r>
  <r>
    <x v="0"/>
    <x v="0"/>
    <n v="100"/>
    <n v="1"/>
    <n v="0"/>
    <s v="EQS36"/>
    <n v="145"/>
    <n v="45"/>
    <s v="ร้านที่2"/>
    <s v="น***รัชนีกร ห***อน เ***์น"/>
    <s v="จันทบุรี"/>
    <s v="-"/>
    <s v=""/>
    <s v="07/01/2025 17:21"/>
    <s v="-"/>
    <s v="J&amp;T COD"/>
    <s v="Tiktok"/>
    <s v="จ่ายทีหลัง / COD"/>
    <s v=""/>
    <s v="754309131800"/>
    <s v="07/01/2025 17:21"/>
  </r>
  <r>
    <x v="0"/>
    <x v="0"/>
    <n v="100"/>
    <n v="1"/>
    <n v="0"/>
    <s v="EQS34"/>
    <n v="106"/>
    <n v="6"/>
    <s v="ร้านที่2"/>
    <s v="ก***ิการ์ แ***เจริญ"/>
    <s v="ชุมพร"/>
    <s v="-"/>
    <s v=""/>
    <s v="07/01/2025 17:18"/>
    <s v="-"/>
    <s v="J&amp;T COD"/>
    <s v="Tiktok"/>
    <s v="จ่ายทีหลัง / COD"/>
    <s v=""/>
    <s v="754382233883"/>
    <s v="07/01/2025 17:18"/>
  </r>
  <r>
    <x v="10"/>
    <x v="10"/>
    <n v="200"/>
    <n v="1"/>
    <n v="0"/>
    <s v="EQS32"/>
    <n v="200"/>
    <n v="0"/>
    <s v="ร้านที่4"/>
    <s v="เ***ลักษณ์  ก***เกตุ"/>
    <s v="ชลบุรี"/>
    <s v="-"/>
    <s v=""/>
    <s v="07/01/2025 17:09"/>
    <s v="-"/>
    <s v="Flash Express Thailand COD"/>
    <s v="Tiktok"/>
    <s v="จ่ายทีหลัง / COD"/>
    <s v=""/>
    <s v="THT20041EA2PS9Z"/>
    <s v="07/01/2025 17:09"/>
  </r>
  <r>
    <x v="1"/>
    <x v="1"/>
    <n v="200"/>
    <n v="1"/>
    <n v="0"/>
    <s v="EQS29"/>
    <n v="200"/>
    <n v="0"/>
    <s v="ร้านที่4"/>
    <s v="ก***า ช***ชูเชิด"/>
    <s v="สุพรรณบุรี"/>
    <s v="-"/>
    <s v=""/>
    <s v="07/01/2025 16:49"/>
    <s v="-"/>
    <s v="Flash Express Thailand COD"/>
    <s v="Tiktok"/>
    <s v="จ่ายทีหลัง / COD"/>
    <s v=""/>
    <s v="THT14101EA03K4Z"/>
    <s v="07/01/2025 16:52"/>
  </r>
  <r>
    <x v="3"/>
    <x v="3"/>
    <n v="130"/>
    <n v="2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4"/>
    <x v="4"/>
    <n v="130"/>
    <n v="2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19"/>
    <x v="19"/>
    <n v="225"/>
    <n v="1"/>
    <n v="0"/>
    <s v="EQS28"/>
    <n v="745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7/01/2025 16:52"/>
    <s v="-"/>
    <s v="SPX Express"/>
    <s v="Shopee"/>
    <s v="shopee"/>
    <s v=""/>
    <s v="TH2590076121868"/>
    <s v="07/01/2025 16:52"/>
  </r>
  <r>
    <x v="0"/>
    <x v="0"/>
    <n v="100"/>
    <n v="1"/>
    <n v="0"/>
    <s v="EQS27"/>
    <n v="100"/>
    <n v="0"/>
    <s v="ร้านที่1"/>
    <s v="ก***ารัตน์ จ***า"/>
    <s v="อุทัยธานี"/>
    <s v="-"/>
    <s v=""/>
    <s v="07/01/2025 16:50"/>
    <s v="-"/>
    <s v="J&amp;T COD"/>
    <s v="Tiktok"/>
    <s v="จ่ายทีหลัง / COD"/>
    <s v=""/>
    <s v="754341727845"/>
    <s v="07/01/2025 16:50"/>
  </r>
  <r>
    <x v="10"/>
    <x v="10"/>
    <n v="200"/>
    <n v="1"/>
    <n v="0"/>
    <s v="EQS26"/>
    <n v="345"/>
    <n v="45"/>
    <s v="ร้านที่4"/>
    <s v="ส***รัตน์"/>
    <s v="อุบลราชธานี"/>
    <s v="-"/>
    <s v=""/>
    <s v="07/01/2025 16:42"/>
    <s v="-"/>
    <s v="Flash Express Thailand COD"/>
    <s v="Tiktok"/>
    <s v="จ่ายทีหลัง / COD"/>
    <s v=""/>
    <s v="THT31041E9Q3W2Z"/>
    <s v="07/01/2025 16:50"/>
  </r>
  <r>
    <x v="0"/>
    <x v="0"/>
    <n v="100"/>
    <n v="1"/>
    <n v="0"/>
    <s v="EQS26"/>
    <n v="345"/>
    <n v="45"/>
    <s v="ร้านที่4"/>
    <s v="ส***รัตน์"/>
    <s v="อุบลราชธานี"/>
    <s v="-"/>
    <s v=""/>
    <s v="07/01/2025 16:42"/>
    <s v="-"/>
    <s v="Flash Express Thailand COD"/>
    <s v="Tiktok"/>
    <s v="จ่ายทีหลัง / COD"/>
    <s v=""/>
    <s v="THT31041E9Q3W2Z"/>
    <s v="07/01/2025 16:49"/>
  </r>
  <r>
    <x v="1"/>
    <x v="1"/>
    <n v="200"/>
    <n v="1"/>
    <n v="0"/>
    <s v="EQS24"/>
    <n v="200"/>
    <n v="0"/>
    <s v="ร้านที่1"/>
    <s v="ส***ักษณ์ ศ***มาเมือง"/>
    <s v="เชียงใหม่"/>
    <s v="-"/>
    <s v=""/>
    <s v="07/01/2025 16:34"/>
    <s v="-"/>
    <s v="J&amp;T COD"/>
    <s v="Tiktok"/>
    <s v="จ่ายทีหลัง / COD"/>
    <s v=""/>
    <s v="754377530852"/>
    <s v="07/01/2025 16:47"/>
  </r>
  <r>
    <x v="10"/>
    <x v="10"/>
    <n v="200"/>
    <n v="1"/>
    <n v="0"/>
    <s v="EQS23"/>
    <n v="200"/>
    <n v="0"/>
    <s v="ร้านที่4"/>
    <s v="จ***ง  เ***อม่วง"/>
    <s v="สระบุรี"/>
    <s v="-"/>
    <s v=""/>
    <s v="07/01/2025 16:31"/>
    <s v="-"/>
    <s v="Flash Express Thailand COD"/>
    <s v="Tiktok"/>
    <s v="จ่ายทีหลัง / COD"/>
    <s v=""/>
    <s v="THT10091EA04Y3Z"/>
    <s v="07/01/2025 16:46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13"/>
    <x v="30"/>
    <n v="129.52000000000001"/>
    <n v="1"/>
    <n v="0"/>
    <s v="EQS22"/>
    <n v="477.56"/>
    <n v="89"/>
    <s v="ร้านที่9"/>
    <s v="รุ่งทิวา ฤทธิ์วงค์"/>
    <s v="178 หมู่1 ต.ท่าขนุน อ.ทองผาภูมิ · ท่าขนุน/ Tha Khanun_x000a__x000a_ทองผาภูมิ/ Thong Pha Phumกาญจนบุรี/ Kanchanaburi_x000a_71180"/>
    <s v="71180"/>
    <s v="660959435563"/>
    <s v="07/01/2025 16:45"/>
    <s v="-"/>
    <s v="Kerry_dropoff"/>
    <s v="Lazada"/>
    <s v="lazada"/>
    <s v=""/>
    <s v="TH13026P8FHK5B"/>
    <s v="07/01/2025 16:45"/>
  </r>
  <r>
    <x v="0"/>
    <x v="0"/>
    <n v="100"/>
    <n v="1"/>
    <n v="0"/>
    <s v="EQS21"/>
    <n v="106"/>
    <n v="6"/>
    <s v="ร้านที่1"/>
    <s v="ว***รณ์"/>
    <s v="มหาสารคาม"/>
    <s v="-"/>
    <s v=""/>
    <s v="07/01/2025 16:28"/>
    <s v="-"/>
    <s v="J&amp;T COD"/>
    <s v="Tiktok"/>
    <s v="จ่ายทีหลัง / COD"/>
    <s v=""/>
    <s v="754365447872"/>
    <s v="07/01/2025 16:45"/>
  </r>
  <r>
    <x v="1"/>
    <x v="1"/>
    <n v="200"/>
    <n v="1"/>
    <n v="0"/>
    <s v="EQS20"/>
    <n v="200"/>
    <n v="0"/>
    <s v="ร้านที่2"/>
    <s v="จ***ง  เ***อม่วง"/>
    <s v="สระบุรี"/>
    <s v="-"/>
    <s v=""/>
    <s v="07/01/2025 16:28"/>
    <s v="-"/>
    <s v="J&amp;T COD"/>
    <s v="Tiktok"/>
    <s v="จ่ายทีหลัง / COD"/>
    <s v=""/>
    <s v="754389126890"/>
    <s v="07/01/2025 16:44"/>
  </r>
  <r>
    <x v="9"/>
    <x v="4"/>
    <n v="100"/>
    <n v="1"/>
    <n v="0"/>
    <s v="EQS19"/>
    <n v="200"/>
    <n v="0"/>
    <s v="ร้านที่2"/>
    <s v="น***รัตน์ ช***สลัก"/>
    <s v="สงขลา"/>
    <s v="-"/>
    <s v=""/>
    <s v="07/01/2025 16:28"/>
    <s v="-"/>
    <s v="J&amp;T COD"/>
    <s v="Tiktok"/>
    <s v="จ่ายทีหลัง / COD"/>
    <s v=""/>
    <s v="754351621844"/>
    <s v="07/01/2025 16:44"/>
  </r>
  <r>
    <x v="0"/>
    <x v="0"/>
    <n v="100"/>
    <n v="1"/>
    <n v="0"/>
    <s v="EQS19"/>
    <n v="200"/>
    <n v="0"/>
    <s v="ร้านที่2"/>
    <s v="น***รัตน์ ช***สลัก"/>
    <s v="สงขลา"/>
    <s v="-"/>
    <s v=""/>
    <s v="07/01/2025 16:28"/>
    <s v="-"/>
    <s v="J&amp;T COD"/>
    <s v="Tiktok"/>
    <s v="จ่ายทีหลัง / COD"/>
    <s v=""/>
    <s v="754351621844"/>
    <s v="07/01/2025 16:44"/>
  </r>
  <r>
    <x v="0"/>
    <x v="0"/>
    <n v="100"/>
    <n v="1"/>
    <n v="0"/>
    <s v="EQS18"/>
    <n v="106"/>
    <n v="6"/>
    <s v="ร้านที่1"/>
    <s v="ไ***ัลย์  เ***ร์เมือง"/>
    <s v="Ubon Ratchathani"/>
    <s v="-"/>
    <s v=""/>
    <s v="07/01/2025 16:25"/>
    <s v="-"/>
    <s v="J&amp;T Express"/>
    <s v="Tiktok"/>
    <s v="tiktok"/>
    <s v=""/>
    <s v="754343931806"/>
    <s v="07/01/2025 16:43"/>
  </r>
  <r>
    <x v="3"/>
    <x v="8"/>
    <n v="80.91"/>
    <n v="1"/>
    <n v="0"/>
    <s v="EQS17"/>
    <n v="85.91"/>
    <n v="5"/>
    <s v="ร้านที่6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07/01/2025 16:42"/>
    <s v="-"/>
    <s v="Kerry_dropoff"/>
    <s v="Lazada"/>
    <s v="lazada"/>
    <s v=""/>
    <s v="LEXPU0443390272"/>
    <s v="07/01/2025 16:42"/>
  </r>
  <r>
    <x v="10"/>
    <x v="10"/>
    <n v="200"/>
    <n v="1"/>
    <n v="0"/>
    <s v="EQS15"/>
    <n v="300"/>
    <n v="0"/>
    <s v="ร้านที่4"/>
    <s v="พ***พร ค***ือง"/>
    <s v="กรุงเทพฯ"/>
    <s v="-"/>
    <s v=""/>
    <s v="07/01/2025 16:24"/>
    <s v="-"/>
    <s v="Flash Express Thailand"/>
    <s v="Tiktok"/>
    <s v="tiktok"/>
    <s v=""/>
    <s v="THT01491EA29K1Z"/>
    <s v="07/01/2025 16:28"/>
  </r>
  <r>
    <x v="3"/>
    <x v="3"/>
    <n v="100"/>
    <n v="1"/>
    <n v="0"/>
    <s v="EQS15"/>
    <n v="300"/>
    <n v="0"/>
    <s v="ร้านที่4"/>
    <s v="พ***พร ค***ือง"/>
    <s v="กรุงเทพฯ"/>
    <s v="-"/>
    <s v=""/>
    <s v="07/01/2025 16:24"/>
    <s v="-"/>
    <s v="Flash Express Thailand"/>
    <s v="Tiktok"/>
    <s v="tiktok"/>
    <s v=""/>
    <s v="THT01491EA29K1Z"/>
    <s v="07/01/2025 16:28"/>
  </r>
  <r>
    <x v="0"/>
    <x v="0"/>
    <n v="100"/>
    <n v="1"/>
    <n v="0"/>
    <s v="EQS13"/>
    <n v="106"/>
    <n v="6"/>
    <s v="ร้านที่2"/>
    <s v="ช*** ช***อารมย์"/>
    <s v="ชลบุรี"/>
    <s v="-"/>
    <s v=""/>
    <s v="07/01/2025 16:18"/>
    <s v="-"/>
    <s v="J&amp;T Express"/>
    <s v="Tiktok"/>
    <s v="tiktok"/>
    <s v=""/>
    <s v="754368045874"/>
    <s v="07/01/2025 16:24"/>
  </r>
  <r>
    <x v="1"/>
    <x v="1"/>
    <n v="200"/>
    <n v="1"/>
    <n v="0"/>
    <s v="EQS12"/>
    <n v="200"/>
    <n v="0"/>
    <s v="ร้านที่2"/>
    <s v="จ***ิมา ร***วราหะ"/>
    <s v="พระนครศรีอยุธยา"/>
    <s v="-"/>
    <s v=""/>
    <s v="07/01/2025 16:21"/>
    <s v="-"/>
    <s v="J&amp;T COD"/>
    <s v="Tiktok"/>
    <s v="จ่ายทีหลัง / COD"/>
    <s v=""/>
    <s v="754393643883"/>
    <s v="07/01/2025 16:24"/>
  </r>
  <r>
    <x v="4"/>
    <x v="4"/>
    <n v="100"/>
    <n v="1"/>
    <n v="0"/>
    <s v="EQS11"/>
    <n v="100"/>
    <n v="0"/>
    <s v="ร้านที่2"/>
    <s v="ก*** ม***ิมพ์"/>
    <s v="สุพรรณบุรี"/>
    <s v="-"/>
    <s v=""/>
    <s v="07/01/2025 16:23"/>
    <s v="-"/>
    <s v="J&amp;T Express"/>
    <s v="Tiktok"/>
    <s v="tiktok"/>
    <s v=""/>
    <s v="754365510802"/>
    <s v="07/01/2025 16:24"/>
  </r>
  <r>
    <x v="1"/>
    <x v="1"/>
    <n v="200"/>
    <n v="1"/>
    <n v="0"/>
    <s v="EQS7"/>
    <n v="200"/>
    <n v="0"/>
    <s v="ร้านที่2"/>
    <s v="จ***แจง"/>
    <s v="อุตรดิตถ์"/>
    <s v="-"/>
    <s v=""/>
    <s v="07/01/2025 16:08"/>
    <s v="-"/>
    <s v="J&amp;T COD"/>
    <s v="Tiktok"/>
    <s v="จ่ายทีหลัง / COD"/>
    <s v=""/>
    <s v="754393441863"/>
    <s v="07/01/2025 16:12"/>
  </r>
  <r>
    <x v="0"/>
    <x v="0"/>
    <n v="100"/>
    <n v="1"/>
    <n v="0"/>
    <s v="EQS6"/>
    <n v="290"/>
    <n v="0"/>
    <s v="ร้านที่2"/>
    <s v="น*** ข***ชญาดากุล"/>
    <s v="กาญจนบุรี"/>
    <s v="-"/>
    <s v=""/>
    <s v="07/01/2025 16:09"/>
    <s v="-"/>
    <s v="J&amp;T COD"/>
    <s v="Tiktok"/>
    <s v="จ่ายทีหลัง / COD"/>
    <s v=""/>
    <s v="754398914861"/>
    <s v="07/01/2025 16:12"/>
  </r>
  <r>
    <x v="36"/>
    <x v="51"/>
    <n v="232.24"/>
    <n v="1"/>
    <n v="0"/>
    <s v="EQS5"/>
    <n v="232.24"/>
    <n v="0"/>
    <s v="ร้านที่10"/>
    <s v="ละออง เเก้วสูงเนิน"/>
    <s v="ซอยเขาเทพนม 205/1 ม. 19 · คลองลานพัฒนา/ Khlong Lan Phatthana_x000a__x000a_คลองลาน/ Khlong Lanกำแพงเพชร/ Kamphaeng Phet_x000a_62180"/>
    <s v="62180"/>
    <s v="660649026902"/>
    <s v="07/01/2025 16:04"/>
    <s v="-"/>
    <s v="Kerry_dropoff"/>
    <s v="Lazada"/>
    <s v="lazada"/>
    <s v=""/>
    <s v="-"/>
    <s v="07/01/2025 16:04"/>
  </r>
  <r>
    <x v="1"/>
    <x v="1"/>
    <n v="200"/>
    <n v="1"/>
    <n v="0"/>
    <s v="EQS4"/>
    <n v="200"/>
    <n v="0"/>
    <s v="ร้านที่1"/>
    <s v="ป***าภัทร ท***ระดับ"/>
    <s v="สุรินทร์"/>
    <s v="-"/>
    <s v=""/>
    <s v="07/01/2025 16:03"/>
    <s v="-"/>
    <s v="J&amp;T COD"/>
    <s v="Tiktok"/>
    <s v="จ่ายทีหลัง / COD"/>
    <s v=""/>
    <s v="754325232861"/>
    <s v="07/01/2025 16:03"/>
  </r>
  <r>
    <x v="7"/>
    <x v="7"/>
    <n v="74.400000000000006"/>
    <n v="1"/>
    <n v="0"/>
    <s v="EQS3"/>
    <n v="79.400000000000006"/>
    <n v="5"/>
    <s v="ร้านที่1"/>
    <s v="นางสุนันทา สุขสาครธนาวัฒน์"/>
    <s v="31 ม.20 ซอยพัฒนา ถ.กสิกรทุ่งสร้าง ต.ศิลา อ.เมือง จ.ขอนแก่น ติดหมู่บ้านดีไลท์ตลาดบ้านดอน · ศิลา/ Sila_x000a__x000a_เมืองขอนแก่น/ Mueang Khon Kaenขอนแก่น/ Khon Kaen_x000a_40000"/>
    <s v="40000"/>
    <s v="660850036564"/>
    <s v="07/01/2025 15:58"/>
    <s v="-"/>
    <s v="Kerry_dropoff"/>
    <s v="Lazada"/>
    <s v="lazada"/>
    <s v=""/>
    <s v="LEXPU0443394133"/>
    <s v="07/01/2025 15:58"/>
  </r>
  <r>
    <x v="19"/>
    <x v="34"/>
    <n v="149.80000000000001"/>
    <n v="1"/>
    <n v="0"/>
    <s v="EQS2"/>
    <n v="194.8"/>
    <n v="45"/>
    <s v="ร้านที่9"/>
    <s v="สำรอง ฮวบสกุล"/>
    <s v="194|90 หมู่ 9   · หนองละลอก/ Nong Lalok_x000a__x000a_บ้านค่าย/ Ban Khaiระยอง/ Rayong_x000a_21120"/>
    <s v="21120"/>
    <s v="660618316607"/>
    <s v="07/01/2025 15:55"/>
    <s v="-"/>
    <s v="Kerry_dropoff"/>
    <s v="Lazada"/>
    <s v="lazada"/>
    <s v=""/>
    <s v="LEXDO0124223112"/>
    <s v="07/01/2025 15:55"/>
  </r>
  <r>
    <x v="0"/>
    <x v="0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1"/>
    <x v="1"/>
    <n v="2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9"/>
    <x v="4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4"/>
    <x v="4"/>
    <n v="100"/>
    <n v="1"/>
    <n v="0"/>
    <s v="EQS1"/>
    <n v="500"/>
    <n v="0"/>
    <s v="ร้านที่4"/>
    <s v="น***าวกรรณิการ์ พ***์ศรี"/>
    <s v="ชัยภูมิ"/>
    <s v="-"/>
    <s v=""/>
    <s v="07/01/2025 15:52"/>
    <s v="-"/>
    <s v="Flash Express Thailand"/>
    <s v="Tiktok"/>
    <s v="tiktok"/>
    <s v=""/>
    <s v="THT33121EAEZD0Z"/>
    <s v="07/01/2025 15:51"/>
  </r>
  <r>
    <x v="0"/>
    <x v="0"/>
    <n v="100"/>
    <n v="1"/>
    <n v="0"/>
    <s v="EQS0"/>
    <n v="200"/>
    <n v="0"/>
    <s v="ร้านที่2"/>
    <s v="พ***ากร  ม***ดิษฐ์"/>
    <s v="สระบุรี"/>
    <s v="-"/>
    <s v=""/>
    <s v="07/01/2025 15:41"/>
    <s v="-"/>
    <s v="J&amp;T COD"/>
    <s v="Tiktok"/>
    <s v="จ่ายทีหลัง / COD"/>
    <s v=""/>
    <s v="754383717872"/>
    <s v="07/01/2025 15:41"/>
  </r>
  <r>
    <x v="3"/>
    <x v="3"/>
    <n v="100"/>
    <n v="1"/>
    <n v="0"/>
    <s v="EQS0"/>
    <n v="200"/>
    <n v="0"/>
    <s v="ร้านที่2"/>
    <s v="พ***ากร  ม***ดิษฐ์"/>
    <s v="สระบุรี"/>
    <s v="-"/>
    <s v=""/>
    <s v="07/01/2025 15:41"/>
    <s v="-"/>
    <s v="J&amp;T COD"/>
    <s v="Tiktok"/>
    <s v="จ่ายทีหลัง / COD"/>
    <s v=""/>
    <s v="754383717872"/>
    <s v="07/01/2025 15:41"/>
  </r>
  <r>
    <x v="5"/>
    <x v="5"/>
    <n v="350"/>
    <n v="1"/>
    <n v="0"/>
    <s v="EQR99"/>
    <n v="350"/>
    <n v="0"/>
    <s v="ร้านที่4"/>
    <s v="น***ระภาสหนูเจริญ"/>
    <s v="ภูเก็ต"/>
    <s v="-"/>
    <s v=""/>
    <s v="07/01/2025 15:39"/>
    <s v="-"/>
    <s v="Flash Express Thailand COD"/>
    <s v="Tiktok"/>
    <s v="จ่ายทีหลัง / COD"/>
    <s v=""/>
    <s v="THT67031EADTY6Z"/>
    <s v="07/01/2025 15:39"/>
  </r>
  <r>
    <x v="0"/>
    <x v="0"/>
    <n v="100"/>
    <n v="2"/>
    <n v="0"/>
    <s v="EQR98"/>
    <n v="200"/>
    <n v="0"/>
    <s v="ร้านที่4"/>
    <s v="ส***ย์ ม***วร"/>
    <s v="พระนครศรีอยุธยา"/>
    <s v="-"/>
    <s v=""/>
    <s v="07/01/2025 15:39"/>
    <s v="-"/>
    <s v="Flash Express Thailand COD"/>
    <s v="Tiktok"/>
    <s v="จ่ายทีหลัง / COD"/>
    <s v=""/>
    <s v="THT05011E9M9U1Z"/>
    <s v="07/01/2025 15:39"/>
  </r>
  <r>
    <x v="3"/>
    <x v="3"/>
    <n v="100"/>
    <n v="1"/>
    <n v="0"/>
    <s v="EQR97"/>
    <n v="100"/>
    <n v="0"/>
    <s v="ร้านที่1"/>
    <s v="พ***ากร  ม***ดิษฐ์"/>
    <s v="พิจิตร"/>
    <s v="-"/>
    <s v=""/>
    <s v="07/01/2025 15:39"/>
    <s v="-"/>
    <s v="J&amp;T COD"/>
    <s v="Tiktok"/>
    <s v="จ่ายทีหลัง / COD"/>
    <s v=""/>
    <s v="754320327891"/>
    <s v="07/01/2025 15:39"/>
  </r>
  <r>
    <x v="0"/>
    <x v="0"/>
    <n v="100"/>
    <n v="1"/>
    <n v="0"/>
    <s v="EQR96"/>
    <n v="200"/>
    <n v="0"/>
    <s v="ร้านที่4"/>
    <s v="ค** จ***พร ห***นตร์"/>
    <s v="พระนครศรีอยุธยา"/>
    <s v="-"/>
    <s v=""/>
    <s v="07/01/2025 15:39"/>
    <s v="-"/>
    <s v="Flash Express Thailand"/>
    <s v="Tiktok"/>
    <s v="tiktok"/>
    <s v=""/>
    <s v="THT05061EA4729Z"/>
    <s v="07/01/2025 15:38"/>
  </r>
  <r>
    <x v="3"/>
    <x v="3"/>
    <n v="100"/>
    <n v="1"/>
    <n v="0"/>
    <s v="EQR96"/>
    <n v="200"/>
    <n v="0"/>
    <s v="ร้านที่4"/>
    <s v="ค** จ***พร ห***นตร์"/>
    <s v="พระนครศรีอยุธยา"/>
    <s v="-"/>
    <s v=""/>
    <s v="07/01/2025 15:39"/>
    <s v="-"/>
    <s v="Flash Express Thailand"/>
    <s v="Tiktok"/>
    <s v="tiktok"/>
    <s v=""/>
    <s v="THT05061EA4729Z"/>
    <s v="07/01/2025 15:38"/>
  </r>
  <r>
    <x v="5"/>
    <x v="5"/>
    <n v="330"/>
    <n v="1"/>
    <n v="0"/>
    <s v="EQR95"/>
    <n v="330"/>
    <n v="0"/>
    <s v="ร้านที่2"/>
    <s v="น***าว ส***นทร์ตรา ศ***ัดชา"/>
    <s v="เทศบาลนครขอนแก่น"/>
    <s v="-"/>
    <s v=""/>
    <s v="07/01/2025 15:28"/>
    <s v="-"/>
    <s v="J&amp;T COD"/>
    <s v="Tiktok"/>
    <s v="จ่ายทีหลัง / COD"/>
    <s v=""/>
    <s v="754371329876"/>
    <s v="07/01/2025 15:29"/>
  </r>
  <r>
    <x v="24"/>
    <x v="32"/>
    <n v="458.76"/>
    <n v="1"/>
    <n v="0"/>
    <s v="EQR94"/>
    <n v="458.76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7/01/2025 15:27"/>
    <s v="-"/>
    <s v="Kerry_dropoff"/>
    <s v="Lazada"/>
    <s v="lazada"/>
    <s v=""/>
    <s v="LEXPU0443399335"/>
    <s v="07/01/2025 15:27"/>
  </r>
  <r>
    <x v="10"/>
    <x v="10"/>
    <n v="200"/>
    <n v="1"/>
    <n v="0"/>
    <s v="EQR93"/>
    <n v="200"/>
    <n v="0"/>
    <s v="ร้านที่1"/>
    <s v="ว*** อ***ดทอง"/>
    <s v="สงขลา"/>
    <s v="-"/>
    <s v=""/>
    <s v="07/01/2025 15:23"/>
    <s v="-"/>
    <s v="J&amp;T COD"/>
    <s v="Tiktok"/>
    <s v="จ่ายทีหลัง / COD"/>
    <s v=""/>
    <s v="754387230844"/>
    <s v="07/01/2025 15:23"/>
  </r>
  <r>
    <x v="1"/>
    <x v="1"/>
    <n v="200"/>
    <n v="1"/>
    <n v="0"/>
    <s v="EQR92"/>
    <n v="200"/>
    <n v="0"/>
    <s v="ร้านที่2"/>
    <s v="อ***​  ส***ก้ว"/>
    <s v="นครศรีธรรมราช"/>
    <s v="-"/>
    <s v=""/>
    <s v="07/01/2025 15:21"/>
    <s v="-"/>
    <s v="J&amp;T COD"/>
    <s v="Tiktok"/>
    <s v="จ่ายทีหลัง / COD"/>
    <s v=""/>
    <s v="754335838863"/>
    <s v="07/01/2025 15:21"/>
  </r>
  <r>
    <x v="13"/>
    <x v="30"/>
    <n v="119.84"/>
    <n v="1"/>
    <n v="0"/>
    <s v="EQR91"/>
    <n v="124.84"/>
    <n v="5"/>
    <s v="ร้านที่9"/>
    <s v="เก้าเมษา"/>
    <s v="363/15 (ถ.5) หมู่ที่ 1 ตำบลวังกระแจะ อำเภอเมืองตราด  ถ.5 · วังกระแจะ/ Wang Krachae_x000a__x000a_เมืองตราด/ Mueang Tratตราด/ Trat_x000a_23000"/>
    <s v="23000"/>
    <s v="660897471141"/>
    <s v="07/01/2025 15:21"/>
    <s v="-"/>
    <s v="Kerry_dropoff"/>
    <s v="Lazada"/>
    <s v="lazada"/>
    <s v=""/>
    <s v="LEXDO0124208707"/>
    <s v="07/01/2025 15:21"/>
  </r>
  <r>
    <x v="10"/>
    <x v="10"/>
    <n v="200"/>
    <n v="1"/>
    <n v="0"/>
    <s v="EQR90"/>
    <n v="200"/>
    <n v="0"/>
    <s v="ร้านที่1"/>
    <s v="ญ***นันท์"/>
    <s v="สมุทรปราการ"/>
    <s v="-"/>
    <s v=""/>
    <s v="07/01/2025 15:17"/>
    <s v="-"/>
    <s v="J&amp;T COD"/>
    <s v="Tiktok"/>
    <s v="จ่ายทีหลัง / COD"/>
    <s v=""/>
    <s v="754328834884"/>
    <s v="07/01/2025 15:17"/>
  </r>
  <r>
    <x v="35"/>
    <x v="46"/>
    <n v="100"/>
    <n v="1"/>
    <n v="0"/>
    <s v="EQR89"/>
    <n v="200"/>
    <n v="0"/>
    <s v="ร้านที่4"/>
    <s v="อ***ี ก***ทอง"/>
    <s v="สุพรรณบุรี"/>
    <s v="-"/>
    <s v=""/>
    <s v="07/01/2025 15:12"/>
    <s v="-"/>
    <s v="Flash Express Thailand COD"/>
    <s v="Tiktok"/>
    <s v="จ่ายทีหลัง / COD"/>
    <s v=""/>
    <s v="THT14081E9HHY6Z"/>
    <s v="07/01/2025 15:12"/>
  </r>
  <r>
    <x v="0"/>
    <x v="0"/>
    <n v="100"/>
    <n v="1"/>
    <n v="0"/>
    <s v="EQR89"/>
    <n v="200"/>
    <n v="0"/>
    <s v="ร้านที่4"/>
    <s v="อ***ี ก***ทอง"/>
    <s v="สุพรรณบุรี"/>
    <s v="-"/>
    <s v=""/>
    <s v="07/01/2025 15:12"/>
    <s v="-"/>
    <s v="Flash Express Thailand COD"/>
    <s v="Tiktok"/>
    <s v="จ่ายทีหลัง / COD"/>
    <s v=""/>
    <s v="THT14081E9HHY6Z"/>
    <s v="07/01/2025 15:12"/>
  </r>
  <r>
    <x v="3"/>
    <x v="3"/>
    <n v="100"/>
    <n v="1"/>
    <n v="0"/>
    <s v="EQR88"/>
    <n v="200"/>
    <n v="0"/>
    <s v="ร้านที่2"/>
    <s v="ร***ง น***ุรี"/>
    <s v="ประจวบคีรีขันธ์"/>
    <s v="-"/>
    <s v=""/>
    <s v="07/01/2025 15:15"/>
    <s v="-"/>
    <s v="J&amp;T Express"/>
    <s v="Tiktok"/>
    <s v="tiktok"/>
    <s v=""/>
    <s v="754304715861"/>
    <s v="07/01/2025 15:10"/>
  </r>
  <r>
    <x v="9"/>
    <x v="4"/>
    <n v="100"/>
    <n v="1"/>
    <n v="0"/>
    <s v="EQR88"/>
    <n v="200"/>
    <n v="0"/>
    <s v="ร้านที่2"/>
    <s v="ร***ง น***ุรี"/>
    <s v="ประจวบคีรีขันธ์"/>
    <s v="-"/>
    <s v=""/>
    <s v="07/01/2025 15:15"/>
    <s v="-"/>
    <s v="J&amp;T Express"/>
    <s v="Tiktok"/>
    <s v="tiktok"/>
    <s v=""/>
    <s v="754304715861"/>
    <s v="07/01/2025 15:10"/>
  </r>
  <r>
    <x v="0"/>
    <x v="0"/>
    <n v="100"/>
    <n v="1"/>
    <n v="0"/>
    <s v="EQR87"/>
    <n v="145"/>
    <n v="45"/>
    <s v="ร้านที่1"/>
    <s v="น***รัชนี บ***รี"/>
    <s v="ขอนแก่น"/>
    <s v="-"/>
    <s v=""/>
    <s v="07/01/2025 15:10"/>
    <s v="-"/>
    <s v="J&amp;T COD"/>
    <s v="Tiktok"/>
    <s v="จ่ายทีหลัง / COD"/>
    <s v=""/>
    <s v="754313043886"/>
    <s v="07/01/2025 15:10"/>
  </r>
  <r>
    <x v="7"/>
    <x v="7"/>
    <n v="62.4"/>
    <n v="1"/>
    <n v="0"/>
    <s v="EQR85"/>
    <n v="67.400000000000006"/>
    <n v="5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07/01/2025 15:01"/>
    <s v="-"/>
    <s v="Kerry_dropoff"/>
    <s v="Lazada"/>
    <s v="lazada"/>
    <s v=""/>
    <s v="LEXPU0443393962"/>
    <s v="07/01/2025 15:01"/>
  </r>
  <r>
    <x v="5"/>
    <x v="5"/>
    <n v="330"/>
    <n v="1"/>
    <n v="0"/>
    <s v="EQR84"/>
    <n v="330"/>
    <n v="0"/>
    <s v="ร้านที่2"/>
    <s v="จ***ยุทธ ห***"/>
    <s v="เทศบาลนครอุบลราชธานี"/>
    <s v="-"/>
    <s v=""/>
    <s v="07/01/2025 15:00"/>
    <s v="-"/>
    <s v="J&amp;T COD"/>
    <s v="Tiktok"/>
    <s v="จ่ายทีหลัง / COD"/>
    <s v=""/>
    <s v="754376230845"/>
    <s v="07/01/2025 15:00"/>
  </r>
  <r>
    <x v="24"/>
    <x v="26"/>
    <n v="473.58"/>
    <n v="1"/>
    <n v="0"/>
    <s v="EQR83"/>
    <n v="497.58"/>
    <n v="24"/>
    <s v="ร้านที่9"/>
    <s v="พนิพิชชา ศรีสุวรรณ"/>
    <s v="226 ม.6 · หนองขาว/ Nong Khao_x000a__x000a_ท่าม่วง/ Tha Muangกาญจนบุรี/ Kanchanaburi_x000a_71110"/>
    <s v="71110"/>
    <s v="660922690981"/>
    <s v="07/01/2025 15:00"/>
    <s v="-"/>
    <s v="Kerry_dropoff"/>
    <s v="Lazada"/>
    <s v="lazada"/>
    <s v=""/>
    <s v="LEXDO0124222493"/>
    <s v="07/01/2025 15:00"/>
  </r>
  <r>
    <x v="13"/>
    <x v="30"/>
    <n v="148.6"/>
    <n v="1"/>
    <n v="0"/>
    <s v="EQR81"/>
    <n v="148.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8"/>
    <s v="-"/>
    <s v="Kerry_dropoff"/>
    <s v="Lazada"/>
    <s v="lazada"/>
    <s v=""/>
    <s v="TH62046P8TA11A"/>
    <s v="07/01/2025 14:58"/>
  </r>
  <r>
    <x v="0"/>
    <x v="0"/>
    <n v="100"/>
    <n v="1"/>
    <n v="0"/>
    <s v="EQR80"/>
    <n v="106"/>
    <n v="6"/>
    <s v="ร้านที่4"/>
    <s v="พ***ี แ***มี"/>
    <s v="สงขลา"/>
    <s v="-"/>
    <s v=""/>
    <s v="07/01/2025 14:57"/>
    <s v="-"/>
    <s v="Flash Express Thailand COD"/>
    <s v="Tiktok"/>
    <s v="จ่ายทีหลัง / COD"/>
    <s v=""/>
    <s v="THT71111E9PEK2Z"/>
    <s v="07/01/2025 14:57"/>
  </r>
  <r>
    <x v="19"/>
    <x v="34"/>
    <n v="127.33"/>
    <n v="1"/>
    <n v="0"/>
    <s v="EQR79"/>
    <n v="254.6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3"/>
    <s v="-"/>
    <s v="Kerry_dropoff"/>
    <s v="Lazada"/>
    <s v="lazada"/>
    <s v=""/>
    <s v="TH62046P9DPB8A"/>
    <s v="07/01/2025 14:53"/>
  </r>
  <r>
    <x v="19"/>
    <x v="34"/>
    <n v="127.33"/>
    <n v="1"/>
    <n v="0"/>
    <s v="EQR79"/>
    <n v="254.66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07/01/2025 14:53"/>
    <s v="-"/>
    <s v="Kerry_dropoff"/>
    <s v="Lazada"/>
    <s v="lazada"/>
    <s v=""/>
    <s v="TH62046P9DPB8A"/>
    <s v="07/01/2025 14:53"/>
  </r>
  <r>
    <x v="10"/>
    <x v="10"/>
    <n v="200"/>
    <n v="1"/>
    <n v="0"/>
    <s v="EQR78"/>
    <n v="200"/>
    <n v="0"/>
    <s v="ร้านที่1"/>
    <s v="T***30"/>
    <s v="ปทุมธานี"/>
    <s v="-"/>
    <s v=""/>
    <s v="07/01/2025 14:51"/>
    <s v="-"/>
    <s v="J&amp;T COD"/>
    <s v="Tiktok"/>
    <s v="จ่ายทีหลัง / COD"/>
    <s v=""/>
    <s v="754361333806"/>
    <s v="07/01/2025 14:51"/>
  </r>
  <r>
    <x v="19"/>
    <x v="34"/>
    <n v="127.31"/>
    <n v="1"/>
    <n v="0"/>
    <s v="EQR77"/>
    <n v="127.31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07/01/2025 21:43"/>
    <s v="-"/>
    <s v="Kerry_dropoff"/>
    <s v="Lazada"/>
    <s v="lazada"/>
    <s v=""/>
    <s v="LEXDO0124221660"/>
    <s v="07/01/2025 14:50"/>
  </r>
  <r>
    <x v="0"/>
    <x v="0"/>
    <n v="100"/>
    <n v="1"/>
    <n v="0"/>
    <s v="EQR76"/>
    <n v="106"/>
    <n v="6"/>
    <s v="ร้านที่2"/>
    <s v="พ**"/>
    <s v="สุราษฎร์ธานี"/>
    <s v="-"/>
    <s v=""/>
    <s v="07/01/2025 14:48"/>
    <s v="-"/>
    <s v="J&amp;T COD"/>
    <s v="Tiktok"/>
    <s v="จ่ายทีหลัง / COD"/>
    <s v=""/>
    <s v="754319633874"/>
    <s v="07/01/2025 14:48"/>
  </r>
  <r>
    <x v="24"/>
    <x v="52"/>
    <n v="741.5"/>
    <n v="1"/>
    <n v="0"/>
    <s v="EQR75"/>
    <n v="805.5"/>
    <n v="64"/>
    <s v="ร้านที่1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"/>
    <s v="-"/>
    <s v="-"/>
    <s v="Kerry_dropoff"/>
    <s v="Lazada"/>
    <s v="-"/>
    <s v=""/>
    <s v="-"/>
    <s v="07/01/2025 14:43"/>
  </r>
  <r>
    <x v="5"/>
    <x v="5"/>
    <n v="330"/>
    <n v="1"/>
    <n v="0"/>
    <s v="EQR74"/>
    <n v="330"/>
    <n v="0"/>
    <s v="ร้านที่1"/>
    <s v="ก***"/>
    <s v="จังหวัดสุราษฎร์ธานี"/>
    <s v="-"/>
    <s v=""/>
    <s v="07/01/2025 14:42"/>
    <s v="-"/>
    <s v="J&amp;T COD"/>
    <s v="Tiktok"/>
    <s v="จ่ายทีหลัง / COD"/>
    <s v=""/>
    <s v="754341321871"/>
    <s v="07/01/2025 14:42"/>
  </r>
  <r>
    <x v="15"/>
    <x v="15"/>
    <n v="200"/>
    <n v="1"/>
    <n v="0"/>
    <s v="EQR73"/>
    <n v="200"/>
    <n v="0"/>
    <s v="ร้านที่1"/>
    <s v="น** เ*** เ***ภาค"/>
    <s v="อุบลราชธานี"/>
    <s v="-"/>
    <s v=""/>
    <s v="07/01/2025 14:41"/>
    <s v="-"/>
    <s v="J&amp;T Express"/>
    <s v="Tiktok"/>
    <s v="tiktok"/>
    <s v=""/>
    <s v="754338440870"/>
    <s v="07/01/2025 14:41"/>
  </r>
  <r>
    <x v="19"/>
    <x v="34"/>
    <n v="119.84"/>
    <n v="1"/>
    <n v="0"/>
    <s v="EQR70"/>
    <n v="124.84"/>
    <n v="5"/>
    <s v="ร้านที่9"/>
    <s v="Phatsarat keanjan"/>
    <s v="1 ถนนเฉลิมพระเกียรติ ร.9 ซอย 6 แยก 3 แขวงหนองบอน เขตประเวศ (ร้านแต่งรถสีดำ)TypeS_x000a__x000a_ประเวศ/ Prawetกรุงเทพมหานคร/ Bangkok_x000a_10250"/>
    <s v="10250"/>
    <s v="660848775454"/>
    <s v="07/01/2025 14:35"/>
    <s v="-"/>
    <s v="Kerry_dropoff"/>
    <s v="Lazada"/>
    <s v="lazada"/>
    <s v=""/>
    <s v="LEXDO0124223102"/>
    <s v="07/01/2025 14:35"/>
  </r>
  <r>
    <x v="1"/>
    <x v="1"/>
    <n v="200"/>
    <n v="1"/>
    <n v="0"/>
    <s v="EQR68"/>
    <n v="200"/>
    <n v="0"/>
    <s v="ร้านที่1"/>
    <s v="จ***ร์เพ็ญ พ***จันทร์"/>
    <s v="หนองบัวลำภู"/>
    <s v="-"/>
    <s v=""/>
    <s v="07/01/2025 14:32"/>
    <s v="-"/>
    <s v="J&amp;T COD"/>
    <s v="Tiktok"/>
    <s v="จ่ายทีหลัง / COD"/>
    <s v=""/>
    <s v="754336234864"/>
    <s v="07/01/2025 14:32"/>
  </r>
  <r>
    <x v="13"/>
    <x v="30"/>
    <n v="118.09"/>
    <n v="1"/>
    <n v="0"/>
    <s v="EQR67"/>
    <n v="118.09"/>
    <n v="0"/>
    <s v="ร้านที่9"/>
    <s v="อรัญญา สุขสำราญ"/>
    <s v="โรงพยาบาลเจ้าพระยายมราช · ท่าพี่เลี้ยง/ Tha Phi Liang_x000a__x000a_เมืองสุพรรณบุรี/ Mueang Suphan Buriสุพรรณบุรี/ Suphanburi_x000a_72000"/>
    <s v="72000"/>
    <s v="660927230932"/>
    <s v="07/01/2025 14:31"/>
    <s v="-"/>
    <s v="Kerry_dropoff"/>
    <s v="Lazada"/>
    <s v="lazada"/>
    <s v=""/>
    <s v="LEXDO0124208974"/>
    <s v="07/01/2025 14:31"/>
  </r>
  <r>
    <x v="29"/>
    <x v="36"/>
    <n v="400"/>
    <n v="1"/>
    <n v="0"/>
    <s v="EQR65"/>
    <n v="400"/>
    <n v="0"/>
    <s v="ร้านที่4"/>
    <s v="น** ก***มา จ***ามา"/>
    <s v="กรุงเทพฯ"/>
    <s v="-"/>
    <s v=""/>
    <s v="07/01/2025 14:30"/>
    <s v="-"/>
    <s v="Flash Express Thailand"/>
    <s v="Tiktok"/>
    <s v="tiktok"/>
    <s v=""/>
    <s v="THT01141EA06X2Z"/>
    <s v="07/01/2025 14:30"/>
  </r>
  <r>
    <x v="10"/>
    <x v="10"/>
    <n v="200"/>
    <n v="1"/>
    <n v="0"/>
    <s v="EQR63"/>
    <n v="200"/>
    <n v="0"/>
    <s v="ร้านที่4"/>
    <s v="ส***า ไ***ัลย์"/>
    <s v="เทศบาลนครนครปฐม"/>
    <s v="-"/>
    <s v=""/>
    <s v="07/01/2025 14:25"/>
    <s v="-"/>
    <s v="Flash Express Thailand COD"/>
    <s v="Tiktok"/>
    <s v="จ่ายทีหลัง / COD"/>
    <s v=""/>
    <s v="THT15031EA2RJ9Z"/>
    <s v="07/01/2025 14:25"/>
  </r>
  <r>
    <x v="3"/>
    <x v="3"/>
    <n v="100"/>
    <n v="1"/>
    <n v="0"/>
    <s v="EQR62"/>
    <n v="106"/>
    <n v="6"/>
    <s v="ร้านที่2"/>
    <s v="y**"/>
    <s v="นครราชสีมา"/>
    <s v="-"/>
    <s v=""/>
    <s v="07/01/2025 14:21"/>
    <s v="-"/>
    <s v="J&amp;T Express"/>
    <s v="Tiktok"/>
    <s v="tiktok"/>
    <s v=""/>
    <s v="754369728884"/>
    <s v="07/01/2025 14:21"/>
  </r>
  <r>
    <x v="19"/>
    <x v="34"/>
    <n v="103.73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2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2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19"/>
    <x v="34"/>
    <n v="103.71"/>
    <n v="1"/>
    <n v="0"/>
    <s v="EQR61"/>
    <n v="414.8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7/01/2025 14:21"/>
    <s v="-"/>
    <s v="Kerry_dropoff"/>
    <s v="Lazada"/>
    <s v="lazada"/>
    <s v=""/>
    <s v="LEXDO0124222554"/>
    <s v="07/01/2025 14:21"/>
  </r>
  <r>
    <x v="32"/>
    <x v="53"/>
    <n v="199"/>
    <n v="1"/>
    <n v="0"/>
    <s v="EQR60"/>
    <n v="199"/>
    <n v="0"/>
    <s v="ร้านที่1"/>
    <s v="ณ******ิ"/>
    <s v="******ต.เมืองยาง, อำเภอชำนิ ตำบลเมืองยาง อำเภอชำนิ จังหวัดบุรีรัมย์ 31110"/>
    <s v="31110"/>
    <s v="91"/>
    <s v="07/01/2025 14:21"/>
    <s v="-"/>
    <s v="Flash Express"/>
    <s v="Shopee"/>
    <s v="shopee"/>
    <s v=""/>
    <s v="TH28186P9NPK8C"/>
    <s v="07/01/2025 14:21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5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13"/>
    <x v="30"/>
    <n v="116.84"/>
    <n v="1"/>
    <n v="0"/>
    <s v="EQR59"/>
    <n v="881.91"/>
    <n v="6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9/01/2025 06:32"/>
    <s v="-"/>
    <s v="Kerry_dropoff"/>
    <s v="Lazada"/>
    <s v="lazada"/>
    <s v=""/>
    <s v="TH24036PCTKT3D"/>
    <s v="07/01/2025 14:19"/>
  </r>
  <r>
    <x v="9"/>
    <x v="4"/>
    <n v="100"/>
    <n v="2"/>
    <n v="0"/>
    <s v="EQR58"/>
    <n v="200"/>
    <n v="0"/>
    <s v="ร้านที่1"/>
    <s v="อ***ติยา ค***ร"/>
    <s v="พระนครศรีอยุธยา"/>
    <s v="-"/>
    <s v=""/>
    <s v="07/01/2025 14:12"/>
    <s v="-"/>
    <s v="J&amp;T COD"/>
    <s v="Tiktok"/>
    <s v="จ่ายทีหลัง / COD"/>
    <s v=""/>
    <s v="754358236833"/>
    <s v="07/01/2025 14:17"/>
  </r>
  <r>
    <x v="2"/>
    <x v="2"/>
    <n v="89.93"/>
    <n v="1"/>
    <n v="0"/>
    <s v="EQR56"/>
    <n v="89.93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07/01/2025 14:13"/>
    <s v="-"/>
    <s v="Kerry_dropoff"/>
    <s v="Lazada"/>
    <s v="lazada"/>
    <s v=""/>
    <s v="LEXPU0443395350"/>
    <s v="07/01/2025 14:13"/>
  </r>
  <r>
    <x v="2"/>
    <x v="2"/>
    <n v="89.93"/>
    <n v="1"/>
    <n v="0"/>
    <s v="EQR55"/>
    <n v="94.93"/>
    <n v="5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07/01/2025 14:13"/>
    <s v="-"/>
    <s v="Kerry_dropoff"/>
    <s v="Lazada"/>
    <s v="lazada"/>
    <s v=""/>
    <s v="LEXPU0443395224"/>
    <s v="07/01/2025 14:11"/>
  </r>
  <r>
    <x v="16"/>
    <x v="37"/>
    <n v="223.78"/>
    <n v="1"/>
    <n v="0"/>
    <s v="EQR54"/>
    <n v="247.78"/>
    <n v="24"/>
    <s v="ร้านที่1"/>
    <s v="นฤมล อภิวัฒน์สกุลชัย"/>
    <s v="258  ซอยสุทธิพร1 ถนนประชาสงเคราะห์2_x000a__x000a_ดินแดง/ Din Daengกรุงเทพมหานคร/ Bangkok_x000a_10400"/>
    <s v="10400"/>
    <s v="660897914326"/>
    <s v="07/01/2025 15:57"/>
    <s v="-"/>
    <s v="Kerry_dropoff"/>
    <s v="Lazada"/>
    <s v="lazada"/>
    <s v=""/>
    <s v="LEXPU0443398401"/>
    <s v="07/01/2025 14:11"/>
  </r>
  <r>
    <x v="5"/>
    <x v="5"/>
    <n v="350"/>
    <n v="1"/>
    <n v="0"/>
    <s v="EQR53"/>
    <n v="350"/>
    <n v="0"/>
    <s v="ร้านที่4"/>
    <s v="ป***รัตน์  จ***ร์สุนทร"/>
    <s v="อุทัยธานี"/>
    <s v="-"/>
    <s v=""/>
    <s v="07/01/2025 14:02"/>
    <s v="-"/>
    <s v="Flash Express Thailand COD"/>
    <s v="Tiktok"/>
    <s v="จ่ายทีหลัง / COD"/>
    <s v=""/>
    <s v="THT57061EA37C9Z"/>
    <s v="07/01/2025 14:03"/>
  </r>
  <r>
    <x v="0"/>
    <x v="0"/>
    <n v="100"/>
    <n v="2"/>
    <n v="0"/>
    <s v="EQR52"/>
    <n v="200"/>
    <n v="0"/>
    <s v="ร้านที่1"/>
    <s v="ส***ธ์ทิพย์ ฟ***องอยู่"/>
    <s v="ตาก"/>
    <s v="-"/>
    <s v=""/>
    <s v="07/01/2025 14:03"/>
    <s v="-"/>
    <s v="J&amp;T Express"/>
    <s v="Tiktok"/>
    <s v="tiktok"/>
    <s v=""/>
    <s v="754385241875"/>
    <s v="07/01/2025 14:02"/>
  </r>
  <r>
    <x v="1"/>
    <x v="1"/>
    <n v="200"/>
    <n v="1"/>
    <n v="0"/>
    <s v="EQR51"/>
    <n v="200"/>
    <n v="0"/>
    <s v="ร้านที่2"/>
    <s v="ป***ากร   โ***"/>
    <s v="ขอนแก่น"/>
    <s v="-"/>
    <s v=""/>
    <s v="07/01/2025 14:02"/>
    <s v="-"/>
    <s v="J&amp;T COD"/>
    <s v="Tiktok"/>
    <s v="จ่ายทีหลัง / COD"/>
    <s v=""/>
    <s v="754370434871"/>
    <s v="07/01/2025 14:02"/>
  </r>
  <r>
    <x v="0"/>
    <x v="0"/>
    <n v="100"/>
    <n v="1"/>
    <n v="0"/>
    <s v="EQR49"/>
    <n v="106"/>
    <n v="6"/>
    <s v="ร้านที่2"/>
    <s v="อ***ักดิ์ อ***าวงค์"/>
    <s v="ลำปาง"/>
    <s v="-"/>
    <s v=""/>
    <s v="07/01/2025 13:53"/>
    <s v="-"/>
    <s v="J&amp;T COD"/>
    <s v="Tiktok"/>
    <s v="จ่ายทีหลัง / COD"/>
    <s v=""/>
    <s v="754373649886"/>
    <s v="07/01/2025 13:53"/>
  </r>
  <r>
    <x v="10"/>
    <x v="10"/>
    <n v="200"/>
    <n v="1"/>
    <n v="0"/>
    <s v="EQR48"/>
    <n v="200"/>
    <n v="0"/>
    <s v="ร้านที่4"/>
    <s v="แ***ม"/>
    <s v="กรุงเทพมหานคร"/>
    <s v="-"/>
    <s v=""/>
    <s v="07/01/2025 13:53"/>
    <s v="-"/>
    <s v="Flash Express Thailand COD"/>
    <s v="Tiktok"/>
    <s v="จ่ายทีหลัง / COD"/>
    <s v=""/>
    <s v="THT01331EA2RE5Z"/>
    <s v="07/01/2025 13:53"/>
  </r>
  <r>
    <x v="4"/>
    <x v="4"/>
    <n v="100"/>
    <n v="1"/>
    <n v="0"/>
    <s v="EQR47"/>
    <n v="145"/>
    <n v="45"/>
    <s v="ร้านที่1"/>
    <s v="ป***ูร  ว***ยดิษฐ"/>
    <s v="สุราษฎร์ธานี"/>
    <s v="-"/>
    <s v=""/>
    <s v="07/01/2025 13:41"/>
    <s v="-"/>
    <s v="J&amp;T COD"/>
    <s v="Tiktok"/>
    <s v="จ่ายทีหลัง / COD"/>
    <s v=""/>
    <s v="754388219830"/>
    <s v="07/01/2025 13:41"/>
  </r>
  <r>
    <x v="9"/>
    <x v="4"/>
    <n v="150"/>
    <n v="1"/>
    <n v="0"/>
    <s v="EQR45"/>
    <n v="185"/>
    <n v="35"/>
    <s v="ร้านที่1"/>
    <s v="น******์"/>
    <s v="******ธิน 89 ต.ประชาธิปปัตย์ ตำบลประชาธิปัตย์ อำเภอธัญบุรี จังหวัดปทุมธานี 12130"/>
    <s v="12130"/>
    <s v="22"/>
    <s v="07/01/2025 13:35"/>
    <s v="-"/>
    <s v="SPX Express"/>
    <s v="Shopee"/>
    <s v="shopee"/>
    <s v=""/>
    <s v="TH257448185513D"/>
    <s v="07/01/2025 13:35"/>
  </r>
  <r>
    <x v="0"/>
    <x v="0"/>
    <n v="100"/>
    <n v="1"/>
    <n v="0"/>
    <s v="EQR44"/>
    <n v="106"/>
    <n v="6"/>
    <s v="ร้านที่2"/>
    <s v="บ***ัตร อ***รบุตร"/>
    <s v="ตำบล บึงกาฬ"/>
    <s v="-"/>
    <s v=""/>
    <s v="07/01/2025 13:28"/>
    <s v="-"/>
    <s v="J&amp;T COD"/>
    <s v="Tiktok"/>
    <s v="จ่ายทีหลัง / COD"/>
    <s v=""/>
    <s v="754333640885"/>
    <s v="07/01/2025 13:28"/>
  </r>
  <r>
    <x v="0"/>
    <x v="0"/>
    <n v="100"/>
    <n v="1"/>
    <n v="0"/>
    <s v="EQR42"/>
    <n v="106"/>
    <n v="6"/>
    <s v="ร้านที่1"/>
    <s v="น***ิรายุ น***ุต"/>
    <s v="ขอนแก่น"/>
    <s v="-"/>
    <s v=""/>
    <s v="07/01/2025 13:26"/>
    <s v="-"/>
    <s v="J&amp;T COD"/>
    <s v="Tiktok"/>
    <s v="จ่ายทีหลัง / COD"/>
    <s v=""/>
    <s v="754313739804"/>
    <s v="07/01/2025 13:26"/>
  </r>
  <r>
    <x v="23"/>
    <x v="54"/>
    <n v="1600"/>
    <n v="1"/>
    <n v="0"/>
    <s v="EQR41"/>
    <n v="1704"/>
    <n v="104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7/01/2025 13:24"/>
    <s v="-"/>
    <s v="SPX Express"/>
    <s v="Shopee"/>
    <s v="shopee"/>
    <s v=""/>
    <s v="TH2538655800086"/>
    <s v="07/01/2025 13:23"/>
  </r>
  <r>
    <x v="0"/>
    <x v="0"/>
    <n v="100"/>
    <n v="2"/>
    <n v="0"/>
    <s v="EQR40"/>
    <n v="200"/>
    <n v="0"/>
    <s v="ร้านที่2"/>
    <s v="อ*** ส***ลี"/>
    <s v="ชลบุรี"/>
    <s v="-"/>
    <s v=""/>
    <s v="07/01/2025 13:15"/>
    <s v="-"/>
    <s v="J&amp;T COD"/>
    <s v="Tiktok"/>
    <s v="จ่ายทีหลัง / COD"/>
    <s v=""/>
    <s v="754399247862"/>
    <s v="07/01/2025 13:15"/>
  </r>
  <r>
    <x v="13"/>
    <x v="30"/>
    <n v="112.35"/>
    <n v="1"/>
    <n v="0"/>
    <s v="EQR39"/>
    <n v="117.35"/>
    <n v="5"/>
    <s v="ร้านที่9"/>
    <s v="พรสุดา ปะไม  (ฝากไว้ป้อมยามเลยนะค่ะ)"/>
    <s v="810/810 บจก  เอเวนิวพลาซ่า  ถนน. ฉลองกรุง ตึกE ห้อง E410 · ลำปลาทิว/ Lam Pla Thio_x000a__x000a_ลาดกระบัง/ Lat Krabangกรุงเทพมหานคร/ Bangkok_x000a_10520"/>
    <s v="10520"/>
    <s v="660924815723"/>
    <s v="07/01/2025 13:15"/>
    <s v="-"/>
    <s v="Kerry_dropoff"/>
    <s v="Lazada"/>
    <s v="lazada"/>
    <s v=""/>
    <s v="LEXDO0124209169"/>
    <s v="07/01/2025 13:14"/>
  </r>
  <r>
    <x v="13"/>
    <x v="30"/>
    <n v="112.35"/>
    <n v="1"/>
    <n v="0"/>
    <s v="EQR38"/>
    <n v="117.35"/>
    <n v="5"/>
    <s v="ร้านที่9"/>
    <s v="นายภูเบศร์ สวงโท"/>
    <s v="หมู่บ้านเจริญทรัพย์ 299/285 ซ.20 หมู่7 ถนน ชัยภูมิ-บ้านเขว้า_x000a__x000a_เมืองชัยภูมิ/ Mueang Chaiyaphumชัยภูมิ/ Chaiyaphum_x000a_36000"/>
    <s v="36000"/>
    <s v="660631919894"/>
    <s v="07/01/2025 13:14"/>
    <s v="-"/>
    <s v="Kerry_dropoff"/>
    <s v="Lazada"/>
    <s v="lazada"/>
    <s v=""/>
    <s v="LEXDO0124208904"/>
    <s v="07/01/2025 13:14"/>
  </r>
  <r>
    <x v="1"/>
    <x v="1"/>
    <n v="200"/>
    <n v="1"/>
    <n v="0"/>
    <s v="EQR37"/>
    <n v="200"/>
    <n v="0"/>
    <s v="ร้านที่1"/>
    <s v="ณ***าภาส์ ห***ม"/>
    <s v="มหาสารคาม"/>
    <s v="-"/>
    <s v=""/>
    <s v="07/01/2025 13:14"/>
    <s v="-"/>
    <s v="J&amp;T COD"/>
    <s v="Tiktok"/>
    <s v="จ่ายทีหลัง / COD"/>
    <s v=""/>
    <s v="754397847862"/>
    <s v="07/01/2025 13:14"/>
  </r>
  <r>
    <x v="4"/>
    <x v="4"/>
    <n v="100"/>
    <n v="1"/>
    <n v="0"/>
    <s v="EQR36"/>
    <n v="200"/>
    <n v="0"/>
    <s v="ร้านที่2"/>
    <s v="เ***าช ย***ันต์"/>
    <s v="ลำพูน"/>
    <s v="-"/>
    <s v=""/>
    <s v="07/01/2025 13:14"/>
    <s v="-"/>
    <s v="J&amp;T COD"/>
    <s v="Tiktok"/>
    <s v="จ่ายทีหลัง / COD"/>
    <s v=""/>
    <s v="754336334813"/>
    <s v="07/01/2025 13:14"/>
  </r>
  <r>
    <x v="9"/>
    <x v="4"/>
    <n v="100"/>
    <n v="1"/>
    <n v="0"/>
    <s v="EQR36"/>
    <n v="200"/>
    <n v="0"/>
    <s v="ร้านที่2"/>
    <s v="เ***าช ย***ันต์"/>
    <s v="ลำพูน"/>
    <s v="-"/>
    <s v=""/>
    <s v="07/01/2025 13:14"/>
    <s v="-"/>
    <s v="J&amp;T COD"/>
    <s v="Tiktok"/>
    <s v="จ่ายทีหลัง / COD"/>
    <s v=""/>
    <s v="754336334813"/>
    <s v="07/01/2025 13:14"/>
  </r>
  <r>
    <x v="32"/>
    <x v="53"/>
    <n v="199"/>
    <n v="1"/>
    <n v="0"/>
    <s v="EQR32"/>
    <n v="199"/>
    <n v="0"/>
    <s v="ร้านที่1"/>
    <s v="บ*ม"/>
    <s v="******บ้านตาก จ.ตาก ตำบลแม่สลิด อำเภอบ้านตาก จังหวัดตาก 63120"/>
    <s v="63120"/>
    <s v="36"/>
    <s v="07/01/2025 13:33"/>
    <s v="-"/>
    <s v="SPX Express"/>
    <s v="Shopee"/>
    <s v="shopee"/>
    <s v=""/>
    <s v="TH258740435568U"/>
    <s v="07/01/2025 13:03"/>
  </r>
  <r>
    <x v="4"/>
    <x v="4"/>
    <n v="100"/>
    <n v="2"/>
    <n v="0"/>
    <s v="EQR30"/>
    <n v="200"/>
    <n v="0"/>
    <s v="ร้านที่2"/>
    <s v="ว***ชลี ส***ถะ"/>
    <s v="ชัยภูมิ"/>
    <s v="-"/>
    <s v=""/>
    <s v="07/01/2025 13:01"/>
    <s v="-"/>
    <s v="J&amp;T COD"/>
    <s v="Tiktok"/>
    <s v="จ่ายทีหลัง / COD"/>
    <s v=""/>
    <s v="754391112856"/>
    <s v="07/01/2025 13:02"/>
  </r>
  <r>
    <x v="13"/>
    <x v="30"/>
    <n v="112.35"/>
    <n v="1"/>
    <n v="0"/>
    <s v="EQR27"/>
    <n v="117.35"/>
    <n v="5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660918258030"/>
    <s v="09/01/2025 09:04"/>
    <s v="-"/>
    <s v="Kerry_dropoff"/>
    <s v="Lazada"/>
    <s v="lazada"/>
    <s v=""/>
    <s v="LEXDO0124323703"/>
    <s v="07/01/2025 12:54"/>
  </r>
  <r>
    <x v="32"/>
    <x v="53"/>
    <n v="199"/>
    <n v="1"/>
    <n v="0"/>
    <s v="EQR25"/>
    <n v="240"/>
    <n v="41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07/01/2025 13:22"/>
    <s v="-"/>
    <s v="Flash Express"/>
    <s v="Shopee"/>
    <s v="shopee"/>
    <s v=""/>
    <s v="TH35086P8RMD3E"/>
    <s v="07/01/2025 12:52"/>
  </r>
  <r>
    <x v="32"/>
    <x v="53"/>
    <n v="199"/>
    <n v="1"/>
    <n v="0"/>
    <s v="EQR24"/>
    <n v="279"/>
    <n v="0"/>
    <s v="ร้านที่1"/>
    <s v="ส******ง"/>
    <s v="******ลบางน้ำจืด อำเภอเมืองสมุทรสาคร จังหวัดสมุทรสาคร 74000"/>
    <s v="74000"/>
    <s v="07"/>
    <s v="07/01/2025 13:21"/>
    <s v="-"/>
    <s v="Flash Express"/>
    <s v="Shopee"/>
    <s v="shopee"/>
    <s v=""/>
    <s v="TH16016P8S5S3L"/>
    <s v="07/01/2025 12:51"/>
  </r>
  <r>
    <x v="1"/>
    <x v="1"/>
    <n v="200"/>
    <n v="1"/>
    <n v="0"/>
    <s v="EQR23"/>
    <n v="200"/>
    <n v="0"/>
    <s v="ร้านที่2"/>
    <s v="ส***รัตน"/>
    <s v="กาญจนบุรี"/>
    <s v="-"/>
    <s v=""/>
    <s v="07/01/2025 12:50"/>
    <s v="-"/>
    <s v="J&amp;T COD"/>
    <s v="Tiktok"/>
    <s v="จ่ายทีหลัง / COD"/>
    <s v=""/>
    <s v="754353732882"/>
    <s v="07/01/2025 12:50"/>
  </r>
  <r>
    <x v="20"/>
    <x v="20"/>
    <n v="186"/>
    <n v="1"/>
    <n v="0"/>
    <s v="EQR22"/>
    <n v="191"/>
    <n v="5"/>
    <s v="ร้านที่1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07/01/2025 12:50"/>
    <s v="-"/>
    <s v="Kerry_dropoff"/>
    <s v="Lazada"/>
    <s v="lazada"/>
    <s v=""/>
    <s v="LEXPU0443313244"/>
    <s v="07/01/2025 12:50"/>
  </r>
  <r>
    <x v="0"/>
    <x v="0"/>
    <n v="100"/>
    <n v="1"/>
    <n v="0"/>
    <s v="EQR21"/>
    <n v="106"/>
    <n v="6"/>
    <s v="ร้านที่2"/>
    <s v="ป***ุม พ***แก้ว"/>
    <s v="ประจวบคีรีขันธ์"/>
    <s v="-"/>
    <s v=""/>
    <s v="07/01/2025 12:49"/>
    <s v="-"/>
    <s v="J&amp;T COD"/>
    <s v="Tiktok"/>
    <s v="จ่ายทีหลัง / COD"/>
    <s v=""/>
    <s v="754319524840"/>
    <s v="07/01/2025 12:49"/>
  </r>
  <r>
    <x v="1"/>
    <x v="1"/>
    <n v="200"/>
    <n v="1"/>
    <n v="0"/>
    <s v="EQR20"/>
    <n v="200"/>
    <n v="0"/>
    <s v="ร้านที่2"/>
    <s v="ว***วรรณ น***รี"/>
    <s v="กรุงเทพฯ"/>
    <s v="-"/>
    <s v=""/>
    <s v="07/01/2025 12:48"/>
    <s v="-"/>
    <s v="J&amp;T COD"/>
    <s v="Tiktok"/>
    <s v="จ่ายทีหลัง / COD"/>
    <s v=""/>
    <s v="754371137892"/>
    <s v="07/01/2025 12:48"/>
  </r>
  <r>
    <x v="1"/>
    <x v="1"/>
    <n v="200"/>
    <n v="1"/>
    <n v="0"/>
    <s v="EQR19"/>
    <n v="200"/>
    <n v="0"/>
    <s v="ร้านที่2"/>
    <s v="ก***กา น***าวนา"/>
    <s v="อุดรธานี"/>
    <s v="-"/>
    <s v=""/>
    <s v="07/01/2025 12:44"/>
    <s v="-"/>
    <s v="J&amp;T Express"/>
    <s v="Tiktok"/>
    <s v="tiktok"/>
    <s v=""/>
    <s v="754302041861"/>
    <s v="07/01/2025 12:43"/>
  </r>
  <r>
    <x v="0"/>
    <x v="0"/>
    <n v="100"/>
    <n v="1"/>
    <n v="0"/>
    <s v="EQR18"/>
    <n v="100"/>
    <n v="0"/>
    <s v="ร้านที่1"/>
    <s v="ม***ิการ์ เ***เปา"/>
    <s v="กำแพงเพชร"/>
    <s v="-"/>
    <s v=""/>
    <s v="07/01/2025 12:38"/>
    <s v="-"/>
    <s v="J&amp;T COD"/>
    <s v="Tiktok"/>
    <s v="จ่ายทีหลัง / COD"/>
    <s v=""/>
    <s v="754368721853"/>
    <s v="07/01/2025 12:38"/>
  </r>
  <r>
    <x v="24"/>
    <x v="26"/>
    <n v="473.58"/>
    <n v="1"/>
    <n v="0"/>
    <s v="EQR17"/>
    <n v="487.58"/>
    <n v="14"/>
    <s v="ร้านที่9"/>
    <s v="เอิน"/>
    <s v="หลังร้านเจ้จิ๋ม · ดอนกระเบื้อง/ Don Krabueang_x000a__x000a_โพธาราม/ Photharamราชบุรี/ Ratchaburi_x000a_70120"/>
    <s v="70120"/>
    <s v="660858909829"/>
    <s v="07/01/2025 12:37"/>
    <s v="-"/>
    <s v="Kerry_dropoff"/>
    <s v="Lazada"/>
    <s v="lazada"/>
    <s v=""/>
    <s v="LEXDO0124222398"/>
    <s v="07/01/2025 12:37"/>
  </r>
  <r>
    <x v="0"/>
    <x v="0"/>
    <n v="100"/>
    <n v="1"/>
    <n v="0"/>
    <s v="EQR16"/>
    <n v="145"/>
    <n v="45"/>
    <s v="ร้านที่2"/>
    <s v="เ***พา พ***ชื่น"/>
    <s v="สมุทรปราการ"/>
    <s v="-"/>
    <s v=""/>
    <s v="07/01/2025 12:36"/>
    <s v="-"/>
    <s v="J&amp;T COD"/>
    <s v="Tiktok"/>
    <s v="จ่ายทีหลัง / COD"/>
    <s v=""/>
    <s v="754361449881"/>
    <s v="07/01/2025 12:36"/>
  </r>
  <r>
    <x v="3"/>
    <x v="3"/>
    <n v="130"/>
    <n v="1"/>
    <n v="0"/>
    <s v="EQR15"/>
    <n v="133"/>
    <n v="3"/>
    <s v="ร้านที่2"/>
    <s v="ส******น"/>
    <s v="******้องถิ่น, ตำบล วิชิต, อำเภอเมืองภูเก็ต ตำบลวิชิต อำเภอเมืองภูเก็ต จังหวัดภูเก็ต 83000"/>
    <s v="83000"/>
    <s v="49"/>
    <s v="07/01/2025 12:36"/>
    <s v="-"/>
    <s v="Flash Express"/>
    <s v="Shopee"/>
    <s v="shopee"/>
    <s v=""/>
    <s v="TH67016P8VAW5E1"/>
    <s v="07/01/2025 12:35"/>
  </r>
  <r>
    <x v="13"/>
    <x v="30"/>
    <n v="112.35"/>
    <n v="1"/>
    <n v="0"/>
    <s v="EQR14"/>
    <n v="117.35"/>
    <n v="5"/>
    <s v="ร้านที่9"/>
    <s v="สุวิภา​ ชุมเเสง"/>
    <s v="บ้านเลขที่3/7หมู่3ตำบลปากเเพรกอำเภอดอนสักจังหวัดสุราษฏร์ธานี84340_x000a__x000a_ดอนสัก/ Don Sakสุราษฎร์ธานี/ Surat Thani_x000a_84340"/>
    <s v="84340"/>
    <s v="660624758865"/>
    <s v="07/01/2025 12:35"/>
    <s v="-"/>
    <s v="Kerry_dropoff"/>
    <s v="Lazada"/>
    <s v="lazada"/>
    <s v=""/>
    <s v="TH68036P8TG54D"/>
    <s v="07/01/2025 12:35"/>
  </r>
  <r>
    <x v="19"/>
    <x v="34"/>
    <n v="128.47"/>
    <n v="1"/>
    <n v="0"/>
    <s v="EQR11"/>
    <n v="261.94"/>
    <n v="5"/>
    <s v="ร้านที่9"/>
    <s v="ศรีวรรณ ขอดคำ"/>
    <s v="77/3 บ้านนาผา · กองควาย/ Kong Khwai_x000a__x000a_เมืองน่าน/ Mueang Nanน่าน/ Nan_x000a_55000"/>
    <s v="55000"/>
    <s v="660833217480"/>
    <s v="07/01/2025 12:32"/>
    <s v="-"/>
    <s v="Kerry_dropoff"/>
    <s v="Lazada"/>
    <s v="lazada"/>
    <s v=""/>
    <s v="TH52016P9DJN9I"/>
    <s v="07/01/2025 12:32"/>
  </r>
  <r>
    <x v="19"/>
    <x v="34"/>
    <n v="128.47"/>
    <n v="1"/>
    <n v="0"/>
    <s v="EQR11"/>
    <n v="261.94"/>
    <n v="5"/>
    <s v="ร้านที่9"/>
    <s v="ศรีวรรณ ขอดคำ"/>
    <s v="77/3 บ้านนาผา · กองควาย/ Kong Khwai_x000a__x000a_เมืองน่าน/ Mueang Nanน่าน/ Nan_x000a_55000"/>
    <s v="55000"/>
    <s v="660833217480"/>
    <s v="07/01/2025 12:32"/>
    <s v="-"/>
    <s v="Kerry_dropoff"/>
    <s v="Lazada"/>
    <s v="lazada"/>
    <s v=""/>
    <s v="TH52016P9DJN9I"/>
    <s v="07/01/2025 12:32"/>
  </r>
  <r>
    <x v="1"/>
    <x v="1"/>
    <n v="200"/>
    <n v="1"/>
    <n v="0"/>
    <s v="EQR10"/>
    <n v="200"/>
    <n v="0"/>
    <s v="ร้านที่2"/>
    <s v="น***ุรชัย  ล***ุ่งรัตน์วุฒิ"/>
    <s v="กรุงเทพฯ"/>
    <s v="-"/>
    <s v=""/>
    <s v="07/01/2025 12:32"/>
    <s v="-"/>
    <s v="J&amp;T COD"/>
    <s v="Tiktok"/>
    <s v="จ่ายทีหลัง / COD"/>
    <s v=""/>
    <s v="754325320895"/>
    <s v="07/01/2025 12:32"/>
  </r>
  <r>
    <x v="3"/>
    <x v="3"/>
    <n v="100"/>
    <n v="1"/>
    <n v="0"/>
    <s v="EQR9"/>
    <n v="600"/>
    <n v="0"/>
    <s v="ร้านที่4"/>
    <s v="จ***์จุฑา ร***์สัจจา"/>
    <s v="นครราชสีมา"/>
    <s v="-"/>
    <s v=""/>
    <s v="07/01/2025 12:30"/>
    <s v="-"/>
    <s v="Flash Express Thailand COD"/>
    <s v="Tiktok"/>
    <s v="จ่ายทีหลัง / COD"/>
    <s v=""/>
    <s v="THT27221E9YEG1Z"/>
    <s v="07/01/2025 12:30"/>
  </r>
  <r>
    <x v="6"/>
    <x v="6"/>
    <n v="250"/>
    <n v="2"/>
    <n v="0"/>
    <s v="EQR9"/>
    <n v="600"/>
    <n v="0"/>
    <s v="ร้านที่4"/>
    <s v="จ***์จุฑา ร***์สัจจา"/>
    <s v="นครราชสีมา"/>
    <s v="-"/>
    <s v=""/>
    <s v="07/01/2025 12:30"/>
    <s v="-"/>
    <s v="Flash Express Thailand COD"/>
    <s v="Tiktok"/>
    <s v="จ่ายทีหลัง / COD"/>
    <s v=""/>
    <s v="THT27221E9YEG1Z"/>
    <s v="07/01/2025 12:30"/>
  </r>
  <r>
    <x v="10"/>
    <x v="10"/>
    <n v="200"/>
    <n v="1"/>
    <n v="0"/>
    <s v="EQR8"/>
    <n v="200"/>
    <n v="0"/>
    <s v="ร้านที่1"/>
    <s v="น***พร ฟ***อง"/>
    <s v="นครราชสีมา"/>
    <s v="-"/>
    <s v=""/>
    <s v="07/01/2025 12:26"/>
    <s v="-"/>
    <s v="J&amp;T COD"/>
    <s v="Tiktok"/>
    <s v="จ่ายทีหลัง / COD"/>
    <s v=""/>
    <s v="754370236896"/>
    <s v="07/01/2025 12:26"/>
  </r>
  <r>
    <x v="9"/>
    <x v="4"/>
    <n v="100"/>
    <n v="2"/>
    <n v="0"/>
    <s v="EQR5"/>
    <n v="200"/>
    <n v="0"/>
    <s v="ร้านที่1"/>
    <s v="ศ***ร ว***กษมโชค"/>
    <s v="สุรินทร์"/>
    <s v="-"/>
    <s v=""/>
    <s v="07/01/2025 12:19"/>
    <s v="-"/>
    <s v="J&amp;T COD"/>
    <s v="Tiktok"/>
    <s v="จ่ายทีหลัง / COD"/>
    <s v=""/>
    <s v="754306528861"/>
    <s v="07/01/2025 12:20"/>
  </r>
  <r>
    <x v="13"/>
    <x v="30"/>
    <n v="112.35"/>
    <n v="1"/>
    <n v="0"/>
    <s v="EQR3"/>
    <n v="117.35"/>
    <n v="5"/>
    <s v="ร้านที่9"/>
    <s v="เณร  โพธิ์ศรี"/>
    <s v="กรมส่งเสริมการเกษตร, ถนน พหลโยธิน 2143/1 · ลาดยาว/ Lat Yao_x000a__x000a_จตุจักร/ Chatuchakกรุงเทพมหานคร/ Bangkok_x000a_10900"/>
    <s v="10900"/>
    <s v="660947862556"/>
    <s v="07/01/2025 12:19"/>
    <s v="-"/>
    <s v="Kerry_dropoff"/>
    <s v="Lazada"/>
    <s v="lazada"/>
    <s v=""/>
    <s v="LEXDO0124211358"/>
    <s v="07/01/2025 12:18"/>
  </r>
  <r>
    <x v="19"/>
    <x v="34"/>
    <n v="112.35"/>
    <n v="1"/>
    <n v="0"/>
    <s v="EQR2"/>
    <n v="117.35"/>
    <n v="5"/>
    <s v="ร้านที่9"/>
    <s v="ณิชาภัทร สุวรรณรัตน์"/>
    <s v="92/2ม.3ต.ทุ่งหลวง_x000a__x000a_เวียงสระ/ Wiang Saสุราษฎร์ธานี/ Surat Thani_x000a_84190"/>
    <s v="84190"/>
    <s v="660811235904"/>
    <s v="07/01/2025 12:16"/>
    <s v="-"/>
    <s v="Kerry_dropoff"/>
    <s v="Lazada"/>
    <s v="lazada"/>
    <s v=""/>
    <s v="TH68156P9DAP2D"/>
    <s v="07/01/2025 12:16"/>
  </r>
  <r>
    <x v="4"/>
    <x v="4"/>
    <n v="100"/>
    <n v="1"/>
    <n v="0"/>
    <s v="EQQ99"/>
    <n v="200"/>
    <n v="0"/>
    <s v="ร้านที่2"/>
    <s v="ป***ศวร์ บ***รรณ"/>
    <s v="สุราษฎร์ธานี"/>
    <s v="-"/>
    <s v=""/>
    <s v="07/01/2025 12:15"/>
    <s v="-"/>
    <s v="J&amp;T COD"/>
    <s v="Tiktok"/>
    <s v="จ่ายทีหลัง / COD"/>
    <s v=""/>
    <s v="754375322875"/>
    <s v="07/01/2025 12:15"/>
  </r>
  <r>
    <x v="9"/>
    <x v="4"/>
    <n v="100"/>
    <n v="1"/>
    <n v="0"/>
    <s v="EQQ99"/>
    <n v="200"/>
    <n v="0"/>
    <s v="ร้านที่2"/>
    <s v="ป***ศวร์ บ***รรณ"/>
    <s v="สุราษฎร์ธานี"/>
    <s v="-"/>
    <s v=""/>
    <s v="07/01/2025 12:15"/>
    <s v="-"/>
    <s v="J&amp;T COD"/>
    <s v="Tiktok"/>
    <s v="จ่ายทีหลัง / COD"/>
    <s v=""/>
    <s v="754375322875"/>
    <s v="07/01/2025 12:15"/>
  </r>
  <r>
    <x v="0"/>
    <x v="0"/>
    <n v="100"/>
    <n v="1"/>
    <n v="0"/>
    <s v="EQQ97"/>
    <n v="106"/>
    <n v="6"/>
    <s v="ร้านที่1"/>
    <s v="ก**"/>
    <s v="สกลนคร"/>
    <s v="-"/>
    <s v=""/>
    <s v="07/01/2025 12:13"/>
    <s v="-"/>
    <s v="J&amp;T COD"/>
    <s v="Tiktok"/>
    <s v="จ่ายทีหลัง / COD"/>
    <s v=""/>
    <s v="754398730805"/>
    <s v="07/01/2025 12:13"/>
  </r>
  <r>
    <x v="19"/>
    <x v="34"/>
    <n v="142.31"/>
    <n v="1"/>
    <n v="0"/>
    <s v="EQQ96"/>
    <n v="147.31"/>
    <n v="5"/>
    <s v="ร้านที่9"/>
    <s v="สุดาพร ด้วงกูล"/>
    <s v="บ้านไผ่งาม 16/1 หมู่1 ซอย5 · ส้าน/ San_x000a__x000a_เวียงสา/ Wiang Saน่าน/ Nan_x000a_55110"/>
    <s v="55110"/>
    <s v="660871774208"/>
    <s v="07/01/2025 12:11"/>
    <s v="-"/>
    <s v="Kerry_dropoff"/>
    <s v="Lazada"/>
    <s v="lazada"/>
    <s v=""/>
    <s v="TH52076P9D6D3F"/>
    <s v="07/01/2025 12:11"/>
  </r>
  <r>
    <x v="0"/>
    <x v="0"/>
    <n v="100"/>
    <n v="1"/>
    <n v="0"/>
    <s v="EQQ94"/>
    <n v="106"/>
    <n v="6"/>
    <s v="ร้านที่2"/>
    <s v="อ***ุวีณ์ อ***รโภไคย"/>
    <s v="นนทบุรี"/>
    <s v="-"/>
    <s v=""/>
    <s v="07/01/2025 12:05"/>
    <s v="-"/>
    <s v="J&amp;T Express"/>
    <s v="Tiktok"/>
    <s v="tiktok"/>
    <s v=""/>
    <s v="754356839876"/>
    <s v="07/01/2025 12:05"/>
  </r>
  <r>
    <x v="10"/>
    <x v="10"/>
    <n v="200"/>
    <n v="1"/>
    <n v="0"/>
    <s v="EQQ93"/>
    <n v="200"/>
    <n v="0"/>
    <s v="ร้านที่2"/>
    <s v="ว***รา ล***นี"/>
    <s v="ร้อยเอ็ด"/>
    <s v="-"/>
    <s v=""/>
    <s v="07/01/2025 12:04"/>
    <s v="-"/>
    <s v="J&amp;T COD"/>
    <s v="Tiktok"/>
    <s v="จ่ายทีหลัง / COD"/>
    <s v=""/>
    <s v="754354135813"/>
    <s v="07/01/2025 12:04"/>
  </r>
  <r>
    <x v="3"/>
    <x v="3"/>
    <n v="130"/>
    <n v="3"/>
    <n v="0"/>
    <s v="EQQ91"/>
    <n v="435"/>
    <n v="45"/>
    <s v="ร้านที่2"/>
    <s v="ค******)"/>
    <s v="******นร่วมใจ ก่อนถึงวัด 500 เมตร ตำบลมหาวัน อำเภอแม่สอด จังหวัดตาก 63110"/>
    <s v="63110"/>
    <s v="75"/>
    <s v="07/01/2025 12:04"/>
    <s v="-"/>
    <s v="SPX Express"/>
    <s v="Shopee"/>
    <s v="shopee"/>
    <s v=""/>
    <s v="TH2505563476779"/>
    <s v="07/01/2025 12:00"/>
  </r>
  <r>
    <x v="1"/>
    <x v="1"/>
    <n v="200"/>
    <n v="1"/>
    <n v="0"/>
    <s v="EQQ89"/>
    <n v="600"/>
    <n v="0"/>
    <s v="ร้านที่4"/>
    <s v="ธ***รณ"/>
    <s v="กรุงเทพฯ"/>
    <s v="-"/>
    <s v=""/>
    <s v="07/01/2025 11:59"/>
    <s v="-"/>
    <s v="Flash Express Thailand COD"/>
    <s v="Tiktok"/>
    <s v="จ่ายทีหลัง / COD"/>
    <s v=""/>
    <s v="THT01211EAEKB2Z"/>
    <s v="07/01/2025 11:59"/>
  </r>
  <r>
    <x v="9"/>
    <x v="4"/>
    <n v="100"/>
    <n v="4"/>
    <n v="0"/>
    <s v="EQQ89"/>
    <n v="600"/>
    <n v="0"/>
    <s v="ร้านที่4"/>
    <s v="ธ***รณ"/>
    <s v="กรุงเทพฯ"/>
    <s v="-"/>
    <s v=""/>
    <s v="07/01/2025 11:59"/>
    <s v="-"/>
    <s v="Flash Express Thailand COD"/>
    <s v="Tiktok"/>
    <s v="จ่ายทีหลัง / COD"/>
    <s v=""/>
    <s v="THT01211EAEKB2Z"/>
    <s v="07/01/2025 11:59"/>
  </r>
  <r>
    <x v="13"/>
    <x v="30"/>
    <n v="142.31"/>
    <n v="1"/>
    <n v="0"/>
    <s v="EQQ88"/>
    <n v="142.31"/>
    <n v="0"/>
    <s v="ร้านที่9"/>
    <s v="ปราณี ทวีสุข"/>
    <s v="131 หมู่4 ต.พุขาม_x000a__x000a_วิเชียรบุรี/ Wichian Buriเพชรบูรณ์/ Phetchabun_x000a_67180"/>
    <s v="67180"/>
    <s v="660966547984"/>
    <s v="07/01/2025 11:57"/>
    <s v="-"/>
    <s v="Kerry_dropoff"/>
    <s v="Lazada"/>
    <s v="lazada"/>
    <s v=""/>
    <s v="TH63056P8TV43H"/>
    <s v="07/01/2025 11:57"/>
  </r>
  <r>
    <x v="39"/>
    <x v="55"/>
    <n v="295.89999999999998"/>
    <n v="1"/>
    <n v="0"/>
    <s v="EQQ87"/>
    <n v="295.89999999999998"/>
    <n v="0"/>
    <s v="ร้านที่10"/>
    <s v="อู่ช่างบอย"/>
    <s v="1/4 หมู่ 1 ตำบลคลองตะเกราอำเภอท่าตะเกียบจังหวัดฉะเชิงเทรา อู่ช่างบอย · คลองตะเกรา/ Khlong Takrao_x000a__x000a_ท่าตะเกียบ/ Tha Takiapฉะเชิงเทรา/ Chachoengsao_x000a_24160"/>
    <s v="24160"/>
    <s v="660616204832"/>
    <s v="07/01/2025 11:44"/>
    <s v="-"/>
    <s v="Kerry_dropoff"/>
    <s v="Lazada"/>
    <s v="lazada"/>
    <s v=""/>
    <s v="TH24106PDR533B"/>
    <s v="07/01/2025 11:44"/>
  </r>
  <r>
    <x v="4"/>
    <x v="4"/>
    <n v="100"/>
    <n v="2"/>
    <n v="0"/>
    <s v="EQQ83"/>
    <n v="200"/>
    <n v="0"/>
    <s v="ร้านที่4"/>
    <s v="จ***ร"/>
    <s v="ราชบุรี"/>
    <s v="-"/>
    <s v=""/>
    <s v="07/01/2025 11:39"/>
    <s v="-"/>
    <s v="Flash Express Thailand COD"/>
    <s v="Tiktok"/>
    <s v="จ่ายทีหลัง / COD"/>
    <s v=""/>
    <s v="THT12101E9PAR3Z"/>
    <s v="07/01/2025 11:39"/>
  </r>
  <r>
    <x v="1"/>
    <x v="1"/>
    <n v="200"/>
    <n v="1"/>
    <n v="0"/>
    <s v="EQQ82"/>
    <n v="200"/>
    <n v="0"/>
    <s v="ร้านที่4"/>
    <s v="ป***า ส***าญ"/>
    <s v="เทศบาลนครนครศรีธรรมราช"/>
    <s v="-"/>
    <s v=""/>
    <s v="07/01/2025 11:38"/>
    <s v="-"/>
    <s v="Flash Express Thailand COD"/>
    <s v="Tiktok"/>
    <s v="จ่ายทีหลัง / COD"/>
    <s v=""/>
    <s v="THT64201EAEU40Z"/>
    <s v="07/01/2025 11:38"/>
  </r>
  <r>
    <x v="19"/>
    <x v="34"/>
    <n v="112.35"/>
    <n v="1"/>
    <n v="0"/>
    <s v="EQQ80"/>
    <n v="117.35"/>
    <n v="5"/>
    <s v="ร้านที่9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7/01/2025 11:38"/>
    <s v="-"/>
    <s v="Kerry_dropoff"/>
    <s v="Lazada"/>
    <s v="lazada"/>
    <s v=""/>
    <s v="LEXDO0124221923"/>
    <s v="07/01/2025 11:35"/>
  </r>
  <r>
    <x v="0"/>
    <x v="0"/>
    <n v="100"/>
    <n v="2"/>
    <n v="0"/>
    <s v="EQQ78"/>
    <n v="200"/>
    <n v="0"/>
    <s v="ร้านที่1"/>
    <s v="ก***นา  เ***ศัพท์"/>
    <s v="ปทุมธานี"/>
    <s v="-"/>
    <s v=""/>
    <s v="07/01/2025 11:30"/>
    <s v="-"/>
    <s v="J&amp;T Express"/>
    <s v="Tiktok"/>
    <s v="tiktok"/>
    <s v=""/>
    <s v="754334141805"/>
    <s v="07/01/2025 11:30"/>
  </r>
  <r>
    <x v="32"/>
    <x v="53"/>
    <n v="199"/>
    <n v="1"/>
    <n v="0"/>
    <s v="EQQ77"/>
    <n v="244"/>
    <n v="45"/>
    <s v="ร้านที่1"/>
    <s v="ด******ต"/>
    <s v="******ำบล กระโพ อำเภอท่าตูม จังหวัดสุรินทร์ ตำบลกระโพ อำเภอท่าตูม จังหวัดสุรินทร์ 32120"/>
    <s v="32120"/>
    <s v="42"/>
    <s v="07/01/2025 12:00"/>
    <s v="-"/>
    <s v="Flash Express"/>
    <s v="Shopee"/>
    <s v="shopee"/>
    <s v=""/>
    <s v="TH29036P8SPW2B"/>
    <s v="07/01/2025 11:30"/>
  </r>
  <r>
    <x v="9"/>
    <x v="4"/>
    <n v="100"/>
    <n v="1"/>
    <n v="0"/>
    <s v="EQQ76"/>
    <n v="100"/>
    <n v="0"/>
    <s v="ร้านที่1"/>
    <s v="ส***รษา เ***ี"/>
    <s v="จังหวัดสุโขทัย"/>
    <s v="-"/>
    <s v=""/>
    <s v="07/01/2025 11:30"/>
    <s v="-"/>
    <s v="J&amp;T COD"/>
    <s v="Tiktok"/>
    <s v="จ่ายทีหลัง / COD"/>
    <s v=""/>
    <s v="754332532855"/>
    <s v="07/01/2025 11:30"/>
  </r>
  <r>
    <x v="0"/>
    <x v="0"/>
    <n v="100"/>
    <n v="1"/>
    <n v="0"/>
    <s v="EQQ74"/>
    <n v="106"/>
    <n v="6"/>
    <s v="ร้านที่4"/>
    <s v="j***u"/>
    <s v="สุราษฎร์ธานี"/>
    <s v="-"/>
    <s v=""/>
    <s v="07/01/2025 11:27"/>
    <s v="-"/>
    <s v="Flash Express Thailand COD"/>
    <s v="Tiktok"/>
    <s v="จ่ายทีหลัง / COD"/>
    <s v=""/>
    <s v="THT68171E9PBA6Z"/>
    <s v="07/01/2025 11:27"/>
  </r>
  <r>
    <x v="4"/>
    <x v="4"/>
    <n v="100"/>
    <n v="1"/>
    <n v="0"/>
    <s v="EQQ73"/>
    <n v="200"/>
    <n v="0"/>
    <s v="ร้านที่4"/>
    <s v="ป***ตา อ***ข"/>
    <s v="อุบลราชธานี"/>
    <s v="-"/>
    <s v=""/>
    <s v="07/01/2025 11:26"/>
    <s v="-"/>
    <s v="Flash Express Thailand COD"/>
    <s v="Tiktok"/>
    <s v="จ่ายทีหลัง / COD"/>
    <s v=""/>
    <s v="THT31071EADEW4Z"/>
    <s v="07/01/2025 11:26"/>
  </r>
  <r>
    <x v="9"/>
    <x v="4"/>
    <n v="100"/>
    <n v="1"/>
    <n v="0"/>
    <s v="EQQ73"/>
    <n v="200"/>
    <n v="0"/>
    <s v="ร้านที่4"/>
    <s v="ป***ตา อ***ข"/>
    <s v="อุบลราชธานี"/>
    <s v="-"/>
    <s v=""/>
    <s v="07/01/2025 11:26"/>
    <s v="-"/>
    <s v="Flash Express Thailand COD"/>
    <s v="Tiktok"/>
    <s v="จ่ายทีหลัง / COD"/>
    <s v=""/>
    <s v="THT31071EADEW4Z"/>
    <s v="07/01/2025 11:26"/>
  </r>
  <r>
    <x v="0"/>
    <x v="0"/>
    <n v="100"/>
    <n v="1"/>
    <n v="0"/>
    <s v="EQQ72"/>
    <n v="106"/>
    <n v="6"/>
    <s v="ร้านที่2"/>
    <s v="ว*** ช***ญป่า"/>
    <s v="กาญจนบุรี"/>
    <s v="-"/>
    <s v=""/>
    <s v="07/01/2025 11:18"/>
    <s v="-"/>
    <s v="J&amp;T COD"/>
    <s v="Tiktok"/>
    <s v="จ่ายทีหลัง / COD"/>
    <s v=""/>
    <s v="754390149811"/>
    <s v="07/01/2025 11:18"/>
  </r>
  <r>
    <x v="26"/>
    <x v="56"/>
    <n v="240"/>
    <n v="1"/>
    <n v="0"/>
    <s v="EQQ71"/>
    <n v="240"/>
    <n v="0"/>
    <s v="ร้านที่4"/>
    <s v="ส***ญญา แ***าม"/>
    <s v="นครนายก"/>
    <s v="-"/>
    <s v=""/>
    <s v="07/01/2025 11:18"/>
    <s v="-"/>
    <s v="Flash Express Thailand COD"/>
    <s v="Tiktok"/>
    <s v="จ่ายทีหลัง / COD"/>
    <s v=""/>
    <s v="THT11041E9QDN2Z"/>
    <s v="07/01/2025 11:18"/>
  </r>
  <r>
    <x v="1"/>
    <x v="1"/>
    <n v="200"/>
    <n v="1"/>
    <n v="0"/>
    <s v="EQQ70"/>
    <n v="200"/>
    <n v="0"/>
    <s v="ร้านที่1"/>
    <s v="ส***สา.อุปพงษ์"/>
    <s v="ลพบุรี"/>
    <s v="-"/>
    <s v=""/>
    <s v="07/01/2025 11:16"/>
    <s v="-"/>
    <s v="J&amp;T COD"/>
    <s v="Tiktok"/>
    <s v="จ่ายทีหลัง / COD"/>
    <s v=""/>
    <s v="754312648880"/>
    <s v="07/01/2025 11:17"/>
  </r>
  <r>
    <x v="3"/>
    <x v="3"/>
    <n v="100"/>
    <n v="1"/>
    <n v="0"/>
    <s v="EQQ69"/>
    <n v="106"/>
    <n v="6"/>
    <s v="ร้านที่1"/>
    <s v="เ***ยบ ห***ไก่ทอด"/>
    <s v="ชัยภูมิ"/>
    <s v="-"/>
    <s v=""/>
    <s v="07/01/2025 11:16"/>
    <s v="-"/>
    <s v="J&amp;T COD"/>
    <s v="Tiktok"/>
    <s v="จ่ายทีหลัง / COD"/>
    <s v=""/>
    <s v="754314438861"/>
    <s v="07/01/2025 11:16"/>
  </r>
  <r>
    <x v="5"/>
    <x v="5"/>
    <n v="330"/>
    <n v="1"/>
    <n v="0"/>
    <s v="EQQ68"/>
    <n v="330"/>
    <n v="0"/>
    <s v="ร้านที่1"/>
    <s v="น***ยา ด***ก้ว"/>
    <s v="สุพรรณบุรี"/>
    <s v="-"/>
    <s v=""/>
    <s v="07/01/2025 11:07"/>
    <s v="-"/>
    <s v="J&amp;T COD"/>
    <s v="Tiktok"/>
    <s v="จ่ายทีหลัง / COD"/>
    <s v="ขอหน้าฝอยทอง5กล่องเนย2มะพร้าว2เผือก1ค่ะ"/>
    <s v="754310237844"/>
    <s v="07/01/2025 11:07"/>
  </r>
  <r>
    <x v="4"/>
    <x v="4"/>
    <n v="100"/>
    <n v="3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0"/>
    <x v="0"/>
    <n v="100"/>
    <n v="3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5"/>
    <x v="5"/>
    <n v="330"/>
    <n v="1"/>
    <n v="0"/>
    <s v="EQQ67"/>
    <n v="930"/>
    <n v="0"/>
    <s v="ร้านที่1"/>
    <s v="น***าวยุพาพร  แ***ทอง"/>
    <s v="เทศบาลนครอุบลราชธานี"/>
    <s v="-"/>
    <s v=""/>
    <s v="07/01/2025 11:04"/>
    <s v="-"/>
    <s v="J&amp;T COD"/>
    <s v="Tiktok"/>
    <s v="จ่ายทีหลัง / COD"/>
    <s v=""/>
    <s v="754389011880"/>
    <s v="07/01/2025 11:05"/>
  </r>
  <r>
    <x v="4"/>
    <x v="4"/>
    <n v="100"/>
    <n v="1"/>
    <n v="0"/>
    <s v="EQQ65"/>
    <n v="200"/>
    <n v="0"/>
    <s v="ร้านที่1"/>
    <s v="อ***รา"/>
    <s v="เทศบาลนครนครราชสีมา"/>
    <s v="-"/>
    <s v=""/>
    <s v="07/01/2025 11:05"/>
    <s v="-"/>
    <s v="J&amp;T Express"/>
    <s v="Tiktok"/>
    <s v="tiktok"/>
    <s v=""/>
    <s v="754329838883"/>
    <s v="07/01/2025 11:04"/>
  </r>
  <r>
    <x v="9"/>
    <x v="4"/>
    <n v="100"/>
    <n v="1"/>
    <n v="0"/>
    <s v="EQQ65"/>
    <n v="200"/>
    <n v="0"/>
    <s v="ร้านที่1"/>
    <s v="อ***รา"/>
    <s v="เทศบาลนครนครราชสีมา"/>
    <s v="-"/>
    <s v=""/>
    <s v="07/01/2025 11:05"/>
    <s v="-"/>
    <s v="J&amp;T Express"/>
    <s v="Tiktok"/>
    <s v="tiktok"/>
    <s v=""/>
    <s v="754329838883"/>
    <s v="07/01/2025 11:04"/>
  </r>
  <r>
    <x v="32"/>
    <x v="53"/>
    <n v="199"/>
    <n v="1"/>
    <n v="0"/>
    <s v="EQQ64"/>
    <n v="244"/>
    <n v="45"/>
    <s v="ร้านที่1"/>
    <s v="น******ง"/>
    <s v="******งซ้าย, อำเภอกาญจนดิษฐ์ ตำบลช้างซ้าย อำเภอกาญจนดิษฐ์ จังหวัดสุราษฎร์ธานี 84160"/>
    <s v="84160"/>
    <s v="85"/>
    <s v="07/01/2025 11:33"/>
    <s v="-"/>
    <s v="SPX Express"/>
    <s v="Shopee"/>
    <s v="shopee"/>
    <s v=""/>
    <s v="TH2568728344183"/>
    <s v="07/01/2025 11:03"/>
  </r>
  <r>
    <x v="13"/>
    <x v="30"/>
    <n v="112.35"/>
    <n v="1"/>
    <n v="0"/>
    <s v="EQQ62"/>
    <n v="117.35"/>
    <n v="5"/>
    <s v="ร้านที่9"/>
    <s v="จิรานุช เขมะดุษฎี"/>
    <s v="199 ม.8 · ลานข่อย/ Lan Khoi_x000a__x000a_ป่าพะยอม/ Pa Phayomพัทลุง/ Phatthalung_x000a_93210"/>
    <s v="93210"/>
    <s v="660654468895"/>
    <s v="07/01/2025 11:00"/>
    <s v="-"/>
    <s v="Kerry_dropoff"/>
    <s v="Lazada"/>
    <s v="lazada"/>
    <s v=""/>
    <s v="TH74106P8TY03B"/>
    <s v="07/01/2025 11:00"/>
  </r>
  <r>
    <x v="24"/>
    <x v="25"/>
    <n v="800"/>
    <n v="1"/>
    <n v="0"/>
    <s v="EQQ61"/>
    <n v="886"/>
    <n v="86"/>
    <s v="ร้านที่1"/>
    <s v="อ******า"/>
    <s v="******ระชาอุทิศ ซอย79 แยก18/11 แขวงทุ่งครุ เขตทุ่งครุ จังหวัดกรุงเทพมหานคร 10140"/>
    <s v="10140"/>
    <s v="96"/>
    <s v="07/01/2025 10:56"/>
    <s v="-"/>
    <s v="SPX Express"/>
    <s v="Shopee"/>
    <s v="shopee"/>
    <s v=""/>
    <s v="TH259671315134P"/>
    <s v="07/01/2025 10:56"/>
  </r>
  <r>
    <x v="1"/>
    <x v="1"/>
    <n v="200"/>
    <n v="1"/>
    <n v="0"/>
    <s v="EQQ60"/>
    <n v="200"/>
    <n v="0"/>
    <s v="ร้านที่2"/>
    <s v="อ***ณ์  แ***ุวรรณ์"/>
    <s v="พิจิตร"/>
    <s v="-"/>
    <s v=""/>
    <s v="07/01/2025 10:54"/>
    <s v="-"/>
    <s v="J&amp;T COD"/>
    <s v="Tiktok"/>
    <s v="จ่ายทีหลัง / COD"/>
    <s v=""/>
    <s v="754366534891"/>
    <s v="07/01/2025 10:54"/>
  </r>
  <r>
    <x v="3"/>
    <x v="8"/>
    <n v="78.430000000000007"/>
    <n v="1"/>
    <n v="0"/>
    <s v="EQQ57"/>
    <n v="83.43"/>
    <n v="5"/>
    <s v="ร้านที่6"/>
    <s v="บจก.เจริญวัฒนามอเตอร์"/>
    <s v="4 ถ.เทศบาล 12  (ห้วมุมสี่แยกไฟแดงทางเข้า บัวใหญ่) ต.บัวใหญ่ อ.บัวใหญ่_x000a__x000a_บัวใหญ่/ Bua Yaiนครราชสีมา/ Nakhon Ratchasima_x000a_30120"/>
    <s v="30120"/>
    <s v="660970355739"/>
    <s v="07/01/2025 10:48"/>
    <s v="-"/>
    <s v="Kerry_dropoff"/>
    <s v="Lazada"/>
    <s v="lazada"/>
    <s v=""/>
    <s v="TH27126P978R1A"/>
    <s v="07/01/2025 10:47"/>
  </r>
  <r>
    <x v="5"/>
    <x v="5"/>
    <n v="350"/>
    <n v="1"/>
    <n v="0"/>
    <s v="EQQ55"/>
    <n v="350"/>
    <n v="0"/>
    <s v="ร้านที่4"/>
    <s v="ม***นแซ่ลี"/>
    <s v="สุราษฎร์ธานี"/>
    <s v="-"/>
    <s v=""/>
    <s v="07/01/2025 10:44"/>
    <s v="-"/>
    <s v="Flash Express Thailand COD"/>
    <s v="Tiktok"/>
    <s v="จ่ายทีหลัง / COD"/>
    <s v=""/>
    <s v="THT68121EADY88Z"/>
    <s v="07/01/2025 10:44"/>
  </r>
  <r>
    <x v="18"/>
    <x v="18"/>
    <n v="114.6"/>
    <n v="1"/>
    <n v="0"/>
    <s v="EQQ53"/>
    <n v="114.6"/>
    <n v="0"/>
    <s v="ร้านที่1"/>
    <s v="นิตยา คำขวา"/>
    <s v="167/1ม.3สระหมื่นเชียง ต.วังโบสถ์ อ.หนองไผ่   &quot;ร้านมิตรเจริญการช่าง&quot;   เลยวัด200เมตร ซ้ายมือ · วังโบสถ์/ Wang Bot_x000a__x000a_หนองไผ่/ Nong Phaiเพชรบูรณ์/ Phetchabun_x000a_67140"/>
    <s v="67140"/>
    <s v="660806280275"/>
    <s v="07/01/2025 10:38"/>
    <s v="-"/>
    <s v="Kerry_dropoff"/>
    <s v="Lazada"/>
    <s v="lazada"/>
    <s v=""/>
    <s v="TH63076P90W38K"/>
    <s v="07/01/2025 10:38"/>
  </r>
  <r>
    <x v="13"/>
    <x v="30"/>
    <n v="112.35"/>
    <n v="1"/>
    <n v="0"/>
    <s v="EQQ50"/>
    <n v="117.35"/>
    <n v="5"/>
    <s v="ร้านที่9"/>
    <s v="กนกวรรณ"/>
    <s v="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_x000a__x000a_เมืองราชบุรี/ Mueang Ratchaburiราชบุรี/ Ratchaburi_x000a_70000"/>
    <s v="70000"/>
    <s v="660619455716"/>
    <s v="07/01/2025 10:29"/>
    <s v="-"/>
    <s v="Kerry_dropoff"/>
    <s v="Lazada"/>
    <s v="lazada"/>
    <s v=""/>
    <s v="LEXDO0124205262"/>
    <s v="07/01/2025 10:29"/>
  </r>
  <r>
    <x v="3"/>
    <x v="3"/>
    <n v="100"/>
    <n v="1"/>
    <n v="0"/>
    <s v="EQQ48"/>
    <n v="106"/>
    <n v="6"/>
    <s v="ร้านที่2"/>
    <s v="ส***ตรี ก***ลา"/>
    <s v="มหาสารคาม"/>
    <s v="-"/>
    <s v=""/>
    <s v="07/01/2025 10:19"/>
    <s v="-"/>
    <s v="J&amp;T COD"/>
    <s v="Tiktok"/>
    <s v="จ่ายทีหลัง / COD"/>
    <s v=""/>
    <s v="754399324884"/>
    <s v="07/01/2025 10:19"/>
  </r>
  <r>
    <x v="4"/>
    <x v="4"/>
    <n v="100"/>
    <n v="3"/>
    <n v="0"/>
    <s v="EQQ44"/>
    <n v="300"/>
    <n v="0"/>
    <s v="ร้านที่4"/>
    <s v="ส***รัตน์ "/>
    <s v="ศรีสะเกษ"/>
    <s v="-"/>
    <s v=""/>
    <s v="07/01/2025 10:13"/>
    <s v="-"/>
    <s v="Flash Express Thailand COD"/>
    <s v="Tiktok"/>
    <s v="จ่ายทีหลัง / COD"/>
    <s v=""/>
    <s v="THT30041E9P0E1Z"/>
    <s v="07/01/2025 10:17"/>
  </r>
  <r>
    <x v="19"/>
    <x v="34"/>
    <n v="89.8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28"/>
    <x v="35"/>
    <n v="136.22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9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57"/>
    <n v="93.08"/>
    <n v="1"/>
    <n v="0"/>
    <s v="EQQ43"/>
    <n v="553.79"/>
    <n v="48.44"/>
    <s v="ร้านที่9"/>
    <s v="สำรวย"/>
    <s v="502/144 ศศิวัลย์ซอย1 ถ.เตชะตุงคะ แขวงสีก · สีกัน/ Si Kan_x000a__x000a_ดอนเมือง/ Don Mueangกรุงเทพมหานคร/ Bangkok_x000a_10210"/>
    <s v="10210"/>
    <s v="660891032226"/>
    <s v="07/01/2025 10:16"/>
    <s v="-"/>
    <s v="Kerry_dropoff"/>
    <s v="Lazada"/>
    <s v="lazada"/>
    <s v=""/>
    <s v="LEXDO0124219119"/>
    <s v="07/01/2025 10:16"/>
  </r>
  <r>
    <x v="0"/>
    <x v="0"/>
    <n v="100"/>
    <n v="1"/>
    <n v="0"/>
    <s v="EQQ42"/>
    <n v="145"/>
    <n v="45"/>
    <s v="ร้านที่4"/>
    <s v="ป***รินทร์ ว***รัมย์"/>
    <s v="บุรีรัมย์"/>
    <s v="-"/>
    <s v=""/>
    <s v="07/01/2025 10:14"/>
    <s v="-"/>
    <s v="Flash Express Thailand COD"/>
    <s v="Tiktok"/>
    <s v="จ่ายทีหลัง / COD"/>
    <s v=""/>
    <s v="THT28221E9NP74Z"/>
    <s v="07/01/2025 10:14"/>
  </r>
  <r>
    <x v="39"/>
    <x v="58"/>
    <n v="399"/>
    <n v="1"/>
    <n v="0"/>
    <s v="EQQ41"/>
    <n v="399"/>
    <n v="0"/>
    <s v="ร้านที่1"/>
    <s v="ว******์"/>
    <s v="******พงพวย, ตำบลจันดุม, อำเภอพลับพลาชัย ตำบลจันดุม อำเภอพลับพลาชัย จังหวัดบุรีรัมย์ 31250"/>
    <s v="31250"/>
    <s v="40"/>
    <s v="07/01/2025 10:42"/>
    <s v="-"/>
    <s v="Flash Express"/>
    <s v="Shopee"/>
    <s v="shopee"/>
    <s v=""/>
    <s v="TH28156PDRMP6A"/>
    <s v="07/01/2025 10:12"/>
  </r>
  <r>
    <x v="0"/>
    <x v="0"/>
    <n v="100"/>
    <n v="1"/>
    <n v="0"/>
    <s v="EQQ40"/>
    <n v="220"/>
    <n v="0"/>
    <s v="ร้านที่4"/>
    <s v="ย***ัตน์"/>
    <s v="อุดรธานี"/>
    <s v="-"/>
    <s v=""/>
    <s v="07/01/2025 10:11"/>
    <s v="-"/>
    <s v="Flash Express Thailand COD"/>
    <s v="Tiktok"/>
    <s v="จ่ายทีหลัง / COD"/>
    <s v=""/>
    <s v="THT38011E9QEN8Z"/>
    <s v="07/01/2025 10:11"/>
  </r>
  <r>
    <x v="18"/>
    <x v="39"/>
    <n v="120"/>
    <n v="1"/>
    <n v="0"/>
    <s v="EQQ40"/>
    <n v="220"/>
    <n v="0"/>
    <s v="ร้านที่4"/>
    <s v="ย***ัตน์"/>
    <s v="อุดรธานี"/>
    <s v="-"/>
    <s v=""/>
    <s v="07/01/2025 10:11"/>
    <s v="-"/>
    <s v="Flash Express Thailand COD"/>
    <s v="Tiktok"/>
    <s v="จ่ายทีหลัง / COD"/>
    <s v=""/>
    <s v="THT38011E9QEN8Z"/>
    <s v="07/01/2025 10:11"/>
  </r>
  <r>
    <x v="0"/>
    <x v="0"/>
    <n v="100"/>
    <n v="1"/>
    <n v="0"/>
    <s v="EQQ39"/>
    <n v="106"/>
    <n v="6"/>
    <s v="ร้านที่4"/>
    <s v="ว**"/>
    <s v="Sa Kaeo"/>
    <s v="-"/>
    <s v=""/>
    <s v="07/01/2025 10:09"/>
    <s v="-"/>
    <s v="Flash Express Thailand COD"/>
    <s v="Tiktok"/>
    <s v="จ่ายทีหลัง / COD"/>
    <s v=""/>
    <s v="THT26081E9BA81Z"/>
    <s v="07/01/2025 10:10"/>
  </r>
  <r>
    <x v="19"/>
    <x v="34"/>
    <n v="112.35"/>
    <n v="1"/>
    <n v="0"/>
    <s v="EQQ38"/>
    <n v="117.35"/>
    <n v="5"/>
    <s v="ร้านที่9"/>
    <s v="กชณัช ทองคำพงษ์"/>
    <s v="456/36 ม.10 ต.ทุ่งสุขลา_x000a__x000a_ศรีราชา/ Si Rachaชลบุรี/ Chonburi_x000a_20230"/>
    <s v="20230"/>
    <s v="660661247886"/>
    <s v="07/01/2025 10:10"/>
    <s v="-"/>
    <s v="Kerry_dropoff"/>
    <s v="Lazada"/>
    <s v="lazada"/>
    <s v=""/>
    <s v="LEXDO0124224802"/>
    <s v="07/01/2025 10:10"/>
  </r>
  <r>
    <x v="4"/>
    <x v="4"/>
    <n v="100"/>
    <n v="3"/>
    <n v="0"/>
    <s v="EQQ34"/>
    <n v="300"/>
    <n v="0"/>
    <s v="ร้านที่1"/>
    <s v="จ***พร ก***นจันทร์"/>
    <s v="ลพบุรี"/>
    <s v="-"/>
    <s v=""/>
    <s v="07/01/2025 10:06"/>
    <s v="-"/>
    <s v="J&amp;T Express"/>
    <s v="Tiktok"/>
    <s v="tiktok"/>
    <s v=""/>
    <s v="754336227820"/>
    <s v="07/01/2025 10:06"/>
  </r>
  <r>
    <x v="3"/>
    <x v="3"/>
    <n v="100"/>
    <n v="1"/>
    <n v="0"/>
    <s v="EQQ33"/>
    <n v="200"/>
    <n v="0"/>
    <s v="ร้านที่1"/>
    <s v="ส***รักษ์ เ***า"/>
    <s v="ชัยนาท"/>
    <s v="-"/>
    <s v=""/>
    <s v="07/01/2025 10:03"/>
    <s v="-"/>
    <s v="J&amp;T COD"/>
    <s v="Tiktok"/>
    <s v="จ่ายทีหลัง / COD"/>
    <s v=""/>
    <s v="754393316865"/>
    <s v="07/01/2025 10:04"/>
  </r>
  <r>
    <x v="9"/>
    <x v="4"/>
    <n v="100"/>
    <n v="1"/>
    <n v="0"/>
    <s v="EQQ33"/>
    <n v="200"/>
    <n v="0"/>
    <s v="ร้านที่1"/>
    <s v="ส***รักษ์ เ***า"/>
    <s v="ชัยนาท"/>
    <s v="-"/>
    <s v=""/>
    <s v="07/01/2025 10:03"/>
    <s v="-"/>
    <s v="J&amp;T COD"/>
    <s v="Tiktok"/>
    <s v="จ่ายทีหลัง / COD"/>
    <s v=""/>
    <s v="754393316865"/>
    <s v="07/01/2025 10:04"/>
  </r>
  <r>
    <x v="3"/>
    <x v="3"/>
    <n v="100"/>
    <n v="1"/>
    <n v="0"/>
    <s v="EQQ32"/>
    <n v="106"/>
    <n v="6"/>
    <s v="ร้านที่4"/>
    <s v="จ***ทร์ทร  ส***พงษ์"/>
    <s v="นครราชสีมา"/>
    <s v="-"/>
    <s v=""/>
    <s v="07/01/2025 10:02"/>
    <s v="-"/>
    <s v="Flash Express Thailand COD"/>
    <s v="Tiktok"/>
    <s v="จ่ายทีหลัง / COD"/>
    <s v=""/>
    <s v="THT27011EA4FS5Z"/>
    <s v="07/01/2025 10:02"/>
  </r>
  <r>
    <x v="16"/>
    <x v="37"/>
    <n v="238.22"/>
    <n v="1"/>
    <n v="0"/>
    <s v="EQQ31"/>
    <n v="302.22000000000003"/>
    <n v="64"/>
    <s v="ร้านที่1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10:01"/>
    <s v="-"/>
    <s v="Kerry_dropoff"/>
    <s v="Lazada"/>
    <s v="lazada"/>
    <s v=""/>
    <s v="LEXPU0443405535"/>
    <s v="07/01/2025 10:01"/>
  </r>
  <r>
    <x v="3"/>
    <x v="8"/>
    <n v="80.91"/>
    <n v="1"/>
    <n v="0"/>
    <s v="EQQ29"/>
    <n v="85.91"/>
    <n v="5"/>
    <s v="ร้านที่6"/>
    <s v="กมลวรรณ สกุลชาติ"/>
    <s v="66/45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7/01/2025 09:59"/>
    <s v="-"/>
    <s v="Kerry_dropoff"/>
    <s v="Lazada"/>
    <s v="lazada"/>
    <s v=""/>
    <s v="LEXPU0443391126"/>
    <s v="07/01/2025 09:59"/>
  </r>
  <r>
    <x v="1"/>
    <x v="1"/>
    <n v="200"/>
    <n v="1"/>
    <n v="0"/>
    <s v="EQQ28"/>
    <n v="200"/>
    <n v="0"/>
    <s v="ร้านที่2"/>
    <s v="แ***้านกุ้ง"/>
    <s v="เพชรบุรี"/>
    <s v="-"/>
    <s v=""/>
    <s v="07/01/2025 09:58"/>
    <s v="-"/>
    <s v="J&amp;T COD"/>
    <s v="Tiktok"/>
    <s v="จ่ายทีหลัง / COD"/>
    <s v=""/>
    <s v="754356329893"/>
    <s v="07/01/2025 09:58"/>
  </r>
  <r>
    <x v="19"/>
    <x v="34"/>
    <n v="105.49"/>
    <n v="1"/>
    <n v="0"/>
    <s v="EQQ26"/>
    <n v="239.98"/>
    <n v="29"/>
    <s v="ร้านที่9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09:56"/>
    <s v="-"/>
    <s v="Kerry_dropoff"/>
    <s v="Lazada"/>
    <s v="lazada"/>
    <s v=""/>
    <s v="LEXDO0124221917"/>
    <s v="07/01/2025 09:55"/>
  </r>
  <r>
    <x v="19"/>
    <x v="34"/>
    <n v="105.49"/>
    <n v="1"/>
    <n v="0"/>
    <s v="EQQ26"/>
    <n v="239.98"/>
    <n v="29"/>
    <s v="ร้านที่9"/>
    <s v="วิญญู เกษรักษ์"/>
    <s v="(คลองกุ่มซอย2)บ้านแรกขวามือ 198/4 ม.9 ต.ตะค่า อ.บางปลาม้า จ.สุพรรณบุ_x000a__x000a_บางปลาม้า/ Bang Pla Maสุพรรณบุรี/ Suphanburi_x000a_72150"/>
    <s v="72150"/>
    <s v="660939392327"/>
    <s v="07/01/2025 09:56"/>
    <s v="-"/>
    <s v="Kerry_dropoff"/>
    <s v="Lazada"/>
    <s v="lazada"/>
    <s v=""/>
    <s v="LEXDO0124221917"/>
    <s v="07/01/2025 09:55"/>
  </r>
  <r>
    <x v="40"/>
    <x v="47"/>
    <n v="251.03"/>
    <n v="1"/>
    <n v="0"/>
    <s v="EQQ25"/>
    <n v="256.02999999999997"/>
    <n v="5"/>
    <s v="ร้านที่8"/>
    <s v="Thomas Septelici"/>
    <s v="Alley 2 Rachakarun Park Residence room 305 · บางยี่ขัน/ Bang Yi Khan_x000a__x000a_บางพลัด/ Bang Phlatกรุงเทพมหานคร/ Bangkok_x000a_10700"/>
    <s v="10700"/>
    <s v="660620398268"/>
    <s v="07/01/2025 09:55"/>
    <s v="-"/>
    <s v="Kerry_dropoff"/>
    <s v="Lazada"/>
    <s v="lazada"/>
    <s v=""/>
    <s v="LEXPU0443815777"/>
    <s v="07/01/2025 09:55"/>
  </r>
  <r>
    <x v="4"/>
    <x v="4"/>
    <n v="100"/>
    <n v="1"/>
    <n v="0"/>
    <s v="EQQ23"/>
    <n v="106"/>
    <n v="6"/>
    <s v="ร้านที่4"/>
    <s v="ป***าย ท***ิเศษ"/>
    <s v="นครราชสีมา"/>
    <s v="-"/>
    <s v=""/>
    <s v="07/01/2025 09:50"/>
    <s v="-"/>
    <s v="Flash Express Thailand COD"/>
    <s v="Tiktok"/>
    <s v="จ่ายทีหลัง / COD"/>
    <s v=""/>
    <s v="THT27161E9ZQH8Z"/>
    <s v="07/01/2025 09:51"/>
  </r>
  <r>
    <x v="41"/>
    <x v="18"/>
    <n v="458.4"/>
    <n v="1"/>
    <n v="0"/>
    <s v="EQQ22"/>
    <n v="503.4"/>
    <n v="45"/>
    <s v="ร้านที่1"/>
    <s v="สมพงษ์ ศรีบู (ดิว)"/>
    <s v="50 ม.2 ต.เขมราฐ · เขมราฐ/ Khemarat_x000a__x000a_เขมราฐ/ Khemaratอุบลราชธานี/ Ubon Ratchathani_x000a_34170"/>
    <s v="34170"/>
    <s v="660958092574"/>
    <s v="07/01/2025 09:49"/>
    <s v="-"/>
    <s v="Kerry_dropoff"/>
    <s v="Lazada"/>
    <s v="lazada"/>
    <s v=""/>
    <s v="TH31056P8YN99A"/>
    <s v="07/01/2025 09:49"/>
  </r>
  <r>
    <x v="39"/>
    <x v="55"/>
    <n v="226.28"/>
    <n v="1"/>
    <n v="0"/>
    <s v="EQQ21"/>
    <n v="226.28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07/01/2025 09:47"/>
    <s v="-"/>
    <s v="Kerry_dropoff"/>
    <s v="Lazada"/>
    <s v="lazada"/>
    <s v=""/>
    <s v="TH31226PERWG6A"/>
    <s v="07/01/2025 09:47"/>
  </r>
  <r>
    <x v="4"/>
    <x v="4"/>
    <n v="100"/>
    <n v="2"/>
    <n v="0"/>
    <s v="EQQ20"/>
    <n v="200"/>
    <n v="0"/>
    <s v="ร้านที่4"/>
    <s v="น***ิทธิศักดิ์  บ***ชิด"/>
    <s v="นครปฐม"/>
    <s v="-"/>
    <s v=""/>
    <s v="07/01/2025 09:46"/>
    <s v="-"/>
    <s v="Flash Express Thailand COD"/>
    <s v="Tiktok"/>
    <s v="จ่ายทีหลัง / COD"/>
    <s v=""/>
    <s v="THT15061EA0186Z"/>
    <s v="07/01/2025 09:46"/>
  </r>
  <r>
    <x v="9"/>
    <x v="4"/>
    <n v="100"/>
    <n v="1"/>
    <n v="0"/>
    <s v="EQQ17"/>
    <n v="106"/>
    <n v="6"/>
    <s v="ร้านที่1"/>
    <s v="ส***ิง พ***เทศ"/>
    <s v="กรุงเทพฯ"/>
    <s v="-"/>
    <s v=""/>
    <s v="07/01/2025 09:40"/>
    <s v="-"/>
    <s v="J&amp;T Express"/>
    <s v="Tiktok"/>
    <s v="tiktok"/>
    <s v=""/>
    <s v="754325443826"/>
    <s v="07/01/2025 09:39"/>
  </r>
  <r>
    <x v="40"/>
    <x v="59"/>
    <n v="114.19"/>
    <n v="1"/>
    <n v="0"/>
    <s v="EQQ16"/>
    <n v="143.19"/>
    <n v="29"/>
    <s v="ร้านที่1"/>
    <s v="วิภาดา  สังข์สุวรรณ"/>
    <s v="99/246 หมู่บ้านแสนปรีดา 5,7,8  หมู่ที่ 1  ถนนเครือสหพัฒน์ ตำบลบึ_x000a__x000a_ศรีราชา/ Si Rachaชลบุรี/ Chonburi_x000a_20230"/>
    <s v="20230"/>
    <s v="660825246632"/>
    <s v="07/01/2025 09:38"/>
    <s v="-"/>
    <s v="Kerry_dropoff"/>
    <s v="Lazada"/>
    <s v="lazada"/>
    <s v=""/>
    <s v="LEXPU0443770310"/>
    <s v="07/01/2025 09:38"/>
  </r>
  <r>
    <x v="19"/>
    <x v="34"/>
    <n v="119.72"/>
    <n v="1"/>
    <n v="0"/>
    <s v="EQQ14"/>
    <n v="124.72"/>
    <n v="5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07/01/2025 09:37"/>
    <s v="-"/>
    <s v="Kerry_dropoff"/>
    <s v="Lazada"/>
    <s v="lazada"/>
    <s v=""/>
    <s v="TH42106P9JUY0J"/>
    <s v="07/01/2025 09:37"/>
  </r>
  <r>
    <x v="39"/>
    <x v="55"/>
    <n v="337.32"/>
    <n v="1"/>
    <n v="0"/>
    <s v="EQQ11"/>
    <n v="337.32"/>
    <n v="0"/>
    <s v="ร้านที่10"/>
    <s v="วรภัทร์ พิมพ์หนู"/>
    <s v="97/2 หมู่2 บ.ห้วยตะโก ต.โคกเดื่อ_x000a__x000a_ไพศาลี/ Phaisaliนครสวรรค์/ Nakhon Sawan_x000a_60220"/>
    <s v="60220"/>
    <s v="660824756899"/>
    <s v="07/01/2025 09:31"/>
    <s v="-"/>
    <s v="Kerry_dropoff"/>
    <s v="Lazada"/>
    <s v="lazada"/>
    <s v=""/>
    <s v="-"/>
    <s v="07/01/2025 09:31"/>
  </r>
  <r>
    <x v="30"/>
    <x v="40"/>
    <n v="122.91"/>
    <n v="1"/>
    <n v="0"/>
    <s v="EQQ8"/>
    <n v="122.91"/>
    <n v="0"/>
    <s v="ร้านที่10"/>
    <s v="ฐิติมา หมื่นจบ"/>
    <s v="สำนักงานธนารักษ์พื้นที่นครสวรรค์ (ส่วนประเมิน) 49/5 ต.ปากน้ำโพ · ปากน้ำโพ/ Pak Nam Pho_x000a__x000a_เมืองนครสวรรค์/ Mueang Nakhon Sawanนครสวรรค์/ Nakhon Sawan_x000a_60000"/>
    <s v="60000"/>
    <s v="660800930420"/>
    <s v="07/01/2025 09:23"/>
    <s v="-"/>
    <s v="Kerry_dropoff"/>
    <s v="Lazada"/>
    <s v="lazada"/>
    <s v=""/>
    <s v="LEXDO0124208500"/>
    <s v="07/01/2025 09:23"/>
  </r>
  <r>
    <x v="35"/>
    <x v="46"/>
    <n v="100"/>
    <n v="4"/>
    <n v="0"/>
    <s v="EQQ7"/>
    <n v="400"/>
    <n v="0"/>
    <s v="ร้านที่4"/>
    <s v="ย***น ถ***ับไทย"/>
    <s v="สงขลา"/>
    <s v="-"/>
    <s v=""/>
    <s v="07/01/2025 09:21"/>
    <s v="-"/>
    <s v="Flash Express Thailand COD"/>
    <s v="Tiktok"/>
    <s v="จ่ายทีหลัง / COD"/>
    <s v=""/>
    <s v="THT71101E9KND3Z"/>
    <s v="07/01/2025 09:21"/>
  </r>
  <r>
    <x v="13"/>
    <x v="30"/>
    <n v="112"/>
    <n v="1"/>
    <n v="0"/>
    <s v="EQQ3"/>
    <n v="117"/>
    <n v="5"/>
    <s v="ร้านที่9"/>
    <s v="Kannika M"/>
    <s v="189/191 หมู่ที่ 3 มบ.พฤกษา 56 (ซ.7) · ในคลองบางปลากด/ Nai Khlong Bang Pla Kot_x000a__x000a_พระสมุทรเจดีย์/ Phra Samut Chediสมุทรปราการ/ Samut Prakan_x000a_10290"/>
    <s v="10290"/>
    <s v="660894554107"/>
    <s v="07/01/2025 09:12"/>
    <s v="-"/>
    <s v="Kerry_dropoff"/>
    <s v="Lazada"/>
    <s v="lazada"/>
    <s v=""/>
    <s v="LEXDO0124206012"/>
    <s v="07/01/2025 09:11"/>
  </r>
  <r>
    <x v="9"/>
    <x v="4"/>
    <n v="100"/>
    <n v="3"/>
    <n v="0"/>
    <s v="EQQ1"/>
    <n v="300"/>
    <n v="0"/>
    <s v="ร้านที่1"/>
    <s v="ป***วัลย์ แ***พิพัฒน์"/>
    <s v="กรุงเทพฯ"/>
    <s v="-"/>
    <s v=""/>
    <s v="07/01/2025 09:08"/>
    <s v="-"/>
    <s v="J&amp;T Express"/>
    <s v="Tiktok"/>
    <s v="tiktok"/>
    <s v=""/>
    <s v="754302729865"/>
    <s v="07/01/2025 09:08"/>
  </r>
  <r>
    <x v="24"/>
    <x v="32"/>
    <n v="504.52"/>
    <n v="1"/>
    <n v="0"/>
    <s v="EQP99"/>
    <n v="527.52"/>
    <n v="23"/>
    <s v="ร้านที่6"/>
    <s v="วันดี  พลองพิมาย"/>
    <s v="24 ม.15_x000a__x000a_จักราช/ Chakkaratนครราชสีมา/ Nakhon Ratchasima_x000a_30230"/>
    <s v="30230"/>
    <s v="660817751867"/>
    <s v="07/01/2025 09:07"/>
    <s v="-"/>
    <s v="Kerry_dropoff"/>
    <s v="Lazada"/>
    <s v="lazada"/>
    <s v=""/>
    <s v="TH27066P9DYS9G"/>
    <s v="07/01/2025 09:07"/>
  </r>
  <r>
    <x v="20"/>
    <x v="20"/>
    <n v="199"/>
    <n v="1"/>
    <n v="0"/>
    <s v="EQP98"/>
    <n v="316"/>
    <n v="48"/>
    <s v="ร้านที่1"/>
    <s v="ช******น"/>
    <s v="******ลบึงบา อำเภอหนองเสือ จังหวัดปทุมธานี 12170"/>
    <s v="12170"/>
    <s v="56"/>
    <s v="07/01/2025 09:35"/>
    <s v="-"/>
    <s v="SPX Express"/>
    <s v="Shopee"/>
    <s v="shopee"/>
    <s v=""/>
    <s v="TH259258230584T"/>
    <s v="07/01/2025 09:05"/>
  </r>
  <r>
    <x v="32"/>
    <x v="53"/>
    <n v="199"/>
    <n v="1"/>
    <n v="0"/>
    <s v="EQP97"/>
    <n v="199"/>
    <n v="0"/>
    <s v="ร้านที่1"/>
    <s v="น******ว"/>
    <s v="******ราษฎร์ ตำบลเด่นราษฎร์ อำเภอหนองฮี จังหวัดร้อยเอ็ด 45140"/>
    <s v="45140"/>
    <s v="02"/>
    <s v="07/01/2025 09:33"/>
    <s v="-"/>
    <s v="Flash Express"/>
    <s v="Shopee"/>
    <s v="shopee"/>
    <s v=""/>
    <s v="TH42196P8QMQ8D"/>
    <s v="07/01/2025 09:03"/>
  </r>
  <r>
    <x v="0"/>
    <x v="0"/>
    <n v="100"/>
    <n v="1"/>
    <n v="0"/>
    <s v="EQP96"/>
    <n v="106"/>
    <n v="6"/>
    <s v="ร้านที่4"/>
    <s v="ก***ตรา ด***ระทุม"/>
    <s v="ชัยภูมิ"/>
    <s v="-"/>
    <s v=""/>
    <s v="07/01/2025 09:02"/>
    <s v="-"/>
    <s v="Flash Express Thailand COD"/>
    <s v="Tiktok"/>
    <s v="จ่ายทีหลัง / COD"/>
    <s v=""/>
    <s v="THT33011E9ARY1Z"/>
    <s v="07/01/2025 09:02"/>
  </r>
  <r>
    <x v="13"/>
    <x v="30"/>
    <n v="112.35"/>
    <n v="1"/>
    <n v="0"/>
    <s v="EQP95"/>
    <n v="117.35"/>
    <n v="5"/>
    <s v="ร้านที่9"/>
    <s v="สุภารัตน์  วิบูลย์เวชวาณิชย์"/>
    <s v="147/3  หมู่  5  ต.  ห้วยกะปิ_x000a__x000a_เมืองชลบุรี/ Mueang Chon Buriชลบุรี/ Chonburi_x000a_20130"/>
    <s v="20130"/>
    <s v="660819113142"/>
    <s v="07/01/2025 09:00"/>
    <s v="-"/>
    <s v="Kerry_dropoff"/>
    <s v="Lazada"/>
    <s v="lazada"/>
    <s v=""/>
    <s v="LEXDO0124206014"/>
    <s v="07/01/2025 09:00"/>
  </r>
  <r>
    <x v="0"/>
    <x v="0"/>
    <n v="100"/>
    <n v="1"/>
    <n v="0"/>
    <s v="EQP94"/>
    <n v="195"/>
    <n v="0"/>
    <s v="ร้านที่1"/>
    <s v="อ***ุอร ส***์โต"/>
    <s v="ตาก"/>
    <s v="-"/>
    <s v=""/>
    <s v="07/01/2025 08:59"/>
    <s v="-"/>
    <s v="J&amp;T COD"/>
    <s v="Tiktok"/>
    <s v="จ่ายทีหลัง / COD"/>
    <s v=""/>
    <s v="754361813870"/>
    <s v="07/01/2025 09:00"/>
  </r>
  <r>
    <x v="13"/>
    <x v="30"/>
    <n v="102.35"/>
    <n v="1"/>
    <n v="0"/>
    <s v="EQP93"/>
    <n v="102.35"/>
    <n v="0"/>
    <s v="ร้านที่9"/>
    <s v="นิยดา"/>
    <s v="35/3-4 ม.5 ต.ลำพยา บริษัท วิทยาศรม จำกัด_x000a__x000a_เมืองนครปฐม/ Mueang Nakhon Pathomนครปฐม/ Nakhon Pathom_x000a_73000"/>
    <s v="73000"/>
    <s v="660818569073"/>
    <s v="07/01/2025 08:56"/>
    <s v="-"/>
    <s v="Kerry_dropoff"/>
    <s v="Lazada"/>
    <s v="lazada"/>
    <s v=""/>
    <s v="LEXDO0124206277"/>
    <s v="07/01/2025 08:56"/>
  </r>
  <r>
    <x v="19"/>
    <x v="34"/>
    <n v="112.35"/>
    <n v="1"/>
    <n v="0"/>
    <s v="EQP92"/>
    <n v="117.35"/>
    <n v="5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07/01/2025 08:56"/>
    <s v="-"/>
    <s v="Kerry_dropoff"/>
    <s v="Lazada"/>
    <s v="lazada"/>
    <s v=""/>
    <s v="LEXDO0124222312"/>
    <s v="07/01/2025 08:56"/>
  </r>
  <r>
    <x v="35"/>
    <x v="46"/>
    <n v="100"/>
    <n v="2"/>
    <n v="0"/>
    <s v="EQP91"/>
    <n v="200"/>
    <n v="0"/>
    <s v="ร้านที่4"/>
    <s v="ธ***รัตน์  ว***ภักดี"/>
    <s v="ศรีสะเกษ"/>
    <s v="-"/>
    <s v=""/>
    <s v="07/01/2025 08:55"/>
    <s v="-"/>
    <s v="Flash Express Thailand COD"/>
    <s v="Tiktok"/>
    <s v="จ่ายทีหลัง / COD"/>
    <s v=""/>
    <s v="THT30111E9MSN3Z"/>
    <s v="07/01/2025 08:55"/>
  </r>
  <r>
    <x v="4"/>
    <x v="4"/>
    <n v="100"/>
    <n v="1"/>
    <n v="0"/>
    <s v="EQP90"/>
    <n v="300"/>
    <n v="0"/>
    <s v="ร้านที่4"/>
    <s v="จ***พร ด***นท์"/>
    <s v="มหาสารคาม"/>
    <s v="-"/>
    <s v=""/>
    <s v="07/01/2025 08:54"/>
    <s v="-"/>
    <s v="Flash Express Thailand COD"/>
    <s v="Tiktok"/>
    <s v="จ่ายทีหลัง / COD"/>
    <s v=""/>
    <s v="THT41061EAAZM2Z"/>
    <s v="07/01/2025 08:54"/>
  </r>
  <r>
    <x v="9"/>
    <x v="4"/>
    <n v="100"/>
    <n v="2"/>
    <n v="0"/>
    <s v="EQP90"/>
    <n v="300"/>
    <n v="0"/>
    <s v="ร้านที่4"/>
    <s v="จ***พร ด***นท์"/>
    <s v="มหาสารคาม"/>
    <s v="-"/>
    <s v=""/>
    <s v="07/01/2025 08:54"/>
    <s v="-"/>
    <s v="Flash Express Thailand COD"/>
    <s v="Tiktok"/>
    <s v="จ่ายทีหลัง / COD"/>
    <s v=""/>
    <s v="THT41061EAAZM2Z"/>
    <s v="07/01/2025 08:54"/>
  </r>
  <r>
    <x v="35"/>
    <x v="46"/>
    <n v="100"/>
    <n v="2"/>
    <n v="0"/>
    <s v="EQP89"/>
    <n v="200"/>
    <n v="0"/>
    <s v="ร้านที่4"/>
    <s v="ธ***รัตน์  ว***ภักดี"/>
    <s v="ศรีสะเกษ"/>
    <s v="-"/>
    <s v=""/>
    <s v="07/01/2025 08:53"/>
    <s v="-"/>
    <s v="Flash Express Thailand COD"/>
    <s v="Tiktok"/>
    <s v="จ่ายทีหลัง / COD"/>
    <s v=""/>
    <s v="THT30111E9QFC8Z"/>
    <s v="07/01/2025 08:53"/>
  </r>
  <r>
    <x v="9"/>
    <x v="4"/>
    <n v="100"/>
    <n v="1"/>
    <n v="0"/>
    <s v="EQP88"/>
    <n v="106"/>
    <n v="6"/>
    <s v="ร้านที่2"/>
    <s v="ป***พร​ พ***กดิ์"/>
    <s v="ร้อยเอ็ด"/>
    <s v="-"/>
    <s v=""/>
    <s v="07/01/2025 08:53"/>
    <s v="-"/>
    <s v="J&amp;T COD"/>
    <s v="Tiktok"/>
    <s v="จ่ายทีหลัง / COD"/>
    <s v=""/>
    <s v="754311834894"/>
    <s v="07/01/2025 08:53"/>
  </r>
  <r>
    <x v="13"/>
    <x v="30"/>
    <n v="112.35"/>
    <n v="1"/>
    <n v="0"/>
    <s v="EQP87"/>
    <n v="117.35"/>
    <n v="5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07/01/2025 08:53"/>
    <s v="-"/>
    <s v="Kerry_dropoff"/>
    <s v="Lazada"/>
    <s v="lazada"/>
    <s v=""/>
    <s v="LEXDO0124206354"/>
    <s v="07/01/2025 08:52"/>
  </r>
  <r>
    <x v="10"/>
    <x v="10"/>
    <n v="200"/>
    <n v="1"/>
    <n v="0"/>
    <s v="EQP86"/>
    <n v="300"/>
    <n v="0"/>
    <s v="ร้านที่4"/>
    <s v="ธ***รัตน์   น***ทธิ์"/>
    <s v="สุราษฎร์ธานี"/>
    <s v="-"/>
    <s v=""/>
    <s v="07/01/2025 08:49"/>
    <s v="-"/>
    <s v="Flash Express Thailand COD"/>
    <s v="Tiktok"/>
    <s v="จ่ายทีหลัง / COD"/>
    <s v=""/>
    <s v="THT68181EABBS0Z"/>
    <s v="07/01/2025 08:50"/>
  </r>
  <r>
    <x v="3"/>
    <x v="3"/>
    <n v="100"/>
    <n v="1"/>
    <n v="0"/>
    <s v="EQP86"/>
    <n v="300"/>
    <n v="0"/>
    <s v="ร้านที่4"/>
    <s v="ธ***รัตน์   น***ทธิ์"/>
    <s v="สุราษฎร์ธานี"/>
    <s v="-"/>
    <s v=""/>
    <s v="07/01/2025 08:49"/>
    <s v="-"/>
    <s v="Flash Express Thailand COD"/>
    <s v="Tiktok"/>
    <s v="จ่ายทีหลัง / COD"/>
    <s v=""/>
    <s v="THT68181EABBS0Z"/>
    <s v="07/01/2025 08:50"/>
  </r>
  <r>
    <x v="1"/>
    <x v="1"/>
    <n v="200"/>
    <n v="1"/>
    <n v="0"/>
    <s v="EQP85"/>
    <n v="200"/>
    <n v="0"/>
    <s v="ร้านที่2"/>
    <s v="ร***รา   ร***ีภูมิ"/>
    <s v="ชลบุรี"/>
    <s v="-"/>
    <s v=""/>
    <s v="07/01/2025 08:47"/>
    <s v="-"/>
    <s v="J&amp;T COD"/>
    <s v="Tiktok"/>
    <s v="จ่ายทีหลัง / COD"/>
    <s v=""/>
    <s v="754339245881"/>
    <s v="07/01/2025 08:47"/>
  </r>
  <r>
    <x v="36"/>
    <x v="51"/>
    <n v="232.24"/>
    <n v="1"/>
    <n v="0"/>
    <s v="EQP84"/>
    <n v="232.24"/>
    <n v="0"/>
    <s v="ร้านที่10"/>
    <s v="นูรไซดา.  หะยีซิดิ"/>
    <s v="ห้อง2.  ห้องแถวสีฟ้า หลังตลาดนัดข้างปั๊มบ.ต.ท.  · หนองพลับ/ Nong Phlap_x000a__x000a_หัวหิน/ Hua Hinประจวบคีรีขันธ์/ Prachuap Khiri Khan_x000a_77110"/>
    <s v="77110"/>
    <s v="660822088128"/>
    <s v="07/01/2025 08:43"/>
    <s v="-"/>
    <s v="Kerry_dropoff"/>
    <s v="Lazada"/>
    <s v="lazada"/>
    <s v=""/>
    <s v="-"/>
    <s v="07/01/2025 08:43"/>
  </r>
  <r>
    <x v="9"/>
    <x v="4"/>
    <n v="100"/>
    <n v="1"/>
    <n v="0"/>
    <s v="EQP83"/>
    <n v="100"/>
    <n v="0"/>
    <s v="ร้านที่4"/>
    <s v="ส***รณ์กระเป๋าทอง"/>
    <s v="ลพบุรี"/>
    <s v="-"/>
    <s v=""/>
    <s v="07/01/2025 08:42"/>
    <s v="-"/>
    <s v="Flash Express Thailand COD"/>
    <s v="Tiktok"/>
    <s v="จ่ายทีหลัง / COD"/>
    <s v=""/>
    <s v="THT07031E9PT30Z"/>
    <s v="07/01/2025 08:42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49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5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9"/>
    <x v="55"/>
    <n v="278.49"/>
    <n v="1"/>
    <n v="0"/>
    <s v="EQP82"/>
    <n v="1392.48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7/01/2025 08:38"/>
    <s v="-"/>
    <s v="Kerry_dropoff"/>
    <s v="Lazada"/>
    <s v="lazada"/>
    <s v=""/>
    <s v="TH28146P8J8Y8C"/>
    <s v="07/01/2025 08:38"/>
  </r>
  <r>
    <x v="36"/>
    <x v="48"/>
    <n v="280"/>
    <n v="1"/>
    <n v="0"/>
    <s v="EQP81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1/2025 09:06"/>
    <s v="-"/>
    <s v="Flash Express"/>
    <s v="Shopee"/>
    <s v="shopee"/>
    <s v=""/>
    <s v="TH13056PDP783F"/>
    <s v="07/01/2025 08:36"/>
  </r>
  <r>
    <x v="39"/>
    <x v="58"/>
    <n v="399"/>
    <n v="1"/>
    <n v="0"/>
    <s v="EQP80"/>
    <n v="399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1/2025 09:04"/>
    <s v="-"/>
    <s v="Flash Express"/>
    <s v="Shopee"/>
    <s v="shopee"/>
    <s v=""/>
    <s v="TH13056PDR8J4F"/>
    <s v="07/01/2025 08:34"/>
  </r>
  <r>
    <x v="30"/>
    <x v="40"/>
    <n v="97.03"/>
    <n v="1"/>
    <n v="0"/>
    <s v="EQP79"/>
    <n v="102.03"/>
    <n v="5"/>
    <s v="ร้านที่10"/>
    <s v="เล็ก"/>
    <s v="30หมู่10 · เขาชะงุ้ม/ Khao Cha-ngum_x000a__x000a_โพธาราม/ Photharamราชบุรี/ Ratchaburi_x000a_70120"/>
    <s v="70120"/>
    <s v="660636203679"/>
    <s v="07/01/2025 08:29"/>
    <s v="-"/>
    <s v="Kerry_dropoff"/>
    <s v="Lazada"/>
    <s v="lazada"/>
    <s v=""/>
    <s v="LEXDO0124208689"/>
    <s v="07/01/2025 08:29"/>
  </r>
  <r>
    <x v="0"/>
    <x v="0"/>
    <n v="100"/>
    <n v="2"/>
    <n v="0"/>
    <s v="EQP78"/>
    <n v="200"/>
    <n v="0"/>
    <s v="ร้านที่4"/>
    <s v="ม***นันท์ ห***านต์"/>
    <s v="ปทุมธานี"/>
    <s v="-"/>
    <s v=""/>
    <s v="07/01/2025 08:29"/>
    <s v="-"/>
    <s v="Flash Express Thailand"/>
    <s v="Tiktok"/>
    <s v="tiktok"/>
    <s v=""/>
    <s v="THT04011E9YMN6Z"/>
    <s v="07/01/2025 08:29"/>
  </r>
  <r>
    <x v="39"/>
    <x v="55"/>
    <n v="226.28"/>
    <n v="1"/>
    <n v="0"/>
    <s v="EQP77"/>
    <n v="226.28"/>
    <n v="0"/>
    <s v="ร้านที่10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07/01/2025 08:29"/>
    <s v="-"/>
    <s v="Kerry_dropoff"/>
    <s v="Lazada"/>
    <s v="lazada"/>
    <s v=""/>
    <s v="TH31226P8PZZ2A"/>
    <s v="07/01/2025 08:29"/>
  </r>
  <r>
    <x v="35"/>
    <x v="46"/>
    <n v="100"/>
    <n v="2"/>
    <n v="0"/>
    <s v="EQP76"/>
    <n v="200"/>
    <n v="0"/>
    <s v="ร้านที่4"/>
    <s v="ก***ิมา"/>
    <s v="ชลบุรี"/>
    <s v="-"/>
    <s v=""/>
    <s v="07/01/2025 08:25"/>
    <s v="-"/>
    <s v="Flash Express Thailand COD"/>
    <s v="Tiktok"/>
    <s v="จ่ายทีหลัง / COD"/>
    <s v=""/>
    <s v="THT20101E9YYW0Z"/>
    <s v="07/01/2025 08:26"/>
  </r>
  <r>
    <x v="4"/>
    <x v="4"/>
    <n v="100"/>
    <n v="1"/>
    <n v="0"/>
    <s v="EQP75"/>
    <n v="106"/>
    <n v="6"/>
    <s v="ร้านที่2"/>
    <s v="อ***ณา ช***ล้วน"/>
    <s v="ชุมพร"/>
    <s v="-"/>
    <s v=""/>
    <s v="07/01/2025 08:12"/>
    <s v="-"/>
    <s v="J&amp;T COD"/>
    <s v="Tiktok"/>
    <s v="จ่ายทีหลัง / COD"/>
    <s v=""/>
    <s v="754329711844"/>
    <s v="07/01/2025 08:12"/>
  </r>
  <r>
    <x v="35"/>
    <x v="46"/>
    <n v="100"/>
    <n v="4"/>
    <n v="0"/>
    <s v="EQP74"/>
    <n v="400"/>
    <n v="0"/>
    <s v="ร้านที่4"/>
    <s v="ไ***"/>
    <s v="ระยอง"/>
    <s v="-"/>
    <s v=""/>
    <s v="07/01/2025 08:09"/>
    <s v="-"/>
    <s v="Flash Express Thailand COD"/>
    <s v="Tiktok"/>
    <s v="จ่ายทีหลัง / COD"/>
    <s v=""/>
    <s v="THT21061E9CED1Z"/>
    <s v="07/01/2025 08:09"/>
  </r>
  <r>
    <x v="13"/>
    <x v="30"/>
    <n v="112.35"/>
    <n v="1"/>
    <n v="0"/>
    <s v="EQP73"/>
    <n v="117.35"/>
    <n v="5"/>
    <s v="ร้านที่9"/>
    <s v="ภาคภูมิ เชื้อคำฟู"/>
    <s v="70/27 ม.2 ต.ช้างเผือก อ.เมือง 1,000,000ป้ายดีไซน์ · ช้างเผือก/ Chang Phueak_x000a__x000a_เมืองเชียงใหม่/ Mueang Chiang Maiเชียงใหม่/ Chiang Mai_x000a_50300"/>
    <s v="50300"/>
    <s v="660819921644"/>
    <s v="07/01/2025 08:09"/>
    <s v="-"/>
    <s v="Kerry_dropoff"/>
    <s v="Lazada"/>
    <s v="lazada"/>
    <s v=""/>
    <s v="LEXDO0124206718"/>
    <s v="07/01/2025 08:08"/>
  </r>
  <r>
    <x v="0"/>
    <x v="0"/>
    <n v="100"/>
    <n v="3"/>
    <n v="0"/>
    <s v="EQP72"/>
    <n v="300"/>
    <n v="0"/>
    <s v="ร้านที่2"/>
    <s v="ต***ตา ป***พร T*"/>
    <s v="พิษณุโลก"/>
    <s v="-"/>
    <s v=""/>
    <s v="07/01/2025 08:07"/>
    <s v="-"/>
    <s v="J&amp;T COD"/>
    <s v="Tiktok"/>
    <s v="จ่ายทีหลัง / COD"/>
    <s v="***ขออนุญาตไม่รับช็อกโกแลตค่ะ***"/>
    <s v="754321743803"/>
    <s v="07/01/2025 08:07"/>
  </r>
  <r>
    <x v="0"/>
    <x v="0"/>
    <n v="100"/>
    <n v="1"/>
    <n v="0"/>
    <s v="EQP71"/>
    <n v="156"/>
    <n v="56"/>
    <s v="ร้านที่1"/>
    <s v="เ*** แ***ฒ่า"/>
    <s v="เชียงใหม่"/>
    <s v="-"/>
    <s v=""/>
    <s v="07/01/2025 07:58"/>
    <s v="-"/>
    <s v="J&amp;T COD"/>
    <s v="Tiktok"/>
    <s v="จ่ายทีหลัง / COD"/>
    <s v=""/>
    <s v="754370431824"/>
    <s v="07/01/2025 07:58"/>
  </r>
  <r>
    <x v="13"/>
    <x v="30"/>
    <n v="112.35"/>
    <n v="1"/>
    <n v="0"/>
    <s v="EQP70"/>
    <n v="117.35"/>
    <n v="5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07/01/2025 08:00"/>
    <s v="-"/>
    <s v="Kerry_dropoff"/>
    <s v="Lazada"/>
    <s v="lazada"/>
    <s v=""/>
    <s v="LEXDO0124206019"/>
    <s v="07/01/2025 07:57"/>
  </r>
  <r>
    <x v="40"/>
    <x v="47"/>
    <n v="320.41000000000003"/>
    <n v="1"/>
    <n v="0"/>
    <s v="EQP68"/>
    <n v="320.41000000000003"/>
    <n v="0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7/01/2025 07:51"/>
    <s v="-"/>
    <s v="Kerry_dropoff"/>
    <s v="Lazada"/>
    <s v="lazada"/>
    <s v=""/>
    <s v="520004280830"/>
    <s v="07/01/2025 07:51"/>
  </r>
  <r>
    <x v="38"/>
    <x v="50"/>
    <n v="200"/>
    <n v="2"/>
    <n v="0"/>
    <s v="EQP67"/>
    <n v="400"/>
    <n v="0"/>
    <s v="ร้านที่2"/>
    <s v="ส***ล ศ***ภัย"/>
    <s v="นครราชสีมา"/>
    <s v="-"/>
    <s v=""/>
    <s v="07/01/2025 07:51"/>
    <s v="-"/>
    <s v="J&amp;T COD"/>
    <s v="Tiktok"/>
    <s v="จ่ายทีหลัง / COD"/>
    <s v=""/>
    <s v="754321145826"/>
    <s v="07/01/2025 07:51"/>
  </r>
  <r>
    <x v="19"/>
    <x v="34"/>
    <n v="112.35"/>
    <n v="1"/>
    <n v="0"/>
    <s v="EQP66"/>
    <n v="117.35"/>
    <n v="5"/>
    <s v="ร้านที่9"/>
    <s v="ญาราภรณ์  วงษ์โสภา"/>
    <s v="องค์การบริหารส่วนจังหวัดยโสธร (ส่งสินค้า จันทร์-ศุกร์ เท่านั้น) ตำบลในเมือง · ในเมือง/ Nai Mueang_x000a__x000a_เมืองยโสธร/ Mueang Yasothonยโสธร/ Yasothon_x000a_35000"/>
    <s v="35000"/>
    <s v="660943239463"/>
    <s v="07/01/2025 07:46"/>
    <s v="-"/>
    <s v="Kerry_dropoff"/>
    <s v="Lazada"/>
    <s v="lazada"/>
    <s v=""/>
    <s v="TH32016P9E3A9C"/>
    <s v="07/01/2025 07:46"/>
  </r>
  <r>
    <x v="20"/>
    <x v="20"/>
    <n v="199"/>
    <n v="2"/>
    <n v="0"/>
    <s v="EQP65"/>
    <n v="446"/>
    <n v="48"/>
    <s v="ร้านที่1"/>
    <s v="เ******ล"/>
    <s v="******26)  ถ.สุขุมวิท 101/1 บางจาก แขวงบางจาก เขตพระโขนง จังหวัดกรุงเทพมหานคร 10260"/>
    <s v="10260"/>
    <s v="03"/>
    <s v="07/01/2025 07:44"/>
    <s v="-"/>
    <s v="SPX Express"/>
    <s v="Shopee"/>
    <s v="shopee"/>
    <s v=""/>
    <s v="TH257170367522X"/>
    <s v="07/01/2025 07:40"/>
  </r>
  <r>
    <x v="13"/>
    <x v="30"/>
    <n v="104.15"/>
    <n v="1"/>
    <n v="0"/>
    <s v="EQP64"/>
    <n v="104.15"/>
    <n v="0"/>
    <s v="ร้านที่9"/>
    <s v="ปัทมา ศิริรุ้งโรจน์"/>
    <s v="28/1 ถ.พิชัยตัดใหม่ ต.เมืองสวรรคโลก · เมืองสวรรคโลก/ Mueang Sawankhalok_x000a__x000a_สวรรคโลก/ Sawankhalokสุโขทัย/ Sukhothai_x000a_64110"/>
    <s v="64110"/>
    <s v="660813852306"/>
    <s v="07/01/2025 07:31"/>
    <s v="-"/>
    <s v="Kerry_dropoff"/>
    <s v="Lazada"/>
    <s v="lazada"/>
    <s v=""/>
    <s v="TH60076P8GDT8A"/>
    <s v="07/01/2025 07:31"/>
  </r>
  <r>
    <x v="13"/>
    <x v="30"/>
    <n v="112.35"/>
    <n v="1"/>
    <n v="0"/>
    <s v="EQP63"/>
    <n v="117.35"/>
    <n v="5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7/01/2025 07:31"/>
    <s v="-"/>
    <s v="Kerry_dropoff"/>
    <s v="Lazada"/>
    <s v="lazada"/>
    <s v=""/>
    <s v="LEXDO0124205760"/>
    <s v="07/01/2025 07:31"/>
  </r>
  <r>
    <x v="1"/>
    <x v="1"/>
    <n v="200"/>
    <n v="1"/>
    <n v="0"/>
    <s v="EQP62"/>
    <n v="200"/>
    <n v="0"/>
    <s v="ร้านที่2"/>
    <s v="ว***กานต์ ท***ุ"/>
    <s v="อุบลราชธานี"/>
    <s v="-"/>
    <s v=""/>
    <s v="07/01/2025 07:27"/>
    <s v="-"/>
    <s v="J&amp;T COD"/>
    <s v="Tiktok"/>
    <s v="จ่ายทีหลัง / COD"/>
    <s v=""/>
    <s v="754389531895"/>
    <s v="07/01/2025 07:27"/>
  </r>
  <r>
    <x v="20"/>
    <x v="20"/>
    <n v="199"/>
    <n v="1"/>
    <n v="0"/>
    <s v="EQP61"/>
    <n v="228"/>
    <n v="29"/>
    <s v="ร้านที่1"/>
    <s v="เ******์"/>
    <s v="******ีลัง, อำเภอพัฒนานิคม ตำบลดีลัง อำเภอพัฒนานิคม จังหวัดลพบุรี 15220"/>
    <s v="15220"/>
    <s v="53"/>
    <s v="07/01/2025 07:21"/>
    <s v="-"/>
    <s v="SPX Express"/>
    <s v="Shopee"/>
    <s v="shopee"/>
    <s v=""/>
    <s v="TH259872271990Z"/>
    <s v="07/01/2025 07:21"/>
  </r>
  <r>
    <x v="0"/>
    <x v="0"/>
    <n v="100"/>
    <n v="1"/>
    <n v="0"/>
    <s v="EQP60"/>
    <n v="106"/>
    <n v="6"/>
    <s v="ร้านที่2"/>
    <s v="ส***รัตน์  แ***ทรัพย์ทวีกุล"/>
    <s v="ชลบุรี"/>
    <s v="-"/>
    <s v=""/>
    <s v="07/01/2025 07:17"/>
    <s v="-"/>
    <s v="J&amp;T COD"/>
    <s v="Tiktok"/>
    <s v="จ่ายทีหลัง / COD"/>
    <s v=""/>
    <s v="754305216615"/>
    <s v="07/01/2025 07:17"/>
  </r>
  <r>
    <x v="19"/>
    <x v="34"/>
    <n v="149.80000000000001"/>
    <n v="1"/>
    <n v="0"/>
    <s v="EQP59"/>
    <n v="154.80000000000001"/>
    <n v="5"/>
    <s v="ร้านที่9"/>
    <s v="พัชรินทร์ ดีพร้อม"/>
    <s v="28/8 ซอย พึ่งบุญ หมู่5 · ชากพง/ Chak Phong_x000a__x000a_แกลง/ Klaengระยอง/ Rayong_x000a_21190"/>
    <s v="21190"/>
    <s v="660882196046"/>
    <s v="07/01/2025 07:11"/>
    <s v="-"/>
    <s v="Kerry_dropoff"/>
    <s v="Lazada"/>
    <s v="lazada"/>
    <s v=""/>
    <s v="LEXDO0124099008"/>
    <s v="07/01/2025 07:11"/>
  </r>
  <r>
    <x v="9"/>
    <x v="4"/>
    <n v="100"/>
    <n v="1"/>
    <n v="0"/>
    <s v="EQP57"/>
    <n v="106"/>
    <n v="6"/>
    <s v="ร้านที่1"/>
    <s v="ก*** บ***รี"/>
    <s v="จันทบุรี"/>
    <s v="-"/>
    <s v=""/>
    <s v="07/01/2025 07:03"/>
    <s v="-"/>
    <s v="J&amp;T COD"/>
    <s v="Tiktok"/>
    <s v="จ่ายทีหลัง / COD"/>
    <s v=""/>
    <s v="754329461524"/>
    <s v="07/01/2025 07:03"/>
  </r>
  <r>
    <x v="24"/>
    <x v="26"/>
    <n v="420.96"/>
    <n v="1"/>
    <n v="0"/>
    <s v="EQP55"/>
    <n v="444.96"/>
    <n v="24"/>
    <s v="ร้านที่9"/>
    <s v="สุชาติ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07/01/2025 10:09"/>
    <s v="-"/>
    <s v="Kerry_dropoff"/>
    <s v="Lazada"/>
    <s v="lazada"/>
    <s v=""/>
    <s v="LEXDO0124222287"/>
    <s v="07/01/2025 06:58"/>
  </r>
  <r>
    <x v="3"/>
    <x v="3"/>
    <n v="100"/>
    <n v="1"/>
    <n v="0"/>
    <s v="EQP54"/>
    <n v="145"/>
    <n v="45"/>
    <s v="ร้านที่4"/>
    <s v="ไ***ํา"/>
    <s v="อำนาจเจริญ"/>
    <s v="-"/>
    <s v=""/>
    <s v="07/01/2025 06:57"/>
    <s v="-"/>
    <s v="Flash Express Thailand COD"/>
    <s v="Tiktok"/>
    <s v="จ่ายทีหลัง / COD"/>
    <s v=""/>
    <s v="THT34011E6B9M5Z"/>
    <s v="07/01/2025 06:58"/>
  </r>
  <r>
    <x v="24"/>
    <x v="26"/>
    <n v="420.96"/>
    <n v="1"/>
    <n v="0"/>
    <s v="EQP53"/>
    <n v="444.96"/>
    <n v="24"/>
    <s v="ร้านที่9"/>
    <s v="วันทนา  แก้วเบี่ยง"/>
    <s v="33/6 หมู่7ต.หมอนทอง_x000a__x000a_บางน้ำเปรี้ยว/ Bang Nam Priaoฉะเชิงเทรา/ Chachoengsao_x000a_24150"/>
    <s v="24150"/>
    <s v="660831106151"/>
    <s v="07/01/2025 10:10"/>
    <s v="-"/>
    <s v="Kerry_dropoff"/>
    <s v="Lazada"/>
    <s v="lazada"/>
    <s v=""/>
    <s v="TH24036P9EVU9D"/>
    <s v="07/01/2025 06:56"/>
  </r>
  <r>
    <x v="10"/>
    <x v="10"/>
    <n v="200"/>
    <n v="2"/>
    <n v="0"/>
    <s v="EQP52"/>
    <n v="400"/>
    <n v="0"/>
    <s v="ร้านที่4"/>
    <s v="น***ัศนา ค***ิน"/>
    <s v="พิจิตร"/>
    <s v="-"/>
    <s v=""/>
    <s v="07/01/2025 06:55"/>
    <s v="-"/>
    <s v="Flash Express Thailand COD"/>
    <s v="Tiktok"/>
    <s v="จ่ายทีหลัง / COD"/>
    <s v=""/>
    <s v="THT62041E6WXT5Z"/>
    <s v="07/01/2025 06:55"/>
  </r>
  <r>
    <x v="19"/>
    <x v="34"/>
    <n v="94.38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7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8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19"/>
    <x v="34"/>
    <n v="94.37"/>
    <n v="1"/>
    <n v="0"/>
    <s v="EQP50"/>
    <n v="382.5"/>
    <n v="5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54"/>
    <s v="-"/>
    <s v="Kerry_dropoff"/>
    <s v="Lazada"/>
    <s v="lazada"/>
    <s v=""/>
    <s v="TH29126P1H6X0I"/>
    <s v="07/01/2025 06:54"/>
  </r>
  <r>
    <x v="4"/>
    <x v="4"/>
    <n v="100"/>
    <n v="1"/>
    <n v="0"/>
    <s v="EQP49"/>
    <n v="145"/>
    <n v="45"/>
    <s v="ร้านที่1"/>
    <s v="น***าวธัญสิริ พ***อบ"/>
    <s v="ขอนแก่น"/>
    <s v="-"/>
    <s v=""/>
    <s v="07/01/2025 06:47"/>
    <s v="-"/>
    <s v="J&amp;T COD"/>
    <s v="Tiktok"/>
    <s v="จ่ายทีหลัง / COD"/>
    <s v=""/>
    <s v="754350205626"/>
    <s v="07/01/2025 06:47"/>
  </r>
  <r>
    <x v="19"/>
    <x v="34"/>
    <n v="94.38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8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94.37"/>
    <n v="1"/>
    <n v="0"/>
    <s v="EQP48"/>
    <n v="566.24"/>
    <n v="0"/>
    <s v="ร้านที่9"/>
    <s v="กุลภัทร์ จันทิมา บุญเต็ม"/>
    <s v="หมู่2บ้านน้ำท่วมต.สะโนอ.สำโรงทาบจ.สุรินทร์32170 · สะโน/ Sano_x000a__x000a_สำโรงทาบ/ Samrong Thapสุรินทร์/ Surin_x000a_32170"/>
    <s v="32170"/>
    <s v="660925305875"/>
    <s v="07/01/2025 06:42"/>
    <s v="-"/>
    <s v="Kerry_dropoff"/>
    <s v="Lazada"/>
    <s v="lazada"/>
    <s v=""/>
    <s v="TH29126P1JMA4I"/>
    <s v="07/01/2025 06:42"/>
  </r>
  <r>
    <x v="19"/>
    <x v="34"/>
    <n v="115.82"/>
    <n v="1"/>
    <n v="0"/>
    <s v="EQP47"/>
    <n v="120.82"/>
    <n v="5"/>
    <s v="ร้านที่9"/>
    <s v="สมพร สร้อยศรี"/>
    <s v="40 หมู่ 4 ตำบลเกาะเปริด_x000a__x000a_แหลมสิงห์/ Laem Singจันทบุรี/ Chanthaburi_x000a_22130"/>
    <s v="22130"/>
    <s v="660922536777"/>
    <s v="07/01/2025 06:39"/>
    <s v="-"/>
    <s v="Kerry_dropoff"/>
    <s v="Lazada"/>
    <s v="lazada"/>
    <s v=""/>
    <s v="LEXDO0124086477"/>
    <s v="07/01/2025 06:39"/>
  </r>
  <r>
    <x v="19"/>
    <x v="34"/>
    <n v="142.31"/>
    <n v="1"/>
    <n v="0"/>
    <s v="EQP46"/>
    <n v="147.31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7/01/2025 06:35"/>
    <s v="-"/>
    <s v="Kerry_dropoff"/>
    <s v="Lazada"/>
    <s v="lazada"/>
    <s v=""/>
    <s v="TH28136P2HB23E"/>
    <s v="07/01/2025 06:35"/>
  </r>
  <r>
    <x v="4"/>
    <x v="4"/>
    <n v="150"/>
    <n v="1"/>
    <n v="0"/>
    <s v="EQP45"/>
    <n v="179"/>
    <n v="29"/>
    <s v="ร้านที่1"/>
    <s v="เ******ย"/>
    <s v="******.เมือง จ.ลพบุรี ตำบลบางขันหมาก อำเภอเมืองลพบุรี จังหวัดลพบุรี 15000"/>
    <s v="15000"/>
    <s v="23"/>
    <s v="07/01/2025 06:20"/>
    <s v="-"/>
    <s v="SPX Express"/>
    <s v="Shopee"/>
    <s v="shopee"/>
    <s v=""/>
    <s v="TH2588602969064"/>
    <s v="07/01/2025 06:19"/>
  </r>
  <r>
    <x v="10"/>
    <x v="10"/>
    <n v="200"/>
    <n v="2"/>
    <n v="0"/>
    <s v="EQP44"/>
    <n v="400"/>
    <n v="0"/>
    <s v="ร้านที่4"/>
    <s v="ก***า ศ***ะนัน"/>
    <s v="กรุงเทพฯ"/>
    <s v="-"/>
    <s v=""/>
    <s v="07/01/2025 06:14"/>
    <s v="-"/>
    <s v="Flash Express Thailand COD"/>
    <s v="Tiktok"/>
    <s v="จ่ายทีหลัง / COD"/>
    <s v=""/>
    <s v="THT01231E6X085Z"/>
    <s v="07/01/2025 06:14"/>
  </r>
  <r>
    <x v="10"/>
    <x v="10"/>
    <n v="200"/>
    <n v="1"/>
    <n v="0"/>
    <s v="EQP43"/>
    <n v="200"/>
    <n v="0"/>
    <s v="ร้านที่4"/>
    <s v="ฉ***รรณ ส***ัว"/>
    <s v="ขอนแก่น"/>
    <s v="-"/>
    <s v=""/>
    <s v="07/01/2025 06:12"/>
    <s v="-"/>
    <s v="Flash Express Thailand COD"/>
    <s v="Tiktok"/>
    <s v="จ่ายทีหลัง / COD"/>
    <s v=""/>
    <s v="THT37121E79ZA8Z"/>
    <s v="07/01/2025 06:12"/>
  </r>
  <r>
    <x v="0"/>
    <x v="0"/>
    <n v="100"/>
    <n v="1"/>
    <n v="0"/>
    <s v="EQP42"/>
    <n v="100"/>
    <n v="0"/>
    <s v="ร้านที่2"/>
    <s v="แ***หมียว เ***วเล็บ"/>
    <s v="สิงห์บุรี"/>
    <s v="-"/>
    <s v=""/>
    <s v="07/01/2025 05:57"/>
    <s v="-"/>
    <s v="J&amp;T COD"/>
    <s v="Tiktok"/>
    <s v="จ่ายทีหลัง / COD"/>
    <s v=""/>
    <s v="754328370773"/>
    <s v="07/01/2025 05:57"/>
  </r>
  <r>
    <x v="14"/>
    <x v="14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7"/>
    <x v="7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7"/>
    <x v="7"/>
    <n v="74.400000000000006"/>
    <n v="1"/>
    <n v="0"/>
    <s v="EQP41"/>
    <n v="247.2"/>
    <n v="24"/>
    <s v="ร้านที่1"/>
    <s v="กรรณิการ์ อะโบดารา"/>
    <s v="32 ม.4 หมู่บ้านอำพรวิลล่า ซ.โกสุมรวมใจ 37 แยก8_x000a__x000a_ดอนเมือง/ Don Mueangกรุงเทพมหานคร/ Bangkok_x000a_10210"/>
    <s v="10210"/>
    <s v="660908866196"/>
    <s v="07/01/2025 05:54"/>
    <s v="-"/>
    <s v="Kerry_dropoff"/>
    <s v="Lazada"/>
    <s v="lazada"/>
    <s v=""/>
    <s v="LEXPU0442891190"/>
    <s v="07/01/2025 05:54"/>
  </r>
  <r>
    <x v="9"/>
    <x v="4"/>
    <n v="100"/>
    <n v="1"/>
    <n v="0"/>
    <s v="EQP40"/>
    <n v="200"/>
    <n v="0"/>
    <s v="ร้านที่2"/>
    <s v="ส***ญญา ไ***ลิศ"/>
    <s v="ระยอง"/>
    <s v="-"/>
    <s v=""/>
    <s v="07/01/2025 05:55"/>
    <s v="-"/>
    <s v="J&amp;T Express"/>
    <s v="Tiktok"/>
    <s v="tiktok"/>
    <s v=""/>
    <s v="754354861525"/>
    <s v="07/01/2025 05:54"/>
  </r>
  <r>
    <x v="0"/>
    <x v="0"/>
    <n v="100"/>
    <n v="1"/>
    <n v="0"/>
    <s v="EQP40"/>
    <n v="200"/>
    <n v="0"/>
    <s v="ร้านที่2"/>
    <s v="ส***ญญา ไ***ลิศ"/>
    <s v="ระยอง"/>
    <s v="-"/>
    <s v=""/>
    <s v="07/01/2025 05:55"/>
    <s v="-"/>
    <s v="J&amp;T Express"/>
    <s v="Tiktok"/>
    <s v="tiktok"/>
    <s v=""/>
    <s v="754354861525"/>
    <s v="07/01/2025 05:54"/>
  </r>
  <r>
    <x v="19"/>
    <x v="34"/>
    <n v="112.35"/>
    <n v="1"/>
    <n v="0"/>
    <s v="EQP39"/>
    <n v="117.35"/>
    <n v="5"/>
    <s v="ร้านที่9"/>
    <s v="ศิริลักษณ์ สรรพจักร"/>
    <s v="130 ม.3 ต.ช่อง · นาโยงใต้/ Na Yong Tai_x000a__x000a_เมืองตรัง/ Mueang Trangตรัง/ Trang_x000a_92170"/>
    <s v="92170"/>
    <s v="660805422687"/>
    <s v="07/01/2025 05:46"/>
    <s v="-"/>
    <s v="Kerry_dropoff"/>
    <s v="Lazada"/>
    <s v="lazada"/>
    <s v=""/>
    <s v="LEXDO0124086254"/>
    <s v="07/01/2025 05:46"/>
  </r>
  <r>
    <x v="19"/>
    <x v="34"/>
    <n v="94.38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8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9"/>
    <x v="34"/>
    <n v="94.37"/>
    <n v="1"/>
    <n v="0"/>
    <s v="EQP38"/>
    <n v="566.24"/>
    <n v="0"/>
    <s v="ร้านที่9"/>
    <s v="จันทิมา บุญเต็ม"/>
    <s v="37หมู่2บ้านน้ำท่วม ต.สะโนอ.สำโรงทาบจ.สุรินทร์ · สะโน/ Sano_x000a__x000a_สำโรงทาบ/ Samrong Thapสุรินทร์/ Surin_x000a_32170"/>
    <s v="32170"/>
    <s v="660925305875"/>
    <s v="07/01/2025 05:31"/>
    <s v="-"/>
    <s v="Kerry_dropoff"/>
    <s v="Lazada"/>
    <s v="lazada"/>
    <s v=""/>
    <s v="TH29126P1J7P7I"/>
    <s v="07/01/2025 05:31"/>
  </r>
  <r>
    <x v="1"/>
    <x v="1"/>
    <n v="200"/>
    <n v="1"/>
    <n v="0"/>
    <s v="EQP37"/>
    <n v="200"/>
    <n v="0"/>
    <s v="ร้านที่1"/>
    <s v="ป***ิ  แ***หล่า"/>
    <s v="ชลบุรี"/>
    <s v="-"/>
    <s v=""/>
    <s v="07/01/2025 05:24"/>
    <s v="-"/>
    <s v="J&amp;T COD"/>
    <s v="Tiktok"/>
    <s v="จ่ายทีหลัง / COD"/>
    <s v=""/>
    <s v="754341990581"/>
    <s v="07/01/2025 05:24"/>
  </r>
  <r>
    <x v="1"/>
    <x v="1"/>
    <n v="200"/>
    <n v="1"/>
    <n v="0"/>
    <s v="EQP36"/>
    <n v="200"/>
    <n v="0"/>
    <s v="ร้านที่1"/>
    <s v="พ***พา ด***วิเศษ"/>
    <s v="กาญจนบุรี"/>
    <s v="-"/>
    <s v=""/>
    <s v="07/01/2025 05:18"/>
    <s v="-"/>
    <s v="J&amp;T COD"/>
    <s v="Tiktok"/>
    <s v="จ่ายทีหลัง / COD"/>
    <s v=""/>
    <s v="754318889763"/>
    <s v="07/01/2025 05:18"/>
  </r>
  <r>
    <x v="1"/>
    <x v="1"/>
    <n v="200"/>
    <n v="1"/>
    <n v="0"/>
    <s v="EQP35"/>
    <n v="200"/>
    <n v="0"/>
    <s v="ร้านที่2"/>
    <s v="น** อ***ิญาน์ ใ***ง"/>
    <s v="น่าน"/>
    <s v="-"/>
    <s v=""/>
    <s v="07/01/2025 05:17"/>
    <s v="-"/>
    <s v="J&amp;T Express"/>
    <s v="Tiktok"/>
    <s v="tiktok"/>
    <s v=""/>
    <s v="754326483761"/>
    <s v="07/01/2025 05:17"/>
  </r>
  <r>
    <x v="19"/>
    <x v="34"/>
    <n v="112.35"/>
    <n v="1"/>
    <n v="0"/>
    <s v="EQP31"/>
    <n v="112.35"/>
    <n v="0"/>
    <s v="ร้านที่9"/>
    <s v="บังช็อป"/>
    <s v="82/44 ม.8 ต.อ้อมใหญ่ 82/44 ม.8 · อ้อมใหญ่/ Om Yai_x000a__x000a_สามพราน/ Sam Phranนครปฐม/ Nakhon Pathom_x000a_73160"/>
    <s v="73160"/>
    <s v="660991435226"/>
    <s v="07/01/2025 04:16"/>
    <s v="-"/>
    <s v="Kerry_dropoff"/>
    <s v="Lazada"/>
    <s v="lazada"/>
    <s v=""/>
    <s v="LEXDO0124086579"/>
    <s v="07/01/2025 03:59"/>
  </r>
  <r>
    <x v="13"/>
    <x v="30"/>
    <n v="112.35"/>
    <n v="1"/>
    <n v="0"/>
    <s v="EQP29"/>
    <n v="117.35"/>
    <n v="5"/>
    <s v="ร้านที่9"/>
    <s v="นางสาวสมพร บุญล้อม"/>
    <s v="48/13 ซอยนวมินทร์ ถนนนวมินทร์ แขวงคลองกุ่ม เขตบึงกุ่ม กรุงเทพ เกษกมลคอนโด ชั้น1 · นวมินทร์/ Nawamin_x000a__x000a_บึงกุ่ม/ Bueng Kumกรุงเทพมหานคร/ Bangkok_x000a_10230"/>
    <s v="10230"/>
    <s v="660647316646"/>
    <s v="07/01/2025 03:39"/>
    <s v="-"/>
    <s v="Kerry_dropoff"/>
    <s v="Lazada"/>
    <s v="lazada"/>
    <s v=""/>
    <s v="LEXDO0124100363"/>
    <s v="07/01/2025 03:39"/>
  </r>
  <r>
    <x v="16"/>
    <x v="37"/>
    <n v="235.62"/>
    <n v="1"/>
    <n v="0"/>
    <s v="EQP27"/>
    <n v="259.62"/>
    <n v="24"/>
    <s v="ร้านที่1"/>
    <s v="ร้อยตรีวัฒน นูมหันต์"/>
    <s v="บ้านนันทิชาการ์เด้น บ้านเลขที่ 29/129 หมู่ 10 · ลำลูกกา/ Lum Luk Ka_x000a__x000a_ลำลูกกา/ Lam Luk Kaปทุมธานี/ Pathum Thani_x000a_12150"/>
    <s v="12150"/>
    <s v="660870497978"/>
    <s v="07/01/2025 03:17"/>
    <s v="-"/>
    <s v="Kerry_dropoff"/>
    <s v="Lazada"/>
    <s v="lazada"/>
    <s v=""/>
    <s v="LEXPU0442876606"/>
    <s v="07/01/2025 03:15"/>
  </r>
  <r>
    <x v="10"/>
    <x v="10"/>
    <n v="200"/>
    <n v="1"/>
    <n v="0"/>
    <s v="EQP26"/>
    <n v="200"/>
    <n v="0"/>
    <s v="ร้านที่1"/>
    <s v="บ***่วย   ล***ุณเสน"/>
    <s v="ราชบุรี"/>
    <s v="-"/>
    <s v=""/>
    <s v="07/01/2025 03:08"/>
    <s v="-"/>
    <s v="J&amp;T COD"/>
    <s v="Tiktok"/>
    <s v="จ่ายทีหลัง / COD"/>
    <s v=""/>
    <s v="754321702654"/>
    <s v="07/01/2025 03:09"/>
  </r>
  <r>
    <x v="10"/>
    <x v="10"/>
    <n v="200"/>
    <n v="1"/>
    <n v="0"/>
    <s v="EQP23"/>
    <n v="200"/>
    <n v="0"/>
    <s v="ร้านที่4"/>
    <s v="บ***ทธิ์ อ***สถียร"/>
    <s v="ตราด"/>
    <s v="-"/>
    <s v=""/>
    <s v="07/01/2025 02:53"/>
    <s v="-"/>
    <s v="Flash Express Thailand COD"/>
    <s v="Tiktok"/>
    <s v="จ่ายทีหลัง / COD"/>
    <s v=""/>
    <s v="THT23011E7A1G4Z"/>
    <s v="07/01/2025 02:53"/>
  </r>
  <r>
    <x v="10"/>
    <x v="10"/>
    <n v="200"/>
    <n v="1"/>
    <n v="0"/>
    <s v="EQP22"/>
    <n v="200"/>
    <n v="0"/>
    <s v="ร้านที่4"/>
    <s v="ร**  พ***าะ"/>
    <s v="นครราชสีมา"/>
    <s v="-"/>
    <s v=""/>
    <s v="07/01/2025 02:35"/>
    <s v="-"/>
    <s v="Flash Express Thailand COD"/>
    <s v="Tiktok"/>
    <s v="จ่ายทีหลัง / COD"/>
    <s v=""/>
    <s v="THT27041E7A332Z"/>
    <s v="07/01/2025 02:36"/>
  </r>
  <r>
    <x v="4"/>
    <x v="4"/>
    <n v="100"/>
    <n v="1"/>
    <n v="0"/>
    <s v="EQP21"/>
    <n v="200"/>
    <n v="0"/>
    <s v="ร้านที่2"/>
    <s v="ร**  พ***าะ"/>
    <s v="นครราชสีมา"/>
    <s v="-"/>
    <s v=""/>
    <s v="07/01/2025 02:34"/>
    <s v="-"/>
    <s v="J&amp;T COD"/>
    <s v="Tiktok"/>
    <s v="จ่ายทีหลัง / COD"/>
    <s v=""/>
    <s v="754376413626"/>
    <s v="07/01/2025 02:34"/>
  </r>
  <r>
    <x v="9"/>
    <x v="4"/>
    <n v="100"/>
    <n v="1"/>
    <n v="0"/>
    <s v="EQP21"/>
    <n v="200"/>
    <n v="0"/>
    <s v="ร้านที่2"/>
    <s v="ร**  พ***าะ"/>
    <s v="นครราชสีมา"/>
    <s v="-"/>
    <s v=""/>
    <s v="07/01/2025 02:34"/>
    <s v="-"/>
    <s v="J&amp;T COD"/>
    <s v="Tiktok"/>
    <s v="จ่ายทีหลัง / COD"/>
    <s v=""/>
    <s v="754376413626"/>
    <s v="07/01/2025 02:34"/>
  </r>
  <r>
    <x v="0"/>
    <x v="0"/>
    <n v="100"/>
    <n v="1"/>
    <n v="0"/>
    <s v="EQP20"/>
    <n v="106"/>
    <n v="6"/>
    <s v="ร้านที่2"/>
    <s v="ส***ือง  ใ***าน"/>
    <s v="กรุงเทพฯ"/>
    <s v="-"/>
    <s v=""/>
    <s v="07/01/2025 02:28"/>
    <s v="-"/>
    <s v="J&amp;T COD"/>
    <s v="Tiktok"/>
    <s v="จ่ายทีหลัง / COD"/>
    <s v=""/>
    <s v="754363978771"/>
    <s v="07/01/2025 02:28"/>
  </r>
  <r>
    <x v="5"/>
    <x v="5"/>
    <n v="330"/>
    <n v="1"/>
    <n v="0"/>
    <s v="EQP19"/>
    <n v="330"/>
    <n v="0"/>
    <s v="ร้านที่1"/>
    <s v="ว***พล พ***จะบก"/>
    <s v="กรุงเทพฯ"/>
    <s v="-"/>
    <s v=""/>
    <s v="07/01/2025 02:10"/>
    <s v="-"/>
    <s v="J&amp;T Express"/>
    <s v="Tiktok"/>
    <s v="tiktok"/>
    <s v=""/>
    <s v="754382371746"/>
    <s v="07/01/2025 02:10"/>
  </r>
  <r>
    <x v="1"/>
    <x v="1"/>
    <n v="200"/>
    <n v="1"/>
    <n v="0"/>
    <s v="EQP18"/>
    <n v="200"/>
    <n v="0"/>
    <s v="ร้านที่1"/>
    <s v="ว***พร"/>
    <s v="สมุทรสาคร"/>
    <s v="-"/>
    <s v=""/>
    <s v="07/01/2025 01:32"/>
    <s v="-"/>
    <s v="J&amp;T COD"/>
    <s v="Tiktok"/>
    <s v="จ่ายทีหลัง / COD"/>
    <s v=""/>
    <s v="754392774752"/>
    <s v="07/01/2025 01:34"/>
  </r>
  <r>
    <x v="19"/>
    <x v="34"/>
    <n v="142.6"/>
    <n v="1"/>
    <n v="0"/>
    <s v="EQP17"/>
    <n v="147.6"/>
    <n v="5"/>
    <s v="ร้านที่9"/>
    <s v="ธิติวรรณ สุดชา"/>
    <s v="25/53 ม.2ต.บ้านสวน_x000a__x000a_เมืองชลบุรี/ Mueang Chon Buriชลบุรี/ Chonburi_x000a_20000"/>
    <s v="20000"/>
    <s v="660950320652"/>
    <s v="07/01/2025 01:33"/>
    <s v="-"/>
    <s v="Kerry_dropoff"/>
    <s v="Lazada"/>
    <s v="lazada"/>
    <s v=""/>
    <s v="LEXDO0124086670"/>
    <s v="07/01/2025 01:33"/>
  </r>
  <r>
    <x v="3"/>
    <x v="8"/>
    <n v="81.239999999999995"/>
    <n v="1"/>
    <n v="0"/>
    <s v="EQP14"/>
    <n v="81.239999999999995"/>
    <n v="0"/>
    <s v="ร้านที่6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07/01/2025 00:56"/>
    <s v="-"/>
    <s v="Kerry_dropoff"/>
    <s v="Lazada"/>
    <s v="lazada"/>
    <s v=""/>
    <s v="LEXPU0442874056"/>
    <s v="07/01/2025 00:55"/>
  </r>
  <r>
    <x v="13"/>
    <x v="30"/>
    <n v="142.31"/>
    <n v="1"/>
    <n v="0"/>
    <s v="EQP13"/>
    <n v="147.31"/>
    <n v="5"/>
    <s v="ร้านที่9"/>
    <s v="มานพ  ปรียานุพันธ์"/>
    <s v="ร้านสหรุ่งโรจน์2002 158ม.10ต.หนองโก_x000a__x000a_กระนวน/ Kranuanขอนแก่น/ Khon Kaen_x000a_40170"/>
    <s v="40170"/>
    <s v="660818724062"/>
    <s v="07/01/2025 00:37"/>
    <s v="-"/>
    <s v="Kerry_dropoff"/>
    <s v="Lazada"/>
    <s v="lazada"/>
    <s v=""/>
    <s v="TH37096P2JTN0A"/>
    <s v="07/01/2025 00:37"/>
  </r>
  <r>
    <x v="0"/>
    <x v="0"/>
    <n v="100"/>
    <n v="2"/>
    <n v="0"/>
    <s v="EQP12"/>
    <n v="200"/>
    <n v="0"/>
    <s v="ร้านที่2"/>
    <s v="พ***ต โ***ปัญญา"/>
    <s v="อุดรธานี"/>
    <s v="-"/>
    <s v=""/>
    <s v="07/01/2025 00:35"/>
    <s v="-"/>
    <s v="J&amp;T COD"/>
    <s v="Tiktok"/>
    <s v="จ่ายทีหลัง / COD"/>
    <s v=""/>
    <s v="754324985536"/>
    <s v="07/01/2025 00:35"/>
  </r>
  <r>
    <x v="1"/>
    <x v="1"/>
    <n v="200"/>
    <n v="1"/>
    <n v="0"/>
    <s v="EQP11"/>
    <n v="200"/>
    <n v="0"/>
    <s v="ร้านที่1"/>
    <s v="s***pornnaka74"/>
    <s v="สมุทรสาคร"/>
    <s v="-"/>
    <s v=""/>
    <s v="07/01/2025 00:29"/>
    <s v="-"/>
    <s v="J&amp;T COD"/>
    <s v="Tiktok"/>
    <s v="จ่ายทีหลัง / COD"/>
    <s v=""/>
    <s v="754370072735"/>
    <s v="07/01/2025 00:29"/>
  </r>
  <r>
    <x v="3"/>
    <x v="8"/>
    <n v="78.14"/>
    <n v="1"/>
    <n v="0"/>
    <s v="EQP10"/>
    <n v="156.28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7/01/2025 00:28"/>
    <s v="-"/>
    <s v="Kerry_dropoff"/>
    <s v="Lazada"/>
    <s v="lazada"/>
    <s v=""/>
    <s v="LEXPU0442890951"/>
    <s v="07/01/2025 00:28"/>
  </r>
  <r>
    <x v="3"/>
    <x v="8"/>
    <n v="78.14"/>
    <n v="1"/>
    <n v="0"/>
    <s v="EQP10"/>
    <n v="156.28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7/01/2025 00:28"/>
    <s v="-"/>
    <s v="Kerry_dropoff"/>
    <s v="Lazada"/>
    <s v="lazada"/>
    <s v=""/>
    <s v="LEXPU0442890951"/>
    <s v="07/01/2025 00:28"/>
  </r>
  <r>
    <x v="13"/>
    <x v="30"/>
    <n v="135.31"/>
    <n v="1"/>
    <n v="0"/>
    <s v="EQP9"/>
    <n v="135.31"/>
    <n v="0"/>
    <s v="ร้านที่9"/>
    <s v="พรศิริ  พงศ์พเยีย"/>
    <s v="86 หมู่5_x000a__x000a_ชุมแสง/ Chum Saengนครสวรรค์/ Nakhon Sawan_x000a_60250"/>
    <s v="60250"/>
    <s v="660917536382"/>
    <s v="07/01/2025 00:27"/>
    <s v="-"/>
    <s v="Kerry_dropoff"/>
    <s v="Lazada"/>
    <s v="lazada"/>
    <s v=""/>
    <s v="TH56036P2RWW3B"/>
    <s v="07/01/2025 00:27"/>
  </r>
  <r>
    <x v="0"/>
    <x v="31"/>
    <n v="85.83"/>
    <n v="1"/>
    <n v="0"/>
    <s v="EQP8"/>
    <n v="90.83"/>
    <n v="5"/>
    <s v="ร้านที่6"/>
    <s v="นางนราภรณ์  มูลผลา"/>
    <s v="80 ถ.จันทร์อํานวย  อ.พนัสนิคม  จ.ชลบุรี_x000a__x000a_พนัสนิคม/ Phanat Nikhomชลบุรี/ Chonburi_x000a_20140"/>
    <s v="20140"/>
    <s v="660994972552"/>
    <s v="07/01/2025 00:27"/>
    <s v="-"/>
    <s v="Kerry_dropoff"/>
    <s v="Lazada"/>
    <s v="lazada"/>
    <s v=""/>
    <s v="LEXPU0442858261"/>
    <s v="07/01/2025 00:27"/>
  </r>
  <r>
    <x v="13"/>
    <x v="30"/>
    <n v="112.35"/>
    <n v="1"/>
    <n v="0"/>
    <s v="EQP7"/>
    <n v="117.35"/>
    <n v="5"/>
    <s v="ร้านที่9"/>
    <s v="กมลวรรธ์น   สุวรรณ"/>
    <s v="ถนนช่างอากาศอุทิศ 15  แขวงดอนเมือง 113/62 · ดอนเมือง/ Don Mueang_x000a__x000a_ดอนเมือง/ Don Mueangกรุงเทพมหานคร/ Bangkok_x000a_10210"/>
    <s v="10210"/>
    <s v="660970076296"/>
    <s v="07/01/2025 00:26"/>
    <s v="-"/>
    <s v="Kerry_dropoff"/>
    <s v="Lazada"/>
    <s v="lazada"/>
    <s v=""/>
    <s v="LEXDO0124100387"/>
    <s v="07/01/2025 00:26"/>
  </r>
  <r>
    <x v="13"/>
    <x v="30"/>
    <n v="112.35"/>
    <n v="1"/>
    <n v="0"/>
    <s v="EQP5"/>
    <n v="117.35"/>
    <n v="5"/>
    <s v="ร้านที่9"/>
    <s v="สรัญญา สุวรรณ"/>
    <s v="12/8 ม.4 ต.ริมใต้ · ริมใต้/ Rim Tai_x000a__x000a_แม่ริม/ Mae Rimเชียงใหม่/ Chiang Mai_x000a_50180"/>
    <s v="50180"/>
    <s v="660825039845"/>
    <s v="07/01/2025 00:24"/>
    <s v="-"/>
    <s v="Kerry_dropoff"/>
    <s v="Lazada"/>
    <s v="lazada"/>
    <s v=""/>
    <s v="LEXDO0124101266"/>
    <s v="07/01/2025 00:24"/>
  </r>
  <r>
    <x v="4"/>
    <x v="4"/>
    <n v="100"/>
    <n v="1"/>
    <n v="0"/>
    <s v="EQP4"/>
    <n v="300"/>
    <n v="0"/>
    <s v="ร้านที่4"/>
    <s v="ว***วี"/>
    <s v="กาญจนบุรี"/>
    <s v="-"/>
    <s v=""/>
    <s v="07/01/2025 00:13"/>
    <s v="-"/>
    <s v="Flash Express Thailand COD"/>
    <s v="Tiktok"/>
    <s v="จ่ายทีหลัง / COD"/>
    <s v="เค้กเบาหวิวที่คละรสให้ขอมีรสเนยนม ฝอยทอง ใบเตย มาให้บ้างนะคะ พอดีต้องเอาไปให้คนแก่อะค่ะ"/>
    <s v="THT13041E6E9T8Z"/>
    <s v="07/01/2025 00:24"/>
  </r>
  <r>
    <x v="1"/>
    <x v="1"/>
    <n v="200"/>
    <n v="1"/>
    <n v="0"/>
    <s v="EQP4"/>
    <n v="300"/>
    <n v="0"/>
    <s v="ร้านที่4"/>
    <s v="ว***วี"/>
    <s v="กาญจนบุรี"/>
    <s v="-"/>
    <s v=""/>
    <s v="07/01/2025 00:13"/>
    <s v="-"/>
    <s v="Flash Express Thailand COD"/>
    <s v="Tiktok"/>
    <s v="จ่ายทีหลัง / COD"/>
    <s v="เค้กเบาหวิวที่คละรสให้ขอมีรสเนยนม ฝอยทอง ใบเตย มาให้บ้างนะคะ พอดีต้องเอาไปให้คนแก่อะค่ะ"/>
    <s v="THT13041E6E9T8Z"/>
    <s v="07/01/2025 00:24"/>
  </r>
  <r>
    <x v="19"/>
    <x v="34"/>
    <n v="112.35"/>
    <n v="1"/>
    <n v="0"/>
    <s v="EQP2"/>
    <n v="117.35"/>
    <n v="5"/>
    <s v="ร้านที่9"/>
    <s v="Tan"/>
    <s v="39/52 ประชาอุทิศ 91 แขวงทุ่งครุ เขตทุ่งครุ_x000a__x000a_ทุ่งครุ/ Thung Khruกรุงเทพมหานคร/ Bangkok_x000a_10140"/>
    <s v="10140"/>
    <s v="660956350398"/>
    <s v="07/01/2025 14:24"/>
    <s v="-"/>
    <s v="Kerry_dropoff"/>
    <s v="Lazada"/>
    <s v="lazada"/>
    <s v=""/>
    <s v="LEXDO0124222416"/>
    <s v="06/01/2025 23:37"/>
  </r>
  <r>
    <x v="1"/>
    <x v="1"/>
    <n v="200"/>
    <n v="1"/>
    <n v="0"/>
    <s v="EQP1"/>
    <n v="200"/>
    <n v="0"/>
    <s v="ร้านที่2"/>
    <s v="ส***้ม  ร***ทำเล็บ"/>
    <s v="ลพบุรี"/>
    <s v="-"/>
    <s v=""/>
    <s v="06/01/2025 23:36"/>
    <s v="-"/>
    <s v="J&amp;T COD"/>
    <s v="Tiktok"/>
    <s v="จ่ายทีหลัง / COD"/>
    <s v=""/>
    <s v="754309404645"/>
    <s v="06/01/2025 23:36"/>
  </r>
  <r>
    <x v="3"/>
    <x v="3"/>
    <n v="100"/>
    <n v="2"/>
    <n v="0"/>
    <s v="EQP0"/>
    <n v="200"/>
    <n v="0"/>
    <s v="ร้านที่4"/>
    <s v="ด***ร ศ***ชัย"/>
    <s v="กรุงเทพฯ"/>
    <s v="-"/>
    <s v=""/>
    <s v="06/01/2025 23:26"/>
    <s v="-"/>
    <s v="Flash Express Thailand COD"/>
    <s v="Tiktok"/>
    <s v="จ่ายทีหลัง / COD"/>
    <s v=""/>
    <s v="THT01011E68NY3Z"/>
    <s v="06/01/2025 23:26"/>
  </r>
  <r>
    <x v="10"/>
    <x v="10"/>
    <n v="200"/>
    <n v="1"/>
    <n v="0"/>
    <s v="EQO99"/>
    <n v="200"/>
    <n v="0"/>
    <s v="ร้านที่1"/>
    <s v="ร*** เ***มดี ม***มาร์ท"/>
    <s v="ปราจีนบุรี"/>
    <s v="-"/>
    <s v=""/>
    <s v="06/01/2025 23:23"/>
    <s v="-"/>
    <s v="J&amp;T COD"/>
    <s v="Tiktok"/>
    <s v="จ่ายทีหลัง / COD"/>
    <s v=""/>
    <s v="754358300651"/>
    <s v="06/01/2025 23:23"/>
  </r>
  <r>
    <x v="13"/>
    <x v="30"/>
    <n v="112.35"/>
    <n v="1"/>
    <n v="0"/>
    <s v="EQO98"/>
    <n v="112.35"/>
    <n v="0"/>
    <s v="ร้านที่9"/>
    <s v="อิสสริยา ทิพย์มหัทธน"/>
    <s v="33/3 หมู่ 9 ตำบลบ้านโคก_x000a__x000a_เมืองเพชรบูรณ์/ Mueang Phetchabunเพชรบูรณ์/ Phetchabun_x000a_67000"/>
    <s v="67000"/>
    <s v="660965540954"/>
    <s v="06/01/2025 23:19"/>
    <s v="-"/>
    <s v="Kerry_dropoff"/>
    <s v="Lazada"/>
    <s v="lazada"/>
    <s v=""/>
    <s v="LEXDO0124103526"/>
    <s v="06/01/2025 23:19"/>
  </r>
  <r>
    <x v="1"/>
    <x v="1"/>
    <n v="200"/>
    <n v="1"/>
    <n v="0"/>
    <s v="EQO97"/>
    <n v="200"/>
    <n v="0"/>
    <s v="ร้านที่1"/>
    <s v="พ***ร ช***ายัณห์"/>
    <s v="ฉะเชิงเทรา"/>
    <s v="-"/>
    <s v=""/>
    <s v="06/01/2025 23:09"/>
    <s v="-"/>
    <s v="Flash Express Thailand COD"/>
    <s v="Tiktok"/>
    <s v="จ่ายทีหลัง / COD"/>
    <s v=""/>
    <s v="THT24041E6T483Z"/>
    <s v="06/01/2025 23:09"/>
  </r>
  <r>
    <x v="5"/>
    <x v="5"/>
    <n v="350"/>
    <n v="1"/>
    <n v="0"/>
    <s v="EQO96"/>
    <n v="350"/>
    <n v="0"/>
    <s v="ร้านที่4"/>
    <s v="ศ***ักษณ์  ว***พงศ์"/>
    <s v="นครศรีธรรมราช"/>
    <s v="-"/>
    <s v=""/>
    <s v="06/01/2025 23:07"/>
    <s v="-"/>
    <s v="Flash Express Thailand COD"/>
    <s v="Tiktok"/>
    <s v="จ่ายทีหลัง / COD"/>
    <s v=""/>
    <s v="THT64091E6EEX7Z"/>
    <s v="06/01/2025 23:07"/>
  </r>
  <r>
    <x v="13"/>
    <x v="30"/>
    <n v="110.25"/>
    <n v="1"/>
    <n v="0"/>
    <s v="EQO95"/>
    <n v="115.25"/>
    <n v="5"/>
    <s v="ร้านที่9"/>
    <s v="ma chaw"/>
    <s v="เลขที่ 64/10ซอยนพคุณตำบลธงชายสามแยกดอนสำราญ · กำเนิดนพคุณ/ Kamnoet Nopphakhun_x000a__x000a_บางสะพาน/ Bang Saphanประจวบคีรีขันธ์/ Prachuap Khiri Khan_x000a_77140"/>
    <s v="77140"/>
    <s v="660800499180"/>
    <s v="06/01/2025 23:05"/>
    <s v="-"/>
    <s v="Kerry_dropoff"/>
    <s v="Lazada"/>
    <s v="lazada"/>
    <s v=""/>
    <s v="TH19046P2RMH0G"/>
    <s v="06/01/2025 23:05"/>
  </r>
  <r>
    <x v="13"/>
    <x v="30"/>
    <n v="112.35"/>
    <n v="1"/>
    <n v="0"/>
    <s v="EQO94"/>
    <n v="117.35"/>
    <n v="5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06/01/2025 22:46"/>
    <s v="-"/>
    <s v="Kerry_dropoff"/>
    <s v="Lazada"/>
    <s v="lazada"/>
    <s v=""/>
    <s v="LEXDO0124103642"/>
    <s v="06/01/2025 22:46"/>
  </r>
  <r>
    <x v="1"/>
    <x v="1"/>
    <n v="200"/>
    <n v="1"/>
    <n v="0"/>
    <s v="EQO93"/>
    <n v="200"/>
    <n v="0"/>
    <s v="ร้านที่1"/>
    <s v="ร***า "/>
    <s v="เทศบาลนครนครราชสีมา"/>
    <s v="-"/>
    <s v=""/>
    <s v="06/01/2025 22:42"/>
    <s v="-"/>
    <s v="J&amp;T COD"/>
    <s v="Tiktok"/>
    <s v="จ่ายทีหลัง / COD"/>
    <s v=""/>
    <s v="754308602644"/>
    <s v="06/01/2025 22:42"/>
  </r>
  <r>
    <x v="3"/>
    <x v="3"/>
    <n v="100"/>
    <n v="3"/>
    <n v="0"/>
    <s v="EQO92"/>
    <n v="300"/>
    <n v="0"/>
    <s v="ร้านที่2"/>
    <s v="น***ัตน์ เ***เปี่ยม"/>
    <s v="แพร่"/>
    <s v="-"/>
    <s v=""/>
    <s v="06/01/2025 22:42"/>
    <s v="-"/>
    <s v="J&amp;T Express"/>
    <s v="Tiktok"/>
    <s v="tiktok"/>
    <s v=""/>
    <s v="754319293501"/>
    <s v="06/01/2025 22:42"/>
  </r>
  <r>
    <x v="0"/>
    <x v="0"/>
    <n v="100"/>
    <n v="1"/>
    <n v="0"/>
    <s v="EQO91"/>
    <n v="145"/>
    <n v="45"/>
    <s v="ร้านที่2"/>
    <s v="น***ัตน์ เ***เปี่ยม"/>
    <s v="แพร่"/>
    <s v="-"/>
    <s v=""/>
    <s v="06/01/2025 22:41"/>
    <s v="-"/>
    <s v="J&amp;T Express"/>
    <s v="Tiktok"/>
    <s v="tiktok"/>
    <s v=""/>
    <s v="754330573776"/>
    <s v="06/01/2025 22:41"/>
  </r>
  <r>
    <x v="3"/>
    <x v="8"/>
    <n v="74.83"/>
    <n v="1"/>
    <n v="0"/>
    <s v="EQO90"/>
    <n v="74.83"/>
    <n v="0"/>
    <s v="ร้านที่6"/>
    <s v="นิตยา พลเยี่ยม"/>
    <s v="36/1 ม.4 ถนน เอกชัย ต.นาดี อ.เมืองสมุทรสาคร_x000a__x000a_เมืองสมุทรสาคร/ Mueang Samut Sakhonสมุทรสาคร/ Samut Sakhon_x000a_74000"/>
    <s v="74000"/>
    <s v="660805856502"/>
    <s v="06/01/2025 22:35"/>
    <s v="-"/>
    <s v="Kerry_dropoff"/>
    <s v="Lazada"/>
    <s v="lazada"/>
    <s v=""/>
    <s v="LEXPU0442873906"/>
    <s v="06/01/2025 22:35"/>
  </r>
  <r>
    <x v="26"/>
    <x v="18"/>
    <n v="167.2"/>
    <n v="1"/>
    <n v="0"/>
    <s v="EQO89"/>
    <n v="172.2"/>
    <n v="5"/>
    <s v="ร้านที่1"/>
    <s v="พ.ท.พิศณุพงศ์ แป้นจันทร์"/>
    <s v="99/84 หมู่บ้านดาริน หมู่ 1 บ้านสวน ซอย 11 ต.บ้านสวน อ.เมือง จ.ชลบุรึ 20000_x000a__x000a_เมืองชลบุรี/ Mueang Chon Buriชลบุรี/ Chonburi_x000a_20000"/>
    <s v="20000"/>
    <s v="660899327224"/>
    <s v="06/01/2025 22:33"/>
    <s v="-"/>
    <s v="Kerry_dropoff"/>
    <s v="Lazada"/>
    <s v="lazada"/>
    <s v=""/>
    <s v="LEXPU0442876273"/>
    <s v="06/01/2025 22:33"/>
  </r>
  <r>
    <x v="19"/>
    <x v="34"/>
    <n v="112.35"/>
    <n v="1"/>
    <n v="0"/>
    <s v="EQO87"/>
    <n v="112.35"/>
    <n v="0"/>
    <s v="ร้านที่9"/>
    <s v="Kay Zin Lin"/>
    <s v="66/2-6 Moo.4 khok krabue subdistrict mueang samut sakhon  · คอกกระบือ/ Khok Krabue_x000a__x000a_เมืองสมุทรสาคร/ Mueang Samut Sakhonสมุทรสาคร/ Samut Sakhon_x000a_74000"/>
    <s v="74000"/>
    <s v="660661024003"/>
    <s v="06/01/2025 22:32"/>
    <s v="-"/>
    <s v="Kerry_dropoff"/>
    <s v="Lazada"/>
    <s v="lazada"/>
    <s v=""/>
    <s v="LEXDO0124086791"/>
    <s v="06/01/2025 22:31"/>
  </r>
  <r>
    <x v="9"/>
    <x v="4"/>
    <n v="100"/>
    <n v="2"/>
    <n v="0"/>
    <s v="EQO86"/>
    <n v="200"/>
    <n v="0"/>
    <s v="ร้านที่2"/>
    <s v="น***ดายุ ส***วัสดิ์"/>
    <s v="ระนอง"/>
    <s v="-"/>
    <s v=""/>
    <s v="06/01/2025 22:28"/>
    <s v="-"/>
    <s v="J&amp;T Express"/>
    <s v="Tiktok"/>
    <s v="tiktok"/>
    <s v=""/>
    <s v="754377387540"/>
    <s v="06/01/2025 22:27"/>
  </r>
  <r>
    <x v="4"/>
    <x v="4"/>
    <n v="100"/>
    <n v="3"/>
    <n v="0"/>
    <s v="EQO85"/>
    <n v="300"/>
    <n v="0"/>
    <s v="ร้านที่4"/>
    <s v="เ**"/>
    <s v="นครศรีธรรมราช"/>
    <s v="-"/>
    <s v=""/>
    <s v="06/01/2025 22:24"/>
    <s v="-"/>
    <s v="Flash Express Thailand COD"/>
    <s v="Tiktok"/>
    <s v="จ่ายทีหลัง / COD"/>
    <s v=""/>
    <s v="THT64191E6Z780Z"/>
    <s v="06/01/2025 22:24"/>
  </r>
  <r>
    <x v="19"/>
    <x v="34"/>
    <n v="129.77000000000001"/>
    <n v="1"/>
    <n v="0"/>
    <s v="EQO84"/>
    <n v="264.54000000000002"/>
    <n v="5"/>
    <s v="ร้านที่9"/>
    <s v="น.ส.​กัญญณัช​ นาควารี"/>
    <s v="17/28 ม.6บ้านเอมัส ซ.ซันเทคเมทัลต.บ่อวิน_x000a__x000a_ศรีราชา/ Si Rachaชลบุรี/ Chonburi_x000a_20230"/>
    <s v="20230"/>
    <s v="660970084099"/>
    <s v="06/01/2025 22:23"/>
    <s v="-"/>
    <s v="Kerry_dropoff"/>
    <s v="Lazada"/>
    <s v="lazada"/>
    <s v=""/>
    <s v="LEXDO0124085112"/>
    <s v="06/01/2025 22:22"/>
  </r>
  <r>
    <x v="19"/>
    <x v="34"/>
    <n v="129.77000000000001"/>
    <n v="1"/>
    <n v="0"/>
    <s v="EQO84"/>
    <n v="264.54000000000002"/>
    <n v="5"/>
    <s v="ร้านที่9"/>
    <s v="น.ส.​กัญญณัช​ นาควารี"/>
    <s v="17/28 ม.6บ้านเอมัส ซ.ซันเทคเมทัลต.บ่อวิน_x000a__x000a_ศรีราชา/ Si Rachaชลบุรี/ Chonburi_x000a_20230"/>
    <s v="20230"/>
    <s v="660970084099"/>
    <s v="06/01/2025 22:23"/>
    <s v="-"/>
    <s v="Kerry_dropoff"/>
    <s v="Lazada"/>
    <s v="lazada"/>
    <s v=""/>
    <s v="LEXDO0124085112"/>
    <s v="06/01/2025 22:22"/>
  </r>
  <r>
    <x v="3"/>
    <x v="8"/>
    <n v="78.14"/>
    <n v="1"/>
    <n v="0"/>
    <s v="EQO82"/>
    <n v="83.14"/>
    <n v="5"/>
    <s v="ร้านที่6"/>
    <s v="กวินนา ปิยะวิสุทธิกุล"/>
    <s v="38/1345 หมู่บ้านเคซีคลัสเตอร์รามอินทรา ถ.ไทยรามัญ แขวงสามวาตะวันตก_x000a__x000a_คลองสามวา/ Klong Sam Waกรุงเทพมหานคร/ Bangkok_x000a_10510"/>
    <s v="10510"/>
    <s v="660897910459"/>
    <s v="06/01/2025 22:20"/>
    <s v="-"/>
    <s v="Kerry_dropoff"/>
    <s v="Lazada"/>
    <s v="lazada"/>
    <s v=""/>
    <s v="LEXPU0442873390"/>
    <s v="06/01/2025 22:20"/>
  </r>
  <r>
    <x v="4"/>
    <x v="4"/>
    <n v="100"/>
    <n v="1"/>
    <n v="0"/>
    <s v="EQO81"/>
    <n v="145"/>
    <n v="45"/>
    <s v="ร้านที่1"/>
    <s v="น***ิชา น***ชื่น"/>
    <s v="นครราชสีมา"/>
    <s v="-"/>
    <s v=""/>
    <s v="06/01/2025 22:19"/>
    <s v="-"/>
    <s v="Flash Express Thailand COD"/>
    <s v="Tiktok"/>
    <s v="จ่ายทีหลัง / COD"/>
    <s v=""/>
    <s v="THT27111E6V4D8Z"/>
    <s v="06/01/2025 22:19"/>
  </r>
  <r>
    <x v="42"/>
    <x v="60"/>
    <n v="180"/>
    <n v="1"/>
    <n v="0"/>
    <s v="EQO80"/>
    <n v="180"/>
    <n v="0"/>
    <s v="ร้านที่1"/>
    <s v="ส***นท์ แ***องคํา"/>
    <s v="ชลบุรี"/>
    <s v="-"/>
    <s v=""/>
    <s v="06/01/2025 22:18"/>
    <s v="-"/>
    <s v="J&amp;T COD"/>
    <s v="Tiktok"/>
    <s v="จ่ายทีหลัง / COD"/>
    <s v=""/>
    <s v="754319554586"/>
    <s v="06/01/2025 22:18"/>
  </r>
  <r>
    <x v="0"/>
    <x v="0"/>
    <n v="100"/>
    <n v="1"/>
    <n v="0"/>
    <s v="EQO78"/>
    <n v="106"/>
    <n v="6"/>
    <s v="ร้านที่2"/>
    <s v="ด***ณี แ***อุดร"/>
    <s v="ศรีสะเกษ"/>
    <s v="-"/>
    <s v=""/>
    <s v="06/01/2025 22:04"/>
    <s v="-"/>
    <s v="J&amp;T COD"/>
    <s v="Tiktok"/>
    <s v="จ่ายทีหลัง / COD"/>
    <s v=""/>
    <s v="754302283744"/>
    <s v="06/01/2025 22:04"/>
  </r>
  <r>
    <x v="13"/>
    <x v="30"/>
    <n v="112.35"/>
    <n v="1"/>
    <n v="0"/>
    <s v="EQO77"/>
    <n v="117.35"/>
    <n v="5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06/01/2025 22:03"/>
    <s v="-"/>
    <s v="Kerry_dropoff"/>
    <s v="Lazada"/>
    <s v="lazada"/>
    <s v=""/>
    <s v="LEXDO0124102755"/>
    <s v="06/01/2025 22:03"/>
  </r>
  <r>
    <x v="5"/>
    <x v="5"/>
    <n v="350"/>
    <n v="1"/>
    <n v="0"/>
    <s v="EQO76"/>
    <n v="350"/>
    <n v="0"/>
    <s v="ร้านที่4"/>
    <s v="อ***พร"/>
    <s v="กาฬสินธุ์"/>
    <s v="-"/>
    <s v=""/>
    <s v="06/01/2025 22:01"/>
    <s v="-"/>
    <s v="Flash Express Thailand COD"/>
    <s v="Tiktok"/>
    <s v="จ่ายทีหลัง / COD"/>
    <s v=""/>
    <s v="THT43181E6EDW7Z"/>
    <s v="06/01/2025 22:01"/>
  </r>
  <r>
    <x v="1"/>
    <x v="1"/>
    <n v="200"/>
    <n v="2"/>
    <n v="0"/>
    <s v="EQO75"/>
    <n v="400"/>
    <n v="0"/>
    <s v="ร้านที่1"/>
    <s v="อ***ยา"/>
    <s v="เชียงใหม่"/>
    <s v="-"/>
    <s v=""/>
    <s v="06/01/2025 22:00"/>
    <s v="-"/>
    <s v="J&amp;T Express"/>
    <s v="Tiktok"/>
    <s v="tiktok"/>
    <s v=""/>
    <s v="754331797590"/>
    <s v="06/01/2025 22:00"/>
  </r>
  <r>
    <x v="0"/>
    <x v="0"/>
    <n v="100"/>
    <n v="1"/>
    <n v="0"/>
    <s v="EQO74"/>
    <n v="145"/>
    <n v="45"/>
    <s v="ร้านที่4"/>
    <s v="อ***า พ***"/>
    <s v="กรุงเทพมหานคร"/>
    <s v="-"/>
    <s v=""/>
    <s v="06/01/2025 21:59"/>
    <s v="-"/>
    <s v="Flash Express Thailand COD"/>
    <s v="Tiktok"/>
    <s v="จ่ายทีหลัง / COD"/>
    <s v=""/>
    <s v="THT01341E69RU3Z"/>
    <s v="06/01/2025 21:59"/>
  </r>
  <r>
    <x v="13"/>
    <x v="30"/>
    <n v="112.35"/>
    <n v="1"/>
    <n v="0"/>
    <s v="EQO73"/>
    <n v="112.35"/>
    <n v="0"/>
    <s v="ร้านที่9"/>
    <s v="น้ำนวล  ศรีเจริญ"/>
    <s v="88/752ม.บสิวารัตน์3  ซอย21บ้านประตูสีน้ำเงิน · อ้อมน้อย/ Om Noi_x000a__x000a_กระทุ่มแบน/ Krathum Baenสมุทรสาคร/ Samut Sakhon_x000a_74130"/>
    <s v="74130"/>
    <s v="660952320256"/>
    <s v="06/01/2025 21:59"/>
    <s v="-"/>
    <s v="Kerry_dropoff"/>
    <s v="Lazada"/>
    <s v="lazada"/>
    <s v=""/>
    <s v="LEXDO0124102311"/>
    <s v="06/01/2025 21:59"/>
  </r>
  <r>
    <x v="1"/>
    <x v="1"/>
    <n v="200"/>
    <n v="1"/>
    <n v="0"/>
    <s v="EQO72"/>
    <n v="200"/>
    <n v="0"/>
    <s v="ร้านที่2"/>
    <s v="ห*** ห***"/>
    <s v="ตรัง"/>
    <s v="-"/>
    <s v=""/>
    <s v="06/01/2025 21:58"/>
    <s v="-"/>
    <s v="J&amp;T COD"/>
    <s v="Tiktok"/>
    <s v="จ่ายทีหลัง / COD"/>
    <s v=""/>
    <s v="754310199591"/>
    <s v="06/01/2025 21:58"/>
  </r>
  <r>
    <x v="19"/>
    <x v="34"/>
    <n v="142.31"/>
    <n v="1"/>
    <n v="0"/>
    <s v="EQO71"/>
    <n v="147.31"/>
    <n v="5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6/01/2025 21:57"/>
    <s v="-"/>
    <s v="Kerry_dropoff"/>
    <s v="Lazada"/>
    <s v="lazada"/>
    <s v=""/>
    <s v="LEXDO0124085878"/>
    <s v="06/01/2025 21:57"/>
  </r>
  <r>
    <x v="19"/>
    <x v="34"/>
    <n v="149.80000000000001"/>
    <n v="1"/>
    <n v="0"/>
    <s v="EQO70"/>
    <n v="154.80000000000001"/>
    <n v="5"/>
    <s v="ร้านที่9"/>
    <s v="ชุติญาภัค ศุภดิฐโภคิน"/>
    <s v="39/518  ซ.วิภาวดีรังสิต 84  หมู่บ้านพิพรพงษ์4_x000a__x000a_ดอนเมือง/ Don Mueangกรุงเทพมหานคร/ Bangkok_x000a_10210"/>
    <s v="10210"/>
    <s v="660839095515"/>
    <s v="06/01/2025 21:55"/>
    <s v="-"/>
    <s v="Kerry_dropoff"/>
    <s v="Lazada"/>
    <s v="lazada"/>
    <s v=""/>
    <s v="LEXDO0124085865"/>
    <s v="06/01/2025 21:55"/>
  </r>
  <r>
    <x v="1"/>
    <x v="1"/>
    <n v="200"/>
    <n v="1"/>
    <n v="0"/>
    <s v="EQO69"/>
    <n v="200"/>
    <n v="0"/>
    <s v="ร้านที่2"/>
    <s v="ป***วีร์ พ***ิพัฒน์"/>
    <s v="อ่างทอง"/>
    <s v="-"/>
    <s v=""/>
    <s v="06/01/2025 21:55"/>
    <s v="-"/>
    <s v="J&amp;T COD"/>
    <s v="Tiktok"/>
    <s v="จ่ายทีหลัง / COD"/>
    <s v=""/>
    <s v="754335403651"/>
    <s v="06/01/2025 21:55"/>
  </r>
  <r>
    <x v="13"/>
    <x v="61"/>
    <n v="182.5"/>
    <n v="1"/>
    <n v="0"/>
    <s v="EQO68"/>
    <n v="206.5"/>
    <n v="24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6/01/2025 21:55"/>
    <s v="-"/>
    <s v="Kerry_dropoff"/>
    <s v="Lazada"/>
    <s v="lazada"/>
    <s v=""/>
    <s v="LEXPU0442911112"/>
    <s v="06/01/2025 21:55"/>
  </r>
  <r>
    <x v="26"/>
    <x v="56"/>
    <n v="240"/>
    <n v="1"/>
    <n v="0"/>
    <s v="EQO66"/>
    <n v="240"/>
    <n v="0"/>
    <s v="ร้านที่4"/>
    <s v="ช***ร เ***งแสน"/>
    <s v="เทศบาลนครขอนแก่น"/>
    <s v="-"/>
    <s v=""/>
    <s v="06/01/2025 21:53"/>
    <s v="-"/>
    <s v="Flash Express Thailand COD"/>
    <s v="Tiktok"/>
    <s v="จ่ายทีหลัง / COD"/>
    <s v=""/>
    <s v="THT37151E67FX1Z"/>
    <s v="06/01/2025 21:53"/>
  </r>
  <r>
    <x v="1"/>
    <x v="1"/>
    <n v="200"/>
    <n v="1"/>
    <n v="0"/>
    <s v="EQO65"/>
    <n v="200"/>
    <n v="0"/>
    <s v="ร้านที่2"/>
    <s v="ส***น แ***ี"/>
    <s v="ชลบุรี"/>
    <s v="-"/>
    <s v=""/>
    <s v="06/01/2025 21:53"/>
    <s v="-"/>
    <s v="J&amp;T COD"/>
    <s v="Tiktok"/>
    <s v="จ่ายทีหลัง / COD"/>
    <s v=""/>
    <s v="754372765764"/>
    <s v="06/01/2025 21:53"/>
  </r>
  <r>
    <x v="9"/>
    <x v="4"/>
    <n v="150"/>
    <n v="1"/>
    <n v="0"/>
    <s v="EQO63"/>
    <n v="185"/>
    <n v="35"/>
    <s v="ร้านที่1"/>
    <s v="ท******)"/>
    <s v="****** ซอย6/2 ถ.สุขสวัสดิ์ ต.ในคลองบางปลากด ตำบลในคลองบางปลากด อำเภอพระสมุทรเจดีย์ จังหวัดสมุทรปราการ 10290"/>
    <s v="10290"/>
    <s v="33"/>
    <s v="06/01/2025 21:50"/>
    <s v="-"/>
    <s v="Flash Express"/>
    <s v="Shopee"/>
    <s v="shopee"/>
    <s v=""/>
    <s v="TH02056P2MC56E1"/>
    <s v="06/01/2025 21:50"/>
  </r>
  <r>
    <x v="3"/>
    <x v="3"/>
    <n v="100"/>
    <n v="1"/>
    <n v="0"/>
    <s v="EQO62"/>
    <n v="100"/>
    <n v="0"/>
    <s v="ร้านที่2"/>
    <s v="ส***ตรี บ***บูลย์"/>
    <s v="ชัยนาท"/>
    <s v="-"/>
    <s v=""/>
    <s v="06/01/2025 21:49"/>
    <s v="-"/>
    <s v="J&amp;T Express"/>
    <s v="Tiktok"/>
    <s v="tiktok"/>
    <s v=""/>
    <s v="754356957583"/>
    <s v="06/01/2025 21:49"/>
  </r>
  <r>
    <x v="0"/>
    <x v="0"/>
    <n v="100"/>
    <n v="1"/>
    <n v="0"/>
    <s v="EQO60"/>
    <n v="106"/>
    <n v="6"/>
    <s v="ร้านที่2"/>
    <s v="ช***นาย แ***จริญ"/>
    <s v="ร้อยเอ็ด"/>
    <s v="-"/>
    <s v=""/>
    <s v="06/01/2025 21:47"/>
    <s v="-"/>
    <s v="J&amp;T COD"/>
    <s v="Tiktok"/>
    <s v="จ่ายทีหลัง / COD"/>
    <s v=""/>
    <s v="754350702652"/>
    <s v="06/01/2025 21:47"/>
  </r>
  <r>
    <x v="1"/>
    <x v="1"/>
    <n v="200"/>
    <n v="1"/>
    <n v="0"/>
    <s v="EQO59"/>
    <n v="200"/>
    <n v="0"/>
    <s v="ร้านที่1"/>
    <s v="พ***า บ***งคชาธาร"/>
    <s v="กาญจนบุรี"/>
    <s v="-"/>
    <s v=""/>
    <s v="06/01/2025 21:42"/>
    <s v="-"/>
    <s v="J&amp;T COD"/>
    <s v="Tiktok"/>
    <s v="จ่ายทีหลัง / COD"/>
    <s v=""/>
    <s v="754357401641"/>
    <s v="06/01/2025 21:43"/>
  </r>
  <r>
    <x v="0"/>
    <x v="0"/>
    <n v="100"/>
    <n v="1"/>
    <n v="0"/>
    <s v="EQO57"/>
    <n v="106"/>
    <n v="6"/>
    <s v="ร้านที่4"/>
    <s v="ศ***ย์รัชต์ ฐ***ันแก้ว"/>
    <s v="พะเยา"/>
    <s v="-"/>
    <s v=""/>
    <s v="06/01/2025 21:33"/>
    <s v="-"/>
    <s v="Flash Express Thailand COD"/>
    <s v="Tiktok"/>
    <s v="จ่ายทีหลัง / COD"/>
    <s v=""/>
    <s v="THT53011E68ZJ5Z"/>
    <s v="06/01/2025 21:33"/>
  </r>
  <r>
    <x v="19"/>
    <x v="34"/>
    <n v="112.35"/>
    <n v="1"/>
    <n v="0"/>
    <s v="EQO56"/>
    <n v="117.35"/>
    <n v="5"/>
    <s v="ร้านที่9"/>
    <s v="นางสาวญาราภรณ์  วงษ์โสภา"/>
    <s v="องค์การบริหารส่วนจังหวัดยโสธร เทศบาล 1_x000a__x000a_เมืองยโสธร/ Mueang Yasothonยโสธร/ Yasothon_x000a_35000"/>
    <s v="35000"/>
    <s v="660943239463"/>
    <s v="06/01/2025 21:32"/>
    <s v="-"/>
    <s v="Kerry_dropoff"/>
    <s v="Lazada"/>
    <s v="lazada"/>
    <s v=""/>
    <s v="TH32016P1T2A4C"/>
    <s v="06/01/2025 21:31"/>
  </r>
  <r>
    <x v="13"/>
    <x v="30"/>
    <n v="112.35"/>
    <n v="1"/>
    <n v="0"/>
    <s v="EQO55"/>
    <n v="112.35"/>
    <n v="0"/>
    <s v="ร้านที่9"/>
    <s v="พิมพาภรณ์ ผายสียวน"/>
    <s v="ห้องเย็นคาบิเนท,ถ. พหลโยธิน, 222, หมู่ 4, ต. ลำไทร อ.วังน้อย จ.พระนครศรีอยุธยา 13170_x000a__x000a_วังน้อย/ Wang Noiพระนครศรีอยุธยา/ Phra Nakhon Si Ayutthaya_x000a_13170"/>
    <s v="13170"/>
    <s v="660871225525"/>
    <s v="06/01/2025 21:31"/>
    <s v="-"/>
    <s v="Kerry_dropoff"/>
    <s v="Lazada"/>
    <s v="lazada"/>
    <s v=""/>
    <s v="LEXDO0124103076"/>
    <s v="06/01/2025 21:31"/>
  </r>
  <r>
    <x v="10"/>
    <x v="10"/>
    <n v="200"/>
    <n v="1"/>
    <n v="0"/>
    <s v="EQO54"/>
    <n v="200"/>
    <n v="0"/>
    <s v="ร้านที่4"/>
    <s v="น***ุกดา  อ***ุ่ง"/>
    <s v="อุตรดิตถ์"/>
    <s v="-"/>
    <s v=""/>
    <s v="06/01/2025 21:36"/>
    <s v="-"/>
    <s v="Flash Express Thailand"/>
    <s v="Tiktok"/>
    <s v="tiktok"/>
    <s v=""/>
    <s v="THT50071E6ZU91Z"/>
    <s v="06/01/2025 21:30"/>
  </r>
  <r>
    <x v="13"/>
    <x v="30"/>
    <n v="112.35"/>
    <n v="1"/>
    <n v="0"/>
    <s v="EQO51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26"/>
    <s v="-"/>
    <s v="Kerry_dropoff"/>
    <s v="Lazada"/>
    <s v="lazada"/>
    <s v=""/>
    <s v="LEXDO0124102661"/>
    <s v="06/01/2025 21:26"/>
  </r>
  <r>
    <x v="10"/>
    <x v="10"/>
    <n v="200"/>
    <n v="1"/>
    <n v="0"/>
    <s v="EQO50"/>
    <n v="200"/>
    <n v="0"/>
    <s v="ร้านที่1"/>
    <s v="ว***นา พ***ยม"/>
    <s v="กรุงเทพมหานคร"/>
    <s v="-"/>
    <s v=""/>
    <s v="06/01/2025 21:25"/>
    <s v="-"/>
    <s v="J&amp;T COD"/>
    <s v="Tiktok"/>
    <s v="จ่ายทีหลัง / COD"/>
    <s v=""/>
    <s v="754329101654"/>
    <s v="06/01/2025 21:25"/>
  </r>
  <r>
    <x v="19"/>
    <x v="34"/>
    <n v="112.35"/>
    <n v="1"/>
    <n v="0"/>
    <s v="EQO49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22"/>
    <s v="-"/>
    <s v="Kerry_dropoff"/>
    <s v="Lazada"/>
    <s v="lazada"/>
    <s v=""/>
    <s v="LEXDO0124086047"/>
    <s v="06/01/2025 21:22"/>
  </r>
  <r>
    <x v="5"/>
    <x v="5"/>
    <n v="350"/>
    <n v="1"/>
    <n v="0"/>
    <s v="EQO48"/>
    <n v="350"/>
    <n v="0"/>
    <s v="ร้านที่4"/>
    <s v="เ***  ม***สา"/>
    <s v="กำแพงเพชร"/>
    <s v="-"/>
    <s v=""/>
    <s v="06/01/2025 21:22"/>
    <s v="-"/>
    <s v="Flash Express Thailand COD"/>
    <s v="Tiktok"/>
    <s v="จ่ายทีหลัง / COD"/>
    <s v=""/>
    <s v="THT58041E6RA84Z"/>
    <s v="06/01/2025 21:22"/>
  </r>
  <r>
    <x v="1"/>
    <x v="1"/>
    <n v="200"/>
    <n v="1"/>
    <n v="0"/>
    <s v="EQO46"/>
    <n v="200"/>
    <n v="0"/>
    <s v="ร้านที่4"/>
    <s v="ร***กาญจน์ น***กุล"/>
    <s v="ลพบุรี"/>
    <s v="-"/>
    <s v=""/>
    <s v="06/01/2025 21:19"/>
    <s v="-"/>
    <s v="Flash Express Thailand COD"/>
    <s v="Tiktok"/>
    <s v="จ่ายทีหลัง / COD"/>
    <s v=""/>
    <s v="THT07031E6T781Z"/>
    <s v="06/01/2025 21:19"/>
  </r>
  <r>
    <x v="0"/>
    <x v="0"/>
    <n v="100"/>
    <n v="1"/>
    <n v="0"/>
    <s v="EQO45"/>
    <n v="106"/>
    <n v="6"/>
    <s v="ร้านที่2"/>
    <s v="ก***าภัค ค***นัง"/>
    <s v="นครศรีธรรมราช"/>
    <s v="-"/>
    <s v=""/>
    <s v="06/01/2025 21:17"/>
    <s v="-"/>
    <s v="J&amp;T COD"/>
    <s v="Tiktok"/>
    <s v="จ่ายทีหลัง / COD"/>
    <s v=""/>
    <s v="754368085730"/>
    <s v="06/01/2025 21:17"/>
  </r>
  <r>
    <x v="7"/>
    <x v="62"/>
    <n v="14.05"/>
    <n v="1"/>
    <n v="0"/>
    <s v="EQO44"/>
    <n v="14.05"/>
    <n v="0"/>
    <s v="ร้านที่10"/>
    <s v="เอ็มกนก"/>
    <s v="74 หมู่9 เอ็ม · ยางช้าย/ Yang Sai_x000a__x000a_โพธิ์ทอง/ Pho Thongอ่างทอง/ Ang Thong_x000a_14120"/>
    <s v="14120"/>
    <s v="660946464958"/>
    <s v="06/01/2025 21:21"/>
    <s v="-"/>
    <s v="Kerry_dropoff"/>
    <s v="Lazada"/>
    <s v="lazada"/>
    <s v=""/>
    <s v="LEXDO0124082966"/>
    <s v="06/01/2025 21:17"/>
  </r>
  <r>
    <x v="0"/>
    <x v="0"/>
    <n v="100"/>
    <n v="1"/>
    <n v="0"/>
    <s v="EQO43"/>
    <n v="106"/>
    <n v="6"/>
    <s v="ร้านที่1"/>
    <s v="จ***กร ค***ิง"/>
    <s v="ประจวบคีรีขันธ์"/>
    <s v="-"/>
    <s v=""/>
    <s v="06/01/2025 21:14"/>
    <s v="-"/>
    <s v="J&amp;T COD"/>
    <s v="Tiktok"/>
    <s v="จ่ายทีหลัง / COD"/>
    <s v=""/>
    <s v="754350288742"/>
    <s v="06/01/2025 21:15"/>
  </r>
  <r>
    <x v="0"/>
    <x v="0"/>
    <n v="100"/>
    <n v="1"/>
    <n v="0"/>
    <s v="EQO41"/>
    <n v="106"/>
    <n v="6"/>
    <s v="ร้านที่4"/>
    <s v="ธ*** จ***ันทร์"/>
    <s v="กรุงเทพฯ"/>
    <s v="-"/>
    <s v=""/>
    <s v="06/01/2025 21:09"/>
    <s v="-"/>
    <s v="Flash Express Thailand COD"/>
    <s v="Tiktok"/>
    <s v="จ่ายทีหลัง / COD"/>
    <s v=""/>
    <s v="THT01081E69BN9Z"/>
    <s v="06/01/2025 21:13"/>
  </r>
  <r>
    <x v="24"/>
    <x v="26"/>
    <n v="394.65"/>
    <n v="1"/>
    <n v="0"/>
    <s v="EQO40"/>
    <n v="418.65"/>
    <n v="24"/>
    <s v="ร้านที่9"/>
    <s v="แม่กอง บุญคาร"/>
    <s v="29 ม.1 ต.หนองแหน_x000a__x000a_กุดชุม/ Kut Chumยโสธร/ Yasothon_x000a_35140"/>
    <s v="35140"/>
    <s v="660856369954"/>
    <s v="06/01/2025 21:12"/>
    <s v="-"/>
    <s v="Kerry_dropoff"/>
    <s v="Lazada"/>
    <s v="lazada"/>
    <s v=""/>
    <s v="TH32036P1QCR5I"/>
    <s v="06/01/2025 21:12"/>
  </r>
  <r>
    <x v="1"/>
    <x v="1"/>
    <n v="200"/>
    <n v="1"/>
    <n v="0"/>
    <s v="EQO39"/>
    <n v="200"/>
    <n v="0"/>
    <s v="ร้านที่2"/>
    <s v="ม***ด ห***เเซะ เ***มุกข์"/>
    <s v="สุราษฎร์ธานี"/>
    <s v="-"/>
    <s v=""/>
    <s v="06/01/2025 21:09"/>
    <s v="-"/>
    <s v="J&amp;T Express"/>
    <s v="Tiktok"/>
    <s v="tiktok"/>
    <s v=""/>
    <s v="754314205654"/>
    <s v="06/01/2025 21:12"/>
  </r>
  <r>
    <x v="0"/>
    <x v="0"/>
    <n v="100"/>
    <n v="1"/>
    <n v="0"/>
    <s v="EQO38"/>
    <n v="106"/>
    <n v="6"/>
    <s v="ร้านที่1"/>
    <s v="ซ***มีย๊ะ ร***สะ"/>
    <s v="สงขลา"/>
    <s v="-"/>
    <s v=""/>
    <s v="06/01/2025 21:09"/>
    <s v="-"/>
    <s v="J&amp;T COD"/>
    <s v="Tiktok"/>
    <s v="จ่ายทีหลัง / COD"/>
    <s v=""/>
    <s v="754386485731"/>
    <s v="06/01/2025 21:12"/>
  </r>
  <r>
    <x v="0"/>
    <x v="0"/>
    <n v="100"/>
    <n v="1"/>
    <n v="0"/>
    <s v="EQO36"/>
    <n v="106"/>
    <n v="6"/>
    <s v="ร้านที่1"/>
    <s v="ส***สา  ว***ุนทร"/>
    <s v="ตราด"/>
    <s v="-"/>
    <s v=""/>
    <s v="06/01/2025 21:08"/>
    <s v="-"/>
    <s v="J&amp;T COD"/>
    <s v="Tiktok"/>
    <s v="จ่ายทีหลัง / COD"/>
    <s v=""/>
    <s v="754387906672"/>
    <s v="06/01/2025 21:12"/>
  </r>
  <r>
    <x v="4"/>
    <x v="4"/>
    <n v="100"/>
    <n v="1"/>
    <n v="0"/>
    <s v="EQO34"/>
    <n v="100"/>
    <n v="0"/>
    <s v="ร้านที่4"/>
    <s v="น***า"/>
    <s v="นครปฐม"/>
    <s v="-"/>
    <s v=""/>
    <s v="06/01/2025 21:04"/>
    <s v="-"/>
    <s v="Flash Express Thailand COD"/>
    <s v="Tiktok"/>
    <s v="จ่ายทีหลัง / COD"/>
    <s v=""/>
    <s v="THT15021E6V272Z"/>
    <s v="06/01/2025 21:06"/>
  </r>
  <r>
    <x v="13"/>
    <x v="30"/>
    <n v="112.35"/>
    <n v="1"/>
    <n v="0"/>
    <s v="EQO33"/>
    <n v="112.35"/>
    <n v="0"/>
    <s v="ร้านที่9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06/01/2025 21:05"/>
    <s v="-"/>
    <s v="Kerry_dropoff"/>
    <s v="Lazada"/>
    <s v="lazada"/>
    <s v=""/>
    <s v="LEXDO0124091474"/>
    <s v="06/01/2025 21:05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4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3"/>
    <x v="30"/>
    <n v="124.33"/>
    <n v="1"/>
    <n v="0"/>
    <s v="EQO32"/>
    <n v="1337.34"/>
    <n v="94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6/01/2025 21:01"/>
    <s v="-"/>
    <s v="Kerry_dropoff"/>
    <s v="Lazada"/>
    <s v="lazada"/>
    <s v=""/>
    <s v="TH24056P2DR27A"/>
    <s v="06/01/2025 21:01"/>
  </r>
  <r>
    <x v="1"/>
    <x v="1"/>
    <n v="200"/>
    <n v="1"/>
    <n v="0"/>
    <s v="EQO31"/>
    <n v="200"/>
    <n v="0"/>
    <s v="ร้านที่1"/>
    <s v="ย***อญ"/>
    <s v="กาญจนบุรี"/>
    <s v="-"/>
    <s v=""/>
    <s v="06/01/2025 20:57"/>
    <s v="-"/>
    <s v="J&amp;T COD"/>
    <s v="Tiktok"/>
    <s v="จ่ายทีหลัง / COD"/>
    <s v=""/>
    <s v="754370594596"/>
    <s v="06/01/2025 20:58"/>
  </r>
  <r>
    <x v="0"/>
    <x v="0"/>
    <n v="100"/>
    <n v="1"/>
    <n v="0"/>
    <s v="EQO30"/>
    <n v="106"/>
    <n v="6"/>
    <s v="ร้านที่1"/>
    <s v="น***ฮาระ  ฮ***กะ"/>
    <s v="หนองคาย"/>
    <s v="-"/>
    <s v=""/>
    <s v="06/01/2025 20:52"/>
    <s v="-"/>
    <s v="J&amp;T COD"/>
    <s v="Tiktok"/>
    <s v="จ่ายทีหลัง / COD"/>
    <s v=""/>
    <s v="754385907671"/>
    <s v="06/01/2025 20:52"/>
  </r>
  <r>
    <x v="13"/>
    <x v="30"/>
    <n v="112.35"/>
    <n v="1"/>
    <n v="0"/>
    <s v="EQO29"/>
    <n v="117.35"/>
    <n v="5"/>
    <s v="ร้านที่9"/>
    <s v="นางน้ำทิพย์ รอดดอน"/>
    <s v="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_x000a__x000a_เมืองนครราชสีมา/ Mueng Nakorn Ratchasimaนครราชสีมา/ Nakhon Ratchasima_x000a_30000"/>
    <s v="30000"/>
    <s v="660865854499"/>
    <s v="06/01/2025 20:52"/>
    <s v="-"/>
    <s v="Kerry_dropoff"/>
    <s v="Lazada"/>
    <s v="lazada"/>
    <s v=""/>
    <s v="LEXDO0124103184"/>
    <s v="06/01/2025 20:52"/>
  </r>
  <r>
    <x v="9"/>
    <x v="4"/>
    <n v="100"/>
    <n v="1"/>
    <n v="0"/>
    <s v="EQO28"/>
    <n v="100"/>
    <n v="0"/>
    <s v="ร้านที่2"/>
    <s v="อ***. เ***อนครุฑ"/>
    <s v="พิษณุโลก"/>
    <s v="-"/>
    <s v=""/>
    <s v="06/01/2025 20:49"/>
    <s v="-"/>
    <s v="J&amp;T COD"/>
    <s v="Tiktok"/>
    <s v="จ่ายทีหลัง / COD"/>
    <s v=""/>
    <s v="754370358593"/>
    <s v="06/01/2025 20:49"/>
  </r>
  <r>
    <x v="10"/>
    <x v="10"/>
    <n v="200"/>
    <n v="1"/>
    <n v="0"/>
    <s v="EQO26"/>
    <n v="200"/>
    <n v="0"/>
    <s v="ร้านที่4"/>
    <s v="ว***ร น***ุ่น"/>
    <s v="ชุมพร"/>
    <s v="-"/>
    <s v=""/>
    <s v="06/01/2025 20:48"/>
    <s v="-"/>
    <s v="Flash Express Thailand"/>
    <s v="Tiktok"/>
    <s v="tiktok"/>
    <s v=""/>
    <s v="THT70021E79UY6Z"/>
    <s v="06/01/2025 20:47"/>
  </r>
  <r>
    <x v="1"/>
    <x v="1"/>
    <n v="200"/>
    <n v="1"/>
    <n v="0"/>
    <s v="EQO25"/>
    <n v="200"/>
    <n v="0"/>
    <s v="ร้านที่2"/>
    <s v="จ***ง  เ***อม่วง"/>
    <s v="สระบุรี"/>
    <s v="-"/>
    <s v=""/>
    <s v="06/01/2025 20:46"/>
    <s v="-"/>
    <s v="J&amp;T COD"/>
    <s v="Tiktok"/>
    <s v="จ่ายทีหลัง / COD"/>
    <s v=""/>
    <s v="754334992585"/>
    <s v="06/01/2025 20:47"/>
  </r>
  <r>
    <x v="10"/>
    <x v="10"/>
    <n v="200"/>
    <n v="1"/>
    <n v="0"/>
    <s v="EQO24"/>
    <n v="200"/>
    <n v="0"/>
    <s v="ร้านที่4"/>
    <s v="ส***กานต์"/>
    <s v="เทศบาลนครเชียงราย"/>
    <s v="-"/>
    <s v=""/>
    <s v="06/01/2025 20:45"/>
    <s v="-"/>
    <s v="Flash Express Thailand COD"/>
    <s v="Tiktok"/>
    <s v="จ่ายทีหลัง / COD"/>
    <s v=""/>
    <s v="THT54051E79832Z"/>
    <s v="06/01/2025 20:45"/>
  </r>
  <r>
    <x v="3"/>
    <x v="3"/>
    <n v="100"/>
    <n v="1"/>
    <n v="0"/>
    <s v="EQO23"/>
    <n v="106"/>
    <n v="6"/>
    <s v="ร้านที่4"/>
    <s v="ศ***มงคล ต***อั้น"/>
    <s v="ชุมพร"/>
    <s v="-"/>
    <s v=""/>
    <s v="06/01/2025 20:44"/>
    <s v="-"/>
    <s v="Flash Express Thailand COD"/>
    <s v="Tiktok"/>
    <s v="จ่ายทีหลัง / COD"/>
    <s v=""/>
    <s v="THT70041E6BCP7Z"/>
    <s v="06/01/2025 20:44"/>
  </r>
  <r>
    <x v="1"/>
    <x v="1"/>
    <n v="200"/>
    <n v="1"/>
    <n v="0"/>
    <s v="EQO21"/>
    <n v="200"/>
    <n v="0"/>
    <s v="ร้านที่2"/>
    <s v="ร*** เ***มดี ม***มาร์ท"/>
    <s v="ปราจีนบุรี"/>
    <s v="-"/>
    <s v=""/>
    <s v="06/01/2025 20:40"/>
    <s v="-"/>
    <s v="J&amp;T COD"/>
    <s v="Tiktok"/>
    <s v="จ่ายทีหลัง / COD"/>
    <s v=""/>
    <s v="754309794582"/>
    <s v="06/01/2025 20:40"/>
  </r>
  <r>
    <x v="0"/>
    <x v="0"/>
    <n v="100"/>
    <n v="1"/>
    <n v="0"/>
    <s v="EQO20"/>
    <n v="100"/>
    <n v="0"/>
    <s v="ร้านที่1"/>
    <s v="ณ***า ใ***ทอง"/>
    <s v="สุพรรณบุรี"/>
    <s v="-"/>
    <s v=""/>
    <s v="06/01/2025 20:37"/>
    <s v="-"/>
    <s v="J&amp;T COD"/>
    <s v="Tiktok"/>
    <s v="จ่ายทีหลัง / COD"/>
    <s v=""/>
    <s v="754398210613"/>
    <s v="06/01/2025 20:37"/>
  </r>
  <r>
    <x v="19"/>
    <x v="34"/>
    <n v="112.35"/>
    <n v="1"/>
    <n v="0"/>
    <s v="EQO18"/>
    <n v="117.35"/>
    <n v="5"/>
    <s v="ร้านที่9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06/01/2025 20:33"/>
    <s v="-"/>
    <s v="Kerry_dropoff"/>
    <s v="Lazada"/>
    <s v="lazada"/>
    <s v=""/>
    <s v="LEXDO0124086139"/>
    <s v="06/01/2025 20:33"/>
  </r>
  <r>
    <x v="13"/>
    <x v="30"/>
    <n v="112.35"/>
    <n v="1"/>
    <n v="0"/>
    <s v="EQO17"/>
    <n v="117.35"/>
    <n v="5"/>
    <s v="ร้านที่9"/>
    <s v="วินัยมุ่งร่วมกลาง"/>
    <s v="118/49พฤษาวิวล์66/1ซ.3ต.บางแก้วอ.บางพลี.จ.สมุทรปราการ_x000a__x000a_บางพลี/ Bang Phliสมุทรปราการ/ Samut Prakan_x000a_10540"/>
    <s v="10540"/>
    <s v="660867971188"/>
    <s v="06/01/2025 20:31"/>
    <s v="-"/>
    <s v="Kerry_dropoff"/>
    <s v="Lazada"/>
    <s v="lazada"/>
    <s v=""/>
    <s v="LEXDO0124103114"/>
    <s v="06/01/2025 20:31"/>
  </r>
  <r>
    <x v="1"/>
    <x v="1"/>
    <n v="200"/>
    <n v="1"/>
    <n v="0"/>
    <s v="EQO16"/>
    <n v="200"/>
    <n v="0"/>
    <s v="ร้านที่1"/>
    <s v="ว***"/>
    <s v="กรุงเทพฯ"/>
    <s v="-"/>
    <s v=""/>
    <s v="06/01/2025 21:33"/>
    <s v="-"/>
    <s v="J&amp;T Express"/>
    <s v="Tiktok"/>
    <s v="tiktok"/>
    <s v=""/>
    <s v="754323074735"/>
    <s v="06/01/2025 20:31"/>
  </r>
  <r>
    <x v="1"/>
    <x v="1"/>
    <n v="200"/>
    <n v="1"/>
    <n v="0"/>
    <s v="EQO15"/>
    <n v="200"/>
    <n v="0"/>
    <s v="ร้านที่1"/>
    <s v="จ***ภรณ์ ท***า"/>
    <s v="เลย"/>
    <s v="-"/>
    <s v=""/>
    <s v="06/01/2025 20:29"/>
    <s v="-"/>
    <s v="J&amp;T COD"/>
    <s v="Tiktok"/>
    <s v="จ่ายทีหลัง / COD"/>
    <s v=""/>
    <s v="754331674740"/>
    <s v="06/01/2025 20:29"/>
  </r>
  <r>
    <x v="1"/>
    <x v="1"/>
    <n v="200"/>
    <n v="1"/>
    <n v="0"/>
    <s v="EQO14"/>
    <n v="200"/>
    <n v="0"/>
    <s v="ร้านที่1"/>
    <s v="ศ***ชัย น***งทอง"/>
    <s v="ราชบุรี"/>
    <s v="-"/>
    <s v=""/>
    <s v="06/01/2025 20:26"/>
    <s v="-"/>
    <s v="J&amp;T COD"/>
    <s v="Tiktok"/>
    <s v="จ่ายทีหลัง / COD"/>
    <s v=""/>
    <s v="754352886700"/>
    <s v="06/01/2025 20:27"/>
  </r>
  <r>
    <x v="0"/>
    <x v="0"/>
    <n v="100"/>
    <n v="1"/>
    <n v="0"/>
    <s v="EQO13"/>
    <n v="100"/>
    <n v="0"/>
    <s v="ร้านที่1"/>
    <s v="อ***รา"/>
    <s v="พิษณุโลก"/>
    <s v="-"/>
    <s v=""/>
    <s v="06/01/2025 20:24"/>
    <s v="-"/>
    <s v="J&amp;T COD"/>
    <s v="Tiktok"/>
    <s v="จ่ายทีหลัง / COD"/>
    <s v=""/>
    <s v="754330210642"/>
    <s v="06/01/2025 20:24"/>
  </r>
  <r>
    <x v="1"/>
    <x v="1"/>
    <n v="200"/>
    <n v="1"/>
    <n v="0"/>
    <s v="EQO12"/>
    <n v="200"/>
    <n v="0"/>
    <s v="ร้านที่1"/>
    <s v="จ***วรรณ ห***วง"/>
    <s v="พัทลุง"/>
    <s v="-"/>
    <s v=""/>
    <s v="06/01/2025 20:20"/>
    <s v="-"/>
    <s v="J&amp;T COD"/>
    <s v="Tiktok"/>
    <s v="จ่ายทีหลัง / COD"/>
    <s v=""/>
    <s v="754306761773"/>
    <s v="06/01/2025 20:21"/>
  </r>
  <r>
    <x v="5"/>
    <x v="5"/>
    <n v="350"/>
    <n v="1"/>
    <n v="0"/>
    <s v="EQO11"/>
    <n v="350"/>
    <n v="0"/>
    <s v="ร้านที่4"/>
    <s v="อ***น โ***์เย็น"/>
    <s v="ราชบุรี"/>
    <s v="-"/>
    <s v=""/>
    <s v="06/01/2025 20:15"/>
    <s v="-"/>
    <s v="Flash Express Thailand COD"/>
    <s v="Tiktok"/>
    <s v="จ่ายทีหลัง / COD"/>
    <s v=""/>
    <s v="THT12041E6ECY9Z"/>
    <s v="06/01/2025 20:15"/>
  </r>
  <r>
    <x v="3"/>
    <x v="3"/>
    <n v="100"/>
    <n v="1"/>
    <n v="0"/>
    <s v="EQO8"/>
    <n v="200"/>
    <n v="0"/>
    <s v="ร้านที่2"/>
    <s v="ร***ภา อ***์จรรยา"/>
    <s v="กรุงเทพมหานคร"/>
    <s v="-"/>
    <s v=""/>
    <s v="06/01/2025 20:13"/>
    <s v="-"/>
    <s v="J&amp;T COD"/>
    <s v="Tiktok"/>
    <s v="จ่ายทีหลัง / COD"/>
    <s v=""/>
    <s v="754365468522"/>
    <s v="06/01/2025 20:14"/>
  </r>
  <r>
    <x v="9"/>
    <x v="4"/>
    <n v="100"/>
    <n v="1"/>
    <n v="0"/>
    <s v="EQO8"/>
    <n v="200"/>
    <n v="0"/>
    <s v="ร้านที่2"/>
    <s v="ร***ภา อ***์จรรยา"/>
    <s v="กรุงเทพมหานคร"/>
    <s v="-"/>
    <s v=""/>
    <s v="06/01/2025 20:13"/>
    <s v="-"/>
    <s v="J&amp;T COD"/>
    <s v="Tiktok"/>
    <s v="จ่ายทีหลัง / COD"/>
    <s v=""/>
    <s v="754365468522"/>
    <s v="06/01/2025 20:13"/>
  </r>
  <r>
    <x v="1"/>
    <x v="1"/>
    <n v="200"/>
    <n v="1"/>
    <n v="0"/>
    <s v="EQO7"/>
    <n v="200"/>
    <n v="0"/>
    <s v="ร้านที่2"/>
    <s v="เ***ี เ***จันทึก"/>
    <s v="นครราชสีมา"/>
    <s v="-"/>
    <s v=""/>
    <s v="06/01/2025 20:13"/>
    <s v="-"/>
    <s v="J&amp;T COD"/>
    <s v="Tiktok"/>
    <s v="จ่ายทีหลัง / COD"/>
    <s v=""/>
    <s v="754302403654"/>
    <s v="06/01/2025 20:13"/>
  </r>
  <r>
    <x v="24"/>
    <x v="32"/>
    <n v="325.39"/>
    <n v="1"/>
    <n v="0"/>
    <s v="EQO6"/>
    <n v="325.39"/>
    <n v="0"/>
    <s v="ร้านที่6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06/01/2025 20:12"/>
    <s v="-"/>
    <s v="Kerry_dropoff"/>
    <s v="Lazada"/>
    <s v="lazada"/>
    <s v=""/>
    <s v="LEXPU0442850695"/>
    <s v="06/01/2025 20:12"/>
  </r>
  <r>
    <x v="0"/>
    <x v="0"/>
    <n v="100"/>
    <n v="1"/>
    <n v="0"/>
    <s v="EQO4"/>
    <n v="106"/>
    <n v="6"/>
    <s v="ร้านที่2"/>
    <s v="ซ***บะห์"/>
    <s v="ยะลา"/>
    <s v="-"/>
    <s v=""/>
    <s v="06/01/2025 20:12"/>
    <s v="-"/>
    <s v="J&amp;T COD"/>
    <s v="Tiktok"/>
    <s v="จ่ายทีหลัง / COD"/>
    <s v=""/>
    <s v="754355703625"/>
    <s v="06/01/2025 20:12"/>
  </r>
  <r>
    <x v="0"/>
    <x v="31"/>
    <n v="94.78"/>
    <n v="1"/>
    <n v="0"/>
    <s v="EQO3"/>
    <n v="99.78"/>
    <n v="5"/>
    <s v="ร้านที่6"/>
    <s v="ศิริพร  ภู่ถาวร"/>
    <s v="9/1  ม.7 ซ.โรงพิมพ์ · ศีรษะจรเข้ใหญ่/ Sisa Chorakhe Yai_x000a__x000a_บางเสาธง/ Bang Sao Thongสมุทรปราการ/ Samut Prakan_x000a_10570"/>
    <s v="10570"/>
    <s v="660631792858"/>
    <s v="06/01/2025 20:11"/>
    <s v="-"/>
    <s v="Kerry_dropoff"/>
    <s v="Lazada"/>
    <s v="lazada"/>
    <s v=""/>
    <s v="LEXPU0442872738"/>
    <s v="06/01/2025 20:11"/>
  </r>
  <r>
    <x v="1"/>
    <x v="1"/>
    <n v="200"/>
    <n v="2"/>
    <n v="0"/>
    <s v="EQO2"/>
    <n v="400"/>
    <n v="0"/>
    <s v="ร้านที่2"/>
    <s v="ว***ดา ค***"/>
    <s v="เทศบาลนครนครสวรรค์"/>
    <s v="-"/>
    <s v=""/>
    <s v="06/01/2025 20:08"/>
    <s v="-"/>
    <s v="Flash Express Thailand COD"/>
    <s v="Tiktok"/>
    <s v="จ่ายทีหลัง / COD"/>
    <s v=""/>
    <s v="THT56071E6V5C3Z"/>
    <s v="06/01/2025 20:08"/>
  </r>
  <r>
    <x v="3"/>
    <x v="3"/>
    <n v="130"/>
    <n v="1"/>
    <n v="0"/>
    <s v="EQO1"/>
    <n v="178"/>
    <n v="0"/>
    <s v="ร้านที่2"/>
    <s v="จ*ย"/>
    <s v="****** หมู่ 2 ต.บ้านกลาง ตำบลบ้านกลาง อำเภอเมืองปทุมธานี จังหวัดปทุมธานี 12000"/>
    <s v="12000"/>
    <s v="94"/>
    <s v="06/01/2025 20:08"/>
    <s v="-"/>
    <s v="Flash Express"/>
    <s v="Shopee"/>
    <s v="shopee"/>
    <s v=""/>
    <s v="TH04016P2J4Y4C"/>
    <s v="06/01/2025 20:08"/>
  </r>
  <r>
    <x v="1"/>
    <x v="1"/>
    <n v="200"/>
    <n v="1"/>
    <n v="0"/>
    <s v="EQO0"/>
    <n v="200"/>
    <n v="0"/>
    <s v="ร้านที่1"/>
    <s v="อ***ลักษณ์    ช***สง"/>
    <s v="นครพนม"/>
    <s v="-"/>
    <s v=""/>
    <s v="06/01/2025 20:08"/>
    <s v="-"/>
    <s v="J&amp;T Express"/>
    <s v="Tiktok"/>
    <s v="tiktok"/>
    <s v=""/>
    <s v="754348595582"/>
    <s v="06/01/2025 20:08"/>
  </r>
  <r>
    <x v="10"/>
    <x v="10"/>
    <n v="200"/>
    <n v="1"/>
    <n v="0"/>
    <s v="EQN99"/>
    <n v="200"/>
    <n v="0"/>
    <s v="ร้านที่1"/>
    <s v="ส** อ***"/>
    <s v="อุดรธานี"/>
    <s v="-"/>
    <s v=""/>
    <s v="06/01/2025 20:03"/>
    <s v="-"/>
    <s v="J&amp;T COD"/>
    <s v="Tiktok"/>
    <s v="จ่ายทีหลัง / COD"/>
    <s v=""/>
    <s v="754371102660"/>
    <s v="06/01/2025 20:03"/>
  </r>
  <r>
    <x v="1"/>
    <x v="1"/>
    <n v="200"/>
    <n v="1"/>
    <n v="0"/>
    <s v="EQN98"/>
    <n v="200"/>
    <n v="0"/>
    <s v="ร้านที่1"/>
    <s v="ป***ิทธิ์ ค***"/>
    <s v="อุบลราชธานี"/>
    <s v="-"/>
    <s v=""/>
    <s v="06/01/2025 20:02"/>
    <s v="-"/>
    <s v="J&amp;T COD"/>
    <s v="Tiktok"/>
    <s v="จ่ายทีหลัง / COD"/>
    <s v=""/>
    <s v="754372396584"/>
    <s v="06/01/2025 20:02"/>
  </r>
  <r>
    <x v="19"/>
    <x v="34"/>
    <n v="89.88"/>
    <n v="1"/>
    <n v="0"/>
    <s v="EQN97"/>
    <n v="184.76"/>
    <n v="5"/>
    <s v="ร้านที่9"/>
    <s v="กัญญารัตน์ กัณจะณา"/>
    <s v="47/117 ม.2 หมู่บ้านทิพย์ทรายทอง4 ต.คลองนา_x000a__x000a_เมืองฉะเชิงเทรา/ Mueang Chachoengsaoฉะเชิงเทรา/ Chachoengsao_x000a_24000"/>
    <s v="24000"/>
    <s v="660888450885"/>
    <s v="06/01/2025 20:02"/>
    <s v="-"/>
    <s v="Kerry_dropoff"/>
    <s v="Lazada"/>
    <s v="lazada"/>
    <s v=""/>
    <s v="LEXDO0124084800"/>
    <s v="06/01/2025 20:02"/>
  </r>
  <r>
    <x v="19"/>
    <x v="34"/>
    <n v="89.88"/>
    <n v="1"/>
    <n v="0"/>
    <s v="EQN97"/>
    <n v="184.76"/>
    <n v="5"/>
    <s v="ร้านที่9"/>
    <s v="กัญญารัตน์ กัณจะณา"/>
    <s v="47/117 ม.2 หมู่บ้านทิพย์ทรายทอง4 ต.คลองนา_x000a__x000a_เมืองฉะเชิงเทรา/ Mueang Chachoengsaoฉะเชิงเทรา/ Chachoengsao_x000a_24000"/>
    <s v="24000"/>
    <s v="660888450885"/>
    <s v="06/01/2025 20:02"/>
    <s v="-"/>
    <s v="Kerry_dropoff"/>
    <s v="Lazada"/>
    <s v="lazada"/>
    <s v=""/>
    <s v="LEXDO0124084800"/>
    <s v="06/01/2025 20:02"/>
  </r>
  <r>
    <x v="13"/>
    <x v="30"/>
    <n v="112.35"/>
    <n v="1"/>
    <n v="0"/>
    <s v="EQN96"/>
    <n v="112.35"/>
    <n v="0"/>
    <s v="ร้านที่9"/>
    <s v="สุขิรา เวียงนนท์"/>
    <s v="72/66 เดอะฟิวชั่น ซ A11  หมู่ 7 ต.บ้านกรด อ.บางปะอิน จ.พระนครศรีอยุธยา_x000a__x000a_บางปะอิน/ Bang Pa-inพระนครศรีอยุธยา/ Phra Nakhon Si Ayutthaya_x000a_13160"/>
    <s v="13160"/>
    <s v="660618688833"/>
    <s v="06/01/2025 20:06"/>
    <s v="-"/>
    <s v="Kerry_dropoff"/>
    <s v="Lazada"/>
    <s v="lazada"/>
    <s v=""/>
    <s v="LEXDO0124102550"/>
    <s v="06/01/2025 20:02"/>
  </r>
  <r>
    <x v="10"/>
    <x v="10"/>
    <n v="200"/>
    <n v="1"/>
    <n v="0"/>
    <s v="EQN95"/>
    <n v="200"/>
    <n v="0"/>
    <s v="ร้านที่4"/>
    <s v="น***ัย ป***งค์ผล"/>
    <s v="ชลบุรี"/>
    <s v="-"/>
    <s v=""/>
    <s v="06/01/2025 20:00"/>
    <s v="-"/>
    <s v="Flash Express Thailand COD"/>
    <s v="Tiktok"/>
    <s v="จ่ายทีหลัง / COD"/>
    <s v=""/>
    <s v="THT20041E6ZQE5Z"/>
    <s v="06/01/2025 20:00"/>
  </r>
  <r>
    <x v="4"/>
    <x v="4"/>
    <n v="100"/>
    <n v="1"/>
    <n v="0"/>
    <s v="EQN94"/>
    <n v="100"/>
    <n v="0"/>
    <s v="ร้านที่2"/>
    <s v="อ***ิญา ส***ราะห์"/>
    <s v="สระบุรี"/>
    <s v="-"/>
    <s v=""/>
    <s v="06/01/2025 19:57"/>
    <s v="-"/>
    <s v="J&amp;T Express"/>
    <s v="Tiktok"/>
    <s v="tiktok"/>
    <s v=""/>
    <s v="754354188545"/>
    <s v="06/01/2025 19:57"/>
  </r>
  <r>
    <x v="4"/>
    <x v="4"/>
    <n v="100"/>
    <n v="1"/>
    <n v="0"/>
    <s v="EQN93"/>
    <n v="106"/>
    <n v="6"/>
    <s v="ร้านที่2"/>
    <s v="ส** โ***้า"/>
    <s v="ขอนแก่น"/>
    <s v="-"/>
    <s v=""/>
    <s v="06/01/2025 19:57"/>
    <s v="-"/>
    <s v="J&amp;T Express"/>
    <s v="Tiktok"/>
    <s v="tiktok"/>
    <s v=""/>
    <s v="754372789553"/>
    <s v="06/01/2025 19:57"/>
  </r>
  <r>
    <x v="4"/>
    <x v="4"/>
    <n v="100"/>
    <n v="1"/>
    <n v="0"/>
    <s v="EQN92"/>
    <n v="106"/>
    <n v="6"/>
    <s v="ร้านที่1"/>
    <s v="T***ika"/>
    <s v="ระยอง"/>
    <s v="-"/>
    <s v=""/>
    <s v="06/01/2025 19:56"/>
    <s v="-"/>
    <s v="J&amp;T COD"/>
    <s v="Tiktok"/>
    <s v="จ่ายทีหลัง / COD"/>
    <s v=""/>
    <s v="754336581552"/>
    <s v="06/01/2025 19:56"/>
  </r>
  <r>
    <x v="10"/>
    <x v="10"/>
    <n v="200"/>
    <n v="1"/>
    <n v="0"/>
    <s v="EQN91"/>
    <n v="200"/>
    <n v="0"/>
    <s v="ร้านที่4"/>
    <s v="ป***าภรณ์ พ***พานิช"/>
    <s v="สุรินทร์"/>
    <s v="-"/>
    <s v=""/>
    <s v="06/01/2025 19:55"/>
    <s v="-"/>
    <s v="Flash Express Thailand COD"/>
    <s v="Tiktok"/>
    <s v="จ่ายทีหลัง / COD"/>
    <s v=""/>
    <s v="THT29151E6ZMQ7Z"/>
    <s v="06/01/2025 19:55"/>
  </r>
  <r>
    <x v="13"/>
    <x v="30"/>
    <n v="111.5"/>
    <n v="1"/>
    <n v="0"/>
    <s v="EQN90"/>
    <n v="116.5"/>
    <n v="5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06/01/2025 19:53"/>
    <s v="-"/>
    <s v="Kerry_dropoff"/>
    <s v="Lazada"/>
    <s v="lazada"/>
    <s v=""/>
    <s v="LEXDO0124099635"/>
    <s v="06/01/2025 19:53"/>
  </r>
  <r>
    <x v="10"/>
    <x v="10"/>
    <n v="200"/>
    <n v="1"/>
    <n v="0"/>
    <s v="EQN89"/>
    <n v="200"/>
    <n v="0"/>
    <s v="ร้านที่4"/>
    <s v="M***ipa"/>
    <s v="พะเยา"/>
    <s v="-"/>
    <s v=""/>
    <s v="06/01/2025 19:51"/>
    <s v="-"/>
    <s v="Flash Express Thailand COD"/>
    <s v="Tiktok"/>
    <s v="จ่ายทีหลัง / COD"/>
    <s v=""/>
    <s v="THT53011E79SX2Z"/>
    <s v="06/01/2025 19:51"/>
  </r>
  <r>
    <x v="10"/>
    <x v="10"/>
    <n v="200"/>
    <n v="1"/>
    <n v="0"/>
    <s v="EQN88"/>
    <n v="200"/>
    <n v="0"/>
    <s v="ร้านที่2"/>
    <s v="ธ***มาศ  ไ***ชษฐ์"/>
    <s v="นครพนม"/>
    <s v="-"/>
    <s v=""/>
    <s v="06/01/2025 19:50"/>
    <s v="-"/>
    <s v="J&amp;T COD"/>
    <s v="Tiktok"/>
    <s v="จ่ายทีหลัง / COD"/>
    <s v=""/>
    <s v="754329618626"/>
    <s v="06/01/2025 19:50"/>
  </r>
  <r>
    <x v="0"/>
    <x v="0"/>
    <n v="100"/>
    <n v="1"/>
    <n v="0"/>
    <s v="EQN87"/>
    <n v="106"/>
    <n v="6"/>
    <s v="ร้านที่2"/>
    <s v="ศ***พร ส***ี"/>
    <s v="มุกดาหาร"/>
    <s v="-"/>
    <s v=""/>
    <s v="06/01/2025 19:45"/>
    <s v="-"/>
    <s v="J&amp;T COD"/>
    <s v="Tiktok"/>
    <s v="จ่ายทีหลัง / COD"/>
    <s v=""/>
    <s v="754341303671"/>
    <s v="06/01/2025 19:45"/>
  </r>
  <r>
    <x v="5"/>
    <x v="5"/>
    <n v="350"/>
    <n v="1"/>
    <n v="0"/>
    <s v="EQN86"/>
    <n v="350"/>
    <n v="0"/>
    <s v="ร้านที่4"/>
    <s v="ร***แม่จ๋า"/>
    <s v="ขอนแก่น"/>
    <s v="-"/>
    <s v=""/>
    <s v="06/01/2025 19:44"/>
    <s v="-"/>
    <s v="Flash Express Thailand COD"/>
    <s v="Tiktok"/>
    <s v="จ่ายทีหลัง / COD"/>
    <s v=""/>
    <s v="THT37121E6RBV4Z"/>
    <s v="06/01/2025 19:44"/>
  </r>
  <r>
    <x v="0"/>
    <x v="0"/>
    <n v="100"/>
    <n v="1"/>
    <n v="0"/>
    <s v="EQN85"/>
    <n v="145"/>
    <n v="45"/>
    <s v="ร้านที่1"/>
    <s v="น***า"/>
    <s v="ตาก"/>
    <s v="-"/>
    <s v=""/>
    <s v="06/01/2025 19:45"/>
    <s v="-"/>
    <s v="J&amp;T Express"/>
    <s v="Tiktok"/>
    <s v="tiktok"/>
    <s v=""/>
    <s v="754354708623"/>
    <s v="06/01/2025 19:44"/>
  </r>
  <r>
    <x v="13"/>
    <x v="30"/>
    <n v="149.80000000000001"/>
    <n v="1"/>
    <n v="0"/>
    <s v="EQN84"/>
    <n v="154.80000000000001"/>
    <n v="5"/>
    <s v="ร้านที่9"/>
    <s v="อุ๋มอิ๋ม บ้านหลังที่สองขวามือ"/>
    <s v="299/6หมู่3 บ้านหนองกรับ ตำบลหนองบัว โครงการบุญชัยศิริทาวน์โฮม 5 · หนองบัว/ Nong Bua_x000a__x000a_บ้านค่าย/ Ban Khaiระยอง/ Rayong_x000a_21120"/>
    <s v="21120"/>
    <s v="660631759827"/>
    <s v="06/01/2025 19:43"/>
    <s v="-"/>
    <s v="Kerry_dropoff"/>
    <s v="Lazada"/>
    <s v="lazada"/>
    <s v=""/>
    <s v="LEXDO0124099865"/>
    <s v="06/01/2025 19:43"/>
  </r>
  <r>
    <x v="4"/>
    <x v="4"/>
    <n v="100"/>
    <n v="1"/>
    <n v="0"/>
    <s v="EQN83"/>
    <n v="106"/>
    <n v="6"/>
    <s v="ร้านที่1"/>
    <s v="ร***พรรณ ศ***กิ้ง"/>
    <s v="เลย"/>
    <s v="-"/>
    <s v=""/>
    <s v="06/01/2025 19:43"/>
    <s v="-"/>
    <s v="J&amp;T Express"/>
    <s v="Tiktok"/>
    <s v="tiktok"/>
    <s v=""/>
    <s v="754314585544"/>
    <s v="06/01/2025 19:43"/>
  </r>
  <r>
    <x v="19"/>
    <x v="34"/>
    <n v="112"/>
    <n v="1"/>
    <n v="0"/>
    <s v="EQN82"/>
    <n v="117"/>
    <n v="5"/>
    <s v="ร้านที่9"/>
    <s v="ชัชนันท์ ไชยสิทธิ์"/>
    <s v="53/1075 ซ.ราชพฤกษ์ 14  ม.กฤษดานคร  ต.บางตลาด_x000a__x000a_ปากเกร็ด/ Pak Kretนนทบุรี/ Nonthaburi_x000a_11120"/>
    <s v="11120"/>
    <s v="660617125050"/>
    <s v="06/01/2025 19:41"/>
    <s v="-"/>
    <s v="Kerry_dropoff"/>
    <s v="Lazada"/>
    <s v="lazada"/>
    <s v=""/>
    <s v="LEXDO0124103224"/>
    <s v="06/01/2025 19:40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9"/>
    <x v="34"/>
    <n v="127.33"/>
    <n v="1"/>
    <n v="0"/>
    <s v="EQN79"/>
    <n v="386.99"/>
    <n v="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6/01/2025 19:37"/>
    <s v="-"/>
    <s v="Kerry_dropoff"/>
    <s v="Lazada"/>
    <s v="lazada"/>
    <s v=""/>
    <s v="LEXDO0124084347"/>
    <s v="06/01/2025 19:37"/>
  </r>
  <r>
    <x v="10"/>
    <x v="10"/>
    <n v="200"/>
    <n v="1"/>
    <n v="0"/>
    <s v="EQN78"/>
    <n v="215"/>
    <n v="15"/>
    <s v="ร้านที่4"/>
    <s v="ณ ป***ุบัน ค** ค***สุข ค***สงบ"/>
    <s v="กาญจนบุรี"/>
    <s v="-"/>
    <s v=""/>
    <s v="06/01/2025 19:37"/>
    <s v="-"/>
    <s v="Flash Express Thailand COD"/>
    <s v="Tiktok"/>
    <s v="จ่ายทีหลัง / COD"/>
    <s v=""/>
    <s v="THT13021E6ZCW9Z"/>
    <s v="06/01/2025 19:37"/>
  </r>
  <r>
    <x v="0"/>
    <x v="0"/>
    <n v="100"/>
    <n v="1"/>
    <n v="0"/>
    <s v="EQN77"/>
    <n v="106"/>
    <n v="6"/>
    <s v="ร้านที่4"/>
    <s v="น***ิมลวรรณ  ศ***จริญ"/>
    <s v="ระนอง"/>
    <s v="-"/>
    <s v=""/>
    <s v="06/01/2025 19:35"/>
    <s v="-"/>
    <s v="Flash Express Thailand COD"/>
    <s v="Tiktok"/>
    <s v="จ่ายทีหลัง / COD"/>
    <s v=""/>
    <s v="THT69011E68W73Z"/>
    <s v="06/01/2025 19:35"/>
  </r>
  <r>
    <x v="4"/>
    <x v="4"/>
    <n v="100"/>
    <n v="2"/>
    <n v="0"/>
    <s v="EQN76"/>
    <n v="300"/>
    <n v="0"/>
    <s v="ร้านที่4"/>
    <s v="ช***า ส***รณไชยรบ"/>
    <s v="สกลนคร"/>
    <s v="-"/>
    <s v=""/>
    <s v="06/01/2025 19:33"/>
    <s v="-"/>
    <s v="Flash Express Thailand COD"/>
    <s v="Tiktok"/>
    <s v="จ่ายทีหลัง / COD"/>
    <s v=""/>
    <s v="THT44121E72UA2Z"/>
    <s v="06/01/2025 19:33"/>
  </r>
  <r>
    <x v="3"/>
    <x v="3"/>
    <n v="100"/>
    <n v="1"/>
    <n v="0"/>
    <s v="EQN76"/>
    <n v="300"/>
    <n v="0"/>
    <s v="ร้านที่4"/>
    <s v="ช***า ส***รณไชยรบ"/>
    <s v="สกลนคร"/>
    <s v="-"/>
    <s v=""/>
    <s v="06/01/2025 19:33"/>
    <s v="-"/>
    <s v="Flash Express Thailand COD"/>
    <s v="Tiktok"/>
    <s v="จ่ายทีหลัง / COD"/>
    <s v=""/>
    <s v="THT44121E72UA2Z"/>
    <s v="06/01/2025 19:33"/>
  </r>
  <r>
    <x v="5"/>
    <x v="5"/>
    <n v="330"/>
    <n v="1"/>
    <n v="0"/>
    <s v="EQN75"/>
    <n v="330"/>
    <n v="0"/>
    <s v="ร้านที่1"/>
    <s v="ส***ิชัย พ***ุนทด"/>
    <s v="ชลบุรี"/>
    <s v="-"/>
    <s v=""/>
    <s v="06/01/2025 19:32"/>
    <s v="-"/>
    <s v="J&amp;T COD"/>
    <s v="Tiktok"/>
    <s v="จ่ายทีหลัง / COD"/>
    <s v=""/>
    <s v="754300486726"/>
    <s v="06/01/2025 19:32"/>
  </r>
  <r>
    <x v="3"/>
    <x v="3"/>
    <n v="100"/>
    <n v="1"/>
    <n v="0"/>
    <s v="EQN74"/>
    <n v="129"/>
    <n v="29"/>
    <s v="ร้านที่1"/>
    <s v="ท***ักดิ์. ก***นาวืวิช"/>
    <s v="เพชรบูรณ์"/>
    <s v="-"/>
    <s v=""/>
    <s v="06/01/2025 19:31"/>
    <s v="-"/>
    <s v="J&amp;T COD"/>
    <s v="Tiktok"/>
    <s v="จ่ายทีหลัง / COD"/>
    <s v=""/>
    <s v="754392463554"/>
    <s v="06/01/2025 19:32"/>
  </r>
  <r>
    <x v="9"/>
    <x v="4"/>
    <n v="100"/>
    <n v="1"/>
    <n v="0"/>
    <s v="EQN72"/>
    <n v="100"/>
    <n v="0"/>
    <s v="ร้านที่4"/>
    <s v="ส***ทิพย์ ร***ม"/>
    <s v="เทศบาลนครนครปฐม"/>
    <s v="-"/>
    <s v=""/>
    <s v="06/01/2025 19:30"/>
    <s v="-"/>
    <s v="Flash Express Thailand COD"/>
    <s v="Tiktok"/>
    <s v="จ่ายทีหลัง / COD"/>
    <s v=""/>
    <s v="THT15021E6HR94Z"/>
    <s v="06/01/2025 19:30"/>
  </r>
  <r>
    <x v="24"/>
    <x v="52"/>
    <n v="697.5"/>
    <n v="1"/>
    <n v="0"/>
    <s v="EQN70"/>
    <n v="756.5"/>
    <n v="5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06/01/2025 19:25"/>
    <s v="-"/>
    <s v="Kerry_dropoff"/>
    <s v="Lazada"/>
    <s v="lazada"/>
    <s v=""/>
    <s v="LEXPU0442849431"/>
    <s v="06/01/2025 19:25"/>
  </r>
  <r>
    <x v="1"/>
    <x v="1"/>
    <n v="200"/>
    <n v="1"/>
    <n v="0"/>
    <s v="EQN66"/>
    <n v="200"/>
    <n v="0"/>
    <s v="ร้านที่1"/>
    <s v="ป***พรรณ ท***งศ์"/>
    <s v="พิษณุโลก"/>
    <s v="-"/>
    <s v=""/>
    <s v="06/01/2025 19:20"/>
    <s v="-"/>
    <s v="J&amp;T COD"/>
    <s v="Tiktok"/>
    <s v="จ่ายทีหลัง / COD"/>
    <s v=""/>
    <s v="754337394580"/>
    <s v="06/01/2025 19:20"/>
  </r>
  <r>
    <x v="10"/>
    <x v="10"/>
    <n v="200"/>
    <n v="1"/>
    <n v="0"/>
    <s v="EQN65"/>
    <n v="200"/>
    <n v="0"/>
    <s v="ร้านที่4"/>
    <s v="ว***"/>
    <s v="สมุทรปราการ"/>
    <s v="-"/>
    <s v=""/>
    <s v="06/01/2025 19:17"/>
    <s v="-"/>
    <s v="Flash Express Thailand COD"/>
    <s v="Tiktok"/>
    <s v="จ่ายทีหลัง / COD"/>
    <s v=""/>
    <s v="THT02011E6ZCJ1Z"/>
    <s v="06/01/2025 19:17"/>
  </r>
  <r>
    <x v="1"/>
    <x v="1"/>
    <n v="200"/>
    <n v="1"/>
    <n v="0"/>
    <s v="EQN64"/>
    <n v="200"/>
    <n v="0"/>
    <s v="ร้านที่1"/>
    <s v="น***นชัย เ***องอิงคะสุต"/>
    <s v="นนทบุรี"/>
    <s v="-"/>
    <s v=""/>
    <s v="06/01/2025 19:16"/>
    <s v="-"/>
    <s v="J&amp;T COD"/>
    <s v="Tiktok"/>
    <s v="จ่ายทีหลัง / COD"/>
    <s v=""/>
    <s v="754315087724"/>
    <s v="06/01/2025 19:16"/>
  </r>
  <r>
    <x v="5"/>
    <x v="5"/>
    <n v="350"/>
    <n v="1"/>
    <n v="0"/>
    <s v="EQN63"/>
    <n v="350"/>
    <n v="0"/>
    <s v="ร้านที่4"/>
    <s v="น** ว***ี ท***ี"/>
    <s v="ราชบุรี"/>
    <s v="-"/>
    <s v=""/>
    <s v="06/01/2025 19:16"/>
    <s v="-"/>
    <s v="Flash Express Thailand COD"/>
    <s v="Tiktok"/>
    <s v="จ่ายทีหลัง / COD"/>
    <s v=""/>
    <s v="THT12021E6R7E2Z"/>
    <s v="06/01/2025 19:16"/>
  </r>
  <r>
    <x v="4"/>
    <x v="4"/>
    <n v="100"/>
    <n v="3"/>
    <n v="0"/>
    <s v="EQN62"/>
    <n v="300"/>
    <n v="0"/>
    <s v="ร้านที่1"/>
    <s v="ก*** ใ***นทร์"/>
    <s v="สุราษฎร์ธานี"/>
    <s v="-"/>
    <s v=""/>
    <s v="06/01/2025 19:14"/>
    <s v="-"/>
    <s v="J&amp;T COD"/>
    <s v="Tiktok"/>
    <s v="จ่ายทีหลัง / COD"/>
    <s v=""/>
    <s v="754305507664"/>
    <s v="06/01/2025 19:14"/>
  </r>
  <r>
    <x v="3"/>
    <x v="8"/>
    <n v="80.91"/>
    <n v="1"/>
    <n v="0"/>
    <s v="EQN61"/>
    <n v="166.82"/>
    <n v="5"/>
    <s v="ร้านที่6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06/01/2025 19:11"/>
    <s v="-"/>
    <s v="Kerry_dropoff"/>
    <s v="Lazada"/>
    <s v="lazada"/>
    <s v=""/>
    <s v="LEXPU0442891968"/>
    <s v="06/01/2025 19:11"/>
  </r>
  <r>
    <x v="3"/>
    <x v="8"/>
    <n v="80.91"/>
    <n v="1"/>
    <n v="0"/>
    <s v="EQN61"/>
    <n v="166.82"/>
    <n v="5"/>
    <s v="ร้านที่6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06/01/2025 19:11"/>
    <s v="-"/>
    <s v="Kerry_dropoff"/>
    <s v="Lazada"/>
    <s v="lazada"/>
    <s v=""/>
    <s v="LEXPU0442891968"/>
    <s v="06/01/2025 19:11"/>
  </r>
  <r>
    <x v="4"/>
    <x v="4"/>
    <n v="100"/>
    <n v="1"/>
    <n v="0"/>
    <s v="EQN60"/>
    <n v="106"/>
    <n v="6"/>
    <s v="ร้านที่1"/>
    <s v="พ***ี ผ***รรเจิดศักดิ์"/>
    <s v="Bangkok"/>
    <s v="-"/>
    <s v=""/>
    <s v="06/01/2025 19:09"/>
    <s v="-"/>
    <s v="J&amp;T Express"/>
    <s v="Tiktok"/>
    <s v="tiktok"/>
    <s v=""/>
    <s v="754306386551"/>
    <s v="06/01/2025 19:09"/>
  </r>
  <r>
    <x v="0"/>
    <x v="0"/>
    <n v="100"/>
    <n v="1"/>
    <n v="0"/>
    <s v="EQN59"/>
    <n v="106"/>
    <n v="6"/>
    <s v="ร้านที่2"/>
    <s v="ด***ภร ภ***ุล"/>
    <s v="ชลบุรี"/>
    <s v="-"/>
    <s v=""/>
    <s v="06/01/2025 19:05"/>
    <s v="-"/>
    <s v="J&amp;T COD"/>
    <s v="Tiktok"/>
    <s v="จ่ายทีหลัง / COD"/>
    <s v=""/>
    <s v="754353614615"/>
    <s v="06/01/2025 19:05"/>
  </r>
  <r>
    <x v="10"/>
    <x v="10"/>
    <n v="200"/>
    <n v="2"/>
    <n v="0"/>
    <s v="EQN58"/>
    <n v="400"/>
    <n v="0"/>
    <s v="ร้านที่4"/>
    <s v="ร***ง  ย***ริ"/>
    <s v="บุรีรัมย์"/>
    <s v="-"/>
    <s v=""/>
    <s v="06/01/2025 19:04"/>
    <s v="-"/>
    <s v="Flash Express Thailand COD"/>
    <s v="Tiktok"/>
    <s v="จ่ายทีหลัง / COD"/>
    <s v=""/>
    <s v="THT28041E75D26Z"/>
    <s v="06/01/2025 19:04"/>
  </r>
  <r>
    <x v="10"/>
    <x v="10"/>
    <n v="200"/>
    <n v="1"/>
    <n v="0"/>
    <s v="EQN57"/>
    <n v="200"/>
    <n v="0"/>
    <s v="ร้านที่1"/>
    <s v="ป***ุช ศ***วลจำปา"/>
    <s v="ลพบุรี"/>
    <s v="-"/>
    <s v=""/>
    <s v="06/01/2025 19:03"/>
    <s v="-"/>
    <s v="J&amp;T COD"/>
    <s v="Tiktok"/>
    <s v="จ่ายทีหลัง / COD"/>
    <s v=""/>
    <s v="754313812615"/>
    <s v="06/01/2025 19:03"/>
  </r>
  <r>
    <x v="3"/>
    <x v="3"/>
    <n v="100"/>
    <n v="1"/>
    <n v="0"/>
    <s v="EQN56"/>
    <n v="200"/>
    <n v="0"/>
    <s v="ร้านที่4"/>
    <s v="ป***ชาติ  จ***ร์รักษา"/>
    <s v="กรุงเทพมหานคร"/>
    <s v="-"/>
    <s v=""/>
    <s v="06/01/2025 19:03"/>
    <s v="-"/>
    <s v="Flash Express Thailand"/>
    <s v="Tiktok"/>
    <s v="tiktok"/>
    <s v=""/>
    <s v="THT01431E72YH6Z"/>
    <s v="06/01/2025 19:02"/>
  </r>
  <r>
    <x v="9"/>
    <x v="4"/>
    <n v="100"/>
    <n v="1"/>
    <n v="0"/>
    <s v="EQN56"/>
    <n v="200"/>
    <n v="0"/>
    <s v="ร้านที่4"/>
    <s v="ป***ชาติ  จ***ร์รักษา"/>
    <s v="กรุงเทพมหานคร"/>
    <s v="-"/>
    <s v=""/>
    <s v="06/01/2025 19:03"/>
    <s v="-"/>
    <s v="Flash Express Thailand"/>
    <s v="Tiktok"/>
    <s v="tiktok"/>
    <s v=""/>
    <s v="THT01431E72YH6Z"/>
    <s v="06/01/2025 19:02"/>
  </r>
  <r>
    <x v="20"/>
    <x v="20"/>
    <n v="199"/>
    <n v="1"/>
    <n v="0"/>
    <s v="EQN54"/>
    <n v="244"/>
    <n v="4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06/01/2025 19:17"/>
    <s v="-"/>
    <s v="Flash Express"/>
    <s v="Shopee"/>
    <s v="shopee"/>
    <s v=""/>
    <s v="TH01336P2NDB0G"/>
    <s v="06/01/2025 19:02"/>
  </r>
  <r>
    <x v="0"/>
    <x v="0"/>
    <n v="100"/>
    <n v="2"/>
    <n v="0"/>
    <s v="EQN53"/>
    <n v="200"/>
    <n v="0"/>
    <s v="ร้านที่1"/>
    <s v="ส***ี ช***ุม"/>
    <s v="สระบุรี"/>
    <s v="-"/>
    <s v=""/>
    <s v="06/01/2025 19:01"/>
    <s v="-"/>
    <s v="J&amp;T COD"/>
    <s v="Tiktok"/>
    <s v="จ่ายทีหลัง / COD"/>
    <s v=""/>
    <s v="754378084596"/>
    <s v="06/01/2025 19:02"/>
  </r>
  <r>
    <x v="9"/>
    <x v="4"/>
    <n v="100"/>
    <n v="1"/>
    <n v="0"/>
    <s v="EQN52"/>
    <n v="106"/>
    <n v="6"/>
    <s v="ร้านที่2"/>
    <s v="อ***ิด เ***ฉลูอินทร์"/>
    <s v="อุดรธานี"/>
    <s v="-"/>
    <s v=""/>
    <s v="06/01/2025 18:58"/>
    <s v="-"/>
    <s v="J&amp;T COD"/>
    <s v="Tiktok"/>
    <s v="จ่ายทีหลัง / COD"/>
    <s v=""/>
    <s v="754370463534"/>
    <s v="06/01/2025 18:58"/>
  </r>
  <r>
    <x v="19"/>
    <x v="34"/>
    <n v="147"/>
    <n v="1"/>
    <n v="0"/>
    <s v="EQN51"/>
    <n v="152"/>
    <n v="5"/>
    <s v="ร้านที่9"/>
    <s v="พรรัตน์ จันทร์มีทรัพย์"/>
    <s v="585/75ม.2(หมูบ้านกัลปพฤกษ์ชีวิลล์ ซ.9)ซ.เทศบาลบางปู66ต.ท้ายบ้าน_x000a__x000a_เมืองสมุทรปราการ/ Mueang Samut Prakanสมุทรปราการ/ Samut Prakan_x000a_10280"/>
    <s v="10280"/>
    <s v="660897986600"/>
    <s v="06/01/2025 18:58"/>
    <s v="-"/>
    <s v="Kerry_dropoff"/>
    <s v="Lazada"/>
    <s v="lazada"/>
    <s v=""/>
    <s v="LEXDO0124100252"/>
    <s v="06/01/2025 18:58"/>
  </r>
  <r>
    <x v="13"/>
    <x v="63"/>
    <n v="122.91"/>
    <n v="1"/>
    <n v="0"/>
    <s v="EQN50"/>
    <n v="389.38"/>
    <n v="34"/>
    <s v="ร้านที่6"/>
    <s v="มัลลิกา คล้ายฉิม"/>
    <s v="เลขที่ 4 หมู่ 12 ต.หนองหงส์_x000a__x000a_ทุ่งสง/ Thung Songนครศรีธรรมราช/ Nakhon Si Thammarat_x000a_80110"/>
    <s v="80110"/>
    <s v="660862932317"/>
    <s v="06/01/2025 18:55"/>
    <s v="-"/>
    <s v="Kerry_dropoff"/>
    <s v="Lazada"/>
    <s v="lazada"/>
    <s v=""/>
    <s v="LEXPU0442895324"/>
    <s v="06/01/2025 18:55"/>
  </r>
  <r>
    <x v="13"/>
    <x v="63"/>
    <n v="122.9"/>
    <n v="1"/>
    <n v="0"/>
    <s v="EQN50"/>
    <n v="389.38"/>
    <n v="34"/>
    <s v="ร้านที่6"/>
    <s v="มัลลิกา คล้ายฉิม"/>
    <s v="เลขที่ 4 หมู่ 12 ต.หนองหงส์_x000a__x000a_ทุ่งสง/ Thung Songนครศรีธรรมราช/ Nakhon Si Thammarat_x000a_80110"/>
    <s v="80110"/>
    <s v="660862932317"/>
    <s v="06/01/2025 18:55"/>
    <s v="-"/>
    <s v="Kerry_dropoff"/>
    <s v="Lazada"/>
    <s v="lazada"/>
    <s v=""/>
    <s v="LEXPU0442895324"/>
    <s v="06/01/2025 18:55"/>
  </r>
  <r>
    <x v="1"/>
    <x v="1"/>
    <n v="200"/>
    <n v="1"/>
    <n v="0"/>
    <s v="EQN48"/>
    <n v="200"/>
    <n v="0"/>
    <s v="ร้านที่2"/>
    <s v="น***ระจวบ ท***กะ"/>
    <s v="อุตรดิตถ์"/>
    <s v="-"/>
    <s v=""/>
    <s v="06/01/2025 18:51"/>
    <s v="-"/>
    <s v="J&amp;T COD"/>
    <s v="Tiktok"/>
    <s v="จ่ายทีหลัง / COD"/>
    <s v=""/>
    <s v="754348173751"/>
    <s v="06/01/2025 18:51"/>
  </r>
  <r>
    <x v="9"/>
    <x v="4"/>
    <n v="100"/>
    <n v="1"/>
    <n v="0"/>
    <s v="EQN47"/>
    <n v="200"/>
    <n v="0"/>
    <s v="ร้านที่4"/>
    <s v="ณ***ร เ***รประดับ"/>
    <s v="ประจวบคีรีขันธ์"/>
    <s v="-"/>
    <s v=""/>
    <s v="06/01/2025 18:51"/>
    <s v="-"/>
    <s v="Flash Express Thailand"/>
    <s v="Tiktok"/>
    <s v="tiktok"/>
    <s v=""/>
    <s v="THT19081E72RB6Z"/>
    <s v="06/01/2025 18:50"/>
  </r>
  <r>
    <x v="3"/>
    <x v="3"/>
    <n v="100"/>
    <n v="1"/>
    <n v="0"/>
    <s v="EQN47"/>
    <n v="200"/>
    <n v="0"/>
    <s v="ร้านที่4"/>
    <s v="ณ***ร เ***รประดับ"/>
    <s v="ประจวบคีรีขันธ์"/>
    <s v="-"/>
    <s v=""/>
    <s v="06/01/2025 18:51"/>
    <s v="-"/>
    <s v="Flash Express Thailand"/>
    <s v="Tiktok"/>
    <s v="tiktok"/>
    <s v=""/>
    <s v="THT19081E72RB6Z"/>
    <s v="06/01/2025 18:50"/>
  </r>
  <r>
    <x v="10"/>
    <x v="10"/>
    <n v="200"/>
    <n v="3"/>
    <n v="0"/>
    <s v="EQN46"/>
    <n v="600"/>
    <n v="0"/>
    <s v="ร้านที่4"/>
    <s v="พ***า แ***ยอด"/>
    <s v="ขอนแก่น"/>
    <s v="-"/>
    <s v=""/>
    <s v="06/01/2025 18:49"/>
    <s v="-"/>
    <s v="Flash Express Thailand COD"/>
    <s v="Tiktok"/>
    <s v="จ่ายทีหลัง / COD"/>
    <s v=""/>
    <s v="THT37181E75G48Z"/>
    <s v="06/01/2025 18:49"/>
  </r>
  <r>
    <x v="0"/>
    <x v="0"/>
    <n v="100"/>
    <n v="1"/>
    <n v="0"/>
    <s v="EQN45"/>
    <n v="106"/>
    <n v="6"/>
    <s v="ร้านที่1"/>
    <s v="ธ***รัตน์ ใ***สันเทียะ"/>
    <s v="อุดรธานี"/>
    <s v="-"/>
    <s v=""/>
    <s v="06/01/2025 18:46"/>
    <s v="-"/>
    <s v="J&amp;T COD"/>
    <s v="Tiktok"/>
    <s v="จ่ายทีหลัง / COD"/>
    <s v=""/>
    <s v="754382211612"/>
    <s v="06/01/2025 18:46"/>
  </r>
  <r>
    <x v="4"/>
    <x v="4"/>
    <n v="100"/>
    <n v="1"/>
    <n v="0"/>
    <s v="EQN44"/>
    <n v="145"/>
    <n v="45"/>
    <s v="ร้านที่4"/>
    <s v="น***ัฒนา จ***า"/>
    <s v="หนองคาย"/>
    <s v="-"/>
    <s v=""/>
    <s v="06/01/2025 18:44"/>
    <s v="-"/>
    <s v="Flash Express Thailand COD"/>
    <s v="Tiktok"/>
    <s v="จ่ายทีหลัง / COD"/>
    <s v=""/>
    <s v="THT40031E64PY1Z"/>
    <s v="06/01/2025 18:44"/>
  </r>
  <r>
    <x v="1"/>
    <x v="1"/>
    <n v="200"/>
    <n v="1"/>
    <n v="0"/>
    <s v="EQN43"/>
    <n v="200"/>
    <n v="0"/>
    <s v="ร้านที่2"/>
    <s v="อ***ภรณ์​ ช***เขา"/>
    <s v="เทศบาลนครเชียงราย"/>
    <s v="-"/>
    <s v=""/>
    <s v="06/01/2025 18:45"/>
    <s v="-"/>
    <s v="J&amp;T Express"/>
    <s v="Tiktok"/>
    <s v="tiktok"/>
    <s v=""/>
    <s v="754390370764"/>
    <s v="06/01/2025 18:44"/>
  </r>
  <r>
    <x v="0"/>
    <x v="0"/>
    <n v="100"/>
    <n v="1"/>
    <n v="0"/>
    <s v="EQN42"/>
    <n v="106"/>
    <n v="6"/>
    <s v="ร้านที่2"/>
    <s v="เ***ยศ ว***ไทย"/>
    <s v="ฉะเชิงเทรา"/>
    <s v="-"/>
    <s v=""/>
    <s v="06/01/2025 18:43"/>
    <s v="-"/>
    <s v="J&amp;T COD"/>
    <s v="Tiktok"/>
    <s v="จ่ายทีหลัง / COD"/>
    <s v=""/>
    <s v="754312904645"/>
    <s v="06/01/2025 18:43"/>
  </r>
  <r>
    <x v="1"/>
    <x v="1"/>
    <n v="200"/>
    <n v="1"/>
    <n v="0"/>
    <s v="EQN40"/>
    <n v="200"/>
    <n v="0"/>
    <s v="ร้านที่1"/>
    <s v="พ***ณัฎ ท***รหม"/>
    <s v="กรุงเทพมหานคร"/>
    <s v="-"/>
    <s v=""/>
    <s v="06/01/2025 18:36"/>
    <s v="-"/>
    <s v="J&amp;T COD"/>
    <s v="Tiktok"/>
    <s v="จ่ายทีหลัง / COD"/>
    <s v=""/>
    <s v="754364174756"/>
    <s v="06/01/2025 18:37"/>
  </r>
  <r>
    <x v="10"/>
    <x v="10"/>
    <n v="200"/>
    <n v="1"/>
    <n v="0"/>
    <s v="EQN39"/>
    <n v="200"/>
    <n v="0"/>
    <s v="ร้านที่4"/>
    <s v="ว***พร"/>
    <s v="ปทุมธานี"/>
    <s v="-"/>
    <s v=""/>
    <s v="06/01/2025 18:36"/>
    <s v="-"/>
    <s v="Flash Express Thailand"/>
    <s v="Tiktok"/>
    <s v="tiktok"/>
    <s v=""/>
    <s v="THT04071E79KX0Z"/>
    <s v="06/01/2025 18:36"/>
  </r>
  <r>
    <x v="0"/>
    <x v="0"/>
    <n v="100"/>
    <n v="1"/>
    <n v="0"/>
    <s v="EQN38"/>
    <n v="106"/>
    <n v="6"/>
    <s v="ร้านที่4"/>
    <s v="ณ***า ว***กาเม็ง"/>
    <s v="Bangkok"/>
    <s v="-"/>
    <s v=""/>
    <s v="06/01/2025 18:35"/>
    <s v="-"/>
    <s v="Flash Express Thailand COD"/>
    <s v="Tiktok"/>
    <s v="จ่ายทีหลัง / COD"/>
    <s v=""/>
    <s v="THT01511E6KEJ8Z"/>
    <s v="06/01/2025 18:35"/>
  </r>
  <r>
    <x v="0"/>
    <x v="0"/>
    <n v="100"/>
    <n v="1"/>
    <n v="0"/>
    <s v="EQN37"/>
    <n v="106"/>
    <n v="6"/>
    <s v="ร้านที่2"/>
    <s v="ส***วดี ช***ตร"/>
    <s v="สุราษฎร์ธานี"/>
    <s v="-"/>
    <s v=""/>
    <s v="06/01/2025 18:35"/>
    <s v="-"/>
    <s v="J&amp;T Express"/>
    <s v="Tiktok"/>
    <s v="tiktok"/>
    <s v=""/>
    <s v="754371010610"/>
    <s v="06/01/2025 18:34"/>
  </r>
  <r>
    <x v="9"/>
    <x v="4"/>
    <n v="100"/>
    <n v="4"/>
    <n v="0"/>
    <s v="EQN36"/>
    <n v="400"/>
    <n v="0"/>
    <s v="ร้านที่4"/>
    <s v="จ***า ร***ุพรรณ"/>
    <s v="นครปฐม"/>
    <s v="-"/>
    <s v=""/>
    <s v="06/01/2025 18:32"/>
    <s v="-"/>
    <s v="Flash Express Thailand"/>
    <s v="Tiktok"/>
    <s v="tiktok"/>
    <s v=""/>
    <s v="THT15071E6B7Q1Z"/>
    <s v="06/01/2025 18:31"/>
  </r>
  <r>
    <x v="13"/>
    <x v="13"/>
    <n v="230"/>
    <n v="1"/>
    <n v="0"/>
    <s v="EQN34"/>
    <n v="254"/>
    <n v="29"/>
    <s v="ร้านที่2"/>
    <s v="ว******์"/>
    <s v="******รา ตำบลโคกพุทรา อำเภอโพธิ์ทอง จังหวัดอ่างทอง 14120"/>
    <s v="14120"/>
    <s v="37"/>
    <s v="06/01/2025 18:54"/>
    <s v="-"/>
    <s v="Flash Express"/>
    <s v="Shopee"/>
    <s v="shopee"/>
    <s v=""/>
    <s v="TH06046P2J891I"/>
    <s v="06/01/2025 18:24"/>
  </r>
  <r>
    <x v="9"/>
    <x v="4"/>
    <n v="100"/>
    <n v="5"/>
    <n v="0"/>
    <s v="EQN33"/>
    <n v="500"/>
    <n v="0"/>
    <s v="ร้านที่4"/>
    <s v="พ***าภรณ์ ม***น้อย"/>
    <s v="นนทบุรี"/>
    <s v="-"/>
    <s v=""/>
    <s v="06/01/2025 18:22"/>
    <s v="-"/>
    <s v="Flash Express Thailand"/>
    <s v="Tiktok"/>
    <s v="tiktok"/>
    <s v=""/>
    <s v="THT03011E6N326Z"/>
    <s v="06/01/2025 18:22"/>
  </r>
  <r>
    <x v="19"/>
    <x v="34"/>
    <n v="149.80000000000001"/>
    <n v="1"/>
    <n v="0"/>
    <s v="EQN32"/>
    <n v="194.8"/>
    <n v="45"/>
    <s v="ร้านที่9"/>
    <s v="ดวงพร  จงนอก"/>
    <s v="19/1  หมู่8  บ้านคลองทราย · วังน้ำเขียว/ Wang Nam Khiao_x000a__x000a_วังน้ำเขียว/ Wang Nam Khiaoนครราชสีมา/ Nakhon Ratchasima_x000a_30370"/>
    <s v="30370"/>
    <s v="660961961805"/>
    <s v="06/01/2025 18:22"/>
    <s v="-"/>
    <s v="Kerry_dropoff"/>
    <s v="Lazada"/>
    <s v="lazada"/>
    <s v=""/>
    <s v="TH27256P2R6P2A"/>
    <s v="06/01/2025 18:22"/>
  </r>
  <r>
    <x v="4"/>
    <x v="4"/>
    <n v="100"/>
    <n v="1"/>
    <n v="0"/>
    <s v="EQN31"/>
    <n v="106"/>
    <n v="6"/>
    <s v="ร้านที่1"/>
    <s v="ศ***พร ท***าน"/>
    <s v="สุราษฎร์ธานี"/>
    <s v="-"/>
    <s v=""/>
    <s v="06/01/2025 18:20"/>
    <s v="-"/>
    <s v="J&amp;T COD"/>
    <s v="Tiktok"/>
    <s v="จ่ายทีหลัง / COD"/>
    <s v=""/>
    <s v="754330582563"/>
    <s v="06/01/2025 18:20"/>
  </r>
  <r>
    <x v="4"/>
    <x v="4"/>
    <n v="100"/>
    <n v="1"/>
    <n v="0"/>
    <s v="EQN29"/>
    <n v="200"/>
    <n v="0"/>
    <s v="ร้านที่4"/>
    <s v="จ***วรรณ บ***อง"/>
    <s v="สุราษฎร์ธานี"/>
    <s v="-"/>
    <s v=""/>
    <s v="06/01/2025 18:06"/>
    <s v="-"/>
    <s v="Flash Express Thailand COD"/>
    <s v="Tiktok"/>
    <s v="จ่ายทีหลัง / COD"/>
    <s v=""/>
    <s v="THT68161E6SG87Z"/>
    <s v="06/01/2025 18:06"/>
  </r>
  <r>
    <x v="3"/>
    <x v="3"/>
    <n v="100"/>
    <n v="1"/>
    <n v="0"/>
    <s v="EQN29"/>
    <n v="200"/>
    <n v="0"/>
    <s v="ร้านที่4"/>
    <s v="จ***วรรณ บ***อง"/>
    <s v="สุราษฎร์ธานี"/>
    <s v="-"/>
    <s v=""/>
    <s v="06/01/2025 18:06"/>
    <s v="-"/>
    <s v="Flash Express Thailand COD"/>
    <s v="Tiktok"/>
    <s v="จ่ายทีหลัง / COD"/>
    <s v=""/>
    <s v="THT68161E6SG87Z"/>
    <s v="06/01/2025 18:06"/>
  </r>
  <r>
    <x v="13"/>
    <x v="13"/>
    <n v="230"/>
    <n v="2"/>
    <n v="0"/>
    <s v="EQN28"/>
    <n v="484"/>
    <n v="29"/>
    <s v="ร้านที่2"/>
    <s v="ค***อ"/>
    <s v="******.หนองปลิง ตำบลหนองปลิง อำเภอเมืองนครสวรรค์ จังหวัดนครสวรรค์ 60000"/>
    <s v="60000"/>
    <s v="72"/>
    <s v="06/01/2025 18:03"/>
    <s v="-"/>
    <s v="SPX Express"/>
    <s v="Shopee"/>
    <s v="shopee"/>
    <s v=""/>
    <s v="TH251175433401O"/>
    <s v="06/01/2025 18:03"/>
  </r>
  <r>
    <x v="0"/>
    <x v="0"/>
    <n v="100"/>
    <n v="2"/>
    <n v="0"/>
    <s v="EQN27"/>
    <n v="200"/>
    <n v="0"/>
    <s v="ร้านที่4"/>
    <s v="ส***ตรา  ส***งษ์"/>
    <s v="เทศบาลนครนครศรีธรรมราช"/>
    <s v="-"/>
    <s v=""/>
    <s v="06/01/2025 18:01"/>
    <s v="-"/>
    <s v="Flash Express Thailand COD"/>
    <s v="Tiktok"/>
    <s v="จ่ายทีหลัง / COD"/>
    <s v=""/>
    <s v="THT64041E6K9C4Z"/>
    <s v="06/01/2025 18:02"/>
  </r>
  <r>
    <x v="3"/>
    <x v="3"/>
    <n v="100"/>
    <n v="3"/>
    <n v="0"/>
    <s v="EQN26"/>
    <n v="300"/>
    <n v="0"/>
    <s v="ร้านที่1"/>
    <s v="น***ัศมี อ***วรทัต"/>
    <s v="นครราชสีมา"/>
    <s v="-"/>
    <s v=""/>
    <s v="06/01/2025 17:53"/>
    <s v="-"/>
    <s v="J&amp;T COD"/>
    <s v="Tiktok"/>
    <s v="จ่ายทีหลัง / COD"/>
    <s v=""/>
    <s v="754341189545"/>
    <s v="06/01/2025 17:53"/>
  </r>
  <r>
    <x v="1"/>
    <x v="1"/>
    <n v="200"/>
    <n v="1"/>
    <n v="0"/>
    <s v="EQN25"/>
    <n v="200"/>
    <n v="0"/>
    <s v="ร้านที่2"/>
    <s v="ท***รรณ"/>
    <s v="สุพรรณบุรี"/>
    <s v="-"/>
    <s v=""/>
    <s v="06/01/2025 17:52"/>
    <s v="-"/>
    <s v="J&amp;T Express"/>
    <s v="Tiktok"/>
    <s v="tiktok"/>
    <s v=""/>
    <s v="754332483763"/>
    <s v="06/01/2025 17:52"/>
  </r>
  <r>
    <x v="19"/>
    <x v="34"/>
    <n v="112.35"/>
    <n v="1"/>
    <n v="0"/>
    <s v="EQN22"/>
    <n v="117.35"/>
    <n v="5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06/01/2025 17:38"/>
    <s v="-"/>
    <s v="Kerry_dropoff"/>
    <s v="Lazada"/>
    <s v="lazada"/>
    <s v=""/>
    <s v="LEXDO0124103011"/>
    <s v="06/01/2025 17:38"/>
  </r>
  <r>
    <x v="18"/>
    <x v="39"/>
    <n v="140"/>
    <n v="1"/>
    <n v="0"/>
    <s v="EQN21"/>
    <n v="147"/>
    <n v="7"/>
    <s v="ร้านที่1"/>
    <s v="ส******ง"/>
    <s v="******คารF6 หมู่8 ต.ในคลองบางปลากด ตำบลในคลองบางปลากด อำเภอพระสมุทรเจดีย์ จังหวัดสมุทรปราการ 10290"/>
    <s v="10290"/>
    <s v="78"/>
    <s v="06/01/2025 17:33"/>
    <s v="-"/>
    <s v="SPX Express"/>
    <s v="Shopee"/>
    <s v="shopee"/>
    <s v=""/>
    <s v="TH2513957522556"/>
    <s v="06/01/2025 17:32"/>
  </r>
  <r>
    <x v="0"/>
    <x v="0"/>
    <n v="100"/>
    <n v="1"/>
    <n v="0"/>
    <s v="EQN20"/>
    <n v="106"/>
    <n v="6"/>
    <s v="ร้านที่1"/>
    <s v="ล*** ด***ล"/>
    <s v="บุรีรัมย์"/>
    <s v="-"/>
    <s v=""/>
    <s v="06/01/2025 17:29"/>
    <s v="-"/>
    <s v="J&amp;T COD"/>
    <s v="Tiktok"/>
    <s v="จ่ายทีหลัง / COD"/>
    <s v=""/>
    <s v="754303909645"/>
    <s v="06/01/2025 17:29"/>
  </r>
  <r>
    <x v="5"/>
    <x v="5"/>
    <n v="330"/>
    <n v="1"/>
    <n v="0"/>
    <s v="EQN18"/>
    <n v="330"/>
    <n v="0"/>
    <s v="ร้านที่2"/>
    <s v="ว***์สิรี แ**"/>
    <s v="ชลบุรี"/>
    <s v="-"/>
    <s v=""/>
    <s v="06/01/2025 17:26"/>
    <s v="-"/>
    <s v="J&amp;T COD"/>
    <s v="Tiktok"/>
    <s v="จ่ายทีหลัง / COD"/>
    <s v=""/>
    <s v="754337976711"/>
    <s v="06/01/2025 17:26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13"/>
    <x v="30"/>
    <n v="119.84"/>
    <n v="1"/>
    <n v="0"/>
    <s v="EQN17"/>
    <n v="398.52"/>
    <n v="39"/>
    <s v="ร้านที่9"/>
    <s v="ผุสดี กองแก้ว"/>
    <s v="โรงพยาบาลเกษมราษฎร์ประชาชื่น 950 ถ.ประชาชื่น แขวงวงศ์สว่าง_x000a__x000a_บางซื่อ/ Bang Sueกรุงเทพมหานคร/ Bangkok_x000a_10800"/>
    <s v="10800"/>
    <s v="660848305143"/>
    <s v="06/01/2025 17:24"/>
    <s v="-"/>
    <s v="Kerry_dropoff"/>
    <s v="Lazada"/>
    <s v="lazada"/>
    <s v=""/>
    <s v="LEXDO0124097469"/>
    <s v="06/01/2025 17:24"/>
  </r>
  <r>
    <x v="0"/>
    <x v="0"/>
    <n v="100"/>
    <n v="1"/>
    <n v="0"/>
    <s v="EQN16"/>
    <n v="200"/>
    <n v="0"/>
    <s v="ร้านที่4"/>
    <s v="น***าววัลภา จ***ค์ไว"/>
    <s v="อ่างทอง"/>
    <s v="-"/>
    <s v=""/>
    <s v="06/01/2025 17:24"/>
    <s v="-"/>
    <s v="Flash Express Thailand"/>
    <s v="Tiktok"/>
    <s v="tiktok"/>
    <s v=""/>
    <s v="THT06021E6BTQ6Z"/>
    <s v="06/01/2025 17:24"/>
  </r>
  <r>
    <x v="4"/>
    <x v="4"/>
    <n v="100"/>
    <n v="1"/>
    <n v="0"/>
    <s v="EQN16"/>
    <n v="200"/>
    <n v="0"/>
    <s v="ร้านที่4"/>
    <s v="น***าววัลภา จ***ค์ไว"/>
    <s v="อ่างทอง"/>
    <s v="-"/>
    <s v=""/>
    <s v="06/01/2025 17:24"/>
    <s v="-"/>
    <s v="Flash Express Thailand"/>
    <s v="Tiktok"/>
    <s v="tiktok"/>
    <s v=""/>
    <s v="THT06021E6BTQ6Z"/>
    <s v="06/01/2025 17:24"/>
  </r>
  <r>
    <x v="0"/>
    <x v="0"/>
    <n v="100"/>
    <n v="1"/>
    <n v="0"/>
    <s v="EQN15"/>
    <n v="106"/>
    <n v="6"/>
    <s v="ร้านที่1"/>
    <s v="อ***ภาบุญสร้างสม"/>
    <s v="สงขลา"/>
    <s v="-"/>
    <s v=""/>
    <s v="06/01/2025 17:23"/>
    <s v="-"/>
    <s v="J&amp;T COD"/>
    <s v="Tiktok"/>
    <s v="จ่ายทีหลัง / COD"/>
    <s v=""/>
    <s v="754300907640"/>
    <s v="06/01/2025 17:23"/>
  </r>
  <r>
    <x v="4"/>
    <x v="4"/>
    <n v="100"/>
    <n v="2"/>
    <n v="0"/>
    <s v="EQN14"/>
    <n v="229"/>
    <n v="29"/>
    <s v="ร้านที่1"/>
    <s v="พ***็ญ เ***ทอง"/>
    <s v="พระนครศรีอยุธยา"/>
    <s v="-"/>
    <s v=""/>
    <s v="06/01/2025 17:22"/>
    <s v="-"/>
    <s v="J&amp;T COD"/>
    <s v="Tiktok"/>
    <s v="จ่ายทีหลัง / COD"/>
    <s v=""/>
    <s v="754370797552"/>
    <s v="06/01/2025 17:22"/>
  </r>
  <r>
    <x v="0"/>
    <x v="0"/>
    <n v="100"/>
    <n v="3"/>
    <n v="0"/>
    <s v="EQN13"/>
    <n v="300"/>
    <n v="0"/>
    <s v="ร้านที่4"/>
    <s v="A***a P**"/>
    <s v="ศรีสะเกษ"/>
    <s v="-"/>
    <s v=""/>
    <s v="06/01/2025 17:21"/>
    <s v="-"/>
    <s v="Flash Express Thailand COD"/>
    <s v="Tiktok"/>
    <s v="จ่ายทีหลัง / COD"/>
    <s v=""/>
    <s v="THT30011E698Z3Z"/>
    <s v="06/01/2025 17:21"/>
  </r>
  <r>
    <x v="5"/>
    <x v="5"/>
    <n v="350"/>
    <n v="1"/>
    <n v="0"/>
    <s v="EQN12"/>
    <n v="350"/>
    <n v="0"/>
    <s v="ร้านที่4"/>
    <s v="น***ัศมี อ***วรทัต"/>
    <s v="นครราชสีมา"/>
    <s v="-"/>
    <s v=""/>
    <s v="06/01/2025 17:17"/>
    <s v="-"/>
    <s v="Flash Express Thailand COD"/>
    <s v="Tiktok"/>
    <s v="จ่ายทีหลัง / COD"/>
    <s v=""/>
    <s v="THT27141E6E527Z"/>
    <s v="06/01/2025 17:18"/>
  </r>
  <r>
    <x v="0"/>
    <x v="0"/>
    <n v="100"/>
    <n v="1"/>
    <n v="0"/>
    <s v="EQN11"/>
    <n v="106"/>
    <n v="6"/>
    <s v="ร้านที่2"/>
    <s v="ท***้วน  เ***กระโทก"/>
    <s v="นครราชสีมา"/>
    <s v="-"/>
    <s v=""/>
    <s v="06/01/2025 17:11"/>
    <s v="-"/>
    <s v="J&amp;T COD"/>
    <s v="Tiktok"/>
    <s v="จ่ายทีหลัง / COD"/>
    <s v=""/>
    <s v="754360215615"/>
    <s v="06/01/2025 17:11"/>
  </r>
  <r>
    <x v="43"/>
    <x v="64"/>
    <n v="1120"/>
    <n v="1"/>
    <n v="0"/>
    <s v="EQN10"/>
    <n v="1155"/>
    <n v="35"/>
    <s v="ร้านที่1"/>
    <s v="ส******ุ"/>
    <s v="******พุทธรักษา ต.แพรกษา ตำบลแพรกษา อำเภอเมืองสมุทรปราการ จังหวัดสมุทรปราการ 10280"/>
    <s v="10280"/>
    <s v="49"/>
    <s v="06/01/2025 17:36"/>
    <s v="-"/>
    <s v="Flash Express"/>
    <s v="Shopee"/>
    <s v="shopee"/>
    <s v=""/>
    <s v="TH02016P7X0D3F0"/>
    <s v="06/01/2025 17:06"/>
  </r>
  <r>
    <x v="19"/>
    <x v="34"/>
    <n v="142.31"/>
    <n v="1"/>
    <n v="0"/>
    <s v="EQN3"/>
    <n v="147.31"/>
    <n v="5"/>
    <s v="ร้านที่9"/>
    <s v="พิทักษ์พงษ์ รัตนสินธุ์"/>
    <s v="8/30 ซอยสวนสยาม 9 แยก 3 แขวงคันนายาว_x000a__x000a_คันนายาว/ Khan Na Yaoกรุงเทพมหานคร/ Bangkok_x000a_10230"/>
    <s v="10230"/>
    <s v="660942414691"/>
    <s v="06/01/2025 17:01"/>
    <s v="-"/>
    <s v="Kerry_dropoff"/>
    <s v="Lazada"/>
    <s v="lazada"/>
    <s v=""/>
    <s v="LEXDO0124103060"/>
    <s v="06/01/2025 17:01"/>
  </r>
  <r>
    <x v="4"/>
    <x v="4"/>
    <n v="100"/>
    <n v="2"/>
    <n v="0"/>
    <s v="EQN1"/>
    <n v="300"/>
    <n v="0"/>
    <s v="ร้านที่2"/>
    <s v="ม***รา ภ***นิตย์"/>
    <s v="Bangkok"/>
    <s v="-"/>
    <s v=""/>
    <s v="06/01/2025 16:58"/>
    <s v="-"/>
    <s v="J&amp;T Express"/>
    <s v="Tiktok"/>
    <s v="tiktok"/>
    <s v=""/>
    <s v="754337304641"/>
    <s v="06/01/2025 16:58"/>
  </r>
  <r>
    <x v="9"/>
    <x v="4"/>
    <n v="100"/>
    <n v="1"/>
    <n v="0"/>
    <s v="EQN1"/>
    <n v="300"/>
    <n v="0"/>
    <s v="ร้านที่2"/>
    <s v="ม***รา ภ***นิตย์"/>
    <s v="Bangkok"/>
    <s v="-"/>
    <s v=""/>
    <s v="06/01/2025 16:58"/>
    <s v="-"/>
    <s v="J&amp;T Express"/>
    <s v="Tiktok"/>
    <s v="tiktok"/>
    <s v=""/>
    <s v="754337304641"/>
    <s v="06/01/2025 16:58"/>
  </r>
  <r>
    <x v="9"/>
    <x v="4"/>
    <n v="100"/>
    <n v="2"/>
    <n v="0"/>
    <s v="EQM99"/>
    <n v="400"/>
    <n v="0"/>
    <s v="ร้านที่4"/>
    <s v="น***าวจารุวรรณ  ท***งหาญ"/>
    <s v="สมุทรสาคร"/>
    <s v="-"/>
    <s v=""/>
    <s v="06/01/2025 16:57"/>
    <s v="-"/>
    <s v="Flash Express Thailand COD"/>
    <s v="Tiktok"/>
    <s v="จ่ายทีหลัง / COD"/>
    <s v=""/>
    <s v="THT16011E75EN0Z"/>
    <s v="06/01/2025 16:57"/>
  </r>
  <r>
    <x v="4"/>
    <x v="4"/>
    <n v="100"/>
    <n v="2"/>
    <n v="0"/>
    <s v="EQM99"/>
    <n v="400"/>
    <n v="0"/>
    <s v="ร้านที่4"/>
    <s v="น***าวจารุวรรณ  ท***งหาญ"/>
    <s v="สมุทรสาคร"/>
    <s v="-"/>
    <s v=""/>
    <s v="06/01/2025 16:57"/>
    <s v="-"/>
    <s v="Flash Express Thailand COD"/>
    <s v="Tiktok"/>
    <s v="จ่ายทีหลัง / COD"/>
    <s v=""/>
    <s v="THT16011E75EN0Z"/>
    <s v="06/01/2025 16:57"/>
  </r>
  <r>
    <x v="5"/>
    <x v="5"/>
    <n v="330"/>
    <n v="1"/>
    <n v="0"/>
    <s v="EQM98"/>
    <n v="330"/>
    <n v="0"/>
    <s v="ร้านที่1"/>
    <s v="ส***ชาณัชช์ พ***สุกใส"/>
    <s v="สุพรรณบุรี"/>
    <s v="-"/>
    <s v=""/>
    <s v="06/01/2025 16:56"/>
    <s v="-"/>
    <s v="J&amp;T Express"/>
    <s v="Tiktok"/>
    <s v="tiktok"/>
    <s v=""/>
    <s v="754360085706"/>
    <s v="06/01/2025 16:56"/>
  </r>
  <r>
    <x v="4"/>
    <x v="4"/>
    <n v="100"/>
    <n v="1"/>
    <n v="0"/>
    <s v="EQM97"/>
    <n v="450"/>
    <n v="0"/>
    <s v="ร้านที่4"/>
    <s v="แ***"/>
    <s v="กาญจนบุรี"/>
    <s v="-"/>
    <s v=""/>
    <s v="06/01/2025 16:55"/>
    <s v="-"/>
    <s v="Flash Express Thailand COD"/>
    <s v="Tiktok"/>
    <s v="จ่ายทีหลัง / COD"/>
    <s v=""/>
    <s v="THT13081E6PS41Z"/>
    <s v="06/01/2025 16:56"/>
  </r>
  <r>
    <x v="5"/>
    <x v="5"/>
    <n v="350"/>
    <n v="1"/>
    <n v="0"/>
    <s v="EQM97"/>
    <n v="450"/>
    <n v="0"/>
    <s v="ร้านที่4"/>
    <s v="แ***"/>
    <s v="กาญจนบุรี"/>
    <s v="-"/>
    <s v=""/>
    <s v="06/01/2025 16:55"/>
    <s v="-"/>
    <s v="Flash Express Thailand COD"/>
    <s v="Tiktok"/>
    <s v="จ่ายทีหลัง / COD"/>
    <s v=""/>
    <s v="THT13081E6PS41Z"/>
    <s v="06/01/2025 16:56"/>
  </r>
  <r>
    <x v="13"/>
    <x v="30"/>
    <n v="112.35"/>
    <n v="1"/>
    <n v="0"/>
    <s v="EQM95"/>
    <n v="117.35"/>
    <n v="5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07/01/2025 16:44"/>
    <s v="-"/>
    <s v="Kerry_dropoff"/>
    <s v="Lazada"/>
    <s v="lazada"/>
    <s v=""/>
    <s v="LEXDO0124206087"/>
    <s v="06/01/2025 16:44"/>
  </r>
  <r>
    <x v="2"/>
    <x v="2"/>
    <n v="84.16"/>
    <n v="1"/>
    <n v="0"/>
    <s v="EQM92"/>
    <n v="89.16"/>
    <n v="5"/>
    <s v="ร้านที่1"/>
    <s v="นัทธพงศ์"/>
    <s v="153/537 ประชาอุทิศ89/1 · ทุ่งครุ/ Thung Khru_x000a__x000a_ทุ่งครุ/ Thung Khruกรุงเทพมหานคร/ Bangkok_x000a_10140"/>
    <s v="10140"/>
    <s v="660811432265"/>
    <s v="06/01/2025 16:37"/>
    <s v="-"/>
    <s v="Kerry_dropoff"/>
    <s v="Lazada"/>
    <s v="lazada"/>
    <s v=""/>
    <s v="LEXPU0442857008"/>
    <s v="06/01/2025 16:36"/>
  </r>
  <r>
    <x v="0"/>
    <x v="0"/>
    <n v="100"/>
    <n v="1"/>
    <n v="0"/>
    <s v="EQM91"/>
    <n v="106"/>
    <n v="6"/>
    <s v="ร้านที่1"/>
    <s v="ก*** ถ***ระน้อย"/>
    <s v="นครราชสีมา"/>
    <s v="-"/>
    <s v=""/>
    <s v="06/01/2025 16:35"/>
    <s v="-"/>
    <s v="J&amp;T COD"/>
    <s v="Tiktok"/>
    <s v="จ่ายทีหลัง / COD"/>
    <s v=""/>
    <s v="754396416642"/>
    <s v="06/01/2025 16:35"/>
  </r>
  <r>
    <x v="22"/>
    <x v="65"/>
    <n v="82.63"/>
    <n v="1"/>
    <n v="0"/>
    <s v="EQM89"/>
    <n v="87.63"/>
    <n v="5"/>
    <s v="ร้านที่1"/>
    <s v="จิรัชญา อบอุ่น"/>
    <s v="41 หมู่ 2 (ปั้มดาวข้างวัดนิคม) · เขาใหญ่/ Khao Yai_x000a__x000a_ชะอำ/ Cha-amเพชรบุรี/ Phetchaburi_x000a_76120"/>
    <s v="76120"/>
    <s v="660929360036"/>
    <s v="06/01/2025 16:34"/>
    <s v="-"/>
    <s v="Kerry_dropoff"/>
    <s v="Lazada"/>
    <s v="lazada"/>
    <s v=""/>
    <s v="LEXPU0442854189"/>
    <s v="06/01/2025 16:33"/>
  </r>
  <r>
    <x v="10"/>
    <x v="10"/>
    <n v="200"/>
    <n v="1"/>
    <n v="0"/>
    <s v="EQM88"/>
    <n v="200"/>
    <n v="0"/>
    <s v="ร้านที่4"/>
    <s v="ก***นา ช***งศ์จุ้ย"/>
    <s v="ราชบุรี"/>
    <s v="-"/>
    <s v=""/>
    <s v="06/01/2025 16:31"/>
    <s v="-"/>
    <s v="Flash Express Thailand COD"/>
    <s v="Tiktok"/>
    <s v="จ่ายทีหลัง / COD"/>
    <s v=""/>
    <s v="THT12091E6ZH99Z"/>
    <s v="06/01/2025 16:32"/>
  </r>
  <r>
    <x v="10"/>
    <x v="10"/>
    <n v="200"/>
    <n v="2"/>
    <n v="0"/>
    <s v="EQM87"/>
    <n v="400"/>
    <n v="0"/>
    <s v="ร้านที่2"/>
    <s v="จ***า บ***าศักดิ์"/>
    <s v="พังงา"/>
    <s v="-"/>
    <s v=""/>
    <s v="06/01/2025 16:31"/>
    <s v="-"/>
    <s v="J&amp;T COD"/>
    <s v="Tiktok"/>
    <s v="จ่ายทีหลัง / COD"/>
    <s v=""/>
    <s v="754386007690"/>
    <s v="06/01/2025 16:32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9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19"/>
    <x v="34"/>
    <n v="90.65"/>
    <n v="1"/>
    <n v="0"/>
    <s v="EQM86"/>
    <n v="925.5"/>
    <n v="19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6/01/2025 16:29"/>
    <s v="-"/>
    <s v="Kerry_dropoff"/>
    <s v="Lazada"/>
    <s v="lazada"/>
    <s v=""/>
    <s v="TH61046P1F2M8E"/>
    <s v="06/01/2025 16:28"/>
  </r>
  <r>
    <x v="0"/>
    <x v="0"/>
    <n v="100"/>
    <n v="3"/>
    <n v="0"/>
    <s v="EQM84"/>
    <n v="300"/>
    <n v="0"/>
    <s v="ร้านที่2"/>
    <s v="บ***อน ส***ิสาย"/>
    <s v="เลย"/>
    <s v="-"/>
    <s v=""/>
    <s v="06/01/2025 16:28"/>
    <s v="-"/>
    <s v="J&amp;T COD"/>
    <s v="Tiktok"/>
    <s v="จ่ายทีหลัง / COD"/>
    <s v=""/>
    <s v="754387385533"/>
    <s v="06/01/2025 16:28"/>
  </r>
  <r>
    <x v="0"/>
    <x v="0"/>
    <n v="100"/>
    <n v="1"/>
    <n v="0"/>
    <s v="EQM81"/>
    <n v="106"/>
    <n v="6"/>
    <s v="ร้านที่2"/>
    <s v="อ***รณ ช***ี"/>
    <s v="นครศรีธรรมราช"/>
    <s v="-"/>
    <s v=""/>
    <s v="06/01/2025 16:18"/>
    <s v="-"/>
    <s v="J&amp;T COD"/>
    <s v="Tiktok"/>
    <s v="จ่ายทีหลัง / COD"/>
    <s v=""/>
    <s v="754326906664"/>
    <s v="06/01/2025 16:18"/>
  </r>
  <r>
    <x v="0"/>
    <x v="0"/>
    <n v="100"/>
    <n v="1"/>
    <n v="0"/>
    <s v="EQM80"/>
    <n v="106"/>
    <n v="6"/>
    <s v="ร้านที่2"/>
    <s v="ศ***พ ส***อม"/>
    <s v="กาญจนบุรี"/>
    <s v="-"/>
    <s v=""/>
    <s v="06/01/2025 16:16"/>
    <s v="-"/>
    <s v="J&amp;T COD"/>
    <s v="Tiktok"/>
    <s v="จ่ายทีหลัง / COD"/>
    <s v=""/>
    <s v="754313704653"/>
    <s v="06/01/2025 16:16"/>
  </r>
  <r>
    <x v="13"/>
    <x v="30"/>
    <n v="97.26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5"/>
  </r>
  <r>
    <x v="13"/>
    <x v="30"/>
    <n v="97.25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5"/>
  </r>
  <r>
    <x v="13"/>
    <x v="30"/>
    <n v="97.25"/>
    <n v="1"/>
    <n v="0"/>
    <s v="EQM79"/>
    <n v="330.76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6/01/2025 16:14"/>
    <s v="-"/>
    <s v="Kerry_dropoff"/>
    <s v="Lazada"/>
    <s v="lazada"/>
    <s v=""/>
    <s v="LEXDO0124097804"/>
    <s v="06/01/2025 16:14"/>
  </r>
  <r>
    <x v="9"/>
    <x v="4"/>
    <n v="100"/>
    <n v="2"/>
    <n v="0"/>
    <s v="EQM78"/>
    <n v="200"/>
    <n v="0"/>
    <s v="ร้านที่1"/>
    <s v="น***ารีย์ ห***ทศ"/>
    <s v="อุทัยธานี"/>
    <s v="-"/>
    <s v=""/>
    <s v="06/01/2025 16:11"/>
    <s v="-"/>
    <s v="J&amp;T Express"/>
    <s v="Tiktok"/>
    <s v="tiktok"/>
    <s v=""/>
    <s v="754326382541"/>
    <s v="06/01/2025 16:11"/>
  </r>
  <r>
    <x v="10"/>
    <x v="10"/>
    <n v="200"/>
    <n v="1"/>
    <n v="0"/>
    <s v="EQM77"/>
    <n v="200"/>
    <n v="0"/>
    <s v="ร้านที่1"/>
    <s v="ส***กดิ์ ช***าญ"/>
    <s v="สงขลา"/>
    <s v="-"/>
    <s v=""/>
    <s v="06/01/2025 16:08"/>
    <s v="-"/>
    <s v="J&amp;T Express"/>
    <s v="Tiktok"/>
    <s v="tiktok"/>
    <s v=""/>
    <s v="754302502656"/>
    <s v="06/01/2025 16:08"/>
  </r>
  <r>
    <x v="13"/>
    <x v="30"/>
    <n v="142.31"/>
    <n v="1"/>
    <n v="0"/>
    <s v="EQM75"/>
    <n v="147.31"/>
    <n v="5"/>
    <s v="ร้านที่9"/>
    <s v="สิริวรรณะพร สร้อยทอง"/>
    <s v="ห้างโลตัสคลอง 7 ร้านเสื้อหน้ายาโยอิ 41/2 หมู่2 · ลำผักกูด/ Lam Phak Kut_x000a__x000a_ธัญบุรี/ Thanyaburiปทุมธานี/ Pathum Thani_x000a_12110"/>
    <s v="12110"/>
    <s v="660868999505"/>
    <s v="06/01/2025 16:03"/>
    <s v="-"/>
    <s v="Kerry_dropoff"/>
    <s v="Lazada"/>
    <s v="lazada"/>
    <s v=""/>
    <s v="LEXDO0124102666"/>
    <s v="06/01/2025 16:03"/>
  </r>
  <r>
    <x v="44"/>
    <x v="18"/>
    <n v="280.85000000000002"/>
    <n v="1"/>
    <n v="0"/>
    <s v="EQM74"/>
    <n v="285.85000000000002"/>
    <n v="5"/>
    <s v="ร้านที่1"/>
    <s v="นรบดีอู่ซ่อมรถ"/>
    <s v="46/8ม.4ซอยอ่อนนุช65แยก7แขวงประเวศ · ประเวศ/ Prawet_x000a__x000a_ประเวศ/ Prawetกรุงเทพมหานคร/ Bangkok_x000a_10250"/>
    <s v="10250"/>
    <s v="660926810355"/>
    <s v="06/01/2025 16:02"/>
    <s v="-"/>
    <s v="Kerry_dropoff"/>
    <s v="Lazada"/>
    <s v="lazada"/>
    <s v=""/>
    <s v="LEXPU0442876340"/>
    <s v="06/01/2025 16:02"/>
  </r>
  <r>
    <x v="0"/>
    <x v="0"/>
    <n v="100"/>
    <n v="2"/>
    <n v="0"/>
    <s v="EQM73"/>
    <n v="550"/>
    <n v="0"/>
    <s v="ร้านที่4"/>
    <s v="ข***่อง"/>
    <s v="เพชรบุรี"/>
    <s v="-"/>
    <s v=""/>
    <s v="06/01/2025 16:01"/>
    <s v="-"/>
    <s v="Flash Express Thailand COD"/>
    <s v="Tiktok"/>
    <s v="จ่ายทีหลัง / COD"/>
    <s v=""/>
    <s v="THT18041E6DCZ5Z"/>
    <s v="06/01/2025 16:01"/>
  </r>
  <r>
    <x v="5"/>
    <x v="5"/>
    <n v="350"/>
    <n v="1"/>
    <n v="0"/>
    <s v="EQM73"/>
    <n v="550"/>
    <n v="0"/>
    <s v="ร้านที่4"/>
    <s v="ข***่อง"/>
    <s v="เพชรบุรี"/>
    <s v="-"/>
    <s v=""/>
    <s v="06/01/2025 16:01"/>
    <s v="-"/>
    <s v="Flash Express Thailand COD"/>
    <s v="Tiktok"/>
    <s v="จ่ายทีหลัง / COD"/>
    <s v=""/>
    <s v="THT18041E6DCZ5Z"/>
    <s v="06/01/2025 16:01"/>
  </r>
  <r>
    <x v="10"/>
    <x v="10"/>
    <n v="200"/>
    <n v="1"/>
    <n v="0"/>
    <s v="EQM72"/>
    <n v="200"/>
    <n v="0"/>
    <s v="ร้านที่2"/>
    <s v="ส***ัว เ***นเงิน"/>
    <s v="นครสวรรค์"/>
    <s v="-"/>
    <s v=""/>
    <s v="06/01/2025 16:01"/>
    <s v="-"/>
    <s v="J&amp;T COD"/>
    <s v="Tiktok"/>
    <s v="จ่ายทีหลัง / COD"/>
    <s v=""/>
    <s v="754320700652"/>
    <s v="06/01/2025 16:01"/>
  </r>
  <r>
    <x v="5"/>
    <x v="5"/>
    <n v="350"/>
    <n v="2"/>
    <n v="0"/>
    <s v="EQM71"/>
    <n v="700"/>
    <n v="0"/>
    <s v="ร้านที่4"/>
    <s v="อ***ดี ห***ญเรืองโชค"/>
    <s v="สิงห์บุรี"/>
    <s v="-"/>
    <s v=""/>
    <s v="06/01/2025 15:58"/>
    <s v="-"/>
    <s v="Flash Express Thailand COD"/>
    <s v="Tiktok"/>
    <s v="จ่ายทีหลัง / COD"/>
    <s v=""/>
    <s v="THT08061E6QER6Z"/>
    <s v="06/01/2025 15:58"/>
  </r>
  <r>
    <x v="0"/>
    <x v="0"/>
    <n v="100"/>
    <n v="1"/>
    <n v="0"/>
    <s v="EQM70"/>
    <n v="106"/>
    <n v="6"/>
    <s v="ร้านที่4"/>
    <s v="ส***พร. บ***ัณชาติ"/>
    <s v="ปทุมธานี"/>
    <s v="-"/>
    <s v=""/>
    <s v="06/01/2025 15:57"/>
    <s v="-"/>
    <s v="Flash Express Thailand COD"/>
    <s v="Tiktok"/>
    <s v="จ่ายทีหลัง / COD"/>
    <s v=""/>
    <s v="THT04031E69F19Z"/>
    <s v="06/01/2025 15:58"/>
  </r>
  <r>
    <x v="0"/>
    <x v="0"/>
    <n v="100"/>
    <n v="1"/>
    <n v="0"/>
    <s v="EQM69"/>
    <n v="100"/>
    <n v="0"/>
    <s v="ร้านที่4"/>
    <s v="อ***นท์ โ***์ศรี"/>
    <s v="สระบุรี"/>
    <s v="-"/>
    <s v=""/>
    <s v="06/01/2025 15:54"/>
    <s v="-"/>
    <s v="Flash Express Thailand COD"/>
    <s v="Tiktok"/>
    <s v="จ่ายทีหลัง / COD"/>
    <s v=""/>
    <s v="THT10131E6KJ80Z"/>
    <s v="06/01/2025 15:54"/>
  </r>
  <r>
    <x v="24"/>
    <x v="26"/>
    <n v="447.27"/>
    <n v="1"/>
    <n v="0"/>
    <s v="EQM68"/>
    <n v="461.27"/>
    <n v="14"/>
    <s v="ร้านที่9"/>
    <s v="พรสวรรค์  ตุ้มกุล"/>
    <s v="285 ถ เจริญรัฐ  ต กุดป่อง อ เมือง  จ เลย 42000_x000a__x000a_เมืองเลย/ Mueang Loeiเลย/ Loei_x000a_42000"/>
    <s v="42000"/>
    <s v="660864434049"/>
    <s v="06/01/2025 15:44"/>
    <s v="-"/>
    <s v="Kerry_dropoff"/>
    <s v="Lazada"/>
    <s v="lazada"/>
    <s v=""/>
    <s v="LEXDO0124082628"/>
    <s v="06/01/2025 15:44"/>
  </r>
  <r>
    <x v="10"/>
    <x v="10"/>
    <n v="200"/>
    <n v="1"/>
    <n v="0"/>
    <s v="EQM67"/>
    <n v="200"/>
    <n v="0"/>
    <s v="ร้านที่2"/>
    <s v="น** ค***"/>
    <s v="เลย"/>
    <s v="-"/>
    <s v=""/>
    <s v="06/01/2025 15:38"/>
    <s v="-"/>
    <s v="J&amp;T COD"/>
    <s v="Tiktok"/>
    <s v="จ่ายทีหลัง / COD"/>
    <s v=""/>
    <s v="754308503642"/>
    <s v="06/01/2025 15:38"/>
  </r>
  <r>
    <x v="4"/>
    <x v="4"/>
    <n v="100"/>
    <n v="1"/>
    <n v="0"/>
    <s v="EQM66"/>
    <n v="106"/>
    <n v="6"/>
    <s v="ร้านที่2"/>
    <s v="ส***ร ส***รี"/>
    <s v="นนทบุรี"/>
    <s v="-"/>
    <s v=""/>
    <s v="06/01/2025 15:36"/>
    <s v="-"/>
    <s v="J&amp;T COD"/>
    <s v="Tiktok"/>
    <s v="จ่ายทีหลัง / COD"/>
    <s v=""/>
    <s v="754300091521"/>
    <s v="06/01/2025 15:36"/>
  </r>
  <r>
    <x v="10"/>
    <x v="10"/>
    <n v="200"/>
    <n v="1"/>
    <n v="0"/>
    <s v="EQM65"/>
    <n v="200"/>
    <n v="0"/>
    <s v="ร้านที่4"/>
    <s v="อ***ย์หลักสอง"/>
    <s v="สมุทรสาคร"/>
    <s v="-"/>
    <s v=""/>
    <s v="06/01/2025 15:36"/>
    <s v="-"/>
    <s v="Flash Express Thailand COD"/>
    <s v="Tiktok"/>
    <s v="จ่ายทีหลัง / COD"/>
    <s v=""/>
    <s v="THT16031E6ZEV5Z"/>
    <s v="06/01/2025 15:36"/>
  </r>
  <r>
    <x v="4"/>
    <x v="4"/>
    <n v="100"/>
    <n v="1"/>
    <n v="0"/>
    <s v="EQM64"/>
    <n v="106"/>
    <n v="6"/>
    <s v="ร้านที่1"/>
    <s v="ไ***น อ***งคลทอง"/>
    <s v="ราชบุรี"/>
    <s v="-"/>
    <s v=""/>
    <s v="06/01/2025 15:34"/>
    <s v="-"/>
    <s v="J&amp;T COD"/>
    <s v="Tiktok"/>
    <s v="จ่ายทีหลัง / COD"/>
    <s v=""/>
    <s v="754332491522"/>
    <s v="06/01/2025 15:34"/>
  </r>
  <r>
    <x v="0"/>
    <x v="0"/>
    <n v="100"/>
    <n v="1"/>
    <n v="0"/>
    <s v="EQM62"/>
    <n v="106"/>
    <n v="6"/>
    <s v="ร้านที่1"/>
    <s v="ร*** ม***แย้ม"/>
    <s v="สมุทรปราการ"/>
    <s v="-"/>
    <s v=""/>
    <s v="06/01/2025 15:25"/>
    <s v="-"/>
    <s v="J&amp;T COD"/>
    <s v="Tiktok"/>
    <s v="จ่ายทีหลัง / COD"/>
    <s v=""/>
    <s v="754323619641"/>
    <s v="06/01/2025 15:25"/>
  </r>
  <r>
    <x v="10"/>
    <x v="10"/>
    <n v="200"/>
    <n v="1"/>
    <n v="0"/>
    <s v="EQM61"/>
    <n v="200"/>
    <n v="0"/>
    <s v="ร้านที่1"/>
    <s v="ก**"/>
    <s v="ประจวบคีรีขันธ์"/>
    <s v="-"/>
    <s v=""/>
    <s v="06/01/2025 15:22"/>
    <s v="-"/>
    <s v="J&amp;T COD"/>
    <s v="Tiktok"/>
    <s v="จ่ายทีหลัง / COD"/>
    <s v=""/>
    <s v="754320419635"/>
    <s v="06/01/2025 15:22"/>
  </r>
  <r>
    <x v="10"/>
    <x v="10"/>
    <n v="200"/>
    <n v="1"/>
    <n v="0"/>
    <s v="EQM60"/>
    <n v="200"/>
    <n v="0"/>
    <s v="ร้านที่1"/>
    <s v="ช***ต พ***ประสาทสุข"/>
    <s v="กรุงเทพฯ"/>
    <s v="-"/>
    <s v=""/>
    <s v="06/01/2025 15:19"/>
    <s v="-"/>
    <s v="J&amp;T Express"/>
    <s v="Tiktok"/>
    <s v="tiktok"/>
    <s v=""/>
    <s v="754391619634"/>
    <s v="06/01/2025 15:19"/>
  </r>
  <r>
    <x v="0"/>
    <x v="0"/>
    <n v="100"/>
    <n v="1"/>
    <n v="0"/>
    <s v="EQM59"/>
    <n v="145"/>
    <n v="45"/>
    <s v="ร้านที่1"/>
    <s v="ว***ณี ม***วัลย์"/>
    <s v="พังงา"/>
    <s v="-"/>
    <s v=""/>
    <s v="06/01/2025 15:15"/>
    <s v="-"/>
    <s v="J&amp;T COD"/>
    <s v="Tiktok"/>
    <s v="จ่ายทีหลัง / COD"/>
    <s v=""/>
    <s v="754333501670"/>
    <s v="06/01/2025 15:15"/>
  </r>
  <r>
    <x v="3"/>
    <x v="3"/>
    <n v="130"/>
    <n v="1"/>
    <n v="0"/>
    <s v="EQM58"/>
    <n v="256"/>
    <n v="41"/>
    <s v="ร้านที่2"/>
    <s v="ท******ี"/>
    <s v="******ำบลเตาปูน อำเภอโพธาราม จังหวัดราชบุรี 70120"/>
    <s v="70120"/>
    <s v="62"/>
    <s v="06/01/2025 15:36"/>
    <s v="-"/>
    <s v="SPX Express"/>
    <s v="Shopee"/>
    <s v="shopee"/>
    <s v=""/>
    <s v="TH252491967185P"/>
    <s v="06/01/2025 15:06"/>
  </r>
  <r>
    <x v="1"/>
    <x v="1"/>
    <n v="200"/>
    <n v="1"/>
    <n v="0"/>
    <s v="EQM57"/>
    <n v="200"/>
    <n v="0"/>
    <s v="ร้านที่1"/>
    <s v="ถ***ย์ ต***ุขี"/>
    <s v="อ่างทอง"/>
    <s v="-"/>
    <s v=""/>
    <s v="06/01/2025 15:04"/>
    <s v="-"/>
    <s v="J&amp;T COD"/>
    <s v="Tiktok"/>
    <s v="จ่ายทีหลัง / COD"/>
    <s v=""/>
    <s v="754309570744"/>
    <s v="06/01/2025 15:04"/>
  </r>
  <r>
    <x v="24"/>
    <x v="26"/>
    <n v="458.02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24"/>
    <x v="26"/>
    <n v="458.02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24"/>
    <x v="26"/>
    <n v="458.03"/>
    <n v="1"/>
    <n v="0"/>
    <s v="EQM54"/>
    <n v="1438.07"/>
    <n v="6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6/01/2025 14:57"/>
    <s v="-"/>
    <s v="Kerry_dropoff"/>
    <s v="Lazada"/>
    <s v="lazada"/>
    <s v=""/>
    <s v="LEXDO0124077115"/>
    <s v="06/01/2025 14:57"/>
  </r>
  <r>
    <x v="1"/>
    <x v="1"/>
    <n v="200"/>
    <n v="3"/>
    <n v="0"/>
    <s v="EQM53"/>
    <n v="664"/>
    <n v="64"/>
    <s v="ร้านที่4"/>
    <s v="ศ***ขวัญ   ส***ล้า"/>
    <s v="ระยอง"/>
    <s v="-"/>
    <s v=""/>
    <s v="06/01/2025 14:54"/>
    <s v="-"/>
    <s v="Flash Express Thailand COD"/>
    <s v="Tiktok"/>
    <s v="จ่ายทีหลัง / COD"/>
    <s v=""/>
    <s v="THT21061E75CJ0Z"/>
    <s v="06/01/2025 14:55"/>
  </r>
  <r>
    <x v="10"/>
    <x v="10"/>
    <n v="200"/>
    <n v="1"/>
    <n v="0"/>
    <s v="EQM51"/>
    <n v="200"/>
    <n v="0"/>
    <s v="ร้านที่4"/>
    <s v="ภ***าภรณ์ น***ันธ์"/>
    <s v="ร้อยเอ็ด"/>
    <s v="-"/>
    <s v=""/>
    <s v="06/01/2025 14:54"/>
    <s v="-"/>
    <s v="Flash Express Thailand COD"/>
    <s v="Tiktok"/>
    <s v="จ่ายทีหลัง / COD"/>
    <s v=""/>
    <s v="THT42111E79VA4Z"/>
    <s v="06/01/2025 14:54"/>
  </r>
  <r>
    <x v="3"/>
    <x v="3"/>
    <n v="100"/>
    <n v="1"/>
    <n v="0"/>
    <s v="EQM50"/>
    <n v="200"/>
    <n v="0"/>
    <s v="ร้านที่4"/>
    <s v="ท***รรณ  ส***ชัยกิจ"/>
    <s v="ชลบุรี"/>
    <s v="-"/>
    <s v=""/>
    <s v="06/01/2025 14:53"/>
    <s v="-"/>
    <s v="Flash Express Thailand"/>
    <s v="Tiktok"/>
    <s v="tiktok"/>
    <s v=""/>
    <s v="THT20071E6HQG6Z"/>
    <s v="06/01/2025 14:53"/>
  </r>
  <r>
    <x v="9"/>
    <x v="4"/>
    <n v="100"/>
    <n v="1"/>
    <n v="0"/>
    <s v="EQM50"/>
    <n v="200"/>
    <n v="0"/>
    <s v="ร้านที่4"/>
    <s v="ท***รรณ  ส***ชัยกิจ"/>
    <s v="ชลบุรี"/>
    <s v="-"/>
    <s v=""/>
    <s v="06/01/2025 14:53"/>
    <s v="-"/>
    <s v="Flash Express Thailand"/>
    <s v="Tiktok"/>
    <s v="tiktok"/>
    <s v=""/>
    <s v="THT20071E6HQG6Z"/>
    <s v="06/01/2025 14:53"/>
  </r>
  <r>
    <x v="4"/>
    <x v="4"/>
    <n v="100"/>
    <n v="1"/>
    <n v="0"/>
    <s v="EQM49"/>
    <n v="200"/>
    <n v="0"/>
    <s v="ร้านที่4"/>
    <s v="ป***ัศมิ์  จ***ิศาวิทย์"/>
    <s v="ราชบุรี"/>
    <s v="-"/>
    <s v=""/>
    <s v="06/01/2025 14:54"/>
    <s v="-"/>
    <s v="Flash Express Thailand"/>
    <s v="Tiktok"/>
    <s v="tiktok"/>
    <s v=""/>
    <s v="THT12011E6SK09Z"/>
    <s v="06/01/2025 14:53"/>
  </r>
  <r>
    <x v="3"/>
    <x v="3"/>
    <n v="100"/>
    <n v="1"/>
    <n v="0"/>
    <s v="EQM49"/>
    <n v="200"/>
    <n v="0"/>
    <s v="ร้านที่4"/>
    <s v="ป***ัศมิ์  จ***ิศาวิทย์"/>
    <s v="ราชบุรี"/>
    <s v="-"/>
    <s v=""/>
    <s v="06/01/2025 14:54"/>
    <s v="-"/>
    <s v="Flash Express Thailand"/>
    <s v="Tiktok"/>
    <s v="tiktok"/>
    <s v=""/>
    <s v="THT12011E6SK09Z"/>
    <s v="06/01/2025 14:53"/>
  </r>
  <r>
    <x v="10"/>
    <x v="10"/>
    <n v="200"/>
    <n v="1"/>
    <n v="0"/>
    <s v="EQM48"/>
    <n v="200"/>
    <n v="0"/>
    <s v="ร้านที่4"/>
    <s v="ภ***าภรณ์ น***ันธ์"/>
    <s v="ร้อยเอ็ด"/>
    <s v="-"/>
    <s v=""/>
    <s v="06/01/2025 14:52"/>
    <s v="-"/>
    <s v="Flash Express Thailand COD"/>
    <s v="Tiktok"/>
    <s v="จ่ายทีหลัง / COD"/>
    <s v=""/>
    <s v="THT42111E6ZD61Z"/>
    <s v="06/01/2025 14:52"/>
  </r>
  <r>
    <x v="1"/>
    <x v="1"/>
    <n v="200"/>
    <n v="1"/>
    <n v="0"/>
    <s v="EQM47"/>
    <n v="200"/>
    <n v="0"/>
    <s v="ร้านที่2"/>
    <s v="ฉ** จ***ญ"/>
    <s v="สุรินทร์"/>
    <s v="-"/>
    <s v=""/>
    <s v="06/01/2025 14:50"/>
    <s v="-"/>
    <s v="J&amp;T COD"/>
    <s v="Tiktok"/>
    <s v="จ่ายทีหลัง / COD"/>
    <s v=""/>
    <s v="754361286722"/>
    <s v="06/01/2025 14:50"/>
  </r>
  <r>
    <x v="4"/>
    <x v="4"/>
    <n v="100"/>
    <n v="1"/>
    <n v="0"/>
    <s v="EQM46"/>
    <n v="200"/>
    <n v="0"/>
    <s v="ร้านที่4"/>
    <s v="ว***ี ป***เมธี"/>
    <s v="ราชบุรี"/>
    <s v="-"/>
    <s v=""/>
    <s v="06/01/2025 14:50"/>
    <s v="-"/>
    <s v="Flash Express Thailand"/>
    <s v="Tiktok"/>
    <s v="tiktok"/>
    <s v=""/>
    <s v="THT12031E6SMC5Z"/>
    <s v="06/01/2025 14:50"/>
  </r>
  <r>
    <x v="3"/>
    <x v="3"/>
    <n v="100"/>
    <n v="1"/>
    <n v="0"/>
    <s v="EQM46"/>
    <n v="200"/>
    <n v="0"/>
    <s v="ร้านที่4"/>
    <s v="ว***ี ป***เมธี"/>
    <s v="ราชบุรี"/>
    <s v="-"/>
    <s v=""/>
    <s v="06/01/2025 14:50"/>
    <s v="-"/>
    <s v="Flash Express Thailand"/>
    <s v="Tiktok"/>
    <s v="tiktok"/>
    <s v=""/>
    <s v="THT12031E6SMC5Z"/>
    <s v="06/01/2025 14:50"/>
  </r>
  <r>
    <x v="19"/>
    <x v="34"/>
    <n v="97.37"/>
    <n v="1"/>
    <n v="0"/>
    <s v="EQM45"/>
    <n v="199.74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6/01/2025 14:42"/>
    <s v="-"/>
    <s v="Kerry_dropoff"/>
    <s v="Lazada"/>
    <s v="lazada"/>
    <s v=""/>
    <s v="TH19046P1S8G0B"/>
    <s v="06/01/2025 14:42"/>
  </r>
  <r>
    <x v="19"/>
    <x v="34"/>
    <n v="97.37"/>
    <n v="1"/>
    <n v="0"/>
    <s v="EQM45"/>
    <n v="199.74"/>
    <n v="5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06/01/2025 14:42"/>
    <s v="-"/>
    <s v="Kerry_dropoff"/>
    <s v="Lazada"/>
    <s v="lazada"/>
    <s v=""/>
    <s v="TH19046P1S8G0B"/>
    <s v="06/01/2025 14:42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3"/>
    <x v="8"/>
    <n v="80.91"/>
    <n v="1"/>
    <n v="0"/>
    <s v="EQM44"/>
    <n v="302.45"/>
    <n v="24"/>
    <s v="ร้านที่6"/>
    <s v="สุนิสา ชุ่มจันทร์"/>
    <s v="88/11 หมู่ 10 · บ้านสิงห์/ Ban Sing_x000a__x000a_โพธาราม/ Photharamราชบุรี/ Ratchaburi_x000a_70120"/>
    <s v="70120"/>
    <s v="660963106547"/>
    <s v="06/01/2025 14:35"/>
    <s v="-"/>
    <s v="Kerry_dropoff"/>
    <s v="Lazada"/>
    <s v="lazada"/>
    <s v=""/>
    <s v="LEXPU0442875553"/>
    <s v="06/01/2025 14:35"/>
  </r>
  <r>
    <x v="0"/>
    <x v="0"/>
    <n v="100"/>
    <n v="1"/>
    <n v="0"/>
    <s v="EQM43"/>
    <n v="200"/>
    <n v="0"/>
    <s v="ร้านที่4"/>
    <s v="ก***นา​  ห***ปวงคำ"/>
    <s v="นครปฐม"/>
    <s v="-"/>
    <s v=""/>
    <s v="06/01/2025 14:33"/>
    <s v="-"/>
    <s v="Flash Express Thailand COD"/>
    <s v="Tiktok"/>
    <s v="จ่ายทีหลัง / COD"/>
    <s v=""/>
    <s v="THT15061E6BNX0Z"/>
    <s v="06/01/2025 14:34"/>
  </r>
  <r>
    <x v="9"/>
    <x v="4"/>
    <n v="100"/>
    <n v="1"/>
    <n v="0"/>
    <s v="EQM43"/>
    <n v="200"/>
    <n v="0"/>
    <s v="ร้านที่4"/>
    <s v="ก***นา​  ห***ปวงคำ"/>
    <s v="นครปฐม"/>
    <s v="-"/>
    <s v=""/>
    <s v="06/01/2025 14:33"/>
    <s v="-"/>
    <s v="Flash Express Thailand COD"/>
    <s v="Tiktok"/>
    <s v="จ่ายทีหลัง / COD"/>
    <s v=""/>
    <s v="THT15061E6BNX0Z"/>
    <s v="06/01/2025 14:34"/>
  </r>
  <r>
    <x v="10"/>
    <x v="10"/>
    <n v="200"/>
    <n v="1"/>
    <n v="0"/>
    <s v="EQM41"/>
    <n v="200"/>
    <n v="0"/>
    <s v="ร้านที่1"/>
    <s v="พ***า  ม***า"/>
    <s v="อุตรดิตถ์"/>
    <s v="-"/>
    <s v=""/>
    <s v="06/01/2025 14:23"/>
    <s v="-"/>
    <s v="J&amp;T COD"/>
    <s v="Tiktok"/>
    <s v="จ่ายทีหลัง / COD"/>
    <s v=""/>
    <s v="754326504643"/>
    <s v="06/01/2025 14:23"/>
  </r>
  <r>
    <x v="10"/>
    <x v="10"/>
    <n v="200"/>
    <n v="1"/>
    <n v="0"/>
    <s v="EQM40"/>
    <n v="200"/>
    <n v="0"/>
    <s v="ร้านที่4"/>
    <s v="ส***า ไ***ัลย์"/>
    <s v="เทศบาลนครนครปฐม"/>
    <s v="-"/>
    <s v=""/>
    <s v="06/01/2025 14:22"/>
    <s v="-"/>
    <s v="Flash Express Thailand COD"/>
    <s v="Tiktok"/>
    <s v="จ่ายทีหลัง / COD"/>
    <s v=""/>
    <s v="THT15031E79TF6Z"/>
    <s v="06/01/2025 14:23"/>
  </r>
  <r>
    <x v="10"/>
    <x v="10"/>
    <n v="200"/>
    <n v="1"/>
    <n v="0"/>
    <s v="EQM39"/>
    <n v="200"/>
    <n v="0"/>
    <s v="ร้านที่4"/>
    <s v="ม***ิกา โ***าภรณ์"/>
    <s v="กรุงเทพฯ"/>
    <s v="-"/>
    <s v=""/>
    <s v="06/01/2025 14:22"/>
    <s v="-"/>
    <s v="Flash Express Thailand COD"/>
    <s v="Tiktok"/>
    <s v="จ่ายทีหลัง / COD"/>
    <s v=""/>
    <s v="THT01181E79UA2Z"/>
    <s v="06/01/2025 14:22"/>
  </r>
  <r>
    <x v="0"/>
    <x v="0"/>
    <n v="100"/>
    <n v="1"/>
    <n v="0"/>
    <s v="EQM38"/>
    <n v="145"/>
    <n v="45"/>
    <s v="ร้านที่1"/>
    <s v="น** ส***รณา แ***ันทร์"/>
    <s v="ราชบุรี"/>
    <s v="-"/>
    <s v=""/>
    <s v="06/01/2025 14:18"/>
    <s v="-"/>
    <s v="J&amp;T COD"/>
    <s v="Tiktok"/>
    <s v="จ่ายทีหลัง / COD"/>
    <s v=""/>
    <s v="754340900670"/>
    <s v="06/01/2025 14:19"/>
  </r>
  <r>
    <x v="10"/>
    <x v="10"/>
    <n v="200"/>
    <n v="1"/>
    <n v="0"/>
    <s v="EQM37"/>
    <n v="200"/>
    <n v="0"/>
    <s v="ร้านที่4"/>
    <s v="ว***รณ์  ช***วลิต"/>
    <s v="ราชบุรี"/>
    <s v="-"/>
    <s v=""/>
    <s v="06/01/2025 14:11"/>
    <s v="-"/>
    <s v="Flash Express Thailand COD"/>
    <s v="Tiktok"/>
    <s v="จ่ายทีหลัง / COD"/>
    <s v=""/>
    <s v="THT12071E6ZPX3Z"/>
    <s v="06/01/2025 14:15"/>
  </r>
  <r>
    <x v="0"/>
    <x v="0"/>
    <n v="100"/>
    <n v="2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9"/>
    <x v="4"/>
    <n v="100"/>
    <n v="1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3"/>
    <x v="3"/>
    <n v="100"/>
    <n v="1"/>
    <n v="0"/>
    <s v="EQM36"/>
    <n v="400"/>
    <n v="0"/>
    <s v="ร้านที่4"/>
    <s v="เ***ุดา ร***โรจน์"/>
    <s v="เทศบาลนครลำปาง"/>
    <s v="-"/>
    <s v=""/>
    <s v="06/01/2025 14:09"/>
    <s v="-"/>
    <s v="Flash Express Thailand COD"/>
    <s v="Tiktok"/>
    <s v="จ่ายทีหลัง / COD"/>
    <s v=""/>
    <s v="THT49011E6TQZ7Z"/>
    <s v="06/01/2025 14:14"/>
  </r>
  <r>
    <x v="2"/>
    <x v="2"/>
    <n v="107.22"/>
    <n v="1"/>
    <n v="0"/>
    <s v="EQM34"/>
    <n v="112.22"/>
    <n v="5"/>
    <s v="ร้านที่1"/>
    <s v="ฟ้า"/>
    <s v="211/23 ซอยคุ้มเกล้า7 หมู่บ้านชัยพฤกษ์1 ถนนคุ้มเกล้า_x000a__x000a_มีนบุรี/ Min Buriกรุงเทพมหานคร/ Bangkok_x000a_10510"/>
    <s v="10510"/>
    <s v="660627575599"/>
    <s v="06/01/2025 14:13"/>
    <s v="-"/>
    <s v="Kerry_dropoff"/>
    <s v="Lazada"/>
    <s v="lazada"/>
    <s v=""/>
    <s v="LEXPU0442857488"/>
    <s v="06/01/2025 14:13"/>
  </r>
  <r>
    <x v="3"/>
    <x v="3"/>
    <n v="130"/>
    <n v="1"/>
    <n v="0"/>
    <s v="EQM33"/>
    <n v="128"/>
    <n v="0"/>
    <s v="ร้านที่2"/>
    <s v="ส******ง"/>
    <s v="******ะประดู่ ตำบลสระประดู่ อำเภอวิเชียรบุรี จังหวัดเพชรบูรณ์ 67130"/>
    <s v="67130"/>
    <s v="21"/>
    <s v="06/01/2025 14:13"/>
    <s v="-"/>
    <s v="SPX Express"/>
    <s v="Shopee"/>
    <s v="shopee"/>
    <s v=""/>
    <s v="TH251924633330U"/>
    <s v="06/01/2025 14:13"/>
  </r>
  <r>
    <x v="5"/>
    <x v="5"/>
    <n v="350"/>
    <n v="1"/>
    <n v="0"/>
    <s v="EQM30"/>
    <n v="350"/>
    <n v="0"/>
    <s v="ร้านที่4"/>
    <s v="ป* แ***ออนไลน์"/>
    <s v="นครปฐม"/>
    <s v="-"/>
    <s v=""/>
    <s v="06/01/2025 14:02"/>
    <s v="-"/>
    <s v="Flash Express Thailand COD"/>
    <s v="Tiktok"/>
    <s v="จ่ายทีหลัง / COD"/>
    <s v=""/>
    <s v="THT15041E6EFJ7Z"/>
    <s v="06/01/2025 14:02"/>
  </r>
  <r>
    <x v="1"/>
    <x v="1"/>
    <n v="200"/>
    <n v="1"/>
    <n v="0"/>
    <s v="EQM29"/>
    <n v="200"/>
    <n v="0"/>
    <s v="ร้านที่2"/>
    <s v="บ***ฟ"/>
    <s v="นครราชสีมา"/>
    <s v="-"/>
    <s v=""/>
    <s v="06/01/2025 14:01"/>
    <s v="-"/>
    <s v="J&amp;T COD"/>
    <s v="Tiktok"/>
    <s v="จ่ายทีหลัง / COD"/>
    <s v=""/>
    <s v="754305372785"/>
    <s v="06/01/2025 14:01"/>
  </r>
  <r>
    <x v="3"/>
    <x v="8"/>
    <n v="80.91"/>
    <n v="1"/>
    <n v="0"/>
    <s v="EQM28"/>
    <n v="125.91"/>
    <n v="45"/>
    <s v="ร้านที่6"/>
    <s v="อารี.หวังที่ชอบ"/>
    <s v="นิคมอุตสหกรรมนวนคร หมุ่บ้านไทยธานี.ซอย.22.62/10หมุ่.19.ตคลองหนึ่ง.อ.คลองหลวง.จ.ปทุมธานี_x000a__x000a_คลองหลวง/ Khlong Luangปทุมธานี/ Pathum Thani_x000a_12120"/>
    <s v="12120"/>
    <s v="660824943188"/>
    <s v="06/01/2025 14:00"/>
    <s v="-"/>
    <s v="Kerry_dropoff"/>
    <s v="Lazada"/>
    <s v="lazada"/>
    <s v=""/>
    <s v="LEXPU0442874982"/>
    <s v="06/01/2025 13:59"/>
  </r>
  <r>
    <x v="19"/>
    <x v="34"/>
    <n v="142.31"/>
    <n v="1"/>
    <n v="0"/>
    <s v="EQM27"/>
    <n v="187.31"/>
    <n v="45"/>
    <s v="ร้านที่9"/>
    <s v="สุชาติประพฤติชอบ"/>
    <s v="163ม5ตที่วังอทุ่งสงจนครศรืธร_x000a__x000a_ทุ่งสง/ Thung Songนครศรีธรรมราช/ Nakhon Si Thammarat_x000a_80110"/>
    <s v="80110"/>
    <s v="660655397120"/>
    <s v="06/01/2025 13:58"/>
    <s v="-"/>
    <s v="Kerry_dropoff"/>
    <s v="Lazada"/>
    <s v="lazada"/>
    <s v=""/>
    <s v="LEXDO0124099703"/>
    <s v="06/01/2025 13:58"/>
  </r>
  <r>
    <x v="19"/>
    <x v="19"/>
    <n v="225"/>
    <n v="1"/>
    <n v="0"/>
    <s v="EQM26"/>
    <n v="258"/>
    <n v="35"/>
    <s v="ร้านที่2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06/01/2025 13:56"/>
    <s v="-"/>
    <s v="Flash Express"/>
    <s v="Shopee"/>
    <s v="shopee"/>
    <s v=""/>
    <s v="TH01016P2JKQ7C"/>
    <s v="06/01/2025 13:56"/>
  </r>
  <r>
    <x v="0"/>
    <x v="0"/>
    <n v="100"/>
    <n v="1"/>
    <n v="0"/>
    <s v="EQM25"/>
    <n v="106"/>
    <n v="6"/>
    <s v="ร้านที่1"/>
    <s v="ต***อน"/>
    <s v="กรุงเทพฯ"/>
    <s v="-"/>
    <s v=""/>
    <s v="06/01/2025 13:55"/>
    <s v="-"/>
    <s v="J&amp;T COD"/>
    <s v="Tiktok"/>
    <s v="จ่ายทีหลัง / COD"/>
    <s v=""/>
    <s v="754317305663"/>
    <s v="06/01/2025 13:55"/>
  </r>
  <r>
    <x v="1"/>
    <x v="1"/>
    <n v="200"/>
    <n v="1"/>
    <n v="0"/>
    <s v="EQM24"/>
    <n v="200"/>
    <n v="0"/>
    <s v="ร้านที่2"/>
    <s v="ย***น จ***ร์จำนงค์"/>
    <s v="ร้อยเอ็ด"/>
    <s v="-"/>
    <s v=""/>
    <s v="06/01/2025 13:53"/>
    <s v="-"/>
    <s v="J&amp;T COD"/>
    <s v="Tiktok"/>
    <s v="จ่ายทีหลัง / COD"/>
    <s v=""/>
    <s v="754373089713"/>
    <s v="06/01/2025 13:53"/>
  </r>
  <r>
    <x v="10"/>
    <x v="10"/>
    <n v="200"/>
    <n v="1"/>
    <n v="0"/>
    <s v="EQM23"/>
    <n v="200"/>
    <n v="0"/>
    <s v="ร้านที่2"/>
    <s v="ร***รัตน์​ จ***รวงค์"/>
    <s v="เทศบาลนครสุราษฎร์ธานี"/>
    <s v="-"/>
    <s v=""/>
    <s v="06/01/2025 13:52"/>
    <s v="-"/>
    <s v="J&amp;T COD"/>
    <s v="Tiktok"/>
    <s v="จ่ายทีหลัง / COD"/>
    <s v=""/>
    <s v="754313900664"/>
    <s v="06/01/2025 13:52"/>
  </r>
  <r>
    <x v="19"/>
    <x v="34"/>
    <n v="142.31"/>
    <n v="1"/>
    <n v="0"/>
    <s v="EQM20"/>
    <n v="147.31"/>
    <n v="5"/>
    <s v="ร้านที่9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06/01/2025 13:46"/>
    <s v="-"/>
    <s v="Kerry_dropoff"/>
    <s v="Lazada"/>
    <s v="lazada"/>
    <s v=""/>
    <s v="LEXDO0124096346"/>
    <s v="06/01/2025 13:46"/>
  </r>
  <r>
    <x v="1"/>
    <x v="1"/>
    <n v="200"/>
    <n v="1"/>
    <n v="0"/>
    <s v="EQM18"/>
    <n v="200"/>
    <n v="0"/>
    <s v="ร้านที่2"/>
    <s v="ป***อม"/>
    <s v="น่าน"/>
    <s v="-"/>
    <s v=""/>
    <s v="06/01/2025 13:43"/>
    <s v="-"/>
    <s v="J&amp;T COD"/>
    <s v="Tiktok"/>
    <s v="จ่ายทีหลัง / COD"/>
    <s v=""/>
    <s v="754351970713"/>
    <s v="06/01/2025 13:43"/>
  </r>
  <r>
    <x v="19"/>
    <x v="19"/>
    <n v="225"/>
    <n v="1"/>
    <n v="0"/>
    <s v="EQM17"/>
    <n v="268"/>
    <n v="45"/>
    <s v="ร้านที่2"/>
    <s v="น******ล"/>
    <s v="******ปาคม  ซ.ศรีจันทราพันธุ์4  ถ.ทหาร ตำบลหนองขอนกว้าง อำเภอเมืองอุดรธานี จังหวัดอุดรธานี 41000"/>
    <s v="41000"/>
    <s v="43"/>
    <s v="06/01/2025 13:41"/>
    <s v="-"/>
    <s v="SPX Express"/>
    <s v="Shopee"/>
    <s v="shopee"/>
    <s v=""/>
    <s v="TH253848698828R"/>
    <s v="06/01/2025 13:41"/>
  </r>
  <r>
    <x v="0"/>
    <x v="0"/>
    <n v="100"/>
    <n v="1"/>
    <n v="0"/>
    <s v="EQM16"/>
    <n v="145"/>
    <n v="45"/>
    <s v="ร้านที่4"/>
    <s v="ป***อม"/>
    <s v="น่าน"/>
    <s v="-"/>
    <s v=""/>
    <s v="06/01/2025 13:39"/>
    <s v="-"/>
    <s v="Flash Express Thailand COD"/>
    <s v="Tiktok"/>
    <s v="จ่ายทีหลัง / COD"/>
    <s v=""/>
    <s v="THT52081E6KKD6Z"/>
    <s v="06/01/2025 13:39"/>
  </r>
  <r>
    <x v="0"/>
    <x v="0"/>
    <n v="100"/>
    <n v="1"/>
    <n v="0"/>
    <s v="EQM14"/>
    <n v="145"/>
    <n v="45"/>
    <s v="ร้านที่2"/>
    <s v="ป***อม"/>
    <s v="น่าน"/>
    <s v="-"/>
    <s v=""/>
    <s v="06/01/2025 13:37"/>
    <s v="-"/>
    <s v="J&amp;T COD"/>
    <s v="Tiktok"/>
    <s v="จ่ายทีหลัง / COD"/>
    <s v=""/>
    <s v="754317214630"/>
    <s v="06/01/2025 13:37"/>
  </r>
  <r>
    <x v="3"/>
    <x v="3"/>
    <n v="100"/>
    <n v="2"/>
    <n v="0"/>
    <s v="EQM13"/>
    <n v="200"/>
    <n v="0"/>
    <s v="ร้านที่1"/>
    <s v="อ***ีญา"/>
    <s v="นนทบุรี"/>
    <s v="-"/>
    <s v=""/>
    <s v="06/01/2025 13:36"/>
    <s v="-"/>
    <s v="J&amp;T Express"/>
    <s v="Tiktok"/>
    <s v="tiktok"/>
    <s v=""/>
    <s v="754301962772"/>
    <s v="06/01/2025 13:36"/>
  </r>
  <r>
    <x v="4"/>
    <x v="4"/>
    <n v="100"/>
    <n v="3"/>
    <n v="0"/>
    <s v="EQM12"/>
    <n v="300"/>
    <n v="0"/>
    <s v="ร้านที่1"/>
    <s v="ศ***ัสสร อ***ดี แ**"/>
    <s v="นนทบุรี"/>
    <s v="-"/>
    <s v=""/>
    <s v="06/01/2025 13:29"/>
    <s v="-"/>
    <s v="J&amp;T COD"/>
    <s v="Tiktok"/>
    <s v="จ่ายทีหลัง / COD"/>
    <s v=""/>
    <s v="754344507663"/>
    <s v="06/01/2025 13:29"/>
  </r>
  <r>
    <x v="19"/>
    <x v="19"/>
    <n v="225"/>
    <n v="1"/>
    <n v="0"/>
    <s v="EQM11"/>
    <n v="225"/>
    <n v="0"/>
    <s v="ร้านที่2"/>
    <s v="แ******ิ"/>
    <s v="******ลตูมใหญ่ อำเภอคูเมือง จังหวัดบุรีรัมย์ 31190"/>
    <s v="31190"/>
    <s v="72"/>
    <s v="06/01/2025 13:19"/>
    <s v="-"/>
    <s v="SPX Express"/>
    <s v="Shopee"/>
    <s v="shopee"/>
    <s v=""/>
    <s v="TH2538703487167"/>
    <s v="06/01/2025 13:19"/>
  </r>
  <r>
    <x v="0"/>
    <x v="0"/>
    <n v="100"/>
    <n v="1"/>
    <n v="0"/>
    <s v="EQM10"/>
    <n v="106"/>
    <n v="6"/>
    <s v="ร้านที่1"/>
    <s v="ส***ทิพย์  แ***ล้า"/>
    <s v="กระบี่"/>
    <s v="-"/>
    <s v=""/>
    <s v="06/01/2025 13:16"/>
    <s v="-"/>
    <s v="J&amp;T COD"/>
    <s v="Tiktok"/>
    <s v="จ่ายทีหลัง / COD"/>
    <s v=""/>
    <s v="754311106651"/>
    <s v="06/01/2025 13:17"/>
  </r>
  <r>
    <x v="24"/>
    <x v="26"/>
    <n v="436.75"/>
    <n v="1"/>
    <n v="0"/>
    <s v="EQM7"/>
    <n v="902.49"/>
    <n v="29"/>
    <s v="ร้านที่9"/>
    <s v="ไพลิน แซ่ชั้น"/>
    <s v="191 ม.12 ต .วัดป่า · วัดป่า/ Wat Pa_x000a__x000a_หล่มสัก/ Lom Sakเพชรบูรณ์/ Phetchabun_x000a_67110"/>
    <s v="67110"/>
    <s v="660859588335"/>
    <s v="06/01/2025 13:12"/>
    <s v="-"/>
    <s v="Kerry_dropoff"/>
    <s v="Lazada"/>
    <s v="lazada"/>
    <s v=""/>
    <s v="TH74016P1GEF0J"/>
    <s v="06/01/2025 13:12"/>
  </r>
  <r>
    <x v="24"/>
    <x v="26"/>
    <n v="436.74"/>
    <n v="1"/>
    <n v="0"/>
    <s v="EQM7"/>
    <n v="902.49"/>
    <n v="29"/>
    <s v="ร้านที่9"/>
    <s v="ไพลิน แซ่ชั้น"/>
    <s v="191 ม.12 ต .วัดป่า · วัดป่า/ Wat Pa_x000a__x000a_หล่มสัก/ Lom Sakเพชรบูรณ์/ Phetchabun_x000a_67110"/>
    <s v="67110"/>
    <s v="660859588335"/>
    <s v="06/01/2025 13:12"/>
    <s v="-"/>
    <s v="Kerry_dropoff"/>
    <s v="Lazada"/>
    <s v="lazada"/>
    <s v=""/>
    <s v="TH74016P1GEF0J"/>
    <s v="06/01/2025 13:12"/>
  </r>
  <r>
    <x v="19"/>
    <x v="34"/>
    <n v="8.33"/>
    <n v="1"/>
    <n v="0"/>
    <s v="EQM6"/>
    <n v="8.33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06/01/2025 13:11"/>
    <s v="-"/>
    <s v="Kerry_dropoff"/>
    <s v="Lazada"/>
    <s v="lazada"/>
    <s v=""/>
    <s v="TH14106P2RDN6F"/>
    <s v="06/01/2025 13:11"/>
  </r>
  <r>
    <x v="1"/>
    <x v="1"/>
    <n v="200"/>
    <n v="1"/>
    <n v="0"/>
    <s v="EQM5"/>
    <n v="200"/>
    <n v="0"/>
    <s v="ร้านที่1"/>
    <s v="ม***นันท์  ร***ระเสริฐ"/>
    <s v="กรุงเทพมหานคร"/>
    <s v="-"/>
    <s v=""/>
    <s v="06/01/2025 13:06"/>
    <s v="-"/>
    <s v="J&amp;T COD"/>
    <s v="Tiktok"/>
    <s v="จ่ายทีหลัง / COD"/>
    <s v=""/>
    <s v="754303973710"/>
    <s v="06/01/2025 13:06"/>
  </r>
  <r>
    <x v="33"/>
    <x v="43"/>
    <n v="400"/>
    <n v="1"/>
    <n v="0"/>
    <s v="EQM4"/>
    <n v="400"/>
    <n v="0"/>
    <s v="ร้านที่2"/>
    <s v="น***าวสมลักษณ์ เ***อุดม"/>
    <s v="สมุทรปราการ"/>
    <s v="-"/>
    <s v=""/>
    <s v="06/01/2025 13:03"/>
    <s v="-"/>
    <s v="J&amp;T COD"/>
    <s v="Tiktok"/>
    <s v="จ่ายทีหลัง / COD"/>
    <s v=""/>
    <s v="754346899504"/>
    <s v="06/01/2025 13:03"/>
  </r>
  <r>
    <x v="0"/>
    <x v="0"/>
    <n v="100"/>
    <n v="1"/>
    <n v="0"/>
    <s v="EQM2"/>
    <n v="106"/>
    <n v="6"/>
    <s v="ร้านที่2"/>
    <s v="ด***มล ท***ู"/>
    <s v="เทศบาลนครขอนแก่น"/>
    <s v="-"/>
    <s v=""/>
    <s v="06/01/2025 13:00"/>
    <s v="-"/>
    <s v="J&amp;T Express"/>
    <s v="Tiktok"/>
    <s v="tiktok"/>
    <s v=""/>
    <s v="754318705663"/>
    <s v="06/01/2025 12:59"/>
  </r>
  <r>
    <x v="4"/>
    <x v="4"/>
    <n v="100"/>
    <n v="1"/>
    <n v="0"/>
    <s v="EQM1"/>
    <n v="106"/>
    <n v="6"/>
    <s v="ร้านที่1"/>
    <s v="ก***ัล ท***มั้น"/>
    <s v="ตาก"/>
    <s v="-"/>
    <s v=""/>
    <s v="06/01/2025 12:57"/>
    <s v="-"/>
    <s v="J&amp;T COD"/>
    <s v="Tiktok"/>
    <s v="จ่ายทีหลัง / COD"/>
    <s v=""/>
    <s v="754335093525"/>
    <s v="06/01/2025 12:57"/>
  </r>
  <r>
    <x v="9"/>
    <x v="4"/>
    <n v="100"/>
    <n v="1"/>
    <n v="0"/>
    <s v="EQL99"/>
    <n v="200"/>
    <n v="0"/>
    <s v="ร้านที่4"/>
    <s v="ก***า อ***โศภณ"/>
    <s v="กรุงเทพมหานคร"/>
    <s v="-"/>
    <s v=""/>
    <s v="06/01/2025 12:56"/>
    <s v="-"/>
    <s v="Flash Express Thailand COD"/>
    <s v="Tiktok"/>
    <s v="จ่ายทีหลัง / COD"/>
    <s v=""/>
    <s v="THT01101E6K5M6Z"/>
    <s v="06/01/2025 12:56"/>
  </r>
  <r>
    <x v="0"/>
    <x v="0"/>
    <n v="100"/>
    <n v="1"/>
    <n v="0"/>
    <s v="EQL99"/>
    <n v="200"/>
    <n v="0"/>
    <s v="ร้านที่4"/>
    <s v="ก***า อ***โศภณ"/>
    <s v="กรุงเทพมหานคร"/>
    <s v="-"/>
    <s v=""/>
    <s v="06/01/2025 12:56"/>
    <s v="-"/>
    <s v="Flash Express Thailand COD"/>
    <s v="Tiktok"/>
    <s v="จ่ายทีหลัง / COD"/>
    <s v=""/>
    <s v="THT01101E6K5M6Z"/>
    <s v="06/01/2025 12:56"/>
  </r>
  <r>
    <x v="10"/>
    <x v="10"/>
    <n v="200"/>
    <n v="1"/>
    <n v="0"/>
    <s v="EQL98"/>
    <n v="200"/>
    <n v="0"/>
    <s v="ร้านที่1"/>
    <s v="อ***ณ์  ช***ล"/>
    <s v="สมุทรปราการ"/>
    <s v="-"/>
    <s v=""/>
    <s v="06/01/2025 12:55"/>
    <s v="-"/>
    <s v="J&amp;T COD"/>
    <s v="Tiktok"/>
    <s v="จ่ายทีหลัง / COD"/>
    <s v=""/>
    <s v="754343304665"/>
    <s v="06/01/2025 12:55"/>
  </r>
  <r>
    <x v="10"/>
    <x v="10"/>
    <n v="200"/>
    <n v="1"/>
    <n v="0"/>
    <s v="EQL96"/>
    <n v="200"/>
    <n v="0"/>
    <s v="ร้านที่4"/>
    <s v="ศ***า ป***าสังข์ "/>
    <s v="บุรีรัมย์"/>
    <s v="-"/>
    <s v=""/>
    <s v="06/01/2025 12:53"/>
    <s v="-"/>
    <s v="Flash Express Thailand"/>
    <s v="Tiktok"/>
    <s v="tiktok"/>
    <s v=""/>
    <s v="THT28061E79PM0Z"/>
    <s v="06/01/2025 12:52"/>
  </r>
  <r>
    <x v="3"/>
    <x v="3"/>
    <n v="150"/>
    <n v="1"/>
    <n v="0"/>
    <s v="EQL95"/>
    <n v="466"/>
    <n v="42"/>
    <s v="ร้านที่1"/>
    <s v="N**k"/>
    <s v="****** ตำบล เนินพระปรางค์, อำเภอสองพี่น้อง ตำบลเนินพระปรางค์ อำเภอสองพี่น้อง จังหวัดสุพรรณบุรี 72110"/>
    <s v="72110"/>
    <s v="62"/>
    <s v="06/01/2025 12:51"/>
    <s v="-"/>
    <s v="SPX Express"/>
    <s v="Shopee"/>
    <s v="shopee"/>
    <s v=""/>
    <s v="TH2570550921577"/>
    <s v="06/01/2025 12:51"/>
  </r>
  <r>
    <x v="0"/>
    <x v="0"/>
    <n v="100"/>
    <n v="1"/>
    <n v="0"/>
    <s v="EQL94"/>
    <n v="106"/>
    <n v="6"/>
    <s v="ร้านที่2"/>
    <s v="ท***ันทร์ ท***วงษ์"/>
    <s v="ภูเก็ต"/>
    <s v="-"/>
    <s v=""/>
    <s v="06/01/2025 12:49"/>
    <s v="-"/>
    <s v="J&amp;T COD"/>
    <s v="Tiktok"/>
    <s v="จ่ายทีหลัง / COD"/>
    <s v=""/>
    <s v="754379707664"/>
    <s v="06/01/2025 12:49"/>
  </r>
  <r>
    <x v="19"/>
    <x v="19"/>
    <n v="225"/>
    <n v="1"/>
    <n v="0"/>
    <s v="EQL93"/>
    <n v="270"/>
    <n v="45"/>
    <s v="ร้านที่2"/>
    <s v="ด******ะ"/>
    <s v="******สว่าง, ตำบล โนนสวาง, อำเภอกุดข้าวปุ้น ตำบลโนนสวาง อำเภอกุดข้าวปุ้น จังหวัดอุบลราชธานี 34270"/>
    <s v="34270"/>
    <s v="80"/>
    <s v="06/01/2025 12:50"/>
    <s v="-"/>
    <s v="Flash Express"/>
    <s v="Shopee"/>
    <s v="shopee"/>
    <s v=""/>
    <s v="TH31116P2JSQ2B"/>
    <s v="06/01/2025 12:49"/>
  </r>
  <r>
    <x v="10"/>
    <x v="10"/>
    <n v="200"/>
    <n v="1"/>
    <n v="0"/>
    <s v="EQL92"/>
    <n v="200"/>
    <n v="0"/>
    <s v="ร้านที่4"/>
    <s v="ท***รัพย์ ภ***าณุภัค"/>
    <s v="กรุงเทพฯ"/>
    <s v="-"/>
    <s v=""/>
    <s v="06/01/2025 12:48"/>
    <s v="-"/>
    <s v="Flash Express Thailand COD"/>
    <s v="Tiktok"/>
    <s v="จ่ายทีหลัง / COD"/>
    <s v=""/>
    <s v="THT01471E70169Z"/>
    <s v="06/01/2025 12:48"/>
  </r>
  <r>
    <x v="9"/>
    <x v="4"/>
    <n v="100"/>
    <n v="1"/>
    <n v="0"/>
    <s v="EQL91"/>
    <n v="106"/>
    <n v="6"/>
    <s v="ร้านที่1"/>
    <s v="ศ***พร  อ***ละมัย"/>
    <s v="ชุมพร"/>
    <s v="-"/>
    <s v=""/>
    <s v="06/01/2025 12:48"/>
    <s v="-"/>
    <s v="J&amp;T COD"/>
    <s v="Tiktok"/>
    <s v="จ่ายทีหลัง / COD"/>
    <s v=""/>
    <s v="754362660531"/>
    <s v="06/01/2025 12:48"/>
  </r>
  <r>
    <x v="19"/>
    <x v="34"/>
    <n v="142.31"/>
    <n v="1"/>
    <n v="0"/>
    <s v="EQL90"/>
    <n v="147.31"/>
    <n v="5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6/01/2025 12:47"/>
    <s v="-"/>
    <s v="Kerry_dropoff"/>
    <s v="Lazada"/>
    <s v="lazada"/>
    <s v=""/>
    <s v="LEXDO0124099926"/>
    <s v="06/01/2025 12:47"/>
  </r>
  <r>
    <x v="1"/>
    <x v="1"/>
    <n v="200"/>
    <n v="1"/>
    <n v="0"/>
    <s v="EQL89"/>
    <n v="200"/>
    <n v="0"/>
    <s v="ร้านที่2"/>
    <s v="ไ***"/>
    <s v="พิษณุโลก"/>
    <s v="-"/>
    <s v=""/>
    <s v="06/01/2025 12:45"/>
    <s v="-"/>
    <s v="J&amp;T COD"/>
    <s v="Tiktok"/>
    <s v="จ่ายทีหลัง / COD"/>
    <s v=""/>
    <s v="754359274793"/>
    <s v="06/01/2025 12:45"/>
  </r>
  <r>
    <x v="18"/>
    <x v="39"/>
    <n v="140"/>
    <n v="1"/>
    <n v="0"/>
    <s v="EQL88"/>
    <n v="147"/>
    <n v="7"/>
    <s v="ร้านที่1"/>
    <s v="พ******ง"/>
    <s v="******ราม 0 ตำบลราม อำเภอเมืองสุรินทร์ จังหวัดสุรินทร์ 32000"/>
    <s v="32000"/>
    <s v="59"/>
    <s v="06/01/2025 12:44"/>
    <s v="-"/>
    <s v="SPX Express"/>
    <s v="Shopee"/>
    <s v="shopee"/>
    <s v=""/>
    <s v="TH258095647359Z"/>
    <s v="06/01/2025 12:43"/>
  </r>
  <r>
    <x v="19"/>
    <x v="34"/>
    <n v="127.31"/>
    <n v="1"/>
    <n v="0"/>
    <s v="EQL87"/>
    <n v="162.22999999999999"/>
    <n v="5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6/01/2025 12:44"/>
    <s v="-"/>
    <s v="Kerry_dropoff"/>
    <s v="Lazada"/>
    <s v="lazada"/>
    <s v=""/>
    <s v="LEXDO0124095402"/>
    <s v="06/01/2025 12:41"/>
  </r>
  <r>
    <x v="45"/>
    <x v="41"/>
    <n v="698.58"/>
    <n v="1"/>
    <n v="0"/>
    <s v="EQL86"/>
    <n v="698.58"/>
    <n v="0"/>
    <s v="ร้านที่1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6/01/2025 12:41"/>
    <s v="-"/>
    <s v="Kerry_dropoff"/>
    <s v="Lazada"/>
    <s v="lazada"/>
    <s v=""/>
    <s v="LEXPU0442841300"/>
    <s v="06/01/2025 12:41"/>
  </r>
  <r>
    <x v="9"/>
    <x v="4"/>
    <n v="100"/>
    <n v="1"/>
    <n v="0"/>
    <s v="EQL84"/>
    <n v="106"/>
    <n v="6"/>
    <s v="ร้านที่1"/>
    <s v="เ***สุข ป***าชัย"/>
    <s v="มหาสารคาม"/>
    <s v="-"/>
    <s v=""/>
    <s v="06/01/2025 12:38"/>
    <s v="-"/>
    <s v="J&amp;T COD"/>
    <s v="Tiktok"/>
    <s v="จ่ายทีหลัง / COD"/>
    <s v=""/>
    <s v="754310152573"/>
    <s v="06/01/2025 12:38"/>
  </r>
  <r>
    <x v="0"/>
    <x v="0"/>
    <n v="100"/>
    <n v="1"/>
    <n v="0"/>
    <s v="EQL83"/>
    <n v="145"/>
    <n v="45"/>
    <s v="ร้านที่1"/>
    <s v="ภ***ี ม***หมาย"/>
    <s v="กรุงเทพฯ"/>
    <s v="-"/>
    <s v=""/>
    <s v="06/01/2025 12:39"/>
    <s v="-"/>
    <s v="J&amp;T Express"/>
    <s v="Tiktok"/>
    <s v="tiktok"/>
    <s v=""/>
    <s v="754351015622"/>
    <s v="06/01/2025 12:38"/>
  </r>
  <r>
    <x v="1"/>
    <x v="1"/>
    <n v="200"/>
    <n v="1"/>
    <n v="0"/>
    <s v="EQL82"/>
    <n v="200"/>
    <n v="0"/>
    <s v="ร้านที่1"/>
    <s v="ป***า ค***ข้าวสาร"/>
    <s v="ระยอง"/>
    <s v="-"/>
    <s v=""/>
    <s v="06/01/2025 12:36"/>
    <s v="-"/>
    <s v="J&amp;T COD"/>
    <s v="Tiktok"/>
    <s v="จ่ายทีหลัง / COD"/>
    <s v=""/>
    <s v="754325677781"/>
    <s v="06/01/2025 12:37"/>
  </r>
  <r>
    <x v="3"/>
    <x v="3"/>
    <n v="100"/>
    <n v="1"/>
    <n v="0"/>
    <s v="EQL81"/>
    <n v="200"/>
    <n v="0"/>
    <s v="ร้านที่1"/>
    <s v="พ***ี"/>
    <s v="ยโสธร"/>
    <s v="-"/>
    <s v=""/>
    <s v="06/01/2025 12:35"/>
    <s v="-"/>
    <s v="J&amp;T COD"/>
    <s v="Tiktok"/>
    <s v="จ่ายทีหลัง / COD"/>
    <s v=""/>
    <s v="754318357553"/>
    <s v="06/01/2025 12:35"/>
  </r>
  <r>
    <x v="9"/>
    <x v="4"/>
    <n v="100"/>
    <n v="1"/>
    <n v="0"/>
    <s v="EQL81"/>
    <n v="200"/>
    <n v="0"/>
    <s v="ร้านที่1"/>
    <s v="พ***ี"/>
    <s v="ยโสธร"/>
    <s v="-"/>
    <s v=""/>
    <s v="06/01/2025 12:35"/>
    <s v="-"/>
    <s v="J&amp;T COD"/>
    <s v="Tiktok"/>
    <s v="จ่ายทีหลัง / COD"/>
    <s v=""/>
    <s v="754318357553"/>
    <s v="06/01/2025 12:35"/>
  </r>
  <r>
    <x v="20"/>
    <x v="20"/>
    <n v="199"/>
    <n v="1"/>
    <n v="0"/>
    <s v="EQL80"/>
    <n v="234"/>
    <n v="35"/>
    <s v="ร้านที่1"/>
    <s v="น******์"/>
    <s v="******ธิน แขวงอนุสาวรีย์ แขวงอนุสาวรีย์ เขตบางเขน จังหวัดกรุงเทพมหานคร 10220"/>
    <s v="10220"/>
    <s v="58"/>
    <s v="06/01/2025 12:32"/>
    <s v="-"/>
    <s v="SPX Express"/>
    <s v="Shopee"/>
    <s v="shopee"/>
    <s v=""/>
    <s v="TH259921188678F"/>
    <s v="06/01/2025 12:31"/>
  </r>
  <r>
    <x v="0"/>
    <x v="0"/>
    <n v="100"/>
    <n v="1"/>
    <n v="0"/>
    <s v="EQL79"/>
    <n v="100"/>
    <n v="0"/>
    <s v="ร้านที่1"/>
    <s v="จ***พัชร โ***์หลงเกร็ด"/>
    <s v="นครปฐม"/>
    <s v="-"/>
    <s v=""/>
    <s v="06/01/2025 12:30"/>
    <s v="-"/>
    <s v="J&amp;T COD"/>
    <s v="Tiktok"/>
    <s v="จ่ายทีหลัง / COD"/>
    <s v=""/>
    <s v="754345109641"/>
    <s v="06/01/2025 12:30"/>
  </r>
  <r>
    <x v="0"/>
    <x v="0"/>
    <n v="100"/>
    <n v="1"/>
    <n v="0"/>
    <s v="EQL78"/>
    <n v="100"/>
    <n v="0"/>
    <s v="ร้านที่1"/>
    <s v="ณ***์ปกรณ์"/>
    <s v="สระบุรี"/>
    <s v="-"/>
    <s v=""/>
    <s v="06/01/2025 12:29"/>
    <s v="-"/>
    <s v="J&amp;T COD"/>
    <s v="Tiktok"/>
    <s v="จ่ายทีหลัง / COD"/>
    <s v=""/>
    <s v="754378619632"/>
    <s v="06/01/2025 12:29"/>
  </r>
  <r>
    <x v="30"/>
    <x v="66"/>
    <n v="128.41"/>
    <n v="1"/>
    <n v="0"/>
    <s v="EQL77"/>
    <n v="167.41"/>
    <n v="39"/>
    <s v="ร้านที่1"/>
    <s v="กรกนก​ เฉิน​"/>
    <s v="20  หมู่4  ต.ทุ่งพระยา อ.สนามชัยเขต_x000a__x000a_สนามชัยเขต/ Sanam Chai Khetฉะเชิงเทรา/ Chachoengsao_x000a_24160"/>
    <s v="24160"/>
    <s v="660898033396"/>
    <s v="06/01/2025 12:32"/>
    <s v="-"/>
    <s v="Kerry_dropoff"/>
    <s v="Lazada"/>
    <s v="lazada"/>
    <s v=""/>
    <s v="TH24086P2D7A7C"/>
    <s v="06/01/2025 12:28"/>
  </r>
  <r>
    <x v="10"/>
    <x v="10"/>
    <n v="200"/>
    <n v="1"/>
    <n v="0"/>
    <s v="EQL75"/>
    <n v="200"/>
    <n v="0"/>
    <s v="ร้านที่4"/>
    <s v="พ***ัฒน์ เ***ญสุข"/>
    <s v="สมุทรปราการ"/>
    <s v="-"/>
    <s v=""/>
    <s v="06/01/2025 12:21"/>
    <s v="-"/>
    <s v="Flash Express Thailand COD"/>
    <s v="Tiktok"/>
    <s v="จ่ายทีหลัง / COD"/>
    <s v=""/>
    <s v="THT02011E6ZKX7Z"/>
    <s v="06/01/2025 12:21"/>
  </r>
  <r>
    <x v="3"/>
    <x v="8"/>
    <n v="95.19"/>
    <n v="1"/>
    <n v="0"/>
    <s v="EQL74"/>
    <n v="95.19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21"/>
    <s v="-"/>
    <s v="Kerry_dropoff"/>
    <s v="Lazada"/>
    <s v="lazada"/>
    <s v=""/>
    <s v="LEXPU0442874810"/>
    <s v="06/01/2025 12:21"/>
  </r>
  <r>
    <x v="0"/>
    <x v="0"/>
    <n v="100"/>
    <n v="1"/>
    <n v="0"/>
    <s v="EQL73"/>
    <n v="106"/>
    <n v="6"/>
    <s v="ร้านที่4"/>
    <s v="น***้า ฟ***ทศ"/>
    <s v="ปราจีนบุรี"/>
    <s v="-"/>
    <s v=""/>
    <s v="06/01/2025 12:12"/>
    <s v="-"/>
    <s v="Flash Express Thailand"/>
    <s v="Tiktok"/>
    <s v="tiktok"/>
    <s v=""/>
    <s v="THT25061E6KMG4Z"/>
    <s v="06/01/2025 12:12"/>
  </r>
  <r>
    <x v="4"/>
    <x v="4"/>
    <n v="100"/>
    <n v="1"/>
    <n v="0"/>
    <s v="EQL72"/>
    <n v="100"/>
    <n v="0"/>
    <s v="ร้านที่1"/>
    <s v="ก***รรณ ร***รัศมี"/>
    <s v="สมุทรสาคร"/>
    <s v="-"/>
    <s v=""/>
    <s v="06/01/2025 12:08"/>
    <s v="-"/>
    <s v="J&amp;T COD"/>
    <s v="Tiktok"/>
    <s v="จ่ายทีหลัง / COD"/>
    <s v=""/>
    <s v="754324894525"/>
    <s v="06/01/2025 12:08"/>
  </r>
  <r>
    <x v="4"/>
    <x v="4"/>
    <n v="100"/>
    <n v="1"/>
    <n v="0"/>
    <s v="EQL71"/>
    <n v="185"/>
    <n v="0"/>
    <s v="ร้านที่4"/>
    <s v="จ***ี่ จ**"/>
    <s v="พระนครศรีอยุธยา"/>
    <s v="-"/>
    <s v=""/>
    <s v="06/01/2025 12:07"/>
    <s v="-"/>
    <s v="Flash Express Thailand COD"/>
    <s v="Tiktok"/>
    <s v="จ่ายทีหลัง / COD"/>
    <s v=""/>
    <s v="THT05031E6E3C8Z"/>
    <s v="06/01/2025 12:07"/>
  </r>
  <r>
    <x v="13"/>
    <x v="30"/>
    <n v="127.33"/>
    <n v="1"/>
    <n v="0"/>
    <s v="EQL68"/>
    <n v="278.66000000000003"/>
    <n v="24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06/01/2025 12:06"/>
    <s v="-"/>
    <s v="Kerry_dropoff"/>
    <s v="Lazada"/>
    <s v="lazada"/>
    <s v=""/>
    <s v="LEXDO0124098186"/>
    <s v="06/01/2025 12:06"/>
  </r>
  <r>
    <x v="13"/>
    <x v="30"/>
    <n v="127.33"/>
    <n v="1"/>
    <n v="0"/>
    <s v="EQL68"/>
    <n v="278.66000000000003"/>
    <n v="24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06/01/2025 12:06"/>
    <s v="-"/>
    <s v="Kerry_dropoff"/>
    <s v="Lazada"/>
    <s v="lazada"/>
    <s v=""/>
    <s v="LEXDO0124098186"/>
    <s v="06/01/2025 12:06"/>
  </r>
  <r>
    <x v="1"/>
    <x v="1"/>
    <n v="200"/>
    <n v="1"/>
    <n v="0"/>
    <s v="EQL67"/>
    <n v="200"/>
    <n v="0"/>
    <s v="ร้านที่1"/>
    <s v="ธ***มศฐ์ อ***สุรัช"/>
    <s v="ชุมพร"/>
    <s v="-"/>
    <s v=""/>
    <s v="06/01/2025 12:05"/>
    <s v="-"/>
    <s v="J&amp;T COD"/>
    <s v="Tiktok"/>
    <s v="จ่ายทีหลัง / COD"/>
    <s v=""/>
    <s v="754334303623"/>
    <s v="06/01/2025 12:06"/>
  </r>
  <r>
    <x v="24"/>
    <x v="32"/>
    <n v="465.54"/>
    <n v="1"/>
    <n v="0"/>
    <s v="EQL65"/>
    <n v="973.08"/>
    <n v="42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01"/>
    <s v="-"/>
    <s v="Kerry_dropoff"/>
    <s v="Lazada"/>
    <s v="lazada"/>
    <s v=""/>
    <s v="LEXPU0442831069"/>
    <s v="06/01/2025 12:01"/>
  </r>
  <r>
    <x v="24"/>
    <x v="32"/>
    <n v="465.54"/>
    <n v="1"/>
    <n v="0"/>
    <s v="EQL65"/>
    <n v="973.08"/>
    <n v="42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2:01"/>
    <s v="-"/>
    <s v="Kerry_dropoff"/>
    <s v="Lazada"/>
    <s v="lazada"/>
    <s v=""/>
    <s v="LEXPU0442831069"/>
    <s v="06/01/2025 12:01"/>
  </r>
  <r>
    <x v="13"/>
    <x v="30"/>
    <n v="127.33"/>
    <n v="1"/>
    <n v="0"/>
    <s v="EQL64"/>
    <n v="278.66000000000003"/>
    <n v="24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06/01/2025 12:00"/>
    <s v="-"/>
    <s v="Kerry_dropoff"/>
    <s v="Lazada"/>
    <s v="lazada"/>
    <s v=""/>
    <s v="LEXDO0124098071"/>
    <s v="06/01/2025 12:00"/>
  </r>
  <r>
    <x v="13"/>
    <x v="30"/>
    <n v="127.33"/>
    <n v="1"/>
    <n v="0"/>
    <s v="EQL64"/>
    <n v="278.66000000000003"/>
    <n v="24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06/01/2025 12:00"/>
    <s v="-"/>
    <s v="Kerry_dropoff"/>
    <s v="Lazada"/>
    <s v="lazada"/>
    <s v=""/>
    <s v="LEXDO0124098071"/>
    <s v="06/01/2025 12:00"/>
  </r>
  <r>
    <x v="0"/>
    <x v="0"/>
    <n v="100"/>
    <n v="1"/>
    <n v="0"/>
    <s v="EQL63"/>
    <n v="100"/>
    <n v="0"/>
    <s v="ร้านที่4"/>
    <s v="ช***นุท"/>
    <s v="สระบุรี"/>
    <s v="-"/>
    <s v=""/>
    <s v="06/01/2025 12:00"/>
    <s v="-"/>
    <s v="Flash Express Thailand COD"/>
    <s v="Tiktok"/>
    <s v="จ่ายทีหลัง / COD"/>
    <s v=""/>
    <s v="THT10021E6KND0Z"/>
    <s v="06/01/2025 12:00"/>
  </r>
  <r>
    <x v="0"/>
    <x v="0"/>
    <n v="100"/>
    <n v="2"/>
    <n v="0"/>
    <s v="EQL62"/>
    <n v="206"/>
    <n v="6"/>
    <s v="ร้านที่1"/>
    <s v="ว***ต์ จ***ร์แย้ม"/>
    <s v="สุราษฎร์ธานี"/>
    <s v="-"/>
    <s v=""/>
    <s v="06/01/2025 11:59"/>
    <s v="-"/>
    <s v="J&amp;T Express"/>
    <s v="Tiktok"/>
    <s v="tiktok"/>
    <s v=""/>
    <s v="754354688592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3"/>
    <x v="8"/>
    <n v="90.43"/>
    <n v="1"/>
    <n v="0"/>
    <s v="EQL61"/>
    <n v="271.2900000000000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1/2025 11:59"/>
    <s v="-"/>
    <s v="Kerry_dropoff"/>
    <s v="Lazada"/>
    <s v="lazada"/>
    <s v=""/>
    <s v="LEXPU0442875445"/>
    <s v="06/01/2025 11:59"/>
  </r>
  <r>
    <x v="19"/>
    <x v="34"/>
    <n v="148.19999999999999"/>
    <n v="1"/>
    <n v="0"/>
    <s v="EQL60"/>
    <n v="153.19999999999999"/>
    <n v="5"/>
    <s v="ร้านที่9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06/01/2025 11:59"/>
    <s v="-"/>
    <s v="Kerry_dropoff"/>
    <s v="Lazada"/>
    <s v="lazada"/>
    <s v=""/>
    <s v="LEXDO0124099891"/>
    <s v="06/01/2025 11:59"/>
  </r>
  <r>
    <x v="24"/>
    <x v="26"/>
    <n v="453.58"/>
    <n v="1"/>
    <n v="0"/>
    <s v="EQL59"/>
    <n v="467.58"/>
    <n v="1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6/01/2025 11:56"/>
    <s v="-"/>
    <s v="Kerry_dropoff"/>
    <s v="Lazada"/>
    <s v="lazada"/>
    <s v=""/>
    <s v="LEXDO0124082160"/>
    <s v="06/01/2025 11:56"/>
  </r>
  <r>
    <x v="0"/>
    <x v="0"/>
    <n v="100"/>
    <n v="1"/>
    <n v="0"/>
    <s v="EQL58"/>
    <n v="300"/>
    <n v="0"/>
    <s v="ร้านที่1"/>
    <s v="ร***กอกายก๋วยเตี๋ยวไก่มะระ"/>
    <s v="นครปฐม"/>
    <s v="-"/>
    <s v=""/>
    <s v="06/01/2025 11:56"/>
    <s v="-"/>
    <s v="J&amp;T COD"/>
    <s v="Tiktok"/>
    <s v="จ่ายทีหลัง / COD"/>
    <s v=""/>
    <s v="754342489596"/>
    <s v="06/01/2025 11:56"/>
  </r>
  <r>
    <x v="4"/>
    <x v="4"/>
    <n v="100"/>
    <n v="2"/>
    <n v="0"/>
    <s v="EQL58"/>
    <n v="300"/>
    <n v="0"/>
    <s v="ร้านที่1"/>
    <s v="ร***กอกายก๋วยเตี๋ยวไก่มะระ"/>
    <s v="นครปฐม"/>
    <s v="-"/>
    <s v=""/>
    <s v="06/01/2025 11:56"/>
    <s v="-"/>
    <s v="J&amp;T COD"/>
    <s v="Tiktok"/>
    <s v="จ่ายทีหลัง / COD"/>
    <s v=""/>
    <s v="754342489596"/>
    <s v="06/01/2025 11:56"/>
  </r>
  <r>
    <x v="19"/>
    <x v="34"/>
    <n v="94.38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7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8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19"/>
    <x v="34"/>
    <n v="94.37"/>
    <n v="1"/>
    <n v="0"/>
    <s v="EQL56"/>
    <n v="377.5"/>
    <n v="0"/>
    <s v="ร้านที่9"/>
    <s v="นายอนุลักษณ์ คนบุญ"/>
    <s v="103/1 หมู่ที่ 2 ต.ผาจุก_x000a__x000a_เมืองอุตรดิตถ์/ Mueang Uttaraditอุตรดิตถ์/ Uttaradit_x000a_53000"/>
    <s v="53000"/>
    <s v="660818878675"/>
    <s v="06/01/2025 11:49"/>
    <s v="-"/>
    <s v="Kerry_dropoff"/>
    <s v="Lazada"/>
    <s v="lazada"/>
    <s v=""/>
    <s v="LEXDO0124078419"/>
    <s v="06/01/2025 11:49"/>
  </r>
  <r>
    <x v="0"/>
    <x v="0"/>
    <n v="100"/>
    <n v="2"/>
    <n v="0"/>
    <s v="EQL55"/>
    <n v="200"/>
    <n v="0"/>
    <s v="ร้านที่4"/>
    <s v="พ***ักดิ์ ค***นัด"/>
    <s v="ยโสธร"/>
    <s v="-"/>
    <s v=""/>
    <s v="06/01/2025 11:48"/>
    <s v="-"/>
    <s v="Flash Express Thailand COD"/>
    <s v="Tiktok"/>
    <s v="จ่ายทีหลัง / COD"/>
    <s v=""/>
    <s v="THT32081E6K834Z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4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1999999999999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67"/>
    <n v="72.83"/>
    <n v="1"/>
    <n v="0"/>
    <s v="EQL54"/>
    <n v="436.98"/>
    <n v="0"/>
    <s v="ร้านที่10"/>
    <s v="รัตนา หลีอรัญ​"/>
    <s v="477/6 หมู่2 ตำบลคลองขุด_x000a__x000a_เมืองสตูล/ Mueang Satunสตูล/ Satun_x000a_91000"/>
    <s v="91000"/>
    <s v="660819690158"/>
    <s v="06/01/2025 11:49"/>
    <s v="-"/>
    <s v="Kerry_dropoff"/>
    <s v="Lazada"/>
    <s v="lazada"/>
    <s v=""/>
    <s v="TH72016P2C879B"/>
    <s v="06/01/2025 11:48"/>
  </r>
  <r>
    <x v="0"/>
    <x v="0"/>
    <n v="100"/>
    <n v="2"/>
    <n v="0"/>
    <s v="EQL53"/>
    <n v="200"/>
    <n v="0"/>
    <s v="ร้านที่1"/>
    <s v="อ***ี  ส***สนี"/>
    <s v="จันทบุรี"/>
    <s v="-"/>
    <s v=""/>
    <s v="06/01/2025 11:48"/>
    <s v="-"/>
    <s v="J&amp;T COD"/>
    <s v="Tiktok"/>
    <s v="จ่ายทีหลัง / COD"/>
    <s v=""/>
    <s v="754369281595"/>
    <s v="06/01/2025 11:48"/>
  </r>
  <r>
    <x v="0"/>
    <x v="0"/>
    <n v="100"/>
    <n v="1"/>
    <n v="0"/>
    <s v="EQL52"/>
    <n v="106"/>
    <n v="6"/>
    <s v="ร้านที่4"/>
    <s v="ท***ิณา ว***ชัย"/>
    <s v="กาฬสินธุ์"/>
    <s v="-"/>
    <s v=""/>
    <s v="06/01/2025 11:48"/>
    <s v="-"/>
    <s v="Flash Express Thailand"/>
    <s v="Tiktok"/>
    <s v="tiktok"/>
    <s v=""/>
    <s v="THT43011E69QK7Z"/>
    <s v="06/01/2025 11:47"/>
  </r>
  <r>
    <x v="1"/>
    <x v="1"/>
    <n v="200"/>
    <n v="1"/>
    <n v="0"/>
    <s v="EQL50"/>
    <n v="200"/>
    <n v="0"/>
    <s v="ร้านที่1"/>
    <s v="เ*** ข***มงคล"/>
    <s v="นนทบุรี"/>
    <s v="-"/>
    <s v=""/>
    <s v="06/01/2025 11:43"/>
    <s v="-"/>
    <s v="J&amp;T COD"/>
    <s v="Tiktok"/>
    <s v="จ่ายทีหลัง / COD"/>
    <s v=""/>
    <s v="754379808696"/>
    <s v="06/01/2025 11:43"/>
  </r>
  <r>
    <x v="3"/>
    <x v="3"/>
    <n v="100"/>
    <n v="2"/>
    <n v="0"/>
    <s v="EQL49"/>
    <n v="200"/>
    <n v="0"/>
    <s v="ร้านที่4"/>
    <s v="น***รัชฎาภรณ์  จ***ล"/>
    <s v="ชุมพร"/>
    <s v="-"/>
    <s v=""/>
    <s v="06/01/2025 11:39"/>
    <s v="-"/>
    <s v="Flash Express Thailand COD"/>
    <s v="Tiktok"/>
    <s v="จ่ายทีหลัง / COD"/>
    <s v=""/>
    <s v="THT70041E6T5B7Z"/>
    <s v="06/01/2025 11:39"/>
  </r>
  <r>
    <x v="0"/>
    <x v="0"/>
    <n v="100"/>
    <n v="1"/>
    <n v="0"/>
    <s v="EQL48"/>
    <n v="200"/>
    <n v="0"/>
    <s v="ร้านที่2"/>
    <s v="ณ***ิกา  ใ***"/>
    <s v="ลำปาง"/>
    <s v="-"/>
    <s v=""/>
    <s v="06/01/2025 11:38"/>
    <s v="-"/>
    <s v="J&amp;T COD"/>
    <s v="Tiktok"/>
    <s v="จ่ายทีหลัง / COD"/>
    <s v=""/>
    <s v="754361464522"/>
    <s v="06/01/2025 11:38"/>
  </r>
  <r>
    <x v="3"/>
    <x v="3"/>
    <n v="100"/>
    <n v="1"/>
    <n v="0"/>
    <s v="EQL48"/>
    <n v="200"/>
    <n v="0"/>
    <s v="ร้านที่2"/>
    <s v="ณ***ิกา  ใ***"/>
    <s v="ลำปาง"/>
    <s v="-"/>
    <s v=""/>
    <s v="06/01/2025 11:38"/>
    <s v="-"/>
    <s v="J&amp;T COD"/>
    <s v="Tiktok"/>
    <s v="จ่ายทีหลัง / COD"/>
    <s v=""/>
    <s v="754361464522"/>
    <s v="06/01/2025 11:38"/>
  </r>
  <r>
    <x v="22"/>
    <x v="22"/>
    <n v="130"/>
    <n v="1"/>
    <n v="0"/>
    <s v="EQL47"/>
    <n v="159"/>
    <n v="29"/>
    <s v="ร้านที่1"/>
    <s v="ว******น"/>
    <s v="******B813, ตำบลสนามจันทร์, อำเภอเมืองนครปฐม จังหวัดนครปฐม 73000 ตำบลพระปฐมเจดีย์ อำเภอเมืองนครปฐม จังหวัดนครปฐม 73000"/>
    <s v="73000"/>
    <s v="78"/>
    <s v="06/01/2025 11:38"/>
    <s v="-"/>
    <s v="SPX Express"/>
    <s v="Shopee"/>
    <s v="shopee"/>
    <s v=""/>
    <s v="TH251954711681M"/>
    <s v="06/01/2025 11:37"/>
  </r>
  <r>
    <x v="13"/>
    <x v="30"/>
    <n v="112.35"/>
    <n v="1"/>
    <n v="0"/>
    <s v="EQL43"/>
    <n v="112.35"/>
    <n v="0"/>
    <s v="ร้านที่9"/>
    <s v="ชูชัย ทิพย์ประชาบาล"/>
    <s v="223/201 หมู่ 7 ซอย 13 หมู่บ้านเพอร์เฟคโฮม ต.คลองสวนพลูอ.พระนครศรีอยุธยา จ.พระนครศรีอยุธยา_x000a__x000a_พระนครศรีอยุธยา/ Phra Nakhon Si Ayutthayaพระนครศรีอยุธยา/ Phra Nakhon Si Ayutthaya_x000a_13000"/>
    <s v="13000"/>
    <s v="660909849956"/>
    <s v="06/01/2025 11:31"/>
    <s v="-"/>
    <s v="Kerry_dropoff"/>
    <s v="Lazada"/>
    <s v="lazada"/>
    <s v=""/>
    <s v="LEXDO0124102574"/>
    <s v="06/01/2025 11:29"/>
  </r>
  <r>
    <x v="0"/>
    <x v="0"/>
    <n v="100"/>
    <n v="2"/>
    <n v="0"/>
    <s v="EQL41"/>
    <n v="206"/>
    <n v="6"/>
    <s v="ร้านที่1"/>
    <s v="น***ตน์  บ***ู"/>
    <s v="ฉะเชิงเทรา"/>
    <s v="-"/>
    <s v=""/>
    <s v="06/01/2025 11:24"/>
    <s v="-"/>
    <s v="J&amp;T COD"/>
    <s v="Tiktok"/>
    <s v="จ่ายทีหลัง / COD"/>
    <s v=""/>
    <s v="754375687590"/>
    <s v="06/01/2025 11:24"/>
  </r>
  <r>
    <x v="19"/>
    <x v="34"/>
    <n v="142.31"/>
    <n v="1"/>
    <n v="0"/>
    <s v="EQL40"/>
    <n v="147.31"/>
    <n v="5"/>
    <s v="ร้านที่9"/>
    <s v="น้องเฌอเอม(ร้านวัชราภรณ์)"/>
    <s v="111หมู่ 4 · เขาสามสิบหาบ/ Khao Sam Sip Hap_x000a__x000a_ท่ามะกา/ Tha Makaกาญจนบุรี/ Kanchanaburi_x000a_71120"/>
    <s v="71120"/>
    <s v="660890677354"/>
    <s v="06/01/2025 11:21"/>
    <s v="-"/>
    <s v="Kerry_dropoff"/>
    <s v="Lazada"/>
    <s v="lazada"/>
    <s v=""/>
    <s v="LEXDO0124099908"/>
    <s v="06/01/2025 11:21"/>
  </r>
  <r>
    <x v="10"/>
    <x v="10"/>
    <n v="200"/>
    <n v="1"/>
    <n v="0"/>
    <s v="EQL38"/>
    <n v="300"/>
    <n v="0"/>
    <s v="ร้านที่2"/>
    <s v="ส***พร บ***อด"/>
    <s v="นครราชสีมา"/>
    <s v="-"/>
    <s v=""/>
    <s v="06/01/2025 11:17"/>
    <s v="-"/>
    <s v="J&amp;T COD"/>
    <s v="Tiktok"/>
    <s v="จ่ายทีหลัง / COD"/>
    <s v=""/>
    <s v="754361290502"/>
    <s v="06/01/2025 11:17"/>
  </r>
  <r>
    <x v="3"/>
    <x v="3"/>
    <n v="100"/>
    <n v="1"/>
    <n v="0"/>
    <s v="EQL38"/>
    <n v="300"/>
    <n v="0"/>
    <s v="ร้านที่2"/>
    <s v="ส***พร บ***อด"/>
    <s v="นครราชสีมา"/>
    <s v="-"/>
    <s v=""/>
    <s v="06/01/2025 11:17"/>
    <s v="-"/>
    <s v="J&amp;T COD"/>
    <s v="Tiktok"/>
    <s v="จ่ายทีหลัง / COD"/>
    <s v=""/>
    <s v="754361290502"/>
    <s v="06/01/2025 11:17"/>
  </r>
  <r>
    <x v="41"/>
    <x v="18"/>
    <n v="396.7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4"/>
    <x v="4"/>
    <n v="103.97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34"/>
    <x v="45"/>
    <n v="320.3999999999999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7"/>
  </r>
  <r>
    <x v="2"/>
    <x v="2"/>
    <n v="99.8"/>
    <n v="1"/>
    <n v="0"/>
    <s v="EQL37"/>
    <n v="949.95"/>
    <n v="29"/>
    <s v="ร้านที่1"/>
    <s v="นาง แดง   คำบุญเกิด"/>
    <s v="บ้านเลขที่194ม.1บ.หนองไผ่ ต.หนองไผ่ · หนองไผ่/ Nong Phai_x000a__x000a_หนองหาน/ Nong Hanอุดรธานี/ Udon Thani_x000a_41130"/>
    <s v="41130"/>
    <s v="660807358183"/>
    <s v="06/01/2025 11:16"/>
    <s v="-"/>
    <s v="Kerry_dropoff"/>
    <s v="Lazada"/>
    <s v="lazada"/>
    <s v=""/>
    <s v="TH38066P2CUA4J"/>
    <s v="06/01/2025 11:16"/>
  </r>
  <r>
    <x v="9"/>
    <x v="4"/>
    <n v="100"/>
    <n v="2"/>
    <n v="0"/>
    <s v="EQL36"/>
    <n v="200"/>
    <n v="0"/>
    <s v="ร้านที่1"/>
    <s v=" อ***า ร***ชุลี"/>
    <s v="เชียงใหม่"/>
    <s v="-"/>
    <s v=""/>
    <s v="06/01/2025 11:16"/>
    <s v="-"/>
    <s v="J&amp;T COD"/>
    <s v="Tiktok"/>
    <s v="จ่ายทีหลัง / COD"/>
    <s v=""/>
    <s v="754382297513"/>
    <s v="06/01/2025 11:16"/>
  </r>
  <r>
    <x v="1"/>
    <x v="1"/>
    <n v="200"/>
    <n v="1"/>
    <n v="0"/>
    <s v="EQL35"/>
    <n v="200"/>
    <n v="0"/>
    <s v="ร้านที่1"/>
    <s v="ส***ศ บ***งทรัพย์"/>
    <s v="นครสวรรค์"/>
    <s v="-"/>
    <s v=""/>
    <s v="06/01/2025 11:15"/>
    <s v="-"/>
    <s v="J&amp;T COD"/>
    <s v="Tiktok"/>
    <s v="จ่ายทีหลัง / COD"/>
    <s v=""/>
    <s v="754307400696"/>
    <s v="06/01/2025 11:15"/>
  </r>
  <r>
    <x v="3"/>
    <x v="3"/>
    <n v="100"/>
    <n v="2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0"/>
    <x v="0"/>
    <n v="100"/>
    <n v="2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9"/>
    <x v="4"/>
    <n v="100"/>
    <n v="1"/>
    <n v="0"/>
    <s v="EQL34"/>
    <n v="500"/>
    <n v="0"/>
    <s v="ร้านที่4"/>
    <s v="ป***ศา ห***ฤทธิ์"/>
    <s v="ตำบล กาฬสินธุ์"/>
    <s v="-"/>
    <s v=""/>
    <s v="06/01/2025 11:13"/>
    <s v="-"/>
    <s v="Flash Express Thailand COD"/>
    <s v="Tiktok"/>
    <s v="จ่ายทีหลัง / COD"/>
    <s v=""/>
    <s v="THT43101E6V4B1Z"/>
    <s v="06/01/2025 11:14"/>
  </r>
  <r>
    <x v="19"/>
    <x v="34"/>
    <n v="142.31"/>
    <n v="1"/>
    <n v="0"/>
    <s v="EQL33"/>
    <n v="147.31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6/01/2025 11:13"/>
    <s v="-"/>
    <s v="Kerry_dropoff"/>
    <s v="Lazada"/>
    <s v="lazada"/>
    <s v=""/>
    <s v="TH28136P2B1U8E"/>
    <s v="06/01/2025 11:13"/>
  </r>
  <r>
    <x v="0"/>
    <x v="0"/>
    <n v="100"/>
    <n v="1"/>
    <n v="0"/>
    <s v="EQL31"/>
    <n v="106"/>
    <n v="6"/>
    <s v="ร้านที่2"/>
    <s v="บ***ัด  อ***สะอาด"/>
    <s v="ตาก"/>
    <s v="-"/>
    <s v=""/>
    <s v="06/01/2025 11:08"/>
    <s v="-"/>
    <s v="J&amp;T COD"/>
    <s v="Tiktok"/>
    <s v="จ่ายทีหลัง / COD"/>
    <s v=""/>
    <s v="754333701671"/>
    <s v="06/01/2025 11:08"/>
  </r>
  <r>
    <x v="13"/>
    <x v="30"/>
    <n v="112.35"/>
    <n v="1"/>
    <n v="0"/>
    <s v="EQL30"/>
    <n v="117.35"/>
    <n v="5"/>
    <s v="ร้านที่9"/>
    <s v="รัชฎาพร สีกาแก้ว"/>
    <s v="3หมู่12ตำบลคำโตนด_x000a__x000a_ประจันตคาม/ Prachantakhamปราจีนบุรี/ Prachin Buri_x000a_25130"/>
    <s v="25130"/>
    <s v="660926388718"/>
    <s v="06/01/2025 11:08"/>
    <s v="-"/>
    <s v="Kerry_dropoff"/>
    <s v="Lazada"/>
    <s v="lazada"/>
    <s v=""/>
    <s v="TH25056P2NHC0F"/>
    <s v="06/01/2025 11:08"/>
  </r>
  <r>
    <x v="9"/>
    <x v="4"/>
    <n v="100"/>
    <n v="1"/>
    <n v="0"/>
    <s v="EQL29"/>
    <n v="100"/>
    <n v="0"/>
    <s v="ร้านที่2"/>
    <s v="ภ***ชิตา"/>
    <s v="ลพบุรี"/>
    <s v="-"/>
    <s v=""/>
    <s v="06/01/2025 11:07"/>
    <s v="-"/>
    <s v="J&amp;T COD"/>
    <s v="Tiktok"/>
    <s v="จ่ายทีหลัง / COD"/>
    <s v=""/>
    <s v="754365869552"/>
    <s v="06/01/2025 11:07"/>
  </r>
  <r>
    <x v="0"/>
    <x v="0"/>
    <n v="100"/>
    <n v="1"/>
    <n v="0"/>
    <s v="EQL28"/>
    <n v="300"/>
    <n v="0"/>
    <s v="ร้านที่4"/>
    <s v="ค***ักรวุฒิ บ***่วยคุ้ม"/>
    <s v="กรุงเทพฯ"/>
    <s v="-"/>
    <s v=""/>
    <s v="06/01/2025 11:06"/>
    <s v="-"/>
    <s v="Flash Express Thailand"/>
    <s v="Tiktok"/>
    <s v="tiktok"/>
    <s v=""/>
    <s v="THT01291E6Z434Z"/>
    <s v="06/01/2025 11:06"/>
  </r>
  <r>
    <x v="10"/>
    <x v="10"/>
    <n v="200"/>
    <n v="1"/>
    <n v="0"/>
    <s v="EQL28"/>
    <n v="300"/>
    <n v="0"/>
    <s v="ร้านที่4"/>
    <s v="ค***ักรวุฒิ บ***่วยคุ้ม"/>
    <s v="กรุงเทพฯ"/>
    <s v="-"/>
    <s v=""/>
    <s v="06/01/2025 11:06"/>
    <s v="-"/>
    <s v="Flash Express Thailand"/>
    <s v="Tiktok"/>
    <s v="tiktok"/>
    <s v=""/>
    <s v="THT01291E6Z434Z"/>
    <s v="06/01/2025 11:06"/>
  </r>
  <r>
    <x v="19"/>
    <x v="34"/>
    <n v="112.35"/>
    <n v="1"/>
    <n v="0"/>
    <s v="EQL27"/>
    <n v="117.35"/>
    <n v="5"/>
    <s v="ร้านที่9"/>
    <s v="กัลยา สุกสอาด"/>
    <s v="ซอยลาดพร้าว80แยก26 65 เ  จันทร์สิริอพาร์ตเม้น · วังทองหลาง/ Wang Thonglang_x000a__x000a_วังทองหลาง/ Wang Thonglangกรุงเทพมหานคร/ Bangkok_x000a_10310"/>
    <s v="10310"/>
    <s v="660858375251"/>
    <s v="06/01/2025 11:06"/>
    <s v="-"/>
    <s v="Kerry_dropoff"/>
    <s v="Lazada"/>
    <s v="lazada"/>
    <s v=""/>
    <s v="LEXDO0124096074"/>
    <s v="06/01/2025 11:05"/>
  </r>
  <r>
    <x v="19"/>
    <x v="34"/>
    <n v="97.37"/>
    <n v="1"/>
    <n v="0"/>
    <s v="EQL26"/>
    <n v="199.74"/>
    <n v="5"/>
    <s v="ร้านที่9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6/01/2025 11:04"/>
    <s v="-"/>
    <s v="Kerry_dropoff"/>
    <s v="Lazada"/>
    <s v="lazada"/>
    <s v=""/>
    <s v="LEXDO0124084611"/>
    <s v="06/01/2025 11:04"/>
  </r>
  <r>
    <x v="19"/>
    <x v="34"/>
    <n v="97.37"/>
    <n v="1"/>
    <n v="0"/>
    <s v="EQL26"/>
    <n v="199.74"/>
    <n v="5"/>
    <s v="ร้านที่9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6/01/2025 11:04"/>
    <s v="-"/>
    <s v="Kerry_dropoff"/>
    <s v="Lazada"/>
    <s v="lazada"/>
    <s v=""/>
    <s v="LEXDO0124084611"/>
    <s v="06/01/2025 11:04"/>
  </r>
  <r>
    <x v="0"/>
    <x v="0"/>
    <n v="100"/>
    <n v="1"/>
    <n v="0"/>
    <s v="EQL23"/>
    <n v="100"/>
    <n v="0"/>
    <s v="ร้านที่1"/>
    <s v="ธ*** ช***เขตรการณ์"/>
    <s v="พระนครศรีอยุธยา"/>
    <s v="-"/>
    <s v=""/>
    <s v="06/01/2025 10:57"/>
    <s v="-"/>
    <s v="J&amp;T COD"/>
    <s v="Tiktok"/>
    <s v="จ่ายทีหลัง / COD"/>
    <s v=""/>
    <s v="754361106671"/>
    <s v="06/01/2025 10:57"/>
  </r>
  <r>
    <x v="1"/>
    <x v="1"/>
    <n v="200"/>
    <n v="1"/>
    <n v="0"/>
    <s v="EQL22"/>
    <n v="200"/>
    <n v="0"/>
    <s v="ร้านที่2"/>
    <s v="ส***ตย์   เ***นุสิทธิ์"/>
    <s v="สุราษฎร์ธานี"/>
    <s v="-"/>
    <s v=""/>
    <s v="06/01/2025 10:56"/>
    <s v="-"/>
    <s v="J&amp;T Express"/>
    <s v="Tiktok"/>
    <s v="tiktok"/>
    <s v=""/>
    <s v="754345376713"/>
    <s v="06/01/2025 10:55"/>
  </r>
  <r>
    <x v="10"/>
    <x v="10"/>
    <n v="200"/>
    <n v="1"/>
    <n v="0"/>
    <s v="EQL21"/>
    <n v="200"/>
    <n v="0"/>
    <s v="ร้านที่1"/>
    <s v="ธ***ิพย์​ ​***ือ​วงค์​ปัญญา​"/>
    <s v="เชียงราย"/>
    <s v="-"/>
    <s v=""/>
    <s v="06/01/2025 10:54"/>
    <s v="-"/>
    <s v="J&amp;T COD"/>
    <s v="Tiktok"/>
    <s v="จ่ายทีหลัง / COD"/>
    <s v=""/>
    <s v="754392301666"/>
    <s v="06/01/2025 10:54"/>
  </r>
  <r>
    <x v="0"/>
    <x v="0"/>
    <n v="100"/>
    <n v="1"/>
    <n v="0"/>
    <s v="EQL20"/>
    <n v="106"/>
    <n v="6"/>
    <s v="ร้านที่1"/>
    <s v="ล***า ต***รณ์"/>
    <s v="อุบลราชธานี"/>
    <s v="-"/>
    <s v=""/>
    <s v="06/01/2025 10:46"/>
    <s v="-"/>
    <s v="J&amp;T COD"/>
    <s v="Tiktok"/>
    <s v="จ่ายทีหลัง / COD"/>
    <s v=""/>
    <s v="754346812645"/>
    <s v="06/01/2025 10:46"/>
  </r>
  <r>
    <x v="9"/>
    <x v="4"/>
    <n v="100"/>
    <n v="1"/>
    <n v="0"/>
    <s v="EQL19"/>
    <n v="106"/>
    <n v="6"/>
    <s v="ร้านที่1"/>
    <s v="n***a j***a"/>
    <s v="กระบี่"/>
    <s v="-"/>
    <s v=""/>
    <s v="06/01/2025 10:41"/>
    <s v="-"/>
    <s v="J&amp;T COD"/>
    <s v="Tiktok"/>
    <s v="จ่ายทีหลัง / COD"/>
    <s v=""/>
    <s v="754331462533"/>
    <s v="06/01/2025 10:41"/>
  </r>
  <r>
    <x v="3"/>
    <x v="3"/>
    <n v="100"/>
    <n v="1"/>
    <n v="0"/>
    <s v="EQL18"/>
    <n v="145"/>
    <n v="45"/>
    <s v="ร้านที่4"/>
    <s v="จ***ร์เพ็ญ ค***นรัมย์"/>
    <s v="สระแก้ว"/>
    <s v="-"/>
    <s v=""/>
    <s v="06/01/2025 10:41"/>
    <s v="-"/>
    <s v="Flash Express Thailand"/>
    <s v="Tiktok"/>
    <s v="tiktok"/>
    <s v=""/>
    <s v="THT26051E6BAP5Z"/>
    <s v="06/01/2025 10:41"/>
  </r>
  <r>
    <x v="13"/>
    <x v="30"/>
    <n v="112.35"/>
    <n v="1"/>
    <n v="0"/>
    <s v="EQL17"/>
    <n v="112.35"/>
    <n v="0"/>
    <s v="ร้านที่9"/>
    <s v="อนิชา ชื่นเจริญ"/>
    <s v="ถนนกำแพงเพชร-พิจิตร 43 ม.7 ต.นิคมทุ่งโพธิ์ทะเล อ.เมือง จ. กำแพงเพชร_x000a__x000a_เมืองกำแพงเพชร/ Mueang Kamphaeng Phetกำแพงเพชร/ Kamphaeng Phet_x000a_62000"/>
    <s v="62000"/>
    <s v="660839135697"/>
    <s v="06/01/2025 10:40"/>
    <s v="-"/>
    <s v="Kerry_dropoff"/>
    <s v="Lazada"/>
    <s v="lazada"/>
    <s v=""/>
    <s v="LEXDO0124100166"/>
    <s v="06/01/2025 10:40"/>
  </r>
  <r>
    <x v="18"/>
    <x v="18"/>
    <n v="106.58"/>
    <n v="1"/>
    <n v="0"/>
    <s v="EQL16"/>
    <n v="111.58"/>
    <n v="5"/>
    <s v="ร้านที่1"/>
    <s v="คมคาย สิงห์คํา"/>
    <s v="60หมู่1 · บ้านกลาง/ Ban Klang_x000a__x000a_สันป่าตอง/ San Pa Tongเชียงใหม่/ Chiang Mai_x000a_50120"/>
    <s v="50120"/>
    <s v="660933077859"/>
    <s v="06/01/2025 10:38"/>
    <s v="-"/>
    <s v="Kerry_dropoff"/>
    <s v="Lazada"/>
    <s v="lazada"/>
    <s v=""/>
    <s v="LEXPU0442876116"/>
    <s v="06/01/2025 10:38"/>
  </r>
  <r>
    <x v="0"/>
    <x v="0"/>
    <n v="100"/>
    <n v="1"/>
    <n v="0"/>
    <s v="EQL15"/>
    <n v="106"/>
    <n v="6"/>
    <s v="ร้านที่2"/>
    <s v="ส***ชตรา"/>
    <s v="ขอนแก่น"/>
    <s v="-"/>
    <s v=""/>
    <s v="06/01/2025 10:38"/>
    <s v="-"/>
    <s v="J&amp;T COD"/>
    <s v="Tiktok"/>
    <s v="จ่ายทีหลัง / COD"/>
    <s v=""/>
    <s v="754383419646"/>
    <s v="06/01/2025 10:38"/>
  </r>
  <r>
    <x v="3"/>
    <x v="8"/>
    <n v="90.43"/>
    <n v="1"/>
    <n v="0"/>
    <s v="EQL14"/>
    <n v="135.43"/>
    <n v="45"/>
    <s v="ร้านที่6"/>
    <s v="พัชรดา"/>
    <s v="บ้านเลขที่2หมู่1ตำบลหนองเดิ่นทาา · บุ่งคล้า/ Bung Khla_x000a__x000a_บุ่งคล้า/ Bung Khlaบึงกาฬ/ Bueng Kan_x000a_38000"/>
    <s v="38000"/>
    <s v="660986808825"/>
    <s v="06/01/2025 10:38"/>
    <s v="-"/>
    <s v="Kerry_dropoff"/>
    <s v="Lazada"/>
    <s v="lazada"/>
    <s v=""/>
    <s v="TH35056P20HZ2C"/>
    <s v="06/01/2025 10:38"/>
  </r>
  <r>
    <x v="4"/>
    <x v="4"/>
    <n v="100"/>
    <n v="1"/>
    <n v="0"/>
    <s v="EQL13"/>
    <n v="106"/>
    <n v="6"/>
    <s v="ร้านที่1"/>
    <s v="ร***ทิพวรรณพันธ์ไม้"/>
    <s v="สกลนคร"/>
    <s v="-"/>
    <s v=""/>
    <s v="06/01/2025 10:37"/>
    <s v="-"/>
    <s v="J&amp;T COD"/>
    <s v="Tiktok"/>
    <s v="จ่ายทีหลัง / COD"/>
    <s v=""/>
    <s v="754341092525"/>
    <s v="06/01/2025 10:37"/>
  </r>
  <r>
    <x v="0"/>
    <x v="0"/>
    <n v="100"/>
    <n v="3"/>
    <n v="0"/>
    <s v="EQL12"/>
    <n v="300"/>
    <n v="0"/>
    <s v="ร้านที่2"/>
    <s v="ส***ชา"/>
    <s v="ปทุมธานี"/>
    <s v="-"/>
    <s v=""/>
    <s v="06/01/2025 10:36"/>
    <s v="-"/>
    <s v="J&amp;T COD"/>
    <s v="Tiktok"/>
    <s v="จ่ายทีหลัง / COD"/>
    <s v=""/>
    <s v="754378581530"/>
    <s v="06/01/2025 10:36"/>
  </r>
  <r>
    <x v="46"/>
    <x v="68"/>
    <n v="1200"/>
    <n v="1"/>
    <n v="0"/>
    <s v="EQL11"/>
    <n v="1200"/>
    <n v="0"/>
    <s v="ร้านที่4"/>
    <s v="P***rose"/>
    <s v="เลย"/>
    <s v="-"/>
    <s v=""/>
    <s v="06/01/2025 10:35"/>
    <s v="-"/>
    <s v="Flash Express Thailand COD"/>
    <s v="Tiktok"/>
    <s v="จ่ายทีหลัง / COD"/>
    <s v=""/>
    <s v="THT39051E6E1B3Z"/>
    <s v="06/01/2025 10:35"/>
  </r>
  <r>
    <x v="19"/>
    <x v="34"/>
    <n v="127.33"/>
    <n v="1"/>
    <n v="0"/>
    <s v="EQL9"/>
    <n v="259.66000000000003"/>
    <n v="5"/>
    <s v="ร้านที่9"/>
    <s v="คุณปิติมา"/>
    <s v="307 หมู่ 3 ต.พะวง_x000a__x000a_เมืองสงขลา/ Mueang Songkhlaสงขลา/ Songkhla_x000a_90100"/>
    <s v="90100"/>
    <s v="660958589348"/>
    <s v="06/01/2025 10:34"/>
    <s v="-"/>
    <s v="Kerry_dropoff"/>
    <s v="Lazada"/>
    <s v="lazada"/>
    <s v=""/>
    <s v="LEXDO0124098210"/>
    <s v="06/01/2025 10:33"/>
  </r>
  <r>
    <x v="13"/>
    <x v="30"/>
    <n v="127.33"/>
    <n v="1"/>
    <n v="0"/>
    <s v="EQL9"/>
    <n v="259.66000000000003"/>
    <n v="5"/>
    <s v="ร้านที่9"/>
    <s v="คุณปิติมา"/>
    <s v="307 หมู่ 3 ต.พะวง_x000a__x000a_เมืองสงขลา/ Mueang Songkhlaสงขลา/ Songkhla_x000a_90100"/>
    <s v="90100"/>
    <s v="660958589348"/>
    <s v="06/01/2025 10:34"/>
    <s v="-"/>
    <s v="Kerry_dropoff"/>
    <s v="Lazada"/>
    <s v="lazada"/>
    <s v=""/>
    <s v="LEXDO0124098210"/>
    <s v="06/01/2025 10:33"/>
  </r>
  <r>
    <x v="44"/>
    <x v="18"/>
    <n v="306.87"/>
    <n v="1"/>
    <n v="0"/>
    <s v="EQL7"/>
    <n v="559.29999999999995"/>
    <n v="19"/>
    <s v="ร้านที่1"/>
    <s v="สวัสดิ์ สีแดง"/>
    <s v="63 หมู่ 4 ต.ยางสักฯ · ยางสักกระโพหลุ่ม/ Yang Sak Krapho Lum_x000a__x000a_ม่วงสามสิบ/ Muang Sam Sipอุบลราชธานี/ Ubon Ratchathani_x000a_34140"/>
    <s v="34140"/>
    <s v="660871093400"/>
    <s v="06/01/2025 10:30"/>
    <s v="-"/>
    <s v="Kerry_dropoff"/>
    <s v="Lazada"/>
    <s v="lazada"/>
    <s v=""/>
    <s v="TH31126P1KHX1G"/>
    <s v="06/01/2025 10:30"/>
  </r>
  <r>
    <x v="38"/>
    <x v="41"/>
    <n v="157.91999999999999"/>
    <n v="1"/>
    <n v="0"/>
    <s v="EQL7"/>
    <n v="559.29999999999995"/>
    <n v="19"/>
    <s v="ร้านที่1"/>
    <s v="สวัสดิ์ สีแดง"/>
    <s v="63 หมู่ 4 ต.ยางสักฯ · ยางสักกระโพหลุ่ม/ Yang Sak Krapho Lum_x000a__x000a_ม่วงสามสิบ/ Muang Sam Sipอุบลราชธานี/ Ubon Ratchathani_x000a_34140"/>
    <s v="34140"/>
    <s v="660871093400"/>
    <s v="06/01/2025 10:30"/>
    <s v="-"/>
    <s v="Kerry_dropoff"/>
    <s v="Lazada"/>
    <s v="lazada"/>
    <s v=""/>
    <s v="TH31126P1KHX1G"/>
    <s v="06/01/2025 10:30"/>
  </r>
  <r>
    <x v="10"/>
    <x v="10"/>
    <n v="200"/>
    <n v="1"/>
    <n v="0"/>
    <s v="EQL5"/>
    <n v="200"/>
    <n v="0"/>
    <s v="ร้านที่4"/>
    <s v="ส***ดา น***ปี่ยม"/>
    <s v="สุพรรณบุรี"/>
    <s v="-"/>
    <s v=""/>
    <s v="06/01/2025 10:25"/>
    <s v="-"/>
    <s v="Flash Express Thailand COD"/>
    <s v="Tiktok"/>
    <s v="จ่ายทีหลัง / COD"/>
    <s v=""/>
    <s v="THT14091E6ZXF5Z"/>
    <s v="06/01/2025 10:25"/>
  </r>
  <r>
    <x v="19"/>
    <x v="19"/>
    <n v="250"/>
    <n v="1"/>
    <n v="0"/>
    <s v="EQL2"/>
    <n v="250"/>
    <n v="0"/>
    <s v="ร้านที่4"/>
    <s v="พ***า จ***ะเสวี"/>
    <s v="นนทบุรี"/>
    <s v="-"/>
    <s v=""/>
    <s v="06/01/2025 10:20"/>
    <s v="-"/>
    <s v="Flash Express Thailand COD"/>
    <s v="Tiktok"/>
    <s v="จ่ายทีหลัง / COD"/>
    <s v=""/>
    <s v="THT03011E63TU9Z"/>
    <s v="06/01/2025 10:20"/>
  </r>
  <r>
    <x v="3"/>
    <x v="8"/>
    <n v="90.43"/>
    <n v="1"/>
    <n v="0"/>
    <s v="EQL1"/>
    <n v="95.43"/>
    <n v="5"/>
    <s v="ร้านที่6"/>
    <s v="ปิยะนุช คำบุญเรือง ชิคชิค"/>
    <s v="12/7 ถนนรอบเวียงประตูกลอง · เวียง/ Wiang_x000a__x000a_เมืองพะเยา/ Mueang Phayaoพะเยา/ Phayao_x000a_56000"/>
    <s v="56000"/>
    <s v="660875440853"/>
    <s v="06/01/2025 10:20"/>
    <s v="-"/>
    <s v="Kerry_dropoff"/>
    <s v="Lazada"/>
    <s v="lazada"/>
    <s v=""/>
    <s v="LEXPU0442874588"/>
    <s v="06/01/2025 10:20"/>
  </r>
  <r>
    <x v="7"/>
    <x v="62"/>
    <n v="58.43"/>
    <n v="1"/>
    <n v="0"/>
    <s v="EQL0"/>
    <n v="58.43"/>
    <n v="0"/>
    <s v="ร้านที่10"/>
    <s v="ปราณี.ราฟิอิ"/>
    <s v="131.ม.4.ต.พุขาม.อ.วิเชียรบุรี_x000a__x000a_วิเชียรบุรี/ Wichian Buriเพชรบูรณ์/ Phetchabun_x000a_67180"/>
    <s v="67180"/>
    <s v="660966547984"/>
    <s v="06/01/2025 10:17"/>
    <s v="-"/>
    <s v="Kerry_dropoff"/>
    <s v="Lazada"/>
    <s v="lazada"/>
    <s v=""/>
    <s v="TH63056P21M17H"/>
    <s v="06/01/2025 10:17"/>
  </r>
  <r>
    <x v="10"/>
    <x v="10"/>
    <n v="200"/>
    <n v="1"/>
    <n v="0"/>
    <s v="EQK99"/>
    <n v="200"/>
    <n v="0"/>
    <s v="ร้านที่4"/>
    <s v="จ**"/>
    <s v="พะเยา"/>
    <s v="-"/>
    <s v=""/>
    <s v="06/01/2025 10:14"/>
    <s v="-"/>
    <s v="Flash Express Thailand COD"/>
    <s v="Tiktok"/>
    <s v="จ่ายทีหลัง / COD"/>
    <s v=""/>
    <s v="THT53061E799H6Z"/>
    <s v="06/01/2025 10:17"/>
  </r>
  <r>
    <x v="0"/>
    <x v="0"/>
    <n v="100"/>
    <n v="1"/>
    <n v="0"/>
    <s v="EQK98"/>
    <n v="106"/>
    <n v="6"/>
    <s v="ร้านที่2"/>
    <s v="พ***รถศรีสวัสดิ์"/>
    <s v="กรุงเทพฯ"/>
    <s v="-"/>
    <s v=""/>
    <s v="06/01/2025 10:14"/>
    <s v="-"/>
    <s v="J&amp;T COD"/>
    <s v="Tiktok"/>
    <s v="จ่ายทีหลัง / COD"/>
    <s v=""/>
    <s v="754367211636"/>
    <s v="06/01/2025 10:16"/>
  </r>
  <r>
    <x v="19"/>
    <x v="19"/>
    <n v="250"/>
    <n v="1"/>
    <n v="0"/>
    <s v="EQK96"/>
    <n v="250"/>
    <n v="0"/>
    <s v="ร้านที่2"/>
    <s v="ธ***ภัสสร์  ศ***มื่นไวย"/>
    <s v="นครราชสีมา"/>
    <s v="-"/>
    <s v=""/>
    <s v="06/01/2025 10:15"/>
    <s v="-"/>
    <s v="J&amp;T COD"/>
    <s v="Tiktok"/>
    <s v="จ่ายทีหลัง / COD"/>
    <s v=""/>
    <s v="754327663526"/>
    <s v="06/01/2025 10:16"/>
  </r>
  <r>
    <x v="1"/>
    <x v="1"/>
    <n v="200"/>
    <n v="1"/>
    <n v="0"/>
    <s v="EQK95"/>
    <n v="200"/>
    <n v="0"/>
    <s v="ร้านที่1"/>
    <s v="ส***ทธิ์ ห***อย"/>
    <s v="กรุงเทพมหานคร"/>
    <s v="-"/>
    <s v=""/>
    <s v="06/01/2025 10:12"/>
    <s v="-"/>
    <s v="J&amp;T COD"/>
    <s v="Tiktok"/>
    <s v="จ่ายทีหลัง / COD"/>
    <s v=""/>
    <s v="754386102621"/>
    <s v="06/01/2025 10:15"/>
  </r>
  <r>
    <x v="3"/>
    <x v="8"/>
    <n v="90.43"/>
    <n v="1"/>
    <n v="0"/>
    <s v="EQK94"/>
    <n v="203.91"/>
    <n v="5"/>
    <s v="ร้านที่6"/>
    <s v="ดีดี้"/>
    <s v="71 หมู่ 11 · ดอนดู่/ Don Du_x000a__x000a_หนองสองห้อง/ Nong Song Hongขอนแก่น/ Khon Kaen_x000a_40190"/>
    <s v="40190"/>
    <s v="660927765361"/>
    <s v="06/01/2025 10:13"/>
    <s v="-"/>
    <s v="Kerry_dropoff"/>
    <s v="Lazada"/>
    <s v="lazada"/>
    <s v=""/>
    <s v="520004274322"/>
    <s v="06/01/2025 10:13"/>
  </r>
  <r>
    <x v="3"/>
    <x v="8"/>
    <n v="90.43"/>
    <n v="1"/>
    <n v="0"/>
    <s v="EQK94"/>
    <n v="203.91"/>
    <n v="5"/>
    <s v="ร้านที่6"/>
    <s v="ดีดี้"/>
    <s v="71 หมู่ 11 · ดอนดู่/ Don Du_x000a__x000a_หนองสองห้อง/ Nong Song Hongขอนแก่น/ Khon Kaen_x000a_40190"/>
    <s v="40190"/>
    <s v="660927765361"/>
    <s v="06/01/2025 10:13"/>
    <s v="-"/>
    <s v="Kerry_dropoff"/>
    <s v="Lazada"/>
    <s v="lazada"/>
    <s v=""/>
    <s v="520004274322"/>
    <s v="06/01/2025 10:13"/>
  </r>
  <r>
    <x v="4"/>
    <x v="4"/>
    <n v="100"/>
    <n v="1"/>
    <n v="0"/>
    <s v="EQK93"/>
    <n v="200"/>
    <n v="0"/>
    <s v="ร้านที่1"/>
    <s v="ย***น ศ***ิน"/>
    <s v="นครปฐม"/>
    <s v="-"/>
    <s v=""/>
    <s v="06/01/2025 10:08"/>
    <s v="-"/>
    <s v="J&amp;T Express"/>
    <s v="Tiktok"/>
    <s v="tiktok"/>
    <s v=""/>
    <s v="754326309656"/>
    <s v="06/01/2025 10:12"/>
  </r>
  <r>
    <x v="9"/>
    <x v="4"/>
    <n v="100"/>
    <n v="1"/>
    <n v="0"/>
    <s v="EQK93"/>
    <n v="200"/>
    <n v="0"/>
    <s v="ร้านที่1"/>
    <s v="ย***น ศ***ิน"/>
    <s v="นครปฐม"/>
    <s v="-"/>
    <s v=""/>
    <s v="06/01/2025 10:08"/>
    <s v="-"/>
    <s v="J&amp;T Express"/>
    <s v="Tiktok"/>
    <s v="tiktok"/>
    <s v=""/>
    <s v="754326309656"/>
    <s v="06/01/2025 10:12"/>
  </r>
  <r>
    <x v="10"/>
    <x v="10"/>
    <n v="200"/>
    <n v="1"/>
    <n v="0"/>
    <s v="EQK92"/>
    <n v="200"/>
    <n v="0"/>
    <s v="ร้านที่1"/>
    <s v="ช***พร"/>
    <s v="ระยอง"/>
    <s v="-"/>
    <s v=""/>
    <s v="06/01/2025 10:07"/>
    <s v="-"/>
    <s v="J&amp;T COD"/>
    <s v="Tiktok"/>
    <s v="จ่ายทีหลัง / COD"/>
    <s v=""/>
    <s v="754395300654"/>
    <s v="06/01/2025 10:12"/>
  </r>
  <r>
    <x v="0"/>
    <x v="0"/>
    <n v="100"/>
    <n v="1"/>
    <n v="0"/>
    <s v="EQK91"/>
    <n v="106"/>
    <n v="6"/>
    <s v="ร้านที่1"/>
    <s v="จ***ร์เพ็ญ เ***สภา"/>
    <s v="กาฬสินธุ์"/>
    <s v="-"/>
    <s v=""/>
    <s v="06/01/2025 10:08"/>
    <s v="-"/>
    <s v="J&amp;T Express"/>
    <s v="Tiktok"/>
    <s v="tiktok"/>
    <s v=""/>
    <s v="754370810642"/>
    <s v="06/01/2025 10:11"/>
  </r>
  <r>
    <x v="0"/>
    <x v="0"/>
    <n v="100"/>
    <n v="1"/>
    <n v="0"/>
    <s v="EQK89"/>
    <n v="145"/>
    <n v="45"/>
    <s v="ร้านที่1"/>
    <s v="เ***ยร  เ***์จงใจ"/>
    <s v="ราชบุรี"/>
    <s v="-"/>
    <s v=""/>
    <s v="06/01/2025 10:01"/>
    <s v="-"/>
    <s v="J&amp;T COD"/>
    <s v="Tiktok"/>
    <s v="จ่ายทีหลัง / COD"/>
    <s v=""/>
    <s v="754369813632"/>
    <s v="06/01/2025 10:09"/>
  </r>
  <r>
    <x v="4"/>
    <x v="4"/>
    <n v="100"/>
    <n v="1"/>
    <n v="0"/>
    <s v="EQK88"/>
    <n v="100"/>
    <n v="0"/>
    <s v="ร้านที่4"/>
    <s v="ศ***วรรณ เ***ช้ำ"/>
    <s v="ชัยนาท"/>
    <s v="-"/>
    <s v=""/>
    <s v="06/01/2025 10:00"/>
    <s v="-"/>
    <s v="Flash Express Thailand COD"/>
    <s v="Tiktok"/>
    <s v="จ่ายทีหลัง / COD"/>
    <s v=""/>
    <s v="THT09051E6NMT7Z"/>
    <s v="06/01/2025 10:04"/>
  </r>
  <r>
    <x v="1"/>
    <x v="1"/>
    <n v="200"/>
    <n v="1"/>
    <n v="0"/>
    <s v="EQK89"/>
    <n v="200"/>
    <n v="0"/>
    <s v="ร้านที่2"/>
    <s v="ว***า  ว***ยะภูรี"/>
    <s v="นครศรีธรรมราช"/>
    <s v="-"/>
    <s v=""/>
    <s v="06/01/2025 10:01"/>
    <s v="-"/>
    <s v="J&amp;T COD"/>
    <s v="Tiktok"/>
    <s v="จ่ายทีหลัง / COD"/>
    <s v=""/>
    <s v="754352403696"/>
    <s v="06/01/2025 10:02"/>
  </r>
  <r>
    <x v="4"/>
    <x v="4"/>
    <n v="100"/>
    <n v="1"/>
    <n v="0"/>
    <s v="EQK87"/>
    <n v="145"/>
    <n v="45"/>
    <s v="ร้านที่1"/>
    <s v="ว***ทนา ส***"/>
    <s v="สุรินทร์"/>
    <s v="-"/>
    <s v=""/>
    <s v="06/01/2025 09:59"/>
    <s v="-"/>
    <s v="J&amp;T COD"/>
    <s v="Tiktok"/>
    <s v="จ่ายทีหลัง / COD"/>
    <s v=""/>
    <s v="754314297516"/>
    <s v="06/01/2025 09:59"/>
  </r>
  <r>
    <x v="13"/>
    <x v="30"/>
    <n v="149.80000000000001"/>
    <n v="1"/>
    <n v="0"/>
    <s v="EQK87"/>
    <n v="194.8"/>
    <n v="45"/>
    <s v="ร้านที่9"/>
    <s v="สุพัตรา  สัตยภิรณ์"/>
    <s v="48/17  ม.3  ต.หนองบัว อ.บ้านโพธิ์_x000a__x000a_บ้านโพธิ์/ Ban Phoฉะเชิงเทรา/ Chachoengsao_x000a_24140"/>
    <s v="24140"/>
    <s v="660896844824"/>
    <s v="06/01/2025 09:58"/>
    <s v="-"/>
    <s v="Kerry_dropoff"/>
    <s v="Lazada"/>
    <s v="lazada"/>
    <s v=""/>
    <s v="LEXDO0124101518"/>
    <s v="06/01/2025 09:58"/>
  </r>
  <r>
    <x v="0"/>
    <x v="0"/>
    <n v="100"/>
    <n v="1"/>
    <n v="0"/>
    <s v="EQK86"/>
    <n v="106"/>
    <n v="6"/>
    <s v="ร้านที่1"/>
    <s v="โ*** แ***ม"/>
    <s v="สตูล"/>
    <s v="-"/>
    <s v=""/>
    <s v="06/01/2025 09:57"/>
    <s v="-"/>
    <s v="J&amp;T COD"/>
    <s v="Tiktok"/>
    <s v="จ่ายทีหลัง / COD"/>
    <s v=""/>
    <s v="754391211641"/>
    <s v="06/01/2025 09:57"/>
  </r>
  <r>
    <x v="0"/>
    <x v="0"/>
    <n v="100"/>
    <n v="1"/>
    <n v="0"/>
    <s v="EQK85"/>
    <n v="106"/>
    <n v="6"/>
    <s v="ร้านที่1"/>
    <s v="ร***าภรณ์ ก***ล"/>
    <s v="สมุทรปราการ"/>
    <s v="-"/>
    <s v=""/>
    <s v="06/01/2025 09:56"/>
    <s v="-"/>
    <s v="J&amp;T COD"/>
    <s v="Tiktok"/>
    <s v="จ่ายทีหลัง / COD"/>
    <s v=""/>
    <s v="754389216630"/>
    <s v="06/01/2025 09:56"/>
  </r>
  <r>
    <x v="1"/>
    <x v="1"/>
    <n v="200"/>
    <n v="1"/>
    <n v="0"/>
    <s v="EQK84"/>
    <n v="200"/>
    <n v="0"/>
    <s v="ร้านที่1"/>
    <s v="ย***น ห***ศิลป์"/>
    <s v="Nong Bua Lam Phu"/>
    <s v="-"/>
    <s v=""/>
    <s v="06/01/2025 09:54"/>
    <s v="-"/>
    <s v="J&amp;T COD"/>
    <s v="Tiktok"/>
    <s v="จ่ายทีหลัง / COD"/>
    <s v=""/>
    <s v="754341203696"/>
    <s v="06/01/2025 09:55"/>
  </r>
  <r>
    <x v="0"/>
    <x v="0"/>
    <n v="100"/>
    <n v="1"/>
    <n v="0"/>
    <s v="EQK83"/>
    <n v="200"/>
    <n v="0"/>
    <s v="ร้านที่4"/>
    <s v="m***"/>
    <s v="กรุงเทพฯ"/>
    <s v="-"/>
    <s v=""/>
    <s v="06/01/2025 09:54"/>
    <s v="-"/>
    <s v="Flash Express Thailand COD"/>
    <s v="Tiktok"/>
    <s v="จ่ายทีหลัง / COD"/>
    <s v=""/>
    <s v="THT01261E6TMG1Z"/>
    <s v="06/01/2025 09:54"/>
  </r>
  <r>
    <x v="3"/>
    <x v="3"/>
    <n v="100"/>
    <n v="1"/>
    <n v="0"/>
    <s v="EQK83"/>
    <n v="200"/>
    <n v="0"/>
    <s v="ร้านที่4"/>
    <s v="m***"/>
    <s v="กรุงเทพฯ"/>
    <s v="-"/>
    <s v=""/>
    <s v="06/01/2025 09:54"/>
    <s v="-"/>
    <s v="Flash Express Thailand COD"/>
    <s v="Tiktok"/>
    <s v="จ่ายทีหลัง / COD"/>
    <s v=""/>
    <s v="THT01261E6TMG1Z"/>
    <s v="06/01/2025 09:54"/>
  </r>
  <r>
    <x v="0"/>
    <x v="0"/>
    <n v="100"/>
    <n v="2"/>
    <n v="0"/>
    <s v="EQK82"/>
    <n v="200"/>
    <n v="0"/>
    <s v="ร้านที่4"/>
    <s v="ช***พร"/>
    <s v="ระยอง"/>
    <s v="-"/>
    <s v=""/>
    <s v="06/01/2025 09:54"/>
    <s v="-"/>
    <s v="Flash Express Thailand COD"/>
    <s v="Tiktok"/>
    <s v="จ่ายทีหลัง / COD"/>
    <s v=""/>
    <s v="THT21011E6K728Z"/>
    <s v="06/01/2025 09:54"/>
  </r>
  <r>
    <x v="1"/>
    <x v="1"/>
    <n v="200"/>
    <n v="1"/>
    <n v="0"/>
    <s v="EQK81"/>
    <n v="200"/>
    <n v="0"/>
    <s v="ร้านที่1"/>
    <s v="ก***จิตต์  ค***ัสดิ์"/>
    <s v="สุราษฎร์ธานี"/>
    <s v="-"/>
    <s v=""/>
    <s v="06/01/2025 09:54"/>
    <s v="-"/>
    <s v="J&amp;T COD"/>
    <s v="Tiktok"/>
    <s v="จ่ายทีหลัง / COD"/>
    <s v=""/>
    <s v="754328108623"/>
    <s v="06/01/2025 09:54"/>
  </r>
  <r>
    <x v="4"/>
    <x v="4"/>
    <n v="100"/>
    <n v="1"/>
    <n v="0"/>
    <s v="EQK80"/>
    <n v="200"/>
    <n v="0"/>
    <s v="ร้านที่4"/>
    <s v="ค***ักดิ์ชาย น***เบญสวัสดีปีใหม่ค่ะ"/>
    <s v="นนทบุรี"/>
    <s v="-"/>
    <s v=""/>
    <s v="06/01/2025 09:52"/>
    <s v="-"/>
    <s v="Flash Express Thailand"/>
    <s v="Tiktok"/>
    <s v="tiktok"/>
    <s v="รบกวนไม่ต้องใส่ใบออเดอร์หรือราคาลงกล่องค่ะ"/>
    <s v="THT03041E72FG6Z"/>
    <s v="06/01/2025 09:52"/>
  </r>
  <r>
    <x v="3"/>
    <x v="3"/>
    <n v="100"/>
    <n v="1"/>
    <n v="0"/>
    <s v="EQK80"/>
    <n v="200"/>
    <n v="0"/>
    <s v="ร้านที่4"/>
    <s v="ค***ักดิ์ชาย น***เบญสวัสดีปีใหม่ค่ะ"/>
    <s v="นนทบุรี"/>
    <s v="-"/>
    <s v=""/>
    <s v="06/01/2025 09:52"/>
    <s v="-"/>
    <s v="Flash Express Thailand"/>
    <s v="Tiktok"/>
    <s v="tiktok"/>
    <s v="รบกวนไม่ต้องใส่ใบออเดอร์หรือราคาลงกล่องค่ะ"/>
    <s v="THT03041E72FG6Z"/>
    <s v="06/01/2025 09:52"/>
  </r>
  <r>
    <x v="24"/>
    <x v="32"/>
    <n v="504.52"/>
    <n v="1"/>
    <n v="0"/>
    <s v="EQK79"/>
    <n v="538.08000000000004"/>
    <n v="33.56"/>
    <s v="ร้านที่6"/>
    <s v="นาท แก้วภา"/>
    <s v="52 ม.7 ต.คูบางหลวง อ.ลาดหลุมแก้ว จ.ปทุมธานี 12140_x000a__x000a_ลาดหลุมแก้ว/ Lat Lum Kaeoปทุมธานี/ Pathum Thani_x000a_12140"/>
    <s v="12140"/>
    <s v="660800653990"/>
    <s v="06/01/2025 09:52"/>
    <s v="-"/>
    <s v="Kerry_dropoff"/>
    <s v="Lazada"/>
    <s v="lazada"/>
    <s v=""/>
    <s v="LEXPU0442851266"/>
    <s v="06/01/2025 09:52"/>
  </r>
  <r>
    <x v="10"/>
    <x v="10"/>
    <n v="200"/>
    <n v="1"/>
    <n v="0"/>
    <s v="EQK78"/>
    <n v="200"/>
    <n v="0"/>
    <s v="ร้านที่4"/>
    <s v="ส***ช"/>
    <s v="สมุทรสาคร"/>
    <s v="-"/>
    <s v=""/>
    <s v="06/01/2025 09:51"/>
    <s v="-"/>
    <s v="Flash Express Thailand COD"/>
    <s v="Tiktok"/>
    <s v="จ่ายทีหลัง / COD"/>
    <s v=""/>
    <s v="THT16011E70VH1Z"/>
    <s v="06/01/2025 09:51"/>
  </r>
  <r>
    <x v="0"/>
    <x v="0"/>
    <n v="100"/>
    <n v="1"/>
    <n v="0"/>
    <s v="EQK77"/>
    <n v="100"/>
    <n v="0"/>
    <s v="ร้านที่1"/>
    <s v="น***ุฒินันท์ ศ***ึ่งจั่น"/>
    <s v="สุพรรณบุรี"/>
    <s v="-"/>
    <s v=""/>
    <s v="06/01/2025 09:48"/>
    <s v="-"/>
    <s v="J&amp;T COD"/>
    <s v="Tiktok"/>
    <s v="จ่ายทีหลัง / COD"/>
    <s v=""/>
    <s v="754368611636"/>
    <s v="06/01/2025 09:49"/>
  </r>
  <r>
    <x v="0"/>
    <x v="0"/>
    <n v="100"/>
    <n v="1"/>
    <n v="0"/>
    <s v="EQK76"/>
    <n v="300"/>
    <n v="0"/>
    <s v="ร้านที่4"/>
    <s v="น***มจิตร เ***ดขุนทด"/>
    <s v="นครราชสีมา"/>
    <s v="-"/>
    <s v=""/>
    <s v="06/01/2025 09:17"/>
    <s v="-"/>
    <s v="Flash Express Thailand"/>
    <s v="Tiktok"/>
    <s v="tiktok"/>
    <s v=""/>
    <s v="THT27081E6NVP3Z"/>
    <s v="06/01/2025 09:47"/>
  </r>
  <r>
    <x v="10"/>
    <x v="10"/>
    <n v="200"/>
    <n v="1"/>
    <n v="0"/>
    <s v="EQK76"/>
    <n v="300"/>
    <n v="0"/>
    <s v="ร้านที่4"/>
    <s v="น***มจิตร เ***ดขุนทด"/>
    <s v="นครราชสีมา"/>
    <s v="-"/>
    <s v=""/>
    <s v="06/01/2025 09:17"/>
    <s v="-"/>
    <s v="Flash Express Thailand"/>
    <s v="Tiktok"/>
    <s v="tiktok"/>
    <s v=""/>
    <s v="THT27081E6NVP3Z"/>
    <s v="06/01/2025 09:47"/>
  </r>
  <r>
    <x v="0"/>
    <x v="0"/>
    <n v="100"/>
    <n v="1"/>
    <n v="0"/>
    <s v="EQK75"/>
    <n v="106"/>
    <n v="6"/>
    <s v="ร้านที่1"/>
    <s v="พ***ไพ ส***รณเพชร"/>
    <s v="กรุงเทพฯ"/>
    <s v="-"/>
    <s v=""/>
    <s v="06/01/2025 09:45"/>
    <s v="-"/>
    <s v="J&amp;T COD"/>
    <s v="Tiktok"/>
    <s v="จ่ายทีหลัง / COD"/>
    <s v=""/>
    <s v="754329210633"/>
    <s v="06/01/2025 09:46"/>
  </r>
  <r>
    <x v="0"/>
    <x v="0"/>
    <n v="100"/>
    <n v="1"/>
    <n v="0"/>
    <s v="EQK74"/>
    <n v="106"/>
    <n v="6"/>
    <s v="ร้านที่1"/>
    <s v="ป***ถนา ช***รัมย์"/>
    <s v="ระยอง"/>
    <s v="-"/>
    <s v=""/>
    <s v="06/01/2025 09:45"/>
    <s v="-"/>
    <s v="J&amp;T COD"/>
    <s v="Tiktok"/>
    <s v="จ่ายทีหลัง / COD"/>
    <s v=""/>
    <s v="754388100664"/>
    <s v="06/01/2025 09:45"/>
  </r>
  <r>
    <x v="4"/>
    <x v="4"/>
    <n v="100"/>
    <n v="1"/>
    <n v="0"/>
    <s v="EQK73"/>
    <n v="106"/>
    <n v="6"/>
    <s v="ร้านที่2"/>
    <s v="พ***ิดา"/>
    <s v="ราชบุรี"/>
    <s v="-"/>
    <s v=""/>
    <s v="06/01/2025 09:45"/>
    <s v="-"/>
    <s v="J&amp;T COD"/>
    <s v="Tiktok"/>
    <s v="จ่ายทีหลัง / COD"/>
    <s v=""/>
    <s v="754391997553"/>
    <s v="06/01/2025 09:45"/>
  </r>
  <r>
    <x v="1"/>
    <x v="1"/>
    <n v="200"/>
    <n v="1"/>
    <n v="0"/>
    <s v="EQK72"/>
    <n v="200"/>
    <n v="0"/>
    <s v="ร้านที่1"/>
    <s v="ช** เ***ัคดี"/>
    <s v="ตรัง"/>
    <s v="-"/>
    <s v=""/>
    <s v="06/01/2025 09:45"/>
    <s v="-"/>
    <s v="J&amp;T Express"/>
    <s v="Tiktok"/>
    <s v="tiktok"/>
    <s v=""/>
    <s v="754347909626"/>
    <s v="06/01/2025 09:44"/>
  </r>
  <r>
    <x v="26"/>
    <x v="56"/>
    <n v="240"/>
    <n v="1"/>
    <n v="0"/>
    <s v="EQK71"/>
    <n v="240"/>
    <n v="0"/>
    <s v="ร้านที่4"/>
    <s v="ช***พร"/>
    <s v="ระยอง"/>
    <s v="-"/>
    <s v=""/>
    <s v="06/01/2025 09:44"/>
    <s v="-"/>
    <s v="Flash Express Thailand COD"/>
    <s v="Tiktok"/>
    <s v="จ่ายทีหลัง / COD"/>
    <s v=""/>
    <s v="THT21011E6HMV0Z"/>
    <s v="06/01/2025 09:44"/>
  </r>
  <r>
    <x v="4"/>
    <x v="4"/>
    <n v="100"/>
    <n v="1"/>
    <n v="0"/>
    <s v="EQK70"/>
    <n v="106"/>
    <n v="6"/>
    <s v="ร้านที่1"/>
    <s v="ร***ดา ล***"/>
    <s v="นครพนม"/>
    <s v="-"/>
    <s v=""/>
    <s v="06/01/2025 09:43"/>
    <s v="-"/>
    <s v="J&amp;T COD"/>
    <s v="Tiktok"/>
    <s v="จ่ายทีหลัง / COD"/>
    <s v=""/>
    <s v="754306296516"/>
    <s v="06/01/2025 09:43"/>
  </r>
  <r>
    <x v="0"/>
    <x v="0"/>
    <n v="100"/>
    <n v="1"/>
    <n v="0"/>
    <s v="EQK69"/>
    <n v="106"/>
    <n v="6"/>
    <s v="ร้านที่1"/>
    <s v="N*** N***"/>
    <s v="นครพนม"/>
    <s v="-"/>
    <s v=""/>
    <s v="06/01/2025 09:41"/>
    <s v="-"/>
    <s v="J&amp;T Express"/>
    <s v="Tiktok"/>
    <s v="tiktok"/>
    <s v=""/>
    <s v="754397502644"/>
    <s v="06/01/2025 09:41"/>
  </r>
  <r>
    <x v="13"/>
    <x v="30"/>
    <n v="112.1"/>
    <n v="1"/>
    <n v="0"/>
    <s v="EQK68"/>
    <n v="117.1"/>
    <n v="5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06/01/2025 09:40"/>
    <s v="-"/>
    <s v="Kerry_dropoff"/>
    <s v="Lazada"/>
    <s v="lazada"/>
    <s v=""/>
    <s v="LEXDO0124101559"/>
    <s v="06/01/2025 09:40"/>
  </r>
  <r>
    <x v="19"/>
    <x v="34"/>
    <n v="92.96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5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5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19"/>
    <x v="34"/>
    <n v="92.94"/>
    <n v="1"/>
    <n v="0"/>
    <s v="EQK66"/>
    <n v="376.8"/>
    <n v="5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06/01/2025 09:38"/>
    <s v="-"/>
    <s v="Kerry_dropoff"/>
    <s v="Lazada"/>
    <s v="lazada"/>
    <s v=""/>
    <s v="TH18086P1HE94D"/>
    <s v="06/01/2025 09:38"/>
  </r>
  <r>
    <x v="24"/>
    <x v="26"/>
    <n v="420.96"/>
    <n v="1"/>
    <n v="0"/>
    <s v="EQK65"/>
    <n v="439.96"/>
    <n v="19"/>
    <s v="ร้านที่9"/>
    <s v="ขนิษฐา"/>
    <s v="สำนักงานรักษาความปลอดภัย อผศ. ซอย รามอินทรา 25 อาคาร 12 ชั้น · อนุสาวรีย์/ Anusawari_x000a__x000a_บางเขน/ Bang Khenกรุงเทพมหานคร/ Bangkok_x000a_10220"/>
    <s v="10220"/>
    <s v="660890311126"/>
    <s v="06/01/2025 09:38"/>
    <s v="-"/>
    <s v="Kerry_dropoff"/>
    <s v="Lazada"/>
    <s v="lazada"/>
    <s v=""/>
    <s v="LEXDO0124083893"/>
    <s v="06/01/2025 09:38"/>
  </r>
  <r>
    <x v="1"/>
    <x v="1"/>
    <n v="200"/>
    <n v="1"/>
    <n v="0"/>
    <s v="EQK63"/>
    <n v="200"/>
    <n v="0"/>
    <s v="ร้านที่1"/>
    <s v="อ***ักดิ์ น***าลา"/>
    <s v="ปราจีนบุรี"/>
    <s v="-"/>
    <s v=""/>
    <s v="06/01/2025 09:31"/>
    <s v="-"/>
    <s v="J&amp;T Express"/>
    <s v="Tiktok"/>
    <s v="tiktok"/>
    <s v=""/>
    <s v="754379162773"/>
    <s v="06/01/2025 09:30"/>
  </r>
  <r>
    <x v="3"/>
    <x v="3"/>
    <n v="100"/>
    <n v="2"/>
    <n v="0"/>
    <s v="EQK62"/>
    <n v="200"/>
    <n v="0"/>
    <s v="ร้านที่4"/>
    <s v="อ***รา ป***คะ"/>
    <s v="ขอนแก่น"/>
    <s v="-"/>
    <s v=""/>
    <s v="06/01/2025 09:29"/>
    <s v="-"/>
    <s v="Flash Express Thailand COD"/>
    <s v="Tiktok"/>
    <s v="จ่ายทีหลัง / COD"/>
    <s v=""/>
    <s v="THT37121E737D0Z"/>
    <s v="06/01/2025 09:29"/>
  </r>
  <r>
    <x v="1"/>
    <x v="1"/>
    <n v="200"/>
    <n v="1"/>
    <n v="0"/>
    <s v="EQK61"/>
    <n v="200"/>
    <n v="0"/>
    <s v="ร้านที่1"/>
    <s v="ป***ตา ม***งษ์"/>
    <s v="นครราชสีมา"/>
    <s v="-"/>
    <s v=""/>
    <s v="06/01/2025 09:28"/>
    <s v="-"/>
    <s v="J&amp;T Express"/>
    <s v="Tiktok"/>
    <s v="tiktok"/>
    <s v=""/>
    <s v="754389403681"/>
    <s v="06/01/2025 09:28"/>
  </r>
  <r>
    <x v="0"/>
    <x v="0"/>
    <n v="100"/>
    <n v="1"/>
    <n v="0"/>
    <s v="EQK59"/>
    <n v="106"/>
    <n v="6"/>
    <s v="ร้านที่1"/>
    <s v="ร***ธีรา  ย***ลิ่น"/>
    <s v="ระยอง"/>
    <s v="-"/>
    <s v=""/>
    <s v="06/01/2025 09:22"/>
    <s v="-"/>
    <s v="J&amp;T COD"/>
    <s v="Tiktok"/>
    <s v="จ่ายทีหลัง / COD"/>
    <s v=""/>
    <s v="754333285753"/>
    <s v="06/01/2025 09:22"/>
  </r>
  <r>
    <x v="32"/>
    <x v="47"/>
    <n v="143.69999999999999"/>
    <n v="1"/>
    <n v="0"/>
    <s v="EQK58"/>
    <n v="148.69999999999999"/>
    <n v="5"/>
    <s v="ร้านที่8"/>
    <s v="ลัยลา เพ็งสะและ"/>
    <s v="126/230 ซ.รามอินทรา40แยก8 ถ.รามอินทรา  แขวงนวลจันทร์ เขตบึงกุ่ม  กทม._x000a__x000a_บึงกุ่ม/ Bueng Kumกรุงเทพมหานคร/ Bangkok_x000a_10240"/>
    <s v="10240"/>
    <s v="660969317602"/>
    <s v="06/01/2025 09:19"/>
    <s v="-"/>
    <s v="Kerry_dropoff"/>
    <s v="Lazada"/>
    <s v="lazada"/>
    <s v=""/>
    <s v="LEXPU0442895654"/>
    <s v="06/01/2025 09:19"/>
  </r>
  <r>
    <x v="9"/>
    <x v="4"/>
    <n v="100"/>
    <n v="1"/>
    <n v="0"/>
    <s v="EQK57"/>
    <n v="106"/>
    <n v="6"/>
    <s v="ร้านที่4"/>
    <s v="ก***รัตน์ พ***อก"/>
    <s v="ปราจีนบุรี"/>
    <s v="-"/>
    <s v=""/>
    <s v="06/01/2025 09:17"/>
    <s v="-"/>
    <s v="Flash Express Thailand COD"/>
    <s v="Tiktok"/>
    <s v="จ่ายทีหลัง / COD"/>
    <s v=""/>
    <s v="THT25011E6B9Y7Z"/>
    <s v="06/01/2025 09:17"/>
  </r>
  <r>
    <x v="0"/>
    <x v="0"/>
    <n v="100"/>
    <n v="1"/>
    <n v="0"/>
    <s v="EQK56"/>
    <n v="200"/>
    <n v="0"/>
    <s v="ร้านที่4"/>
    <s v="จ***า"/>
    <s v="ราชบุรี"/>
    <s v="-"/>
    <s v=""/>
    <s v="06/01/2025 09:17"/>
    <s v="-"/>
    <s v="Flash Express Thailand COD"/>
    <s v="Tiktok"/>
    <s v="จ่ายทีหลัง / COD"/>
    <s v=""/>
    <s v="THT12061E6E470Z"/>
    <s v="06/01/2025 09:17"/>
  </r>
  <r>
    <x v="4"/>
    <x v="4"/>
    <n v="100"/>
    <n v="1"/>
    <n v="0"/>
    <s v="EQK56"/>
    <n v="200"/>
    <n v="0"/>
    <s v="ร้านที่4"/>
    <s v="จ***า"/>
    <s v="ราชบุรี"/>
    <s v="-"/>
    <s v=""/>
    <s v="06/01/2025 09:17"/>
    <s v="-"/>
    <s v="Flash Express Thailand COD"/>
    <s v="Tiktok"/>
    <s v="จ่ายทีหลัง / COD"/>
    <s v=""/>
    <s v="THT12061E6E470Z"/>
    <s v="06/01/2025 09:17"/>
  </r>
  <r>
    <x v="32"/>
    <x v="53"/>
    <n v="199"/>
    <n v="1"/>
    <n v="0"/>
    <s v="EQK55"/>
    <n v="234"/>
    <n v="35"/>
    <s v="ร้านที่1"/>
    <s v="น******ล"/>
    <s v="******2  ขี่รถเข้าสะพานเลียบคลองเล็กๆตรงเข้าไป) แขวงบางไผ่ เขตบางแค จังหวัดกรุงเทพมหานคร 10160"/>
    <s v="10160"/>
    <s v="91"/>
    <s v="06/01/2025 09:15"/>
    <s v="-"/>
    <s v="SPX Express"/>
    <s v="Shopee"/>
    <s v="shopee"/>
    <s v=""/>
    <s v="TH258196388823L"/>
    <s v="06/01/2025 09:15"/>
  </r>
  <r>
    <x v="13"/>
    <x v="30"/>
    <n v="119.84"/>
    <n v="1"/>
    <n v="0"/>
    <s v="EQK54"/>
    <n v="119.84"/>
    <n v="0"/>
    <s v="ร้านที่9"/>
    <s v="สุชาวดี คล้ายขำ"/>
    <s v="163/1 หมู่3,ซอย3 ,ถนนเพชรเกษม · พระประโทน/ Phra Prathon_x000a__x000a_เมืองนครปฐม/ Mueang Nakhon Pathomนครปฐม/ Nakhon Pathom_x000a_73000"/>
    <s v="73000"/>
    <s v="660637146648"/>
    <s v="06/01/2025 09:15"/>
    <s v="-"/>
    <s v="Kerry_dropoff"/>
    <s v="Lazada"/>
    <s v="lazada"/>
    <s v=""/>
    <s v="LEXDO0124100859"/>
    <s v="06/01/2025 09:15"/>
  </r>
  <r>
    <x v="19"/>
    <x v="34"/>
    <n v="142.31"/>
    <n v="1"/>
    <n v="0"/>
    <s v="EQK53"/>
    <n v="142.31"/>
    <n v="0"/>
    <s v="ร้านที่9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06/01/2025 09:14"/>
    <s v="-"/>
    <s v="Kerry_dropoff"/>
    <s v="Lazada"/>
    <s v="lazada"/>
    <s v=""/>
    <s v="LEXDO0124099591"/>
    <s v="06/01/2025 09:14"/>
  </r>
  <r>
    <x v="0"/>
    <x v="0"/>
    <n v="100"/>
    <n v="1"/>
    <n v="0"/>
    <s v="EQK52"/>
    <n v="300"/>
    <n v="0"/>
    <s v="ร้านที่1"/>
    <s v="ต**"/>
    <s v="หนองบัวลำภู"/>
    <s v="-"/>
    <s v=""/>
    <s v="06/01/2025 09:14"/>
    <s v="-"/>
    <s v="J&amp;T COD"/>
    <s v="Tiktok"/>
    <s v="จ่ายทีหลัง / COD"/>
    <s v=""/>
    <s v="754311350575"/>
    <s v="06/01/2025 09:14"/>
  </r>
  <r>
    <x v="15"/>
    <x v="15"/>
    <n v="200"/>
    <n v="1"/>
    <n v="0"/>
    <s v="EQK52"/>
    <n v="300"/>
    <n v="0"/>
    <s v="ร้านที่1"/>
    <s v="ต**"/>
    <s v="หนองบัวลำภู"/>
    <s v="-"/>
    <s v=""/>
    <s v="06/01/2025 09:14"/>
    <s v="-"/>
    <s v="J&amp;T COD"/>
    <s v="Tiktok"/>
    <s v="จ่ายทีหลัง / COD"/>
    <s v=""/>
    <s v="754311350575"/>
    <s v="06/01/2025 09:14"/>
  </r>
  <r>
    <x v="10"/>
    <x v="10"/>
    <n v="200"/>
    <n v="1"/>
    <n v="0"/>
    <s v="EQK50"/>
    <n v="200"/>
    <n v="0"/>
    <s v="ร้านที่4"/>
    <s v="ป***าพร ช***จันทร์"/>
    <s v="นนทบุรี"/>
    <s v="-"/>
    <s v=""/>
    <s v="06/01/2025 09:10"/>
    <s v="-"/>
    <s v="Flash Express Thailand COD"/>
    <s v="Tiktok"/>
    <s v="จ่ายทีหลัง / COD"/>
    <s v=""/>
    <s v="THT03031E70WC7Z"/>
    <s v="06/01/2025 09:10"/>
  </r>
  <r>
    <x v="39"/>
    <x v="55"/>
    <n v="236.73"/>
    <n v="1"/>
    <n v="0"/>
    <s v="EQK49"/>
    <n v="473.45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6/01/2025 09:05"/>
    <s v="-"/>
    <s v="Kerry_dropoff"/>
    <s v="Lazada"/>
    <s v="lazada"/>
    <s v=""/>
    <s v="TH28146P2BBG4C"/>
    <s v="06/01/2025 09:05"/>
  </r>
  <r>
    <x v="39"/>
    <x v="55"/>
    <n v="236.72"/>
    <n v="1"/>
    <n v="0"/>
    <s v="EQK49"/>
    <n v="473.45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6/01/2025 09:05"/>
    <s v="-"/>
    <s v="Kerry_dropoff"/>
    <s v="Lazada"/>
    <s v="lazada"/>
    <s v=""/>
    <s v="TH28146P2BBG4C"/>
    <s v="06/01/2025 09:04"/>
  </r>
  <r>
    <x v="19"/>
    <x v="34"/>
    <n v="119.84"/>
    <n v="1"/>
    <n v="0"/>
    <s v="EQK48"/>
    <n v="119.84"/>
    <n v="0"/>
    <s v="ร้านที่9"/>
    <s v="ดารุณี กาศโอสถ"/>
    <s v="459/424 หมู่บ้านชินลาภซอย7(ฝั่งขวามือ) หมู่7  ถ.มิตรภาพ ต.สมอแข_x000a__x000a_เมืองพิษณุโลก/ Mueang Phitsanulokพิษณุโลก/ Phitsanulok_x000a_65000"/>
    <s v="65000"/>
    <s v="660818052637"/>
    <s v="06/01/2025 09:03"/>
    <s v="-"/>
    <s v="Kerry_dropoff"/>
    <s v="Lazada"/>
    <s v="lazada"/>
    <s v=""/>
    <s v="LEXDO0124099490"/>
    <s v="06/01/2025 09:03"/>
  </r>
  <r>
    <x v="3"/>
    <x v="3"/>
    <n v="100"/>
    <n v="1"/>
    <n v="0"/>
    <s v="EQK47"/>
    <n v="200"/>
    <n v="0"/>
    <s v="ร้านที่1"/>
    <s v="ธ***น์  โ***มา"/>
    <s v="สระบุรี"/>
    <s v="-"/>
    <s v=""/>
    <s v="06/01/2025 08:58"/>
    <s v="-"/>
    <s v="J&amp;T Express"/>
    <s v="Tiktok"/>
    <s v="tiktok"/>
    <s v=""/>
    <s v="754316387532"/>
    <s v="06/01/2025 08:58"/>
  </r>
  <r>
    <x v="4"/>
    <x v="4"/>
    <n v="100"/>
    <n v="1"/>
    <n v="0"/>
    <s v="EQK47"/>
    <n v="200"/>
    <n v="0"/>
    <s v="ร้านที่1"/>
    <s v="ธ***น์  โ***มา"/>
    <s v="สระบุรี"/>
    <s v="-"/>
    <s v=""/>
    <s v="06/01/2025 08:58"/>
    <s v="-"/>
    <s v="J&amp;T Express"/>
    <s v="Tiktok"/>
    <s v="tiktok"/>
    <s v=""/>
    <s v="754316387532"/>
    <s v="06/01/2025 08:58"/>
  </r>
  <r>
    <x v="38"/>
    <x v="50"/>
    <n v="200"/>
    <n v="1"/>
    <n v="0"/>
    <s v="EQK46"/>
    <n v="206"/>
    <n v="6"/>
    <s v="ร้านที่2"/>
    <s v="ร***เขาป้อมมินิมาร์ท"/>
    <s v="สุราษฎร์ธานี"/>
    <s v="-"/>
    <s v=""/>
    <s v="06/01/2025 08:57"/>
    <s v="-"/>
    <s v="J&amp;T COD"/>
    <s v="Tiktok"/>
    <s v="จ่ายทีหลัง / COD"/>
    <s v=""/>
    <s v="754320194552"/>
    <s v="06/01/2025 08:57"/>
  </r>
  <r>
    <x v="1"/>
    <x v="1"/>
    <n v="200"/>
    <n v="1"/>
    <n v="0"/>
    <s v="EQK44"/>
    <n v="200"/>
    <n v="0"/>
    <s v="ร้านที่1"/>
    <s v="เ***นภา โ***ยคำ"/>
    <s v="สกลนคร"/>
    <s v="-"/>
    <s v=""/>
    <s v="06/01/2025 08:56"/>
    <s v="-"/>
    <s v="J&amp;T COD"/>
    <s v="Tiktok"/>
    <s v="จ่ายทีหลัง / COD"/>
    <s v=""/>
    <s v="754308874745"/>
    <s v="06/01/2025 08:56"/>
  </r>
  <r>
    <x v="19"/>
    <x v="34"/>
    <n v="119.84"/>
    <n v="1"/>
    <n v="0"/>
    <s v="EQK43"/>
    <n v="124.84"/>
    <n v="5"/>
    <s v="ร้านที่9"/>
    <s v="มงคลรัตน์"/>
    <s v="163/26 ซ.วุฒกาส31 ถ.วุฒกาส แขวงตลาดพลู เขตธนบุรี กรุงเทพ 10600ประตูสีน้ำเงิน สุดซอยซ้ายมือประตูสีน้ำเงิน_x000a__x000a_ธนบุรี/ Thon Buriกรุงเทพมหานคร/ Bangkok_x000a_10600"/>
    <s v="10600"/>
    <s v="660859981456"/>
    <s v="06/01/2025 08:57"/>
    <s v="-"/>
    <s v="Kerry_dropoff"/>
    <s v="Lazada"/>
    <s v="lazada"/>
    <s v=""/>
    <s v="LEXDO0124096668"/>
    <s v="06/01/2025 08:56"/>
  </r>
  <r>
    <x v="0"/>
    <x v="0"/>
    <n v="100"/>
    <n v="1"/>
    <n v="0"/>
    <s v="EQK42"/>
    <n v="300"/>
    <n v="0"/>
    <s v="ร้านที่4"/>
    <s v="น***รี ง***ำ"/>
    <s v="สมุทรสาคร"/>
    <s v="-"/>
    <s v=""/>
    <s v="06/01/2025 08:46"/>
    <s v="-"/>
    <s v="Flash Express Thailand COD"/>
    <s v="Tiktok"/>
    <s v="จ่ายทีหลัง / COD"/>
    <s v=""/>
    <s v="THT16011E758F2Z"/>
    <s v="06/01/2025 08:46"/>
  </r>
  <r>
    <x v="3"/>
    <x v="3"/>
    <n v="100"/>
    <n v="2"/>
    <n v="0"/>
    <s v="EQK42"/>
    <n v="300"/>
    <n v="0"/>
    <s v="ร้านที่4"/>
    <s v="น***รี ง***ำ"/>
    <s v="สมุทรสาคร"/>
    <s v="-"/>
    <s v=""/>
    <s v="06/01/2025 08:46"/>
    <s v="-"/>
    <s v="Flash Express Thailand COD"/>
    <s v="Tiktok"/>
    <s v="จ่ายทีหลัง / COD"/>
    <s v=""/>
    <s v="THT16011E758F2Z"/>
    <s v="06/01/2025 08:46"/>
  </r>
  <r>
    <x v="36"/>
    <x v="51"/>
    <n v="232.24"/>
    <n v="1"/>
    <n v="0"/>
    <s v="EQK41"/>
    <n v="232.24"/>
    <n v="0"/>
    <s v="ร้านที่10"/>
    <s v="อ๊อฟ"/>
    <s v="303ม.12ต.หนองเรือ อ.หนองเรือ จ.ขอนแก่น 40210_x000a__x000a_หนองเรือ/ Nong Rueaขอนแก่น/ Khon Kaen_x000a_40210"/>
    <s v="40210"/>
    <s v="660626053527"/>
    <s v="06/01/2025 08:52"/>
    <s v="-"/>
    <s v="Kerry_dropoff"/>
    <s v="Lazada"/>
    <s v="lazada"/>
    <s v=""/>
    <s v="TH37046P2CE57A"/>
    <s v="06/01/2025 08:41"/>
  </r>
  <r>
    <x v="1"/>
    <x v="1"/>
    <n v="200"/>
    <n v="1"/>
    <n v="0"/>
    <s v="EQK40"/>
    <n v="200"/>
    <n v="0"/>
    <s v="ร้านที่1"/>
    <s v="ส***   ด***ับ"/>
    <s v="กำแพงเพชร"/>
    <s v="-"/>
    <s v=""/>
    <s v="06/01/2025 08:41"/>
    <s v="-"/>
    <s v="J&amp;T Express"/>
    <s v="Tiktok"/>
    <s v="tiktok"/>
    <s v=""/>
    <s v="754340409653"/>
    <s v="06/01/2025 08:41"/>
  </r>
  <r>
    <x v="10"/>
    <x v="10"/>
    <n v="200"/>
    <n v="1"/>
    <n v="0"/>
    <s v="EQK39"/>
    <n v="200"/>
    <n v="0"/>
    <s v="ร้านที่2"/>
    <s v="ส***าณี เ***งออก"/>
    <s v="สระบุรี"/>
    <s v="-"/>
    <s v=""/>
    <s v="06/01/2025 08:38"/>
    <s v="-"/>
    <s v="J&amp;T COD"/>
    <s v="Tiktok"/>
    <s v="จ่ายทีหลัง / COD"/>
    <s v=""/>
    <s v="754304617614"/>
    <s v="06/01/2025 08:38"/>
  </r>
  <r>
    <x v="1"/>
    <x v="1"/>
    <n v="184.46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1"/>
    <x v="1"/>
    <n v="184.45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1"/>
    <x v="1"/>
    <n v="184.45"/>
    <n v="1"/>
    <n v="0"/>
    <s v="EQK38"/>
    <n v="617.36"/>
    <n v="64"/>
    <s v="ร้านที่1"/>
    <s v="จักรพงษ์ โตระสะ"/>
    <s v="บริษัท TSKT จำกัด   47/4 หมู่ 14 ต.โคกแย้_x000a__x000a_หนองแค/ Nong Khaeสระบุรี/ Saraburi_x000a_18230"/>
    <s v="18230"/>
    <s v="660877638245"/>
    <s v="06/01/2025 08:38"/>
    <s v="-"/>
    <s v="Kerry_dropoff"/>
    <s v="Lazada"/>
    <s v="lazada"/>
    <s v=""/>
    <s v="LEXPU0442888518"/>
    <s v="06/01/2025 08:38"/>
  </r>
  <r>
    <x v="34"/>
    <x v="69"/>
    <n v="420"/>
    <n v="1"/>
    <n v="0"/>
    <s v="EQK37"/>
    <n v="480"/>
    <n v="60"/>
    <s v="ร้านที่1"/>
    <s v="ค******ู"/>
    <s v="******c, ถนน ประชาชื่น, แขวง บางซื่อ, เขตบางซื่อ แขวงบางซื่อ เขตบางซื่อ จังหวัดกรุงเทพมหานคร 10800"/>
    <s v="10800"/>
    <s v="68"/>
    <s v="06/01/2025 08:35"/>
    <s v="-"/>
    <s v="SPX Express"/>
    <s v="Shopee"/>
    <s v="shopee"/>
    <s v=""/>
    <s v="TH256207567530K"/>
    <s v="06/01/2025 08:35"/>
  </r>
  <r>
    <x v="3"/>
    <x v="8"/>
    <n v="65.19"/>
    <n v="1"/>
    <n v="0"/>
    <s v="EQK36"/>
    <n v="130.38"/>
    <n v="0"/>
    <s v="ร้านที่6"/>
    <s v="เจต"/>
    <s v="35/11 ม.5 ต.ปากพูน อ.เมือง จ.นครศรีธรรมราช 80000 #ซอยต้นข่อย · ปากพูน/ Pak Phun_x000a__x000a_เมืองนครศรีธรรมราช/ Mueang Nakhon Si Thammaratนครศรีธรรมราช/ Nakhon Si Thammarat_x000a_80000"/>
    <s v="80000"/>
    <s v="660824859984"/>
    <s v="06/01/2025 08:35"/>
    <s v="-"/>
    <s v="Kerry_dropoff"/>
    <s v="Lazada"/>
    <s v="lazada"/>
    <s v=""/>
    <s v="LEXPU0442890829"/>
    <s v="06/01/2025 08:34"/>
  </r>
  <r>
    <x v="3"/>
    <x v="8"/>
    <n v="65.19"/>
    <n v="1"/>
    <n v="0"/>
    <s v="EQK36"/>
    <n v="130.38"/>
    <n v="0"/>
    <s v="ร้านที่6"/>
    <s v="เจต"/>
    <s v="35/11 ม.5 ต.ปากพูน อ.เมือง จ.นครศรีธรรมราช 80000 #ซอยต้นข่อย · ปากพูน/ Pak Phun_x000a__x000a_เมืองนครศรีธรรมราช/ Mueang Nakhon Si Thammaratนครศรีธรรมราช/ Nakhon Si Thammarat_x000a_80000"/>
    <s v="80000"/>
    <s v="660824859984"/>
    <s v="06/01/2025 08:35"/>
    <s v="-"/>
    <s v="Kerry_dropoff"/>
    <s v="Lazada"/>
    <s v="lazada"/>
    <s v=""/>
    <s v="LEXPU0442890829"/>
    <s v="06/01/2025 08:34"/>
  </r>
  <r>
    <x v="9"/>
    <x v="4"/>
    <n v="100"/>
    <n v="2"/>
    <n v="0"/>
    <s v="EQK35"/>
    <n v="200"/>
    <n v="0"/>
    <s v="ร้านที่1"/>
    <s v="ก*** ม***ิมพ์"/>
    <s v="สุพรรณบุรี"/>
    <s v="-"/>
    <s v=""/>
    <s v="06/01/2025 08:31"/>
    <s v="-"/>
    <s v="J&amp;T Express"/>
    <s v="Tiktok"/>
    <s v="tiktok"/>
    <s v=""/>
    <s v="754381895514"/>
    <s v="06/01/2025 08:31"/>
  </r>
  <r>
    <x v="13"/>
    <x v="30"/>
    <n v="142.31"/>
    <n v="1"/>
    <n v="0"/>
    <s v="EQK34"/>
    <n v="147.31"/>
    <n v="5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06/01/2025 08:29"/>
    <s v="-"/>
    <s v="Kerry_dropoff"/>
    <s v="Lazada"/>
    <s v="lazada"/>
    <s v=""/>
    <s v="LEXDO0124100870"/>
    <s v="06/01/2025 08:29"/>
  </r>
  <r>
    <x v="13"/>
    <x v="30"/>
    <n v="104.86"/>
    <n v="1"/>
    <n v="0"/>
    <s v="EQK33"/>
    <n v="233.72"/>
    <n v="24"/>
    <s v="ร้านที่9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6/01/2025 13:10"/>
    <s v="-"/>
    <s v="Kerry_dropoff"/>
    <s v="Lazada"/>
    <s v="lazada"/>
    <s v=""/>
    <s v="LEXDO0124097760"/>
    <s v="06/01/2025 08:29"/>
  </r>
  <r>
    <x v="13"/>
    <x v="30"/>
    <n v="104.86"/>
    <n v="1"/>
    <n v="0"/>
    <s v="EQK33"/>
    <n v="233.72"/>
    <n v="24"/>
    <s v="ร้านที่9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6/01/2025 13:10"/>
    <s v="-"/>
    <s v="Kerry_dropoff"/>
    <s v="Lazada"/>
    <s v="lazada"/>
    <s v=""/>
    <s v="LEXDO0124097760"/>
    <s v="06/01/2025 08:29"/>
  </r>
  <r>
    <x v="0"/>
    <x v="0"/>
    <n v="100"/>
    <n v="1"/>
    <n v="0"/>
    <s v="EQK32"/>
    <n v="106"/>
    <n v="6"/>
    <s v="ร้านที่1"/>
    <s v="อ***ล เ***ิทธิ์"/>
    <s v="สตูล"/>
    <s v="-"/>
    <s v=""/>
    <s v="06/01/2025 08:28"/>
    <s v="-"/>
    <s v="J&amp;T COD"/>
    <s v="Tiktok"/>
    <s v="จ่ายทีหลัง / COD"/>
    <s v=""/>
    <s v="754340681754"/>
    <s v="06/01/2025 08:28"/>
  </r>
  <r>
    <x v="3"/>
    <x v="8"/>
    <n v="78.430000000000007"/>
    <n v="1"/>
    <n v="0"/>
    <s v="EQK31"/>
    <n v="83.43"/>
    <n v="5"/>
    <s v="ร้านที่6"/>
    <s v="บริษัท เจริญวัฒนามอเตอร์ จำกัด สาขาที่  00006"/>
    <s v="443,445,449,451,453 ถ.ศรีจันทร์ ต.ในเมือง อ.เมือง เลขประจำตัวผู้เสียภาษี 0125528000245_x000a__x000a_เมืองขอนแก่น/ Mueang Khon Kaenขอนแก่น/ Khon Kaen_x000a_40000"/>
    <s v="40000"/>
    <s v="660896201705"/>
    <s v="06/01/2025 15:07"/>
    <s v="-"/>
    <s v="Kerry_dropoff"/>
    <s v="Lazada"/>
    <s v="lazada"/>
    <s v=""/>
    <s v="LEXPU0442874254"/>
    <s v="06/01/2025 08:26"/>
  </r>
  <r>
    <x v="13"/>
    <x v="30"/>
    <n v="109.84"/>
    <n v="1"/>
    <n v="0"/>
    <s v="EQK30"/>
    <n v="109.84"/>
    <n v="0"/>
    <s v="ร้านที่9"/>
    <s v="โชติกา"/>
    <s v="20 ถ.ไร่เกาะต้นสำโรงตำบลพระประโทน อำเภอเมืองนครปฐม จังหวัดนครปฐ  73000โทรศัพท์: 0959599971_x000a__x000a_เมืองนครปฐม/ Mueang Nakhon Pathomนครปฐม/ Nakhon Pathom_x000a_73000"/>
    <s v="73000"/>
    <s v="660959599971"/>
    <s v="06/01/2025 08:24"/>
    <s v="-"/>
    <s v="Kerry_dropoff"/>
    <s v="Lazada"/>
    <s v="lazada"/>
    <s v=""/>
    <s v="LEXDO0124100816"/>
    <s v="06/01/2025 08:24"/>
  </r>
  <r>
    <x v="19"/>
    <x v="19"/>
    <n v="199"/>
    <n v="2"/>
    <n v="0"/>
    <s v="EQK29"/>
    <n v="462"/>
    <n v="64"/>
    <s v="ร้านที่1"/>
    <s v="จ******ง"/>
    <s v="******ต.มะเขือแจ้ ตำบลมะเขือแจ้ อำเภอเมืองลำพูน จังหวัดลำพูน 51000"/>
    <s v="51000"/>
    <s v="49"/>
    <s v="06/01/2025 08:52"/>
    <s v="-"/>
    <s v="SPX Express"/>
    <s v="Shopee"/>
    <s v="shopee"/>
    <s v=""/>
    <s v="TH256621804907O"/>
    <s v="06/01/2025 08:22"/>
  </r>
  <r>
    <x v="19"/>
    <x v="34"/>
    <n v="127.06"/>
    <n v="1"/>
    <n v="0"/>
    <s v="EQK27"/>
    <n v="132.06"/>
    <n v="5"/>
    <s v="ร้านที่9"/>
    <s v="จรรยพร เมฆขยาย"/>
    <s v="245หมู่1 บ.ม่วงสามสิบ อ.ม่วงสามสิ · ม่วงสามสิบ/ Muang Sam Sip_x000a__x000a_ม่วงสามสิบ/ Muang Sam Sipอุบลราชธานี/ Ubon Ratchathani_x000a_34140"/>
    <s v="34140"/>
    <s v="660959124032"/>
    <s v="06/01/2025 08:20"/>
    <s v="-"/>
    <s v="Kerry_dropoff"/>
    <s v="Lazada"/>
    <s v="lazada"/>
    <s v=""/>
    <s v="TH31126P2AYB0A"/>
    <s v="06/01/2025 08:20"/>
  </r>
  <r>
    <x v="0"/>
    <x v="0"/>
    <n v="100"/>
    <n v="1"/>
    <n v="0"/>
    <s v="EQK25"/>
    <n v="100"/>
    <n v="0"/>
    <s v="ร้านที่4"/>
    <s v="น***องยุ่น   เ***สูงเนิน"/>
    <s v="เพชรบูรณ์"/>
    <s v="-"/>
    <s v=""/>
    <s v="06/01/2025 08:09"/>
    <s v="-"/>
    <s v="Flash Express Thailand"/>
    <s v="Tiktok"/>
    <s v="tiktok"/>
    <s v=""/>
    <s v="THT63051E6KPG0Z"/>
    <s v="06/01/2025 08:09"/>
  </r>
  <r>
    <x v="3"/>
    <x v="8"/>
    <n v="90.43"/>
    <n v="1"/>
    <n v="0"/>
    <s v="EQK24"/>
    <n v="95.43"/>
    <n v="5"/>
    <s v="ร้านที่6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6/01/2025 08:09"/>
    <s v="-"/>
    <s v="Kerry_dropoff"/>
    <s v="Lazada"/>
    <s v="lazada"/>
    <s v=""/>
    <s v="TH19016P216Y3A"/>
    <s v="06/01/2025 08:09"/>
  </r>
  <r>
    <x v="9"/>
    <x v="4"/>
    <n v="100"/>
    <n v="3"/>
    <n v="0"/>
    <s v="EQK23"/>
    <n v="300"/>
    <n v="0"/>
    <s v="ร้านที่4"/>
    <s v="เ***นี่"/>
    <s v="ร้อยเอ็ด"/>
    <s v="-"/>
    <s v=""/>
    <s v="06/01/2025 08:06"/>
    <s v="-"/>
    <s v="Flash Express Thailand COD"/>
    <s v="Tiktok"/>
    <s v="จ่ายทีหลัง / COD"/>
    <s v=""/>
    <s v="THT42051E6BAY3Z"/>
    <s v="06/01/2025 08:06"/>
  </r>
  <r>
    <x v="35"/>
    <x v="46"/>
    <n v="100"/>
    <n v="2"/>
    <n v="0"/>
    <s v="EQK22"/>
    <n v="200"/>
    <n v="0"/>
    <s v="ร้านที่4"/>
    <s v="ส***กัลญา"/>
    <s v="นครปฐม"/>
    <s v="-"/>
    <s v=""/>
    <s v="06/01/2025 08:04"/>
    <s v="-"/>
    <s v="Flash Express Thailand COD"/>
    <s v="Tiktok"/>
    <s v="จ่ายทีหลัง / COD"/>
    <s v=""/>
    <s v="THT15031E64RA5Z"/>
    <s v="06/01/2025 08:04"/>
  </r>
  <r>
    <x v="30"/>
    <x v="40"/>
    <n v="122.91"/>
    <n v="1"/>
    <n v="0"/>
    <s v="EQK21"/>
    <n v="122.91"/>
    <n v="0"/>
    <s v="ร้านที่10"/>
    <s v="สุภาพร มีพร"/>
    <s v="173/5ม.1ซ.3/1ต.มหาโพธิ_x000a__x000a_เก้าเลี้ยว/ Kao Liaoนครสวรรค์/ Nakhon Sawan_x000a_60230"/>
    <s v="60230"/>
    <s v="660637800245"/>
    <s v="06/01/2025 07:53"/>
    <s v="-"/>
    <s v="Kerry_dropoff"/>
    <s v="Lazada"/>
    <s v="lazada"/>
    <s v=""/>
    <s v="TH56066P2CYR9A"/>
    <s v="06/01/2025 07:53"/>
  </r>
  <r>
    <x v="40"/>
    <x v="47"/>
    <n v="284.5"/>
    <n v="1"/>
    <n v="0"/>
    <s v="EQK20"/>
    <n v="284.5"/>
    <n v="0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1/2025 07:45"/>
    <s v="-"/>
    <s v="Kerry_dropoff"/>
    <s v="Lazada"/>
    <s v="lazada"/>
    <s v=""/>
    <s v="LEXPU0442894146"/>
    <s v="06/01/2025 07:45"/>
  </r>
  <r>
    <x v="40"/>
    <x v="47"/>
    <n v="274.5"/>
    <n v="1"/>
    <n v="0"/>
    <s v="EQK19"/>
    <n v="274.5"/>
    <n v="0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1/2025 07:43"/>
    <s v="-"/>
    <s v="Kerry_dropoff"/>
    <s v="Lazada"/>
    <s v="lazada"/>
    <s v=""/>
    <s v="LEXPU0442893238"/>
    <s v="06/01/2025 07:43"/>
  </r>
  <r>
    <x v="19"/>
    <x v="34"/>
    <n v="119.84"/>
    <n v="1"/>
    <n v="0"/>
    <s v="EQK18"/>
    <n v="124.84"/>
    <n v="5"/>
    <s v="ร้านที่9"/>
    <s v="สมบูรณ์ จันทร์สกุลพร"/>
    <s v="114/456 หมู่บ้านนีโอซิตี้ ซอยนาวงประชาพัฒนา 13 ถนนนาวงประชาพัฒนา แขวงสีกัน_x000a__x000a_ดอนเมือง/ Don Mueangกรุงเทพมหานคร/ Bangkok_x000a_10210"/>
    <s v="10210"/>
    <s v="660813432772"/>
    <s v="06/01/2025 07:42"/>
    <s v="-"/>
    <s v="Kerry_dropoff"/>
    <s v="Lazada"/>
    <s v="lazada"/>
    <s v=""/>
    <s v="LEXDO0124096439"/>
    <s v="06/01/2025 07:42"/>
  </r>
  <r>
    <x v="3"/>
    <x v="3"/>
    <n v="100"/>
    <n v="1"/>
    <n v="0"/>
    <s v="EQK15"/>
    <n v="129"/>
    <n v="29"/>
    <s v="ร้านที่1"/>
    <s v="ป***สริฐ พ***อง"/>
    <s v="ชัยนาท"/>
    <s v="-"/>
    <s v=""/>
    <s v="06/01/2025 07:40"/>
    <s v="-"/>
    <s v="J&amp;T COD"/>
    <s v="Tiktok"/>
    <s v="จ่ายทีหลัง / COD"/>
    <s v=""/>
    <s v="754307955586"/>
    <s v="06/01/2025 07:40"/>
  </r>
  <r>
    <x v="3"/>
    <x v="3"/>
    <n v="100"/>
    <n v="1"/>
    <n v="0"/>
    <s v="EQK14"/>
    <n v="129"/>
    <n v="29"/>
    <s v="ร้านที่2"/>
    <s v="ป***สริฐ พ***อง"/>
    <s v="ชัยนาท"/>
    <s v="-"/>
    <s v=""/>
    <s v="06/01/2025 07:40"/>
    <s v="-"/>
    <s v="J&amp;T COD"/>
    <s v="Tiktok"/>
    <s v="จ่ายทีหลัง / COD"/>
    <s v=""/>
    <s v="754344557584"/>
    <s v="06/01/2025 07:40"/>
  </r>
  <r>
    <x v="19"/>
    <x v="34"/>
    <n v="142.31"/>
    <n v="1"/>
    <n v="0"/>
    <s v="EQK13"/>
    <n v="147.31"/>
    <n v="5"/>
    <s v="ร้านที่9"/>
    <s v="ณัฎฐา เทียมเมือง"/>
    <s v="บ้านกลางสวน 185  หมู่ 3 ข้างโรงเหล้าพิกุลทอง ต.พิกุลทอง_x000a__x000a_เมืองราชบุรี/ Mueang Ratchaburiราชบุรี/ Ratchaburi_x000a_70000"/>
    <s v="70000"/>
    <s v="660891569905"/>
    <s v="06/01/2025 07:36"/>
    <s v="-"/>
    <s v="Kerry_dropoff"/>
    <s v="Lazada"/>
    <s v="lazada"/>
    <s v=""/>
    <s v="LEXDO0124096616"/>
    <s v="06/01/2025 07:36"/>
  </r>
  <r>
    <x v="0"/>
    <x v="31"/>
    <n v="100.83"/>
    <n v="1"/>
    <n v="0"/>
    <s v="EQK12"/>
    <n v="100.83"/>
    <n v="0"/>
    <s v="ร้านที่6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6/01/2025 07:35"/>
    <s v="-"/>
    <s v="Kerry_dropoff"/>
    <s v="Lazada"/>
    <s v="lazada"/>
    <s v=""/>
    <s v="LEXPU0442858002"/>
    <s v="06/01/2025 07:35"/>
  </r>
  <r>
    <x v="0"/>
    <x v="0"/>
    <n v="100"/>
    <n v="2"/>
    <n v="0"/>
    <s v="EQK11"/>
    <n v="200"/>
    <n v="0"/>
    <s v="ร้านที่4"/>
    <s v="ส***ณัฐ ม***ย"/>
    <s v="กรุงเทพฯ"/>
    <s v="-"/>
    <s v=""/>
    <s v="06/01/2025 07:18"/>
    <s v="-"/>
    <s v="Flash Express Thailand COD"/>
    <s v="Tiktok"/>
    <s v="จ่ายทีหลัง / COD"/>
    <s v=""/>
    <s v="THT01081E6B8Y4Z"/>
    <s v="06/01/2025 07:18"/>
  </r>
  <r>
    <x v="35"/>
    <x v="46"/>
    <n v="100"/>
    <n v="2"/>
    <n v="0"/>
    <s v="EQK9"/>
    <n v="200"/>
    <n v="0"/>
    <s v="ร้านที่4"/>
    <s v="ก***ญา ศ***ชัย"/>
    <s v="กาฬสินธุ์"/>
    <s v="-"/>
    <s v=""/>
    <s v="06/01/2025 07:04"/>
    <s v="-"/>
    <s v="Flash Express Thailand COD"/>
    <s v="Tiktok"/>
    <s v="จ่ายทีหลัง / COD"/>
    <s v=""/>
    <s v="THT43071E3QYD7Z"/>
    <s v="06/01/2025 07:05"/>
  </r>
  <r>
    <x v="47"/>
    <x v="70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7"/>
    <x v="70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8"/>
    <x v="71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8"/>
    <x v="71"/>
    <n v="20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14"/>
    <x v="14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9"/>
    <x v="72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7"/>
    <x v="7"/>
    <n v="80"/>
    <n v="1"/>
    <n v="0"/>
    <s v="EQK7"/>
    <n v="2570"/>
    <n v="230"/>
    <s v="ร้านที่1"/>
    <s v="อาภรณ์.  ปุญญพิทักษ์"/>
    <s v="125 บ้านโนนประเสริฐ์  ต.นาไหม_x000a__x000a_บ้านดุง/ Ban Dungอุดรธานี/ Udon Thani_x000a_41190"/>
    <s v="41190"/>
    <s v="660850246190"/>
    <s v="06/01/2025 06:56"/>
    <s v="-"/>
    <s v="Kerry_dropoff"/>
    <s v="Lazada"/>
    <s v="lazada"/>
    <s v=""/>
    <s v="TH38116NUSX98H"/>
    <s v="06/01/2025 06:56"/>
  </r>
  <r>
    <x v="40"/>
    <x v="47"/>
    <n v="284.5"/>
    <n v="1"/>
    <n v="0"/>
    <s v="EQK6"/>
    <n v="339.5"/>
    <n v="55"/>
    <s v="ร้านที่8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06/01/2025 06:55"/>
    <s v="-"/>
    <s v="Kerry_dropoff"/>
    <s v="Lazada"/>
    <s v="lazada"/>
    <s v=""/>
    <s v="TH47166NXZ2W6D"/>
    <s v="06/01/2025 06:55"/>
  </r>
  <r>
    <x v="1"/>
    <x v="1"/>
    <n v="200"/>
    <n v="1"/>
    <n v="0"/>
    <s v="EQK5"/>
    <n v="200"/>
    <n v="0"/>
    <s v="ร้านที่1"/>
    <s v="ท***ยู่...เพ็งอำไพ"/>
    <s v="ตาก"/>
    <s v="-"/>
    <s v=""/>
    <s v="06/01/2025 06:54"/>
    <s v="-"/>
    <s v="J&amp;T COD"/>
    <s v="Tiktok"/>
    <s v="จ่ายทีหลัง / COD"/>
    <s v=""/>
    <s v="754334352516"/>
    <s v="06/01/2025 06:54"/>
  </r>
  <r>
    <x v="19"/>
    <x v="34"/>
    <n v="145.69999999999999"/>
    <n v="1"/>
    <n v="0"/>
    <s v="EQK4"/>
    <n v="145.69999999999999"/>
    <n v="0"/>
    <s v="ร้านที่9"/>
    <s v="ธัชกร  อร่ามภัทรกุล"/>
    <s v="3/133 ม.9 หมู่บ้านสวนปาล์ม ต.โคกขาม อ.เมือง_x000a__x000a_เมืองสมุทรสาคร/ Mueang Samut Sakhonสมุทรสาคร/ Samut Sakhon_x000a_74000"/>
    <s v="74000"/>
    <s v="660996479993"/>
    <s v="06/01/2025 06:54"/>
    <s v="-"/>
    <s v="Kerry_dropoff"/>
    <s v="Lazada"/>
    <s v="lazada"/>
    <s v=""/>
    <s v="LEXDO0123975018"/>
    <s v="06/01/2025 06:54"/>
  </r>
  <r>
    <x v="39"/>
    <x v="55"/>
    <n v="243.69"/>
    <n v="1"/>
    <n v="0"/>
    <s v="EQK3"/>
    <n v="243.69"/>
    <n v="0"/>
    <s v="ร้านที่10"/>
    <s v="อรณิชา  ละมัย"/>
    <s v="132ม.3ต.พลวงทองอ.บ่อทองจ.ชลบุรี_x000a__x000a_บ่อทอง/ Bo Thongชลบุรี/ Chonburi_x000a_20270"/>
    <s v="20270"/>
    <s v="660856986693"/>
    <s v="06/01/2025 06:54"/>
    <s v="-"/>
    <s v="Kerry_dropoff"/>
    <s v="Lazada"/>
    <s v="lazada"/>
    <s v=""/>
    <s v="LEXDO0124016247"/>
    <s v="06/01/2025 06:54"/>
  </r>
  <r>
    <x v="24"/>
    <x v="26"/>
    <n v="436.75"/>
    <n v="1"/>
    <n v="0"/>
    <s v="EQK2"/>
    <n v="912.49"/>
    <n v="39"/>
    <s v="ร้านที่9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53"/>
    <s v="-"/>
    <s v="Kerry_dropoff"/>
    <s v="Lazada"/>
    <s v="lazada"/>
    <s v=""/>
    <s v="TH45056NVMHS0G"/>
    <s v="06/01/2025 06:53"/>
  </r>
  <r>
    <x v="24"/>
    <x v="26"/>
    <n v="436.74"/>
    <n v="1"/>
    <n v="0"/>
    <s v="EQK2"/>
    <n v="912.49"/>
    <n v="39"/>
    <s v="ร้านที่9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53"/>
    <s v="-"/>
    <s v="Kerry_dropoff"/>
    <s v="Lazada"/>
    <s v="lazada"/>
    <s v=""/>
    <s v="TH45056NVMHS0G"/>
    <s v="06/01/2025 06:53"/>
  </r>
  <r>
    <x v="19"/>
    <x v="19"/>
    <n v="225"/>
    <n v="1"/>
    <n v="0"/>
    <s v="EQK1"/>
    <n v="225"/>
    <n v="0"/>
    <s v="ร้านที่2"/>
    <s v="ส******ก"/>
    <s v="******ำบลเนินมะกอก อำเภอพยุหะคีรี จังหวัดนครสวรรค์ 60130"/>
    <s v="60130"/>
    <s v="89"/>
    <s v="06/01/2025 06:52"/>
    <s v="-"/>
    <s v="SPX Express"/>
    <s v="Shopee"/>
    <s v="shopee"/>
    <s v=""/>
    <s v="TH258608368458Y"/>
    <s v="06/01/2025 06:51"/>
  </r>
  <r>
    <x v="19"/>
    <x v="34"/>
    <n v="119.84"/>
    <n v="1"/>
    <n v="0"/>
    <s v="EQK0"/>
    <n v="124.84"/>
    <n v="5"/>
    <s v="ร้านที่9"/>
    <s v="ดวงจันทร์ วงค์สอสัตย์"/>
    <s v="60/9,61/9บริษัทเอ็มเค ต.ศรีษระจระเข้ใหญ่_x000a__x000a_บางเสาธง/ Bang Sao Thongสมุทรปราการ/ Samut Prakan_x000a_10570"/>
    <s v="10570"/>
    <s v="660838432046"/>
    <s v="06/01/2025 06:50"/>
    <s v="-"/>
    <s v="Kerry_dropoff"/>
    <s v="Lazada"/>
    <s v="lazada"/>
    <s v=""/>
    <s v="LEXDO0123974411"/>
    <s v="06/01/2025 06:50"/>
  </r>
  <r>
    <x v="3"/>
    <x v="8"/>
    <n v="89.95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3"/>
    <x v="8"/>
    <n v="89.94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3"/>
    <x v="8"/>
    <n v="89.95"/>
    <n v="1"/>
    <n v="0"/>
    <s v="EQJ99"/>
    <n v="274.83999999999997"/>
    <n v="5"/>
    <s v="ร้านที่6"/>
    <s v="ดาวรุณี สุทันท์"/>
    <s v="115  หมู่ 6  ตำบล ดอนนางหงส์  อำเภอ ธาตุพนม  จังหวัด นครพนม · ดอนนางหงส์/ Don Nang Hong_x000a__x000a_ธาตุพนม/ That Phanomนครพนม/ Nakhon Phanom_x000a_48110"/>
    <s v="48110"/>
    <s v="660985963952"/>
    <s v="06/01/2025 06:49"/>
    <s v="-"/>
    <s v="Kerry_dropoff"/>
    <s v="Lazada"/>
    <s v="lazada"/>
    <s v=""/>
    <s v="TH45056NUTMQ6G"/>
    <s v="06/01/2025 06:49"/>
  </r>
  <r>
    <x v="13"/>
    <x v="30"/>
    <n v="95.02"/>
    <n v="1"/>
    <n v="0"/>
    <s v="EQJ98"/>
    <n v="95.02"/>
    <n v="0"/>
    <s v="ร้านที่9"/>
    <s v="อัญชลี หจก.วิสิฐวัฒนาคอนกรีต"/>
    <s v="9 หมู่12 · ช่องแค/ Chong Khae_x000a__x000a_ตาคลี/ Takhliนครสวรรค์/ Nakhon Sawan_x000a_60210"/>
    <s v="60210"/>
    <s v="660930388237"/>
    <s v="06/01/2025 06:39"/>
    <s v="-"/>
    <s v="Kerry_dropoff"/>
    <s v="Lazada"/>
    <s v="lazada"/>
    <s v=""/>
    <s v="TH56076NVU6W5B"/>
    <s v="06/01/2025 06:39"/>
  </r>
  <r>
    <x v="50"/>
    <x v="18"/>
    <n v="440.58"/>
    <n v="1"/>
    <n v="0"/>
    <s v="EQJ97"/>
    <n v="440.58"/>
    <n v="0"/>
    <s v="ร้านที่1"/>
    <s v="วิรงณ์รอง"/>
    <s v="อบต.ตาหลวง ม.6 · ตาหลวง/ Ta Luang_x000a__x000a_ดำเนินสะดวก/ Damnoen Saduakราชบุรี/ Ratchaburi_x000a_70130"/>
    <s v="70130"/>
    <s v="660899183580"/>
    <s v="06/01/2025 06:37"/>
    <s v="-"/>
    <s v="Kerry_dropoff"/>
    <s v="Lazada"/>
    <s v="lazada"/>
    <s v=""/>
    <s v="LEXPU0442399105"/>
    <s v="06/01/2025 06:37"/>
  </r>
  <r>
    <x v="19"/>
    <x v="34"/>
    <n v="119.84"/>
    <n v="1"/>
    <n v="0"/>
    <s v="EQJ96"/>
    <n v="124.84"/>
    <n v="5"/>
    <s v="ร้านที่9"/>
    <s v="อรุณี  ภักดี"/>
    <s v="10/45  หมู่บ้านชวนชื่น  ซอยเพชรเกษม 81_x000a__x000a_หนองแขม/ Nong Khaemกรุงเทพมหานคร/ Bangkok_x000a_10160"/>
    <s v="10160"/>
    <s v="660898855903"/>
    <s v="06/01/2025 06:25"/>
    <s v="-"/>
    <s v="Kerry_dropoff"/>
    <s v="Lazada"/>
    <s v="lazada"/>
    <s v=""/>
    <s v="LEXDO0123974621"/>
    <s v="06/01/2025 06:25"/>
  </r>
  <r>
    <x v="13"/>
    <x v="30"/>
    <n v="119.59"/>
    <n v="1"/>
    <n v="0"/>
    <s v="EQJ95"/>
    <n v="124.59"/>
    <n v="5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06/01/2025 06:26"/>
    <s v="-"/>
    <s v="Kerry_dropoff"/>
    <s v="Lazada"/>
    <s v="lazada"/>
    <s v=""/>
    <s v="LEXDO0123983512"/>
    <s v="06/01/2025 06:25"/>
  </r>
  <r>
    <x v="0"/>
    <x v="0"/>
    <n v="100"/>
    <n v="1"/>
    <n v="0"/>
    <s v="EQJ94"/>
    <n v="100"/>
    <n v="0"/>
    <s v="ร้านที่1"/>
    <s v="ร***"/>
    <s v="เทศบาลนครนครสวรรค์"/>
    <s v="-"/>
    <s v=""/>
    <s v="06/01/2025 06:23"/>
    <s v="-"/>
    <s v="J&amp;T COD"/>
    <s v="Tiktok"/>
    <s v="จ่ายทีหลัง / COD"/>
    <s v=""/>
    <s v="754383639553"/>
    <s v="06/01/2025 06:23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19"/>
    <x v="34"/>
    <n v="104.86"/>
    <n v="1"/>
    <n v="0"/>
    <s v="EQJ93"/>
    <n v="314.58"/>
    <n v="0"/>
    <s v="ร้านที่9"/>
    <s v="ภาวัต พฤฒินพดล"/>
    <s v="99/3หมู่ที่9ถนนเทศบาล2 ต.หนองบัวแ_x000a__x000a_หนองบัวแดง/ Nong Bua Daengชัยภูมิ/ Chaiyaphum_x000a_36210"/>
    <s v="36210"/>
    <s v="660897223499"/>
    <s v="06/01/2025 06:22"/>
    <s v="-"/>
    <s v="Kerry_dropoff"/>
    <s v="Lazada"/>
    <s v="lazada"/>
    <s v=""/>
    <s v="TH33056NVGUH6A"/>
    <s v="06/01/2025 06:22"/>
  </r>
  <r>
    <x v="0"/>
    <x v="0"/>
    <n v="100"/>
    <n v="3"/>
    <n v="0"/>
    <s v="EQJ90"/>
    <n v="300"/>
    <n v="0"/>
    <s v="ร้านที่4"/>
    <s v="ป**"/>
    <s v="พัทลุง"/>
    <s v="-"/>
    <s v=""/>
    <s v="06/01/2025 05:51"/>
    <s v="-"/>
    <s v="Flash Express Thailand COD"/>
    <s v="Tiktok"/>
    <s v="จ่ายทีหลัง / COD"/>
    <s v=""/>
    <s v="THT74041E6AF72Z"/>
    <s v="06/01/2025 05:51"/>
  </r>
  <r>
    <x v="0"/>
    <x v="0"/>
    <n v="100"/>
    <n v="1"/>
    <n v="0"/>
    <s v="EQJ89"/>
    <n v="106"/>
    <n v="6"/>
    <s v="ร้านที่1"/>
    <s v="s***04"/>
    <s v="เชียงราย"/>
    <s v="-"/>
    <s v=""/>
    <s v="06/01/2025 05:41"/>
    <s v="-"/>
    <s v="J&amp;T COD"/>
    <s v="Tiktok"/>
    <s v="จ่ายทีหลัง / COD"/>
    <s v=""/>
    <s v="754313934500"/>
    <s v="06/01/2025 05:41"/>
  </r>
  <r>
    <x v="19"/>
    <x v="34"/>
    <n v="81.06"/>
    <n v="1"/>
    <n v="0"/>
    <s v="EQJ88"/>
    <n v="81.06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06/01/2025 05:37"/>
    <s v="-"/>
    <s v="Kerry_dropoff"/>
    <s v="Lazada"/>
    <s v="lazada"/>
    <s v=""/>
    <s v="TH14106NVCSF0F"/>
    <s v="06/01/2025 05:36"/>
  </r>
  <r>
    <x v="13"/>
    <x v="30"/>
    <n v="84.84"/>
    <n v="1"/>
    <n v="0"/>
    <s v="EQJ87"/>
    <n v="84.84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06/01/2025 05:29"/>
    <s v="-"/>
    <s v="Kerry_dropoff"/>
    <s v="Lazada"/>
    <s v="lazada"/>
    <s v=""/>
    <s v="TH14106NVTD10F"/>
    <s v="06/01/2025 05:29"/>
  </r>
  <r>
    <x v="24"/>
    <x v="26"/>
    <n v="447.27"/>
    <n v="1"/>
    <n v="0"/>
    <s v="EQJ86"/>
    <n v="471.27"/>
    <n v="24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6/01/2025 05:23"/>
    <s v="-"/>
    <s v="Kerry_dropoff"/>
    <s v="Lazada"/>
    <s v="lazada"/>
    <s v=""/>
    <s v="LEXDO0123977247"/>
    <s v="06/01/2025 05:23"/>
  </r>
  <r>
    <x v="4"/>
    <x v="4"/>
    <n v="100"/>
    <n v="1"/>
    <n v="0"/>
    <s v="EQJ85"/>
    <n v="106"/>
    <n v="6"/>
    <s v="ร้านที่1"/>
    <s v="ส***ยากร ม***กิจ"/>
    <s v="กระบี่"/>
    <s v="-"/>
    <s v=""/>
    <s v="06/01/2025 04:59"/>
    <s v="-"/>
    <s v="J&amp;T COD"/>
    <s v="Tiktok"/>
    <s v="จ่ายทีหลัง / COD"/>
    <s v=""/>
    <s v="754382640351"/>
    <s v="06/01/2025 04:59"/>
  </r>
  <r>
    <x v="19"/>
    <x v="34"/>
    <n v="142.31"/>
    <n v="1"/>
    <n v="0"/>
    <s v="EQJ84"/>
    <n v="147.31"/>
    <n v="5"/>
    <s v="ร้านที่9"/>
    <s v="อนัญพร  จ้ายเกิด"/>
    <s v="84 ม.7 · ท่าหิน/ Tha Hin_x000a__x000a_สวี/ Sawiชุมพร/ Chumphon_x000a_86130"/>
    <s v="86130"/>
    <s v="660803267809"/>
    <s v="06/01/2025 04:57"/>
    <s v="-"/>
    <s v="Kerry_dropoff"/>
    <s v="Lazada"/>
    <s v="lazada"/>
    <s v=""/>
    <s v="TH70076NVCFS7C"/>
    <s v="06/01/2025 04:57"/>
  </r>
  <r>
    <x v="0"/>
    <x v="0"/>
    <n v="100"/>
    <n v="1"/>
    <n v="0"/>
    <s v="EQJ83"/>
    <n v="106"/>
    <n v="6"/>
    <s v="ร้านที่1"/>
    <s v="ว***นิภา  ช***อด"/>
    <s v="ลำพูน"/>
    <s v="-"/>
    <s v=""/>
    <s v="06/01/2025 04:20"/>
    <s v="-"/>
    <s v="J&amp;T COD"/>
    <s v="Tiktok"/>
    <s v="จ่ายทีหลัง / COD"/>
    <s v=""/>
    <s v="754310131503"/>
    <s v="06/01/2025 04:22"/>
  </r>
  <r>
    <x v="4"/>
    <x v="4"/>
    <n v="100"/>
    <n v="1"/>
    <n v="0"/>
    <s v="EQJ81"/>
    <n v="300"/>
    <n v="0"/>
    <s v="ร้านที่1"/>
    <s v="จ***  บ***สนอ"/>
    <s v="ศรีสะเกษ"/>
    <s v="-"/>
    <s v=""/>
    <s v="06/01/2025 03:11"/>
    <s v="-"/>
    <s v="J&amp;T Express"/>
    <s v="Tiktok"/>
    <s v="tiktok"/>
    <s v=""/>
    <s v="754396053316"/>
    <s v="06/01/2025 03:11"/>
  </r>
  <r>
    <x v="9"/>
    <x v="4"/>
    <n v="100"/>
    <n v="2"/>
    <n v="0"/>
    <s v="EQJ81"/>
    <n v="300"/>
    <n v="0"/>
    <s v="ร้านที่1"/>
    <s v="จ***  บ***สนอ"/>
    <s v="ศรีสะเกษ"/>
    <s v="-"/>
    <s v=""/>
    <s v="06/01/2025 03:11"/>
    <s v="-"/>
    <s v="J&amp;T Express"/>
    <s v="Tiktok"/>
    <s v="tiktok"/>
    <s v=""/>
    <s v="754396053316"/>
    <s v="06/01/2025 03:11"/>
  </r>
  <r>
    <x v="0"/>
    <x v="0"/>
    <n v="100"/>
    <n v="1"/>
    <n v="0"/>
    <s v="EQJ80"/>
    <n v="145"/>
    <n v="45"/>
    <s v="ร้านที่1"/>
    <s v="ว***     ค***ง"/>
    <s v="นครราชสีมา"/>
    <s v="-"/>
    <s v=""/>
    <s v="06/01/2025 02:59"/>
    <s v="-"/>
    <s v="J&amp;T COD"/>
    <s v="Tiktok"/>
    <s v="จ่ายทีหลัง / COD"/>
    <s v=""/>
    <s v="754318638555"/>
    <s v="06/01/2025 02:59"/>
  </r>
  <r>
    <x v="19"/>
    <x v="34"/>
    <n v="142.01"/>
    <n v="1"/>
    <n v="0"/>
    <s v="EQJ79"/>
    <n v="147.01"/>
    <n v="5"/>
    <s v="ร้านที่9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6/01/2025 02:37"/>
    <s v="-"/>
    <s v="Kerry_dropoff"/>
    <s v="Lazada"/>
    <s v="lazada"/>
    <s v=""/>
    <s v="LEXDO0123974251"/>
    <s v="06/01/2025 02:37"/>
  </r>
  <r>
    <x v="0"/>
    <x v="31"/>
    <n v="90.03"/>
    <n v="1"/>
    <n v="0"/>
    <s v="EQJ77"/>
    <n v="90.03"/>
    <n v="0"/>
    <s v="ร้านที่6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6/01/2025 02:03"/>
    <s v="-"/>
    <s v="Kerry_dropoff"/>
    <s v="Lazada"/>
    <s v="lazada"/>
    <s v=""/>
    <s v="LEXPU0442834388"/>
    <s v="06/01/2025 02:03"/>
  </r>
  <r>
    <x v="0"/>
    <x v="0"/>
    <n v="100"/>
    <n v="1"/>
    <n v="0"/>
    <s v="EQJ76"/>
    <n v="106"/>
    <n v="6"/>
    <s v="ร้านที่2"/>
    <s v="บ**"/>
    <s v="สุรินทร์"/>
    <s v="-"/>
    <s v=""/>
    <s v="06/01/2025 01:58"/>
    <s v="-"/>
    <s v="J&amp;T COD"/>
    <s v="Tiktok"/>
    <s v="จ่ายทีหลัง / COD"/>
    <s v=""/>
    <s v="754337633556"/>
    <s v="06/01/2025 01:58"/>
  </r>
  <r>
    <x v="9"/>
    <x v="4"/>
    <n v="100"/>
    <n v="1"/>
    <n v="0"/>
    <s v="EQJ75"/>
    <n v="129"/>
    <n v="29"/>
    <s v="ร้านที่1"/>
    <s v="น***พ็ญศรี ส***รณฤทธิ์"/>
    <s v="พิษณุโลก"/>
    <s v="-"/>
    <s v=""/>
    <s v="06/01/2025 01:57"/>
    <s v="-"/>
    <s v="J&amp;T COD"/>
    <s v="Tiktok"/>
    <s v="จ่ายทีหลัง / COD"/>
    <s v=""/>
    <s v="754304643304"/>
    <s v="06/01/2025 01:58"/>
  </r>
  <r>
    <x v="10"/>
    <x v="10"/>
    <n v="200"/>
    <n v="1"/>
    <n v="0"/>
    <s v="EQJ73"/>
    <n v="200"/>
    <n v="0"/>
    <s v="ร้านที่4"/>
    <s v="ช***ัฐ ว***ะ"/>
    <s v="กรุงเทพฯ"/>
    <s v="-"/>
    <s v=""/>
    <s v="06/01/2025 01:52"/>
    <s v="-"/>
    <s v="Flash Express Thailand"/>
    <s v="Tiktok"/>
    <s v="tiktok"/>
    <s v=""/>
    <s v="THT01431E3M7D0Z"/>
    <s v="06/01/2025 01:51"/>
  </r>
  <r>
    <x v="4"/>
    <x v="4"/>
    <n v="100"/>
    <n v="1"/>
    <n v="0"/>
    <s v="EQJ72"/>
    <n v="145"/>
    <n v="45"/>
    <s v="ร้านที่1"/>
    <s v="ศ***พร. ว***ปรม"/>
    <s v="กรุงเทพมหานคร"/>
    <s v="-"/>
    <s v=""/>
    <s v="06/01/2025 01:43"/>
    <s v="-"/>
    <s v="J&amp;T Express"/>
    <s v="Tiktok"/>
    <s v="tiktok"/>
    <s v=""/>
    <s v="754341935373"/>
    <s v="06/01/2025 01:43"/>
  </r>
  <r>
    <x v="24"/>
    <x v="26"/>
    <n v="442.86"/>
    <n v="1"/>
    <n v="0"/>
    <s v="EQJ71"/>
    <n v="486.72"/>
    <n v="43.86"/>
    <s v="ร้านที่9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6/01/2025 01:36"/>
    <s v="-"/>
    <s v="Kerry_dropoff"/>
    <s v="Lazada"/>
    <s v="lazada"/>
    <s v=""/>
    <s v="LEXDO0123973831"/>
    <s v="06/01/2025 01:36"/>
  </r>
  <r>
    <x v="31"/>
    <x v="41"/>
    <n v="95.5"/>
    <n v="1"/>
    <n v="0"/>
    <s v="EQJ70"/>
    <n v="100.5"/>
    <n v="5"/>
    <s v="ร้านที่1"/>
    <s v="อัญมณี ทะเสนฮด"/>
    <s v="ม.เทคโนโลยีราชมงคลอีสาน วข.สกลนคร เลขที่ 199 ม.3 ต.พังโคน_x000a__x000a_พังโคน/ Phang Khonสกลนคร/ Sakon Nakhon_x000a_47160"/>
    <s v="47160"/>
    <s v="660643264198"/>
    <s v="06/01/2025 00:54"/>
    <s v="-"/>
    <s v="Kerry_dropoff"/>
    <s v="Lazada"/>
    <s v="lazada"/>
    <s v=""/>
    <s v="TH44056NVTEX8A"/>
    <s v="06/01/2025 00:54"/>
  </r>
  <r>
    <x v="10"/>
    <x v="10"/>
    <n v="200"/>
    <n v="2"/>
    <n v="0"/>
    <s v="EQJ68"/>
    <n v="400"/>
    <n v="0"/>
    <s v="ร้านที่2"/>
    <s v="ว***ักษณ์  ก***กระยาง"/>
    <s v="นนทบุรี"/>
    <s v="-"/>
    <s v=""/>
    <s v="06/01/2025 00:39"/>
    <s v="-"/>
    <s v="J&amp;T COD"/>
    <s v="Tiktok"/>
    <s v="จ่ายทีหลัง / COD"/>
    <s v=""/>
    <s v="754397540363"/>
    <s v="06/01/2025 00:39"/>
  </r>
  <r>
    <x v="5"/>
    <x v="5"/>
    <n v="350"/>
    <n v="1"/>
    <n v="0"/>
    <s v="EQJ67"/>
    <n v="350"/>
    <n v="0"/>
    <s v="ร้านที่4"/>
    <s v="ข***ฐา"/>
    <s v="อุทัยธานี"/>
    <s v="-"/>
    <s v=""/>
    <s v="06/01/2025 00:24"/>
    <s v="-"/>
    <s v="Flash Express Thailand"/>
    <s v="Tiktok"/>
    <s v="tiktok"/>
    <s v=""/>
    <s v="THT57031E39G25Z"/>
    <s v="06/01/2025 00:25"/>
  </r>
  <r>
    <x v="9"/>
    <x v="4"/>
    <n v="100"/>
    <n v="2"/>
    <n v="0"/>
    <s v="EQJ66"/>
    <n v="200"/>
    <n v="0"/>
    <s v="ร้านที่2"/>
    <s v="ว***รณ์ ใ***รีย์"/>
    <s v="นครราชสีมา"/>
    <s v="-"/>
    <s v=""/>
    <s v="06/01/2025 00:19"/>
    <s v="-"/>
    <s v="J&amp;T COD"/>
    <s v="Tiktok"/>
    <s v="จ่ายทีหลัง / COD"/>
    <s v=""/>
    <s v="754317845374"/>
    <s v="06/01/2025 00:25"/>
  </r>
  <r>
    <x v="19"/>
    <x v="34"/>
    <n v="113.76"/>
    <n v="1"/>
    <n v="0"/>
    <s v="EQJ65"/>
    <n v="113.76"/>
    <n v="0"/>
    <s v="ร้านที่9"/>
    <s v="นาง นวลจันทร์ ชอบชื่น"/>
    <s v="164/8 ม.5 ต.บางหญ้าเเพรก_x000a__x000a_เมืองสมุทรสาคร/ Mueang Samut Sakhonสมุทรสาคร/ Samut Sakhon_x000a_74000"/>
    <s v="74000"/>
    <s v="660895472204"/>
    <s v="06/01/2025 00:24"/>
    <s v="-"/>
    <s v="Kerry_dropoff"/>
    <s v="Lazada"/>
    <s v="lazada"/>
    <s v=""/>
    <s v="LEXDO0123974109"/>
    <s v="06/01/2025 00:24"/>
  </r>
  <r>
    <x v="13"/>
    <x v="30"/>
    <n v="118.84"/>
    <n v="1"/>
    <n v="0"/>
    <s v="EQJ64"/>
    <n v="123.84"/>
    <n v="5"/>
    <s v="ร้านที่9"/>
    <s v="กนกวรรณ"/>
    <s v="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_x000a__x000a_เมืองราชบุรี/ Mueang Ratchaburiราชบุรี/ Ratchaburi_x000a_70000"/>
    <s v="70000"/>
    <s v="660619455716"/>
    <s v="06/01/2025 00:22"/>
    <s v="-"/>
    <s v="Kerry_dropoff"/>
    <s v="Lazada"/>
    <s v="lazada"/>
    <s v=""/>
    <s v="LEXDO0123982953"/>
    <s v="06/01/2025 00:22"/>
  </r>
  <r>
    <x v="10"/>
    <x v="10"/>
    <n v="200"/>
    <n v="1"/>
    <n v="0"/>
    <s v="EQJ63"/>
    <n v="200"/>
    <n v="0"/>
    <s v="ร้านที่4"/>
    <s v="เ***า  เ***อเพชร"/>
    <s v="สุพรรณบุรี"/>
    <s v="-"/>
    <s v=""/>
    <s v="06/01/2025 00:08"/>
    <s v="-"/>
    <s v="Flash Express Thailand COD"/>
    <s v="Tiktok"/>
    <s v="จ่ายทีหลัง / COD"/>
    <s v=""/>
    <s v="THT14091E3M326Z"/>
    <s v="06/01/2025 00:21"/>
  </r>
  <r>
    <x v="9"/>
    <x v="4"/>
    <n v="100"/>
    <n v="1"/>
    <n v="0"/>
    <s v="EQJ61"/>
    <n v="200"/>
    <n v="0"/>
    <s v="ร้านที่1"/>
    <s v="ม***า พ***ลชาติ"/>
    <s v="ศรีสะเกษ"/>
    <s v="-"/>
    <s v=""/>
    <s v="06/01/2025 00:06"/>
    <s v="-"/>
    <s v="J&amp;T Express"/>
    <s v="Tiktok"/>
    <s v="tiktok"/>
    <s v=""/>
    <s v="754388252321"/>
    <s v="06/01/2025 00:17"/>
  </r>
  <r>
    <x v="4"/>
    <x v="4"/>
    <n v="100"/>
    <n v="1"/>
    <n v="0"/>
    <s v="EQJ61"/>
    <n v="200"/>
    <n v="0"/>
    <s v="ร้านที่1"/>
    <s v="ม***า พ***ลชาติ"/>
    <s v="ศรีสะเกษ"/>
    <s v="-"/>
    <s v=""/>
    <s v="06/01/2025 00:06"/>
    <s v="-"/>
    <s v="J&amp;T Express"/>
    <s v="Tiktok"/>
    <s v="tiktok"/>
    <s v=""/>
    <s v="754388252321"/>
    <s v="06/01/2025 00:17"/>
  </r>
  <r>
    <x v="10"/>
    <x v="10"/>
    <n v="200"/>
    <n v="1"/>
    <n v="0"/>
    <s v="EQJ60"/>
    <n v="200"/>
    <n v="0"/>
    <s v="ร้านที่4"/>
    <s v="N***ssara น***รา ก***ก้ว"/>
    <s v="สุพรรณบุรี"/>
    <s v="-"/>
    <s v=""/>
    <s v="06/01/2025 00:03"/>
    <s v="-"/>
    <s v="Flash Express Thailand COD"/>
    <s v="Tiktok"/>
    <s v="จ่ายทีหลัง / COD"/>
    <s v=""/>
    <s v="THT14011E39EZ5Z"/>
    <s v="06/01/2025 00:08"/>
  </r>
  <r>
    <x v="7"/>
    <x v="7"/>
    <n v="66.400000000000006"/>
    <n v="1"/>
    <n v="0"/>
    <s v="EQJ59"/>
    <n v="71.400000000000006"/>
    <n v="5"/>
    <s v="ร้านที่1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06/01/2025 00:06"/>
    <s v="-"/>
    <s v="Kerry_dropoff"/>
    <s v="Lazada"/>
    <s v="lazada"/>
    <s v=""/>
    <s v="TH64106NUTE30A"/>
    <s v="06/01/2025 00:06"/>
  </r>
  <r>
    <x v="4"/>
    <x v="4"/>
    <n v="100"/>
    <n v="1"/>
    <n v="0"/>
    <s v="EQJ58"/>
    <n v="100"/>
    <n v="0"/>
    <s v="ร้านที่1"/>
    <s v="Y***"/>
    <s v="พระนครศรีอยุธยา"/>
    <s v="-"/>
    <s v=""/>
    <s v="06/01/2025 00:03"/>
    <s v="-"/>
    <s v="J&amp;T COD"/>
    <s v="Tiktok"/>
    <s v="จ่ายทีหลัง / COD"/>
    <s v=""/>
    <s v="754319334366"/>
    <s v="06/01/2025 00:05"/>
  </r>
  <r>
    <x v="10"/>
    <x v="10"/>
    <n v="200"/>
    <n v="1"/>
    <n v="0"/>
    <s v="EQJ57"/>
    <n v="200"/>
    <n v="0"/>
    <s v="ร้านที่4"/>
    <s v="ย***"/>
    <s v="จังหวัดชัยนาท"/>
    <s v="-"/>
    <s v=""/>
    <s v="06/01/2025 00:02"/>
    <s v="-"/>
    <s v="Flash Express Thailand COD"/>
    <s v="Tiktok"/>
    <s v="จ่ายทีหลัง / COD"/>
    <s v=""/>
    <s v="THT09011E39C55Z"/>
    <s v="06/01/2025 00:04"/>
  </r>
  <r>
    <x v="13"/>
    <x v="30"/>
    <n v="119.84"/>
    <n v="1"/>
    <n v="0"/>
    <s v="EQJ54"/>
    <n v="124.84"/>
    <n v="5"/>
    <s v="ร้านที่9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05/01/2025 23:59"/>
    <s v="-"/>
    <s v="Kerry_dropoff"/>
    <s v="Lazada"/>
    <s v="lazada"/>
    <s v=""/>
    <s v="TH64106NVTNR0A"/>
    <s v="05/01/2025 23:59"/>
  </r>
  <r>
    <x v="10"/>
    <x v="10"/>
    <n v="200"/>
    <n v="1"/>
    <n v="0"/>
    <s v="EQJ52"/>
    <n v="200"/>
    <n v="0"/>
    <s v="ร้านที่4"/>
    <s v="เ***รรค์ อ***โภชน์"/>
    <s v="นนทบุรี"/>
    <s v="-"/>
    <s v=""/>
    <s v="05/01/2025 23:43"/>
    <s v="-"/>
    <s v="Flash Express Thailand COD"/>
    <s v="Tiktok"/>
    <s v="จ่ายทีหลัง / COD"/>
    <s v=""/>
    <s v="THT03051E3AD33Z"/>
    <s v="05/01/2025 23:43"/>
  </r>
  <r>
    <x v="4"/>
    <x v="4"/>
    <n v="100"/>
    <n v="2"/>
    <n v="0"/>
    <s v="EQJ51"/>
    <n v="200"/>
    <n v="0"/>
    <s v="ร้านที่2"/>
    <s v="ว***า ว***ทรง"/>
    <s v="Nakhon Si Thammarat"/>
    <s v="-"/>
    <s v=""/>
    <s v="05/01/2025 23:42"/>
    <s v="-"/>
    <s v="J&amp;T COD"/>
    <s v="Tiktok"/>
    <s v="จ่ายทีหลัง / COD"/>
    <s v=""/>
    <s v="754374934305"/>
    <s v="05/01/2025 23:42"/>
  </r>
  <r>
    <x v="10"/>
    <x v="10"/>
    <n v="200"/>
    <n v="1"/>
    <n v="0"/>
    <s v="EQJ50"/>
    <n v="245"/>
    <n v="45"/>
    <s v="ร้านที่4"/>
    <s v="อ***า  ว***กุล"/>
    <s v="นครราชสีมา"/>
    <s v="-"/>
    <s v=""/>
    <s v="05/01/2025 23:36"/>
    <s v="-"/>
    <s v="Flash Express Thailand COD"/>
    <s v="Tiktok"/>
    <s v="จ่ายทีหลัง / COD"/>
    <s v=""/>
    <s v="THT27181E3ACD1Z"/>
    <s v="05/01/2025 23:36"/>
  </r>
  <r>
    <x v="10"/>
    <x v="10"/>
    <n v="200"/>
    <n v="1"/>
    <n v="0"/>
    <s v="EQJ49"/>
    <n v="200"/>
    <n v="0"/>
    <s v="ร้านที่4"/>
    <s v="ล***าวัลย์   เ***นาดี"/>
    <s v="ประจวบคีรีขันธ์"/>
    <s v="-"/>
    <s v=""/>
    <s v="05/01/2025 23:29"/>
    <s v="-"/>
    <s v="Flash Express Thailand COD"/>
    <s v="Tiktok"/>
    <s v="จ่ายทีหลัง / COD"/>
    <s v=""/>
    <s v="THT19071E3A7H5Z"/>
    <s v="05/01/2025 23:30"/>
  </r>
  <r>
    <x v="10"/>
    <x v="10"/>
    <n v="200"/>
    <n v="1"/>
    <n v="0"/>
    <s v="EQJ48"/>
    <n v="200"/>
    <n v="0"/>
    <s v="ร้านที่4"/>
    <s v="ด***ร ศ***ชัย"/>
    <s v="กรุงเทพฯ"/>
    <s v="-"/>
    <s v=""/>
    <s v="05/01/2025 23:20"/>
    <s v="-"/>
    <s v="Flash Express Thailand COD"/>
    <s v="Tiktok"/>
    <s v="จ่ายทีหลัง / COD"/>
    <s v=""/>
    <s v="THT01011E3MZJ2Z"/>
    <s v="05/01/2025 23:20"/>
  </r>
  <r>
    <x v="19"/>
    <x v="19"/>
    <n v="199"/>
    <n v="3"/>
    <n v="0"/>
    <s v="EQJ47"/>
    <n v="676"/>
    <n v="79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5/01/2025 23:19"/>
    <s v="-"/>
    <s v="Flash Express"/>
    <s v="Shopee"/>
    <s v="shopee"/>
    <s v=""/>
    <s v="TH04066NVYFY5A2"/>
    <s v="05/01/2025 23:18"/>
  </r>
  <r>
    <x v="10"/>
    <x v="10"/>
    <n v="200"/>
    <n v="1"/>
    <n v="0"/>
    <s v="EQJ45"/>
    <n v="200"/>
    <n v="0"/>
    <s v="ร้านที่4"/>
    <s v="ล***ี่ ถ***อง"/>
    <s v="ภูเก็ต"/>
    <s v="-"/>
    <s v=""/>
    <s v="05/01/2025 23:17"/>
    <s v="-"/>
    <s v="Flash Express Thailand COD"/>
    <s v="Tiktok"/>
    <s v="จ่ายทีหลัง / COD"/>
    <s v=""/>
    <s v="THT67011E3MT66Z"/>
    <s v="05/01/2025 23:17"/>
  </r>
  <r>
    <x v="5"/>
    <x v="5"/>
    <n v="350"/>
    <n v="1"/>
    <n v="0"/>
    <s v="EQJ44"/>
    <n v="350"/>
    <n v="0"/>
    <s v="ร้านที่4"/>
    <s v="น*** น***์นภัส"/>
    <s v="สุโขทัย"/>
    <s v="-"/>
    <s v=""/>
    <s v="05/01/2025 23:16"/>
    <s v="-"/>
    <s v="Flash Express Thailand COD"/>
    <s v="Tiktok"/>
    <s v="จ่ายทีหลัง / COD"/>
    <s v=""/>
    <s v="THT60071E3M1V8Z"/>
    <s v="05/01/2025 23:16"/>
  </r>
  <r>
    <x v="10"/>
    <x v="10"/>
    <n v="200"/>
    <n v="2"/>
    <n v="0"/>
    <s v="EQJ43"/>
    <n v="400"/>
    <n v="0"/>
    <s v="ร้านที่2"/>
    <s v="ต***ุช บ***"/>
    <s v="พระนครศรีอยุธยา"/>
    <s v="-"/>
    <s v=""/>
    <s v="05/01/2025 23:15"/>
    <s v="-"/>
    <s v="J&amp;T COD"/>
    <s v="Tiktok"/>
    <s v="จ่ายทีหลัง / COD"/>
    <s v=""/>
    <s v="754365145365"/>
    <s v="05/01/2025 23:15"/>
  </r>
  <r>
    <x v="10"/>
    <x v="10"/>
    <n v="200"/>
    <n v="1"/>
    <n v="0"/>
    <s v="EQJ42"/>
    <n v="200"/>
    <n v="0"/>
    <s v="ร้านที่1"/>
    <s v="อ***นา ศ***รงผล"/>
    <s v="สมุทรสาคร"/>
    <s v="-"/>
    <s v=""/>
    <s v="05/01/2025 23:04"/>
    <s v="-"/>
    <s v="J&amp;T Express"/>
    <s v="Tiktok"/>
    <s v="tiktok"/>
    <s v=""/>
    <s v="754302854336"/>
    <s v="05/01/2025 23:04"/>
  </r>
  <r>
    <x v="4"/>
    <x v="4"/>
    <n v="100"/>
    <n v="1"/>
    <n v="0"/>
    <s v="EQJ41"/>
    <n v="106"/>
    <n v="6"/>
    <s v="ร้านที่1"/>
    <s v="ศ***ฤต อ***ไพบูลย์วงศ์"/>
    <s v="สมุทรปราการ"/>
    <s v="-"/>
    <s v=""/>
    <s v="05/01/2025 23:02"/>
    <s v="-"/>
    <s v="Flash Express Thailand COD"/>
    <s v="Tiktok"/>
    <s v="จ่ายทีหลัง / COD"/>
    <s v=""/>
    <s v="THT02061E2YPQ7Z"/>
    <s v="05/01/2025 23:02"/>
  </r>
  <r>
    <x v="13"/>
    <x v="30"/>
    <n v="119.84"/>
    <n v="1"/>
    <n v="0"/>
    <s v="EQJ39"/>
    <n v="124.84"/>
    <n v="5"/>
    <s v="ร้านที่9"/>
    <s v="สุวรรณี วงศ์ศิริรักษ์"/>
    <s v="580/14 ถ.หลวง ซ.มังกร1_x000a__x000a_ป้อมปราบศัตรูพ่าย/ Pom Prap Sattru Phaiกรุงเทพมหานคร/ Bangkok_x000a_10100"/>
    <s v="10100"/>
    <s v="660868919122"/>
    <s v="05/01/2025 22:48"/>
    <s v="-"/>
    <s v="Kerry_dropoff"/>
    <s v="Lazada"/>
    <s v="lazada"/>
    <s v=""/>
    <s v="LEXDO0123983259"/>
    <s v="05/01/2025 22:48"/>
  </r>
  <r>
    <x v="4"/>
    <x v="4"/>
    <n v="100"/>
    <n v="3"/>
    <n v="0"/>
    <s v="EQJ38"/>
    <n v="600"/>
    <n v="0"/>
    <s v="ร้านที่1"/>
    <s v="ว***น  ธ***ะสถาพร"/>
    <s v="แพร่"/>
    <s v="-"/>
    <s v=""/>
    <s v="05/01/2025 22:41"/>
    <s v="-"/>
    <s v="J&amp;T COD"/>
    <s v="Tiktok"/>
    <s v="จ่ายทีหลัง / COD"/>
    <s v=""/>
    <s v="754332443384"/>
    <s v="05/01/2025 22:41"/>
  </r>
  <r>
    <x v="9"/>
    <x v="4"/>
    <n v="100"/>
    <n v="3"/>
    <n v="0"/>
    <s v="EQJ38"/>
    <n v="600"/>
    <n v="0"/>
    <s v="ร้านที่1"/>
    <s v="ว***น  ธ***ะสถาพร"/>
    <s v="แพร่"/>
    <s v="-"/>
    <s v=""/>
    <s v="05/01/2025 22:41"/>
    <s v="-"/>
    <s v="J&amp;T COD"/>
    <s v="Tiktok"/>
    <s v="จ่ายทีหลัง / COD"/>
    <s v=""/>
    <s v="754332443384"/>
    <s v="05/01/2025 22:41"/>
  </r>
  <r>
    <x v="4"/>
    <x v="4"/>
    <n v="100"/>
    <n v="1"/>
    <n v="0"/>
    <s v="EQJ36"/>
    <n v="106"/>
    <n v="6"/>
    <s v="ร้านที่1"/>
    <s v="ช***ัตน์"/>
    <s v="กรุงเทพฯ"/>
    <s v="-"/>
    <s v=""/>
    <s v="05/01/2025 22:35"/>
    <s v="-"/>
    <s v="J&amp;T COD"/>
    <s v="Tiktok"/>
    <s v="จ่ายทีหลัง / COD"/>
    <s v=""/>
    <s v="754378313382"/>
    <s v="05/01/2025 22:35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24"/>
    <x v="26"/>
    <n v="457.89"/>
    <n v="1"/>
    <n v="0"/>
    <s v="EQJ35"/>
    <n v="1427.67"/>
    <n v="5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5/01/2025 22:31"/>
    <s v="-"/>
    <s v="Kerry_dropoff"/>
    <s v="Lazada"/>
    <s v="lazada"/>
    <s v=""/>
    <s v="LEXDO0123978726"/>
    <s v="05/01/2025 22:31"/>
  </r>
  <r>
    <x v="4"/>
    <x v="4"/>
    <n v="100"/>
    <n v="1"/>
    <n v="0"/>
    <s v="EQJ34"/>
    <n v="100"/>
    <n v="0"/>
    <s v="ร้านที่2"/>
    <s v="ร***า ท***มภู"/>
    <s v="นครปฐม"/>
    <s v="-"/>
    <s v=""/>
    <s v="05/01/2025 22:31"/>
    <s v="-"/>
    <s v="J&amp;T COD"/>
    <s v="Tiktok"/>
    <s v="จ่ายทีหลัง / COD"/>
    <s v=""/>
    <s v="754386516380"/>
    <s v="05/01/2025 22:31"/>
  </r>
  <r>
    <x v="9"/>
    <x v="4"/>
    <n v="100"/>
    <n v="1"/>
    <n v="0"/>
    <s v="EQJ33"/>
    <n v="100"/>
    <n v="0"/>
    <s v="ร้านที่2"/>
    <s v="ค** ก*** ห***จริญ"/>
    <s v="สระบุรี"/>
    <s v="-"/>
    <s v=""/>
    <s v="05/01/2025 22:30"/>
    <s v="-"/>
    <s v="J&amp;T COD"/>
    <s v="Tiktok"/>
    <s v="จ่ายทีหลัง / COD"/>
    <s v=""/>
    <s v="754386431396"/>
    <s v="05/01/2025 22:30"/>
  </r>
  <r>
    <x v="19"/>
    <x v="34"/>
    <n v="119.84"/>
    <n v="1"/>
    <n v="0"/>
    <s v="EQJ32"/>
    <n v="124.84"/>
    <n v="5"/>
    <s v="ร้านที่9"/>
    <s v="สมศรี  คุปติธรรมกุล"/>
    <s v="ถ. หมู่บ้านเศรษฐกิจ ซ.เศรษฐกิจ 46 420/220 หมู่บ้านชมเพลิน_x000a__x000a_บางแค/ Bang Khaeกรุงเทพมหานคร/ Bangkok_x000a_10160"/>
    <s v="10160"/>
    <s v="660894938002"/>
    <s v="05/01/2025 22:30"/>
    <s v="-"/>
    <s v="Kerry_dropoff"/>
    <s v="Lazada"/>
    <s v="lazada"/>
    <s v=""/>
    <s v="LEXDO0123979084"/>
    <s v="05/01/2025 22:30"/>
  </r>
  <r>
    <x v="13"/>
    <x v="30"/>
    <n v="142.5"/>
    <n v="1"/>
    <n v="0"/>
    <s v="EQJ31"/>
    <n v="147.5"/>
    <n v="5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05/01/2025 22:26"/>
    <s v="-"/>
    <s v="Kerry_dropoff"/>
    <s v="Lazada"/>
    <s v="lazada"/>
    <s v=""/>
    <s v="LEXDO0123983516"/>
    <s v="05/01/2025 22:26"/>
  </r>
  <r>
    <x v="19"/>
    <x v="34"/>
    <n v="99.94"/>
    <n v="1"/>
    <n v="0"/>
    <s v="EQJ27"/>
    <n v="99.94"/>
    <n v="0"/>
    <s v="ร้านที่9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05/01/2025 22:06"/>
    <s v="-"/>
    <s v="Kerry_dropoff"/>
    <s v="Lazada"/>
    <s v="lazada"/>
    <s v=""/>
    <s v="LEXDO0123982504"/>
    <s v="05/01/2025 22:06"/>
  </r>
  <r>
    <x v="24"/>
    <x v="26"/>
    <n v="463.48"/>
    <n v="1"/>
    <n v="0"/>
    <s v="EQJ26"/>
    <n v="482.48"/>
    <n v="19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5/01/2025 22:01"/>
    <s v="-"/>
    <s v="Kerry_dropoff"/>
    <s v="Lazada"/>
    <s v="lazada"/>
    <s v=""/>
    <s v="LEXDO0123980327"/>
    <s v="05/01/2025 22:01"/>
  </r>
  <r>
    <x v="9"/>
    <x v="4"/>
    <n v="100"/>
    <n v="1"/>
    <n v="0"/>
    <s v="EQJ24"/>
    <n v="106"/>
    <n v="6"/>
    <s v="ร้านที่2"/>
    <s v="เ***ม  ศ***้อย"/>
    <s v="ปทุมธานี"/>
    <s v="-"/>
    <s v=""/>
    <s v="05/01/2025 21:58"/>
    <s v="-"/>
    <s v="J&amp;T COD"/>
    <s v="Tiktok"/>
    <s v="จ่ายทีหลัง / COD"/>
    <s v=""/>
    <s v="754385232392"/>
    <s v="05/01/2025 21:59"/>
  </r>
  <r>
    <x v="10"/>
    <x v="10"/>
    <n v="200"/>
    <n v="1"/>
    <n v="0"/>
    <s v="EQJ22"/>
    <n v="200"/>
    <n v="0"/>
    <s v="ร้านที่1"/>
    <s v="จ***ิ​รา​ ภ***าม​"/>
    <s v="สุรินทร์"/>
    <s v="-"/>
    <s v=""/>
    <s v="05/01/2025 21:52"/>
    <s v="-"/>
    <s v="J&amp;T COD"/>
    <s v="Tiktok"/>
    <s v="จ่ายทีหลัง / COD"/>
    <s v=""/>
    <s v="754367742310"/>
    <s v="05/01/2025 21:52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79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79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9"/>
    <x v="34"/>
    <n v="132.80000000000001"/>
    <n v="1"/>
    <n v="0"/>
    <s v="EQJ21"/>
    <n v="1200.18"/>
    <n v="5"/>
    <s v="ร้านที่9"/>
    <s v="ชญาน์นัทช์ จิตประไพกุลศาล"/>
    <s v="2/374 หมู่บ้านอยู่เจริญ ซ.พหลโยธิน 40 แยก 4-5 เสนานิคม_x000a__x000a_จตุจักร/ Chatuchakกรุงเทพมหานคร/ Bangkok_x000a_10900"/>
    <s v="10900"/>
    <s v="660872022933"/>
    <s v="05/01/2025 21:49"/>
    <s v="-"/>
    <s v="Kerry_dropoff"/>
    <s v="Lazada"/>
    <s v="lazada"/>
    <s v=""/>
    <s v="TH01056NV9RY5E"/>
    <s v="05/01/2025 21:49"/>
  </r>
  <r>
    <x v="10"/>
    <x v="10"/>
    <n v="200"/>
    <n v="1"/>
    <n v="0"/>
    <s v="EQJ20"/>
    <n v="200"/>
    <n v="0"/>
    <s v="ร้านที่1"/>
    <s v="ก***ลา บ***กั๊ต"/>
    <s v="ระนอง"/>
    <s v="-"/>
    <s v=""/>
    <s v="05/01/2025 21:46"/>
    <s v="-"/>
    <s v="J&amp;T COD"/>
    <s v="Tiktok"/>
    <s v="จ่ายทีหลัง / COD"/>
    <s v=""/>
    <s v="754389544311"/>
    <s v="05/01/2025 21:46"/>
  </r>
  <r>
    <x v="10"/>
    <x v="10"/>
    <n v="200"/>
    <n v="1"/>
    <n v="0"/>
    <s v="EQJ19"/>
    <n v="200"/>
    <n v="0"/>
    <s v="ร้านที่1"/>
    <s v="ก***นา ด***อหมาน"/>
    <s v="สงขลา"/>
    <s v="-"/>
    <s v=""/>
    <s v="05/01/2025 21:46"/>
    <s v="-"/>
    <s v="J&amp;T COD"/>
    <s v="Tiktok"/>
    <s v="จ่ายทีหลัง / COD"/>
    <s v=""/>
    <s v="754352541320"/>
    <s v="05/01/2025 21:46"/>
  </r>
  <r>
    <x v="10"/>
    <x v="10"/>
    <n v="200"/>
    <n v="1"/>
    <n v="0"/>
    <s v="EQJ18"/>
    <n v="200"/>
    <n v="0"/>
    <s v="ร้านที่1"/>
    <s v="พ***าตย์ พ***ุพจน์"/>
    <s v="ปราจีนบุรี"/>
    <s v="-"/>
    <s v=""/>
    <s v="05/01/2025 21:45"/>
    <s v="-"/>
    <s v="Flash Express Thailand"/>
    <s v="Tiktok"/>
    <s v="tiktok"/>
    <s v=""/>
    <s v="THT01071E39BA9Z"/>
    <s v="05/01/2025 21:44"/>
  </r>
  <r>
    <x v="19"/>
    <x v="34"/>
    <n v="142.31"/>
    <n v="1"/>
    <n v="0"/>
    <s v="EQJ17"/>
    <n v="147.31"/>
    <n v="5"/>
    <s v="ร้านที่9"/>
    <s v="ธิติวรรณ สุดชา"/>
    <s v="25/53 ม.2ต.บ้านสวน_x000a__x000a_เมืองชลบุรี/ Mueang Chon Buriชลบุรี/ Chonburi_x000a_20000"/>
    <s v="20000"/>
    <s v="660950320652"/>
    <s v="05/01/2025 21:44"/>
    <s v="-"/>
    <s v="Kerry_dropoff"/>
    <s v="Lazada"/>
    <s v="lazada"/>
    <s v=""/>
    <s v="LEXDO0123982679"/>
    <s v="05/01/2025 21:44"/>
  </r>
  <r>
    <x v="10"/>
    <x v="10"/>
    <n v="200"/>
    <n v="1"/>
    <n v="0"/>
    <s v="EQJ16"/>
    <n v="200"/>
    <n v="0"/>
    <s v="ร้านที่1"/>
    <s v="น***น ท***เตรือ"/>
    <s v="สกลนคร"/>
    <s v="-"/>
    <s v=""/>
    <s v="05/01/2025 21:42"/>
    <s v="-"/>
    <s v="J&amp;T COD"/>
    <s v="Tiktok"/>
    <s v="จ่ายทีหลัง / COD"/>
    <s v=""/>
    <s v="754362346323"/>
    <s v="05/01/2025 21:42"/>
  </r>
  <r>
    <x v="9"/>
    <x v="4"/>
    <n v="100"/>
    <n v="1"/>
    <n v="0"/>
    <s v="EQJ15"/>
    <n v="106"/>
    <n v="6"/>
    <s v="ร้านที่1"/>
    <s v="จ***ภา ร***มาศ"/>
    <s v="เพชรบุรี"/>
    <s v="-"/>
    <s v=""/>
    <s v="05/01/2025 21:45"/>
    <s v="-"/>
    <s v="J&amp;T Express"/>
    <s v="Tiktok"/>
    <s v="tiktok"/>
    <s v=""/>
    <s v="754301245305"/>
    <s v="05/01/2025 21:42"/>
  </r>
  <r>
    <x v="13"/>
    <x v="30"/>
    <n v="147.9"/>
    <n v="1"/>
    <n v="0"/>
    <s v="EQJ14"/>
    <n v="152.9"/>
    <n v="5"/>
    <s v="ร้านที่9"/>
    <s v="น.ส.สุกัลยา เกื้อกูล"/>
    <s v="47/3 บ้านลุงอีด ม.2 ต.ไทรขึง อ.พระแสง จ.สุราษฎร์ธานี · ไทรขึง/ Sai Khueng_x000a__x000a_พระแสง/ Phrasaengสุราษฎร์ธานี/ Surat Thani_x000a_84210"/>
    <s v="84210"/>
    <s v="660838898066"/>
    <s v="05/01/2025 21:42"/>
    <s v="-"/>
    <s v="Kerry_dropoff"/>
    <s v="Lazada"/>
    <s v="lazada"/>
    <s v=""/>
    <s v="TH68166NVU3Q4D"/>
    <s v="05/01/2025 21:42"/>
  </r>
  <r>
    <x v="4"/>
    <x v="4"/>
    <n v="100"/>
    <n v="2"/>
    <n v="0"/>
    <s v="EQJ13"/>
    <n v="200"/>
    <n v="0"/>
    <s v="ร้านที่1"/>
    <s v="ค** จ*** ต***มฆ"/>
    <s v="ร้อยเอ็ด"/>
    <s v="-"/>
    <s v=""/>
    <s v="05/01/2025 21:41"/>
    <s v="-"/>
    <s v="J&amp;T Express"/>
    <s v="Tiktok"/>
    <s v="tiktok"/>
    <s v=""/>
    <s v="754375316380"/>
    <s v="05/01/2025 21:41"/>
  </r>
  <r>
    <x v="4"/>
    <x v="4"/>
    <n v="100"/>
    <n v="1"/>
    <n v="0"/>
    <s v="EQJ12"/>
    <n v="106"/>
    <n v="6"/>
    <s v="ร้านที่2"/>
    <s v="น*** ป***รัตน์ ด***ษ์"/>
    <s v="ตาก"/>
    <s v="-"/>
    <s v=""/>
    <s v="05/01/2025 21:41"/>
    <s v="-"/>
    <s v="J&amp;T COD"/>
    <s v="Tiktok"/>
    <s v="จ่ายทีหลัง / COD"/>
    <s v=""/>
    <s v="754374845350"/>
    <s v="05/01/2025 21:41"/>
  </r>
  <r>
    <x v="13"/>
    <x v="30"/>
    <n v="119.84"/>
    <n v="1"/>
    <n v="0"/>
    <s v="EQJ11"/>
    <n v="124.84"/>
    <n v="5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05/01/2025 21:40"/>
    <s v="-"/>
    <s v="Kerry_dropoff"/>
    <s v="Lazada"/>
    <s v="lazada"/>
    <s v=""/>
    <s v="LEXDO0123983378"/>
    <s v="05/01/2025 21:40"/>
  </r>
  <r>
    <x v="10"/>
    <x v="10"/>
    <n v="200"/>
    <n v="1"/>
    <n v="0"/>
    <s v="EQJ9"/>
    <n v="200"/>
    <n v="0"/>
    <s v="ร้านที่1"/>
    <s v="ท***ีย์"/>
    <s v="กรุงเทพฯ"/>
    <s v="-"/>
    <s v=""/>
    <s v="05/01/2025 21:38"/>
    <s v="-"/>
    <s v="J&amp;T COD"/>
    <s v="Tiktok"/>
    <s v="จ่ายทีหลัง / COD"/>
    <s v=""/>
    <s v="754332146330"/>
    <s v="05/01/2025 21:38"/>
  </r>
  <r>
    <x v="0"/>
    <x v="0"/>
    <n v="100"/>
    <n v="1"/>
    <n v="0"/>
    <s v="EQJ8"/>
    <n v="106"/>
    <n v="6"/>
    <s v="ร้านที่1"/>
    <s v="N***"/>
    <s v="เชียงราย"/>
    <s v="-"/>
    <s v=""/>
    <s v="05/01/2025 21:36"/>
    <s v="-"/>
    <s v="J&amp;T COD"/>
    <s v="Tiktok"/>
    <s v="จ่ายทีหลัง / COD"/>
    <s v=""/>
    <s v="754331236573"/>
    <s v="05/01/2025 21:36"/>
  </r>
  <r>
    <x v="4"/>
    <x v="4"/>
    <n v="100"/>
    <n v="1"/>
    <n v="0"/>
    <s v="EQJ7"/>
    <n v="100"/>
    <n v="0"/>
    <s v="ร้านที่2"/>
    <s v="ว***ชัย เ***อวัลย์"/>
    <s v="นครปฐม"/>
    <s v="-"/>
    <s v=""/>
    <s v="05/01/2025 21:36"/>
    <s v="-"/>
    <s v="J&amp;T COD"/>
    <s v="Tiktok"/>
    <s v="จ่ายทีหลัง / COD"/>
    <s v=""/>
    <s v="754356337383"/>
    <s v="05/01/2025 21:36"/>
  </r>
  <r>
    <x v="10"/>
    <x v="10"/>
    <n v="200"/>
    <n v="2"/>
    <n v="0"/>
    <s v="EQJ6"/>
    <n v="400"/>
    <n v="0"/>
    <s v="ร้านที่2"/>
    <s v="ส***ลิน  เ***กรรจ์"/>
    <s v="สมุทรสงคราม"/>
    <s v="-"/>
    <s v=""/>
    <s v="05/01/2025 21:36"/>
    <s v="-"/>
    <s v="J&amp;T Express"/>
    <s v="Tiktok"/>
    <s v="tiktok"/>
    <s v=""/>
    <s v="754322251325"/>
    <s v="05/01/2025 21:36"/>
  </r>
  <r>
    <x v="9"/>
    <x v="4"/>
    <n v="100"/>
    <n v="1"/>
    <n v="0"/>
    <s v="EQJ4"/>
    <n v="129"/>
    <n v="29"/>
    <s v="ร้านที่2"/>
    <s v="ด***รือง ไ***ยะ"/>
    <s v="สุโขทัย"/>
    <s v="-"/>
    <s v=""/>
    <s v="05/01/2025 21:34"/>
    <s v="-"/>
    <s v="J&amp;T COD"/>
    <s v="Tiktok"/>
    <s v="จ่ายทีหลัง / COD"/>
    <s v=""/>
    <s v="754339237385"/>
    <s v="05/01/2025 21:34"/>
  </r>
  <r>
    <x v="9"/>
    <x v="4"/>
    <n v="100"/>
    <n v="1"/>
    <n v="0"/>
    <s v="EQJ3"/>
    <n v="100"/>
    <n v="0"/>
    <s v="ร้านที่1"/>
    <s v="ส***้ จ***ตนา ก***"/>
    <s v="สุโขทัย"/>
    <s v="-"/>
    <s v=""/>
    <s v="05/01/2025 21:33"/>
    <s v="-"/>
    <s v="J&amp;T Express"/>
    <s v="Tiktok"/>
    <s v="tiktok"/>
    <s v=""/>
    <s v="754347835393"/>
    <s v="05/01/2025 21:33"/>
  </r>
  <r>
    <x v="38"/>
    <x v="50"/>
    <n v="200"/>
    <n v="1"/>
    <n v="0"/>
    <s v="EQJ2"/>
    <n v="200"/>
    <n v="0"/>
    <s v="ร้านที่1"/>
    <s v="ค***จง"/>
    <s v="Maha Sarakham"/>
    <s v="-"/>
    <s v=""/>
    <s v="05/01/2025 21:31"/>
    <s v="-"/>
    <s v="J&amp;T COD"/>
    <s v="Tiktok"/>
    <s v="จ่ายทีหลัง / COD"/>
    <s v=""/>
    <s v="754323950310"/>
    <s v="05/01/2025 21:31"/>
  </r>
  <r>
    <x v="24"/>
    <x v="26"/>
    <n v="447.27"/>
    <n v="1"/>
    <n v="0"/>
    <s v="EQJ1"/>
    <n v="471.27"/>
    <n v="24"/>
    <s v="ร้านที่9"/>
    <s v="ปรียานุช   กางเกตุ"/>
    <s v="14  ม.1  บ.หนองคูพัฒนา  ต.กุดใส้จ่_x000a__x000a_กันทรวิชัย/ Kantharawichaiมหาสารคาม/ Maha Sarakham_x000a_44150"/>
    <s v="44150"/>
    <s v="660961600927"/>
    <s v="05/01/2025 21:31"/>
    <s v="-"/>
    <s v="Kerry_dropoff"/>
    <s v="Lazada"/>
    <s v="lazada"/>
    <s v=""/>
    <s v="LEXDO0123977312"/>
    <s v="05/01/2025 21:31"/>
  </r>
  <r>
    <x v="10"/>
    <x v="10"/>
    <n v="200"/>
    <n v="1"/>
    <n v="0"/>
    <s v="EQJ0"/>
    <n v="200"/>
    <n v="0"/>
    <s v="ร้านที่2"/>
    <s v="น***ดี ศ***ัย"/>
    <s v="ปทุมธานี"/>
    <s v="-"/>
    <s v=""/>
    <s v="05/01/2025 21:30"/>
    <s v="-"/>
    <s v="J&amp;T Express"/>
    <s v="Tiktok"/>
    <s v="tiktok"/>
    <s v=""/>
    <s v="754301541335"/>
    <s v="05/01/2025 21:30"/>
  </r>
  <r>
    <x v="24"/>
    <x v="26"/>
    <n v="447.27"/>
    <n v="1"/>
    <n v="0"/>
    <s v="EQI99"/>
    <n v="471.27"/>
    <n v="24"/>
    <s v="ร้านที่9"/>
    <s v="ปรียานุช   กางเกตุ"/>
    <s v="14  ม.1  บ.หนองคูพัฒนา  ต.กุดใส้จ่_x000a__x000a_กันทรวิชัย/ Kantharawichaiมหาสารคาม/ Maha Sarakham_x000a_44150"/>
    <s v="44150"/>
    <s v="660961600927"/>
    <s v="05/01/2025 21:30"/>
    <s v="-"/>
    <s v="Kerry_dropoff"/>
    <s v="Lazada"/>
    <s v="lazada"/>
    <s v=""/>
    <s v="LEXDO0123980191"/>
    <s v="05/01/2025 21:29"/>
  </r>
  <r>
    <x v="10"/>
    <x v="10"/>
    <n v="200"/>
    <n v="1"/>
    <n v="0"/>
    <s v="EQI98"/>
    <n v="200"/>
    <n v="0"/>
    <s v="ร้านที่1"/>
    <s v="อ***ย์ ภ***ีรี"/>
    <s v="สุพรรณบุรี"/>
    <s v="-"/>
    <s v=""/>
    <s v="05/01/2025 21:29"/>
    <s v="-"/>
    <s v="J&amp;T COD"/>
    <s v="Tiktok"/>
    <s v="จ่ายทีหลัง / COD"/>
    <s v=""/>
    <s v="754347649392"/>
    <s v="05/01/2025 21:29"/>
  </r>
  <r>
    <x v="24"/>
    <x v="32"/>
    <n v="477.96"/>
    <n v="1"/>
    <n v="0"/>
    <s v="EQI97"/>
    <n v="477.96"/>
    <n v="0"/>
    <s v="ร้านที่6"/>
    <s v="ปราณี. บังเกิดลาภ"/>
    <s v="10/84หมู่3ซ.ด่านสำโรง39ต.สำโรงเหนืออ.เมืองจ.สมุทรปราการ10270_x000a__x000a_เมืองสมุทรปราการ/ Mueang Samut Prakanสมุทรปราการ/ Samut Prakan_x000a_10270"/>
    <s v="10270"/>
    <s v="660958200505"/>
    <s v="05/01/2025 21:28"/>
    <s v="-"/>
    <s v="Kerry_dropoff"/>
    <s v="Lazada"/>
    <s v="lazada"/>
    <s v=""/>
    <s v="LEXPU0442376308"/>
    <s v="05/01/2025 21:28"/>
  </r>
  <r>
    <x v="24"/>
    <x v="26"/>
    <n v="447.27"/>
    <n v="1"/>
    <n v="0"/>
    <s v="EQI96"/>
    <n v="461.27"/>
    <n v="14"/>
    <s v="ร้านที่9"/>
    <s v="ศุภกานต์ มุก"/>
    <s v="111 หมู่10 ตำบลบ้านกลา_x000a__x000a_เมืองนครพนม/ Mueng Nakornpanomนครพนม/ Nakhon Phanom_x000a_48000"/>
    <s v="48000"/>
    <s v="660872255453"/>
    <s v="05/01/2025 21:25"/>
    <s v="-"/>
    <s v="Kerry_dropoff"/>
    <s v="Lazada"/>
    <s v="lazada"/>
    <s v=""/>
    <s v="LEXDO0123977432"/>
    <s v="05/01/2025 21:25"/>
  </r>
  <r>
    <x v="9"/>
    <x v="4"/>
    <n v="100"/>
    <n v="1"/>
    <n v="0"/>
    <s v="EQI95"/>
    <n v="106"/>
    <n v="6"/>
    <s v="ร้านที่2"/>
    <s v="โ***ต ภ***ติยะโยภาพ"/>
    <s v="กรุงเทพฯ"/>
    <s v="-"/>
    <s v=""/>
    <s v="05/01/2025 21:23"/>
    <s v="-"/>
    <s v="J&amp;T COD"/>
    <s v="Tiktok"/>
    <s v="จ่ายทีหลัง / COD"/>
    <s v=""/>
    <s v="754390234393"/>
    <s v="05/01/2025 21:23"/>
  </r>
  <r>
    <x v="4"/>
    <x v="4"/>
    <n v="100"/>
    <n v="2"/>
    <n v="0"/>
    <s v="EQI94"/>
    <n v="800"/>
    <n v="0"/>
    <s v="ร้านที่2"/>
    <s v="น***ิรภา ส***ี 2***ู่5บ้านหนองหมูต.หนองเลิงอ.เมืองจ.บึงกาฬ38000"/>
    <s v="บึงกาฬ"/>
    <s v="-"/>
    <s v=""/>
    <s v="05/01/2025 21:20"/>
    <s v="-"/>
    <s v="J&amp;T COD"/>
    <s v="Tiktok"/>
    <s v="จ่ายทีหลัง / COD"/>
    <s v=""/>
    <s v="754372548344"/>
    <s v="05/01/2025 21:21"/>
  </r>
  <r>
    <x v="9"/>
    <x v="4"/>
    <n v="100"/>
    <n v="6"/>
    <n v="0"/>
    <s v="EQI94"/>
    <n v="800"/>
    <n v="0"/>
    <s v="ร้านที่2"/>
    <s v="น***ิรภา ส***ี 2***ู่5บ้านหนองหมูต.หนองเลิงอ.เมืองจ.บึงกาฬ38000"/>
    <s v="บึงกาฬ"/>
    <s v="-"/>
    <s v=""/>
    <s v="05/01/2025 21:20"/>
    <s v="-"/>
    <s v="J&amp;T COD"/>
    <s v="Tiktok"/>
    <s v="จ่ายทีหลัง / COD"/>
    <s v=""/>
    <s v="754372548344"/>
    <s v="05/01/2025 21:21"/>
  </r>
  <r>
    <x v="9"/>
    <x v="4"/>
    <n v="100"/>
    <n v="2"/>
    <n v="0"/>
    <s v="EQI93"/>
    <n v="206"/>
    <n v="6"/>
    <s v="ร้านที่1"/>
    <s v="ป***าวดี ส***า"/>
    <s v="ปทุมธานี"/>
    <s v="-"/>
    <s v=""/>
    <s v="05/01/2025 21:19"/>
    <s v="-"/>
    <s v="J&amp;T COD"/>
    <s v="Tiktok"/>
    <s v="จ่ายทีหลัง / COD"/>
    <s v=""/>
    <s v="754302042303"/>
    <s v="05/01/2025 21:19"/>
  </r>
  <r>
    <x v="4"/>
    <x v="4"/>
    <n v="100"/>
    <n v="2"/>
    <n v="0"/>
    <s v="EQI92"/>
    <n v="200"/>
    <n v="0"/>
    <s v="ร้านที่2"/>
    <s v="แ**"/>
    <s v="พัทลุง"/>
    <s v="-"/>
    <s v=""/>
    <s v="05/01/2025 21:19"/>
    <s v="-"/>
    <s v="J&amp;T Express"/>
    <s v="Tiktok"/>
    <s v="tiktok"/>
    <s v=""/>
    <s v="754344832356"/>
    <s v="05/01/2025 21:19"/>
  </r>
  <r>
    <x v="4"/>
    <x v="4"/>
    <n v="100"/>
    <n v="1"/>
    <n v="0"/>
    <s v="EQI90"/>
    <n v="106"/>
    <n v="6"/>
    <s v="ร้านที่1"/>
    <s v="ด***ิตร จ***์เจริญ"/>
    <s v="ระนอง"/>
    <s v="-"/>
    <s v=""/>
    <s v="05/01/2025 21:18"/>
    <s v="-"/>
    <s v="J&amp;T COD"/>
    <s v="Tiktok"/>
    <s v="จ่ายทีหลัง / COD"/>
    <s v=""/>
    <s v="754366126382"/>
    <s v="05/01/2025 21:18"/>
  </r>
  <r>
    <x v="9"/>
    <x v="4"/>
    <n v="100"/>
    <n v="1"/>
    <n v="0"/>
    <s v="EQI89"/>
    <n v="106"/>
    <n v="6"/>
    <s v="ร้านที่2"/>
    <s v="ศ***วล ว***ลังกา"/>
    <s v="เทศบาลนครลำปาง"/>
    <s v="-"/>
    <s v=""/>
    <s v="05/01/2025 21:13"/>
    <s v="-"/>
    <s v="J&amp;T COD"/>
    <s v="Tiktok"/>
    <s v="จ่ายทีหลัง / COD"/>
    <s v=""/>
    <s v="754324737320"/>
    <s v="05/01/2025 21:14"/>
  </r>
  <r>
    <x v="4"/>
    <x v="4"/>
    <n v="100"/>
    <n v="1"/>
    <n v="0"/>
    <s v="EQI88"/>
    <n v="106"/>
    <n v="6"/>
    <s v="ร้านที่1"/>
    <s v="ป***าแสงอินทร์"/>
    <s v="ชลบุรี"/>
    <s v="-"/>
    <s v=""/>
    <s v="05/01/2025 21:12"/>
    <s v="-"/>
    <s v="J&amp;T COD"/>
    <s v="Tiktok"/>
    <s v="จ่ายทีหลัง / COD"/>
    <s v=""/>
    <s v="754358634352"/>
    <s v="05/01/2025 21:13"/>
  </r>
  <r>
    <x v="10"/>
    <x v="10"/>
    <n v="200"/>
    <n v="1"/>
    <n v="0"/>
    <s v="EQI87"/>
    <n v="200"/>
    <n v="0"/>
    <s v="ร้านที่1"/>
    <s v="อ***  อ***รา ก***ิ่ว"/>
    <s v="กรุงเทพฯ"/>
    <s v="-"/>
    <s v=""/>
    <s v="05/01/2025 21:11"/>
    <s v="-"/>
    <s v="J&amp;T Express"/>
    <s v="Tiktok"/>
    <s v="tiktok"/>
    <s v=""/>
    <s v="754359040385"/>
    <s v="05/01/2025 21:12"/>
  </r>
  <r>
    <x v="10"/>
    <x v="10"/>
    <n v="200"/>
    <n v="1"/>
    <n v="0"/>
    <s v="EQI86"/>
    <n v="200"/>
    <n v="0"/>
    <s v="ร้านที่1"/>
    <s v="ส***จ แ***ประสิทธิ์"/>
    <s v="เชียงราย"/>
    <s v="-"/>
    <s v=""/>
    <s v="05/01/2025 21:09"/>
    <s v="-"/>
    <s v="J&amp;T COD"/>
    <s v="Tiktok"/>
    <s v="จ่ายทีหลัง / COD"/>
    <s v=""/>
    <s v="754313545322"/>
    <s v="05/01/2025 21:12"/>
  </r>
  <r>
    <x v="24"/>
    <x v="32"/>
    <n v="504.52"/>
    <n v="1"/>
    <n v="0"/>
    <s v="EQI85"/>
    <n v="504.52"/>
    <n v="0"/>
    <s v="ร้านที่6"/>
    <s v="พิเชษฐ แสงสุข"/>
    <s v="99/7หมู่4ตลาดโรงเกลือโบ๊เบ๊สระบุรี ห้องเบอร์8 ร้านเจ๊น้อยตามสั่งด้านหลังตลาด(ติดกับร้านชลธิชาประดับยนต์) · กุดนกเปล้า/ Kut Nok Plao_x000a__x000a_เมืองสระบุรี/ Mueang Saraburiสระบุรี/ Saraburi_x000a_18000"/>
    <s v="18000"/>
    <s v="660822972368"/>
    <s v="05/01/2025 21:12"/>
    <s v="-"/>
    <s v="Kerry_dropoff"/>
    <s v="Lazada"/>
    <s v="lazada"/>
    <s v=""/>
    <s v="LEXPU0442377606"/>
    <s v="05/01/2025 21:12"/>
  </r>
  <r>
    <x v="13"/>
    <x v="13"/>
    <n v="230"/>
    <n v="1"/>
    <n v="0"/>
    <s v="EQI83"/>
    <n v="230"/>
    <n v="0"/>
    <s v="ร้านที่2"/>
    <s v="ห******์"/>
    <s v="******เภอเมืองพิษณุโลก ตำบลในเมือง อำเภอเมืองพิษณุโลก จังหวัดพิษณุโลก 65000"/>
    <s v="65000"/>
    <s v="82"/>
    <s v="05/01/2025 21:12"/>
    <s v="-"/>
    <s v="Flash Express"/>
    <s v="Shopee"/>
    <s v="shopee"/>
    <s v=""/>
    <s v="TH61016P4EUN4A"/>
    <s v="05/01/2025 21:12"/>
  </r>
  <r>
    <x v="13"/>
    <x v="30"/>
    <n v="142.31"/>
    <n v="1"/>
    <n v="0"/>
    <s v="EQI82"/>
    <n v="147.31"/>
    <n v="5"/>
    <s v="ร้านที่9"/>
    <s v="น.ส.รามาวดี นามปัสสา"/>
    <s v="บ้านเลขที่ 5 หมู่ 19 บ.สามแยกเมืองใหม่ ต.เขมราฐ · เขมราฐ/ Khemarat_x000a__x000a_เขมราฐ/ Khemaratอุบลราชธานี/ Ubon Ratchathani_x000a_34170"/>
    <s v="34170"/>
    <s v="660982637854"/>
    <s v="05/01/2025 21:08"/>
    <s v="-"/>
    <s v="Kerry_dropoff"/>
    <s v="Lazada"/>
    <s v="lazada"/>
    <s v=""/>
    <s v="TH31056NVSWA5A"/>
    <s v="05/01/2025 21:08"/>
  </r>
  <r>
    <x v="4"/>
    <x v="4"/>
    <n v="100"/>
    <n v="2"/>
    <n v="0"/>
    <s v="EQI81"/>
    <n v="200"/>
    <n v="0"/>
    <s v="ร้านที่1"/>
    <s v="ป***ดา ป***ิติ"/>
    <s v="ปทุมธานี"/>
    <s v="-"/>
    <s v=""/>
    <s v="05/01/2025 21:03"/>
    <s v="-"/>
    <s v="J&amp;T Express"/>
    <s v="Tiktok"/>
    <s v="tiktok"/>
    <s v=""/>
    <s v="754307226363"/>
    <s v="05/01/2025 21:03"/>
  </r>
  <r>
    <x v="0"/>
    <x v="0"/>
    <n v="100"/>
    <n v="1"/>
    <n v="0"/>
    <s v="EQI80"/>
    <n v="106"/>
    <n v="6"/>
    <s v="ร้านที่4"/>
    <s v="ก***"/>
    <s v="ปทุมธานี"/>
    <s v="-"/>
    <s v=""/>
    <s v="05/01/2025 21:01"/>
    <s v="-"/>
    <s v="Flash Express Thailand COD"/>
    <s v="Tiktok"/>
    <s v="จ่ายทีหลัง / COD"/>
    <s v=""/>
    <s v="THT04051E2TCU3Z"/>
    <s v="05/01/2025 21:01"/>
  </r>
  <r>
    <x v="10"/>
    <x v="10"/>
    <n v="200"/>
    <n v="1"/>
    <n v="0"/>
    <s v="EQI79"/>
    <n v="200"/>
    <n v="0"/>
    <s v="ร้านที่1"/>
    <s v="น* เ***ัจฌา"/>
    <s v="ชุมพร"/>
    <s v="-"/>
    <s v=""/>
    <s v="05/01/2025 20:58"/>
    <s v="-"/>
    <s v="J&amp;T COD"/>
    <s v="Tiktok"/>
    <s v="จ่ายทีหลัง / COD"/>
    <s v=""/>
    <s v="754312845392"/>
    <s v="05/01/2025 20:59"/>
  </r>
  <r>
    <x v="19"/>
    <x v="34"/>
    <n v="134.62"/>
    <n v="1"/>
    <n v="0"/>
    <s v="EQI78"/>
    <n v="274.24"/>
    <n v="5"/>
    <s v="ร้านที่9"/>
    <s v="รัตนภรณ์  รัตนศิลา"/>
    <s v="200/191 แจ้งวัฒนะซอย10แยก1 แขวงทุ่งสองห้อง เขตหลักสี่ กทม._x000a__x000a_หลักสี่/ Lak Siกรุงเทพมหานคร/ Bangkok_x000a_10210"/>
    <s v="10210"/>
    <s v="660858090322"/>
    <s v="05/01/2025 20:58"/>
    <s v="-"/>
    <s v="Kerry_dropoff"/>
    <s v="Lazada"/>
    <s v="lazada"/>
    <s v=""/>
    <s v="LEXDO0123982610"/>
    <s v="05/01/2025 20:58"/>
  </r>
  <r>
    <x v="13"/>
    <x v="30"/>
    <n v="134.62"/>
    <n v="1"/>
    <n v="0"/>
    <s v="EQI78"/>
    <n v="274.24"/>
    <n v="5"/>
    <s v="ร้านที่9"/>
    <s v="รัตนภรณ์  รัตนศิลา"/>
    <s v="200/191 แจ้งวัฒนะซอย10แยก1 แขวงทุ่งสองห้อง เขตหลักสี่ กทม._x000a__x000a_หลักสี่/ Lak Siกรุงเทพมหานคร/ Bangkok_x000a_10210"/>
    <s v="10210"/>
    <s v="660858090322"/>
    <s v="05/01/2025 20:58"/>
    <s v="-"/>
    <s v="Kerry_dropoff"/>
    <s v="Lazada"/>
    <s v="lazada"/>
    <s v=""/>
    <s v="LEXDO0123982610"/>
    <s v="05/01/2025 20:58"/>
  </r>
  <r>
    <x v="13"/>
    <x v="30"/>
    <n v="127.33"/>
    <n v="1"/>
    <n v="0"/>
    <s v="EQI77"/>
    <n v="259.66000000000003"/>
    <n v="5"/>
    <s v="ร้านที่9"/>
    <s v="คุณ อาจิน อุปจันทร์"/>
    <s v="165 หมู่1 ต.ส้าน อ.เวียงสา จ.น่าน บ้านไผ่งาม · ส้าน/ San_x000a__x000a_เวียงสา/ Wiang Saน่าน/ Nan_x000a_55110"/>
    <s v="55110"/>
    <s v="660858090322"/>
    <s v="05/01/2025 20:57"/>
    <s v="-"/>
    <s v="Kerry_dropoff"/>
    <s v="Lazada"/>
    <s v="lazada"/>
    <s v=""/>
    <s v="TH52076NVT5P4F"/>
    <s v="05/01/2025 20:57"/>
  </r>
  <r>
    <x v="19"/>
    <x v="34"/>
    <n v="127.33"/>
    <n v="1"/>
    <n v="0"/>
    <s v="EQI77"/>
    <n v="259.66000000000003"/>
    <n v="5"/>
    <s v="ร้านที่9"/>
    <s v="คุณ อาจิน อุปจันทร์"/>
    <s v="165 หมู่1 ต.ส้าน อ.เวียงสา จ.น่าน บ้านไผ่งาม · ส้าน/ San_x000a__x000a_เวียงสา/ Wiang Saน่าน/ Nan_x000a_55110"/>
    <s v="55110"/>
    <s v="660858090322"/>
    <s v="05/01/2025 20:57"/>
    <s v="-"/>
    <s v="Kerry_dropoff"/>
    <s v="Lazada"/>
    <s v="lazada"/>
    <s v=""/>
    <s v="TH52076NVT5P4F"/>
    <s v="05/01/2025 20:57"/>
  </r>
  <r>
    <x v="13"/>
    <x v="13"/>
    <n v="250"/>
    <n v="1"/>
    <n v="0"/>
    <s v="EQI75"/>
    <n v="295"/>
    <n v="45"/>
    <s v="ร้านที่1"/>
    <s v="ศ******ม"/>
    <s v="******(สาธุ 57 แยก 17) ถนนพระราม 3 บางโพงพาง แขวงบางโพงพาง เขตยานนาวา จังหวัดกรุงเทพมหานคร 10120"/>
    <s v="10120"/>
    <s v="58"/>
    <s v="05/01/2025 20:48"/>
    <s v="-"/>
    <s v="Flash Express"/>
    <s v="Shopee"/>
    <s v="shopee"/>
    <s v=""/>
    <s v="TH01366NW4T26B"/>
    <s v="05/01/2025 20:48"/>
  </r>
  <r>
    <x v="10"/>
    <x v="10"/>
    <n v="200"/>
    <n v="1"/>
    <n v="0"/>
    <s v="EQI74"/>
    <n v="200"/>
    <n v="0"/>
    <s v="ร้านที่2"/>
    <s v="อ***ณา จ***ง"/>
    <s v="นครศรีธรรมราช"/>
    <s v="-"/>
    <s v=""/>
    <s v="05/01/2025 20:47"/>
    <s v="-"/>
    <s v="J&amp;T COD"/>
    <s v="Tiktok"/>
    <s v="จ่ายทีหลัง / COD"/>
    <s v=""/>
    <s v="754383041392"/>
    <s v="05/01/2025 20:47"/>
  </r>
  <r>
    <x v="4"/>
    <x v="4"/>
    <n v="100"/>
    <n v="2"/>
    <n v="0"/>
    <s v="EQI73"/>
    <n v="200"/>
    <n v="0"/>
    <s v="ร้านที่1"/>
    <s v="ว*** จ***โยธิน"/>
    <s v="พระนครศรีอยุธยา"/>
    <s v="-"/>
    <s v=""/>
    <s v="05/01/2025 20:46"/>
    <s v="-"/>
    <s v="J&amp;T COD"/>
    <s v="Tiktok"/>
    <s v="จ่ายทีหลัง / COD"/>
    <s v=""/>
    <s v="754314827361"/>
    <s v="05/01/2025 20:46"/>
  </r>
  <r>
    <x v="34"/>
    <x v="45"/>
    <n v="305.63"/>
    <n v="1"/>
    <n v="0"/>
    <s v="EQI71"/>
    <n v="344.63"/>
    <n v="39"/>
    <s v="ร้านที่1"/>
    <s v="**********"/>
    <s v="วัดเวฬุวนาราม 8 ซ.วัดเวฬุวนาราม 9 (ตรอ.) · ดอนเมือง/ Don Mueang_x000a__x000a_ดอนเมือง/ Don Mueangกรุงเทพมหานคร/ Bangkok_x000a_10210"/>
    <s v="10210"/>
    <s v="660863993214"/>
    <s v="05/01/2025 20:45"/>
    <s v="-"/>
    <s v="Kerry_dropoff"/>
    <s v="Lazada"/>
    <s v="lazada"/>
    <s v=""/>
    <s v="LEXPU0442414775"/>
    <s v="05/01/2025 20:45"/>
  </r>
  <r>
    <x v="4"/>
    <x v="4"/>
    <n v="100"/>
    <n v="1"/>
    <n v="0"/>
    <s v="EQI70"/>
    <n v="200"/>
    <n v="0"/>
    <s v="ร้านที่2"/>
    <s v="ส***็ญพร  ล***อิ่ม"/>
    <s v="สมุทรสาคร"/>
    <s v="-"/>
    <s v=""/>
    <s v="05/01/2025 20:44"/>
    <s v="-"/>
    <s v="J&amp;T COD"/>
    <s v="Tiktok"/>
    <s v="จ่ายทีหลัง / COD"/>
    <s v=""/>
    <s v="754324640392"/>
    <s v="05/01/2025 20:44"/>
  </r>
  <r>
    <x v="9"/>
    <x v="4"/>
    <n v="100"/>
    <n v="1"/>
    <n v="0"/>
    <s v="EQI70"/>
    <n v="200"/>
    <n v="0"/>
    <s v="ร้านที่2"/>
    <s v="ส***็ญพร  ล***อิ่ม"/>
    <s v="สมุทรสาคร"/>
    <s v="-"/>
    <s v=""/>
    <s v="05/01/2025 20:44"/>
    <s v="-"/>
    <s v="J&amp;T COD"/>
    <s v="Tiktok"/>
    <s v="จ่ายทีหลัง / COD"/>
    <s v=""/>
    <s v="754324640392"/>
    <s v="05/01/2025 20:44"/>
  </r>
  <r>
    <x v="14"/>
    <x v="73"/>
    <n v="79.66"/>
    <n v="1"/>
    <n v="0"/>
    <s v="EQI69"/>
    <n v="84.66"/>
    <n v="5"/>
    <s v="ร้านที่10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05/01/2025 20:40"/>
    <s v="-"/>
    <s v="Kerry_dropoff"/>
    <s v="Lazada"/>
    <s v="lazada"/>
    <s v=""/>
    <s v="LEXDO0123968227"/>
    <s v="05/01/2025 20:40"/>
  </r>
  <r>
    <x v="24"/>
    <x v="26"/>
    <n v="438.96"/>
    <n v="1"/>
    <n v="0"/>
    <s v="EQI67"/>
    <n v="911.91"/>
    <n v="34"/>
    <s v="ร้านที่9"/>
    <s v="นางเหรียญทอง พรมใจ"/>
    <s v="483/24ถนนเจริญราษฎร์  25  ต.ในเมือง อ.เมืองจ.ลำพูน · ในเมือง/ Nai Mueang_x000a__x000a_เมืองลำพูน/ Mueang Lamphunลำพูน/ Lamphun_x000a_51000"/>
    <s v="51000"/>
    <s v="660612792680"/>
    <s v="05/01/2025 20:37"/>
    <s v="-"/>
    <s v="Kerry_dropoff"/>
    <s v="Lazada"/>
    <s v="lazada"/>
    <s v=""/>
    <s v="LEXDO0123978836"/>
    <s v="05/01/2025 20:37"/>
  </r>
  <r>
    <x v="24"/>
    <x v="26"/>
    <n v="438.95"/>
    <n v="1"/>
    <n v="0"/>
    <s v="EQI67"/>
    <n v="911.91"/>
    <n v="34"/>
    <s v="ร้านที่9"/>
    <s v="นางเหรียญทอง พรมใจ"/>
    <s v="483/24ถนนเจริญราษฎร์  25  ต.ในเมือง อ.เมืองจ.ลำพูน · ในเมือง/ Nai Mueang_x000a__x000a_เมืองลำพูน/ Mueang Lamphunลำพูน/ Lamphun_x000a_51000"/>
    <s v="51000"/>
    <s v="660612792680"/>
    <s v="05/01/2025 20:37"/>
    <s v="-"/>
    <s v="Kerry_dropoff"/>
    <s v="Lazada"/>
    <s v="lazada"/>
    <s v=""/>
    <s v="LEXDO0123978836"/>
    <s v="05/01/2025 20:37"/>
  </r>
  <r>
    <x v="4"/>
    <x v="4"/>
    <n v="100"/>
    <n v="3"/>
    <n v="0"/>
    <s v="EQI66"/>
    <n v="800"/>
    <n v="0"/>
    <s v="ร้านที่2"/>
    <s v="ร***ก เ***ญผล"/>
    <s v="เทศบาลนครนครศรีธรรมราช"/>
    <s v="-"/>
    <s v=""/>
    <s v="05/01/2025 20:37"/>
    <s v="-"/>
    <s v="J&amp;T Express"/>
    <s v="Tiktok"/>
    <s v="tiktok"/>
    <s v=""/>
    <s v="754355342344"/>
    <s v="05/01/2025 20:37"/>
  </r>
  <r>
    <x v="9"/>
    <x v="4"/>
    <n v="100"/>
    <n v="5"/>
    <n v="0"/>
    <s v="EQI66"/>
    <n v="800"/>
    <n v="0"/>
    <s v="ร้านที่2"/>
    <s v="ร***ก เ***ญผล"/>
    <s v="เทศบาลนครนครศรีธรรมราช"/>
    <s v="-"/>
    <s v=""/>
    <s v="05/01/2025 20:37"/>
    <s v="-"/>
    <s v="J&amp;T Express"/>
    <s v="Tiktok"/>
    <s v="tiktok"/>
    <s v=""/>
    <s v="754355342344"/>
    <s v="05/01/2025 20:37"/>
  </r>
  <r>
    <x v="19"/>
    <x v="34"/>
    <n v="119.84"/>
    <n v="1"/>
    <n v="0"/>
    <s v="EQI65"/>
    <n v="244.68"/>
    <n v="5"/>
    <s v="ร้านที่9"/>
    <s v="นิชนิภา  อุ่นแก้ว"/>
    <s v="88/4 ถนนพิพัฒน์มงคล ตำบลกุดป่อง_x000a__x000a_เมืองเลย/ Mueang Loeiเลย/ Loei_x000a_42000"/>
    <s v="42000"/>
    <s v="660811175280"/>
    <s v="05/01/2025 20:36"/>
    <s v="-"/>
    <s v="Kerry_dropoff"/>
    <s v="Lazada"/>
    <s v="lazada"/>
    <s v=""/>
    <s v="LEXDO0123979101"/>
    <s v="05/01/2025 20:36"/>
  </r>
  <r>
    <x v="19"/>
    <x v="34"/>
    <n v="119.84"/>
    <n v="1"/>
    <n v="0"/>
    <s v="EQI65"/>
    <n v="244.68"/>
    <n v="5"/>
    <s v="ร้านที่9"/>
    <s v="นิชนิภา  อุ่นแก้ว"/>
    <s v="88/4 ถนนพิพัฒน์มงคล ตำบลกุดป่อง_x000a__x000a_เมืองเลย/ Mueang Loeiเลย/ Loei_x000a_42000"/>
    <s v="42000"/>
    <s v="660811175280"/>
    <s v="05/01/2025 20:36"/>
    <s v="-"/>
    <s v="Kerry_dropoff"/>
    <s v="Lazada"/>
    <s v="lazada"/>
    <s v=""/>
    <s v="LEXDO0123979101"/>
    <s v="05/01/2025 20:36"/>
  </r>
  <r>
    <x v="9"/>
    <x v="4"/>
    <n v="100"/>
    <n v="1"/>
    <n v="0"/>
    <s v="EQI64"/>
    <n v="100"/>
    <n v="0"/>
    <s v="ร้านที่1"/>
    <s v="ส***ทย์ ท***าค"/>
    <s v="พิษณุโลก"/>
    <s v="-"/>
    <s v=""/>
    <s v="05/01/2025 20:32"/>
    <s v="-"/>
    <s v="J&amp;T COD"/>
    <s v="Tiktok"/>
    <s v="จ่ายทีหลัง / COD"/>
    <s v=""/>
    <s v="754316643301"/>
    <s v="05/01/2025 20:32"/>
  </r>
  <r>
    <x v="26"/>
    <x v="18"/>
    <n v="213.16"/>
    <n v="1"/>
    <n v="0"/>
    <s v="EQI63"/>
    <n v="218.16"/>
    <n v="5"/>
    <s v="ร้านที่1"/>
    <s v="นายสุรัตน์ ลาภนภานนท์"/>
    <s v="หอพัก วี.เค. เรสซิเดนซ์  1/2 ซ.เจิมจอมพล 18 (ซ.สถิตย์จอมพล) (หอพักสีขาว สลับชมพู วางสินค้าที่บันไดทางขึ้นเข้าตึก จากที่จอดรถชั้น 1) · ศรีราชา/ Si Racha_x000a__x000a_ศรีราชา/ Si Rachaชลบุรี/ Chonburi_x000a_20110"/>
    <s v="20110"/>
    <s v="660813745100"/>
    <s v="05/01/2025 20:29"/>
    <s v="-"/>
    <s v="Kerry_dropoff"/>
    <s v="Lazada"/>
    <s v="lazada"/>
    <s v=""/>
    <s v="LEXPU0442398470"/>
    <s v="05/01/2025 20:29"/>
  </r>
  <r>
    <x v="10"/>
    <x v="10"/>
    <n v="200"/>
    <n v="1"/>
    <n v="0"/>
    <s v="EQI62"/>
    <n v="200"/>
    <n v="0"/>
    <s v="ร้านที่2"/>
    <s v="ส***ลา ท***ตา"/>
    <s v="ตาก"/>
    <s v="-"/>
    <s v=""/>
    <s v="05/01/2025 20:29"/>
    <s v="-"/>
    <s v="J&amp;T COD"/>
    <s v="Tiktok"/>
    <s v="จ่ายทีหลัง / COD"/>
    <s v=""/>
    <s v="754308247394"/>
    <s v="05/01/2025 20:29"/>
  </r>
  <r>
    <x v="13"/>
    <x v="30"/>
    <n v="149.80000000000001"/>
    <n v="1"/>
    <n v="0"/>
    <s v="EQI61"/>
    <n v="154.80000000000001"/>
    <n v="5"/>
    <s v="ร้านที่9"/>
    <s v="แม่กลม"/>
    <s v="บ้านน้ำใส เลขที่ 44 ม.6 ต.น้ำใส · น้ำใส/ Nam Sai_x000a__x000a_จตุรพักตรพิมาน/ Chaturaphak Phimanร้อยเอ็ด/ Roi Et_x000a_45180"/>
    <s v="45180"/>
    <s v="660970125889"/>
    <s v="05/01/2025 20:29"/>
    <s v="-"/>
    <s v="Kerry_dropoff"/>
    <s v="Lazada"/>
    <s v="lazada"/>
    <s v=""/>
    <s v="TH42046NVTJF2E"/>
    <s v="05/01/2025 20:29"/>
  </r>
  <r>
    <x v="24"/>
    <x v="26"/>
    <n v="359.89"/>
    <n v="1"/>
    <n v="0"/>
    <s v="EQI60"/>
    <n v="373.89"/>
    <n v="14"/>
    <s v="ร้านที่9"/>
    <s v="ฬุริญา ปันกิติ"/>
    <s v="12 ม.1 · หนองช้างคืน/ Nong Chang_x000a__x000a_เมืองลำพูน/ Mueang Lamphunลำพูน/ Lamphun_x000a_51150"/>
    <s v="51150"/>
    <s v="660871919195"/>
    <s v="05/01/2025 20:28"/>
    <s v="-"/>
    <s v="Kerry_dropoff"/>
    <s v="Lazada"/>
    <s v="lazada"/>
    <s v=""/>
    <s v="LEXDO0123977380"/>
    <s v="05/01/2025 20:28"/>
  </r>
  <r>
    <x v="19"/>
    <x v="34"/>
    <n v="119.84"/>
    <n v="1"/>
    <n v="0"/>
    <s v="EQI59"/>
    <n v="124.84"/>
    <n v="5"/>
    <s v="ร้านที่9"/>
    <s v="แอนจ้า วางไว้เลย"/>
    <s v="สำนักจัดการทรัพยากรป่าไม้ที่8 (นครราชสีมา) เลขที่ 551 ม.7 ถ.ราชสีมา-ปักธงชัย · ปรุใหญ่/ Pru Yai_x000a__x000a_เมืองนครราชสีมา/ Mueng Nakorn Ratchasimaนครราชสีมา/ Nakhon Ratchasima_x000a_30000"/>
    <s v="30000"/>
    <s v="660827214925"/>
    <s v="05/01/2025 20:32"/>
    <s v="-"/>
    <s v="Kerry_dropoff"/>
    <s v="Lazada"/>
    <s v="lazada"/>
    <s v=""/>
    <s v="LEXDO0123982106"/>
    <s v="05/01/2025 20:23"/>
  </r>
  <r>
    <x v="4"/>
    <x v="4"/>
    <n v="100"/>
    <n v="2"/>
    <n v="0"/>
    <s v="EQI58"/>
    <n v="400"/>
    <n v="0"/>
    <s v="ร้านที่1"/>
    <s v="จ***ภรณ์ ท***า"/>
    <s v="เลย"/>
    <s v="-"/>
    <s v=""/>
    <s v="05/01/2025 20:23"/>
    <s v="-"/>
    <s v="J&amp;T COD"/>
    <s v="Tiktok"/>
    <s v="จ่ายทีหลัง / COD"/>
    <s v=""/>
    <s v="754393341354"/>
    <s v="05/01/2025 20:23"/>
  </r>
  <r>
    <x v="9"/>
    <x v="4"/>
    <n v="100"/>
    <n v="2"/>
    <n v="0"/>
    <s v="EQI58"/>
    <n v="400"/>
    <n v="0"/>
    <s v="ร้านที่1"/>
    <s v="จ***ภรณ์ ท***า"/>
    <s v="เลย"/>
    <s v="-"/>
    <s v=""/>
    <s v="05/01/2025 20:23"/>
    <s v="-"/>
    <s v="J&amp;T COD"/>
    <s v="Tiktok"/>
    <s v="จ่ายทีหลัง / COD"/>
    <s v=""/>
    <s v="754393341354"/>
    <s v="05/01/2025 20:23"/>
  </r>
  <r>
    <x v="13"/>
    <x v="30"/>
    <n v="119.84"/>
    <n v="1"/>
    <n v="0"/>
    <s v="EQI53"/>
    <n v="124.84"/>
    <n v="5"/>
    <s v="ร้านที่9"/>
    <s v="ทราย"/>
    <s v="7/4 หมู่14 กฤตยา ซ.1 ถ.บางนา-ตราด กม.10 ต.บางพลีใหญ่_x000a__x000a_บางพลี/ Bang Phliสมุทรปราการ/ Samut Prakan_x000a_10540"/>
    <s v="10540"/>
    <s v="660972752460"/>
    <s v="05/01/2025 22:24"/>
    <s v="-"/>
    <s v="Kerry_dropoff"/>
    <s v="Lazada"/>
    <s v="lazada"/>
    <s v=""/>
    <s v="LEXDO0123983565"/>
    <s v="05/01/2025 20:16"/>
  </r>
  <r>
    <x v="4"/>
    <x v="4"/>
    <n v="100"/>
    <n v="1"/>
    <n v="0"/>
    <s v="EQI52"/>
    <n v="145"/>
    <n v="45"/>
    <s v="ร้านที่2"/>
    <s v="L***y"/>
    <s v="ชลบุรี"/>
    <s v="-"/>
    <s v=""/>
    <s v="05/01/2025 20:21"/>
    <s v="-"/>
    <s v="J&amp;T Express"/>
    <s v="Tiktok"/>
    <s v="tiktok"/>
    <s v=""/>
    <s v="754351828366"/>
    <s v="05/01/2025 20:15"/>
  </r>
  <r>
    <x v="10"/>
    <x v="10"/>
    <n v="200"/>
    <n v="1"/>
    <n v="0"/>
    <s v="EQI51"/>
    <n v="200"/>
    <n v="0"/>
    <s v="ร้านที่1"/>
    <s v="ช***ดา ร***ันทร์"/>
    <s v="ปทุมธานี"/>
    <s v="-"/>
    <s v=""/>
    <s v="05/01/2025 20:13"/>
    <s v="-"/>
    <s v="J&amp;T COD"/>
    <s v="Tiktok"/>
    <s v="จ่ายทีหลัง / COD"/>
    <s v=""/>
    <s v="754370549332"/>
    <s v="05/01/2025 20:13"/>
  </r>
  <r>
    <x v="13"/>
    <x v="30"/>
    <n v="119.84"/>
    <n v="1"/>
    <n v="0"/>
    <s v="EQI50"/>
    <n v="124.84"/>
    <n v="5"/>
    <s v="ร้านที่9"/>
    <s v="Tan"/>
    <s v="39/52 ประชาอุทิศ 91 แขวงทุ่งครุ เขตทุ่งครุ_x000a__x000a_ทุ่งครุ/ Thung Khruกรุงเทพมหานคร/ Bangkok_x000a_10140"/>
    <s v="10140"/>
    <s v="660956350398"/>
    <s v="05/01/2025 20:13"/>
    <s v="-"/>
    <s v="Kerry_dropoff"/>
    <s v="Lazada"/>
    <s v="lazada"/>
    <s v=""/>
    <s v="LEXDO0123983369"/>
    <s v="05/01/2025 20:13"/>
  </r>
  <r>
    <x v="13"/>
    <x v="30"/>
    <n v="142.31"/>
    <n v="1"/>
    <n v="0"/>
    <s v="EQI49"/>
    <n v="147.31"/>
    <n v="5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5/01/2025 20:11"/>
    <s v="-"/>
    <s v="Kerry_dropoff"/>
    <s v="Lazada"/>
    <s v="lazada"/>
    <s v=""/>
    <s v="LEXDO0123983114"/>
    <s v="05/01/2025 20:10"/>
  </r>
  <r>
    <x v="19"/>
    <x v="34"/>
    <n v="101.87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6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7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01.86"/>
    <n v="1"/>
    <n v="0"/>
    <s v="EQI47"/>
    <n v="407.46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11"/>
    <s v="-"/>
    <s v="Kerry_dropoff"/>
    <s v="Lazada"/>
    <s v="lazada"/>
    <s v=""/>
    <s v="LEXDO0123980362"/>
    <s v="05/01/2025 20:09"/>
  </r>
  <r>
    <x v="19"/>
    <x v="34"/>
    <n v="142.31"/>
    <n v="1"/>
    <n v="0"/>
    <s v="EQI46"/>
    <n v="142.31"/>
    <n v="0"/>
    <s v="ร้านที่9"/>
    <s v="สุภาณี ทองสา"/>
    <s v="181หมู่ 1 - · หนองรี/ Nong Ri_x000a__x000a_ลำสนธิ/ Lam Sonthiลพบุรี/ Lopburi_x000a_15190"/>
    <s v="15190"/>
    <s v="660953759778"/>
    <s v="05/01/2025 20:06"/>
    <s v="-"/>
    <s v="Kerry_dropoff"/>
    <s v="Lazada"/>
    <s v="lazada"/>
    <s v=""/>
    <s v="TH07106NVT0P5D"/>
    <s v="05/01/2025 20:06"/>
  </r>
  <r>
    <x v="19"/>
    <x v="34"/>
    <n v="104.86"/>
    <n v="1"/>
    <n v="0"/>
    <s v="EQI45"/>
    <n v="209.72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05"/>
    <s v="-"/>
    <s v="Kerry_dropoff"/>
    <s v="Lazada"/>
    <s v="lazada"/>
    <s v=""/>
    <s v="LEXDO0123979945"/>
    <s v="05/01/2025 20:05"/>
  </r>
  <r>
    <x v="19"/>
    <x v="34"/>
    <n v="104.86"/>
    <n v="1"/>
    <n v="0"/>
    <s v="EQI45"/>
    <n v="209.72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05/01/2025 20:05"/>
    <s v="-"/>
    <s v="Kerry_dropoff"/>
    <s v="Lazada"/>
    <s v="lazada"/>
    <s v=""/>
    <s v="LEXDO0123979945"/>
    <s v="05/01/2025 20:05"/>
  </r>
  <r>
    <x v="19"/>
    <x v="34"/>
    <n v="142.31"/>
    <n v="1"/>
    <n v="0"/>
    <s v="EQI44"/>
    <n v="142.31"/>
    <n v="0"/>
    <s v="ร้านที่9"/>
    <s v="อาภัสรา เปลี่ยนปฐม"/>
    <s v="2 หมู่ 6 ต. ดอนพุทรา อ. ดอนตูม จ. นครปฐม_x000a__x000a_ดอนตูม/ Don Tumนครปฐม/ Nakhon Pathom_x000a_73150"/>
    <s v="73150"/>
    <s v="660639967307"/>
    <s v="05/01/2025 20:04"/>
    <s v="-"/>
    <s v="Kerry_dropoff"/>
    <s v="Lazada"/>
    <s v="lazada"/>
    <s v=""/>
    <s v="LEXDO0123983031"/>
    <s v="05/01/2025 20:04"/>
  </r>
  <r>
    <x v="9"/>
    <x v="4"/>
    <n v="100"/>
    <n v="1"/>
    <n v="0"/>
    <s v="EQI43"/>
    <n v="100"/>
    <n v="0"/>
    <s v="ร้านที่1"/>
    <s v="น*** แ***วิริยะกิจกูล"/>
    <s v="นครปฐม"/>
    <s v="-"/>
    <s v=""/>
    <s v="05/01/2025 20:04"/>
    <s v="-"/>
    <s v="J&amp;T Express"/>
    <s v="Tiktok"/>
    <s v="tiktok"/>
    <s v=""/>
    <s v="754313336335"/>
    <s v="05/01/2025 20:04"/>
  </r>
  <r>
    <x v="13"/>
    <x v="30"/>
    <n v="112.84"/>
    <n v="1"/>
    <n v="0"/>
    <s v="EQI42"/>
    <n v="117.84"/>
    <n v="5"/>
    <s v="ร้านที่9"/>
    <s v="นภาภรณ์ ทองเทพ"/>
    <s v="553/370 เอื้ออาทรอ้อมค่าย ซ.12 ม.5 · ปากพูน/ Pak Phun_x000a__x000a_เมืองนครศรีธรรมราช/ Mueang Nakhon Si Thammaratนครศรีธรรมราช/ Nakhon Si Thammarat_x000a_80000"/>
    <s v="80000"/>
    <s v="660615432437"/>
    <s v="05/01/2025 20:03"/>
    <s v="-"/>
    <s v="Kerry_dropoff"/>
    <s v="Lazada"/>
    <s v="lazada"/>
    <s v=""/>
    <s v="LEXDO0123983623"/>
    <s v="05/01/2025 20:03"/>
  </r>
  <r>
    <x v="19"/>
    <x v="74"/>
    <n v="239"/>
    <n v="1"/>
    <n v="0"/>
    <s v="EQI40"/>
    <n v="263"/>
    <n v="24"/>
    <s v="ร้านที่1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05/01/2025 19:49"/>
    <s v="-"/>
    <s v="Kerry_dropoff"/>
    <s v="Lazada"/>
    <s v="lazada"/>
    <s v=""/>
    <s v="LEXPU0442393674"/>
    <s v="05/01/2025 19:49"/>
  </r>
  <r>
    <x v="19"/>
    <x v="19"/>
    <n v="199"/>
    <n v="1"/>
    <n v="0"/>
    <s v="EQI39"/>
    <n v="244"/>
    <n v="45"/>
    <s v="ร้านที่1"/>
    <s v="ป******ท"/>
    <s v="******ะเจ้านอก) ตำบลบางกะเจ้า ตำบลบางกะเจ้า อำเภอพระประแดง จังหวัดสมุทรปราการ 10130"/>
    <s v="10130"/>
    <s v="79"/>
    <s v="05/01/2025 19:39"/>
    <s v="-"/>
    <s v="SPX Express"/>
    <s v="Shopee"/>
    <s v="shopee"/>
    <s v=""/>
    <s v="TH2599084537762"/>
    <s v="05/01/2025 19:09"/>
  </r>
  <r>
    <x v="10"/>
    <x v="10"/>
    <n v="200"/>
    <n v="1"/>
    <n v="0"/>
    <s v="EQI38"/>
    <n v="200"/>
    <n v="0"/>
    <s v="ร้านที่1"/>
    <s v="ก***ิมา  ค***"/>
    <s v="ลพบุรี"/>
    <s v="-"/>
    <s v=""/>
    <s v="05/01/2025 19:05"/>
    <s v="-"/>
    <s v="J&amp;T COD"/>
    <s v="Tiktok"/>
    <s v="จ่ายทีหลัง / COD"/>
    <s v=""/>
    <s v="754300453303"/>
    <s v="05/01/2025 19:05"/>
  </r>
  <r>
    <x v="19"/>
    <x v="19"/>
    <n v="197"/>
    <n v="1"/>
    <n v="0"/>
    <s v="EQI37"/>
    <n v="226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5/01/2025 19:02"/>
    <s v="-"/>
    <s v="SPX Express"/>
    <s v="Shopee"/>
    <s v="shopee"/>
    <s v=""/>
    <s v="TH259585867836V"/>
    <s v="05/01/2025 19:01"/>
  </r>
  <r>
    <x v="19"/>
    <x v="19"/>
    <n v="197"/>
    <n v="1"/>
    <n v="0"/>
    <s v="EQI36"/>
    <n v="226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5/01/2025 19:08"/>
    <s v="-"/>
    <s v="SPX Express"/>
    <s v="Shopee"/>
    <s v="shopee"/>
    <s v=""/>
    <s v="TH2541468864430"/>
    <s v="05/01/2025 19:00"/>
  </r>
  <r>
    <x v="10"/>
    <x v="10"/>
    <n v="200"/>
    <n v="1"/>
    <n v="0"/>
    <s v="EQI35"/>
    <n v="200"/>
    <n v="0"/>
    <s v="ร้านที่4"/>
    <s v="ร***พร ท***ระเทือง"/>
    <s v="อ่างทอง"/>
    <s v="-"/>
    <s v=""/>
    <s v="05/01/2025 18:52"/>
    <s v="-"/>
    <s v="Flash Express Thailand COD"/>
    <s v="Tiktok"/>
    <s v="จ่ายทีหลัง / COD"/>
    <s v=""/>
    <s v="THT06011E398Q5Z"/>
    <s v="05/01/2025 18:52"/>
  </r>
  <r>
    <x v="4"/>
    <x v="4"/>
    <n v="100"/>
    <n v="1"/>
    <n v="0"/>
    <s v="EQI33"/>
    <n v="106"/>
    <n v="6"/>
    <s v="ร้านที่1"/>
    <s v="ช***ต"/>
    <s v="หนองคาย"/>
    <s v="-"/>
    <s v=""/>
    <s v="05/01/2025 18:33"/>
    <s v="-"/>
    <s v="J&amp;T COD"/>
    <s v="Tiktok"/>
    <s v="จ่ายทีหลัง / COD"/>
    <s v=""/>
    <s v="754320625365"/>
    <s v="05/01/2025 18:33"/>
  </r>
  <r>
    <x v="4"/>
    <x v="4"/>
    <n v="100"/>
    <n v="1"/>
    <n v="0"/>
    <s v="EQI31"/>
    <n v="145"/>
    <n v="45"/>
    <s v="ร้านที่2"/>
    <s v="ณ***า จ***ูล"/>
    <s v="ปทุมธานี"/>
    <s v="-"/>
    <s v=""/>
    <s v="05/01/2025 18:28"/>
    <s v="-"/>
    <s v="J&amp;T Express"/>
    <s v="Tiktok"/>
    <s v="tiktok"/>
    <s v=""/>
    <s v="754375911391"/>
    <s v="05/01/2025 18:26"/>
  </r>
  <r>
    <x v="10"/>
    <x v="10"/>
    <n v="200"/>
    <n v="1"/>
    <n v="0"/>
    <s v="EQI29"/>
    <n v="200"/>
    <n v="0"/>
    <s v="ร้านที่1"/>
    <s v="ส***รา ว***รังษี"/>
    <s v="ปทุมธานี"/>
    <s v="-"/>
    <s v=""/>
    <s v="05/01/2025 17:57"/>
    <s v="-"/>
    <s v="Flash Express Thailand"/>
    <s v="Tiktok"/>
    <s v="tiktok"/>
    <s v=""/>
    <s v="THT04061E3MPJ8Z"/>
    <s v="05/01/2025 17:57"/>
  </r>
  <r>
    <x v="9"/>
    <x v="4"/>
    <n v="100"/>
    <n v="2"/>
    <n v="0"/>
    <s v="EQI28"/>
    <n v="200"/>
    <n v="0"/>
    <s v="ร้านที่1"/>
    <s v="ส***ญญา เ***ญโภชน์"/>
    <s v="สมุทรปราการ"/>
    <s v="-"/>
    <s v=""/>
    <s v="05/01/2025 17:34"/>
    <s v="-"/>
    <s v="Flash Express Thailand COD"/>
    <s v="Tiktok"/>
    <s v="จ่ายทีหลัง / COD"/>
    <s v=""/>
    <s v="THT02011E38PH0Z"/>
    <s v="05/01/2025 17:34"/>
  </r>
  <r>
    <x v="4"/>
    <x v="4"/>
    <n v="100"/>
    <n v="1"/>
    <n v="0"/>
    <s v="EQI27"/>
    <n v="106"/>
    <n v="6"/>
    <s v="ร้านที่4"/>
    <s v="บ**"/>
    <s v="ราชบุรี"/>
    <s v="-"/>
    <s v=""/>
    <s v="05/01/2025 17:29"/>
    <s v="-"/>
    <s v="Flash Express Thailand COD"/>
    <s v="Tiktok"/>
    <s v="จ่ายทีหลัง / COD"/>
    <s v=""/>
    <s v="THT12041E2YMB7Z"/>
    <s v="05/01/2025 17:29"/>
  </r>
  <r>
    <x v="9"/>
    <x v="4"/>
    <n v="150"/>
    <n v="1"/>
    <n v="0"/>
    <s v="EQI24"/>
    <n v="271"/>
    <n v="41"/>
    <s v="ร้านที่2"/>
    <s v="ช******ี"/>
    <s v="******ี่ 275, หมู่ที่ 4 ตำบลไชยมงคล อำเภอเมืองนครราชสีมา จังหวัดนครราชสีมา 30000"/>
    <s v="30000"/>
    <s v="10"/>
    <s v="05/01/2025 17:15"/>
    <s v="-"/>
    <s v="SPX Express"/>
    <s v="Shopee"/>
    <s v="shopee"/>
    <s v=""/>
    <s v="TH250853529208Y"/>
    <s v="05/01/2025 17:14"/>
  </r>
  <r>
    <x v="9"/>
    <x v="4"/>
    <n v="100"/>
    <n v="1"/>
    <n v="0"/>
    <s v="EQI21"/>
    <n v="106"/>
    <n v="6"/>
    <s v="ร้านที่2"/>
    <s v="เ***น"/>
    <s v="ภูเก็ต"/>
    <s v="-"/>
    <s v=""/>
    <s v="05/01/2025 17:11"/>
    <s v="-"/>
    <s v="J&amp;T COD"/>
    <s v="Tiktok"/>
    <s v="จ่ายทีหลัง / COD"/>
    <s v=""/>
    <s v="754383634395"/>
    <s v="05/01/2025 17:11"/>
  </r>
  <r>
    <x v="4"/>
    <x v="4"/>
    <n v="100"/>
    <n v="1"/>
    <n v="0"/>
    <s v="EQI20"/>
    <n v="145"/>
    <n v="45"/>
    <s v="ร้านที่2"/>
    <s v="อ***ัตน์ พ***ะเสริฐ"/>
    <s v="ปราจีนบุรี"/>
    <s v="-"/>
    <s v=""/>
    <s v="05/01/2025 17:10"/>
    <s v="-"/>
    <s v="J&amp;T COD"/>
    <s v="Tiktok"/>
    <s v="จ่ายทีหลัง / COD"/>
    <s v=""/>
    <s v="754352118391"/>
    <s v="05/01/2025 17:10"/>
  </r>
  <r>
    <x v="19"/>
    <x v="19"/>
    <n v="197"/>
    <n v="1"/>
    <n v="0"/>
    <s v="EQI19"/>
    <n v="242"/>
    <n v="45"/>
    <s v="ร้านที่2"/>
    <s v="ส******ง"/>
    <s v="******ุระนารี ตำบลหนองไผ่ล้อม อำเภอเมืองนครราชสีมา จังหวัดนครราชสีมา 30000"/>
    <s v="30000"/>
    <s v="16"/>
    <s v="06/01/2025 13:31"/>
    <s v="-"/>
    <s v="SPX Express"/>
    <s v="Shopee"/>
    <s v="shopee"/>
    <s v=""/>
    <s v="TH251990186848Q"/>
    <s v="05/01/2025 17:08"/>
  </r>
  <r>
    <x v="4"/>
    <x v="4"/>
    <n v="100"/>
    <n v="1"/>
    <n v="0"/>
    <s v="EQI18"/>
    <n v="106"/>
    <n v="6"/>
    <s v="ร้านที่1"/>
    <s v="ค***ม่อุษามณี ท***ง"/>
    <s v="นครศรีธรรมราช"/>
    <s v="-"/>
    <s v=""/>
    <s v="05/01/2025 17:03"/>
    <s v="-"/>
    <s v="J&amp;T COD"/>
    <s v="Tiktok"/>
    <s v="จ่ายทีหลัง / COD"/>
    <s v=""/>
    <s v="754316728395"/>
    <s v="05/01/2025 17:03"/>
  </r>
  <r>
    <x v="4"/>
    <x v="4"/>
    <n v="100"/>
    <n v="1"/>
    <n v="0"/>
    <s v="EQI17"/>
    <n v="106"/>
    <n v="6"/>
    <s v="ร้านที่4"/>
    <s v="น***วิไล ส***ันธุ์"/>
    <s v="กาญจนบุรี"/>
    <s v="-"/>
    <s v=""/>
    <s v="05/01/2025 17:02"/>
    <s v="-"/>
    <s v="Flash Express Thailand COD"/>
    <s v="Tiktok"/>
    <s v="จ่ายทีหลัง / COD"/>
    <s v=""/>
    <s v="THT13081E39CE0Z"/>
    <s v="05/01/2025 17:02"/>
  </r>
  <r>
    <x v="9"/>
    <x v="4"/>
    <n v="100"/>
    <n v="1"/>
    <n v="0"/>
    <s v="EQI16"/>
    <n v="100"/>
    <n v="0"/>
    <s v="ร้านที่2"/>
    <s v="น***ึ้ง ร***ทธิ์"/>
    <s v="กำแพงเพชร"/>
    <s v="-"/>
    <s v=""/>
    <s v="05/01/2025 17:01"/>
    <s v="-"/>
    <s v="J&amp;T COD"/>
    <s v="Tiktok"/>
    <s v="จ่ายทีหลัง / COD"/>
    <s v=""/>
    <s v="754376731323"/>
    <s v="05/01/2025 17:01"/>
  </r>
  <r>
    <x v="4"/>
    <x v="4"/>
    <n v="100"/>
    <n v="1"/>
    <n v="0"/>
    <s v="EQI15"/>
    <n v="100"/>
    <n v="0"/>
    <s v="ร้านที่1"/>
    <s v="ห***"/>
    <s v="พิษณุโลก"/>
    <s v="-"/>
    <s v=""/>
    <s v="05/01/2025 17:01"/>
    <s v="-"/>
    <s v="J&amp;T COD"/>
    <s v="Tiktok"/>
    <s v="จ่ายทีหลัง / COD"/>
    <s v=""/>
    <s v="754382637363"/>
    <s v="05/01/2025 17:01"/>
  </r>
  <r>
    <x v="9"/>
    <x v="4"/>
    <n v="100"/>
    <n v="1"/>
    <n v="0"/>
    <s v="EQI14"/>
    <n v="106"/>
    <n v="6"/>
    <s v="ร้านที่4"/>
    <s v="ช***ร จ***วุฒิชัย"/>
    <s v="Pathum Thani"/>
    <s v="-"/>
    <s v=""/>
    <s v="05/01/2025 17:00"/>
    <s v="-"/>
    <s v="Flash Express Thailand"/>
    <s v="Tiktok"/>
    <s v="tiktok"/>
    <s v=""/>
    <s v="THT04021E2XMN5Z"/>
    <s v="05/01/2025 16:59"/>
  </r>
  <r>
    <x v="4"/>
    <x v="4"/>
    <n v="100"/>
    <n v="1"/>
    <n v="0"/>
    <s v="EQI13"/>
    <n v="106"/>
    <n v="6"/>
    <s v="ร้านที่4"/>
    <s v="อ***าพร ว***อน"/>
    <s v="กรุงเทพฯ"/>
    <s v="-"/>
    <s v=""/>
    <s v="05/01/2025 16:56"/>
    <s v="-"/>
    <s v="Flash Express Thailand"/>
    <s v="Tiktok"/>
    <s v="tiktok"/>
    <s v=""/>
    <s v="THT01471E39DK6Z"/>
    <s v="05/01/2025 16:56"/>
  </r>
  <r>
    <x v="4"/>
    <x v="4"/>
    <n v="100"/>
    <n v="1"/>
    <n v="0"/>
    <s v="EQI12"/>
    <n v="106"/>
    <n v="6"/>
    <s v="ร้านที่1"/>
    <s v="ศ***กุล  ฤ***์บำรุง"/>
    <s v="ชลบุรี"/>
    <s v="-"/>
    <s v=""/>
    <s v="05/01/2025 16:35"/>
    <s v="-"/>
    <s v="J&amp;T COD"/>
    <s v="Tiktok"/>
    <s v="จ่ายทีหลัง / COD"/>
    <s v=""/>
    <s v="754394327396"/>
    <s v="05/01/2025 16:36"/>
  </r>
  <r>
    <x v="19"/>
    <x v="19"/>
    <n v="197"/>
    <n v="1"/>
    <n v="0"/>
    <s v="EQI11"/>
    <n v="192"/>
    <n v="0"/>
    <s v="ร้านที่2"/>
    <s v="ก******ว"/>
    <s v="****** นนทนาคร หมู่บ้าน อรวรรณคันทรี ตำบลในเมือง อำเภอเมืองชัยภูมิ จังหวัดชัยภูมิ 36000"/>
    <s v="36000"/>
    <s v="34"/>
    <s v="05/01/2025 16:30"/>
    <s v="-"/>
    <s v="SPX Express"/>
    <s v="Shopee"/>
    <s v="shopee"/>
    <s v=""/>
    <s v="TH251974093982V"/>
    <s v="05/01/2025 16:30"/>
  </r>
  <r>
    <x v="10"/>
    <x v="10"/>
    <n v="200"/>
    <n v="1"/>
    <n v="0"/>
    <s v="EQI10"/>
    <n v="200"/>
    <n v="0"/>
    <s v="ร้านที่1"/>
    <s v="น***ุภัทรา บ***โรจน์"/>
    <s v="ปัตตานี"/>
    <s v="-"/>
    <s v=""/>
    <s v="05/01/2025 16:27"/>
    <s v="-"/>
    <s v="J&amp;T COD"/>
    <s v="Tiktok"/>
    <s v="จ่ายทีหลัง / COD"/>
    <s v=""/>
    <s v="754387649396"/>
    <s v="05/01/2025 16:27"/>
  </r>
  <r>
    <x v="10"/>
    <x v="10"/>
    <n v="200"/>
    <n v="1"/>
    <n v="0"/>
    <s v="EQI8"/>
    <n v="200"/>
    <n v="0"/>
    <s v="ร้านที่1"/>
    <s v="น***าว์  ป***ุตร"/>
    <s v="สุโขทัย"/>
    <s v="-"/>
    <s v=""/>
    <s v="05/01/2025 16:23"/>
    <s v="-"/>
    <s v="J&amp;T COD"/>
    <s v="Tiktok"/>
    <s v="จ่ายทีหลัง / COD"/>
    <s v=""/>
    <s v="754373943330"/>
    <s v="05/01/2025 16:23"/>
  </r>
  <r>
    <x v="0"/>
    <x v="0"/>
    <n v="100"/>
    <n v="1"/>
    <n v="0"/>
    <s v="EQI7"/>
    <n v="100"/>
    <n v="0"/>
    <s v="ร้านที่4"/>
    <s v="พ***าภรณ์  ร***ี"/>
    <s v="เทศบาลนครนครปฐม"/>
    <s v="-"/>
    <s v=""/>
    <s v="05/01/2025 16:22"/>
    <s v="-"/>
    <s v="Flash Express Thailand"/>
    <s v="Tiktok"/>
    <s v="tiktok"/>
    <s v=""/>
    <s v="THT15011E2TAF7Z"/>
    <s v="05/01/2025 16:21"/>
  </r>
  <r>
    <x v="4"/>
    <x v="4"/>
    <n v="100"/>
    <n v="2"/>
    <n v="0"/>
    <s v="EQI6"/>
    <n v="200"/>
    <n v="0"/>
    <s v="ร้านที่1"/>
    <s v="ณ***ันทน์ ส***าติ"/>
    <s v="สมุทรปราการ"/>
    <s v="-"/>
    <s v=""/>
    <s v="05/01/2025 16:19"/>
    <s v="-"/>
    <s v="J&amp;T COD"/>
    <s v="Tiktok"/>
    <s v="จ่ายทีหลัง / COD"/>
    <s v=""/>
    <s v="754367632351"/>
    <s v="05/01/2025 16:19"/>
  </r>
  <r>
    <x v="10"/>
    <x v="10"/>
    <n v="200"/>
    <n v="1"/>
    <n v="0"/>
    <s v="EQI5"/>
    <n v="200"/>
    <n v="0"/>
    <s v="ร้านที่1"/>
    <s v="ส***ภรณ์ เ***์เรีย"/>
    <s v="พิษณุโลก"/>
    <s v="-"/>
    <s v=""/>
    <s v="05/01/2025 16:09"/>
    <s v="-"/>
    <s v="J&amp;T Express"/>
    <s v="Tiktok"/>
    <s v="tiktok"/>
    <s v=""/>
    <s v="754346043393"/>
    <s v="05/01/2025 16:09"/>
  </r>
  <r>
    <x v="0"/>
    <x v="0"/>
    <n v="100"/>
    <n v="1"/>
    <n v="0"/>
    <s v="EQI4"/>
    <n v="106"/>
    <n v="6"/>
    <s v="ร้านที่1"/>
    <s v="อ***ิพร  ป***วัธนะกุล"/>
    <s v="ชลบุรี"/>
    <s v="-"/>
    <s v=""/>
    <s v="05/01/2025 16:08"/>
    <s v="-"/>
    <s v="J&amp;T COD"/>
    <s v="Tiktok"/>
    <s v="จ่ายทีหลัง / COD"/>
    <s v=""/>
    <s v="754323231572"/>
    <s v="05/01/2025 16:08"/>
  </r>
  <r>
    <x v="4"/>
    <x v="4"/>
    <n v="10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51"/>
    <x v="75"/>
    <n v="12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9"/>
    <x v="4"/>
    <n v="100"/>
    <n v="1"/>
    <n v="0"/>
    <s v="EQI2"/>
    <n v="320"/>
    <n v="0"/>
    <s v="ร้านที่4"/>
    <s v="พ***รณ ค***น"/>
    <s v="สระบุรี"/>
    <s v="-"/>
    <s v=""/>
    <s v="05/01/2025 15:59"/>
    <s v="-"/>
    <s v="Flash Express Thailand"/>
    <s v="Tiktok"/>
    <s v="tiktok"/>
    <s v=""/>
    <s v="THT10091E3AHU1Z"/>
    <s v="05/01/2025 15:58"/>
  </r>
  <r>
    <x v="18"/>
    <x v="39"/>
    <n v="140"/>
    <n v="1"/>
    <n v="0"/>
    <s v="EQI1"/>
    <n v="147"/>
    <n v="7"/>
    <s v="ร้านที่1"/>
    <s v="ห***า"/>
    <s v="******ำกัด 300 ม.1 ต.ปะตง ตำบลปะตง อำเภอสอยดาว จังหวัดจันทบุรี 22180"/>
    <s v="22180"/>
    <s v="44"/>
    <s v="05/01/2025 15:54"/>
    <s v="-"/>
    <s v="Flash Express"/>
    <s v="Shopee"/>
    <s v="shopee"/>
    <s v=""/>
    <s v="TH22076NW40K3A"/>
    <s v="05/01/2025 15:53"/>
  </r>
  <r>
    <x v="19"/>
    <x v="19"/>
    <n v="199"/>
    <n v="2"/>
    <n v="0"/>
    <s v="EQI0"/>
    <n v="456"/>
    <n v="58"/>
    <s v="ร้านที่1"/>
    <s v="เ******​"/>
    <s v="******รณ์ไก่ชน) ต.กุดไส้จ่อ ตำบลกุดใส้จ่อ อำเภอกันทรวิชัย จังหวัดมหาสารคาม 44150"/>
    <s v="44150"/>
    <s v="18"/>
    <s v="05/01/2025 16:19"/>
    <s v="-"/>
    <s v="SPX Express"/>
    <s v="Shopee"/>
    <s v="shopee"/>
    <s v=""/>
    <s v="TH251292936238P"/>
    <s v="05/01/2025 15:49"/>
  </r>
  <r>
    <x v="4"/>
    <x v="4"/>
    <n v="100"/>
    <n v="2"/>
    <n v="0"/>
    <s v="EQH99"/>
    <n v="200"/>
    <n v="0"/>
    <s v="ร้านที่4"/>
    <s v="เ*** ว***ัฐ"/>
    <s v="ลพบุรี"/>
    <s v="-"/>
    <s v=""/>
    <s v="05/01/2025 15:49"/>
    <s v="-"/>
    <s v="Flash Express Thailand COD"/>
    <s v="Tiktok"/>
    <s v="จ่ายทีหลัง / COD"/>
    <s v=""/>
    <s v="THT07011E39AD6Z"/>
    <s v="05/01/2025 15:49"/>
  </r>
  <r>
    <x v="9"/>
    <x v="4"/>
    <n v="100"/>
    <n v="1"/>
    <n v="0"/>
    <s v="EQH98"/>
    <n v="100"/>
    <n v="0"/>
    <s v="ร้านที่2"/>
    <s v="น***ิมา เ***ระยูร"/>
    <s v="เพชรบูรณ์"/>
    <s v="-"/>
    <s v=""/>
    <s v="05/01/2025 15:48"/>
    <s v="-"/>
    <s v="J&amp;T COD"/>
    <s v="Tiktok"/>
    <s v="จ่ายทีหลัง / COD"/>
    <s v=""/>
    <s v="754376331332"/>
    <s v="05/01/2025 15:48"/>
  </r>
  <r>
    <x v="9"/>
    <x v="4"/>
    <n v="100"/>
    <n v="3"/>
    <n v="0"/>
    <s v="EQH97"/>
    <n v="300"/>
    <n v="0"/>
    <s v="ร้านที่2"/>
    <s v="พ***์พิชชา"/>
    <s v="แม่ฮ่องสอน"/>
    <s v="-"/>
    <s v=""/>
    <s v="05/01/2025 15:41"/>
    <s v="-"/>
    <s v="J&amp;T COD"/>
    <s v="Tiktok"/>
    <s v="จ่ายทีหลัง / COD"/>
    <s v=""/>
    <s v="754350733345"/>
    <s v="05/01/2025 15:42"/>
  </r>
  <r>
    <x v="10"/>
    <x v="10"/>
    <n v="200"/>
    <n v="5"/>
    <n v="0"/>
    <s v="EQH95"/>
    <n v="1000"/>
    <n v="0"/>
    <s v="ร้านที่4"/>
    <s v="อ***ยา"/>
    <s v="ปราจีนบุรี"/>
    <s v="-"/>
    <s v=""/>
    <s v="05/01/2025 15:33"/>
    <s v="-"/>
    <s v="Flash Express Thailand COD"/>
    <s v="Tiktok"/>
    <s v="จ่ายทีหลัง / COD"/>
    <s v=""/>
    <s v="THT25031E32UN5Z"/>
    <s v="05/01/2025 15:34"/>
  </r>
  <r>
    <x v="9"/>
    <x v="4"/>
    <n v="100"/>
    <n v="1"/>
    <n v="0"/>
    <s v="EQH94"/>
    <n v="106"/>
    <n v="6"/>
    <s v="ร้านที่4"/>
    <s v="ม***ิมา อ***รโยธา"/>
    <s v="ฉะเชิงเทรา"/>
    <s v="-"/>
    <s v=""/>
    <s v="05/01/2025 15:33"/>
    <s v="-"/>
    <s v="Flash Express Thailand"/>
    <s v="Tiktok"/>
    <s v="tiktok"/>
    <s v=""/>
    <s v="THT24091E3D4C8Z"/>
    <s v="05/01/2025 15:33"/>
  </r>
  <r>
    <x v="4"/>
    <x v="4"/>
    <n v="100"/>
    <n v="1"/>
    <n v="0"/>
    <s v="EQH91"/>
    <n v="100"/>
    <n v="0"/>
    <s v="ร้านที่1"/>
    <s v="ก***าร์ ร**"/>
    <s v="สิงห์บุรี"/>
    <s v="-"/>
    <s v=""/>
    <s v="05/01/2025 15:27"/>
    <s v="-"/>
    <s v="J&amp;T Express"/>
    <s v="Tiktok"/>
    <s v="tiktok"/>
    <s v=""/>
    <s v="754343449355"/>
    <s v="05/01/2025 15:27"/>
  </r>
  <r>
    <x v="10"/>
    <x v="10"/>
    <n v="200"/>
    <n v="1"/>
    <n v="0"/>
    <s v="EQH89"/>
    <n v="200"/>
    <n v="0"/>
    <s v="ร้านที่1"/>
    <s v="น** ข***ักดิ์ ถ***วิมล"/>
    <s v="กาฬสินธุ์"/>
    <s v="-"/>
    <s v=""/>
    <s v="05/01/2025 15:23"/>
    <s v="-"/>
    <s v="J&amp;T Express"/>
    <s v="Tiktok"/>
    <s v="tiktok"/>
    <s v=""/>
    <s v="754399045374"/>
    <s v="05/01/2025 15:23"/>
  </r>
  <r>
    <x v="37"/>
    <x v="49"/>
    <n v="100"/>
    <n v="2"/>
    <n v="0"/>
    <s v="EQH87"/>
    <n v="200"/>
    <n v="0"/>
    <s v="ร้านที่4"/>
    <s v="เ** ธ***ต"/>
    <s v="พิษณุโลก"/>
    <s v="-"/>
    <s v=""/>
    <s v="05/01/2025 15:22"/>
    <s v="-"/>
    <s v="Flash Express Thailand COD"/>
    <s v="Tiktok"/>
    <s v="จ่ายทีหลัง / COD"/>
    <s v=""/>
    <s v="THT61071E60K13Z"/>
    <s v="05/01/2025 15:22"/>
  </r>
  <r>
    <x v="10"/>
    <x v="10"/>
    <n v="200"/>
    <n v="1"/>
    <n v="0"/>
    <s v="EQH86"/>
    <n v="200"/>
    <n v="0"/>
    <s v="ร้านที่1"/>
    <s v="น***า"/>
    <s v="หนองคาย"/>
    <s v="-"/>
    <s v=""/>
    <s v="05/01/2025 15:21"/>
    <s v="-"/>
    <s v="J&amp;T COD"/>
    <s v="Tiktok"/>
    <s v="จ่ายทีหลัง / COD"/>
    <s v=""/>
    <s v="754370243384"/>
    <s v="05/01/2025 15:21"/>
  </r>
  <r>
    <x v="13"/>
    <x v="30"/>
    <n v="180"/>
    <n v="1"/>
    <n v="0"/>
    <s v="EQH82"/>
    <n v="185"/>
    <n v="5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05/01/2025 15:18"/>
    <s v="-"/>
    <s v="Kerry_dropoff"/>
    <s v="Lazada"/>
    <s v="lazada"/>
    <s v=""/>
    <s v="LEXDO0123983443"/>
    <s v="05/01/2025 15:18"/>
  </r>
  <r>
    <x v="4"/>
    <x v="4"/>
    <n v="100"/>
    <n v="1"/>
    <n v="0"/>
    <s v="EQH79"/>
    <n v="106"/>
    <n v="6"/>
    <s v="ร้านที่2"/>
    <s v="พ***ินทร์ของนัท.วางไว้เลยค่ะ"/>
    <s v="สมุทรปราการ"/>
    <s v="-"/>
    <s v=""/>
    <s v="05/01/2025 15:17"/>
    <s v="-"/>
    <s v="J&amp;T Express"/>
    <s v="Tiktok"/>
    <s v="tiktok"/>
    <s v=""/>
    <s v="754356539370"/>
    <s v="05/01/2025 15:15"/>
  </r>
  <r>
    <x v="4"/>
    <x v="4"/>
    <n v="100"/>
    <n v="1"/>
    <n v="0"/>
    <s v="EQH76"/>
    <n v="106"/>
    <n v="6"/>
    <s v="ร้านที่4"/>
    <s v="ส*** ท***หม่"/>
    <s v="ระยอง"/>
    <s v="-"/>
    <s v=""/>
    <s v="05/01/2025 15:09"/>
    <s v="-"/>
    <s v="Flash Express Thailand COD"/>
    <s v="Tiktok"/>
    <s v="จ่ายทีหลัง / COD"/>
    <s v=""/>
    <s v="THT21071E2WGR9Z"/>
    <s v="05/01/2025 15:09"/>
  </r>
  <r>
    <x v="10"/>
    <x v="10"/>
    <n v="200"/>
    <n v="1"/>
    <n v="0"/>
    <s v="EQH74"/>
    <n v="200"/>
    <n v="0"/>
    <s v="ร้านที่1"/>
    <s v="ร***ุ ห***ลำ"/>
    <s v="ตรัง"/>
    <s v="-"/>
    <s v=""/>
    <s v="05/01/2025 15:08"/>
    <s v="-"/>
    <s v="J&amp;T COD"/>
    <s v="Tiktok"/>
    <s v="จ่ายทีหลัง / COD"/>
    <s v=""/>
    <s v="754375823375"/>
    <s v="05/01/2025 15:08"/>
  </r>
  <r>
    <x v="7"/>
    <x v="7"/>
    <n v="62.4"/>
    <n v="1"/>
    <n v="0"/>
    <s v="EQH73"/>
    <n v="62.4"/>
    <n v="0"/>
    <s v="ร้านที่1"/>
    <s v="ดารารัตน์ พงษ์จินดาทิพย์"/>
    <s v="183 ถ.แสงสวรรค์ ต.ชุมแสง_x000a__x000a_ชุมแสง/ Chum Saengนครสวรรค์/ Nakhon Sawan_x000a_60120"/>
    <s v="60120"/>
    <s v="660816836142"/>
    <s v="05/01/2025 15:03"/>
    <s v="-"/>
    <s v="Kerry_dropoff"/>
    <s v="Lazada"/>
    <s v="lazada"/>
    <s v=""/>
    <s v="TH56036NUT8V1A"/>
    <s v="05/01/2025 15:02"/>
  </r>
  <r>
    <x v="5"/>
    <x v="5"/>
    <n v="350"/>
    <n v="1"/>
    <n v="0"/>
    <s v="EQH72"/>
    <n v="350"/>
    <n v="0"/>
    <s v="ร้านที่4"/>
    <s v="ค***ุ๋มจิ๋ม"/>
    <s v="นครราชสีมา"/>
    <s v="-"/>
    <s v=""/>
    <s v="05/01/2025 15:01"/>
    <s v="-"/>
    <s v="Flash Express Thailand COD"/>
    <s v="Tiktok"/>
    <s v="จ่ายทีหลัง / COD"/>
    <s v=""/>
    <s v="THT27011E38RM7Z"/>
    <s v="05/01/2025 15:01"/>
  </r>
  <r>
    <x v="5"/>
    <x v="5"/>
    <n v="350"/>
    <n v="1"/>
    <n v="0"/>
    <s v="EQH71"/>
    <n v="350"/>
    <n v="0"/>
    <s v="ร้านที่4"/>
    <s v="ค***ุ๋มจิ๋ม"/>
    <s v="นครราชสีมา"/>
    <s v="-"/>
    <s v=""/>
    <s v="05/01/2025 15:00"/>
    <s v="-"/>
    <s v="Flash Express Thailand COD"/>
    <s v="Tiktok"/>
    <s v="จ่ายทีหลัง / COD"/>
    <s v=""/>
    <s v="THT27011E3KAW4Z"/>
    <s v="05/01/2025 15:00"/>
  </r>
  <r>
    <x v="9"/>
    <x v="4"/>
    <n v="100"/>
    <n v="1"/>
    <n v="0"/>
    <s v="EQH69"/>
    <n v="129"/>
    <n v="29"/>
    <s v="ร้านที่4"/>
    <s v="ธ***มาศ เ***รุ่งเรือง"/>
    <s v="สระบุรี"/>
    <s v="-"/>
    <s v=""/>
    <s v="05/01/2025 14:56"/>
    <s v="-"/>
    <s v="Flash Express Thailand"/>
    <s v="Tiktok"/>
    <s v="tiktok"/>
    <s v=""/>
    <s v="THT10021E32E85Z"/>
    <s v="05/01/2025 14:55"/>
  </r>
  <r>
    <x v="9"/>
    <x v="4"/>
    <n v="100"/>
    <n v="1"/>
    <n v="0"/>
    <s v="EQH67"/>
    <n v="106"/>
    <n v="6"/>
    <s v="ร้านที่2"/>
    <s v="ก***นา บ***ง"/>
    <s v="เทศบาลนครเชียงราย"/>
    <s v="-"/>
    <s v=""/>
    <s v="05/01/2025 14:51"/>
    <s v="-"/>
    <s v="J&amp;T COD"/>
    <s v="Tiktok"/>
    <s v="จ่ายทีหลัง / COD"/>
    <s v=""/>
    <s v="754399138323"/>
    <s v="05/01/2025 14:51"/>
  </r>
  <r>
    <x v="9"/>
    <x v="4"/>
    <n v="100"/>
    <n v="1"/>
    <n v="0"/>
    <s v="EQH66"/>
    <n v="106"/>
    <n v="6"/>
    <s v="ร้านที่1"/>
    <s v="ม* เ***งศรี"/>
    <s v="อุตรดิตถ์"/>
    <s v="-"/>
    <s v=""/>
    <s v="05/01/2025 14:48"/>
    <s v="-"/>
    <s v="J&amp;T COD"/>
    <s v="Tiktok"/>
    <s v="จ่ายทีหลัง / COD"/>
    <s v=""/>
    <s v="754374035391"/>
    <s v="05/01/2025 14:48"/>
  </r>
  <r>
    <x v="10"/>
    <x v="10"/>
    <n v="200"/>
    <n v="1"/>
    <n v="0"/>
    <s v="EQH63"/>
    <n v="200"/>
    <n v="0"/>
    <s v="ร้านที่4"/>
    <s v="ค***ุ๋มจิ๋ม"/>
    <s v="นครราชสีมา"/>
    <s v="-"/>
    <s v=""/>
    <s v="05/01/2025 14:43"/>
    <s v="-"/>
    <s v="Flash Express Thailand COD"/>
    <s v="Tiktok"/>
    <s v="จ่ายทีหลัง / COD"/>
    <s v=""/>
    <s v="THT27011E33ZQ7Z"/>
    <s v="05/01/2025 14:43"/>
  </r>
  <r>
    <x v="3"/>
    <x v="8"/>
    <n v="99.75"/>
    <n v="1"/>
    <n v="0"/>
    <s v="EQH62"/>
    <n v="104.75"/>
    <n v="5"/>
    <s v="ร้านที่6"/>
    <s v="เฉลิมชัย อภิศักดิ์ศิริกุล"/>
    <s v="199/20 ม.5THE CITY ราชฤกษ์-ปิ่นเกล้า  บางกร่าง เมือง นนทบุรี_x000a__x000a_เมืองนนทบุรี/ Mueang Nonthaburiนนทบุรี/ Nonthaburi_x000a_11000"/>
    <s v="11000"/>
    <s v="660991916522"/>
    <s v="05/01/2025 14:42"/>
    <s v="-"/>
    <s v="Kerry_dropoff"/>
    <s v="Lazada"/>
    <s v="lazada"/>
    <s v=""/>
    <s v="LEXPU0442337619"/>
    <s v="05/01/2025 14:42"/>
  </r>
  <r>
    <x v="10"/>
    <x v="10"/>
    <n v="200"/>
    <n v="1"/>
    <n v="0"/>
    <s v="EQH61"/>
    <n v="200"/>
    <n v="0"/>
    <s v="ร้านที่4"/>
    <s v="ป***๋ว.ปิ๋ว"/>
    <s v="สุราษฎร์ธานี"/>
    <s v="-"/>
    <s v=""/>
    <s v="05/01/2025 14:40"/>
    <s v="-"/>
    <s v="Flash Express Thailand COD"/>
    <s v="Tiktok"/>
    <s v="จ่ายทีหลัง / COD"/>
    <s v=""/>
    <s v="THT68161E33YY3Z"/>
    <s v="05/01/2025 14:40"/>
  </r>
  <r>
    <x v="1"/>
    <x v="1"/>
    <n v="200"/>
    <n v="1"/>
    <n v="0"/>
    <s v="EQH59"/>
    <n v="200"/>
    <n v="0"/>
    <s v="ร้านที่1"/>
    <s v="ศ***พร   พ***พาทร"/>
    <s v="สมุทรปราการ"/>
    <s v="-"/>
    <s v=""/>
    <s v="05/01/2025 14:38"/>
    <s v="-"/>
    <s v="J&amp;T COD"/>
    <s v="Tiktok"/>
    <s v="จ่ายทีหลัง / COD"/>
    <s v=""/>
    <s v="754341754515"/>
    <s v="05/01/2025 14:38"/>
  </r>
  <r>
    <x v="32"/>
    <x v="53"/>
    <n v="199"/>
    <n v="1"/>
    <n v="0"/>
    <s v="EQH58"/>
    <n v="240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1/2025 15:07"/>
    <s v="-"/>
    <s v="Flash Express"/>
    <s v="Shopee"/>
    <s v="shopee"/>
    <s v=""/>
    <s v="TH13056P1JDW8F"/>
    <s v="05/01/2025 14:37"/>
  </r>
  <r>
    <x v="0"/>
    <x v="0"/>
    <n v="100"/>
    <n v="2"/>
    <n v="0"/>
    <s v="EQH57"/>
    <n v="200"/>
    <n v="0"/>
    <s v="ร้านที่2"/>
    <s v="น***ทร์  บ***ระเสริฐ"/>
    <s v="อุดรธานี"/>
    <s v="-"/>
    <s v=""/>
    <s v="05/01/2025 14:37"/>
    <s v="-"/>
    <s v="J&amp;T COD"/>
    <s v="Tiktok"/>
    <s v="จ่ายทีหลัง / COD"/>
    <s v=""/>
    <s v="754319432532"/>
    <s v="05/01/2025 14:37"/>
  </r>
  <r>
    <x v="0"/>
    <x v="0"/>
    <n v="100"/>
    <n v="1"/>
    <n v="0"/>
    <s v="EQH56"/>
    <n v="106"/>
    <n v="6"/>
    <s v="ร้านที่2"/>
    <s v="ม***ี ว***เส้ง"/>
    <s v="พัทลุง"/>
    <s v="-"/>
    <s v=""/>
    <s v="05/01/2025 14:34"/>
    <s v="-"/>
    <s v="J&amp;T COD"/>
    <s v="Tiktok"/>
    <s v="จ่ายทีหลัง / COD"/>
    <s v=""/>
    <s v="754322438564"/>
    <s v="05/01/2025 14:34"/>
  </r>
  <r>
    <x v="30"/>
    <x v="40"/>
    <n v="80.849999999999994"/>
    <n v="1"/>
    <n v="0"/>
    <s v="EQH55"/>
    <n v="85.85"/>
    <n v="5"/>
    <s v="ร้านที่10"/>
    <s v="อนุสรา"/>
    <s v="94 หมู่ 8  ต.เวินพระบาท อ.ท่าอุเทน · เวินพระบาท/ Woen Phrabat_x000a__x000a_ท่าอุเทน/ Tha Uthenนครพนม/ Nakhon Phanom_x000a_48120"/>
    <s v="48120"/>
    <s v="660963796041"/>
    <s v="05/01/2025 14:34"/>
    <s v="-"/>
    <s v="Kerry_dropoff"/>
    <s v="Lazada"/>
    <s v="lazada"/>
    <s v=""/>
    <s v="TH45036NXZDJ0G"/>
    <s v="05/01/2025 14:34"/>
  </r>
  <r>
    <x v="10"/>
    <x v="10"/>
    <n v="200"/>
    <n v="1"/>
    <n v="0"/>
    <s v="EQH53"/>
    <n v="200"/>
    <n v="0"/>
    <s v="ร้านที่4"/>
    <s v="เ*** ข***มงคล"/>
    <s v="นนทบุรี"/>
    <s v="-"/>
    <s v=""/>
    <s v="05/01/2025 14:32"/>
    <s v="-"/>
    <s v="Flash Express Thailand COD"/>
    <s v="Tiktok"/>
    <s v="จ่ายทีหลัง / COD"/>
    <s v=""/>
    <s v="THT03041E33WE7Z"/>
    <s v="05/01/2025 14:32"/>
  </r>
  <r>
    <x v="0"/>
    <x v="0"/>
    <n v="100"/>
    <n v="1"/>
    <n v="0"/>
    <s v="EQH52"/>
    <n v="106"/>
    <n v="6"/>
    <s v="ร้านที่1"/>
    <s v="เ***มา"/>
    <s v="เพชรบุรี"/>
    <s v="-"/>
    <s v=""/>
    <s v="05/01/2025 14:30"/>
    <s v="-"/>
    <s v="J&amp;T COD"/>
    <s v="Tiktok"/>
    <s v="จ่ายทีหลัง / COD"/>
    <s v=""/>
    <s v="754306249513"/>
    <s v="05/01/2025 14:30"/>
  </r>
  <r>
    <x v="5"/>
    <x v="5"/>
    <n v="350"/>
    <n v="1"/>
    <n v="0"/>
    <s v="EQH51"/>
    <n v="350"/>
    <n v="0"/>
    <s v="ร้านที่4"/>
    <s v="M*** ห***"/>
    <s v="Bangkok"/>
    <s v="-"/>
    <s v=""/>
    <s v="05/01/2025 14:28"/>
    <s v="-"/>
    <s v="Flash Express Thailand"/>
    <s v="Tiktok"/>
    <s v="tiktok"/>
    <s v=""/>
    <s v="THT01121E39BD9Z"/>
    <s v="05/01/2025 14:28"/>
  </r>
  <r>
    <x v="0"/>
    <x v="0"/>
    <n v="100"/>
    <n v="1"/>
    <n v="0"/>
    <s v="EQH50"/>
    <n v="106"/>
    <n v="6"/>
    <s v="ร้านที่1"/>
    <s v="ก***านี ด***ทธิ์"/>
    <s v="ฉะเชิงเทรา"/>
    <s v="-"/>
    <s v=""/>
    <s v="05/01/2025 14:28"/>
    <s v="-"/>
    <s v="J&amp;T COD"/>
    <s v="Tiktok"/>
    <s v="จ่ายทีหลัง / COD"/>
    <s v=""/>
    <s v="754336336515"/>
    <s v="05/01/2025 14:28"/>
  </r>
  <r>
    <x v="39"/>
    <x v="55"/>
    <n v="283"/>
    <n v="1"/>
    <n v="0"/>
    <s v="EQH49"/>
    <n v="566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5/01/2025 14:28"/>
    <s v="-"/>
    <s v="Kerry_dropoff"/>
    <s v="Lazada"/>
    <s v="lazada"/>
    <s v=""/>
    <s v="LEXDO0123996740"/>
    <s v="05/01/2025 14:28"/>
  </r>
  <r>
    <x v="39"/>
    <x v="55"/>
    <n v="283"/>
    <n v="1"/>
    <n v="0"/>
    <s v="EQH49"/>
    <n v="566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5/01/2025 14:28"/>
    <s v="-"/>
    <s v="Kerry_dropoff"/>
    <s v="Lazada"/>
    <s v="lazada"/>
    <s v=""/>
    <s v="LEXDO0123996740"/>
    <s v="05/01/2025 14:28"/>
  </r>
  <r>
    <x v="4"/>
    <x v="4"/>
    <n v="100"/>
    <n v="1"/>
    <n v="0"/>
    <s v="EQH46"/>
    <n v="145"/>
    <n v="45"/>
    <s v="ร้านที่1"/>
    <s v="ช***ชา บ***พธิ์"/>
    <s v="นครราชสีมา"/>
    <s v="-"/>
    <s v=""/>
    <s v="05/01/2025 14:23"/>
    <s v="-"/>
    <s v="J&amp;T COD"/>
    <s v="Tiktok"/>
    <s v="จ่ายทีหลัง / COD"/>
    <s v=""/>
    <s v="754334027355"/>
    <s v="05/01/2025 14:23"/>
  </r>
  <r>
    <x v="3"/>
    <x v="3"/>
    <n v="100"/>
    <n v="1"/>
    <n v="0"/>
    <s v="EQH45"/>
    <n v="100"/>
    <n v="0"/>
    <s v="ร้านที่2"/>
    <s v="ก***า ก***ักดี ร***เฟิร์สอินเตอร์เน็ต"/>
    <s v="สุพรรณบุรี"/>
    <s v="-"/>
    <s v=""/>
    <s v="05/01/2025 14:20"/>
    <s v="-"/>
    <s v="J&amp;T COD"/>
    <s v="Tiktok"/>
    <s v="จ่ายทีหลัง / COD"/>
    <s v=""/>
    <s v="754376835365"/>
    <s v="05/01/2025 14:20"/>
  </r>
  <r>
    <x v="0"/>
    <x v="0"/>
    <n v="100"/>
    <n v="1"/>
    <n v="0"/>
    <s v="EQH44"/>
    <n v="106"/>
    <n v="6"/>
    <s v="ร้านที่2"/>
    <s v="ส***าน ว***ษฐ"/>
    <s v="ศรีสะเกษ"/>
    <s v="-"/>
    <s v=""/>
    <s v="05/01/2025 14:20"/>
    <s v="-"/>
    <s v="J&amp;T COD"/>
    <s v="Tiktok"/>
    <s v="จ่ายทีหลัง / COD"/>
    <s v=""/>
    <s v="754338036546"/>
    <s v="05/01/2025 14:20"/>
  </r>
  <r>
    <x v="10"/>
    <x v="10"/>
    <n v="200"/>
    <n v="1"/>
    <n v="0"/>
    <s v="EQH42"/>
    <n v="200"/>
    <n v="0"/>
    <s v="ร้านที่4"/>
    <s v="น***เยาว์ โ***ดี"/>
    <s v="กรุงเทพมหานคร"/>
    <s v="-"/>
    <s v=""/>
    <s v="05/01/2025 14:18"/>
    <s v="-"/>
    <s v="Flash Express Thailand COD"/>
    <s v="Tiktok"/>
    <s v="จ่ายทีหลัง / COD"/>
    <s v=""/>
    <s v="THT01271E3EMK6Z"/>
    <s v="05/01/2025 14:18"/>
  </r>
  <r>
    <x v="1"/>
    <x v="1"/>
    <n v="200"/>
    <n v="1"/>
    <n v="0"/>
    <s v="EQH41"/>
    <n v="200"/>
    <n v="0"/>
    <s v="ร้านที่2"/>
    <s v="เ***  จ***ีศรี"/>
    <s v="นครปฐม"/>
    <s v="-"/>
    <s v=""/>
    <s v="05/01/2025 14:17"/>
    <s v="-"/>
    <s v="J&amp;T Express"/>
    <s v="Tiktok"/>
    <s v="tiktok"/>
    <s v=""/>
    <s v="754330856580"/>
    <s v="05/01/2025 14:17"/>
  </r>
  <r>
    <x v="10"/>
    <x v="10"/>
    <n v="200"/>
    <n v="1"/>
    <n v="0"/>
    <s v="EQH40"/>
    <n v="200"/>
    <n v="0"/>
    <s v="ร้านที่4"/>
    <s v="น***า ว***สัมพันธ์ชัย"/>
    <s v="บุรีรัมย์"/>
    <s v="-"/>
    <s v=""/>
    <s v="05/01/2025 14:14"/>
    <s v="-"/>
    <s v="Flash Express Thailand COD"/>
    <s v="Tiktok"/>
    <s v="จ่ายทีหลัง / COD"/>
    <s v=""/>
    <s v="THT28011E33SB5Z"/>
    <s v="05/01/2025 14:16"/>
  </r>
  <r>
    <x v="10"/>
    <x v="10"/>
    <n v="200"/>
    <n v="1"/>
    <n v="0"/>
    <s v="EQH39"/>
    <n v="200"/>
    <n v="0"/>
    <s v="ร้านที่4"/>
    <s v="จ***า อ***ดช"/>
    <s v="อุตรดิตถ์"/>
    <s v="-"/>
    <s v=""/>
    <s v="05/01/2025 14:14"/>
    <s v="-"/>
    <s v="Flash Express Thailand COD"/>
    <s v="Tiktok"/>
    <s v="จ่ายทีหลัง / COD"/>
    <s v=""/>
    <s v="THT50011E3KSV8Z"/>
    <s v="05/01/2025 14:16"/>
  </r>
  <r>
    <x v="4"/>
    <x v="4"/>
    <n v="100"/>
    <n v="1"/>
    <n v="0"/>
    <s v="EQH38"/>
    <n v="200"/>
    <n v="0"/>
    <s v="ร้านที่1"/>
    <s v="จ***พร ด***ำ"/>
    <s v="ปราจีนบุรี"/>
    <s v="-"/>
    <s v=""/>
    <s v="05/01/2025 14:12"/>
    <s v="-"/>
    <s v="J&amp;T Express"/>
    <s v="Tiktok"/>
    <s v="tiktok"/>
    <s v=""/>
    <s v="754385185514"/>
    <s v="05/01/2025 14:15"/>
  </r>
  <r>
    <x v="0"/>
    <x v="0"/>
    <n v="100"/>
    <n v="1"/>
    <n v="0"/>
    <s v="EQH38"/>
    <n v="200"/>
    <n v="0"/>
    <s v="ร้านที่1"/>
    <s v="จ***พร ด***ำ"/>
    <s v="ปราจีนบุรี"/>
    <s v="-"/>
    <s v=""/>
    <s v="05/01/2025 14:12"/>
    <s v="-"/>
    <s v="J&amp;T Express"/>
    <s v="Tiktok"/>
    <s v="tiktok"/>
    <s v=""/>
    <s v="754385185514"/>
    <s v="05/01/2025 14:15"/>
  </r>
  <r>
    <x v="9"/>
    <x v="4"/>
    <n v="100"/>
    <n v="1"/>
    <n v="0"/>
    <s v="EQH37"/>
    <n v="200"/>
    <n v="0"/>
    <s v="ร้านที่4"/>
    <s v="ศ***ขวัญ ผ***ิต"/>
    <s v="แพร่"/>
    <s v="-"/>
    <s v=""/>
    <s v="05/01/2025 14:10"/>
    <s v="-"/>
    <s v="Flash Express Thailand"/>
    <s v="Tiktok"/>
    <s v="tiktok"/>
    <s v=""/>
    <s v="THT51061E390N9Z"/>
    <s v="05/01/2025 14:14"/>
  </r>
  <r>
    <x v="4"/>
    <x v="4"/>
    <n v="100"/>
    <n v="1"/>
    <n v="0"/>
    <s v="EQH37"/>
    <n v="200"/>
    <n v="0"/>
    <s v="ร้านที่4"/>
    <s v="ศ***ขวัญ ผ***ิต"/>
    <s v="แพร่"/>
    <s v="-"/>
    <s v=""/>
    <s v="05/01/2025 14:10"/>
    <s v="-"/>
    <s v="Flash Express Thailand"/>
    <s v="Tiktok"/>
    <s v="tiktok"/>
    <s v=""/>
    <s v="THT51061E390N9Z"/>
    <s v="05/01/2025 14:14"/>
  </r>
  <r>
    <x v="4"/>
    <x v="4"/>
    <n v="100"/>
    <n v="2"/>
    <n v="0"/>
    <s v="EQH36"/>
    <n v="200"/>
    <n v="0"/>
    <s v="ร้านที่1"/>
    <s v="ค***ัชกร  ป***อบธรรม"/>
    <s v="กรุงเทพมหานคร"/>
    <s v="-"/>
    <s v=""/>
    <s v="05/01/2025 14:10"/>
    <s v="-"/>
    <s v="J&amp;T COD"/>
    <s v="Tiktok"/>
    <s v="จ่ายทีหลัง / COD"/>
    <s v=""/>
    <s v="754309433360"/>
    <s v="05/01/2025 14:14"/>
  </r>
  <r>
    <x v="10"/>
    <x v="10"/>
    <n v="200"/>
    <n v="1"/>
    <n v="0"/>
    <s v="EQH35"/>
    <n v="200"/>
    <n v="0"/>
    <s v="ร้านที่2"/>
    <s v="ย***น  ไ***รหม"/>
    <s v="ลำปาง"/>
    <s v="-"/>
    <s v=""/>
    <s v="05/01/2025 14:09"/>
    <s v="-"/>
    <s v="J&amp;T COD"/>
    <s v="Tiktok"/>
    <s v="จ่ายทีหลัง / COD"/>
    <s v=""/>
    <s v="754302148316"/>
    <s v="05/01/2025 14:14"/>
  </r>
  <r>
    <x v="4"/>
    <x v="4"/>
    <n v="100"/>
    <n v="1"/>
    <n v="0"/>
    <s v="EQH34"/>
    <n v="200"/>
    <n v="0"/>
    <s v="ร้านที่1"/>
    <s v="ว*** ว***ากร"/>
    <s v="นครราชสีมา"/>
    <s v="-"/>
    <s v=""/>
    <s v="05/01/2025 14:07"/>
    <s v="-"/>
    <s v="J&amp;T COD"/>
    <s v="Tiktok"/>
    <s v="จ่ายทีหลัง / COD"/>
    <s v=""/>
    <s v="754356044374"/>
    <s v="05/01/2025 14:12"/>
  </r>
  <r>
    <x v="9"/>
    <x v="4"/>
    <n v="100"/>
    <n v="1"/>
    <n v="0"/>
    <s v="EQH34"/>
    <n v="200"/>
    <n v="0"/>
    <s v="ร้านที่1"/>
    <s v="ว*** ว***ากร"/>
    <s v="นครราชสีมา"/>
    <s v="-"/>
    <s v=""/>
    <s v="05/01/2025 14:07"/>
    <s v="-"/>
    <s v="J&amp;T COD"/>
    <s v="Tiktok"/>
    <s v="จ่ายทีหลัง / COD"/>
    <s v=""/>
    <s v="754356044374"/>
    <s v="05/01/2025 14:12"/>
  </r>
  <r>
    <x v="4"/>
    <x v="4"/>
    <n v="100"/>
    <n v="2"/>
    <n v="0"/>
    <s v="EQH30"/>
    <n v="200"/>
    <n v="0"/>
    <s v="ร้านที่4"/>
    <s v="ก*** ส***วดี ม***กลาง"/>
    <s v="อำนาจเจริญ"/>
    <s v="-"/>
    <s v=""/>
    <s v="05/01/2025 14:02"/>
    <s v="-"/>
    <s v="Flash Express Thailand COD"/>
    <s v="Tiktok"/>
    <s v="จ่ายทีหลัง / COD"/>
    <s v=""/>
    <s v="THT34011E2YA21Z"/>
    <s v="05/01/2025 14:03"/>
  </r>
  <r>
    <x v="19"/>
    <x v="19"/>
    <n v="199"/>
    <n v="1"/>
    <n v="0"/>
    <s v="EQH28"/>
    <n v="228"/>
    <n v="29"/>
    <s v="ร้านที่1"/>
    <s v="ช******น"/>
    <s v="******อ่ง อ.อู่ทอง จ.สุพรรณบุรี ตำบลหนองโอ่ง อำเภออู่ทอง จังหวัดสุพรรณบุรี 72160"/>
    <s v="72160"/>
    <s v="15"/>
    <s v="05/01/2025 14:02"/>
    <s v="-"/>
    <s v="SPX Express"/>
    <s v="Shopee"/>
    <s v="shopee"/>
    <s v=""/>
    <s v="TH2532180561843"/>
    <s v="05/01/2025 14:02"/>
  </r>
  <r>
    <x v="32"/>
    <x v="47"/>
    <n v="152.15"/>
    <n v="1"/>
    <n v="0"/>
    <s v="EQH24"/>
    <n v="157.15"/>
    <n v="5"/>
    <s v="ร้านที่8"/>
    <s v="นายเสาร์ กะการดี"/>
    <s v="167หมู่4 บ้านทุ่งเชือก ตำบลภูห่าน_x000a__x000a_สีชมพู/ Si Chomphuขอนแก่น/ Khon Kaen_x000a_40220"/>
    <s v="40220"/>
    <s v="660985606496"/>
    <s v="05/01/2025 14:00"/>
    <s v="-"/>
    <s v="Kerry_dropoff"/>
    <s v="Lazada"/>
    <s v="lazada"/>
    <s v=""/>
    <s v="520004269881"/>
    <s v="05/01/2025 14:00"/>
  </r>
  <r>
    <x v="0"/>
    <x v="0"/>
    <n v="100"/>
    <n v="1"/>
    <n v="0"/>
    <s v="EQH23"/>
    <n v="100"/>
    <n v="0"/>
    <s v="ร้านที่1"/>
    <s v="ร***นภา เ***หล้า"/>
    <s v="นครนายก"/>
    <s v="-"/>
    <s v=""/>
    <s v="05/01/2025 13:59"/>
    <s v="-"/>
    <s v="J&amp;T COD"/>
    <s v="Tiktok"/>
    <s v="จ่ายทีหลัง / COD"/>
    <s v=""/>
    <s v="754396133551"/>
    <s v="05/01/2025 14:00"/>
  </r>
  <r>
    <x v="3"/>
    <x v="3"/>
    <n v="100"/>
    <n v="3"/>
    <n v="0"/>
    <s v="EQH20"/>
    <n v="300"/>
    <n v="0"/>
    <s v="ร้านที่2"/>
    <s v="ว******า"/>
    <s v="******้ง อำเภอเฉลิมพระเกียรติ จังหวัดสระบุรี 18000"/>
    <s v="18000"/>
    <s v="56"/>
    <s v="05/01/2025 14:29"/>
    <s v="-"/>
    <s v="SPX Express"/>
    <s v="Shopee"/>
    <s v="shopee"/>
    <s v=""/>
    <s v="TH257572692369R"/>
    <s v="05/01/2025 13:59"/>
  </r>
  <r>
    <x v="0"/>
    <x v="0"/>
    <n v="100"/>
    <n v="1"/>
    <n v="0"/>
    <s v="EQH19"/>
    <n v="106"/>
    <n v="6"/>
    <s v="ร้านที่1"/>
    <s v="ท***ลปีนะถา"/>
    <s v="มหาสารคาม"/>
    <s v="-"/>
    <s v=""/>
    <s v="05/01/2025 13:58"/>
    <s v="-"/>
    <s v="J&amp;T COD"/>
    <s v="Tiktok"/>
    <s v="จ่ายทีหลัง / COD"/>
    <s v=""/>
    <s v="754305846512"/>
    <s v="05/01/2025 13:58"/>
  </r>
  <r>
    <x v="4"/>
    <x v="4"/>
    <n v="100"/>
    <n v="1"/>
    <n v="0"/>
    <s v="EQH16"/>
    <n v="106"/>
    <n v="6"/>
    <s v="ร้านที่1"/>
    <s v="น***นะโม"/>
    <s v="มหาสารคาม"/>
    <s v="-"/>
    <s v=""/>
    <s v="05/01/2025 13:54"/>
    <s v="-"/>
    <s v="J&amp;T COD"/>
    <s v="Tiktok"/>
    <s v="จ่ายทีหลัง / COD"/>
    <s v=""/>
    <s v="754370516395"/>
    <s v="05/01/2025 13:54"/>
  </r>
  <r>
    <x v="1"/>
    <x v="1"/>
    <n v="200"/>
    <n v="1"/>
    <n v="0"/>
    <s v="EQH15"/>
    <n v="200"/>
    <n v="0"/>
    <s v="ร้านที่1"/>
    <s v="ส***ิน ม***คง"/>
    <s v="เทศบาลนครนครปฐม"/>
    <s v="-"/>
    <s v=""/>
    <s v="05/01/2025 13:51"/>
    <s v="-"/>
    <s v="J&amp;T COD"/>
    <s v="Tiktok"/>
    <s v="จ่ายทีหลัง / COD"/>
    <s v=""/>
    <s v="754345130313"/>
    <s v="05/01/2025 13:52"/>
  </r>
  <r>
    <x v="19"/>
    <x v="19"/>
    <n v="199"/>
    <n v="2"/>
    <n v="0"/>
    <s v="EQH13"/>
    <n v="462"/>
    <n v="64"/>
    <s v="ร้านที่1"/>
    <s v="ถ******์"/>
    <s v="******ามวัง อำเภอหนองเสือ จังหวัดปทุมธานี 12170"/>
    <s v="12170"/>
    <s v="19"/>
    <s v="05/01/2025 13:50"/>
    <s v="-"/>
    <s v="SPX Express"/>
    <s v="Shopee"/>
    <s v="shopee"/>
    <s v=""/>
    <s v="TH258213235312N"/>
    <s v="05/01/2025 13:49"/>
  </r>
  <r>
    <x v="1"/>
    <x v="1"/>
    <n v="200"/>
    <n v="1"/>
    <n v="0"/>
    <s v="EQH12"/>
    <n v="200"/>
    <n v="0"/>
    <s v="ร้านที่2"/>
    <s v="จ***ิมา ม***ท์"/>
    <s v="ฉะเชิงเทรา"/>
    <s v="-"/>
    <s v=""/>
    <s v="05/01/2025 13:48"/>
    <s v="-"/>
    <s v="J&amp;T COD"/>
    <s v="Tiktok"/>
    <s v="จ่ายทีหลัง / COD"/>
    <s v=""/>
    <s v="754354333316"/>
    <s v="05/01/2025 13:48"/>
  </r>
  <r>
    <x v="3"/>
    <x v="3"/>
    <n v="100"/>
    <n v="1"/>
    <n v="0"/>
    <s v="EQH11"/>
    <n v="129"/>
    <n v="29"/>
    <s v="ร้านที่2"/>
    <s v="อ******ม"/>
    <s v="******ู่ที่ 7ตำบลเชียงรากน้อย ตำบลเชียงรากน้อย อำเภอบางปะอิน จังหวัดพระนครศรีอยุธยา 13180"/>
    <s v="13180"/>
    <s v="89"/>
    <s v="05/01/2025 13:48"/>
    <s v="-"/>
    <s v="SPX Express"/>
    <s v="Shopee"/>
    <s v="shopee"/>
    <s v=""/>
    <s v="TH2534465341220"/>
    <s v="05/01/2025 13:43"/>
  </r>
  <r>
    <x v="1"/>
    <x v="1"/>
    <n v="200"/>
    <n v="1"/>
    <n v="0"/>
    <s v="EQH10"/>
    <n v="245"/>
    <n v="45"/>
    <s v="ร้านที่1"/>
    <s v="ห***พลิน อ***บุตร"/>
    <s v="ขอนแก่น"/>
    <s v="-"/>
    <s v=""/>
    <s v="05/01/2025 13:36"/>
    <s v="-"/>
    <s v="J&amp;T Express"/>
    <s v="Tiktok"/>
    <s v="tiktok"/>
    <s v=""/>
    <s v="754312041582"/>
    <s v="05/01/2025 13:36"/>
  </r>
  <r>
    <x v="0"/>
    <x v="0"/>
    <n v="100"/>
    <n v="1"/>
    <n v="0"/>
    <s v="EQH8"/>
    <n v="106"/>
    <n v="6"/>
    <s v="ร้านที่1"/>
    <s v="พ**"/>
    <s v="ภูเก็ต"/>
    <s v="-"/>
    <s v=""/>
    <s v="05/01/2025 13:35"/>
    <s v="-"/>
    <s v="J&amp;T COD"/>
    <s v="Tiktok"/>
    <s v="จ่ายทีหลัง / COD"/>
    <s v=""/>
    <s v="754391327572"/>
    <s v="05/01/2025 13:35"/>
  </r>
  <r>
    <x v="19"/>
    <x v="19"/>
    <n v="199"/>
    <n v="1"/>
    <n v="0"/>
    <s v="EQH7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4:01"/>
    <s v="-"/>
    <s v="SPX Express"/>
    <s v="Shopee"/>
    <s v="shopee"/>
    <s v=""/>
    <s v="TH255050398586U"/>
    <s v="05/01/2025 13:31"/>
  </r>
  <r>
    <x v="1"/>
    <x v="1"/>
    <n v="200"/>
    <n v="1"/>
    <n v="0"/>
    <s v="EQH6"/>
    <n v="200"/>
    <n v="0"/>
    <s v="ร้านที่2"/>
    <s v="ส***ตรา  ข***การ"/>
    <s v="พังงา"/>
    <s v="-"/>
    <s v=""/>
    <s v="05/01/2025 13:31"/>
    <s v="-"/>
    <s v="J&amp;T COD"/>
    <s v="Tiktok"/>
    <s v="จ่ายทีหลัง / COD"/>
    <s v=""/>
    <s v="754357631370"/>
    <s v="05/01/2025 13:31"/>
  </r>
  <r>
    <x v="19"/>
    <x v="19"/>
    <n v="199"/>
    <n v="1"/>
    <n v="0"/>
    <s v="EQH5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3:59"/>
    <s v="-"/>
    <s v="SPX Express"/>
    <s v="Shopee"/>
    <s v="shopee"/>
    <s v=""/>
    <s v="TH257628555348U"/>
    <s v="05/01/2025 13:29"/>
  </r>
  <r>
    <x v="0"/>
    <x v="0"/>
    <n v="100"/>
    <n v="1"/>
    <n v="0"/>
    <s v="EQH4"/>
    <n v="106"/>
    <n v="6"/>
    <s v="ร้านที่4"/>
    <s v="ป***ตา  ก***พ็ชร์"/>
    <s v="นครราชสีมา"/>
    <s v="-"/>
    <s v=""/>
    <s v="05/01/2025 13:28"/>
    <s v="-"/>
    <s v="Flash Express Thailand"/>
    <s v="Tiktok"/>
    <s v="tiktok"/>
    <s v=""/>
    <s v="THT27011E34W66Z"/>
    <s v="05/01/2025 13:28"/>
  </r>
  <r>
    <x v="19"/>
    <x v="19"/>
    <n v="199"/>
    <n v="1"/>
    <n v="0"/>
    <s v="EQH3"/>
    <n v="199"/>
    <n v="0"/>
    <s v="ร้านที่1"/>
    <s v="ศ******ส"/>
    <s v="******บ่อแร่ อำเภอโพธิ์ทอง จังหวัดอ่างทอง 14120"/>
    <s v="14120"/>
    <s v="07"/>
    <s v="05/01/2025 13:58"/>
    <s v="-"/>
    <s v="SPX Express"/>
    <s v="Shopee"/>
    <s v="shopee"/>
    <s v=""/>
    <s v="TH2510551004013"/>
    <s v="05/01/2025 13:28"/>
  </r>
  <r>
    <x v="5"/>
    <x v="5"/>
    <n v="350"/>
    <n v="1"/>
    <n v="0"/>
    <s v="EQH2"/>
    <n v="350"/>
    <n v="0"/>
    <s v="ร้านที่4"/>
    <s v="อ***ญา ท***ก้วกันทร"/>
    <s v="ตาก"/>
    <s v="-"/>
    <s v=""/>
    <s v="05/01/2025 13:27"/>
    <s v="-"/>
    <s v="Flash Express Thailand COD"/>
    <s v="Tiktok"/>
    <s v="จ่ายทีหลัง / COD"/>
    <s v=""/>
    <s v="THT59051E399J7Z"/>
    <s v="05/01/2025 13:27"/>
  </r>
  <r>
    <x v="3"/>
    <x v="3"/>
    <n v="100"/>
    <n v="3"/>
    <n v="0"/>
    <s v="EQH1"/>
    <n v="345"/>
    <n v="45"/>
    <s v="ร้านที่2"/>
    <s v="จ******ง"/>
    <s v="******ต.มะเขือแจ้ ตำบลมะเขือแจ้ อำเภอเมืองลำพูน จังหวัดลำพูน 51000"/>
    <s v="51000"/>
    <s v="49"/>
    <s v="05/01/2025 13:55"/>
    <s v="-"/>
    <s v="SPX Express"/>
    <s v="Shopee"/>
    <s v="shopee"/>
    <s v=""/>
    <s v="TH251674545464Z"/>
    <s v="05/01/2025 13:25"/>
  </r>
  <r>
    <x v="19"/>
    <x v="19"/>
    <n v="197"/>
    <n v="1"/>
    <n v="0"/>
    <s v="EQH0"/>
    <n v="197"/>
    <n v="0"/>
    <s v="ร้านที่2"/>
    <s v="ศ******ส"/>
    <s v="******บ่อแร่ อำเภอโพธิ์ทอง จังหวัดอ่างทอง 14120"/>
    <s v="14120"/>
    <s v="07"/>
    <s v="05/01/2025 13:54"/>
    <s v="-"/>
    <s v="SPX Express"/>
    <s v="Shopee"/>
    <s v="shopee"/>
    <s v=""/>
    <s v="TH251989018188E"/>
    <s v="05/01/2025 13:24"/>
  </r>
  <r>
    <x v="1"/>
    <x v="1"/>
    <n v="200"/>
    <n v="1"/>
    <n v="0"/>
    <s v="EQG99"/>
    <n v="200"/>
    <n v="0"/>
    <s v="ร้านที่1"/>
    <s v="น***เกษราภรณ์ เ***เอย"/>
    <s v="เทศบาลนครสกลนคร"/>
    <s v="-"/>
    <s v=""/>
    <s v="05/01/2025 13:20"/>
    <s v="-"/>
    <s v="J&amp;T COD"/>
    <s v="Tiktok"/>
    <s v="จ่ายทีหลัง / COD"/>
    <s v=""/>
    <s v="754321357506"/>
    <s v="05/01/2025 13:20"/>
  </r>
  <r>
    <x v="9"/>
    <x v="4"/>
    <n v="100"/>
    <n v="3"/>
    <n v="0"/>
    <s v="EQG98"/>
    <n v="300"/>
    <n v="0"/>
    <s v="ร้านที่2"/>
    <s v="ก***าณี ฉ***ก้ว"/>
    <s v="กรุงเทพฯ"/>
    <s v="-"/>
    <s v=""/>
    <s v="05/01/2025 13:18"/>
    <s v="-"/>
    <s v="J&amp;T COD"/>
    <s v="Tiktok"/>
    <s v="จ่ายทีหลัง / COD"/>
    <s v=""/>
    <s v="754348644302"/>
    <s v="05/01/2025 13:19"/>
  </r>
  <r>
    <x v="0"/>
    <x v="0"/>
    <n v="100"/>
    <n v="1"/>
    <n v="0"/>
    <s v="EQG96"/>
    <n v="106"/>
    <n v="6"/>
    <s v="ร้านที่2"/>
    <s v="เ***ณีย์ ก***งดี"/>
    <s v="ปทุมธานี"/>
    <s v="-"/>
    <s v=""/>
    <s v="05/01/2025 13:06"/>
    <s v="-"/>
    <s v="J&amp;T Express"/>
    <s v="Tiktok"/>
    <s v="tiktok"/>
    <s v=""/>
    <s v="754380739556"/>
    <s v="05/01/2025 13:06"/>
  </r>
  <r>
    <x v="10"/>
    <x v="10"/>
    <n v="200"/>
    <n v="1"/>
    <n v="0"/>
    <s v="EQG95"/>
    <n v="200"/>
    <n v="0"/>
    <s v="ร้านที่4"/>
    <s v="จ***า ซ***ตรง"/>
    <s v="กรุงเทพมหานคร"/>
    <s v="-"/>
    <s v=""/>
    <s v="05/01/2025 13:05"/>
    <s v="-"/>
    <s v="Flash Express Thailand COD"/>
    <s v="Tiktok"/>
    <s v="จ่ายทีหลัง / COD"/>
    <s v=""/>
    <s v="THT01311E3KFE6Z"/>
    <s v="05/01/2025 13:05"/>
  </r>
  <r>
    <x v="0"/>
    <x v="0"/>
    <n v="100"/>
    <n v="1"/>
    <n v="0"/>
    <s v="EQG93"/>
    <n v="106"/>
    <n v="6"/>
    <s v="ร้านที่2"/>
    <s v="น***ชนาพร ท***อาด"/>
    <s v="บุรีรัมย์"/>
    <s v="-"/>
    <s v=""/>
    <s v="05/01/2025 13:03"/>
    <s v="-"/>
    <s v="J&amp;T COD"/>
    <s v="Tiktok"/>
    <s v="จ่ายทีหลัง / COD"/>
    <s v=""/>
    <s v="754386237570"/>
    <s v="05/01/2025 13:04"/>
  </r>
  <r>
    <x v="0"/>
    <x v="0"/>
    <n v="100"/>
    <n v="1"/>
    <n v="0"/>
    <s v="EQG91"/>
    <n v="145"/>
    <n v="45"/>
    <s v="ร้านที่1"/>
    <s v="พ***ินทร์"/>
    <s v="ปทุมธานี"/>
    <s v="-"/>
    <s v=""/>
    <s v="05/01/2025 12:57"/>
    <s v="-"/>
    <s v="J&amp;T COD"/>
    <s v="Tiktok"/>
    <s v="จ่ายทีหลัง / COD"/>
    <s v=""/>
    <s v="754346922571"/>
    <s v="05/01/2025 12:57"/>
  </r>
  <r>
    <x v="0"/>
    <x v="0"/>
    <n v="100"/>
    <n v="1"/>
    <n v="0"/>
    <s v="EQG90"/>
    <n v="100"/>
    <n v="0"/>
    <s v="ร้านที่2"/>
    <s v="แ***า พ***ักดี"/>
    <s v="เพชรบูรณ์"/>
    <s v="-"/>
    <s v=""/>
    <s v="05/01/2025 12:48"/>
    <s v="-"/>
    <s v="J&amp;T Express"/>
    <s v="Tiktok"/>
    <s v="tiktok"/>
    <s v=""/>
    <s v="754372839592"/>
    <s v="05/01/2025 12:48"/>
  </r>
  <r>
    <x v="1"/>
    <x v="1"/>
    <n v="200"/>
    <n v="1"/>
    <n v="0"/>
    <s v="EQG89"/>
    <n v="200"/>
    <n v="0"/>
    <s v="ร้านที่1"/>
    <s v="ิ***า ม***งหรีด"/>
    <s v="นครราชสีมา"/>
    <s v="-"/>
    <s v=""/>
    <s v="05/01/2025 12:46"/>
    <s v="-"/>
    <s v="J&amp;T COD"/>
    <s v="Tiktok"/>
    <s v="จ่ายทีหลัง / COD"/>
    <s v=""/>
    <s v="754372950516"/>
    <s v="05/01/2025 12:46"/>
  </r>
  <r>
    <x v="4"/>
    <x v="4"/>
    <n v="100"/>
    <n v="1"/>
    <n v="0"/>
    <s v="EQG88"/>
    <n v="106"/>
    <n v="6"/>
    <s v="ร้านที่2"/>
    <s v="ณ***า ล***า"/>
    <s v="เชียงใหม่"/>
    <s v="-"/>
    <s v=""/>
    <s v="05/01/2025 12:45"/>
    <s v="-"/>
    <s v="J&amp;T COD"/>
    <s v="Tiktok"/>
    <s v="จ่ายทีหลัง / COD"/>
    <s v=""/>
    <s v="754305930383"/>
    <s v="05/01/2025 12:45"/>
  </r>
  <r>
    <x v="10"/>
    <x v="10"/>
    <n v="200"/>
    <n v="1"/>
    <n v="0"/>
    <s v="EQG87"/>
    <n v="200"/>
    <n v="0"/>
    <s v="ร้านที่4"/>
    <s v="อ***  ค***ม"/>
    <s v="ชลบุรี"/>
    <s v="-"/>
    <s v=""/>
    <s v="05/01/2025 12:45"/>
    <s v="-"/>
    <s v="Flash Express Thailand COD"/>
    <s v="Tiktok"/>
    <s v="จ่ายทีหลัง / COD"/>
    <s v=""/>
    <s v="THT20071E3KEE0Z"/>
    <s v="05/01/2025 12:45"/>
  </r>
  <r>
    <x v="0"/>
    <x v="0"/>
    <n v="100"/>
    <n v="1"/>
    <n v="0"/>
    <s v="EQG86"/>
    <n v="106"/>
    <n v="6"/>
    <s v="ร้านที่2"/>
    <s v="น***ัชนีพร เ***องฟุ้ง"/>
    <s v="สงขลา"/>
    <s v="-"/>
    <s v=""/>
    <s v="05/01/2025 12:45"/>
    <s v="-"/>
    <s v="J&amp;T COD"/>
    <s v="Tiktok"/>
    <s v="จ่ายทีหลัง / COD"/>
    <s v=""/>
    <s v="754378538524"/>
    <s v="05/01/2025 12:45"/>
  </r>
  <r>
    <x v="10"/>
    <x v="10"/>
    <n v="200"/>
    <n v="1"/>
    <n v="0"/>
    <s v="EQG85"/>
    <n v="200"/>
    <n v="0"/>
    <s v="ร้านที่2"/>
    <s v="โ***ดา โ***"/>
    <s v="ชลบุรี"/>
    <s v="-"/>
    <s v=""/>
    <s v="05/01/2025 12:43"/>
    <s v="-"/>
    <s v="Flash Express Thailand COD"/>
    <s v="Tiktok"/>
    <s v="จ่ายทีหลัง / COD"/>
    <s v=""/>
    <s v="THT20021E3A2K5Z"/>
    <s v="05/01/2025 12:43"/>
  </r>
  <r>
    <x v="4"/>
    <x v="4"/>
    <n v="100"/>
    <n v="1"/>
    <n v="0"/>
    <s v="EQG84"/>
    <n v="106"/>
    <n v="6"/>
    <s v="ร้านที่2"/>
    <s v="ร***ีกร พ***ี"/>
    <s v="ตรัง"/>
    <s v="-"/>
    <s v=""/>
    <s v="05/01/2025 12:42"/>
    <s v="-"/>
    <s v="J&amp;T COD"/>
    <s v="Tiktok"/>
    <s v="จ่ายทีหลัง / COD"/>
    <s v=""/>
    <s v="754324937376"/>
    <s v="05/01/2025 12:43"/>
  </r>
  <r>
    <x v="9"/>
    <x v="4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4"/>
    <x v="4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0"/>
    <x v="0"/>
    <n v="100"/>
    <n v="1"/>
    <n v="0"/>
    <s v="EQG83"/>
    <n v="300"/>
    <n v="0"/>
    <s v="ร้านที่4"/>
    <s v="ก***่าย ว***วรรณ"/>
    <s v="นครราชสีมา"/>
    <s v="-"/>
    <s v=""/>
    <s v="05/01/2025 12:42"/>
    <s v="-"/>
    <s v="Flash Express Thailand COD"/>
    <s v="Tiktok"/>
    <s v="จ่ายทีหลัง / COD"/>
    <s v=""/>
    <s v="THT27141E60YZ9Z"/>
    <s v="05/01/2025 12:42"/>
  </r>
  <r>
    <x v="32"/>
    <x v="53"/>
    <n v="199"/>
    <n v="1"/>
    <n v="0"/>
    <s v="EQG82"/>
    <n v="244"/>
    <n v="45"/>
    <s v="ร้านที่1"/>
    <s v="ป******่"/>
    <s v="****** ตำบลน้ำจืด อำเภอกระบุรี จังหวัดระนอง 85110"/>
    <s v="85110"/>
    <s v="61"/>
    <s v="05/01/2025 13:11"/>
    <s v="-"/>
    <s v="Flash Express"/>
    <s v="Shopee"/>
    <s v="shopee"/>
    <s v=""/>
    <s v="TH69046P1HQU2A"/>
    <s v="05/01/2025 12:40"/>
  </r>
  <r>
    <x v="0"/>
    <x v="0"/>
    <n v="100"/>
    <n v="1"/>
    <n v="0"/>
    <s v="EQG81"/>
    <n v="106"/>
    <n v="6"/>
    <s v="ร้านที่2"/>
    <s v="ส***วดี ศ***ัยมูล"/>
    <s v="อุดรธานี"/>
    <s v="-"/>
    <s v=""/>
    <s v="05/01/2025 12:40"/>
    <s v="-"/>
    <s v="J&amp;T Express"/>
    <s v="Tiktok"/>
    <s v="tiktok"/>
    <s v=""/>
    <s v="754364333516"/>
    <s v="05/01/2025 12:39"/>
  </r>
  <r>
    <x v="1"/>
    <x v="1"/>
    <n v="200"/>
    <n v="1"/>
    <n v="0"/>
    <s v="EQG79"/>
    <n v="200"/>
    <n v="0"/>
    <s v="ร้านที่2"/>
    <s v="เ***หญิง"/>
    <s v="สุราษฎร์ธานี"/>
    <s v="-"/>
    <s v=""/>
    <s v="05/01/2025 12:36"/>
    <s v="-"/>
    <s v="J&amp;T COD"/>
    <s v="Tiktok"/>
    <s v="จ่ายทีหลัง / COD"/>
    <s v=""/>
    <s v="754329248562"/>
    <s v="05/01/2025 12:36"/>
  </r>
  <r>
    <x v="1"/>
    <x v="1"/>
    <n v="200"/>
    <n v="1"/>
    <n v="0"/>
    <s v="EQG78"/>
    <n v="200"/>
    <n v="0"/>
    <s v="ร้านที่2"/>
    <s v="ค***ุพัตรา ช***รักษา"/>
    <s v="กรุงเทพฯ"/>
    <s v="-"/>
    <s v=""/>
    <s v="05/01/2025 12:36"/>
    <s v="-"/>
    <s v="J&amp;T COD"/>
    <s v="Tiktok"/>
    <s v="จ่ายทีหลัง / COD"/>
    <s v=""/>
    <s v="754359447586"/>
    <s v="05/01/2025 12:36"/>
  </r>
  <r>
    <x v="1"/>
    <x v="1"/>
    <n v="200"/>
    <n v="1"/>
    <n v="0"/>
    <s v="EQG77"/>
    <n v="200"/>
    <n v="0"/>
    <s v="ร้านที่2"/>
    <s v="P***nda T***krajang"/>
    <s v="สงขลา"/>
    <s v="-"/>
    <s v=""/>
    <s v="05/01/2025 12:35"/>
    <s v="-"/>
    <s v="J&amp;T COD"/>
    <s v="Tiktok"/>
    <s v="จ่ายทีหลัง / COD"/>
    <s v=""/>
    <s v="754316840572"/>
    <s v="05/01/2025 12:35"/>
  </r>
  <r>
    <x v="0"/>
    <x v="0"/>
    <n v="100"/>
    <n v="1"/>
    <n v="0"/>
    <s v="EQG76"/>
    <n v="106"/>
    <n v="6"/>
    <s v="ร้านที่1"/>
    <s v="ป***า ค***ร"/>
    <s v="สุราษฎร์ธานี"/>
    <s v="-"/>
    <s v=""/>
    <s v="05/01/2025 12:32"/>
    <s v="-"/>
    <s v="J&amp;T COD"/>
    <s v="Tiktok"/>
    <s v="จ่ายทีหลัง / COD"/>
    <s v=""/>
    <s v="754361335512"/>
    <s v="05/01/2025 12:32"/>
  </r>
  <r>
    <x v="0"/>
    <x v="0"/>
    <n v="100"/>
    <n v="2"/>
    <n v="0"/>
    <s v="EQG75"/>
    <n v="200"/>
    <n v="0"/>
    <s v="ร้านที่2"/>
    <s v="จ***ง"/>
    <s v="สระบุรี"/>
    <s v="-"/>
    <s v=""/>
    <s v="05/01/2025 12:30"/>
    <s v="-"/>
    <s v="J&amp;T COD"/>
    <s v="Tiktok"/>
    <s v="จ่ายทีหลัง / COD"/>
    <s v=""/>
    <s v="754312638542"/>
    <s v="05/01/2025 12:30"/>
  </r>
  <r>
    <x v="10"/>
    <x v="10"/>
    <n v="200"/>
    <n v="1"/>
    <n v="0"/>
    <s v="EQG74"/>
    <n v="200"/>
    <n v="0"/>
    <s v="ร้านที่2"/>
    <s v="ท***ีย์  ธ***เที่ยง"/>
    <s v="สุรินทร์"/>
    <s v="-"/>
    <s v=""/>
    <s v="05/01/2025 12:29"/>
    <s v="-"/>
    <s v="J&amp;T COD"/>
    <s v="Tiktok"/>
    <s v="จ่ายทีหลัง / COD"/>
    <s v=""/>
    <s v="754308535341"/>
    <s v="05/01/2025 12:29"/>
  </r>
  <r>
    <x v="10"/>
    <x v="10"/>
    <n v="200"/>
    <n v="2"/>
    <n v="0"/>
    <s v="EQG73"/>
    <n v="400"/>
    <n v="0"/>
    <s v="ร้านที่1"/>
    <s v="ก***รรณ  บ***ุด"/>
    <s v="นครศรีธรรมราช"/>
    <s v="-"/>
    <s v=""/>
    <s v="05/01/2025 12:29"/>
    <s v="-"/>
    <s v="J&amp;T COD"/>
    <s v="Tiktok"/>
    <s v="จ่ายทีหลัง / COD"/>
    <s v=""/>
    <s v="754345340313"/>
    <s v="05/01/2025 12:29"/>
  </r>
  <r>
    <x v="1"/>
    <x v="1"/>
    <n v="200"/>
    <n v="2"/>
    <n v="0"/>
    <s v="EQG71"/>
    <n v="400"/>
    <n v="0"/>
    <s v="ร้านที่1"/>
    <s v="ส***รณวดี ด***คกสูง"/>
    <s v="หนองคาย"/>
    <s v="-"/>
    <s v=""/>
    <s v="05/01/2025 12:26"/>
    <s v="-"/>
    <s v="J&amp;T COD"/>
    <s v="Tiktok"/>
    <s v="จ่ายทีหลัง / COD"/>
    <s v=""/>
    <s v="754390344573"/>
    <s v="05/01/2025 12:26"/>
  </r>
  <r>
    <x v="29"/>
    <x v="36"/>
    <n v="400"/>
    <n v="1"/>
    <n v="0"/>
    <s v="EQG70"/>
    <n v="400"/>
    <n v="0"/>
    <s v="ร้านที่4"/>
    <s v="ธ***ารัตน์ โ***์พึ่ง"/>
    <s v="เพชรบูรณ์"/>
    <s v="-"/>
    <s v=""/>
    <s v="05/01/2025 12:26"/>
    <s v="-"/>
    <s v="Flash Express Thailand COD"/>
    <s v="Tiktok"/>
    <s v="จ่ายทีหลัง / COD"/>
    <s v=""/>
    <s v="THT63081E394E0Z"/>
    <s v="05/01/2025 12:26"/>
  </r>
  <r>
    <x v="3"/>
    <x v="8"/>
    <n v="83.68"/>
    <n v="1"/>
    <n v="0"/>
    <s v="EQG69"/>
    <n v="88.68"/>
    <n v="5"/>
    <s v="ร้านที่6"/>
    <s v="นายบุญชัย บุญวิรัตน์"/>
    <s v="1434 ถนนเทพคุณากร ซอย 12 ต.หน้าเมือง_x000a__x000a_เมืองฉะเชิงเทรา/ Mueang Chachoengsaoฉะเชิงเทรา/ Chachoengsao_x000a_24000"/>
    <s v="24000"/>
    <s v="660819292232"/>
    <s v="05/01/2025 12:25"/>
    <s v="-"/>
    <s v="Kerry_dropoff"/>
    <s v="Lazada"/>
    <s v="lazada"/>
    <s v=""/>
    <s v="LEXPU0442339735"/>
    <s v="05/01/2025 12:25"/>
  </r>
  <r>
    <x v="26"/>
    <x v="18"/>
    <n v="293.7"/>
    <n v="1"/>
    <n v="0"/>
    <s v="EQG68"/>
    <n v="338.7"/>
    <n v="45"/>
    <s v="ร้านที่1"/>
    <s v="tun naing"/>
    <s v="323/79 ซอยพญานาค ถนนเพชรบุรี แขวงถนนเพชรบุรี · ถนนเพชรบุรี/ Thanon Phetchaburi_x000a__x000a_ราชเทวี/ Ratchathewiกรุงเทพมหานคร/ Bangkok_x000a_10400"/>
    <s v="10400"/>
    <s v="660823928141"/>
    <s v="05/01/2025 12:25"/>
    <s v="-"/>
    <s v="Kerry_dropoff"/>
    <s v="Lazada"/>
    <s v="lazada"/>
    <s v=""/>
    <s v="LEXPU0442391303"/>
    <s v="05/01/2025 12:25"/>
  </r>
  <r>
    <x v="10"/>
    <x v="10"/>
    <n v="200"/>
    <n v="1"/>
    <n v="0"/>
    <s v="EQG67"/>
    <n v="200"/>
    <n v="0"/>
    <s v="ร้านที่1"/>
    <s v="น***มหมาย  จ***ะสมบัติ"/>
    <s v="ขอนแก่น"/>
    <s v="-"/>
    <s v=""/>
    <s v="05/01/2025 12:24"/>
    <s v="-"/>
    <s v="J&amp;T COD"/>
    <s v="Tiktok"/>
    <s v="จ่ายทีหลัง / COD"/>
    <s v=""/>
    <s v="754345259345"/>
    <s v="05/01/2025 12:24"/>
  </r>
  <r>
    <x v="0"/>
    <x v="0"/>
    <n v="100"/>
    <n v="1"/>
    <n v="0"/>
    <s v="EQG66"/>
    <n v="106"/>
    <n v="6"/>
    <s v="ร้านที่1"/>
    <s v="น***ัญวิช  ป***าดง"/>
    <s v="เชียงใหม่"/>
    <s v="-"/>
    <s v=""/>
    <s v="05/01/2025 12:22"/>
    <s v="-"/>
    <s v="J&amp;T COD"/>
    <s v="Tiktok"/>
    <s v="จ่ายทีหลัง / COD"/>
    <s v=""/>
    <s v="754340238562"/>
    <s v="05/01/2025 12:22"/>
  </r>
  <r>
    <x v="4"/>
    <x v="4"/>
    <n v="100"/>
    <n v="1"/>
    <n v="0"/>
    <s v="EQG65"/>
    <n v="106"/>
    <n v="6"/>
    <s v="ร้านที่2"/>
    <s v="ว*** บ***ราบ"/>
    <s v="ปทุมธานี"/>
    <s v="-"/>
    <s v=""/>
    <s v="05/01/2025 12:22"/>
    <s v="-"/>
    <s v="J&amp;T Express"/>
    <s v="Tiktok"/>
    <s v="tiktok"/>
    <s v=""/>
    <s v="754336532375"/>
    <s v="05/01/2025 12:21"/>
  </r>
  <r>
    <x v="16"/>
    <x v="37"/>
    <n v="195"/>
    <n v="1"/>
    <n v="0"/>
    <s v="EQG63"/>
    <n v="219"/>
    <n v="24"/>
    <s v="ร้านที่1"/>
    <s v="สมศรี ธีรเนตร"/>
    <s v="ร้านขนมหวานใกล้วัดบางหญ้าแพรก ฝั่งท่าฉลอม_x000a__x000a_เมืองสมุทรสาคร/ Mueang Samut Sakhonสมุทรสาคร/ Samut Sakhon_x000a_74000"/>
    <s v="74000"/>
    <s v="660918082315"/>
    <s v="05/01/2025 12:19"/>
    <s v="-"/>
    <s v="Kerry_dropoff"/>
    <s v="Lazada"/>
    <s v="lazada"/>
    <s v=""/>
    <s v="LEXPU0442392256"/>
    <s v="05/01/2025 12:19"/>
  </r>
  <r>
    <x v="29"/>
    <x v="36"/>
    <n v="400"/>
    <n v="1"/>
    <n v="0"/>
    <s v="EQG62"/>
    <n v="400"/>
    <n v="0"/>
    <s v="ร้านที่1"/>
    <s v="ว***ียร โ***กำแหง"/>
    <s v="ชัยภูมิ"/>
    <s v="-"/>
    <s v=""/>
    <s v="05/01/2025 12:15"/>
    <s v="-"/>
    <s v="J&amp;T COD"/>
    <s v="Tiktok"/>
    <s v="จ่ายทีหลัง / COD"/>
    <s v=""/>
    <s v="754323120316"/>
    <s v="05/01/2025 12:15"/>
  </r>
  <r>
    <x v="10"/>
    <x v="10"/>
    <n v="200"/>
    <n v="1"/>
    <n v="0"/>
    <s v="EQG61"/>
    <n v="200"/>
    <n v="0"/>
    <s v="ร้านที่4"/>
    <s v="ไ***รรณ พ***ูน"/>
    <s v="ปทุมธานี"/>
    <s v="-"/>
    <s v=""/>
    <s v="05/01/2025 12:12"/>
    <s v="-"/>
    <s v="Flash Express Thailand COD"/>
    <s v="Tiktok"/>
    <s v="จ่ายทีหลัง / COD"/>
    <s v=""/>
    <s v="THT04011E39U25Z"/>
    <s v="05/01/2025 12:12"/>
  </r>
  <r>
    <x v="4"/>
    <x v="4"/>
    <n v="100"/>
    <n v="2"/>
    <n v="0"/>
    <s v="EQG60"/>
    <n v="400"/>
    <n v="0"/>
    <s v="ร้านที่2"/>
    <s v="ก***ักษณ์ ผ***สำเเดง"/>
    <s v="นครพนม"/>
    <s v="-"/>
    <s v=""/>
    <s v="05/01/2025 12:11"/>
    <s v="-"/>
    <s v="J&amp;T COD"/>
    <s v="Tiktok"/>
    <s v="จ่ายทีหลัง / COD"/>
    <s v=""/>
    <s v="754358058344"/>
    <s v="05/01/2025 12:12"/>
  </r>
  <r>
    <x v="9"/>
    <x v="4"/>
    <n v="100"/>
    <n v="2"/>
    <n v="0"/>
    <s v="EQG60"/>
    <n v="400"/>
    <n v="0"/>
    <s v="ร้านที่2"/>
    <s v="ก***ักษณ์ ผ***สำเเดง"/>
    <s v="นครพนม"/>
    <s v="-"/>
    <s v=""/>
    <s v="05/01/2025 12:11"/>
    <s v="-"/>
    <s v="J&amp;T COD"/>
    <s v="Tiktok"/>
    <s v="จ่ายทีหลัง / COD"/>
    <s v=""/>
    <s v="754358058344"/>
    <s v="05/01/2025 12:12"/>
  </r>
  <r>
    <x v="9"/>
    <x v="4"/>
    <n v="100"/>
    <n v="1"/>
    <n v="0"/>
    <s v="EQG59"/>
    <n v="200"/>
    <n v="0"/>
    <s v="ร้านที่4"/>
    <s v="อ*** เ***โภคา"/>
    <s v="พระนครศรีอยุธยา"/>
    <s v="-"/>
    <s v=""/>
    <s v="05/01/2025 12:11"/>
    <s v="-"/>
    <s v="Flash Express Thailand COD"/>
    <s v="Tiktok"/>
    <s v="จ่ายทีหลัง / COD"/>
    <s v=""/>
    <s v="THT05051E3CZV8Z"/>
    <s v="05/01/2025 12:12"/>
  </r>
  <r>
    <x v="3"/>
    <x v="3"/>
    <n v="100"/>
    <n v="1"/>
    <n v="0"/>
    <s v="EQG59"/>
    <n v="200"/>
    <n v="0"/>
    <s v="ร้านที่4"/>
    <s v="อ*** เ***โภคา"/>
    <s v="พระนครศรีอยุธยา"/>
    <s v="-"/>
    <s v=""/>
    <s v="05/01/2025 12:11"/>
    <s v="-"/>
    <s v="Flash Express Thailand COD"/>
    <s v="Tiktok"/>
    <s v="จ่ายทีหลัง / COD"/>
    <s v=""/>
    <s v="THT05051E3CZV8Z"/>
    <s v="05/01/2025 12:12"/>
  </r>
  <r>
    <x v="0"/>
    <x v="0"/>
    <n v="100"/>
    <n v="1"/>
    <n v="0"/>
    <s v="EQG58"/>
    <n v="106"/>
    <n v="6"/>
    <s v="ร้านที่1"/>
    <s v="น***กด เ***ณี"/>
    <s v="ระยอง"/>
    <s v="-"/>
    <s v=""/>
    <s v="05/01/2025 12:11"/>
    <s v="-"/>
    <s v="J&amp;T Express"/>
    <s v="Tiktok"/>
    <s v="tiktok"/>
    <s v=""/>
    <s v="754354435531"/>
    <s v="05/01/2025 12:11"/>
  </r>
  <r>
    <x v="0"/>
    <x v="0"/>
    <n v="100"/>
    <n v="2"/>
    <n v="0"/>
    <s v="EQG56"/>
    <n v="200"/>
    <n v="0"/>
    <s v="ร้านที่1"/>
    <s v="ว***รัตน์ ด***กัย"/>
    <s v="เทศบาลนครนครศรีธรรมราช"/>
    <s v="-"/>
    <s v=""/>
    <s v="05/01/2025 12:08"/>
    <s v="-"/>
    <s v="J&amp;T COD"/>
    <s v="Tiktok"/>
    <s v="จ่ายทีหลัง / COD"/>
    <s v=""/>
    <s v="754396128566"/>
    <s v="05/01/2025 12:08"/>
  </r>
  <r>
    <x v="0"/>
    <x v="0"/>
    <n v="100"/>
    <n v="1"/>
    <n v="0"/>
    <s v="EQG55"/>
    <n v="106"/>
    <n v="6"/>
    <s v="ร้านที่1"/>
    <s v="ส***ษา ด***รัส"/>
    <s v="จันทบุรี"/>
    <s v="-"/>
    <s v=""/>
    <s v="05/01/2025 12:07"/>
    <s v="-"/>
    <s v="J&amp;T COD"/>
    <s v="Tiktok"/>
    <s v="จ่ายทีหลัง / COD"/>
    <s v=""/>
    <s v="754353131545"/>
    <s v="05/01/2025 12:08"/>
  </r>
  <r>
    <x v="0"/>
    <x v="0"/>
    <n v="100"/>
    <n v="1"/>
    <n v="0"/>
    <s v="EQG54"/>
    <n v="106"/>
    <n v="6"/>
    <s v="ร้านที่1"/>
    <s v="โ*** ส***ย"/>
    <s v="ศรีสะเกษ"/>
    <s v="-"/>
    <s v=""/>
    <s v="05/01/2025 12:05"/>
    <s v="-"/>
    <s v="J&amp;T COD"/>
    <s v="Tiktok"/>
    <s v="จ่ายทีหลัง / COD"/>
    <s v=""/>
    <s v="754318738541"/>
    <s v="05/01/2025 12:05"/>
  </r>
  <r>
    <x v="3"/>
    <x v="8"/>
    <n v="84"/>
    <n v="1"/>
    <n v="0"/>
    <s v="EQG53"/>
    <n v="84"/>
    <n v="0"/>
    <s v="ร้านที่6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5/01/2025 12:03"/>
    <s v="-"/>
    <s v="Kerry_dropoff"/>
    <s v="Lazada"/>
    <s v="lazada"/>
    <s v=""/>
    <s v="LEXPU0442336894"/>
    <s v="05/01/2025 12:03"/>
  </r>
  <r>
    <x v="9"/>
    <x v="4"/>
    <n v="100"/>
    <n v="1"/>
    <n v="0"/>
    <s v="EQG51"/>
    <n v="106"/>
    <n v="6"/>
    <s v="ร้านที่4"/>
    <s v="ฝ* ฝ* ส***ยสุดา"/>
    <s v="ลำปาง"/>
    <s v="-"/>
    <s v=""/>
    <s v="05/01/2025 11:57"/>
    <s v="-"/>
    <s v="Flash Express Thailand COD"/>
    <s v="Tiktok"/>
    <s v="จ่ายทีหลัง / COD"/>
    <s v=""/>
    <s v="THT49131E32FJ3Z"/>
    <s v="05/01/2025 11:57"/>
  </r>
  <r>
    <x v="1"/>
    <x v="1"/>
    <n v="200"/>
    <n v="1"/>
    <n v="0"/>
    <s v="EQG50"/>
    <n v="200"/>
    <n v="0"/>
    <s v="ร้านที่1"/>
    <s v="ป***พวรรณณรังษี"/>
    <s v="ระยอง"/>
    <s v="-"/>
    <s v=""/>
    <s v="05/01/2025 11:57"/>
    <s v="-"/>
    <s v="J&amp;T COD"/>
    <s v="Tiktok"/>
    <s v="จ่ายทีหลัง / COD"/>
    <s v=""/>
    <s v="754385446581"/>
    <s v="05/01/2025 11:57"/>
  </r>
  <r>
    <x v="36"/>
    <x v="66"/>
    <n v="270.39999999999998"/>
    <n v="1"/>
    <n v="0"/>
    <s v="EQG49"/>
    <n v="374.4"/>
    <n v="104"/>
    <s v="ร้านที่1"/>
    <s v="นางรัชดา  ตึกขาว"/>
    <s v="159 ม.7 ซอยบางกระยาง_x000a__x000a_บางบ่อ/ Bang Boสมุทรปราการ/ Samut Prakan_x000a_10560"/>
    <s v="10560"/>
    <s v="660926322894"/>
    <s v="05/01/2025 11:55"/>
    <s v="-"/>
    <s v="Kerry_dropoff"/>
    <s v="Lazada"/>
    <s v="lazada"/>
    <s v=""/>
    <s v="LEXPU0442504481"/>
    <s v="05/01/2025 11:55"/>
  </r>
  <r>
    <x v="4"/>
    <x v="4"/>
    <n v="100"/>
    <n v="1"/>
    <n v="0"/>
    <s v="EQG48"/>
    <n v="220"/>
    <n v="0"/>
    <s v="ร้านที่4"/>
    <s v="ณ***ินทร์ ศ***านุภาพสกุล"/>
    <s v="นครปฐม"/>
    <s v="-"/>
    <s v=""/>
    <s v="05/01/2025 11:53"/>
    <s v="-"/>
    <s v="Flash Express Thailand COD"/>
    <s v="Tiktok"/>
    <s v="จ่ายทีหลัง / COD"/>
    <s v=""/>
    <s v="THT15061E3N4V6Z"/>
    <s v="05/01/2025 11:53"/>
  </r>
  <r>
    <x v="51"/>
    <x v="75"/>
    <n v="120"/>
    <n v="1"/>
    <n v="0"/>
    <s v="EQG48"/>
    <n v="220"/>
    <n v="0"/>
    <s v="ร้านที่4"/>
    <s v="ณ***ินทร์ ศ***านุภาพสกุล"/>
    <s v="นครปฐม"/>
    <s v="-"/>
    <s v=""/>
    <s v="05/01/2025 11:53"/>
    <s v="-"/>
    <s v="Flash Express Thailand COD"/>
    <s v="Tiktok"/>
    <s v="จ่ายทีหลัง / COD"/>
    <s v=""/>
    <s v="THT15061E3N4V6Z"/>
    <s v="05/01/2025 11:53"/>
  </r>
  <r>
    <x v="1"/>
    <x v="1"/>
    <n v="200"/>
    <n v="1"/>
    <n v="0"/>
    <s v="EQG47"/>
    <n v="200"/>
    <n v="0"/>
    <s v="ร้านที่1"/>
    <s v="น***ศ แ***ขุนทด"/>
    <s v="พระนครศรีอยุธยา"/>
    <s v="-"/>
    <s v=""/>
    <s v="05/01/2025 11:52"/>
    <s v="-"/>
    <s v="J&amp;T COD"/>
    <s v="Tiktok"/>
    <s v="จ่ายทีหลัง / COD"/>
    <s v=""/>
    <s v="754397946514"/>
    <s v="05/01/2025 11:52"/>
  </r>
  <r>
    <x v="9"/>
    <x v="4"/>
    <n v="100"/>
    <n v="1"/>
    <n v="0"/>
    <s v="EQG46"/>
    <n v="106"/>
    <n v="6"/>
    <s v="ร้านที่2"/>
    <s v="ธ***ธ์ แ***"/>
    <s v="ปราจีนบุรี"/>
    <s v="-"/>
    <s v=""/>
    <s v="05/01/2025 11:50"/>
    <s v="-"/>
    <s v="J&amp;T COD"/>
    <s v="Tiktok"/>
    <s v="จ่ายทีหลัง / COD"/>
    <s v=""/>
    <s v="754395845302"/>
    <s v="05/01/2025 11:51"/>
  </r>
  <r>
    <x v="0"/>
    <x v="0"/>
    <n v="100"/>
    <n v="1"/>
    <n v="0"/>
    <s v="EQG45"/>
    <n v="100"/>
    <n v="0"/>
    <s v="ร้านที่4"/>
    <s v="ด***วรรณ พ***ารถ"/>
    <s v="ลพบุรี"/>
    <s v="-"/>
    <s v=""/>
    <s v="05/01/2025 11:49"/>
    <s v="-"/>
    <s v="Flash Express Thailand COD"/>
    <s v="Tiktok"/>
    <s v="จ่ายทีหลัง / COD"/>
    <s v=""/>
    <s v="THT07071E2TJ03Z"/>
    <s v="05/01/2025 11:49"/>
  </r>
  <r>
    <x v="35"/>
    <x v="46"/>
    <n v="100"/>
    <n v="3"/>
    <n v="0"/>
    <s v="EQG44"/>
    <n v="300"/>
    <n v="0"/>
    <s v="ร้านที่4"/>
    <s v="อ***ญา ช***ก้ว"/>
    <s v="สุราษฎร์ธานี"/>
    <s v="-"/>
    <s v=""/>
    <s v="05/01/2025 11:48"/>
    <s v="-"/>
    <s v="Flash Express Thailand COD"/>
    <s v="Tiktok"/>
    <s v="จ่ายทีหลัง / COD"/>
    <s v=""/>
    <s v="THT68101E3QW31Z"/>
    <s v="05/01/2025 11:48"/>
  </r>
  <r>
    <x v="10"/>
    <x v="10"/>
    <n v="200"/>
    <n v="1"/>
    <n v="0"/>
    <s v="EQG41"/>
    <n v="200"/>
    <n v="0"/>
    <s v="ร้านที่2"/>
    <s v="เ***ฤทัย ช***ชร"/>
    <s v="จันทบุรี"/>
    <s v="-"/>
    <s v=""/>
    <s v="05/01/2025 11:46"/>
    <s v="-"/>
    <s v="J&amp;T COD"/>
    <s v="Tiktok"/>
    <s v="จ่ายทีหลัง / COD"/>
    <s v=""/>
    <s v="754328144371"/>
    <s v="05/01/2025 11:46"/>
  </r>
  <r>
    <x v="10"/>
    <x v="10"/>
    <n v="200"/>
    <n v="1"/>
    <n v="0"/>
    <s v="EQG40"/>
    <n v="200"/>
    <n v="0"/>
    <s v="ร้านที่4"/>
    <s v="ศ***าส พ***หมื่นไวย์"/>
    <s v="นครราชสีมา"/>
    <s v="-"/>
    <s v=""/>
    <s v="05/01/2025 11:45"/>
    <s v="-"/>
    <s v="Flash Express Thailand COD"/>
    <s v="Tiktok"/>
    <s v="จ่ายทีหลัง / COD"/>
    <s v=""/>
    <s v="THT27201E39YD5Z"/>
    <s v="05/01/2025 11:45"/>
  </r>
  <r>
    <x v="0"/>
    <x v="0"/>
    <n v="100"/>
    <n v="2"/>
    <n v="0"/>
    <s v="EQG39"/>
    <n v="200"/>
    <n v="0"/>
    <s v="ร้านที่1"/>
    <s v="ส***ล ศ***รวง"/>
    <s v="ชัยภูมิ"/>
    <s v="-"/>
    <s v=""/>
    <s v="05/01/2025 11:45"/>
    <s v="-"/>
    <s v="J&amp;T COD"/>
    <s v="Tiktok"/>
    <s v="จ่ายทีหลัง / COD"/>
    <s v=""/>
    <s v="754305839545"/>
    <s v="05/01/2025 11:45"/>
  </r>
  <r>
    <x v="10"/>
    <x v="10"/>
    <n v="200"/>
    <n v="1"/>
    <n v="0"/>
    <s v="EQG38"/>
    <n v="200"/>
    <n v="0"/>
    <s v="ร้านที่4"/>
    <s v="บ***า ศ***วัสดิ์"/>
    <s v="สระบุรี"/>
    <s v="-"/>
    <s v=""/>
    <s v="05/01/2025 11:42"/>
    <s v="-"/>
    <s v="Flash Express Thailand COD"/>
    <s v="Tiktok"/>
    <s v="จ่ายทีหลัง / COD"/>
    <s v=""/>
    <s v="THT10091E3ME20Z"/>
    <s v="05/01/2025 11:42"/>
  </r>
  <r>
    <x v="10"/>
    <x v="10"/>
    <n v="200"/>
    <n v="1"/>
    <n v="0"/>
    <s v="EQG37"/>
    <n v="200"/>
    <n v="0"/>
    <s v="ร้านที่2"/>
    <s v="อ***ตย์ ค***ริญ"/>
    <s v="สุราษฎร์ธานี"/>
    <s v="-"/>
    <s v=""/>
    <s v="05/01/2025 11:44"/>
    <s v="-"/>
    <s v="J&amp;T Express"/>
    <s v="Tiktok"/>
    <s v="tiktok"/>
    <s v=""/>
    <s v="754356140370"/>
    <s v="05/01/2025 11:42"/>
  </r>
  <r>
    <x v="9"/>
    <x v="4"/>
    <n v="100"/>
    <n v="1"/>
    <n v="0"/>
    <s v="EQG35"/>
    <n v="300"/>
    <n v="0"/>
    <s v="ร้านที่2"/>
    <s v="ก*** ม***ิมพ์"/>
    <s v="สุพรรณบุรี"/>
    <s v="-"/>
    <s v=""/>
    <s v="05/01/2025 11:40"/>
    <s v="-"/>
    <s v="J&amp;T Express"/>
    <s v="Tiktok"/>
    <s v="tiktok"/>
    <s v=""/>
    <s v="754333312375"/>
    <s v="05/01/2025 11:39"/>
  </r>
  <r>
    <x v="10"/>
    <x v="10"/>
    <n v="200"/>
    <n v="1"/>
    <n v="0"/>
    <s v="EQG35"/>
    <n v="300"/>
    <n v="0"/>
    <s v="ร้านที่2"/>
    <s v="ก*** ม***ิมพ์"/>
    <s v="สุพรรณบุรี"/>
    <s v="-"/>
    <s v=""/>
    <s v="05/01/2025 11:40"/>
    <s v="-"/>
    <s v="J&amp;T Express"/>
    <s v="Tiktok"/>
    <s v="tiktok"/>
    <s v=""/>
    <s v="754333312375"/>
    <s v="05/01/2025 11:39"/>
  </r>
  <r>
    <x v="10"/>
    <x v="10"/>
    <n v="200"/>
    <n v="1"/>
    <n v="0"/>
    <s v="EQG33"/>
    <n v="200"/>
    <n v="0"/>
    <s v="ร้านที่1"/>
    <s v="ป***พวรรณณรังษี"/>
    <s v="ระยอง"/>
    <s v="-"/>
    <s v=""/>
    <s v="05/01/2025 11:39"/>
    <s v="-"/>
    <s v="J&amp;T COD"/>
    <s v="Tiktok"/>
    <s v="จ่ายทีหลัง / COD"/>
    <s v=""/>
    <s v="754330731350"/>
    <s v="05/01/2025 11:39"/>
  </r>
  <r>
    <x v="1"/>
    <x v="1"/>
    <n v="20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4"/>
    <x v="4"/>
    <n v="10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5"/>
    <x v="5"/>
    <n v="330"/>
    <n v="1"/>
    <n v="0"/>
    <s v="EQG32"/>
    <n v="825"/>
    <n v="0"/>
    <s v="ร้านที่1"/>
    <s v="ธ***ิพย์ ก***ุล"/>
    <s v="ชัยนาท"/>
    <s v="-"/>
    <s v=""/>
    <s v="05/01/2025 11:38"/>
    <s v="-"/>
    <s v="J&amp;T COD"/>
    <s v="Tiktok"/>
    <s v="จ่ายทีหลัง / COD"/>
    <s v=""/>
    <s v="754389487585"/>
    <s v="05/01/2025 11:38"/>
  </r>
  <r>
    <x v="9"/>
    <x v="4"/>
    <n v="100"/>
    <n v="1"/>
    <n v="0"/>
    <s v="EQG31"/>
    <n v="100"/>
    <n v="0"/>
    <s v="ร้านที่1"/>
    <s v="ส***ชญา เ***วนารักษ์"/>
    <s v="เพชรบูรณ์"/>
    <s v="-"/>
    <s v=""/>
    <s v="05/01/2025 11:37"/>
    <s v="-"/>
    <s v="J&amp;T Express"/>
    <s v="Tiktok"/>
    <s v="tiktok"/>
    <s v=""/>
    <s v="754322533333"/>
    <s v="05/01/2025 11:37"/>
  </r>
  <r>
    <x v="19"/>
    <x v="19"/>
    <n v="199"/>
    <n v="1"/>
    <n v="0"/>
    <s v="EQG30"/>
    <n v="244"/>
    <n v="45"/>
    <s v="ร้านที่1"/>
    <s v="น******ร"/>
    <s v="******เลขที่ 88 หมู่ 4 ถนนกาญจนวาณิชย์, ต.พังลา, อำเภอสะเดา ตำบลพังลา อำเภอสะเดา จังหวัดสงขลา 90170"/>
    <s v="90170"/>
    <s v="89"/>
    <s v="05/01/2025 11:35"/>
    <s v="-"/>
    <s v="SPX Express"/>
    <s v="Shopee"/>
    <s v="shopee"/>
    <s v=""/>
    <s v="TH250180495269C"/>
    <s v="05/01/2025 11:35"/>
  </r>
  <r>
    <x v="3"/>
    <x v="3"/>
    <n v="100"/>
    <n v="2"/>
    <n v="0"/>
    <s v="EQG29"/>
    <n v="206"/>
    <n v="6"/>
    <s v="ร้านที่2"/>
    <s v="ม***์"/>
    <s v="นนทบุรี"/>
    <s v="-"/>
    <s v=""/>
    <s v="05/01/2025 11:34"/>
    <s v="-"/>
    <s v="J&amp;T COD"/>
    <s v="Tiktok"/>
    <s v="จ่ายทีหลัง / COD"/>
    <s v=""/>
    <s v="754318233362"/>
    <s v="05/01/2025 11:34"/>
  </r>
  <r>
    <x v="3"/>
    <x v="3"/>
    <n v="100"/>
    <n v="3"/>
    <n v="0"/>
    <s v="EQG28"/>
    <n v="300"/>
    <n v="0"/>
    <s v="ร้านที่1"/>
    <s v="M** ศ***กษ์ ร***าเขตต์"/>
    <s v="อ่างทอง"/>
    <s v="-"/>
    <s v=""/>
    <s v="05/01/2025 11:32"/>
    <s v="-"/>
    <s v="J&amp;T COD"/>
    <s v="Tiktok"/>
    <s v="จ่ายทีหลัง / COD"/>
    <s v=""/>
    <s v="754379430361"/>
    <s v="05/01/2025 11:32"/>
  </r>
  <r>
    <x v="9"/>
    <x v="4"/>
    <n v="100"/>
    <n v="1"/>
    <n v="0"/>
    <s v="EQG26"/>
    <n v="106"/>
    <n v="6"/>
    <s v="ร้านที่4"/>
    <s v="ม***ี ค***ษา"/>
    <s v="ชลบุรี"/>
    <s v="-"/>
    <s v=""/>
    <s v="05/01/2025 11:30"/>
    <s v="-"/>
    <s v="Flash Express Thailand COD"/>
    <s v="Tiktok"/>
    <s v="จ่ายทีหลัง / COD"/>
    <s v=""/>
    <s v="THT20101E329E7Z"/>
    <s v="05/01/2025 11:30"/>
  </r>
  <r>
    <x v="3"/>
    <x v="3"/>
    <n v="100"/>
    <n v="1"/>
    <n v="0"/>
    <s v="EQG24"/>
    <n v="100"/>
    <n v="0"/>
    <s v="ร้านที่4"/>
    <s v="K***ัญพร"/>
    <s v="เทศบาลนครนครปฐม"/>
    <s v="-"/>
    <s v=""/>
    <s v="05/01/2025 11:21"/>
    <s v="-"/>
    <s v="Flash Express Thailand COD"/>
    <s v="Tiktok"/>
    <s v="จ่ายทีหลัง / COD"/>
    <s v=""/>
    <s v="THT15051E2XDR1Z"/>
    <s v="05/01/2025 11:21"/>
  </r>
  <r>
    <x v="5"/>
    <x v="5"/>
    <n v="350"/>
    <n v="2"/>
    <n v="0"/>
    <s v="EQG23"/>
    <n v="800"/>
    <n v="0"/>
    <s v="ร้านที่4"/>
    <s v="ร***รัตน์ ส***์ทอง"/>
    <s v="พิจิตร"/>
    <s v="-"/>
    <s v=""/>
    <s v="05/01/2025 11:20"/>
    <s v="-"/>
    <s v="Flash Express Thailand COD"/>
    <s v="Tiktok"/>
    <s v="จ่ายทีหลัง / COD"/>
    <s v=""/>
    <s v="THT62021E3KFM0Z"/>
    <s v="05/01/2025 11:20"/>
  </r>
  <r>
    <x v="9"/>
    <x v="4"/>
    <n v="100"/>
    <n v="1"/>
    <n v="0"/>
    <s v="EQG23"/>
    <n v="800"/>
    <n v="0"/>
    <s v="ร้านที่4"/>
    <s v="ร***รัตน์ ส***์ทอง"/>
    <s v="พิจิตร"/>
    <s v="-"/>
    <s v=""/>
    <s v="05/01/2025 11:20"/>
    <s v="-"/>
    <s v="Flash Express Thailand COD"/>
    <s v="Tiktok"/>
    <s v="จ่ายทีหลัง / COD"/>
    <s v=""/>
    <s v="THT62021E3KFM0Z"/>
    <s v="05/01/2025 11:20"/>
  </r>
  <r>
    <x v="9"/>
    <x v="4"/>
    <n v="100"/>
    <n v="1"/>
    <n v="0"/>
    <s v="EQG22"/>
    <n v="200"/>
    <n v="0"/>
    <s v="ร้านที่4"/>
    <s v="ด***จ  ป***ะการี"/>
    <s v="สมุทรปราการ"/>
    <s v="-"/>
    <s v=""/>
    <s v="05/01/2025 11:21"/>
    <s v="-"/>
    <s v="Flash Express Thailand"/>
    <s v="Tiktok"/>
    <s v="tiktok"/>
    <s v=""/>
    <s v="THT02031E31MF9Z"/>
    <s v="05/01/2025 11:20"/>
  </r>
  <r>
    <x v="3"/>
    <x v="3"/>
    <n v="100"/>
    <n v="1"/>
    <n v="0"/>
    <s v="EQG22"/>
    <n v="200"/>
    <n v="0"/>
    <s v="ร้านที่4"/>
    <s v="ด***จ  ป***ะการี"/>
    <s v="สมุทรปราการ"/>
    <s v="-"/>
    <s v=""/>
    <s v="05/01/2025 11:21"/>
    <s v="-"/>
    <s v="Flash Express Thailand"/>
    <s v="Tiktok"/>
    <s v="tiktok"/>
    <s v=""/>
    <s v="THT02031E31MF9Z"/>
    <s v="05/01/2025 11:20"/>
  </r>
  <r>
    <x v="0"/>
    <x v="0"/>
    <n v="100"/>
    <n v="1"/>
    <n v="0"/>
    <s v="EQG21"/>
    <n v="200"/>
    <n v="0"/>
    <s v="ร้านที่4"/>
    <s v="ศ***วรรณ ว***พฤกษ์"/>
    <s v="เทศบาลนครนครสวรรค์"/>
    <s v="-"/>
    <s v=""/>
    <s v="05/01/2025 11:17"/>
    <s v="-"/>
    <s v="Flash Express Thailand COD"/>
    <s v="Tiktok"/>
    <s v="จ่ายทีหลัง / COD"/>
    <s v=""/>
    <s v="THT56011E60B91Z"/>
    <s v="05/01/2025 11:17"/>
  </r>
  <r>
    <x v="9"/>
    <x v="4"/>
    <n v="100"/>
    <n v="1"/>
    <n v="0"/>
    <s v="EQG21"/>
    <n v="200"/>
    <n v="0"/>
    <s v="ร้านที่4"/>
    <s v="ศ***วรรณ ว***พฤกษ์"/>
    <s v="เทศบาลนครนครสวรรค์"/>
    <s v="-"/>
    <s v=""/>
    <s v="05/01/2025 11:17"/>
    <s v="-"/>
    <s v="Flash Express Thailand COD"/>
    <s v="Tiktok"/>
    <s v="จ่ายทีหลัง / COD"/>
    <s v=""/>
    <s v="THT56011E60B91Z"/>
    <s v="05/01/2025 11:17"/>
  </r>
  <r>
    <x v="0"/>
    <x v="0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9"/>
    <x v="4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3"/>
    <x v="3"/>
    <n v="100"/>
    <n v="1"/>
    <n v="0"/>
    <s v="EQG20"/>
    <n v="300"/>
    <n v="0"/>
    <s v="ร้านที่4"/>
    <s v="ก***ิกา ท***อก"/>
    <s v="พะเยา"/>
    <s v="-"/>
    <s v=""/>
    <s v="05/01/2025 11:16"/>
    <s v="-"/>
    <s v="Flash Express Thailand COD"/>
    <s v="Tiktok"/>
    <s v="จ่ายทีหลัง / COD"/>
    <s v=""/>
    <s v="THT53021E6AS76Z"/>
    <s v="05/01/2025 11:16"/>
  </r>
  <r>
    <x v="0"/>
    <x v="0"/>
    <n v="100"/>
    <n v="1"/>
    <n v="0"/>
    <s v="EQG19"/>
    <n v="106"/>
    <n v="6"/>
    <s v="ร้านที่2"/>
    <s v="ภ***พล ม***า"/>
    <s v="เทศบาลนครนครราชสีมา"/>
    <s v="-"/>
    <s v=""/>
    <s v="05/01/2025 11:15"/>
    <s v="-"/>
    <s v="J&amp;T COD"/>
    <s v="Tiktok"/>
    <s v="จ่ายทีหลัง / COD"/>
    <s v=""/>
    <s v="754316732540"/>
    <s v="05/01/2025 11:15"/>
  </r>
  <r>
    <x v="1"/>
    <x v="1"/>
    <n v="200"/>
    <n v="1"/>
    <n v="0"/>
    <s v="EQG18"/>
    <n v="200"/>
    <n v="0"/>
    <s v="ร้านที่1"/>
    <s v="ล***ณา ว***เศวตกุล"/>
    <s v="กรุงเทพฯ"/>
    <s v="-"/>
    <s v=""/>
    <s v="05/01/2025 11:11"/>
    <s v="-"/>
    <s v="J&amp;T COD"/>
    <s v="Tiktok"/>
    <s v="จ่ายทีหลัง / COD"/>
    <s v=""/>
    <s v="754313852563"/>
    <s v="05/01/2025 11:11"/>
  </r>
  <r>
    <x v="3"/>
    <x v="3"/>
    <n v="100"/>
    <n v="3"/>
    <n v="0"/>
    <s v="EQG16"/>
    <n v="300"/>
    <n v="0"/>
    <s v="ร้านที่4"/>
    <s v="พ***ร ร***วงษ์"/>
    <s v="นครราชสีมา"/>
    <s v="-"/>
    <s v=""/>
    <s v="05/01/2025 11:11"/>
    <s v="-"/>
    <s v="Flash Express Thailand COD"/>
    <s v="Tiktok"/>
    <s v="จ่ายทีหลัง / COD"/>
    <s v=""/>
    <s v="THT27181E38TW3Z"/>
    <s v="05/01/2025 11:11"/>
  </r>
  <r>
    <x v="0"/>
    <x v="0"/>
    <n v="100"/>
    <n v="1"/>
    <n v="0"/>
    <s v="EQG15"/>
    <n v="100"/>
    <n v="0"/>
    <s v="ร้านที่4"/>
    <s v="ล***าวัลย์ ล***ลุง"/>
    <s v="ลพบุรี"/>
    <s v="-"/>
    <s v=""/>
    <s v="05/01/2025 11:10"/>
    <s v="-"/>
    <s v="Flash Express Thailand"/>
    <s v="Tiktok"/>
    <s v="tiktok"/>
    <s v="ไม่เอาช๊อกโกแลตนะค่ะ ทานไม่ได้ค่ะ"/>
    <s v="THT07021E2T8U1Z"/>
    <s v="05/01/2025 11:10"/>
  </r>
  <r>
    <x v="4"/>
    <x v="4"/>
    <n v="100"/>
    <n v="1"/>
    <n v="0"/>
    <s v="EQG11"/>
    <n v="129"/>
    <n v="29"/>
    <s v="ร้านที่2"/>
    <s v="ก***ิกา ก***รอง"/>
    <s v="นครปฐม"/>
    <s v="-"/>
    <s v=""/>
    <s v="05/01/2025 11:09"/>
    <s v="-"/>
    <s v="J&amp;T Express"/>
    <s v="Tiktok"/>
    <s v="tiktok"/>
    <s v=""/>
    <s v="754330634363"/>
    <s v="05/01/2025 11:08"/>
  </r>
  <r>
    <x v="10"/>
    <x v="10"/>
    <n v="200"/>
    <n v="1"/>
    <n v="0"/>
    <s v="EQG10"/>
    <n v="200"/>
    <n v="0"/>
    <s v="ร้านที่2"/>
    <s v="ส***รา ว***รังษี"/>
    <s v="ปทุมธานี"/>
    <s v="-"/>
    <s v=""/>
    <s v="05/01/2025 11:08"/>
    <s v="-"/>
    <s v="Flash Express Thailand"/>
    <s v="Tiktok"/>
    <s v="tiktok"/>
    <s v=""/>
    <s v="THT04061E3KCV6Z"/>
    <s v="05/01/2025 11:07"/>
  </r>
  <r>
    <x v="3"/>
    <x v="3"/>
    <n v="100"/>
    <n v="3"/>
    <n v="0"/>
    <s v="EQG9"/>
    <n v="329"/>
    <n v="29"/>
    <s v="ร้านที่4"/>
    <s v="น***วัน ป***ุมทอง"/>
    <s v="ชัยนาท"/>
    <s v="-"/>
    <s v=""/>
    <s v="05/01/2025 11:07"/>
    <s v="-"/>
    <s v="Flash Express Thailand"/>
    <s v="Tiktok"/>
    <s v="tiktok"/>
    <s v=""/>
    <s v="THT09011E38VQ7Z"/>
    <s v="05/01/2025 11:07"/>
  </r>
  <r>
    <x v="10"/>
    <x v="10"/>
    <n v="200"/>
    <n v="1"/>
    <n v="0"/>
    <s v="EQG8"/>
    <n v="200"/>
    <n v="0"/>
    <s v="ร้านที่1"/>
    <s v="อ***ณ์ เ***กประพัฒน์"/>
    <s v="อ่างทอง"/>
    <s v="-"/>
    <s v=""/>
    <s v="05/01/2025 11:06"/>
    <s v="-"/>
    <s v="J&amp;T COD"/>
    <s v="Tiktok"/>
    <s v="จ่ายทีหลัง / COD"/>
    <s v=""/>
    <s v="754367749376"/>
    <s v="05/01/2025 11:06"/>
  </r>
  <r>
    <x v="4"/>
    <x v="4"/>
    <n v="100"/>
    <n v="1"/>
    <n v="0"/>
    <s v="EQG7"/>
    <n v="106"/>
    <n v="6"/>
    <s v="ร้านที่1"/>
    <s v="ส***ตร เ***บุตร"/>
    <s v="บึงกาฬ"/>
    <s v="-"/>
    <s v=""/>
    <s v="05/01/2025 11:06"/>
    <s v="-"/>
    <s v="J&amp;T COD"/>
    <s v="Tiktok"/>
    <s v="จ่ายทีหลัง / COD"/>
    <s v=""/>
    <s v="754342126392"/>
    <s v="05/01/2025 11:06"/>
  </r>
  <r>
    <x v="10"/>
    <x v="10"/>
    <n v="200"/>
    <n v="1"/>
    <n v="0"/>
    <s v="EQG6"/>
    <n v="200"/>
    <n v="0"/>
    <s v="ร้านที่4"/>
    <s v="น***ุศรินทร์ ช***าม"/>
    <s v="สุรินทร์"/>
    <s v="-"/>
    <s v=""/>
    <s v="05/01/2025 11:05"/>
    <s v="-"/>
    <s v="Flash Express Thailand COD"/>
    <s v="Tiktok"/>
    <s v="จ่ายทีหลัง / COD"/>
    <s v=""/>
    <s v="THT29151E39SX7Z"/>
    <s v="05/01/2025 11:05"/>
  </r>
  <r>
    <x v="39"/>
    <x v="55"/>
    <n v="288"/>
    <n v="1"/>
    <n v="0"/>
    <s v="EQG4"/>
    <n v="288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05/01/2025 11:02"/>
    <s v="-"/>
    <s v="Kerry_dropoff"/>
    <s v="Lazada"/>
    <s v="lazada"/>
    <s v=""/>
    <s v="TH31226NWHXC0A"/>
    <s v="05/01/2025 11:02"/>
  </r>
  <r>
    <x v="9"/>
    <x v="4"/>
    <n v="100"/>
    <n v="1"/>
    <n v="0"/>
    <s v="EQG2"/>
    <n v="106"/>
    <n v="6"/>
    <s v="ร้านที่4"/>
    <s v="ค***ิ๊ก ร***ทิพย์ ผ***ำจัด"/>
    <s v="กรุงเทพฯ"/>
    <s v="-"/>
    <s v=""/>
    <s v="05/01/2025 11:01"/>
    <s v="-"/>
    <s v="Flash Express Thailand"/>
    <s v="Tiktok"/>
    <s v="tiktok"/>
    <s v=""/>
    <s v="THT01471E3D3A4Z"/>
    <s v="05/01/2025 11:01"/>
  </r>
  <r>
    <x v="1"/>
    <x v="1"/>
    <n v="200"/>
    <n v="1"/>
    <n v="0"/>
    <s v="EQG0"/>
    <n v="200"/>
    <n v="0"/>
    <s v="ร้านที่1"/>
    <s v="น***ุศรินทร์ ช***าม"/>
    <s v="สุรินทร์"/>
    <s v="-"/>
    <s v=""/>
    <s v="05/01/2025 10:57"/>
    <s v="-"/>
    <s v="J&amp;T COD"/>
    <s v="Tiktok"/>
    <s v="จ่ายทีหลัง / COD"/>
    <s v=""/>
    <s v="754346157504"/>
    <s v="05/01/2025 10:57"/>
  </r>
  <r>
    <x v="26"/>
    <x v="56"/>
    <n v="240"/>
    <n v="1"/>
    <n v="0"/>
    <s v="EQF99"/>
    <n v="440"/>
    <n v="0"/>
    <s v="ร้านที่1"/>
    <s v="น*** ห***ิต"/>
    <s v="Chiang Rai"/>
    <s v="-"/>
    <s v=""/>
    <s v="05/01/2025 10:53"/>
    <s v="-"/>
    <s v="J&amp;T COD"/>
    <s v="Tiktok"/>
    <s v="จ่ายทีหลัง / COD"/>
    <s v=""/>
    <s v="754319662515"/>
    <s v="05/01/2025 10:53"/>
  </r>
  <r>
    <x v="1"/>
    <x v="1"/>
    <n v="200"/>
    <n v="1"/>
    <n v="0"/>
    <s v="EQF99"/>
    <n v="440"/>
    <n v="0"/>
    <s v="ร้านที่1"/>
    <s v="น*** ห***ิต"/>
    <s v="Chiang Rai"/>
    <s v="-"/>
    <s v=""/>
    <s v="05/01/2025 10:53"/>
    <s v="-"/>
    <s v="J&amp;T COD"/>
    <s v="Tiktok"/>
    <s v="จ่ายทีหลัง / COD"/>
    <s v=""/>
    <s v="754319662515"/>
    <s v="05/01/2025 10:53"/>
  </r>
  <r>
    <x v="10"/>
    <x v="10"/>
    <n v="200"/>
    <n v="5"/>
    <n v="0"/>
    <s v="EQF98"/>
    <n v="1000"/>
    <n v="0"/>
    <s v="ร้านที่4"/>
    <s v="ส***ย ส***ภิรมณ์"/>
    <s v="ฉะเชิงเทรา"/>
    <s v="-"/>
    <s v=""/>
    <s v="05/01/2025 10:53"/>
    <s v="-"/>
    <s v="Flash Express Thailand COD"/>
    <s v="Tiktok"/>
    <s v="จ่ายทีหลัง / COD"/>
    <s v=""/>
    <s v="THT24051E32S35Z"/>
    <s v="05/01/2025 10:53"/>
  </r>
  <r>
    <x v="3"/>
    <x v="8"/>
    <n v="84"/>
    <n v="1"/>
    <n v="0"/>
    <s v="EQF97"/>
    <n v="89"/>
    <n v="5"/>
    <s v="ร้านที่6"/>
    <s v="บุบผา เกียรติศรีฟุ้ง"/>
    <s v="2/1หมู่1ต.ศีรษะจระเข้ใหญ่_x000a__x000a_บางเสาธง/ Bang Sao Thongสมุทรปราการ/ Samut Prakan_x000a_10570"/>
    <s v="10570"/>
    <s v="660836195714"/>
    <s v="05/01/2025 10:49"/>
    <s v="-"/>
    <s v="Kerry_dropoff"/>
    <s v="Lazada"/>
    <s v="lazada"/>
    <s v=""/>
    <s v="LEXPU0442338224"/>
    <s v="05/01/2025 10:49"/>
  </r>
  <r>
    <x v="3"/>
    <x v="3"/>
    <n v="100"/>
    <n v="1"/>
    <n v="0"/>
    <s v="EQF96"/>
    <n v="107"/>
    <n v="7"/>
    <s v="ร้านที่2"/>
    <s v="พ******ง"/>
    <s v="******ี่ 5, ตำบลบ่อพลอย, อำเภอบ่อพลอย ตำบลบ่อพลอย อำเภอบ่อพลอย จังหวัดกาญจนบุรี 71160"/>
    <s v="71160"/>
    <s v="79"/>
    <s v="05/01/2025 10:43"/>
    <s v="-"/>
    <s v="SPX Express"/>
    <s v="Shopee"/>
    <s v="shopee"/>
    <s v=""/>
    <s v="TH252320702357Y"/>
    <s v="05/01/2025 10:43"/>
  </r>
  <r>
    <x v="1"/>
    <x v="1"/>
    <n v="200"/>
    <n v="1"/>
    <n v="0"/>
    <s v="EQF93"/>
    <n v="200"/>
    <n v="0"/>
    <s v="ร้านที่2"/>
    <s v="u***9390990738100"/>
    <s v="นครนายก"/>
    <s v="-"/>
    <s v=""/>
    <s v="05/01/2025 10:40"/>
    <s v="-"/>
    <s v="J&amp;T COD"/>
    <s v="Tiktok"/>
    <s v="จ่ายทีหลัง / COD"/>
    <s v=""/>
    <s v="754398954503"/>
    <s v="05/01/2025 10:40"/>
  </r>
  <r>
    <x v="0"/>
    <x v="0"/>
    <n v="100"/>
    <n v="1"/>
    <n v="0"/>
    <s v="EQF92"/>
    <n v="100"/>
    <n v="0"/>
    <s v="ร้านที่1"/>
    <s v="น***าวศิริพรรณ ช***ี"/>
    <s v="นครปฐม"/>
    <s v="-"/>
    <s v=""/>
    <s v="05/01/2025 10:32"/>
    <s v="-"/>
    <s v="J&amp;T COD"/>
    <s v="Tiktok"/>
    <s v="จ่ายทีหลัง / COD"/>
    <s v=""/>
    <s v="754353243501"/>
    <s v="05/01/2025 10:32"/>
  </r>
  <r>
    <x v="4"/>
    <x v="4"/>
    <n v="100"/>
    <n v="1"/>
    <n v="0"/>
    <s v="EQF91"/>
    <n v="106"/>
    <n v="6"/>
    <s v="ร้านที่4"/>
    <s v="ณ***ิชา อ***ร์จักร์"/>
    <s v="เชียงใหม่"/>
    <s v="-"/>
    <s v=""/>
    <s v="05/01/2025 10:32"/>
    <s v="-"/>
    <s v="Flash Express Thailand COD"/>
    <s v="Tiktok"/>
    <s v="จ่ายทีหลัง / COD"/>
    <s v=""/>
    <s v="THT47061E39MB4Z"/>
    <s v="05/01/2025 10:32"/>
  </r>
  <r>
    <x v="4"/>
    <x v="4"/>
    <n v="100"/>
    <n v="1"/>
    <n v="0"/>
    <s v="EQF88"/>
    <n v="106"/>
    <n v="6"/>
    <s v="ร้านที่1"/>
    <s v="ป***ัสสร"/>
    <s v="สมุทรปราการ"/>
    <s v="-"/>
    <s v=""/>
    <s v="05/01/2025 10:29"/>
    <s v="-"/>
    <s v="J&amp;T COD"/>
    <s v="Tiktok"/>
    <s v="จ่ายทีหลัง / COD"/>
    <s v=""/>
    <s v="754378925381"/>
    <s v="05/01/2025 10:29"/>
  </r>
  <r>
    <x v="1"/>
    <x v="1"/>
    <n v="200"/>
    <n v="1"/>
    <n v="0"/>
    <s v="EQF84"/>
    <n v="200"/>
    <n v="0"/>
    <s v="ร้านที่2"/>
    <s v="ก***ดา จ***ร์สาม"/>
    <s v="เพชรบุรี"/>
    <s v="-"/>
    <s v=""/>
    <s v="05/01/2025 10:19"/>
    <s v="-"/>
    <s v="Flash Express Thailand"/>
    <s v="Tiktok"/>
    <s v="tiktok"/>
    <s v=""/>
    <s v="THT18041E2Y3B5Z"/>
    <s v="05/01/2025 10:19"/>
  </r>
  <r>
    <x v="1"/>
    <x v="1"/>
    <n v="200"/>
    <n v="1"/>
    <n v="0"/>
    <s v="EQF83"/>
    <n v="200"/>
    <n v="0"/>
    <s v="ร้านที่2"/>
    <s v="ล***ี้"/>
    <s v="สมุทรปราการ"/>
    <s v="-"/>
    <s v=""/>
    <s v="05/01/2025 10:17"/>
    <s v="-"/>
    <s v="J&amp;T COD"/>
    <s v="Tiktok"/>
    <s v="จ่ายทีหลัง / COD"/>
    <s v=""/>
    <s v="754372157501"/>
    <s v="05/01/2025 10:18"/>
  </r>
  <r>
    <x v="10"/>
    <x v="10"/>
    <n v="200"/>
    <n v="2"/>
    <n v="0"/>
    <s v="EQF82"/>
    <n v="400"/>
    <n v="0"/>
    <s v="ร้านที่1"/>
    <s v="ส***รัตน์ ส***รื่อง"/>
    <s v="ชัยนาท"/>
    <s v="-"/>
    <s v=""/>
    <s v="05/01/2025 10:17"/>
    <s v="-"/>
    <s v="J&amp;T COD"/>
    <s v="Tiktok"/>
    <s v="จ่ายทีหลัง / COD"/>
    <s v=""/>
    <s v="754367054346"/>
    <s v="05/01/2025 10:17"/>
  </r>
  <r>
    <x v="1"/>
    <x v="1"/>
    <n v="200"/>
    <n v="1"/>
    <n v="0"/>
    <s v="EQF80"/>
    <n v="200"/>
    <n v="0"/>
    <s v="ร้านที่1"/>
    <s v="อ***รา เ***องจำนงค์"/>
    <s v="ชลบุรี"/>
    <s v="-"/>
    <s v=""/>
    <s v="05/01/2025 10:14"/>
    <s v="-"/>
    <s v="J&amp;T Express"/>
    <s v="Tiktok"/>
    <s v="tiktok"/>
    <s v=""/>
    <s v="754314559504"/>
    <s v="05/01/2025 10:14"/>
  </r>
  <r>
    <x v="36"/>
    <x v="51"/>
    <n v="251.75"/>
    <n v="1"/>
    <n v="0"/>
    <s v="EQF79"/>
    <n v="251.75"/>
    <n v="0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05/01/2025 10:10"/>
    <s v="-"/>
    <s v="Kerry_dropoff"/>
    <s v="Lazada"/>
    <s v="lazada"/>
    <s v=""/>
    <s v="LEXDO0124017277"/>
    <s v="05/01/2025 10:10"/>
  </r>
  <r>
    <x v="4"/>
    <x v="4"/>
    <n v="10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9"/>
    <x v="4"/>
    <n v="10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5"/>
    <x v="5"/>
    <n v="330"/>
    <n v="1"/>
    <n v="0"/>
    <s v="EQF78"/>
    <n v="530"/>
    <n v="0"/>
    <s v="ร้านที่2"/>
    <s v="ร*** น*** 1***13  ต***ดบัวขาว อ***คิ้ว จ***รราชสีมา"/>
    <s v="นครราชสีมา"/>
    <s v="-"/>
    <s v=""/>
    <s v="05/01/2025 10:09"/>
    <s v="-"/>
    <s v="J&amp;T COD"/>
    <s v="Tiktok"/>
    <s v="จ่ายทีหลัง / COD"/>
    <s v=""/>
    <s v="754318484581"/>
    <s v="05/01/2025 10:09"/>
  </r>
  <r>
    <x v="24"/>
    <x v="26"/>
    <n v="675"/>
    <n v="1"/>
    <n v="0"/>
    <s v="EQF77"/>
    <n v="699"/>
    <n v="24"/>
    <s v="ร้านที่9"/>
    <s v="รัศมี   ทับเทียน"/>
    <s v="298/1-2 ถ.บรมไตร2 ต.ในเมือง อ.เมือง(คลีนิกแพทย์ชาติชาย-วรรณา)_x000a__x000a_เมืองพิษณุโลก/ Mueang Phitsanulokพิษณุโลก/ Phitsanulok_x000a_65000"/>
    <s v="65000"/>
    <s v="660661677852"/>
    <s v="05/01/2025 10:09"/>
    <s v="-"/>
    <s v="Kerry_dropoff"/>
    <s v="Lazada"/>
    <s v="lazada"/>
    <s v=""/>
    <s v="LEXDO0123974041"/>
    <s v="05/01/2025 10:09"/>
  </r>
  <r>
    <x v="1"/>
    <x v="1"/>
    <n v="200"/>
    <n v="1"/>
    <n v="0"/>
    <s v="EQF76"/>
    <n v="200"/>
    <n v="0"/>
    <s v="ร้านที่2"/>
    <s v="จ***รา ส***ีเหลือบ"/>
    <s v="กรุงเทพฯ"/>
    <s v="-"/>
    <s v=""/>
    <s v="05/01/2025 10:07"/>
    <s v="-"/>
    <s v="J&amp;T COD"/>
    <s v="Tiktok"/>
    <s v="จ่ายทีหลัง / COD"/>
    <s v=""/>
    <s v="754346953511"/>
    <s v="05/01/2025 10:07"/>
  </r>
  <r>
    <x v="10"/>
    <x v="10"/>
    <n v="200"/>
    <n v="1"/>
    <n v="0"/>
    <s v="EQF75"/>
    <n v="200"/>
    <n v="0"/>
    <s v="ร้านที่4"/>
    <s v="เ***พา พ***ชื่น"/>
    <s v="สมุทรปราการ"/>
    <s v="-"/>
    <s v=""/>
    <s v="05/01/2025 10:06"/>
    <s v="-"/>
    <s v="Flash Express Thailand COD"/>
    <s v="Tiktok"/>
    <s v="จ่ายทีหลัง / COD"/>
    <s v=""/>
    <s v="THT02041E3ARV3Z"/>
    <s v="05/01/2025 10:06"/>
  </r>
  <r>
    <x v="3"/>
    <x v="8"/>
    <n v="99.75"/>
    <n v="1"/>
    <n v="0"/>
    <s v="EQF74"/>
    <n v="144.75"/>
    <n v="45"/>
    <s v="ร้านที่6"/>
    <s v="นางบุญเริ่ม พุ่มพวง"/>
    <s v="273ม.17 ต.ท่ากระดาน_x000a__x000a_สนามชัยเขต/ Sanam Chai Khetฉะเชิงเทรา/ Chachoengsao_x000a_24160"/>
    <s v="24160"/>
    <s v="660970951509"/>
    <s v="05/01/2025 10:04"/>
    <s v="-"/>
    <s v="Kerry_dropoff"/>
    <s v="Lazada"/>
    <s v="lazada"/>
    <s v=""/>
    <s v="TH24086NV0PY1B"/>
    <s v="05/01/2025 10:04"/>
  </r>
  <r>
    <x v="9"/>
    <x v="4"/>
    <n v="100"/>
    <n v="1"/>
    <n v="0"/>
    <s v="EQF72"/>
    <n v="145"/>
    <n v="45"/>
    <s v="ร้านที่2"/>
    <s v="ป***ื.สมบูรณ์รัตน์.69ถนนมิตรสัมพันธ์.ถนนมิตรสัมพันธ์"/>
    <s v="บุรีรัมย์"/>
    <s v="-"/>
    <s v=""/>
    <s v="05/01/2025 10:02"/>
    <s v="-"/>
    <s v="J&amp;T COD"/>
    <s v="Tiktok"/>
    <s v="จ่ายทีหลัง / COD"/>
    <s v=""/>
    <s v="754384618315"/>
    <s v="05/01/2025 10:02"/>
  </r>
  <r>
    <x v="24"/>
    <x v="26"/>
    <n v="654"/>
    <n v="1"/>
    <n v="0"/>
    <s v="EQF71"/>
    <n v="678"/>
    <n v="24"/>
    <s v="ร้านที่9"/>
    <s v="หงษ์ทอง ชาวเวียง"/>
    <s v="1534 วังใหม่ ซอย 5 หมู่ 1 · วังใหม่/ Wang Mai_x000a__x000a_วังสมบูรณ์/ Wang Sombunสระแก้ว/ Sa Kaeo_x000a_27250"/>
    <s v="27250"/>
    <s v="660885274899"/>
    <s v="05/01/2025 10:02"/>
    <s v="-"/>
    <s v="Kerry_dropoff"/>
    <s v="Lazada"/>
    <s v="lazada"/>
    <s v=""/>
    <s v="TH26096NVP3C5B"/>
    <s v="05/01/2025 10:02"/>
  </r>
  <r>
    <x v="32"/>
    <x v="47"/>
    <n v="161.1"/>
    <n v="1"/>
    <n v="0"/>
    <s v="EQF70"/>
    <n v="161.1"/>
    <n v="0"/>
    <s v="ร้านที่8"/>
    <s v="ธนาภรณ์​ ยิ่งยง"/>
    <s v="195ม.4ต.พุทธบาท_x000a__x000a_ชนแดน/ Chon Daenเพชรบูรณ์/ Phetchabun_x000a_67150"/>
    <s v="67150"/>
    <s v="660941929590"/>
    <s v="05/01/2025 10:02"/>
    <s v="-"/>
    <s v="Kerry_dropoff"/>
    <s v="Lazada"/>
    <s v="lazada"/>
    <s v=""/>
    <s v="520004269965"/>
    <s v="05/01/2025 10:01"/>
  </r>
  <r>
    <x v="3"/>
    <x v="3"/>
    <n v="100"/>
    <n v="2"/>
    <n v="0"/>
    <s v="EQF69"/>
    <n v="230"/>
    <n v="35"/>
    <s v="ร้านที่2"/>
    <s v="ณ******ี"/>
    <s v="****** ตำบลคลองหนึ่ง อำเภอคลองหลวง จังหวัดปทุมธานี 12120"/>
    <s v="12120"/>
    <s v="14"/>
    <s v="05/01/2025 10:03"/>
    <s v="-"/>
    <s v="SPX Express"/>
    <s v="Shopee"/>
    <s v="shopee"/>
    <s v=""/>
    <s v="TH2546413915658"/>
    <s v="05/01/2025 10:01"/>
  </r>
  <r>
    <x v="39"/>
    <x v="55"/>
    <n v="282"/>
    <n v="1"/>
    <n v="0"/>
    <s v="EQF68"/>
    <n v="564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5/01/2025 10:00"/>
    <s v="-"/>
    <s v="Kerry_dropoff"/>
    <s v="Lazada"/>
    <s v="lazada"/>
    <s v=""/>
    <s v="TH28146NWHG24C"/>
    <s v="05/01/2025 10:00"/>
  </r>
  <r>
    <x v="39"/>
    <x v="55"/>
    <n v="282"/>
    <n v="1"/>
    <n v="0"/>
    <s v="EQF68"/>
    <n v="564"/>
    <n v="0"/>
    <s v="ร้านที่10"/>
    <s v="อธิติมา​ เมี้ยนชัยภูมิ"/>
    <s v="128 หมู่3 ต.ไทยสามัคคี · ไทยสามัคคี/ Thai Samakkhi_x000a__x000a_หนองหงส์/ Nong Hongบุรีรัมย์/ Buriram_x000a_31240"/>
    <s v="31240"/>
    <s v="660876999361"/>
    <s v="05/01/2025 10:00"/>
    <s v="-"/>
    <s v="Kerry_dropoff"/>
    <s v="Lazada"/>
    <s v="lazada"/>
    <s v=""/>
    <s v="TH28146NWHG24C"/>
    <s v="05/01/2025 10:00"/>
  </r>
  <r>
    <x v="3"/>
    <x v="3"/>
    <n v="100"/>
    <n v="1"/>
    <n v="0"/>
    <s v="EQF67"/>
    <n v="200"/>
    <n v="0"/>
    <s v="ร้านที่2"/>
    <s v="ศ***นทิพย์  ท***ง"/>
    <s v="เพชรบุรี"/>
    <s v="-"/>
    <s v=""/>
    <s v="05/01/2025 09:59"/>
    <s v="-"/>
    <s v="J&amp;T COD"/>
    <s v="Tiktok"/>
    <s v="จ่ายทีหลัง / COD"/>
    <s v=""/>
    <s v="754301552524"/>
    <s v="05/01/2025 09:59"/>
  </r>
  <r>
    <x v="0"/>
    <x v="0"/>
    <n v="100"/>
    <n v="1"/>
    <n v="0"/>
    <s v="EQF67"/>
    <n v="200"/>
    <n v="0"/>
    <s v="ร้านที่2"/>
    <s v="ศ***นทิพย์  ท***ง"/>
    <s v="เพชรบุรี"/>
    <s v="-"/>
    <s v=""/>
    <s v="05/01/2025 09:59"/>
    <s v="-"/>
    <s v="J&amp;T COD"/>
    <s v="Tiktok"/>
    <s v="จ่ายทีหลัง / COD"/>
    <s v=""/>
    <s v="754301552524"/>
    <s v="05/01/2025 09:59"/>
  </r>
  <r>
    <x v="4"/>
    <x v="4"/>
    <n v="100"/>
    <n v="1"/>
    <n v="0"/>
    <s v="EQF66"/>
    <n v="106"/>
    <n v="6"/>
    <s v="ร้านที่2"/>
    <s v="ล***า พ***นทึก"/>
    <s v="นครราชสีมา"/>
    <s v="-"/>
    <s v=""/>
    <s v="05/01/2025 09:59"/>
    <s v="-"/>
    <s v="J&amp;T COD"/>
    <s v="Tiktok"/>
    <s v="จ่ายทีหลัง / COD"/>
    <s v=""/>
    <s v="754344934372"/>
    <s v="05/01/2025 09:59"/>
  </r>
  <r>
    <x v="10"/>
    <x v="10"/>
    <n v="200"/>
    <n v="1"/>
    <n v="0"/>
    <s v="EQF65"/>
    <n v="200"/>
    <n v="0"/>
    <s v="ร้านที่4"/>
    <s v="ป***รัตน์  จ***ร์สุนทร"/>
    <s v="อุทัยธานี"/>
    <s v="-"/>
    <s v=""/>
    <s v="05/01/2025 09:56"/>
    <s v="-"/>
    <s v="Flash Express Thailand COD"/>
    <s v="Tiktok"/>
    <s v="จ่ายทีหลัง / COD"/>
    <s v=""/>
    <s v="THT57061E3NDC4Z"/>
    <s v="05/01/2025 09:56"/>
  </r>
  <r>
    <x v="0"/>
    <x v="0"/>
    <n v="100"/>
    <n v="1"/>
    <n v="0"/>
    <s v="EQF64"/>
    <n v="106"/>
    <n v="6"/>
    <s v="ร้านที่1"/>
    <s v="u***38510459319533"/>
    <s v="นครราชสีมา"/>
    <s v="-"/>
    <s v=""/>
    <s v="05/01/2025 09:55"/>
    <s v="-"/>
    <s v="J&amp;T COD"/>
    <s v="Tiktok"/>
    <s v="จ่ายทีหลัง / COD"/>
    <s v=""/>
    <s v="754307926584"/>
    <s v="05/01/2025 09:55"/>
  </r>
  <r>
    <x v="3"/>
    <x v="3"/>
    <n v="100"/>
    <n v="1"/>
    <n v="0"/>
    <s v="EQF59"/>
    <n v="107"/>
    <n v="7"/>
    <s v="ร้านที่2"/>
    <s v="ม******น"/>
    <s v="******กน้ำ อ.เมือง จ.สมุทรปราการ 10270 ตำบลปากน้ำ อำเภอเมืองสมุทรปราการ จังหวัดสมุทรปราการ 10270"/>
    <s v="10270"/>
    <s v="45"/>
    <s v="05/01/2025 09:51"/>
    <s v="-"/>
    <s v="SPX Express"/>
    <s v="Shopee"/>
    <s v="shopee"/>
    <s v=""/>
    <s v="TH2553057252394"/>
    <s v="05/01/2025 09:50"/>
  </r>
  <r>
    <x v="3"/>
    <x v="8"/>
    <n v="84"/>
    <n v="1"/>
    <n v="0"/>
    <s v="EQF57"/>
    <n v="89"/>
    <n v="5"/>
    <s v="ร้านที่6"/>
    <s v="ศรีสุมล พาทีทิน"/>
    <s v="26/110 ถนนสุขสมบูรณ์ ต.ประจวบ อ.เมือง_x000a__x000a_เมืองประจวบคีรีขันธ์/ Mueang Prachuap Khiri Khanประจวบคีรีขันธ์/ Prachuap Khiri Khan_x000a_77000"/>
    <s v="77000"/>
    <s v="660813851066"/>
    <s v="05/01/2025 09:45"/>
    <s v="-"/>
    <s v="Kerry_dropoff"/>
    <s v="Lazada"/>
    <s v="lazada"/>
    <s v=""/>
    <s v="TH19016NV0JJ5A"/>
    <s v="05/01/2025 09:45"/>
  </r>
  <r>
    <x v="1"/>
    <x v="1"/>
    <n v="200"/>
    <n v="1"/>
    <n v="0"/>
    <s v="EQF55"/>
    <n v="200"/>
    <n v="0"/>
    <s v="ร้านที่1"/>
    <s v="น***าวจันทรี เ***ทอง"/>
    <s v="พิษณุโลก"/>
    <s v="-"/>
    <s v=""/>
    <s v="05/01/2025 09:44"/>
    <s v="-"/>
    <s v="J&amp;T COD"/>
    <s v="Tiktok"/>
    <s v="จ่ายทีหลัง / COD"/>
    <s v=""/>
    <s v="754331654554"/>
    <s v="05/01/2025 09:44"/>
  </r>
  <r>
    <x v="1"/>
    <x v="1"/>
    <n v="200"/>
    <n v="1"/>
    <n v="0"/>
    <s v="EQF54"/>
    <n v="200"/>
    <n v="0"/>
    <s v="ร้านที่2"/>
    <s v="จ***ร์เพ็ญ ส***รณคาม"/>
    <s v="อุดรธานี"/>
    <s v="-"/>
    <s v=""/>
    <s v="05/01/2025 09:44"/>
    <s v="-"/>
    <s v="J&amp;T COD"/>
    <s v="Tiktok"/>
    <s v="จ่ายทีหลัง / COD"/>
    <s v=""/>
    <s v="754340953516"/>
    <s v="05/01/2025 09:44"/>
  </r>
  <r>
    <x v="10"/>
    <x v="10"/>
    <n v="200"/>
    <n v="1"/>
    <n v="0"/>
    <s v="EQF53"/>
    <n v="200"/>
    <n v="0"/>
    <s v="ร้านที่2"/>
    <s v="S***it T***"/>
    <s v="ระยอง"/>
    <s v="-"/>
    <s v=""/>
    <s v="05/01/2025 09:43"/>
    <s v="-"/>
    <s v="J&amp;T COD"/>
    <s v="Tiktok"/>
    <s v="จ่ายทีหลัง / COD"/>
    <s v=""/>
    <s v="754399840390"/>
    <s v="05/01/2025 09:44"/>
  </r>
  <r>
    <x v="1"/>
    <x v="1"/>
    <n v="200"/>
    <n v="1"/>
    <n v="0"/>
    <s v="EQF52"/>
    <n v="200"/>
    <n v="0"/>
    <s v="ร้านที่1"/>
    <s v="ว***ิสา ป***สกุลดี"/>
    <s v="เทศบาลนครนครสวรรค์"/>
    <s v="-"/>
    <s v=""/>
    <s v="05/01/2025 09:40"/>
    <s v="-"/>
    <s v="J&amp;T COD"/>
    <s v="Tiktok"/>
    <s v="จ่ายทีหลัง / COD"/>
    <s v=""/>
    <s v="754395342595"/>
    <s v="05/01/2025 09:40"/>
  </r>
  <r>
    <x v="9"/>
    <x v="4"/>
    <n v="100"/>
    <n v="2"/>
    <n v="0"/>
    <s v="EQF51"/>
    <n v="200"/>
    <n v="0"/>
    <s v="ร้านที่4"/>
    <s v="ม***ช ด***จ"/>
    <s v="ชลบุรี"/>
    <s v="-"/>
    <s v=""/>
    <s v="05/01/2025 09:40"/>
    <s v="-"/>
    <s v="Flash Express Thailand"/>
    <s v="Tiktok"/>
    <s v="tiktok"/>
    <s v=""/>
    <s v="THT20081E38R18Z"/>
    <s v="05/01/2025 09:40"/>
  </r>
  <r>
    <x v="9"/>
    <x v="4"/>
    <n v="100"/>
    <n v="1"/>
    <n v="0"/>
    <s v="EQF50"/>
    <n v="200"/>
    <n v="0"/>
    <s v="ร้านที่4"/>
    <s v="อ***ษา เ***บัวขาว"/>
    <s v="ขอนแก่น"/>
    <s v="-"/>
    <s v=""/>
    <s v="05/01/2025 09:39"/>
    <s v="-"/>
    <s v="Flash Express Thailand"/>
    <s v="Tiktok"/>
    <s v="tiktok"/>
    <s v=""/>
    <s v="THT37011E3N2T8Z"/>
    <s v="05/01/2025 09:38"/>
  </r>
  <r>
    <x v="4"/>
    <x v="4"/>
    <n v="100"/>
    <n v="1"/>
    <n v="0"/>
    <s v="EQF50"/>
    <n v="200"/>
    <n v="0"/>
    <s v="ร้านที่4"/>
    <s v="อ***ษา เ***บัวขาว"/>
    <s v="ขอนแก่น"/>
    <s v="-"/>
    <s v=""/>
    <s v="05/01/2025 09:39"/>
    <s v="-"/>
    <s v="Flash Express Thailand"/>
    <s v="Tiktok"/>
    <s v="tiktok"/>
    <s v=""/>
    <s v="THT37011E3N2T8Z"/>
    <s v="05/01/2025 09:38"/>
  </r>
  <r>
    <x v="1"/>
    <x v="1"/>
    <n v="200"/>
    <n v="1"/>
    <n v="0"/>
    <s v="EQF49"/>
    <n v="200"/>
    <n v="0"/>
    <s v="ร้านที่1"/>
    <s v="ฐ***ญา ว***ชย์ฐัชสกุล"/>
    <s v="เชียงใหม่"/>
    <s v="-"/>
    <s v=""/>
    <s v="05/01/2025 09:38"/>
    <s v="-"/>
    <s v="J&amp;T COD"/>
    <s v="Tiktok"/>
    <s v="จ่ายทีหลัง / COD"/>
    <s v=""/>
    <s v="754372740590"/>
    <s v="05/01/2025 09:38"/>
  </r>
  <r>
    <x v="10"/>
    <x v="10"/>
    <n v="200"/>
    <n v="1"/>
    <n v="0"/>
    <s v="EQF48"/>
    <n v="200"/>
    <n v="0"/>
    <s v="ร้านที่1"/>
    <s v="ส***ภรณ์ ห***เเอบกลาง"/>
    <s v="เทศบาลนครนครราชสีมา"/>
    <s v="-"/>
    <s v=""/>
    <s v="05/01/2025 09:35"/>
    <s v="-"/>
    <s v="J&amp;T Express"/>
    <s v="Tiktok"/>
    <s v="tiktok"/>
    <s v=""/>
    <s v="754362445362"/>
    <s v="05/01/2025 09:35"/>
  </r>
  <r>
    <x v="5"/>
    <x v="5"/>
    <n v="350"/>
    <n v="1"/>
    <n v="0"/>
    <s v="EQF47"/>
    <n v="350"/>
    <n v="0"/>
    <s v="ร้านที่4"/>
    <s v="น***าว์"/>
    <s v="สุราษฎร์ธานี"/>
    <s v="-"/>
    <s v=""/>
    <s v="05/01/2025 09:31"/>
    <s v="-"/>
    <s v="Flash Express Thailand COD"/>
    <s v="Tiktok"/>
    <s v="จ่ายทีหลัง / COD"/>
    <s v=""/>
    <s v="THT68041E398Q7Z"/>
    <s v="05/01/2025 09:32"/>
  </r>
  <r>
    <x v="10"/>
    <x v="10"/>
    <n v="200"/>
    <n v="1"/>
    <n v="0"/>
    <s v="EQF46"/>
    <n v="200"/>
    <n v="0"/>
    <s v="ร้านที่2"/>
    <s v="น***าวสุวนันท์ เ***อกองมาตร"/>
    <s v="เทศบาลเมืองยโสธร"/>
    <s v="-"/>
    <s v=""/>
    <s v="05/01/2025 09:30"/>
    <s v="-"/>
    <s v="J&amp;T COD"/>
    <s v="Tiktok"/>
    <s v="จ่ายทีหลัง / COD"/>
    <s v=""/>
    <s v="754320048366"/>
    <s v="05/01/2025 09:30"/>
  </r>
  <r>
    <x v="10"/>
    <x v="10"/>
    <n v="200"/>
    <n v="1"/>
    <n v="0"/>
    <s v="EQF45"/>
    <n v="200"/>
    <n v="0"/>
    <s v="ร้านที่1"/>
    <s v="ส***ษโตโส"/>
    <s v="สมุทรสาคร"/>
    <s v="-"/>
    <s v=""/>
    <s v="05/01/2025 09:29"/>
    <s v="-"/>
    <s v="J&amp;T COD"/>
    <s v="Tiktok"/>
    <s v="จ่ายทีหลัง / COD"/>
    <s v=""/>
    <s v="754379847351"/>
    <s v="05/01/2025 09:29"/>
  </r>
  <r>
    <x v="0"/>
    <x v="0"/>
    <n v="100"/>
    <n v="1"/>
    <n v="0"/>
    <s v="EQF44"/>
    <n v="100"/>
    <n v="0"/>
    <s v="ร้านที่2"/>
    <s v="ร***รร โ***์สารี"/>
    <s v="ลพบุรี"/>
    <s v="-"/>
    <s v=""/>
    <s v="05/01/2025 09:29"/>
    <s v="-"/>
    <s v="J&amp;T COD"/>
    <s v="Tiktok"/>
    <s v="จ่ายทีหลัง / COD"/>
    <s v=""/>
    <s v="754391122590"/>
    <s v="05/01/2025 09:29"/>
  </r>
  <r>
    <x v="0"/>
    <x v="0"/>
    <n v="100"/>
    <n v="1"/>
    <n v="0"/>
    <s v="EQF43"/>
    <n v="106"/>
    <n v="6"/>
    <s v="ร้านที่1"/>
    <s v="เ***พิมพ็ โ***สมี"/>
    <s v="สมุทรปราการ"/>
    <s v="-"/>
    <s v=""/>
    <s v="05/01/2025 09:26"/>
    <s v="-"/>
    <s v="J&amp;T COD"/>
    <s v="Tiktok"/>
    <s v="จ่ายทีหลัง / COD"/>
    <s v=""/>
    <s v="754346520583"/>
    <s v="05/01/2025 09:26"/>
  </r>
  <r>
    <x v="1"/>
    <x v="1"/>
    <n v="200"/>
    <n v="2"/>
    <n v="0"/>
    <s v="EQF41"/>
    <n v="400"/>
    <n v="0"/>
    <s v="ร้านที่1"/>
    <s v="ม***ี ใ***้า"/>
    <s v="ไทย, เชียงใหม่, หางดง,ไท* 50***"/>
    <s v="-"/>
    <s v=""/>
    <s v="05/01/2025 09:24"/>
    <s v="-"/>
    <s v="J&amp;T COD"/>
    <s v="Tiktok"/>
    <s v="จ่ายทีหลัง / COD"/>
    <s v=""/>
    <s v="754390933310"/>
    <s v="05/01/2025 09:24"/>
  </r>
  <r>
    <x v="0"/>
    <x v="0"/>
    <n v="100"/>
    <n v="1"/>
    <n v="0"/>
    <s v="EQF40"/>
    <n v="145"/>
    <n v="45"/>
    <s v="ร้านที่1"/>
    <s v="เ***ไพลิน ส***วงค์"/>
    <s v="เทศบาลนครนครราชสีมา"/>
    <s v="-"/>
    <s v=""/>
    <s v="05/01/2025 09:23"/>
    <s v="-"/>
    <s v="J&amp;T Express"/>
    <s v="Tiktok"/>
    <s v="tiktok"/>
    <s v=""/>
    <s v="754305124565"/>
    <s v="05/01/2025 09:23"/>
  </r>
  <r>
    <x v="1"/>
    <x v="1"/>
    <n v="200"/>
    <n v="1"/>
    <n v="0"/>
    <s v="EQF39"/>
    <n v="200"/>
    <n v="0"/>
    <s v="ร้านที่1"/>
    <s v="พ***า อ***รประเสริฐ"/>
    <s v="สมุทรปราการ"/>
    <s v="-"/>
    <s v=""/>
    <s v="05/01/2025 09:23"/>
    <s v="-"/>
    <s v="J&amp;T COD"/>
    <s v="Tiktok"/>
    <s v="จ่ายทีหลัง / COD"/>
    <s v=""/>
    <s v="754328542505"/>
    <s v="05/01/2025 09:23"/>
  </r>
  <r>
    <x v="0"/>
    <x v="0"/>
    <n v="100"/>
    <n v="1"/>
    <n v="0"/>
    <s v="EQF38"/>
    <n v="100"/>
    <n v="0"/>
    <s v="ร้านที่1"/>
    <s v="น***ุมลรัตน์ ศ***งชาติ"/>
    <s v="นครปฐม"/>
    <s v="-"/>
    <s v=""/>
    <s v="05/01/2025 09:22"/>
    <s v="-"/>
    <s v="J&amp;T COD"/>
    <s v="Tiktok"/>
    <s v="จ่ายทีหลัง / COD"/>
    <s v=""/>
    <s v="754364030571"/>
    <s v="05/01/2025 09:22"/>
  </r>
  <r>
    <x v="1"/>
    <x v="1"/>
    <n v="200"/>
    <n v="1"/>
    <n v="0"/>
    <s v="EQF37"/>
    <n v="200"/>
    <n v="0"/>
    <s v="ร้านที่1"/>
    <s v="ส***ลี บ***ิจิตร"/>
    <s v="อุบลราชธานี"/>
    <s v="-"/>
    <s v=""/>
    <s v="05/01/2025 09:21"/>
    <s v="-"/>
    <s v="J&amp;T Express"/>
    <s v="Tiktok"/>
    <s v="tiktok"/>
    <s v=""/>
    <s v="754347043586"/>
    <s v="05/01/2025 09:21"/>
  </r>
  <r>
    <x v="0"/>
    <x v="0"/>
    <n v="100"/>
    <n v="1"/>
    <n v="0"/>
    <s v="EQF36"/>
    <n v="100"/>
    <n v="0"/>
    <s v="ร้านที่1"/>
    <s v="ร***นภา  อ***เทศ"/>
    <s v="สุโขทัย"/>
    <s v="-"/>
    <s v=""/>
    <s v="05/01/2025 09:21"/>
    <s v="-"/>
    <s v="J&amp;T COD"/>
    <s v="Tiktok"/>
    <s v="จ่ายทีหลัง / COD"/>
    <s v=""/>
    <s v="754385830520"/>
    <s v="05/01/2025 09:21"/>
  </r>
  <r>
    <x v="4"/>
    <x v="4"/>
    <n v="100"/>
    <n v="1"/>
    <n v="0"/>
    <s v="EQF35"/>
    <n v="106"/>
    <n v="6"/>
    <s v="ร้านที่1"/>
    <s v="เ***ทราย"/>
    <s v="ราชบุรี"/>
    <s v="-"/>
    <s v=""/>
    <s v="05/01/2025 09:20"/>
    <s v="-"/>
    <s v="J&amp;T COD"/>
    <s v="Tiktok"/>
    <s v="จ่ายทีหลัง / COD"/>
    <s v=""/>
    <s v="754344841331"/>
    <s v="05/01/2025 09:20"/>
  </r>
  <r>
    <x v="10"/>
    <x v="10"/>
    <n v="200"/>
    <n v="1"/>
    <n v="0"/>
    <s v="EQF34"/>
    <n v="200"/>
    <n v="0"/>
    <s v="ร้านที่2"/>
    <s v="ส***  ส***ะบก"/>
    <s v="นครราชสีมา"/>
    <s v="-"/>
    <s v=""/>
    <s v="05/01/2025 09:17"/>
    <s v="-"/>
    <s v="J&amp;T COD"/>
    <s v="Tiktok"/>
    <s v="จ่ายทีหลัง / COD"/>
    <s v=""/>
    <s v="754364850326"/>
    <s v="05/01/2025 09:18"/>
  </r>
  <r>
    <x v="9"/>
    <x v="4"/>
    <n v="100"/>
    <n v="1"/>
    <n v="0"/>
    <s v="EQF33"/>
    <n v="106"/>
    <n v="6"/>
    <s v="ร้านที่2"/>
    <s v="ร***ิกาณต์ โ***รัตน์"/>
    <s v="สุราษฎร์ธานี"/>
    <s v="-"/>
    <s v=""/>
    <s v="05/01/2025 09:18"/>
    <s v="-"/>
    <s v="J&amp;T Express"/>
    <s v="Tiktok"/>
    <s v="tiktok"/>
    <s v=""/>
    <s v="754398430391"/>
    <s v="05/01/2025 09:17"/>
  </r>
  <r>
    <x v="19"/>
    <x v="19"/>
    <n v="199"/>
    <n v="1"/>
    <n v="0"/>
    <s v="EQF32"/>
    <n v="199"/>
    <n v="0"/>
    <s v="ร้านที่1"/>
    <s v="แ****า"/>
    <s v="****** ตำบลพังตรุ, อำเภอพนมทวน ตำบลพังตรุ อำเภอพนมทวน จังหวัดกาญจนบุรี 71140"/>
    <s v="71140"/>
    <s v="71"/>
    <s v="05/01/2025 09:41"/>
    <s v="-"/>
    <s v="SPX Express"/>
    <s v="Shopee"/>
    <s v="shopee"/>
    <s v=""/>
    <s v="TH252188001682V"/>
    <s v="05/01/2025 09:17"/>
  </r>
  <r>
    <x v="3"/>
    <x v="3"/>
    <n v="100"/>
    <n v="1"/>
    <n v="0"/>
    <s v="EQF31"/>
    <n v="100"/>
    <n v="0"/>
    <s v="ร้านที่1"/>
    <s v="ข***ชนกพร ด***ศ"/>
    <s v="นครปฐม"/>
    <s v="-"/>
    <s v=""/>
    <s v="05/01/2025 09:16"/>
    <s v="-"/>
    <s v="J&amp;T COD"/>
    <s v="Tiktok"/>
    <s v="จ่ายทีหลัง / COD"/>
    <s v=""/>
    <s v="754320736304"/>
    <s v="05/01/2025 09:16"/>
  </r>
  <r>
    <x v="36"/>
    <x v="51"/>
    <n v="225.3"/>
    <n v="1"/>
    <n v="0"/>
    <s v="EQF29"/>
    <n v="225.3"/>
    <n v="0"/>
    <s v="ร้านที่10"/>
    <s v="น้องวันใหม่"/>
    <s v="228/12 ม.16 · สระลงเรือ/ Sa Long Ruea_x000a__x000a_ห้วยกระเจา/ Huai Krachaoกาญจนบุรี/ Kanchanaburi_x000a_71170"/>
    <s v="71170"/>
    <s v="660988340837"/>
    <s v="05/01/2025 09:15"/>
    <s v="-"/>
    <s v="Kerry_dropoff"/>
    <s v="Lazada"/>
    <s v="lazada"/>
    <s v=""/>
    <s v="TH13136NY0W66C"/>
    <s v="05/01/2025 09:15"/>
  </r>
  <r>
    <x v="1"/>
    <x v="1"/>
    <n v="200"/>
    <n v="1"/>
    <n v="0"/>
    <s v="EQF27"/>
    <n v="200"/>
    <n v="0"/>
    <s v="ร้านที่1"/>
    <s v="ค***่ง แ***สดา"/>
    <s v="เลย"/>
    <s v="-"/>
    <s v=""/>
    <s v="05/01/2025 09:15"/>
    <s v="-"/>
    <s v="J&amp;T COD"/>
    <s v="Tiktok"/>
    <s v="จ่ายทีหลัง / COD"/>
    <s v=""/>
    <s v="754391345514"/>
    <s v="05/01/2025 09:15"/>
  </r>
  <r>
    <x v="1"/>
    <x v="1"/>
    <n v="200"/>
    <n v="1"/>
    <n v="0"/>
    <s v="EQF25"/>
    <n v="200"/>
    <n v="0"/>
    <s v="ร้านที่1"/>
    <s v="อ***ย์ อ***ทอง"/>
    <s v="ชลบุรี"/>
    <s v="-"/>
    <s v=""/>
    <s v="05/01/2025 09:13"/>
    <s v="-"/>
    <s v="J&amp;T COD"/>
    <s v="Tiktok"/>
    <s v="จ่ายทีหลัง / COD"/>
    <s v=""/>
    <s v="754340942515"/>
    <s v="05/01/2025 09:13"/>
  </r>
  <r>
    <x v="0"/>
    <x v="0"/>
    <n v="100"/>
    <n v="1"/>
    <n v="0"/>
    <s v="EQF24"/>
    <n v="100"/>
    <n v="0"/>
    <s v="ร้านที่2"/>
    <s v="ส***พร ศ***ังวาลย์"/>
    <s v="เทศบาลนครนครปฐม"/>
    <s v="-"/>
    <s v=""/>
    <s v="05/01/2025 09:12"/>
    <s v="-"/>
    <s v="J&amp;T COD"/>
    <s v="Tiktok"/>
    <s v="จ่ายทีหลัง / COD"/>
    <s v=""/>
    <s v="754356437564"/>
    <s v="05/01/2025 09:12"/>
  </r>
  <r>
    <x v="32"/>
    <x v="47"/>
    <n v="170.5"/>
    <n v="1"/>
    <n v="0"/>
    <s v="EQF23"/>
    <n v="175.5"/>
    <n v="5"/>
    <s v="ร้านที่8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05/01/2025 09:12"/>
    <s v="-"/>
    <s v="Kerry_dropoff"/>
    <s v="Lazada"/>
    <s v="lazada"/>
    <s v=""/>
    <s v="LEXPU0442503825"/>
    <s v="05/01/2025 09:12"/>
  </r>
  <r>
    <x v="9"/>
    <x v="4"/>
    <n v="100"/>
    <n v="3"/>
    <n v="0"/>
    <s v="EQF22"/>
    <n v="300"/>
    <n v="0"/>
    <s v="ร้านที่4"/>
    <s v="ป***มา พ***สุวรรณ์"/>
    <s v="อ่างทอง"/>
    <s v="-"/>
    <s v=""/>
    <s v="05/01/2025 09:11"/>
    <s v="-"/>
    <s v="Flash Express Thailand COD"/>
    <s v="Tiktok"/>
    <s v="จ่ายทีหลัง / COD"/>
    <s v=""/>
    <s v="THT06031E38WE2Z"/>
    <s v="05/01/2025 09:12"/>
  </r>
  <r>
    <x v="1"/>
    <x v="1"/>
    <n v="200"/>
    <n v="1"/>
    <n v="0"/>
    <s v="EQF21"/>
    <n v="200"/>
    <n v="0"/>
    <s v="ร้านที่2"/>
    <s v="อ***    ม***"/>
    <s v="กรุงเทพมหานคร"/>
    <s v="-"/>
    <s v=""/>
    <s v="05/01/2025 09:11"/>
    <s v="-"/>
    <s v="J&amp;T COD"/>
    <s v="Tiktok"/>
    <s v="จ่ายทีหลัง / COD"/>
    <s v=""/>
    <s v="754345546522"/>
    <s v="05/01/2025 09:12"/>
  </r>
  <r>
    <x v="10"/>
    <x v="10"/>
    <n v="200"/>
    <n v="1"/>
    <n v="0"/>
    <s v="EQF18"/>
    <n v="200"/>
    <n v="0"/>
    <s v="ร้านที่2"/>
    <s v="ส***ย์. แ***ี้"/>
    <s v="กรุงเทพฯ"/>
    <s v="-"/>
    <s v=""/>
    <s v="05/01/2025 09:09"/>
    <s v="-"/>
    <s v="J&amp;T COD"/>
    <s v="Tiktok"/>
    <s v="จ่ายทีหลัง / COD"/>
    <s v=""/>
    <s v="754364339396"/>
    <s v="05/01/2025 09:09"/>
  </r>
  <r>
    <x v="0"/>
    <x v="0"/>
    <n v="100"/>
    <n v="1"/>
    <n v="0"/>
    <s v="EQF17"/>
    <n v="100"/>
    <n v="0"/>
    <s v="ร้านที่4"/>
    <s v="อ***รา อ***กุลนา"/>
    <s v="พิษณุโลก"/>
    <s v="-"/>
    <s v=""/>
    <s v="05/01/2025 09:07"/>
    <s v="-"/>
    <s v="Flash Express Thailand"/>
    <s v="Tiktok"/>
    <s v="tiktok"/>
    <s v=""/>
    <s v="THT61031E351Q0Z"/>
    <s v="05/01/2025 09:06"/>
  </r>
  <r>
    <x v="4"/>
    <x v="4"/>
    <n v="100"/>
    <n v="1"/>
    <n v="0"/>
    <s v="EQF15"/>
    <n v="100"/>
    <n v="0"/>
    <s v="ร้านที่1"/>
    <s v="น***าวปรางค์ทิพย์ ย***วน"/>
    <s v="สุโขทัย"/>
    <s v="-"/>
    <s v=""/>
    <s v="05/01/2025 09:06"/>
    <s v="-"/>
    <s v="J&amp;T Express"/>
    <s v="Tiktok"/>
    <s v="tiktok"/>
    <s v=""/>
    <s v="754308447336"/>
    <s v="05/01/2025 09:05"/>
  </r>
  <r>
    <x v="1"/>
    <x v="1"/>
    <n v="200"/>
    <n v="1"/>
    <n v="0"/>
    <s v="EQF14"/>
    <n v="200"/>
    <n v="0"/>
    <s v="ร้านที่1"/>
    <s v="ฐ***รัตน์  พ***ัง"/>
    <s v="พะเยา"/>
    <s v="-"/>
    <s v=""/>
    <s v="05/01/2025 09:02"/>
    <s v="-"/>
    <s v="J&amp;T COD"/>
    <s v="Tiktok"/>
    <s v="จ่ายทีหลัง / COD"/>
    <s v=""/>
    <s v="754391541503"/>
    <s v="05/01/2025 09:02"/>
  </r>
  <r>
    <x v="1"/>
    <x v="1"/>
    <n v="200"/>
    <n v="1"/>
    <n v="0"/>
    <s v="EQF13"/>
    <n v="200"/>
    <n v="0"/>
    <s v="ร้านที่1"/>
    <s v="ศ***ทิพย์"/>
    <s v="กรุงเทพฯ"/>
    <s v="-"/>
    <s v=""/>
    <s v="05/01/2025 09:01"/>
    <s v="-"/>
    <s v="J&amp;T COD"/>
    <s v="Tiktok"/>
    <s v="จ่ายทีหลัง / COD"/>
    <s v=""/>
    <s v="754330149591"/>
    <s v="05/01/2025 09:01"/>
  </r>
  <r>
    <x v="32"/>
    <x v="53"/>
    <n v="199"/>
    <n v="1"/>
    <n v="0"/>
    <s v="EQF12"/>
    <n v="240"/>
    <n v="41"/>
    <s v="ร้านที่1"/>
    <s v="ฮ******ย"/>
    <s v="******ภอรัตภูมิ (บ้านขวามือรร.บ้านควนสะตอตรงยูเทิร์น) ตำบลท่าชะมวง อำเภอรัตภูมิ จังหวัดสงขลา 90180"/>
    <s v="90180"/>
    <s v="57"/>
    <s v="05/01/2025 09:31"/>
    <s v="-"/>
    <s v="SPX Express"/>
    <s v="Shopee"/>
    <s v="shopee"/>
    <s v=""/>
    <s v="TH259443907719E"/>
    <s v="05/01/2025 09:01"/>
  </r>
  <r>
    <x v="0"/>
    <x v="0"/>
    <n v="100"/>
    <n v="1"/>
    <n v="0"/>
    <s v="EQF11"/>
    <n v="290"/>
    <n v="0"/>
    <s v="ร้านที่2"/>
    <s v="ธ***"/>
    <s v="อุดรธานี"/>
    <s v="-"/>
    <s v=""/>
    <s v="05/01/2025 09:01"/>
    <s v="-"/>
    <s v="J&amp;T COD"/>
    <s v="Tiktok"/>
    <s v="จ่ายทีหลัง / COD"/>
    <s v=""/>
    <s v="754346653583"/>
    <s v="05/01/2025 09:01"/>
  </r>
  <r>
    <x v="39"/>
    <x v="55"/>
    <n v="342"/>
    <n v="1"/>
    <n v="0"/>
    <s v="EQF10"/>
    <n v="342"/>
    <n v="0"/>
    <s v="ร้านที่10"/>
    <s v="น.ส จิรัญญา จันทร์สมาน"/>
    <s v="ร้านเบทาโกร บ้านสวนป่า 49/11 ต.ช่องเม็ก_x000a__x000a_สิรินธร/ Sirindhornอุบลราชธานี/ Ubon Ratchathani_x000a_34350"/>
    <s v="34350"/>
    <s v="660636375345"/>
    <s v="05/01/2025 08:59"/>
    <s v="-"/>
    <s v="Kerry_dropoff"/>
    <s v="Lazada"/>
    <s v="lazada"/>
    <s v=""/>
    <s v="TH31196NXZZS5B"/>
    <s v="05/01/2025 08:58"/>
  </r>
  <r>
    <x v="0"/>
    <x v="0"/>
    <n v="100"/>
    <n v="1"/>
    <n v="0"/>
    <s v="EQF9"/>
    <n v="100"/>
    <n v="0"/>
    <s v="ร้านที่4"/>
    <s v="อ***รา   อ***กูลนา"/>
    <s v="พิษณุโลก"/>
    <s v="-"/>
    <s v=""/>
    <s v="05/01/2025 08:57"/>
    <s v="-"/>
    <s v="Flash Express Thailand"/>
    <s v="Tiktok"/>
    <s v="tiktok"/>
    <s v=""/>
    <s v="THT61031E34QC2Z"/>
    <s v="05/01/2025 08:56"/>
  </r>
  <r>
    <x v="0"/>
    <x v="0"/>
    <n v="100"/>
    <n v="1"/>
    <n v="0"/>
    <s v="EQF8"/>
    <n v="200"/>
    <n v="0"/>
    <s v="ร้านที่4"/>
    <s v="ค***ุ้ย"/>
    <s v="สุพรรณบุรี"/>
    <s v="-"/>
    <s v=""/>
    <s v="05/01/2025 08:48"/>
    <s v="-"/>
    <s v="Flash Express Thailand COD"/>
    <s v="Tiktok"/>
    <s v="จ่ายทีหลัง / COD"/>
    <s v=""/>
    <s v="THT14011E60Q69Z"/>
    <s v="05/01/2025 08:48"/>
  </r>
  <r>
    <x v="3"/>
    <x v="3"/>
    <n v="100"/>
    <n v="1"/>
    <n v="0"/>
    <s v="EQF8"/>
    <n v="200"/>
    <n v="0"/>
    <s v="ร้านที่4"/>
    <s v="ค***ุ้ย"/>
    <s v="สุพรรณบุรี"/>
    <s v="-"/>
    <s v=""/>
    <s v="05/01/2025 08:48"/>
    <s v="-"/>
    <s v="Flash Express Thailand COD"/>
    <s v="Tiktok"/>
    <s v="จ่ายทีหลัง / COD"/>
    <s v=""/>
    <s v="THT14011E60Q69Z"/>
    <s v="05/01/2025 08:48"/>
  </r>
  <r>
    <x v="3"/>
    <x v="8"/>
    <n v="99.75"/>
    <n v="1"/>
    <n v="0"/>
    <s v="EQF7"/>
    <n v="133"/>
    <n v="0"/>
    <s v="ร้านที่6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05/01/2025 08:48"/>
    <s v="-"/>
    <s v="Kerry_dropoff"/>
    <s v="Lazada"/>
    <s v="lazada"/>
    <s v=""/>
    <s v="LEXPU0442339979"/>
    <s v="05/01/2025 08:47"/>
  </r>
  <r>
    <x v="39"/>
    <x v="58"/>
    <n v="399"/>
    <n v="1"/>
    <n v="0"/>
    <s v="EQF6"/>
    <n v="399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1/2025 09:16"/>
    <s v="-"/>
    <s v="Flash Express"/>
    <s v="Shopee"/>
    <s v="shopee"/>
    <s v=""/>
    <s v="TH13056P2BZ89F"/>
    <s v="05/01/2025 08:47"/>
  </r>
  <r>
    <x v="0"/>
    <x v="0"/>
    <n v="100"/>
    <n v="1"/>
    <n v="0"/>
    <s v="EQF4"/>
    <n v="100"/>
    <n v="0"/>
    <s v="ร้านที่4"/>
    <s v="ช***ัฒน์  อ***กุลนา"/>
    <s v="พิษณุโลก"/>
    <s v="-"/>
    <s v=""/>
    <s v="05/01/2025 08:58"/>
    <s v="-"/>
    <s v="Flash Express Thailand"/>
    <s v="Tiktok"/>
    <s v="tiktok"/>
    <s v=""/>
    <s v="THT61031E34M02Z"/>
    <s v="05/01/2025 08:43"/>
  </r>
  <r>
    <x v="1"/>
    <x v="1"/>
    <n v="200"/>
    <n v="1"/>
    <n v="0"/>
    <s v="EQF3"/>
    <n v="200"/>
    <n v="0"/>
    <s v="ร้านที่1"/>
    <s v="ส***พ.รอดคง"/>
    <s v="สระบุรี"/>
    <s v="-"/>
    <s v=""/>
    <s v="05/01/2025 08:43"/>
    <s v="-"/>
    <s v="J&amp;T COD"/>
    <s v="Tiktok"/>
    <s v="จ่ายทีหลัง / COD"/>
    <s v=""/>
    <s v="754338651555"/>
    <s v="05/01/2025 08:43"/>
  </r>
  <r>
    <x v="3"/>
    <x v="3"/>
    <n v="100"/>
    <n v="1"/>
    <n v="0"/>
    <s v="EQF2"/>
    <n v="106"/>
    <n v="6"/>
    <s v="ร้านที่4"/>
    <s v="ส***ียรติ เ***ญขุน"/>
    <s v="นครศรีธรรมราช"/>
    <s v="-"/>
    <s v=""/>
    <s v="05/01/2025 08:35"/>
    <s v="-"/>
    <s v="Flash Express Thailand COD"/>
    <s v="Tiktok"/>
    <s v="จ่ายทีหลัง / COD"/>
    <s v=""/>
    <s v="THT64121E38CA8Z"/>
    <s v="05/01/2025 08:35"/>
  </r>
  <r>
    <x v="1"/>
    <x v="1"/>
    <n v="200"/>
    <n v="1"/>
    <n v="0"/>
    <s v="EQF1"/>
    <n v="200"/>
    <n v="0"/>
    <s v="ร้านที่2"/>
    <s v="เ***ประภา  ข***ิชู"/>
    <s v="ขอนแก่น"/>
    <s v="-"/>
    <s v=""/>
    <s v="05/01/2025 08:34"/>
    <s v="-"/>
    <s v="J&amp;T COD"/>
    <s v="Tiktok"/>
    <s v="จ่ายทีหลัง / COD"/>
    <s v=""/>
    <s v="754399344580"/>
    <s v="05/01/2025 08:34"/>
  </r>
  <r>
    <x v="5"/>
    <x v="5"/>
    <n v="350"/>
    <n v="1"/>
    <n v="0"/>
    <s v="EQF0"/>
    <n v="350"/>
    <n v="0"/>
    <s v="ร้านที่4"/>
    <s v="ห***ง​ฤทัย​ ก***าพันธ์​"/>
    <s v="พระนครศรีอยุธยา"/>
    <s v="-"/>
    <s v=""/>
    <s v="05/01/2025 08:27"/>
    <s v="-"/>
    <s v="Flash Express Thailand"/>
    <s v="Tiktok"/>
    <s v="tiktok"/>
    <s v=""/>
    <s v="THT05141E3M0W4Z"/>
    <s v="05/01/2025 08:27"/>
  </r>
  <r>
    <x v="1"/>
    <x v="1"/>
    <n v="200"/>
    <n v="1"/>
    <n v="0"/>
    <s v="EQE99"/>
    <n v="200"/>
    <n v="0"/>
    <s v="ร้านที่1"/>
    <s v="พ***จี๊ยบ"/>
    <s v="อุบลราชธานี"/>
    <s v="-"/>
    <s v=""/>
    <s v="05/01/2025 08:26"/>
    <s v="-"/>
    <s v="J&amp;T COD"/>
    <s v="Tiktok"/>
    <s v="จ่ายทีหลัง / COD"/>
    <s v=""/>
    <s v="754318032370"/>
    <s v="05/01/2025 08:26"/>
  </r>
  <r>
    <x v="19"/>
    <x v="19"/>
    <n v="199"/>
    <n v="1"/>
    <n v="0"/>
    <s v="EQE97"/>
    <n v="244"/>
    <n v="45"/>
    <s v="ร้านที่1"/>
    <s v="ภ******์"/>
    <s v="******ุมพร,ตรงข้ามตึก3ชั้น) ตำบลวารินชำราบ อำเภอวารินชำราบ จังหวัดอุบลราชธานี 34190"/>
    <s v="34190"/>
    <s v="09"/>
    <s v="05/01/2025 08:14"/>
    <s v="-"/>
    <s v="SPX Express"/>
    <s v="Shopee"/>
    <s v="shopee"/>
    <s v=""/>
    <s v="TH2589626801796"/>
    <s v="05/01/2025 08:14"/>
  </r>
  <r>
    <x v="32"/>
    <x v="47"/>
    <n v="170.05"/>
    <n v="1"/>
    <n v="0"/>
    <s v="EQE96"/>
    <n v="175.05"/>
    <n v="5"/>
    <s v="ร้านที่8"/>
    <s v="จินตนา กานิล  (ร้านค้าแม่เก๋พานิชย์)"/>
    <s v="122 หมู่8  บ้านทุ่งหนองใหญ่ ต.ช่องเม็ก · ช่องเม็ก/ Chong Mek_x000a__x000a_สิรินธร/ Sirindhornอุบลราชธานี/ Ubon Ratchathani_x000a_34350"/>
    <s v="34350"/>
    <s v="660969516639"/>
    <s v="05/01/2025 08:11"/>
    <s v="-"/>
    <s v="Kerry_dropoff"/>
    <s v="Lazada"/>
    <s v="lazada"/>
    <s v=""/>
    <s v="TH31196NY0HE7B"/>
    <s v="05/01/2025 08:11"/>
  </r>
  <r>
    <x v="39"/>
    <x v="55"/>
    <n v="350.2"/>
    <n v="1"/>
    <n v="0"/>
    <s v="EQE95"/>
    <n v="350.2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05/01/2025 08:11"/>
    <s v="-"/>
    <s v="Kerry_dropoff"/>
    <s v="Lazada"/>
    <s v="lazada"/>
    <s v=""/>
    <s v="LEXDO0124016090"/>
    <s v="05/01/2025 08:11"/>
  </r>
  <r>
    <x v="32"/>
    <x v="53"/>
    <n v="199"/>
    <n v="1"/>
    <n v="0"/>
    <s v="EQE94"/>
    <n v="206"/>
    <n v="7"/>
    <s v="ร้านที่1"/>
    <s v="ธ******ว"/>
    <s v="******ทองเคหะซอย 2 ตำบลบางบัวทอง อำเภอบางบัวทอง จังหวัดนนทบุรี 11110"/>
    <s v="11110"/>
    <s v="68"/>
    <s v="05/01/2025 08:37"/>
    <s v="-"/>
    <s v="SPX Express"/>
    <s v="Shopee"/>
    <s v="shopee"/>
    <s v=""/>
    <s v="TH256641992357H"/>
    <s v="05/01/2025 08:07"/>
  </r>
  <r>
    <x v="1"/>
    <x v="1"/>
    <n v="200"/>
    <n v="1"/>
    <n v="0"/>
    <s v="EQE93"/>
    <n v="200"/>
    <n v="0"/>
    <s v="ร้านที่2"/>
    <s v="จ***ณี แ***ัยภูมิ"/>
    <s v="นครราชสีมา"/>
    <s v="-"/>
    <s v=""/>
    <s v="05/01/2025 08:06"/>
    <s v="-"/>
    <s v="J&amp;T COD"/>
    <s v="Tiktok"/>
    <s v="จ่ายทีหลัง / COD"/>
    <s v=""/>
    <s v="754380946524"/>
    <s v="05/01/2025 08:06"/>
  </r>
  <r>
    <x v="3"/>
    <x v="3"/>
    <n v="100"/>
    <n v="1"/>
    <n v="0"/>
    <s v="EQE92"/>
    <n v="106"/>
    <n v="6"/>
    <s v="ร้านที่1"/>
    <s v="ค***าณฑ์ ภ***ประภาส"/>
    <s v="ชัยภูมิ"/>
    <s v="-"/>
    <s v=""/>
    <s v="05/01/2025 08:05"/>
    <s v="-"/>
    <s v="J&amp;T Express"/>
    <s v="Tiktok"/>
    <s v="tiktok"/>
    <s v=""/>
    <s v="754367637365"/>
    <s v="05/01/2025 08:05"/>
  </r>
  <r>
    <x v="10"/>
    <x v="10"/>
    <n v="200"/>
    <n v="1"/>
    <n v="0"/>
    <s v="EQE90"/>
    <n v="300"/>
    <n v="0"/>
    <s v="ร้านที่4"/>
    <s v="ม***ช"/>
    <s v="ชลบุรี"/>
    <s v="-"/>
    <s v=""/>
    <s v="05/01/2025 07:45"/>
    <s v="-"/>
    <s v="Flash Express Thailand COD"/>
    <s v="Tiktok"/>
    <s v="จ่ายทีหลัง / COD"/>
    <s v=""/>
    <s v="THT20011E3CW24Z"/>
    <s v="05/01/2025 07:45"/>
  </r>
  <r>
    <x v="3"/>
    <x v="3"/>
    <n v="100"/>
    <n v="1"/>
    <n v="0"/>
    <s v="EQE90"/>
    <n v="300"/>
    <n v="0"/>
    <s v="ร้านที่4"/>
    <s v="ม***ช"/>
    <s v="ชลบุรี"/>
    <s v="-"/>
    <s v=""/>
    <s v="05/01/2025 07:45"/>
    <s v="-"/>
    <s v="Flash Express Thailand COD"/>
    <s v="Tiktok"/>
    <s v="จ่ายทีหลัง / COD"/>
    <s v=""/>
    <s v="THT20011E3CW24Z"/>
    <s v="05/01/2025 07:45"/>
  </r>
  <r>
    <x v="10"/>
    <x v="10"/>
    <n v="200"/>
    <n v="1"/>
    <n v="0"/>
    <s v="EQE89"/>
    <n v="200"/>
    <n v="0"/>
    <s v="ร้านที่4"/>
    <s v="ป***พวรรณณรังษี"/>
    <s v="ระยอง"/>
    <s v="-"/>
    <s v=""/>
    <s v="05/01/2025 07:45"/>
    <s v="-"/>
    <s v="Flash Express Thailand COD"/>
    <s v="Tiktok"/>
    <s v="จ่ายทีหลัง / COD"/>
    <s v=""/>
    <s v="THT21031E3N9X8Z"/>
    <s v="05/01/2025 07:45"/>
  </r>
  <r>
    <x v="1"/>
    <x v="1"/>
    <n v="200"/>
    <n v="1"/>
    <n v="0"/>
    <s v="EQE88"/>
    <n v="200"/>
    <n v="0"/>
    <s v="ร้านที่1"/>
    <s v="ฟ***ม"/>
    <s v="อ่างทอง"/>
    <s v="-"/>
    <s v=""/>
    <s v="05/01/2025 07:38"/>
    <s v="-"/>
    <s v="J&amp;T COD"/>
    <s v="Tiktok"/>
    <s v="จ่ายทีหลัง / COD"/>
    <s v=""/>
    <s v="754336258561"/>
    <s v="05/01/2025 07:38"/>
  </r>
  <r>
    <x v="3"/>
    <x v="3"/>
    <n v="100"/>
    <n v="2"/>
    <n v="0"/>
    <s v="EQE87"/>
    <n v="229"/>
    <n v="29"/>
    <s v="ร้านที่2"/>
    <s v="น******ด"/>
    <s v="******ุมเกาะ, อำเภอสวรรคโลก ตำบลป่ากุมเกาะ อำเภอสวรรคโลก จังหวัดสุโขทัย 64110"/>
    <s v="64110"/>
    <s v="24"/>
    <s v="05/01/2025 07:38"/>
    <s v="-"/>
    <s v="SPX Express"/>
    <s v="Shopee"/>
    <s v="shopee"/>
    <s v=""/>
    <s v="TH251014566114U"/>
    <s v="05/01/2025 07:37"/>
  </r>
  <r>
    <x v="3"/>
    <x v="3"/>
    <n v="100"/>
    <n v="1"/>
    <n v="0"/>
    <s v="EQE86"/>
    <n v="195"/>
    <n v="0"/>
    <s v="ร้านที่1"/>
    <s v="น***ระทุม เ***นิยม"/>
    <s v="กาญจนบุรี"/>
    <s v="-"/>
    <s v=""/>
    <s v="05/01/2025 07:39"/>
    <s v="-"/>
    <s v="J&amp;T Express"/>
    <s v="Tiktok"/>
    <s v="tiktok"/>
    <s v=""/>
    <s v="754383531311"/>
    <s v="05/01/2025 07:37"/>
  </r>
  <r>
    <x v="9"/>
    <x v="4"/>
    <n v="100"/>
    <n v="1"/>
    <n v="0"/>
    <s v="EQE85"/>
    <n v="100"/>
    <n v="0"/>
    <s v="ร้านที่4"/>
    <s v="ส***ย์ แ***ศรีงาม"/>
    <s v="กำแพงเพชร"/>
    <s v="-"/>
    <s v=""/>
    <s v="05/01/2025 07:33"/>
    <s v="-"/>
    <s v="Flash Express Thailand COD"/>
    <s v="Tiktok"/>
    <s v="จ่ายทีหลัง / COD"/>
    <s v=""/>
    <s v="THT58011E38J44Z"/>
    <s v="05/01/2025 07:33"/>
  </r>
  <r>
    <x v="21"/>
    <x v="21"/>
    <n v="149"/>
    <n v="1"/>
    <n v="0"/>
    <s v="EQE84"/>
    <n v="349"/>
    <n v="0"/>
    <s v="ร้านที่2"/>
    <s v="ธ***ัทร พ***น"/>
    <s v="สมุทรสาคร"/>
    <s v="-"/>
    <s v=""/>
    <s v="05/01/2025 07:13"/>
    <s v="-"/>
    <s v="J&amp;T Express"/>
    <s v="Tiktok"/>
    <s v="tiktok"/>
    <s v=""/>
    <s v="754327394262"/>
    <s v="05/01/2025 07:13"/>
  </r>
  <r>
    <x v="1"/>
    <x v="1"/>
    <n v="200"/>
    <n v="1"/>
    <n v="0"/>
    <s v="EQE84"/>
    <n v="349"/>
    <n v="0"/>
    <s v="ร้านที่2"/>
    <s v="ธ***ัทร พ***น"/>
    <s v="สมุทรสาคร"/>
    <s v="-"/>
    <s v=""/>
    <s v="05/01/2025 07:13"/>
    <s v="-"/>
    <s v="J&amp;T Express"/>
    <s v="Tiktok"/>
    <s v="tiktok"/>
    <s v=""/>
    <s v="754327394262"/>
    <s v="05/01/2025 07:13"/>
  </r>
  <r>
    <x v="4"/>
    <x v="4"/>
    <n v="100"/>
    <n v="1"/>
    <n v="0"/>
    <s v="EQE82"/>
    <n v="100"/>
    <n v="0"/>
    <s v="ร้านที่1"/>
    <s v="ส***ย์รัตน์ ส***์หอย"/>
    <s v="พระนครศรีอยุธยา"/>
    <s v="-"/>
    <s v=""/>
    <s v="05/01/2025 06:38"/>
    <s v="-"/>
    <s v="J&amp;T COD"/>
    <s v="Tiktok"/>
    <s v="จ่ายทีหลัง / COD"/>
    <s v=""/>
    <s v="754382840072"/>
    <s v="05/01/2025 06:38"/>
  </r>
  <r>
    <x v="9"/>
    <x v="4"/>
    <n v="100"/>
    <n v="1"/>
    <n v="0"/>
    <s v="EQE80"/>
    <n v="100"/>
    <n v="0"/>
    <s v="ร้านที่2"/>
    <s v="ภ***า  ม***ธง"/>
    <s v="นครปฐม"/>
    <s v="-"/>
    <s v=""/>
    <s v="05/01/2025 06:01"/>
    <s v="-"/>
    <s v="J&amp;T COD"/>
    <s v="Tiktok"/>
    <s v="จ่ายทีหลัง / COD"/>
    <s v=""/>
    <s v="754337315012"/>
    <s v="05/01/2025 06:02"/>
  </r>
  <r>
    <x v="0"/>
    <x v="0"/>
    <n v="100"/>
    <n v="6"/>
    <n v="0"/>
    <s v="EQE79"/>
    <n v="600"/>
    <n v="0"/>
    <s v="ร้านที่1"/>
    <s v="อ***ยา ส***รไพรสุข"/>
    <s v="ตาก"/>
    <s v="-"/>
    <s v=""/>
    <s v="05/01/2025 05:33"/>
    <s v="-"/>
    <s v="J&amp;T COD"/>
    <s v="Tiktok"/>
    <s v="จ่ายทีหลัง / COD"/>
    <s v=""/>
    <s v="754201791991"/>
    <s v="05/01/2025 05:34"/>
  </r>
  <r>
    <x v="3"/>
    <x v="3"/>
    <n v="100"/>
    <n v="2"/>
    <n v="0"/>
    <s v="EQE78"/>
    <n v="200"/>
    <n v="0"/>
    <s v="ร้านที่2"/>
    <s v="ล***าวัลย์ ช***วงษ์"/>
    <s v="นครราชสีมา"/>
    <s v="-"/>
    <s v=""/>
    <s v="05/01/2025 04:34"/>
    <s v="-"/>
    <s v="J&amp;T COD"/>
    <s v="Tiktok"/>
    <s v="จ่ายทีหลัง / COD"/>
    <s v=""/>
    <s v="754307111036"/>
    <s v="05/01/2025 04:34"/>
  </r>
  <r>
    <x v="1"/>
    <x v="1"/>
    <n v="200"/>
    <n v="1"/>
    <n v="0"/>
    <s v="EQE77"/>
    <n v="200"/>
    <n v="0"/>
    <s v="ร้านที่2"/>
    <s v="พ***ากร  ม***ดิษฐ์"/>
    <s v="สระบุรี"/>
    <s v="-"/>
    <s v=""/>
    <s v="05/01/2025 04:26"/>
    <s v="-"/>
    <s v="J&amp;T COD"/>
    <s v="Tiktok"/>
    <s v="จ่ายทีหลัง / COD"/>
    <s v=""/>
    <s v="754340029026"/>
    <s v="05/01/2025 04:26"/>
  </r>
  <r>
    <x v="2"/>
    <x v="2"/>
    <n v="111.6"/>
    <n v="1"/>
    <n v="0"/>
    <s v="EQE76"/>
    <n v="156.6"/>
    <n v="45"/>
    <s v="ร้านที่1"/>
    <s v="นิตยา ประทุมพงษ์"/>
    <s v="399/5 ต.บ้านใหม่ อ.เมือง นครราชสีมา_x000a__x000a_เมืองนครราชสีมา/ Mueng Nakorn Ratchasimaนครราชสีมา/ Nakhon Ratchasima_x000a_30000"/>
    <s v="30000"/>
    <s v="660902805275"/>
    <s v="05/01/2025 04:22"/>
    <s v="-"/>
    <s v="Kerry_dropoff"/>
    <s v="Lazada"/>
    <s v="lazada"/>
    <s v=""/>
    <s v="LEXPU0441765302"/>
    <s v="05/01/2025 04:22"/>
  </r>
  <r>
    <x v="2"/>
    <x v="2"/>
    <n v="112.8"/>
    <n v="1"/>
    <n v="0"/>
    <s v="EQE75"/>
    <n v="117.8"/>
    <n v="5"/>
    <s v="ร้านที่1"/>
    <s v="กาญจณาวรรณ  โพธิ์สาขา"/>
    <s v="สหกรณ์บ้านห้วยยอจำกัด เลขที่ 220 หมู่3 ต.กะทูน_x000a__x000a_พิปูน/ Phipunนครศรีธรรมราช/ Nakhon Si Thammarat_x000a_80270"/>
    <s v="80270"/>
    <s v="660980646326"/>
    <s v="05/01/2025 04:00"/>
    <s v="-"/>
    <s v="Kerry_dropoff"/>
    <s v="Lazada"/>
    <s v="lazada"/>
    <s v=""/>
    <s v="TH64056NP5VE3B"/>
    <s v="05/01/2025 03:58"/>
  </r>
  <r>
    <x v="3"/>
    <x v="3"/>
    <n v="138"/>
    <n v="1"/>
    <n v="0"/>
    <s v="EQE74"/>
    <n v="281"/>
    <n v="5"/>
    <s v="ร้านที่1"/>
    <s v="คุณบานเย็น จันทร์แก้ว"/>
    <s v="139 ม.11 บ.โคกเจริญ ต.นาวัง_x000a__x000a_เมืองอำนาจเจริญ/ Mueang Amnat Charoenอำนาจเจริญ/ Amnat Charoen_x000a_37000"/>
    <s v="37000"/>
    <s v="660878799817"/>
    <s v="05/01/2025 03:50"/>
    <s v="-"/>
    <s v="Kerry_dropoff"/>
    <s v="Lazada"/>
    <s v="lazada"/>
    <s v=""/>
    <s v="TH34016NUG905J"/>
    <s v="05/01/2025 03:49"/>
  </r>
  <r>
    <x v="3"/>
    <x v="3"/>
    <n v="138"/>
    <n v="1"/>
    <n v="0"/>
    <s v="EQE74"/>
    <n v="281"/>
    <n v="5"/>
    <s v="ร้านที่1"/>
    <s v="คุณบานเย็น จันทร์แก้ว"/>
    <s v="139 ม.11 บ.โคกเจริญ ต.นาวัง_x000a__x000a_เมืองอำนาจเจริญ/ Mueang Amnat Charoenอำนาจเจริญ/ Amnat Charoen_x000a_37000"/>
    <s v="37000"/>
    <s v="660878799817"/>
    <s v="05/01/2025 03:50"/>
    <s v="-"/>
    <s v="Kerry_dropoff"/>
    <s v="Lazada"/>
    <s v="lazada"/>
    <s v=""/>
    <s v="TH34016NUG905J"/>
    <s v="05/01/2025 03:49"/>
  </r>
  <r>
    <x v="3"/>
    <x v="8"/>
    <n v="99.75"/>
    <n v="1"/>
    <n v="0"/>
    <s v="EQE72"/>
    <n v="104.75"/>
    <n v="5"/>
    <s v="ร้านที่6"/>
    <s v="Kanyarat munee"/>
    <s v="130 ม.14 บ.คำไฮน้อย_x000a__x000a_วังสามหมอ/ Wang Sam Moอุดรธานี/ Udon Thani_x000a_41280"/>
    <s v="41280"/>
    <s v="660639711523"/>
    <s v="05/01/2025 03:24"/>
    <s v="-"/>
    <s v="Kerry_dropoff"/>
    <s v="Lazada"/>
    <s v="lazada"/>
    <s v=""/>
    <s v="TH38106NUE2R0D"/>
    <s v="05/01/2025 03:24"/>
  </r>
  <r>
    <x v="1"/>
    <x v="1"/>
    <n v="200"/>
    <n v="1"/>
    <n v="0"/>
    <s v="EQE71"/>
    <n v="200"/>
    <n v="0"/>
    <s v="ร้านที่2"/>
    <s v="น***ร​ อ***ชัย"/>
    <s v="ร้อยเอ็ด"/>
    <s v="-"/>
    <s v=""/>
    <s v="05/01/2025 02:48"/>
    <s v="-"/>
    <s v="J&amp;T COD"/>
    <s v="Tiktok"/>
    <s v="จ่ายทีหลัง / COD"/>
    <s v=""/>
    <s v="754331615310"/>
    <s v="05/01/2025 02:48"/>
  </r>
  <r>
    <x v="0"/>
    <x v="0"/>
    <n v="100"/>
    <n v="1"/>
    <n v="0"/>
    <s v="EQE68"/>
    <n v="106"/>
    <n v="6"/>
    <s v="ร้านที่2"/>
    <s v="B***"/>
    <s v="ชลบุรี"/>
    <s v="-"/>
    <s v=""/>
    <s v="05/01/2025 02:01"/>
    <s v="-"/>
    <s v="J&amp;T Express"/>
    <s v="Tiktok"/>
    <s v="tiktok"/>
    <s v=""/>
    <s v="754329773271"/>
    <s v="05/01/2025 02:01"/>
  </r>
  <r>
    <x v="19"/>
    <x v="19"/>
    <n v="199"/>
    <n v="1"/>
    <n v="0"/>
    <s v="EQE67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5/01/2025 01:35"/>
    <s v="-"/>
    <s v="SPX Express"/>
    <s v="Shopee"/>
    <s v="shopee"/>
    <s v=""/>
    <s v="TH257774121288P"/>
    <s v="05/01/2025 00:59"/>
  </r>
  <r>
    <x v="19"/>
    <x v="19"/>
    <n v="199"/>
    <n v="1"/>
    <n v="0"/>
    <s v="EQE66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5/01/2025 01:35"/>
    <s v="-"/>
    <s v="SPX Express"/>
    <s v="Shopee"/>
    <s v="shopee"/>
    <s v=""/>
    <s v="TH2561774007420"/>
    <s v="05/01/2025 00:57"/>
  </r>
  <r>
    <x v="0"/>
    <x v="0"/>
    <n v="100"/>
    <n v="1"/>
    <n v="0"/>
    <s v="EQE65"/>
    <n v="200"/>
    <n v="0"/>
    <s v="ร้านที่4"/>
    <s v="น***ิยา เ***ะหมาย"/>
    <s v="กรุงเทพมหานคร"/>
    <s v="-"/>
    <s v=""/>
    <s v="05/01/2025 00:44"/>
    <s v="-"/>
    <s v="Flash Express Thailand"/>
    <s v="Tiktok"/>
    <s v="tiktok"/>
    <s v=""/>
    <s v="THT01171DYR191Z"/>
    <s v="05/01/2025 00:43"/>
  </r>
  <r>
    <x v="4"/>
    <x v="4"/>
    <n v="100"/>
    <n v="1"/>
    <n v="0"/>
    <s v="EQE65"/>
    <n v="200"/>
    <n v="0"/>
    <s v="ร้านที่4"/>
    <s v="น***ิยา เ***ะหมาย"/>
    <s v="กรุงเทพมหานคร"/>
    <s v="-"/>
    <s v=""/>
    <s v="05/01/2025 00:44"/>
    <s v="-"/>
    <s v="Flash Express Thailand"/>
    <s v="Tiktok"/>
    <s v="tiktok"/>
    <s v=""/>
    <s v="THT01171DYR191Z"/>
    <s v="05/01/2025 00:43"/>
  </r>
  <r>
    <x v="3"/>
    <x v="8"/>
    <n v="84.1"/>
    <n v="1"/>
    <n v="0"/>
    <s v="EQE63"/>
    <n v="89.1"/>
    <n v="5"/>
    <s v="ร้านที่6"/>
    <s v="นิสาชน  เรืองฤทธิ์"/>
    <s v="93 ซอย สำนักสงฆ์บางริ้น หมู่2 ตำบล บางริ้น_x000a__x000a_เมืองระนอง/ Mueang Ranongระนอง/ Ranong_x000a_85000"/>
    <s v="85000"/>
    <s v="660887606545"/>
    <s v="05/01/2025 00:24"/>
    <s v="-"/>
    <s v="Kerry_dropoff"/>
    <s v="Lazada"/>
    <s v="lazada"/>
    <s v=""/>
    <s v="TH69016NUE929D"/>
    <s v="05/01/2025 00:24"/>
  </r>
  <r>
    <x v="4"/>
    <x v="4"/>
    <n v="100"/>
    <n v="1"/>
    <n v="0"/>
    <s v="EQE62"/>
    <n v="106"/>
    <n v="6"/>
    <s v="ร้านที่2"/>
    <s v="ข***อง  ภ***รักษ์"/>
    <s v="ปทุมธานี"/>
    <s v="-"/>
    <s v=""/>
    <s v="05/01/2025 00:17"/>
    <s v="-"/>
    <s v="J&amp;T COD"/>
    <s v="Tiktok"/>
    <s v="จ่ายทีหลัง / COD"/>
    <s v=""/>
    <s v="754386035082"/>
    <s v="05/01/2025 00:24"/>
  </r>
  <r>
    <x v="3"/>
    <x v="8"/>
    <n v="99.75"/>
    <n v="1"/>
    <n v="0"/>
    <s v="EQE61"/>
    <n v="351.75"/>
    <n v="24"/>
    <s v="ร้านที่6"/>
    <s v="หนูเทียน ปะนามะสา"/>
    <s v="82หมู่4 บ้านไทยสามัคคี ตำบลโคคลาน อำเภอตาพระยา จังหวัดสระแก้ว_x000a__x000a_ตาพระยา/ Ta Phrayaสระแก้ว/ Sa Kaeo_x000a_27180"/>
    <s v="27180"/>
    <s v="660903832425"/>
    <s v="05/01/2025 00:24"/>
    <s v="-"/>
    <s v="Kerry_dropoff"/>
    <s v="Lazada"/>
    <s v="lazada"/>
    <s v=""/>
    <s v="LEXPU0442283798"/>
    <s v="05/01/2025 00:24"/>
  </r>
  <r>
    <x v="3"/>
    <x v="8"/>
    <n v="99.75"/>
    <n v="1"/>
    <n v="0"/>
    <s v="EQE61"/>
    <n v="351.75"/>
    <n v="24"/>
    <s v="ร้านที่6"/>
    <s v="หนูเทียน ปะนามะสา"/>
    <s v="82หมู่4 บ้านไทยสามัคคี ตำบลโคคลาน อำเภอตาพระยา จังหวัดสระแก้ว_x000a__x000a_ตาพระยา/ Ta Phrayaสระแก้ว/ Sa Kaeo_x000a_27180"/>
    <s v="27180"/>
    <s v="660903832425"/>
    <s v="05/01/2025 00:24"/>
    <s v="-"/>
    <s v="Kerry_dropoff"/>
    <s v="Lazada"/>
    <s v="lazada"/>
    <s v=""/>
    <s v="LEXPU0442283798"/>
    <s v="05/01/2025 00:24"/>
  </r>
  <r>
    <x v="1"/>
    <x v="1"/>
    <n v="200"/>
    <n v="1"/>
    <n v="0"/>
    <s v="EQE60"/>
    <n v="200"/>
    <n v="0"/>
    <s v="ร้านที่1"/>
    <s v="น*** ธ***วิสุทธิ์"/>
    <s v="พระนครศรีอยุธยา"/>
    <s v="-"/>
    <s v=""/>
    <s v="05/01/2025 00:16"/>
    <s v="-"/>
    <s v="J&amp;T COD"/>
    <s v="Tiktok"/>
    <s v="จ่ายทีหลัง / COD"/>
    <s v=""/>
    <s v="754385708344"/>
    <s v="05/01/2025 00:24"/>
  </r>
  <r>
    <x v="19"/>
    <x v="19"/>
    <n v="199"/>
    <n v="1"/>
    <n v="0"/>
    <s v="EQE5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5 00:41"/>
    <s v="-"/>
    <s v="SPX Express"/>
    <s v="Shopee"/>
    <s v="shopee"/>
    <s v=""/>
    <s v="TH2534459662111"/>
    <s v="05/01/2025 00:21"/>
  </r>
  <r>
    <x v="19"/>
    <x v="19"/>
    <n v="199"/>
    <n v="1"/>
    <n v="0"/>
    <s v="EQE5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5 00:39"/>
    <s v="-"/>
    <s v="SPX Express"/>
    <s v="Shopee"/>
    <s v="shopee"/>
    <s v=""/>
    <s v="TH252557434390M"/>
    <s v="05/01/2025 00:21"/>
  </r>
  <r>
    <x v="3"/>
    <x v="3"/>
    <n v="100"/>
    <n v="1"/>
    <n v="0"/>
    <s v="EQE57"/>
    <n v="107"/>
    <n v="7"/>
    <s v="ร้านที่2"/>
    <s v="ร******้"/>
    <s v="******อย สรงประภา 11/1, ดอนเมือง, เขตดอนเมือง แขวงดอนเมือง เขตดอนเมือง จังหวัดกรุงเทพมหานคร 10210"/>
    <s v="10210"/>
    <s v="99"/>
    <s v="05/01/2025 00:21"/>
    <s v="-"/>
    <s v="SPX Express"/>
    <s v="Shopee"/>
    <s v="shopee"/>
    <s v=""/>
    <s v="TH250217271454W"/>
    <s v="05/01/2025 00:21"/>
  </r>
  <r>
    <x v="19"/>
    <x v="19"/>
    <n v="197"/>
    <n v="4"/>
    <n v="0"/>
    <s v="EQE56"/>
    <n v="873"/>
    <n v="0"/>
    <s v="ร้านที่2"/>
    <s v="ค******์"/>
    <s v="******ลบางกระสั้น อำเภอบางปะอิน จังหวัดพระนครศรีอยุธยา 13160"/>
    <s v="13160"/>
    <s v="56"/>
    <s v="05/01/2025 00:36"/>
    <s v="-"/>
    <s v="SPX Express"/>
    <s v="Shopee"/>
    <s v="shopee"/>
    <s v=""/>
    <s v="TH255885492341C"/>
    <s v="05/01/2025 00:18"/>
  </r>
  <r>
    <x v="24"/>
    <x v="26"/>
    <n v="525"/>
    <n v="1"/>
    <n v="0"/>
    <s v="EQE55"/>
    <n v="549"/>
    <n v="24"/>
    <s v="ร้านที่9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4/01/2025 23:57"/>
    <s v="-"/>
    <s v="Kerry_dropoff"/>
    <s v="Lazada"/>
    <s v="lazada"/>
    <s v=""/>
    <s v="LEXDO0123843981"/>
    <s v="04/01/2025 23:57"/>
  </r>
  <r>
    <x v="0"/>
    <x v="0"/>
    <n v="100"/>
    <n v="1"/>
    <n v="0"/>
    <s v="EQE53"/>
    <n v="244"/>
    <n v="0"/>
    <s v="ร้านที่4"/>
    <s v="ส***ทอง ย***ิสาร"/>
    <s v="สุรินทร์"/>
    <s v="-"/>
    <s v=""/>
    <s v="04/01/2025 23:47"/>
    <s v="-"/>
    <s v="Flash Express Thailand"/>
    <s v="Tiktok"/>
    <s v="tiktok"/>
    <s v=""/>
    <s v="THT29101DYKS59Z"/>
    <s v="04/01/2025 23:47"/>
  </r>
  <r>
    <x v="19"/>
    <x v="19"/>
    <n v="197"/>
    <n v="3"/>
    <n v="0"/>
    <s v="EQE52"/>
    <n v="591"/>
    <n v="0"/>
    <s v="ร้านที่2"/>
    <s v="พ******์"/>
    <s v="******4 ใต้ ตำบลจันทบเพชร อำเภอบ้านกรวด จังหวัดบุรีรัมย์ 31180"/>
    <s v="31180"/>
    <s v="99"/>
    <s v="04/01/2025 23:53"/>
    <s v="-"/>
    <s v="Flash Express"/>
    <s v="Shopee"/>
    <s v="shopee"/>
    <s v=""/>
    <s v="TH28086NPFCA0H"/>
    <s v="04/01/2025 23:23"/>
  </r>
  <r>
    <x v="13"/>
    <x v="13"/>
    <n v="230"/>
    <n v="1"/>
    <n v="0"/>
    <s v="EQE50"/>
    <n v="225"/>
    <n v="0"/>
    <s v="ร้านที่2"/>
    <s v="น******ญ"/>
    <s v="******น, อำเภอเมืองปาน ตำบลเมืองปาน อำเภอเมืองปาน จังหวัดลำปาง 52240"/>
    <s v="52240"/>
    <s v="50"/>
    <s v="04/01/2025 23:15"/>
    <s v="-"/>
    <s v="Flash Express"/>
    <s v="Shopee"/>
    <s v="shopee"/>
    <s v=""/>
    <s v="TH49136NPQ041A"/>
    <s v="04/01/2025 23:15"/>
  </r>
  <r>
    <x v="4"/>
    <x v="4"/>
    <n v="100"/>
    <n v="1"/>
    <n v="0"/>
    <s v="EQE49"/>
    <n v="200"/>
    <n v="0"/>
    <s v="ร้านที่1"/>
    <s v="ซ***ีนา ห***ล็ม"/>
    <s v="เทศบาลนครนครศรีธรรมราช"/>
    <s v="-"/>
    <s v=""/>
    <s v="04/01/2025 23:15"/>
    <s v="-"/>
    <s v="J&amp;T Express"/>
    <s v="Tiktok"/>
    <s v="tiktok"/>
    <s v=""/>
    <s v="754326792214"/>
    <s v="04/01/2025 23:14"/>
  </r>
  <r>
    <x v="0"/>
    <x v="0"/>
    <n v="100"/>
    <n v="1"/>
    <n v="0"/>
    <s v="EQE49"/>
    <n v="200"/>
    <n v="0"/>
    <s v="ร้านที่1"/>
    <s v="ซ***ีนา ห***ล็ม"/>
    <s v="เทศบาลนครนครศรีธรรมราช"/>
    <s v="-"/>
    <s v=""/>
    <s v="04/01/2025 23:15"/>
    <s v="-"/>
    <s v="J&amp;T Express"/>
    <s v="Tiktok"/>
    <s v="tiktok"/>
    <s v=""/>
    <s v="754326792214"/>
    <s v="04/01/2025 23:14"/>
  </r>
  <r>
    <x v="19"/>
    <x v="19"/>
    <n v="197"/>
    <n v="1"/>
    <n v="0"/>
    <s v="EQE48"/>
    <n v="237"/>
    <n v="45"/>
    <s v="ร้านที่2"/>
    <s v="ช******์"/>
    <s v="******นครินทร์ 18 ถนนศรีนครินทร์ แขวงพัฒนาการ แขวงพัฒนาการ เขตสวนหลวง จังหวัดกรุงเทพมหานคร 10250"/>
    <s v="10250"/>
    <s v="12"/>
    <s v="04/01/2025 23:42"/>
    <s v="-"/>
    <s v="Flash Express"/>
    <s v="Shopee"/>
    <s v="shopee"/>
    <s v=""/>
    <s v="TH01436NPN2P6B"/>
    <s v="04/01/2025 23:12"/>
  </r>
  <r>
    <x v="46"/>
    <x v="68"/>
    <n v="1200"/>
    <n v="1"/>
    <n v="0"/>
    <s v="EQE47"/>
    <n v="1200"/>
    <n v="0"/>
    <s v="ร้านที่4"/>
    <s v="ณ***นม์ เ***เลิศ"/>
    <s v="อ่างทอง"/>
    <s v="-"/>
    <s v=""/>
    <s v="04/01/2025 23:12"/>
    <s v="-"/>
    <s v="Flash Express Thailand COD"/>
    <s v="Tiktok"/>
    <s v="จ่ายทีหลัง / COD"/>
    <s v=""/>
    <s v="THT06031E2NWT4Z"/>
    <s v="04/01/2025 23:12"/>
  </r>
  <r>
    <x v="0"/>
    <x v="0"/>
    <n v="100"/>
    <n v="1"/>
    <n v="0"/>
    <s v="EQE46"/>
    <n v="106"/>
    <n v="6"/>
    <s v="ร้านที่1"/>
    <s v="ป***ปี้_x000a_82หมู่ 1***ำบลคำเขื่อนแก้ว_x000a_อำเภอสิรินธร_x000a_จังหวัดอุบลราชธา"/>
    <s v="อุบลราชธานี"/>
    <s v="-"/>
    <s v=""/>
    <s v="04/01/2025 23:12"/>
    <s v="-"/>
    <s v="J&amp;T COD"/>
    <s v="Tiktok"/>
    <s v="จ่ายทีหลัง / COD"/>
    <s v=""/>
    <s v="754361083243"/>
    <s v="04/01/2025 23:12"/>
  </r>
  <r>
    <x v="2"/>
    <x v="2"/>
    <n v="111.6"/>
    <n v="1"/>
    <n v="0"/>
    <s v="EQE45"/>
    <n v="116.6"/>
    <n v="5"/>
    <s v="ร้านที่1"/>
    <s v="รัตนา     ฉิมมาแก้ว"/>
    <s v="246ม.3ต.เขาสามสิบอ.เขาฉกรรจ์จ.สระแก้ว ไม่มี_x000a__x000a_เขาฉกรรจ์/ Khao Chakanสระแก้ว/ Sa Kaeo_x000a_27000"/>
    <s v="27000"/>
    <s v="660895308616"/>
    <s v="04/01/2025 23:00"/>
    <s v="-"/>
    <s v="Kerry_dropoff"/>
    <s v="Lazada"/>
    <s v="lazada"/>
    <s v=""/>
    <s v="TH26076NP6121D"/>
    <s v="04/01/2025 22:55"/>
  </r>
  <r>
    <x v="0"/>
    <x v="0"/>
    <n v="100"/>
    <n v="2"/>
    <n v="0"/>
    <s v="EQE44"/>
    <n v="200"/>
    <n v="0"/>
    <s v="ร้านที่1"/>
    <s v="ป**"/>
    <s v="นครราชสีมา"/>
    <s v="-"/>
    <s v=""/>
    <s v="04/01/2025 22:55"/>
    <s v="-"/>
    <s v="J&amp;T COD"/>
    <s v="Tiktok"/>
    <s v="จ่ายทีหลัง / COD"/>
    <s v=""/>
    <s v="754390089202"/>
    <s v="04/01/2025 22:55"/>
  </r>
  <r>
    <x v="4"/>
    <x v="4"/>
    <n v="100"/>
    <n v="3"/>
    <n v="0"/>
    <s v="EQE43"/>
    <n v="300"/>
    <n v="0"/>
    <s v="ร้านที่4"/>
    <s v="ก***นา ด***อหมาน"/>
    <s v="สงขลา"/>
    <s v="-"/>
    <s v=""/>
    <s v="04/01/2025 22:54"/>
    <s v="-"/>
    <s v="Flash Express Thailand COD"/>
    <s v="Tiktok"/>
    <s v="จ่ายทีหลัง / COD"/>
    <s v=""/>
    <s v="THT71151DZB641Z"/>
    <s v="04/01/2025 22:54"/>
  </r>
  <r>
    <x v="1"/>
    <x v="1"/>
    <n v="200"/>
    <n v="1"/>
    <n v="0"/>
    <s v="EQE42"/>
    <n v="200"/>
    <n v="0"/>
    <s v="ร้านที่1"/>
    <s v="เ***กา แ***งจันทึก"/>
    <s v="นครราชสีมา"/>
    <s v="-"/>
    <s v=""/>
    <s v="04/01/2025 22:51"/>
    <s v="-"/>
    <s v="J&amp;T COD"/>
    <s v="Tiktok"/>
    <s v="จ่ายทีหลัง / COD"/>
    <s v=""/>
    <s v="754308104351"/>
    <s v="04/01/2025 22:51"/>
  </r>
  <r>
    <x v="5"/>
    <x v="5"/>
    <n v="330"/>
    <n v="1"/>
    <n v="0"/>
    <s v="EQE41"/>
    <n v="330"/>
    <n v="0"/>
    <s v="ร้านที่1"/>
    <s v="ม***ิกา จ***ร์ละคร"/>
    <s v="เทศบาลนครสกลนคร"/>
    <s v="-"/>
    <s v=""/>
    <s v="04/01/2025 22:50"/>
    <s v="-"/>
    <s v="J&amp;T Express"/>
    <s v="Tiktok"/>
    <s v="tiktok"/>
    <s v=""/>
    <s v="754356402365"/>
    <s v="04/01/2025 22:50"/>
  </r>
  <r>
    <x v="4"/>
    <x v="4"/>
    <n v="100"/>
    <n v="1"/>
    <n v="0"/>
    <s v="EQE39"/>
    <n v="100"/>
    <n v="0"/>
    <s v="ร้านที่1"/>
    <s v="b***ernn ห***502"/>
    <s v="นครปฐม"/>
    <s v="-"/>
    <s v=""/>
    <s v="04/01/2025 22:44"/>
    <s v="-"/>
    <s v="J&amp;T COD"/>
    <s v="Tiktok"/>
    <s v="จ่ายทีหลัง / COD"/>
    <s v=""/>
    <s v="754373531015"/>
    <s v="04/01/2025 22:44"/>
  </r>
  <r>
    <x v="18"/>
    <x v="39"/>
    <n v="140"/>
    <n v="1"/>
    <n v="0"/>
    <s v="EQE38"/>
    <n v="147"/>
    <n v="7"/>
    <s v="ร้านที่1"/>
    <s v="K***ย"/>
    <s v="******9) ศรีด่าน24 ถนนศรีนครินทร์ ต.สำโรงเหนือ ตำบลสำโรงเหนือ อำเภอเมืองสมุทรปราการ จังหวัดสมุทรปราการ 10270"/>
    <s v="10270"/>
    <s v="36"/>
    <s v="04/01/2025 22:42"/>
    <s v="-"/>
    <s v="Flash Express"/>
    <s v="Shopee"/>
    <s v="shopee"/>
    <s v=""/>
    <s v="TH02016NPPVQ3B0"/>
    <s v="04/01/2025 22:41"/>
  </r>
  <r>
    <x v="1"/>
    <x v="1"/>
    <n v="200"/>
    <n v="1"/>
    <n v="0"/>
    <s v="EQE37"/>
    <n v="200"/>
    <n v="0"/>
    <s v="ร้านที่2"/>
    <s v="อ***ย์หลักสอง"/>
    <s v="สมุทรสาคร"/>
    <s v="-"/>
    <s v=""/>
    <s v="04/01/2025 22:39"/>
    <s v="-"/>
    <s v="J&amp;T COD"/>
    <s v="Tiktok"/>
    <s v="จ่ายทีหลัง / COD"/>
    <s v=""/>
    <s v="754313223020"/>
    <s v="04/01/2025 22:39"/>
  </r>
  <r>
    <x v="4"/>
    <x v="4"/>
    <n v="100"/>
    <n v="1"/>
    <n v="0"/>
    <s v="EQE35"/>
    <n v="106"/>
    <n v="6"/>
    <s v="ร้านที่1"/>
    <s v="น*** พ***์​ แ***ลบ"/>
    <s v="พะเยา"/>
    <s v="-"/>
    <s v=""/>
    <s v="04/01/2025 22:33"/>
    <s v="-"/>
    <s v="J&amp;T COD"/>
    <s v="Tiktok"/>
    <s v="จ่ายทีหลัง / COD"/>
    <s v=""/>
    <s v="754315138010"/>
    <s v="04/01/2025 22:33"/>
  </r>
  <r>
    <x v="1"/>
    <x v="1"/>
    <n v="200"/>
    <n v="1"/>
    <n v="0"/>
    <s v="EQE34"/>
    <n v="200"/>
    <n v="0"/>
    <s v="ร้านที่1"/>
    <s v="ข***ฐา  ง***ถื่อน"/>
    <s v="ราชบุรี"/>
    <s v="-"/>
    <s v=""/>
    <s v="04/01/2025 22:28"/>
    <s v="-"/>
    <s v="J&amp;T COD"/>
    <s v="Tiktok"/>
    <s v="จ่ายทีหลัง / COD"/>
    <s v=""/>
    <s v="754320510053"/>
    <s v="04/01/2025 22:28"/>
  </r>
  <r>
    <x v="0"/>
    <x v="0"/>
    <n v="100"/>
    <n v="1"/>
    <n v="0"/>
    <s v="EQE33"/>
    <n v="106"/>
    <n v="6"/>
    <s v="ร้านที่2"/>
    <s v="จ***ี่"/>
    <s v="กรุงเทพฯ"/>
    <s v="-"/>
    <s v=""/>
    <s v="05/01/2025 21:32"/>
    <s v="-"/>
    <s v="Flash Express Thailand"/>
    <s v="Tiktok"/>
    <s v="tiktok"/>
    <s v=""/>
    <s v="THT01171E2ZCR4Z"/>
    <s v="04/01/2025 22:27"/>
  </r>
  <r>
    <x v="1"/>
    <x v="1"/>
    <n v="200"/>
    <n v="1"/>
    <n v="0"/>
    <s v="EQE32"/>
    <n v="200"/>
    <n v="0"/>
    <s v="ร้านที่2"/>
    <s v="k***isavejchakul"/>
    <s v="กรุงเทพฯ"/>
    <s v="-"/>
    <s v=""/>
    <s v="04/01/2025 22:24"/>
    <s v="-"/>
    <s v="J&amp;T COD"/>
    <s v="Tiktok"/>
    <s v="จ่ายทีหลัง / COD"/>
    <s v=""/>
    <s v="754342020025"/>
    <s v="04/01/2025 22:24"/>
  </r>
  <r>
    <x v="10"/>
    <x v="10"/>
    <n v="200"/>
    <n v="1"/>
    <n v="0"/>
    <s v="EQE31"/>
    <n v="200"/>
    <n v="0"/>
    <s v="ร้านที่1"/>
    <s v="ก***ตรี ส***ีแก้ว k***n"/>
    <s v="มหาสารคาม"/>
    <s v="-"/>
    <s v=""/>
    <s v="04/01/2025 22:16"/>
    <s v="-"/>
    <s v="J&amp;T COD"/>
    <s v="Tiktok"/>
    <s v="จ่ายทีหลัง / COD"/>
    <s v=""/>
    <s v="754399641085"/>
    <s v="04/01/2025 22:16"/>
  </r>
  <r>
    <x v="3"/>
    <x v="3"/>
    <n v="100"/>
    <n v="3"/>
    <n v="0"/>
    <s v="EQE30"/>
    <n v="300"/>
    <n v="0"/>
    <s v="ร้านที่2"/>
    <s v="ก******์"/>
    <s v="******, ตำบลนาทวี, อำเภอนาทวี ตำบลนาทวี อำเภอนาทวี จังหวัดสงขลา 90160"/>
    <s v="90160"/>
    <s v="28"/>
    <s v="04/01/2025 22:15"/>
    <s v="-"/>
    <s v="Flash Express"/>
    <s v="Shopee"/>
    <s v="shopee"/>
    <s v=""/>
    <s v="TH71046NVEP22A"/>
    <s v="04/01/2025 22:15"/>
  </r>
  <r>
    <x v="1"/>
    <x v="1"/>
    <n v="200"/>
    <n v="1"/>
    <n v="0"/>
    <s v="EQE29"/>
    <n v="200"/>
    <n v="0"/>
    <s v="ร้านที่1"/>
    <s v="น***รา ก***นผล"/>
    <s v="พระนครศรีอยุธยา"/>
    <s v="-"/>
    <s v=""/>
    <s v="04/01/2025 22:13"/>
    <s v="-"/>
    <s v="J&amp;T COD"/>
    <s v="Tiktok"/>
    <s v="จ่ายทีหลัง / COD"/>
    <s v=""/>
    <s v="754354025025"/>
    <s v="04/01/2025 22:13"/>
  </r>
  <r>
    <x v="4"/>
    <x v="4"/>
    <n v="100"/>
    <n v="1"/>
    <n v="0"/>
    <s v="EQE28"/>
    <n v="200"/>
    <n v="0"/>
    <s v="ร้านที่1"/>
    <s v="ฐ***ตา ค***ริญ"/>
    <s v="สุพรรณบุรี"/>
    <s v="-"/>
    <s v=""/>
    <s v="04/01/2025 22:10"/>
    <s v="-"/>
    <s v="J&amp;T Express"/>
    <s v="Tiktok"/>
    <s v="tiktok"/>
    <s v=""/>
    <s v="754376948010"/>
    <s v="04/01/2025 22:10"/>
  </r>
  <r>
    <x v="9"/>
    <x v="4"/>
    <n v="100"/>
    <n v="1"/>
    <n v="0"/>
    <s v="EQE28"/>
    <n v="200"/>
    <n v="0"/>
    <s v="ร้านที่1"/>
    <s v="ฐ***ตา ค***ริญ"/>
    <s v="สุพรรณบุรี"/>
    <s v="-"/>
    <s v=""/>
    <s v="04/01/2025 22:10"/>
    <s v="-"/>
    <s v="J&amp;T Express"/>
    <s v="Tiktok"/>
    <s v="tiktok"/>
    <s v=""/>
    <s v="754376948010"/>
    <s v="04/01/2025 22:10"/>
  </r>
  <r>
    <x v="4"/>
    <x v="4"/>
    <n v="100"/>
    <n v="2"/>
    <n v="0"/>
    <s v="EQE26"/>
    <n v="200"/>
    <n v="0"/>
    <s v="ร้านที่1"/>
    <s v="น***วรรณนิษา ห***งวงษ์แก้ว"/>
    <s v="ชลบุรี"/>
    <s v="-"/>
    <s v=""/>
    <s v="04/01/2025 21:54"/>
    <s v="-"/>
    <s v="J&amp;T Express"/>
    <s v="Tiktok"/>
    <s v="tiktok"/>
    <s v=""/>
    <s v="754353440072"/>
    <s v="04/01/2025 21:54"/>
  </r>
  <r>
    <x v="24"/>
    <x v="76"/>
    <n v="645.6"/>
    <n v="1"/>
    <n v="0"/>
    <s v="EQE25"/>
    <n v="684.6"/>
    <n v="39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04/01/2025 21:48"/>
    <s v="-"/>
    <s v="Kerry_dropoff"/>
    <s v="Lazada"/>
    <s v="lazada"/>
    <s v=""/>
    <s v="LEXPU0441763696"/>
    <s v="04/01/2025 21:48"/>
  </r>
  <r>
    <x v="19"/>
    <x v="19"/>
    <n v="199"/>
    <n v="1"/>
    <n v="0"/>
    <s v="EQE24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4/01/2025 22:15"/>
    <s v="-"/>
    <s v="Flash Express"/>
    <s v="Shopee"/>
    <s v="shopee"/>
    <s v=""/>
    <s v="TH06026NPM2T4B"/>
    <s v="04/01/2025 21:45"/>
  </r>
  <r>
    <x v="1"/>
    <x v="1"/>
    <n v="200"/>
    <n v="1"/>
    <n v="0"/>
    <s v="EQE23"/>
    <n v="200"/>
    <n v="0"/>
    <s v="ร้านที่1"/>
    <s v="น** อ***าติ  ส***ะรังษี"/>
    <s v="นครปฐม"/>
    <s v="-"/>
    <s v=""/>
    <s v="04/01/2025 21:41"/>
    <s v="-"/>
    <s v="J&amp;T Express"/>
    <s v="Tiktok"/>
    <s v="tiktok"/>
    <s v=""/>
    <s v="754363306351"/>
    <s v="04/01/2025 21:41"/>
  </r>
  <r>
    <x v="0"/>
    <x v="0"/>
    <n v="100"/>
    <n v="2"/>
    <n v="0"/>
    <s v="EQE22"/>
    <n v="200"/>
    <n v="0"/>
    <s v="ร้านที่4"/>
    <s v="ภ***รานิษฐ์   ร***ปังนมสด"/>
    <s v="สระแก้ว"/>
    <s v="-"/>
    <s v=""/>
    <s v="04/01/2025 21:29"/>
    <s v="-"/>
    <s v="Flash Express Thailand COD"/>
    <s v="Tiktok"/>
    <s v="จ่ายทีหลัง / COD"/>
    <s v=""/>
    <s v="THT26061DYP4E1Z"/>
    <s v="04/01/2025 21:29"/>
  </r>
  <r>
    <x v="1"/>
    <x v="1"/>
    <n v="200"/>
    <n v="1"/>
    <n v="0"/>
    <s v="EQE20"/>
    <n v="200"/>
    <n v="0"/>
    <s v="ร้านที่2"/>
    <s v="อ***ิสา ศ***อง"/>
    <s v="สุพรรณบุรี"/>
    <s v="-"/>
    <s v=""/>
    <s v="04/01/2025 21:23"/>
    <s v="-"/>
    <s v="J&amp;T COD"/>
    <s v="Tiktok"/>
    <s v="จ่ายทีหลัง / COD"/>
    <s v=""/>
    <s v="754387902354"/>
    <s v="04/01/2025 21:23"/>
  </r>
  <r>
    <x v="0"/>
    <x v="0"/>
    <n v="100"/>
    <n v="1"/>
    <n v="0"/>
    <s v="EQE19"/>
    <n v="106"/>
    <n v="6"/>
    <s v="ร้านที่1"/>
    <s v="ญ***ัทร ท**"/>
    <s v="น่าน"/>
    <s v="-"/>
    <s v=""/>
    <s v="04/01/2025 21:21"/>
    <s v="-"/>
    <s v="J&amp;T Express"/>
    <s v="Tiktok"/>
    <s v="tiktok"/>
    <s v=""/>
    <s v="754396681242"/>
    <s v="04/01/2025 21:20"/>
  </r>
  <r>
    <x v="0"/>
    <x v="0"/>
    <n v="100"/>
    <n v="1"/>
    <n v="0"/>
    <s v="EQE18"/>
    <n v="145"/>
    <n v="45"/>
    <s v="ร้านที่1"/>
    <s v="พ***ดา"/>
    <s v="กรุงเทพฯ"/>
    <s v="-"/>
    <s v=""/>
    <s v="04/01/2025 21:20"/>
    <s v="-"/>
    <s v="J&amp;T Express"/>
    <s v="Tiktok"/>
    <s v="tiktok"/>
    <s v=""/>
    <s v="754372776286"/>
    <s v="04/01/2025 21:20"/>
  </r>
  <r>
    <x v="19"/>
    <x v="19"/>
    <n v="199"/>
    <n v="1"/>
    <n v="0"/>
    <s v="EQE16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4/01/2025 21:44"/>
    <s v="-"/>
    <s v="Flash Express"/>
    <s v="Shopee"/>
    <s v="shopee"/>
    <s v=""/>
    <s v="TH06026NPKTU0B"/>
    <s v="04/01/2025 21:14"/>
  </r>
  <r>
    <x v="5"/>
    <x v="5"/>
    <n v="330"/>
    <n v="1"/>
    <n v="0"/>
    <s v="EQE14"/>
    <n v="330"/>
    <n v="0"/>
    <s v="ร้านที่2"/>
    <s v="ป***าภรณ์ ส***สภา"/>
    <s v="ร้อยเอ็ด"/>
    <s v="-"/>
    <s v=""/>
    <s v="04/01/2025 21:03"/>
    <s v="-"/>
    <s v="J&amp;T COD"/>
    <s v="Tiktok"/>
    <s v="จ่ายทีหลัง / COD"/>
    <s v=""/>
    <s v="754315103312"/>
    <s v="04/01/2025 21:03"/>
  </r>
  <r>
    <x v="9"/>
    <x v="4"/>
    <n v="100"/>
    <n v="1"/>
    <n v="0"/>
    <s v="EQE10"/>
    <n v="200"/>
    <n v="0"/>
    <s v="ร้านที่4"/>
    <s v="จ***"/>
    <s v="ราชบุรี"/>
    <s v="-"/>
    <s v=""/>
    <s v="04/01/2025 20:57"/>
    <s v="-"/>
    <s v="Flash Express Thailand COD"/>
    <s v="Tiktok"/>
    <s v="จ่ายทีหลัง / COD"/>
    <s v=""/>
    <s v="THT12041DZFG18Z"/>
    <s v="04/01/2025 20:57"/>
  </r>
  <r>
    <x v="4"/>
    <x v="4"/>
    <n v="100"/>
    <n v="1"/>
    <n v="0"/>
    <s v="EQE10"/>
    <n v="200"/>
    <n v="0"/>
    <s v="ร้านที่4"/>
    <s v="จ***"/>
    <s v="ราชบุรี"/>
    <s v="-"/>
    <s v=""/>
    <s v="04/01/2025 20:57"/>
    <s v="-"/>
    <s v="Flash Express Thailand COD"/>
    <s v="Tiktok"/>
    <s v="จ่ายทีหลัง / COD"/>
    <s v=""/>
    <s v="THT12041DZFG18Z"/>
    <s v="04/01/2025 20:57"/>
  </r>
  <r>
    <x v="19"/>
    <x v="19"/>
    <n v="199"/>
    <n v="3"/>
    <n v="0"/>
    <s v="EQE9"/>
    <n v="809"/>
    <n v="92"/>
    <s v="ร้านที่1"/>
    <s v="ว******ี"/>
    <s v="******รุ, อำเภอเมืองชลบุรี ตำบลคลองตำหรุ อำเภอเมืองชลบุรี จังหวัดชลบุรี 20000"/>
    <s v="20000"/>
    <s v="77"/>
    <s v="04/01/2025 20:52"/>
    <s v="-"/>
    <s v="Flash Express"/>
    <s v="Shopee"/>
    <s v="shopee"/>
    <s v=""/>
    <s v="TH20016NPNN45L"/>
    <s v="04/01/2025 20:52"/>
  </r>
  <r>
    <x v="4"/>
    <x v="4"/>
    <n v="100"/>
    <n v="1"/>
    <n v="0"/>
    <s v="EQE8"/>
    <n v="300"/>
    <n v="0"/>
    <s v="ร้านที่4"/>
    <s v="จ***์​จุฑา​ ร***์​ส​ั​จ​จา​"/>
    <s v="นครราชสีมา"/>
    <s v="-"/>
    <s v=""/>
    <s v="04/01/2025 20:50"/>
    <s v="-"/>
    <s v="Flash Express Thailand COD"/>
    <s v="Tiktok"/>
    <s v="จ่ายทีหลัง / COD"/>
    <s v=""/>
    <s v="THT27221E32CH6Z"/>
    <s v="04/01/2025 20:50"/>
  </r>
  <r>
    <x v="3"/>
    <x v="3"/>
    <n v="100"/>
    <n v="2"/>
    <n v="0"/>
    <s v="EQE8"/>
    <n v="300"/>
    <n v="0"/>
    <s v="ร้านที่4"/>
    <s v="จ***์​จุฑา​ ร***์​ส​ั​จ​จา​"/>
    <s v="นครราชสีมา"/>
    <s v="-"/>
    <s v=""/>
    <s v="04/01/2025 20:50"/>
    <s v="-"/>
    <s v="Flash Express Thailand COD"/>
    <s v="Tiktok"/>
    <s v="จ่ายทีหลัง / COD"/>
    <s v=""/>
    <s v="THT27221E32CH6Z"/>
    <s v="04/01/2025 20:50"/>
  </r>
  <r>
    <x v="1"/>
    <x v="1"/>
    <n v="200"/>
    <n v="1"/>
    <n v="0"/>
    <s v="EQE7"/>
    <n v="200"/>
    <n v="0"/>
    <s v="ร้านที่2"/>
    <s v="G***iga 6**"/>
    <s v="สระบุรี"/>
    <s v="-"/>
    <s v=""/>
    <s v="04/01/2025 20:49"/>
    <s v="-"/>
    <s v="J&amp;T COD"/>
    <s v="Tiktok"/>
    <s v="จ่ายทีหลัง / COD"/>
    <s v=""/>
    <s v="754379620013"/>
    <s v="04/01/2025 20:50"/>
  </r>
  <r>
    <x v="19"/>
    <x v="19"/>
    <n v="199"/>
    <n v="1"/>
    <n v="0"/>
    <s v="EQE6"/>
    <n v="228"/>
    <n v="29"/>
    <s v="ร้านที่1"/>
    <s v="ป******์"/>
    <s v="******ไก่ชน, ตำบลโคกกรวด, อำเภอปากพลี ตำบลโคกกรวด อำเภอปากพลี จังหวัดนครนายก 26130"/>
    <s v="26130"/>
    <s v="72"/>
    <s v="04/01/2025 20:48"/>
    <s v="-"/>
    <s v="Flash Express"/>
    <s v="Shopee"/>
    <s v="shopee"/>
    <s v=""/>
    <s v="TH11026NPKRT2D"/>
    <s v="04/01/2025 20:47"/>
  </r>
  <r>
    <x v="1"/>
    <x v="1"/>
    <n v="200"/>
    <n v="1"/>
    <n v="0"/>
    <s v="EQE5"/>
    <n v="200"/>
    <n v="0"/>
    <s v="ร้านที่1"/>
    <s v="ว***"/>
    <s v="เชียงราย"/>
    <s v="-"/>
    <s v=""/>
    <s v="04/01/2025 20:44"/>
    <s v="-"/>
    <s v="J&amp;T COD"/>
    <s v="Tiktok"/>
    <s v="จ่ายทีหลัง / COD"/>
    <s v=""/>
    <s v="754388612095"/>
    <s v="04/01/2025 20:44"/>
  </r>
  <r>
    <x v="1"/>
    <x v="1"/>
    <n v="200"/>
    <n v="1"/>
    <n v="0"/>
    <s v="EQE4"/>
    <n v="200"/>
    <n v="0"/>
    <s v="ร้านที่4"/>
    <s v="  ค***ัฐ"/>
    <s v="นครนายก"/>
    <s v="-"/>
    <s v=""/>
    <s v="04/01/2025 20:40"/>
    <s v="-"/>
    <s v="Flash Express Thailand COD"/>
    <s v="Tiktok"/>
    <s v="จ่ายทีหลัง / COD"/>
    <s v=""/>
    <s v="THT11011DZ7J38Z"/>
    <s v="04/01/2025 20:40"/>
  </r>
  <r>
    <x v="3"/>
    <x v="8"/>
    <n v="105"/>
    <n v="1"/>
    <n v="0"/>
    <s v="EQE3"/>
    <n v="110"/>
    <n v="5"/>
    <s v="ร้านที่6"/>
    <s v="โสภิดา แก้วมาตย์"/>
    <s v="57 หมู่ 13 บ้านบ่อ · บ้านดง/ Ban Dong_x000a__x000a_อุบลรัตน์/ Ubolratanaขอนแก่น/ Khon Kaen_x000a_40250"/>
    <s v="40250"/>
    <s v="660807201260"/>
    <s v="04/01/2025 20:38"/>
    <s v="-"/>
    <s v="Kerry_dropoff"/>
    <s v="Lazada"/>
    <s v="lazada"/>
    <s v=""/>
    <s v="TH37086NUDW54B"/>
    <s v="04/01/2025 20:38"/>
  </r>
  <r>
    <x v="0"/>
    <x v="0"/>
    <n v="100"/>
    <n v="1"/>
    <n v="0"/>
    <s v="EQE0"/>
    <n v="200"/>
    <n v="0"/>
    <s v="ร้านที่4"/>
    <s v="ย***  ก***รัมย์"/>
    <s v="บุรีรัมย์"/>
    <s v="-"/>
    <s v=""/>
    <s v="04/01/2025 20:36"/>
    <s v="-"/>
    <s v="Flash Express Thailand COD"/>
    <s v="Tiktok"/>
    <s v="จ่ายทีหลัง / COD"/>
    <s v=""/>
    <s v="THT28011E2P0K7Z"/>
    <s v="04/01/2025 20:36"/>
  </r>
  <r>
    <x v="4"/>
    <x v="4"/>
    <n v="100"/>
    <n v="1"/>
    <n v="0"/>
    <s v="EQE0"/>
    <n v="200"/>
    <n v="0"/>
    <s v="ร้านที่4"/>
    <s v="ย***  ก***รัมย์"/>
    <s v="บุรีรัมย์"/>
    <s v="-"/>
    <s v=""/>
    <s v="04/01/2025 20:36"/>
    <s v="-"/>
    <s v="Flash Express Thailand COD"/>
    <s v="Tiktok"/>
    <s v="จ่ายทีหลัง / COD"/>
    <s v=""/>
    <s v="THT28011E2P0K7Z"/>
    <s v="04/01/2025 20:36"/>
  </r>
  <r>
    <x v="4"/>
    <x v="4"/>
    <n v="100"/>
    <n v="3"/>
    <n v="0"/>
    <s v="EQD99"/>
    <n v="300"/>
    <n v="0"/>
    <s v="ร้านที่4"/>
    <s v="น***ทร  ท***ูบาล"/>
    <s v="กรุงเทพฯ"/>
    <s v="-"/>
    <s v=""/>
    <s v="04/01/2025 20:35"/>
    <s v="-"/>
    <s v="Flash Express Thailand COD"/>
    <s v="Tiktok"/>
    <s v="จ่ายทีหลัง / COD"/>
    <s v=""/>
    <s v="THT01481DZQ6D0Z"/>
    <s v="04/01/2025 20:35"/>
  </r>
  <r>
    <x v="4"/>
    <x v="4"/>
    <n v="100"/>
    <n v="2"/>
    <n v="0"/>
    <s v="EQD98"/>
    <n v="400"/>
    <n v="0"/>
    <s v="ร้านที่1"/>
    <s v="ภ***าภัรณ์ เ***วระยับ"/>
    <s v="นครราชสีมา"/>
    <s v="-"/>
    <s v=""/>
    <s v="04/01/2025 20:33"/>
    <s v="-"/>
    <s v="J&amp;T Express"/>
    <s v="Tiktok"/>
    <s v="tiktok"/>
    <s v=""/>
    <s v="754399741023"/>
    <s v="04/01/2025 20:33"/>
  </r>
  <r>
    <x v="9"/>
    <x v="4"/>
    <n v="100"/>
    <n v="2"/>
    <n v="0"/>
    <s v="EQD98"/>
    <n v="400"/>
    <n v="0"/>
    <s v="ร้านที่1"/>
    <s v="ภ***าภัรณ์ เ***วระยับ"/>
    <s v="นครราชสีมา"/>
    <s v="-"/>
    <s v=""/>
    <s v="04/01/2025 20:33"/>
    <s v="-"/>
    <s v="J&amp;T Express"/>
    <s v="Tiktok"/>
    <s v="tiktok"/>
    <s v=""/>
    <s v="754399741023"/>
    <s v="04/01/2025 20:33"/>
  </r>
  <r>
    <x v="4"/>
    <x v="4"/>
    <n v="100"/>
    <n v="1"/>
    <n v="0"/>
    <s v="EQD97"/>
    <n v="106"/>
    <n v="6"/>
    <s v="ร้านที่4"/>
    <s v="ป***มาศ  บ***่วย"/>
    <s v="กาญจนบุรี"/>
    <s v="-"/>
    <s v=""/>
    <s v="04/01/2025 20:28"/>
    <s v="-"/>
    <s v="Flash Express Thailand COD"/>
    <s v="Tiktok"/>
    <s v="จ่ายทีหลัง / COD"/>
    <s v=""/>
    <s v="THT13091DYN9R9Z"/>
    <s v="04/01/2025 20:28"/>
  </r>
  <r>
    <x v="4"/>
    <x v="4"/>
    <n v="100"/>
    <n v="1"/>
    <n v="0"/>
    <s v="EQD96"/>
    <n v="100"/>
    <n v="0"/>
    <s v="ร้านที่4"/>
    <s v="ม***ชัย อ***ร์รักษา"/>
    <s v="นครปฐม"/>
    <s v="-"/>
    <s v=""/>
    <s v="04/01/2025 20:27"/>
    <s v="-"/>
    <s v="Flash Express Thailand COD"/>
    <s v="Tiktok"/>
    <s v="จ่ายทีหลัง / COD"/>
    <s v=""/>
    <s v="THT15061DZ0848Z"/>
    <s v="04/01/2025 20:27"/>
  </r>
  <r>
    <x v="4"/>
    <x v="4"/>
    <n v="100"/>
    <n v="1"/>
    <n v="0"/>
    <s v="EQD95"/>
    <n v="106"/>
    <n v="6"/>
    <s v="ร้านที่4"/>
    <s v="น***ชาว์  ท***์สังข์วงษ์"/>
    <s v="กาฬสินธุ์"/>
    <s v="-"/>
    <s v=""/>
    <s v="04/01/2025 20:27"/>
    <s v="-"/>
    <s v="Flash Express Thailand"/>
    <s v="Tiktok"/>
    <s v="tiktok"/>
    <s v=""/>
    <s v="THT43011DZ04Z6Z"/>
    <s v="04/01/2025 20:27"/>
  </r>
  <r>
    <x v="0"/>
    <x v="0"/>
    <n v="100"/>
    <n v="1"/>
    <n v="0"/>
    <s v="EQD94"/>
    <n v="129"/>
    <n v="29"/>
    <s v="ร้านที่2"/>
    <s v="ฝ* ฝ*"/>
    <s v="นครปฐม"/>
    <s v="-"/>
    <s v=""/>
    <s v="04/01/2025 20:19"/>
    <s v="-"/>
    <s v="J&amp;T COD"/>
    <s v="Tiktok"/>
    <s v="จ่ายทีหลัง / COD"/>
    <s v=""/>
    <s v="754389379295"/>
    <s v="04/01/2025 20:20"/>
  </r>
  <r>
    <x v="1"/>
    <x v="1"/>
    <n v="200"/>
    <n v="1"/>
    <n v="0"/>
    <s v="EQD93"/>
    <n v="200"/>
    <n v="0"/>
    <s v="ร้านที่1"/>
    <s v="ส***ชัย เ***งแรงสกุล"/>
    <s v="นนทบุรี"/>
    <s v="-"/>
    <s v=""/>
    <s v="04/01/2025 20:19"/>
    <s v="-"/>
    <s v="J&amp;T COD"/>
    <s v="Tiktok"/>
    <s v="จ่ายทีหลัง / COD"/>
    <s v=""/>
    <s v="754315016092"/>
    <s v="04/01/2025 20:19"/>
  </r>
  <r>
    <x v="19"/>
    <x v="34"/>
    <n v="213.75"/>
    <n v="1"/>
    <n v="0"/>
    <s v="EQD92"/>
    <n v="432.5"/>
    <n v="5"/>
    <s v="ร้านที่9"/>
    <s v="ปัทมาวดี บุญเรือง"/>
    <s v="9/149หมู่3หมู่บ้านนฤมลศิริปากซอย7 · บางเมือง/ Bang Mueang_x000a__x000a_เมืองสมุทรปราการ/ Mueang Samut Prakanสมุทรปราการ/ Samut Prakan_x000a_10270"/>
    <s v="10270"/>
    <s v="660970495571"/>
    <s v="04/01/2025 20:21"/>
    <s v="-"/>
    <s v="Kerry_dropoff"/>
    <s v="Lazada"/>
    <s v="lazada"/>
    <s v=""/>
    <s v="LEXDO0123843748"/>
    <s v="04/01/2025 20:19"/>
  </r>
  <r>
    <x v="19"/>
    <x v="34"/>
    <n v="213.75"/>
    <n v="1"/>
    <n v="0"/>
    <s v="EQD92"/>
    <n v="432.5"/>
    <n v="5"/>
    <s v="ร้านที่9"/>
    <s v="ปัทมาวดี บุญเรือง"/>
    <s v="9/149หมู่3หมู่บ้านนฤมลศิริปากซอย7 · บางเมือง/ Bang Mueang_x000a__x000a_เมืองสมุทรปราการ/ Mueang Samut Prakanสมุทรปราการ/ Samut Prakan_x000a_10270"/>
    <s v="10270"/>
    <s v="660970495571"/>
    <s v="04/01/2025 20:21"/>
    <s v="-"/>
    <s v="Kerry_dropoff"/>
    <s v="Lazada"/>
    <s v="lazada"/>
    <s v=""/>
    <s v="LEXDO0123843748"/>
    <s v="04/01/2025 20:19"/>
  </r>
  <r>
    <x v="5"/>
    <x v="5"/>
    <n v="330"/>
    <n v="3"/>
    <n v="0"/>
    <s v="EQD91"/>
    <n v="990"/>
    <n v="0"/>
    <s v="ร้านที่2"/>
    <s v="บ***ปี๊ยก"/>
    <s v="ราชบุรี"/>
    <s v="-"/>
    <s v=""/>
    <s v="04/01/2025 20:09"/>
    <s v="-"/>
    <s v="J&amp;T COD"/>
    <s v="Tiktok"/>
    <s v="จ่ายทีหลัง / COD"/>
    <s v=""/>
    <s v="754380904314"/>
    <s v="04/01/2025 20:09"/>
  </r>
  <r>
    <x v="3"/>
    <x v="3"/>
    <n v="100"/>
    <n v="1"/>
    <n v="0"/>
    <s v="EQD90"/>
    <n v="106"/>
    <n v="6"/>
    <s v="ร้านที่4"/>
    <s v="โ***ศ ช***ูล"/>
    <s v="สงขลา"/>
    <s v="-"/>
    <s v=""/>
    <s v="04/01/2025 20:09"/>
    <s v="-"/>
    <s v="Flash Express Thailand COD"/>
    <s v="Tiktok"/>
    <s v="จ่ายทีหลัง / COD"/>
    <s v=""/>
    <s v="THT71131DZ1Y86Z"/>
    <s v="04/01/2025 20:09"/>
  </r>
  <r>
    <x v="19"/>
    <x v="19"/>
    <n v="199"/>
    <n v="1"/>
    <n v="0"/>
    <s v="EQD89"/>
    <n v="199"/>
    <n v="0"/>
    <s v="ร้านที่1"/>
    <s v="ณ******์"/>
    <s v="******องหลาง ตำบลทองหลาง อำเภอห้วยคต จังหวัดอุทัยธานี 61170"/>
    <s v="61170"/>
    <s v="73"/>
    <s v="04/01/2025 20:41"/>
    <s v="-"/>
    <s v="Flash Express"/>
    <s v="Shopee"/>
    <s v="shopee"/>
    <s v=""/>
    <s v="TH57086NPKWH1B"/>
    <s v="04/01/2025 20:04"/>
  </r>
  <r>
    <x v="5"/>
    <x v="5"/>
    <n v="330"/>
    <n v="1"/>
    <n v="0"/>
    <s v="EQD88"/>
    <n v="530"/>
    <n v="0"/>
    <s v="ร้านที่1"/>
    <s v="ว***ณี แ***ขียว"/>
    <s v="สมุทรสาคร"/>
    <s v="-"/>
    <s v=""/>
    <s v="04/01/2025 20:02"/>
    <s v="-"/>
    <s v="J&amp;T COD"/>
    <s v="Tiktok"/>
    <s v="จ่ายทีหลัง / COD"/>
    <s v=""/>
    <s v="754376237580"/>
    <s v="04/01/2025 20:03"/>
  </r>
  <r>
    <x v="15"/>
    <x v="15"/>
    <n v="200"/>
    <n v="1"/>
    <n v="0"/>
    <s v="EQD88"/>
    <n v="530"/>
    <n v="0"/>
    <s v="ร้านที่1"/>
    <s v="ว***ณี แ***ขียว"/>
    <s v="สมุทรสาคร"/>
    <s v="-"/>
    <s v=""/>
    <s v="04/01/2025 20:02"/>
    <s v="-"/>
    <s v="J&amp;T COD"/>
    <s v="Tiktok"/>
    <s v="จ่ายทีหลัง / COD"/>
    <s v=""/>
    <s v="754376237580"/>
    <s v="04/01/2025 20:02"/>
  </r>
  <r>
    <x v="4"/>
    <x v="4"/>
    <n v="100"/>
    <n v="1"/>
    <n v="0"/>
    <s v="EQD87"/>
    <n v="200"/>
    <n v="0"/>
    <s v="ร้านที่2"/>
    <s v="น*** ส***ี ส***อาด"/>
    <s v="ลพบุรี"/>
    <s v="-"/>
    <s v=""/>
    <s v="04/01/2025 20:00"/>
    <s v="-"/>
    <s v="J&amp;T Express"/>
    <s v="Tiktok"/>
    <s v="tiktok"/>
    <s v=""/>
    <s v="754362243095"/>
    <s v="04/01/2025 20:00"/>
  </r>
  <r>
    <x v="9"/>
    <x v="4"/>
    <n v="100"/>
    <n v="1"/>
    <n v="0"/>
    <s v="EQD87"/>
    <n v="200"/>
    <n v="0"/>
    <s v="ร้านที่2"/>
    <s v="น*** ส***ี ส***อาด"/>
    <s v="ลพบุรี"/>
    <s v="-"/>
    <s v=""/>
    <s v="04/01/2025 20:00"/>
    <s v="-"/>
    <s v="J&amp;T Express"/>
    <s v="Tiktok"/>
    <s v="tiktok"/>
    <s v=""/>
    <s v="754362243095"/>
    <s v="04/01/2025 20:00"/>
  </r>
  <r>
    <x v="0"/>
    <x v="0"/>
    <n v="100"/>
    <n v="1"/>
    <n v="0"/>
    <s v="EQD85"/>
    <n v="100"/>
    <n v="0"/>
    <s v="ร้านที่1"/>
    <s v="น***ุติกาญจน์ ม***กิตติพัชร์"/>
    <s v="นครสวรรค์"/>
    <s v="-"/>
    <s v=""/>
    <s v="04/01/2025 19:56"/>
    <s v="-"/>
    <s v="J&amp;T COD"/>
    <s v="Tiktok"/>
    <s v="จ่ายทีหลัง / COD"/>
    <s v=""/>
    <s v="754338173282"/>
    <s v="04/01/2025 19:56"/>
  </r>
  <r>
    <x v="0"/>
    <x v="0"/>
    <n v="100"/>
    <n v="2"/>
    <n v="0"/>
    <s v="EQD84"/>
    <n v="200"/>
    <n v="0"/>
    <s v="ร้านที่4"/>
    <s v="ป***วดี โ***โส"/>
    <s v="พระนครศรีอยุธยา"/>
    <s v="-"/>
    <s v=""/>
    <s v="04/01/2025 19:52"/>
    <s v="-"/>
    <s v="Flash Express Thailand COD"/>
    <s v="Tiktok"/>
    <s v="จ่ายทีหลัง / COD"/>
    <s v=""/>
    <s v="THT05121DZ1CW6Z"/>
    <s v="04/01/2025 19:52"/>
  </r>
  <r>
    <x v="10"/>
    <x v="10"/>
    <n v="200"/>
    <n v="1"/>
    <n v="0"/>
    <s v="EQD82"/>
    <n v="200"/>
    <n v="0"/>
    <s v="ร้านที่1"/>
    <s v="ป***านุช ช***ุตร"/>
    <s v="สมุทรสาคร"/>
    <s v="-"/>
    <s v=""/>
    <s v="04/01/2025 19:38"/>
    <s v="-"/>
    <s v="J&amp;T COD"/>
    <s v="Tiktok"/>
    <s v="จ่ายทีหลัง / COD"/>
    <s v=""/>
    <s v="754333845090"/>
    <s v="04/01/2025 19:38"/>
  </r>
  <r>
    <x v="1"/>
    <x v="1"/>
    <n v="200"/>
    <n v="1"/>
    <n v="0"/>
    <s v="EQD81"/>
    <n v="200"/>
    <n v="0"/>
    <s v="ร้านที่2"/>
    <s v="ล***า"/>
    <s v="ชลบุรี"/>
    <s v="-"/>
    <s v=""/>
    <s v="04/01/2025 19:38"/>
    <s v="-"/>
    <s v="J&amp;T Express"/>
    <s v="Tiktok"/>
    <s v="tiktok"/>
    <s v=""/>
    <s v="754336415092"/>
    <s v="04/01/2025 19:36"/>
  </r>
  <r>
    <x v="0"/>
    <x v="0"/>
    <n v="100"/>
    <n v="2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9"/>
    <x v="4"/>
    <n v="100"/>
    <n v="1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3"/>
    <x v="3"/>
    <n v="100"/>
    <n v="1"/>
    <n v="0"/>
    <s v="EQD80"/>
    <n v="400"/>
    <n v="0"/>
    <s v="ร้านที่4"/>
    <s v="อ***ณา ย***ง่า"/>
    <s v="หนองบัวลำภู"/>
    <s v="-"/>
    <s v=""/>
    <s v="04/01/2025 19:36"/>
    <s v="-"/>
    <s v="Flash Express Thailand COD"/>
    <s v="Tiktok"/>
    <s v="จ่ายทีหลัง / COD"/>
    <s v=""/>
    <s v="THT36041E2PKC1Z"/>
    <s v="04/01/2025 19:36"/>
  </r>
  <r>
    <x v="0"/>
    <x v="0"/>
    <n v="100"/>
    <n v="1"/>
    <n v="0"/>
    <s v="EQD79"/>
    <n v="106"/>
    <n v="6"/>
    <s v="ร้านที่4"/>
    <s v="ส***ันท์ อ***วงค์ ก***"/>
    <s v="อำนาจเจริญ"/>
    <s v="-"/>
    <s v=""/>
    <s v="04/01/2025 19:32"/>
    <s v="-"/>
    <s v="Flash Express Thailand COD"/>
    <s v="Tiktok"/>
    <s v="จ่ายทีหลัง / COD"/>
    <s v=""/>
    <s v="THT34071E2UUY0Z"/>
    <s v="04/01/2025 19:32"/>
  </r>
  <r>
    <x v="5"/>
    <x v="5"/>
    <n v="330"/>
    <n v="1"/>
    <n v="0"/>
    <s v="EQD78"/>
    <n v="330"/>
    <n v="0"/>
    <s v="ร้านที่1"/>
    <s v="ข***ชนก"/>
    <s v="กรุงเทพฯ"/>
    <s v="-"/>
    <s v=""/>
    <s v="04/01/2025 19:28"/>
    <s v="-"/>
    <s v="J&amp;T Express"/>
    <s v="Tiktok"/>
    <s v="tiktok"/>
    <s v=""/>
    <s v="754332406391"/>
    <s v="04/01/2025 19:28"/>
  </r>
  <r>
    <x v="26"/>
    <x v="18"/>
    <n v="251.2"/>
    <n v="1"/>
    <n v="0"/>
    <s v="EQD77"/>
    <n v="256.2"/>
    <n v="5"/>
    <s v="ร้านที่1"/>
    <s v="เกศินี ฉ่ำใจดี"/>
    <s v="84/42หมู่19ต.คลองหนึ่ง อ.คลองหลวง จ.ปทุมธานี12120 · คลองหนึ่ง/ Khlong Nueng_x000a__x000a_คลองหลวง/ Khlong Luangปทุมธานี/ Pathum Thani_x000a_12120"/>
    <s v="12120"/>
    <s v="660960424883"/>
    <s v="04/01/2025 19:27"/>
    <s v="-"/>
    <s v="Kerry_dropoff"/>
    <s v="Lazada"/>
    <s v="lazada"/>
    <s v=""/>
    <s v="LEXPU0441827593"/>
    <s v="04/01/2025 19:26"/>
  </r>
  <r>
    <x v="9"/>
    <x v="4"/>
    <n v="100"/>
    <n v="1"/>
    <n v="0"/>
    <s v="EQD76"/>
    <n v="106"/>
    <n v="6"/>
    <s v="ร้านที่4"/>
    <s v="น***พร ไ***ุญ"/>
    <s v="เทศบาลนครขอนแก่น"/>
    <s v="-"/>
    <s v=""/>
    <s v="04/01/2025 19:25"/>
    <s v="-"/>
    <s v="Flash Express Thailand COD"/>
    <s v="Tiktok"/>
    <s v="จ่ายทีหลัง / COD"/>
    <s v=""/>
    <s v="THT37011DZ4BY2Z"/>
    <s v="04/01/2025 19:25"/>
  </r>
  <r>
    <x v="1"/>
    <x v="1"/>
    <n v="200"/>
    <n v="1"/>
    <n v="0"/>
    <s v="EQD75"/>
    <n v="200"/>
    <n v="0"/>
    <s v="ร้านที่1"/>
    <s v="น***าวชลาลัย จ***ร์ด่อน"/>
    <s v="นครปฐม"/>
    <s v="-"/>
    <s v=""/>
    <s v="04/01/2025 19:19"/>
    <s v="-"/>
    <s v="Flash Express Thailand COD"/>
    <s v="Tiktok"/>
    <s v="จ่ายทีหลัง / COD"/>
    <s v=""/>
    <s v="THT15061DYVZM1Z"/>
    <s v="04/01/2025 19:19"/>
  </r>
  <r>
    <x v="7"/>
    <x v="7"/>
    <n v="77.599999999999994"/>
    <n v="1"/>
    <n v="0"/>
    <s v="EQD73"/>
    <n v="155.19999999999999"/>
    <n v="0"/>
    <s v="ร้านที่1"/>
    <s v="น.ส.ณัฏธิยาภรณ์ หนูทา"/>
    <s v="168 ม.3 ต.ดอนโพธิ์ทอง_x000a__x000a_เมืองสุพรรณบุรี/ Mueang Suphan Buriสุพรรณบุรี/ Suphanburi_x000a_72000"/>
    <s v="72000"/>
    <s v="660928798708"/>
    <s v="04/01/2025 19:07"/>
    <s v="-"/>
    <s v="Kerry_dropoff"/>
    <s v="Lazada"/>
    <s v="lazada"/>
    <s v=""/>
    <s v="LEXPU0442260392"/>
    <s v="04/01/2025 19:07"/>
  </r>
  <r>
    <x v="7"/>
    <x v="7"/>
    <n v="77.599999999999994"/>
    <n v="1"/>
    <n v="0"/>
    <s v="EQD73"/>
    <n v="155.19999999999999"/>
    <n v="0"/>
    <s v="ร้านที่1"/>
    <s v="น.ส.ณัฏธิยาภรณ์ หนูทา"/>
    <s v="168 ม.3 ต.ดอนโพธิ์ทอง_x000a__x000a_เมืองสุพรรณบุรี/ Mueang Suphan Buriสุพรรณบุรี/ Suphanburi_x000a_72000"/>
    <s v="72000"/>
    <s v="660928798708"/>
    <s v="04/01/2025 19:07"/>
    <s v="-"/>
    <s v="Kerry_dropoff"/>
    <s v="Lazada"/>
    <s v="lazada"/>
    <s v=""/>
    <s v="LEXPU0442260392"/>
    <s v="04/01/2025 19:07"/>
  </r>
  <r>
    <x v="1"/>
    <x v="1"/>
    <n v="200"/>
    <n v="1"/>
    <n v="0"/>
    <s v="EQD70"/>
    <n v="200"/>
    <n v="0"/>
    <s v="ร้านที่1"/>
    <s v="ว***นทร์  เ***ูงเนิน"/>
    <s v="ชัยภูมิ"/>
    <s v="-"/>
    <s v=""/>
    <s v="04/01/2025 18:59"/>
    <s v="-"/>
    <s v="J&amp;T COD"/>
    <s v="Tiktok"/>
    <s v="จ่ายทีหลัง / COD"/>
    <s v=""/>
    <s v="754329811093"/>
    <s v="04/01/2025 18:59"/>
  </r>
  <r>
    <x v="0"/>
    <x v="0"/>
    <n v="100"/>
    <n v="1"/>
    <n v="0"/>
    <s v="EQD68"/>
    <n v="100"/>
    <n v="0"/>
    <s v="ร้านที่4"/>
    <s v="ว***  ม***ลาะ"/>
    <s v="พระนครศรีอยุธยา"/>
    <s v="-"/>
    <s v=""/>
    <s v="04/01/2025 18:52"/>
    <s v="-"/>
    <s v="Flash Express Thailand"/>
    <s v="Tiktok"/>
    <s v="tiktok"/>
    <s v=""/>
    <s v="THT05061DYQCM7Z"/>
    <s v="04/01/2025 18:52"/>
  </r>
  <r>
    <x v="0"/>
    <x v="0"/>
    <n v="100"/>
    <n v="1"/>
    <n v="0"/>
    <s v="EQD67"/>
    <n v="106"/>
    <n v="6"/>
    <s v="ร้านที่4"/>
    <s v="น***นุชา  ห***ยโดด"/>
    <s v="สงขลา"/>
    <s v="-"/>
    <s v=""/>
    <s v="04/01/2025 18:47"/>
    <s v="-"/>
    <s v="Flash Express Thailand COD"/>
    <s v="Tiktok"/>
    <s v="จ่ายทีหลัง / COD"/>
    <s v=""/>
    <s v="THT71101DZ26Y6Z"/>
    <s v="04/01/2025 18:47"/>
  </r>
  <r>
    <x v="0"/>
    <x v="0"/>
    <n v="100"/>
    <n v="1"/>
    <n v="0"/>
    <s v="EQD66"/>
    <n v="106"/>
    <n v="6"/>
    <s v="ร้านที่4"/>
    <s v="อ***ชษฐ์ ถ***งาม"/>
    <s v="ปทุมธานี"/>
    <s v="-"/>
    <s v=""/>
    <s v="04/01/2025 18:41"/>
    <s v="-"/>
    <s v="Flash Express Thailand"/>
    <s v="Tiktok"/>
    <s v="tiktok"/>
    <s v=""/>
    <s v="THT04011DZ23W8Z"/>
    <s v="04/01/2025 18:41"/>
  </r>
  <r>
    <x v="0"/>
    <x v="0"/>
    <n v="100"/>
    <n v="2"/>
    <n v="0"/>
    <s v="EQD64"/>
    <n v="200"/>
    <n v="0"/>
    <s v="ร้านที่1"/>
    <s v="น**  ว***ภา  แ***ี้"/>
    <s v="เชียงใหม่"/>
    <s v="-"/>
    <s v=""/>
    <s v="04/01/2025 18:38"/>
    <s v="-"/>
    <s v="J&amp;T COD"/>
    <s v="Tiktok"/>
    <s v="จ่ายทีหลัง / COD"/>
    <s v=""/>
    <s v="754374076245"/>
    <s v="04/01/2025 18:38"/>
  </r>
  <r>
    <x v="27"/>
    <x v="29"/>
    <n v="800"/>
    <n v="1"/>
    <n v="0"/>
    <s v="EQD63"/>
    <n v="800"/>
    <n v="0"/>
    <s v="ร้านที่4"/>
    <s v="ณ***นม์ เ***เลิศ"/>
    <s v="อ่างทอง"/>
    <s v="-"/>
    <s v=""/>
    <s v="04/01/2025 18:38"/>
    <s v="-"/>
    <s v="Flash Express Thailand COD"/>
    <s v="Tiktok"/>
    <s v="จ่ายทีหลัง / COD"/>
    <s v=""/>
    <s v="THT06031DYK6H1Z"/>
    <s v="04/01/2025 18:38"/>
  </r>
  <r>
    <x v="9"/>
    <x v="4"/>
    <n v="100"/>
    <n v="1"/>
    <n v="0"/>
    <s v="EQD62"/>
    <n v="200"/>
    <n v="0"/>
    <s v="ร้านที่4"/>
    <s v="บ***ิวา จ***ร์ต๊ะ"/>
    <s v="ลำปาง"/>
    <s v="-"/>
    <s v=""/>
    <s v="04/01/2025 18:37"/>
    <s v="-"/>
    <s v="Flash Express Thailand COD"/>
    <s v="Tiktok"/>
    <s v="จ่ายทีหลัง / COD"/>
    <s v=""/>
    <s v="THT49021DZ3RZ3Z"/>
    <s v="04/01/2025 18:37"/>
  </r>
  <r>
    <x v="4"/>
    <x v="4"/>
    <n v="100"/>
    <n v="1"/>
    <n v="0"/>
    <s v="EQD62"/>
    <n v="200"/>
    <n v="0"/>
    <s v="ร้านที่4"/>
    <s v="บ***ิวา จ***ร์ต๊ะ"/>
    <s v="ลำปาง"/>
    <s v="-"/>
    <s v=""/>
    <s v="04/01/2025 18:37"/>
    <s v="-"/>
    <s v="Flash Express Thailand COD"/>
    <s v="Tiktok"/>
    <s v="จ่ายทีหลัง / COD"/>
    <s v=""/>
    <s v="THT49021DZ3RZ3Z"/>
    <s v="04/01/2025 18:37"/>
  </r>
  <r>
    <x v="1"/>
    <x v="1"/>
    <n v="200"/>
    <n v="1"/>
    <n v="0"/>
    <s v="EQD61"/>
    <n v="200"/>
    <n v="0"/>
    <s v="ร้านที่1"/>
    <s v="แ**"/>
    <s v="เชียงราย"/>
    <s v="-"/>
    <s v=""/>
    <s v="04/01/2025 18:37"/>
    <s v="-"/>
    <s v="J&amp;T COD"/>
    <s v="Tiktok"/>
    <s v="จ่ายทีหลัง / COD"/>
    <s v=""/>
    <s v="754340420002"/>
    <s v="04/01/2025 18:37"/>
  </r>
  <r>
    <x v="0"/>
    <x v="0"/>
    <n v="100"/>
    <n v="1"/>
    <n v="0"/>
    <s v="EQD60"/>
    <n v="106"/>
    <n v="6"/>
    <s v="ร้านที่4"/>
    <s v="ว***ญา ห***วาน"/>
    <s v="ระยอง"/>
    <s v="-"/>
    <s v=""/>
    <s v="04/01/2025 18:36"/>
    <s v="-"/>
    <s v="Flash Express Thailand COD"/>
    <s v="Tiktok"/>
    <s v="จ่ายทีหลัง / COD"/>
    <s v=""/>
    <s v="THT21011DYQ6A3Z"/>
    <s v="04/01/2025 18:36"/>
  </r>
  <r>
    <x v="3"/>
    <x v="3"/>
    <n v="100"/>
    <n v="2"/>
    <n v="0"/>
    <s v="EQD59"/>
    <n v="200"/>
    <n v="0"/>
    <s v="ร้านที่4"/>
    <s v="น***าว น***า ป***ิคะเน"/>
    <s v="กาฬสินธุ์"/>
    <s v="-"/>
    <s v=""/>
    <s v="04/01/2025 18:31"/>
    <s v="-"/>
    <s v="Flash Express Thailand COD"/>
    <s v="Tiktok"/>
    <s v="จ่ายทีหลัง / COD"/>
    <s v=""/>
    <s v="THT43011DZ7SW4Z"/>
    <s v="04/01/2025 18:31"/>
  </r>
  <r>
    <x v="4"/>
    <x v="4"/>
    <n v="100"/>
    <n v="2"/>
    <n v="0"/>
    <s v="EQD58"/>
    <n v="200"/>
    <n v="0"/>
    <s v="ร้านที่4"/>
    <s v="น***นัส ส***่ามไกร"/>
    <s v="สุพรรณบุรี"/>
    <s v="-"/>
    <s v=""/>
    <s v="04/01/2025 18:28"/>
    <s v="-"/>
    <s v="Flash Express Thailand COD"/>
    <s v="Tiktok"/>
    <s v="จ่ายทีหลัง / COD"/>
    <s v=""/>
    <s v="THT14031DYNQP9Z"/>
    <s v="04/01/2025 18:28"/>
  </r>
  <r>
    <x v="3"/>
    <x v="3"/>
    <n v="100"/>
    <n v="2"/>
    <n v="0"/>
    <s v="EQD57"/>
    <n v="200"/>
    <n v="0"/>
    <s v="ร้านที่4"/>
    <s v="เ***พร ส***ดี"/>
    <s v="ราชบุรี"/>
    <s v="-"/>
    <s v=""/>
    <s v="04/01/2025 18:28"/>
    <s v="-"/>
    <s v="Flash Express Thailand"/>
    <s v="Tiktok"/>
    <s v="tiktok"/>
    <s v=""/>
    <s v="THT12011DYSQ69Z"/>
    <s v="04/01/2025 18:27"/>
  </r>
  <r>
    <x v="1"/>
    <x v="1"/>
    <n v="200"/>
    <n v="1"/>
    <n v="0"/>
    <s v="EQD56"/>
    <n v="200"/>
    <n v="0"/>
    <s v="ร้านที่4"/>
    <s v="จ***า  แ***แก้ว"/>
    <s v="นครนายก"/>
    <s v="-"/>
    <s v=""/>
    <s v="04/01/2025 18:15"/>
    <s v="-"/>
    <s v="Flash Express Thailand COD"/>
    <s v="Tiktok"/>
    <s v="จ่ายทีหลัง / COD"/>
    <s v="ไม่เอาทุเรียนค่ะ"/>
    <s v="THT11031DZ7PE8Z"/>
    <s v="04/01/2025 18:16"/>
  </r>
  <r>
    <x v="19"/>
    <x v="19"/>
    <n v="199"/>
    <n v="2"/>
    <n v="0"/>
    <s v="EQD55"/>
    <n v="446"/>
    <n v="48"/>
    <s v="ร้านที่1"/>
    <s v="ป******ม"/>
    <s v="****** ตำบลแพรกษา อำเภอเมืองสมุทรปราการ จังหวัดสมุทรปราการ 10280"/>
    <s v="10280"/>
    <s v="98"/>
    <s v="04/01/2025 18:15"/>
    <s v="-"/>
    <s v="SPX Express"/>
    <s v="Shopee"/>
    <s v="shopee"/>
    <s v=""/>
    <s v="TH255181009363U"/>
    <s v="04/01/2025 18:15"/>
  </r>
  <r>
    <x v="0"/>
    <x v="0"/>
    <n v="100"/>
    <n v="2"/>
    <n v="0"/>
    <s v="EQD54"/>
    <n v="200"/>
    <n v="0"/>
    <s v="ร้านที่4"/>
    <s v="จ***พร ค***ขุนทด"/>
    <s v="นครราชสีมา"/>
    <s v="-"/>
    <s v=""/>
    <s v="04/01/2025 18:14"/>
    <s v="-"/>
    <s v="Flash Express Thailand COD"/>
    <s v="Tiktok"/>
    <s v="จ่ายทีหลัง / COD"/>
    <s v=""/>
    <s v="THT27011DYPEC9Z"/>
    <s v="04/01/2025 18:14"/>
  </r>
  <r>
    <x v="0"/>
    <x v="0"/>
    <n v="100"/>
    <n v="1"/>
    <n v="0"/>
    <s v="EQD53"/>
    <n v="106"/>
    <n v="6"/>
    <s v="ร้านที่4"/>
    <s v="บ***ร พ***์ศรี"/>
    <s v="สุรินทร์"/>
    <s v="-"/>
    <s v=""/>
    <s v="04/01/2025 18:14"/>
    <s v="-"/>
    <s v="Flash Express Thailand"/>
    <s v="Tiktok"/>
    <s v="tiktok"/>
    <s v=""/>
    <s v="THT29011DZ20W8Z"/>
    <s v="04/01/2025 18:14"/>
  </r>
  <r>
    <x v="9"/>
    <x v="4"/>
    <n v="100"/>
    <n v="1"/>
    <n v="0"/>
    <s v="EQD52"/>
    <n v="100"/>
    <n v="0"/>
    <s v="ร้านที่4"/>
    <s v="ว***นดา เ***ญลาภถาวร"/>
    <s v="สมุทรสาคร"/>
    <s v="-"/>
    <s v=""/>
    <s v="04/01/2025 18:11"/>
    <s v="-"/>
    <s v="Flash Express Thailand"/>
    <s v="Tiktok"/>
    <s v="tiktok"/>
    <s v=""/>
    <s v="THT16021DZ48N6Z"/>
    <s v="04/01/2025 18:10"/>
  </r>
  <r>
    <x v="9"/>
    <x v="4"/>
    <n v="150"/>
    <n v="1"/>
    <n v="0"/>
    <s v="EQD51"/>
    <n v="150"/>
    <n v="0"/>
    <s v="ร้านที่1"/>
    <s v="ส******ย"/>
    <s v="******ย 18 ถนน ลาดปลาเค้า เขต ลาดพร้าว แขวงจรเข้บัว เขตลาดพร้าว จังหวัดกรุงเทพมหานคร 10230"/>
    <s v="10230"/>
    <s v="25"/>
    <s v="04/01/2025 18:40"/>
    <s v="-"/>
    <s v="SPX Express"/>
    <s v="Shopee"/>
    <s v="shopee"/>
    <s v=""/>
    <s v="TH2543881095094"/>
    <s v="04/01/2025 18:10"/>
  </r>
  <r>
    <x v="0"/>
    <x v="0"/>
    <n v="100"/>
    <n v="2"/>
    <n v="0"/>
    <s v="EQD50"/>
    <n v="450"/>
    <n v="0"/>
    <s v="ร้านที่4"/>
    <s v="ว***วิภา"/>
    <s v="ชลบุรี"/>
    <s v="-"/>
    <s v=""/>
    <s v="04/01/2025 18:09"/>
    <s v="-"/>
    <s v="Flash Express Thailand COD"/>
    <s v="Tiktok"/>
    <s v="จ่ายทีหลัง / COD"/>
    <s v=""/>
    <s v="THT20081E303J4Z"/>
    <s v="04/01/2025 18:09"/>
  </r>
  <r>
    <x v="52"/>
    <x v="11"/>
    <n v="250"/>
    <n v="1"/>
    <n v="0"/>
    <s v="EQD50"/>
    <n v="450"/>
    <n v="0"/>
    <s v="ร้านที่4"/>
    <s v="ว***วิภา"/>
    <s v="ชลบุรี"/>
    <s v="-"/>
    <s v=""/>
    <s v="04/01/2025 18:09"/>
    <s v="-"/>
    <s v="Flash Express Thailand COD"/>
    <s v="Tiktok"/>
    <s v="จ่ายทีหลัง / COD"/>
    <s v=""/>
    <s v="THT20081E303J4Z"/>
    <s v="04/01/2025 18:09"/>
  </r>
  <r>
    <x v="9"/>
    <x v="4"/>
    <n v="100"/>
    <n v="4"/>
    <n v="0"/>
    <s v="EQD49"/>
    <n v="400"/>
    <n v="0"/>
    <s v="ร้านที่4"/>
    <s v="ว***คณา"/>
    <s v="พิษณุโลก"/>
    <s v="-"/>
    <s v=""/>
    <s v="04/01/2025 18:07"/>
    <s v="-"/>
    <s v="Flash Express Thailand COD"/>
    <s v="Tiktok"/>
    <s v="จ่ายทีหลัง / COD"/>
    <s v=""/>
    <s v="THT61081DZ3WY4Z"/>
    <s v="04/01/2025 18:07"/>
  </r>
  <r>
    <x v="5"/>
    <x v="5"/>
    <n v="350"/>
    <n v="1"/>
    <n v="0"/>
    <s v="EQD48"/>
    <n v="350"/>
    <n v="0"/>
    <s v="ร้านที่4"/>
    <s v="โ***กา ช***นิท"/>
    <s v="ระนอง"/>
    <s v="-"/>
    <s v=""/>
    <s v="04/01/2025 18:06"/>
    <s v="-"/>
    <s v="Flash Express Thailand COD"/>
    <s v="Tiktok"/>
    <s v="จ่ายทีหลัง / COD"/>
    <s v=""/>
    <s v="THT69011E2N0Q7Z"/>
    <s v="04/01/2025 18:06"/>
  </r>
  <r>
    <x v="4"/>
    <x v="4"/>
    <n v="100"/>
    <n v="1"/>
    <n v="0"/>
    <s v="EQD47"/>
    <n v="106"/>
    <n v="6"/>
    <s v="ร้านที่4"/>
    <s v="ว***ภรณ์ เ***ณรงค์"/>
    <s v="บุรีรัมย์"/>
    <s v="-"/>
    <s v=""/>
    <s v="04/01/2025 18:05"/>
    <s v="-"/>
    <s v="Flash Express Thailand COD"/>
    <s v="Tiktok"/>
    <s v="จ่ายทีหลัง / COD"/>
    <s v=""/>
    <s v="THT10131DZ0Y00Z"/>
    <s v="04/01/2025 18:05"/>
  </r>
  <r>
    <x v="1"/>
    <x v="1"/>
    <n v="200"/>
    <n v="1"/>
    <n v="0"/>
    <s v="EQD46"/>
    <n v="200"/>
    <n v="0"/>
    <s v="ร้านที่1"/>
    <s v="ว***ิภา ส***ิสัย"/>
    <s v="ปราจีนบุรี"/>
    <s v="-"/>
    <s v=""/>
    <s v="04/01/2025 18:04"/>
    <s v="-"/>
    <s v="J&amp;T Express"/>
    <s v="Tiktok"/>
    <s v="tiktok"/>
    <s v=""/>
    <s v="754396414085"/>
    <s v="04/01/2025 18:03"/>
  </r>
  <r>
    <x v="9"/>
    <x v="4"/>
    <n v="100"/>
    <n v="1"/>
    <n v="0"/>
    <s v="EQD45"/>
    <n v="200"/>
    <n v="0"/>
    <s v="ร้านที่4"/>
    <s v="ณ***ิชา อ***ร์จักร์"/>
    <s v="ชลบุรี"/>
    <s v="-"/>
    <s v=""/>
    <s v="04/01/2025 18:03"/>
    <s v="-"/>
    <s v="Flash Express Thailand COD"/>
    <s v="Tiktok"/>
    <s v="จ่ายทีหลัง / COD"/>
    <s v=""/>
    <s v="THT20071DZ48U8Z"/>
    <s v="04/01/2025 18:03"/>
  </r>
  <r>
    <x v="3"/>
    <x v="3"/>
    <n v="100"/>
    <n v="1"/>
    <n v="0"/>
    <s v="EQD45"/>
    <n v="200"/>
    <n v="0"/>
    <s v="ร้านที่4"/>
    <s v="ณ***ิชา อ***ร์จักร์"/>
    <s v="ชลบุรี"/>
    <s v="-"/>
    <s v=""/>
    <s v="04/01/2025 18:03"/>
    <s v="-"/>
    <s v="Flash Express Thailand COD"/>
    <s v="Tiktok"/>
    <s v="จ่ายทีหลัง / COD"/>
    <s v=""/>
    <s v="THT20071DZ48U8Z"/>
    <s v="04/01/2025 18:03"/>
  </r>
  <r>
    <x v="9"/>
    <x v="4"/>
    <n v="100"/>
    <n v="11"/>
    <n v="0"/>
    <s v="EQD44"/>
    <n v="2200"/>
    <n v="0"/>
    <s v="ร้านที่4"/>
    <s v="ศ***  ค***ยตะพงศ์"/>
    <s v="เทศบาลนครสุราษฎร์ธานี"/>
    <s v="-"/>
    <s v=""/>
    <s v="04/01/2025 18:02"/>
    <s v="-"/>
    <s v="Flash Express Thailand COD"/>
    <s v="Tiktok"/>
    <s v="จ่ายทีหลัง / COD"/>
    <s v=""/>
    <s v="THT68071DZ30W7Z"/>
    <s v="04/01/2025 18:02"/>
  </r>
  <r>
    <x v="4"/>
    <x v="4"/>
    <n v="100"/>
    <n v="11"/>
    <n v="0"/>
    <s v="EQD44"/>
    <n v="2200"/>
    <n v="0"/>
    <s v="ร้านที่4"/>
    <s v="ศ***  ค***ยตะพงศ์"/>
    <s v="เทศบาลนครสุราษฎร์ธานี"/>
    <s v="-"/>
    <s v=""/>
    <s v="04/01/2025 18:02"/>
    <s v="-"/>
    <s v="Flash Express Thailand COD"/>
    <s v="Tiktok"/>
    <s v="จ่ายทีหลัง / COD"/>
    <s v=""/>
    <s v="THT68071DZ30W7Z"/>
    <s v="04/01/2025 18:02"/>
  </r>
  <r>
    <x v="9"/>
    <x v="4"/>
    <n v="100"/>
    <n v="2"/>
    <n v="0"/>
    <s v="EQD43"/>
    <n v="200"/>
    <n v="0"/>
    <s v="ร้านที่4"/>
    <s v="เ**"/>
    <s v="สระบุรี"/>
    <s v="-"/>
    <s v=""/>
    <s v="04/01/2025 18:02"/>
    <s v="-"/>
    <s v="Flash Express Thailand COD"/>
    <s v="Tiktok"/>
    <s v="จ่ายทีหลัง / COD"/>
    <s v=""/>
    <s v="THT10071DZ4EG6Z"/>
    <s v="04/01/2025 18:02"/>
  </r>
  <r>
    <x v="4"/>
    <x v="4"/>
    <n v="100"/>
    <n v="1"/>
    <n v="0"/>
    <s v="EQD42"/>
    <n v="195"/>
    <n v="0"/>
    <s v="ร้านที่2"/>
    <s v="จ**"/>
    <s v="มหาสารคาม"/>
    <s v="-"/>
    <s v=""/>
    <s v="04/01/2025 18:01"/>
    <s v="-"/>
    <s v="J&amp;T COD"/>
    <s v="Tiktok"/>
    <s v="จ่ายทีหลัง / COD"/>
    <s v=""/>
    <s v="754315491285"/>
    <s v="04/01/2025 18:01"/>
  </r>
  <r>
    <x v="1"/>
    <x v="1"/>
    <n v="200"/>
    <n v="1"/>
    <n v="0"/>
    <s v="EQD41"/>
    <n v="200"/>
    <n v="0"/>
    <s v="ร้านที่1"/>
    <s v="ว***นทร์"/>
    <s v="กรุงเทพฯ"/>
    <s v="-"/>
    <s v=""/>
    <s v="04/01/2025 18:00"/>
    <s v="-"/>
    <s v="J&amp;T COD"/>
    <s v="Tiktok"/>
    <s v="จ่ายทีหลัง / COD"/>
    <s v=""/>
    <s v="754329018310"/>
    <s v="04/01/2025 18:00"/>
  </r>
  <r>
    <x v="21"/>
    <x v="21"/>
    <n v="149"/>
    <n v="1"/>
    <n v="0"/>
    <s v="EQD39"/>
    <n v="155"/>
    <n v="6"/>
    <s v="ร้านที่2"/>
    <s v="น***าวปาณิศา แ***สนธิ์"/>
    <s v="พะเยา"/>
    <s v="-"/>
    <s v=""/>
    <s v="04/01/2025 17:55"/>
    <s v="-"/>
    <s v="J&amp;T Express"/>
    <s v="Tiktok"/>
    <s v="tiktok"/>
    <s v=""/>
    <s v="754392439080"/>
    <s v="04/01/2025 17:55"/>
  </r>
  <r>
    <x v="3"/>
    <x v="8"/>
    <n v="79.3"/>
    <n v="1"/>
    <n v="0"/>
    <s v="EQD38"/>
    <n v="84.3"/>
    <n v="5"/>
    <s v="ร้านที่6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04/01/2025 17:56"/>
    <s v="-"/>
    <s v="Kerry_dropoff"/>
    <s v="Lazada"/>
    <s v="lazada"/>
    <s v=""/>
    <s v="LEXPU0442262839"/>
    <s v="04/01/2025 17:53"/>
  </r>
  <r>
    <x v="1"/>
    <x v="1"/>
    <n v="200"/>
    <n v="1"/>
    <n v="0"/>
    <s v="EQD37"/>
    <n v="200"/>
    <n v="0"/>
    <s v="ร้านที่2"/>
    <s v="น***สายฝน  ร***สว่าง"/>
    <s v="กรุงเทพฯ"/>
    <s v="-"/>
    <s v=""/>
    <s v="04/01/2025 17:52"/>
    <s v="-"/>
    <s v="J&amp;T COD"/>
    <s v="Tiktok"/>
    <s v="จ่ายทีหลัง / COD"/>
    <s v=""/>
    <s v="754392116015"/>
    <s v="04/01/2025 17:52"/>
  </r>
  <r>
    <x v="0"/>
    <x v="0"/>
    <n v="100"/>
    <n v="1"/>
    <n v="0"/>
    <s v="EQD36"/>
    <n v="299"/>
    <n v="0"/>
    <s v="ร้านที่4"/>
    <s v="ส***ตรี น***ศเกษม"/>
    <s v="นครปฐม"/>
    <s v="-"/>
    <s v=""/>
    <s v="04/01/2025 17:51"/>
    <s v="-"/>
    <s v="Flash Express Thailand COD"/>
    <s v="Tiktok"/>
    <s v="จ่ายทีหลัง / COD"/>
    <s v=""/>
    <s v="THT15011DYNPE5Z"/>
    <s v="04/01/2025 17:51"/>
  </r>
  <r>
    <x v="9"/>
    <x v="4"/>
    <n v="100"/>
    <n v="1"/>
    <n v="0"/>
    <s v="EQD36"/>
    <n v="299"/>
    <n v="0"/>
    <s v="ร้านที่4"/>
    <s v="ส***ตรี น***ศเกษม"/>
    <s v="นครปฐม"/>
    <s v="-"/>
    <s v=""/>
    <s v="04/01/2025 17:51"/>
    <s v="-"/>
    <s v="Flash Express Thailand COD"/>
    <s v="Tiktok"/>
    <s v="จ่ายทีหลัง / COD"/>
    <s v=""/>
    <s v="THT15011DYNPE5Z"/>
    <s v="04/01/2025 17:51"/>
  </r>
  <r>
    <x v="9"/>
    <x v="4"/>
    <n v="100"/>
    <n v="1"/>
    <n v="0"/>
    <s v="EQD35"/>
    <n v="106"/>
    <n v="6"/>
    <s v="ร้านที่2"/>
    <s v="บ*** ร***กาแฟอเมซอน"/>
    <s v="อุดรธานี"/>
    <s v="-"/>
    <s v=""/>
    <s v="04/01/2025 17:49"/>
    <s v="-"/>
    <s v="J&amp;T COD"/>
    <s v="Tiktok"/>
    <s v="จ่ายทีหลัง / COD"/>
    <s v=""/>
    <s v="754385019065"/>
    <s v="04/01/2025 17:49"/>
  </r>
  <r>
    <x v="0"/>
    <x v="0"/>
    <n v="100"/>
    <n v="3"/>
    <n v="0"/>
    <s v="EQD34"/>
    <n v="300"/>
    <n v="0"/>
    <s v="ร้านที่4"/>
    <s v="จ***อ ป***ร ก***ง"/>
    <s v="Bangkok"/>
    <s v="-"/>
    <s v=""/>
    <s v="04/01/2025 17:47"/>
    <s v="-"/>
    <s v="Flash Express Thailand"/>
    <s v="Tiktok"/>
    <s v="tiktok"/>
    <s v=""/>
    <s v="THT01181DZ19D8Z"/>
    <s v="04/01/2025 17:47"/>
  </r>
  <r>
    <x v="0"/>
    <x v="0"/>
    <n v="100"/>
    <n v="1"/>
    <n v="0"/>
    <s v="EQD33"/>
    <n v="106"/>
    <n v="6"/>
    <s v="ร้านที่4"/>
    <s v="จ***ิรา ต***พงษ์​"/>
    <s v="เทศบาลนครอุบลราชธานี"/>
    <s v="-"/>
    <s v=""/>
    <s v="04/01/2025 17:43"/>
    <s v="-"/>
    <s v="Flash Express Thailand COD"/>
    <s v="Tiktok"/>
    <s v="จ่ายทีหลัง / COD"/>
    <s v=""/>
    <s v="THT31231E2D0M5Z"/>
    <s v="04/01/2025 17:43"/>
  </r>
  <r>
    <x v="5"/>
    <x v="5"/>
    <n v="350"/>
    <n v="1"/>
    <n v="0"/>
    <s v="EQD32"/>
    <n v="350"/>
    <n v="0"/>
    <s v="ร้านที่4"/>
    <s v="N***ื่อยเปื่อย"/>
    <s v="ชลบุรี"/>
    <s v="-"/>
    <s v=""/>
    <s v="04/01/2025 17:40"/>
    <s v="-"/>
    <s v="Flash Express Thailand COD"/>
    <s v="Tiktok"/>
    <s v="จ่ายทีหลัง / COD"/>
    <s v=""/>
    <s v="THT20011E2N611Z"/>
    <s v="04/01/2025 17:40"/>
  </r>
  <r>
    <x v="0"/>
    <x v="0"/>
    <n v="100"/>
    <n v="1"/>
    <n v="0"/>
    <s v="EQD31"/>
    <n v="106"/>
    <n v="6"/>
    <s v="ร้านที่1"/>
    <s v="ร***ม บ***หละ"/>
    <s v="สงขลา"/>
    <s v="-"/>
    <s v=""/>
    <s v="04/01/2025 17:33"/>
    <s v="-"/>
    <s v="J&amp;T COD"/>
    <s v="Tiktok"/>
    <s v="จ่ายทีหลัง / COD"/>
    <s v=""/>
    <s v="754331489251"/>
    <s v="04/01/2025 17:33"/>
  </r>
  <r>
    <x v="37"/>
    <x v="49"/>
    <n v="100"/>
    <n v="1"/>
    <n v="0"/>
    <s v="EQD30"/>
    <n v="200"/>
    <n v="0"/>
    <s v="ร้านที่4"/>
    <s v="น***แจ่มน้อย"/>
    <s v="กาญจนบุรี"/>
    <s v="-"/>
    <s v=""/>
    <s v="04/01/2025 17:30"/>
    <s v="-"/>
    <s v="Flash Express Thailand"/>
    <s v="Tiktok"/>
    <s v="tiktok"/>
    <s v=""/>
    <s v="THT13051DZ2YD2Z"/>
    <s v="04/01/2025 17:30"/>
  </r>
  <r>
    <x v="9"/>
    <x v="4"/>
    <n v="100"/>
    <n v="1"/>
    <n v="0"/>
    <s v="EQD30"/>
    <n v="200"/>
    <n v="0"/>
    <s v="ร้านที่4"/>
    <s v="น***แจ่มน้อย"/>
    <s v="กาญจนบุรี"/>
    <s v="-"/>
    <s v=""/>
    <s v="04/01/2025 17:30"/>
    <s v="-"/>
    <s v="Flash Express Thailand"/>
    <s v="Tiktok"/>
    <s v="tiktok"/>
    <s v=""/>
    <s v="THT13051DZ2YD2Z"/>
    <s v="04/01/2025 17:30"/>
  </r>
  <r>
    <x v="0"/>
    <x v="0"/>
    <n v="100"/>
    <n v="1"/>
    <n v="0"/>
    <s v="EQD29"/>
    <n v="129"/>
    <n v="29"/>
    <s v="ร้านที่4"/>
    <s v="ส***ณีย์ ห***ทอง"/>
    <s v="อุทัยธานี"/>
    <s v="-"/>
    <s v=""/>
    <s v="04/01/2025 17:28"/>
    <s v="-"/>
    <s v="Flash Express Thailand COD"/>
    <s v="Tiktok"/>
    <s v="จ่ายทีหลัง / COD"/>
    <s v=""/>
    <s v="THT57061E2D3W9Z"/>
    <s v="04/01/2025 17:28"/>
  </r>
  <r>
    <x v="0"/>
    <x v="0"/>
    <n v="100"/>
    <n v="1"/>
    <n v="0"/>
    <s v="EQD28"/>
    <n v="106"/>
    <n v="6"/>
    <s v="ร้านที่4"/>
    <s v="ป***ฟ้า แ***พรหม"/>
    <s v="บุรีรัมย์"/>
    <s v="-"/>
    <s v=""/>
    <s v="04/01/2025 17:27"/>
    <s v="-"/>
    <s v="Flash Express Thailand COD"/>
    <s v="Tiktok"/>
    <s v="จ่ายทีหลัง / COD"/>
    <s v=""/>
    <s v="THT28141E2TRG2Z"/>
    <s v="04/01/2025 17:27"/>
  </r>
  <r>
    <x v="0"/>
    <x v="0"/>
    <n v="100"/>
    <n v="1"/>
    <n v="0"/>
    <s v="EQD25"/>
    <n v="106"/>
    <n v="6"/>
    <s v="ร้านที่1"/>
    <s v="ก***กร ป***ลาง"/>
    <s v="ฉะเชิงเทรา"/>
    <s v="-"/>
    <s v=""/>
    <s v="04/01/2025 17:20"/>
    <s v="-"/>
    <s v="J&amp;T COD"/>
    <s v="Tiktok"/>
    <s v="จ่ายทีหลัง / COD"/>
    <s v=""/>
    <s v="754302178291"/>
    <s v="04/01/2025 17:21"/>
  </r>
  <r>
    <x v="0"/>
    <x v="0"/>
    <n v="100"/>
    <n v="2"/>
    <n v="0"/>
    <s v="EQD24"/>
    <n v="200"/>
    <n v="0"/>
    <s v="ร้านที่4"/>
    <s v="เ*** ท***ิมไสย"/>
    <s v="มหาสารคาม"/>
    <s v="-"/>
    <s v=""/>
    <s v="04/01/2025 17:20"/>
    <s v="-"/>
    <s v="Flash Express Thailand COD"/>
    <s v="Tiktok"/>
    <s v="จ่ายทีหลัง / COD"/>
    <s v=""/>
    <s v="THT41061DYP0M5Z"/>
    <s v="04/01/2025 17:20"/>
  </r>
  <r>
    <x v="0"/>
    <x v="0"/>
    <n v="100"/>
    <n v="1"/>
    <n v="0"/>
    <s v="EQD23"/>
    <n v="100"/>
    <n v="0"/>
    <s v="ร้านที่1"/>
    <s v="ค**"/>
    <s v="Nakhon Pathom"/>
    <s v="-"/>
    <s v=""/>
    <s v="04/01/2025 17:19"/>
    <s v="-"/>
    <s v="J&amp;T COD"/>
    <s v="Tiktok"/>
    <s v="จ่ายทีหลัง / COD"/>
    <s v=""/>
    <s v="754335973296"/>
    <s v="04/01/2025 17:20"/>
  </r>
  <r>
    <x v="0"/>
    <x v="0"/>
    <n v="100"/>
    <n v="1"/>
    <n v="0"/>
    <s v="EQD21"/>
    <n v="100"/>
    <n v="0"/>
    <s v="ร้านที่4"/>
    <s v="ม***ิว"/>
    <s v="สมุทรสาคร"/>
    <s v="-"/>
    <s v=""/>
    <s v="04/01/2025 17:17"/>
    <s v="-"/>
    <s v="Flash Express Thailand"/>
    <s v="Tiktok"/>
    <s v="tiktok"/>
    <s v=""/>
    <s v="THT16011E2S6M2Z"/>
    <s v="04/01/2025 17:17"/>
  </r>
  <r>
    <x v="4"/>
    <x v="4"/>
    <n v="100"/>
    <n v="1"/>
    <n v="0"/>
    <s v="EQD20"/>
    <n v="200"/>
    <n v="0"/>
    <s v="ร้านที่4"/>
    <s v="แ***"/>
    <s v="ลพบุรี"/>
    <s v="-"/>
    <s v=""/>
    <s v="04/01/2025 17:17"/>
    <s v="-"/>
    <s v="Flash Express Thailand"/>
    <s v="Tiktok"/>
    <s v="tiktok"/>
    <s v=""/>
    <s v="THT07051DZ44N1Z"/>
    <s v="04/01/2025 17:16"/>
  </r>
  <r>
    <x v="9"/>
    <x v="4"/>
    <n v="100"/>
    <n v="1"/>
    <n v="0"/>
    <s v="EQD20"/>
    <n v="200"/>
    <n v="0"/>
    <s v="ร้านที่4"/>
    <s v="แ***"/>
    <s v="ลพบุรี"/>
    <s v="-"/>
    <s v=""/>
    <s v="04/01/2025 17:17"/>
    <s v="-"/>
    <s v="Flash Express Thailand"/>
    <s v="Tiktok"/>
    <s v="tiktok"/>
    <s v=""/>
    <s v="THT07051DZ44N1Z"/>
    <s v="04/01/2025 17:16"/>
  </r>
  <r>
    <x v="0"/>
    <x v="0"/>
    <n v="100"/>
    <n v="1"/>
    <n v="0"/>
    <s v="EQD19"/>
    <n v="200"/>
    <n v="0"/>
    <s v="ร้านที่4"/>
    <s v="น***์ภัสสร ้***กำบท"/>
    <s v="ระยอง"/>
    <s v="-"/>
    <s v=""/>
    <s v="04/01/2025 17:16"/>
    <s v="-"/>
    <s v="Flash Express Thailand COD"/>
    <s v="Tiktok"/>
    <s v="จ่ายทีหลัง / COD"/>
    <s v=""/>
    <s v="THT21051E2PGY1Z"/>
    <s v="04/01/2025 17:16"/>
  </r>
  <r>
    <x v="4"/>
    <x v="4"/>
    <n v="100"/>
    <n v="1"/>
    <n v="0"/>
    <s v="EQD19"/>
    <n v="200"/>
    <n v="0"/>
    <s v="ร้านที่4"/>
    <s v="น***์ภัสสร ้***กำบท"/>
    <s v="ระยอง"/>
    <s v="-"/>
    <s v=""/>
    <s v="04/01/2025 17:16"/>
    <s v="-"/>
    <s v="Flash Express Thailand COD"/>
    <s v="Tiktok"/>
    <s v="จ่ายทีหลัง / COD"/>
    <s v=""/>
    <s v="THT21051E2PGY1Z"/>
    <s v="04/01/2025 17:16"/>
  </r>
  <r>
    <x v="0"/>
    <x v="0"/>
    <n v="100"/>
    <n v="1"/>
    <n v="0"/>
    <s v="EQD18"/>
    <n v="106"/>
    <n v="6"/>
    <s v="ร้านที่4"/>
    <s v="S***alak D***dee"/>
    <s v="บึงกาฬ"/>
    <s v="-"/>
    <s v=""/>
    <s v="04/01/2025 17:15"/>
    <s v="-"/>
    <s v="Flash Express Thailand"/>
    <s v="Tiktok"/>
    <s v="tiktok"/>
    <s v=""/>
    <s v="THT35061E2SC92Z"/>
    <s v="04/01/2025 17:15"/>
  </r>
  <r>
    <x v="0"/>
    <x v="0"/>
    <n v="100"/>
    <n v="1"/>
    <n v="0"/>
    <s v="EQD17"/>
    <n v="106"/>
    <n v="6"/>
    <s v="ร้านที่4"/>
    <s v="P* U***on"/>
    <s v="ปทุมธานี"/>
    <s v="-"/>
    <s v=""/>
    <s v="04/01/2025 17:15"/>
    <s v="-"/>
    <s v="Flash Express Thailand COD"/>
    <s v="Tiktok"/>
    <s v="จ่ายทีหลัง / COD"/>
    <s v=""/>
    <s v="THT04011E2SEZ6Z"/>
    <s v="04/01/2025 17:15"/>
  </r>
  <r>
    <x v="0"/>
    <x v="0"/>
    <n v="100"/>
    <n v="2"/>
    <n v="0"/>
    <s v="EQD16"/>
    <n v="200"/>
    <n v="0"/>
    <s v="ร้านที่1"/>
    <s v="โ** ย***คลองขอม"/>
    <s v="สมุทรสาคร"/>
    <s v="-"/>
    <s v=""/>
    <s v="04/01/2025 17:15"/>
    <s v="-"/>
    <s v="J&amp;T COD"/>
    <s v="Tiktok"/>
    <s v="จ่ายทีหลัง / COD"/>
    <s v=""/>
    <s v="754319562286"/>
    <s v="04/01/2025 17:15"/>
  </r>
  <r>
    <x v="3"/>
    <x v="3"/>
    <n v="100"/>
    <n v="1"/>
    <n v="0"/>
    <s v="EQD15"/>
    <n v="200"/>
    <n v="0"/>
    <s v="ร้านที่4"/>
    <s v="น***องจันทร์  พ***ันธ์"/>
    <s v="ศรีสะเกษ"/>
    <s v="-"/>
    <s v=""/>
    <s v="04/01/2025 17:14"/>
    <s v="-"/>
    <s v="Flash Express Thailand"/>
    <s v="Tiktok"/>
    <s v="tiktok"/>
    <s v=""/>
    <s v="THT30181DZ41D4Z"/>
    <s v="04/01/2025 17:14"/>
  </r>
  <r>
    <x v="4"/>
    <x v="4"/>
    <n v="100"/>
    <n v="1"/>
    <n v="0"/>
    <s v="EQD15"/>
    <n v="200"/>
    <n v="0"/>
    <s v="ร้านที่4"/>
    <s v="น***องจันทร์  พ***ันธ์"/>
    <s v="ศรีสะเกษ"/>
    <s v="-"/>
    <s v=""/>
    <s v="04/01/2025 17:14"/>
    <s v="-"/>
    <s v="Flash Express Thailand"/>
    <s v="Tiktok"/>
    <s v="tiktok"/>
    <s v=""/>
    <s v="THT30181DZ41D4Z"/>
    <s v="04/01/2025 17:14"/>
  </r>
  <r>
    <x v="0"/>
    <x v="0"/>
    <n v="100"/>
    <n v="1"/>
    <n v="0"/>
    <s v="EQD14"/>
    <n v="100"/>
    <n v="0"/>
    <s v="ร้านที่4"/>
    <s v="น***รา ส***ระเสริฐ"/>
    <s v="สุพรรณบุรี"/>
    <s v="-"/>
    <s v=""/>
    <s v="04/01/2025 17:13"/>
    <s v="-"/>
    <s v="Flash Express Thailand"/>
    <s v="Tiktok"/>
    <s v="tiktok"/>
    <s v=""/>
    <s v="THT14071E2QX82Z"/>
    <s v="04/01/2025 17:11"/>
  </r>
  <r>
    <x v="0"/>
    <x v="0"/>
    <n v="100"/>
    <n v="1"/>
    <n v="0"/>
    <s v="EQD13"/>
    <n v="185"/>
    <n v="0"/>
    <s v="ร้านที่4"/>
    <s v="ก***"/>
    <s v="ระยอง"/>
    <s v="-"/>
    <s v=""/>
    <s v="04/01/2025 17:11"/>
    <s v="-"/>
    <s v="Flash Express Thailand COD"/>
    <s v="Tiktok"/>
    <s v="จ่ายทีหลัง / COD"/>
    <s v=""/>
    <s v="THT21061DZ4BM2Z"/>
    <s v="04/01/2025 17:11"/>
  </r>
  <r>
    <x v="0"/>
    <x v="0"/>
    <n v="100"/>
    <n v="2"/>
    <n v="0"/>
    <s v="EQD12"/>
    <n v="200"/>
    <n v="0"/>
    <s v="ร้านที่4"/>
    <s v="น***ิราณี  แ***รุณ"/>
    <s v="เพชรบุรี"/>
    <s v="-"/>
    <s v=""/>
    <s v="04/01/2025 17:11"/>
    <s v="-"/>
    <s v="Flash Express Thailand COD"/>
    <s v="Tiktok"/>
    <s v="จ่ายทีหลัง / COD"/>
    <s v=""/>
    <s v="THT18011DZ1SR4Z"/>
    <s v="04/01/2025 17:11"/>
  </r>
  <r>
    <x v="4"/>
    <x v="4"/>
    <n v="100"/>
    <n v="1"/>
    <n v="0"/>
    <s v="EQD11"/>
    <n v="200"/>
    <n v="0"/>
    <s v="ร้านที่4"/>
    <s v="ก*** จ***าไทย"/>
    <s v="สมุทรปราการ"/>
    <s v="-"/>
    <s v=""/>
    <s v="04/01/2025 17:10"/>
    <s v="-"/>
    <s v="Flash Express Thailand"/>
    <s v="Tiktok"/>
    <s v="tiktok"/>
    <s v=""/>
    <s v="THT02051DYSA59Z"/>
    <s v="04/01/2025 17:10"/>
  </r>
  <r>
    <x v="3"/>
    <x v="3"/>
    <n v="100"/>
    <n v="1"/>
    <n v="0"/>
    <s v="EQD11"/>
    <n v="200"/>
    <n v="0"/>
    <s v="ร้านที่4"/>
    <s v="ก*** จ***าไทย"/>
    <s v="สมุทรปราการ"/>
    <s v="-"/>
    <s v=""/>
    <s v="04/01/2025 17:10"/>
    <s v="-"/>
    <s v="Flash Express Thailand"/>
    <s v="Tiktok"/>
    <s v="tiktok"/>
    <s v=""/>
    <s v="THT02051DYSA59Z"/>
    <s v="04/01/2025 17:10"/>
  </r>
  <r>
    <x v="10"/>
    <x v="10"/>
    <n v="200"/>
    <n v="2"/>
    <n v="0"/>
    <s v="EQD10"/>
    <n v="400"/>
    <n v="0"/>
    <s v="ร้านที่1"/>
    <s v="ส***ี เ***ขุนทด"/>
    <s v="ปทุมธานี"/>
    <s v="-"/>
    <s v=""/>
    <s v="04/01/2025 17:09"/>
    <s v="-"/>
    <s v="J&amp;T COD"/>
    <s v="Tiktok"/>
    <s v="จ่ายทีหลัง / COD"/>
    <s v=""/>
    <s v="754389444093"/>
    <s v="04/01/2025 17:09"/>
  </r>
  <r>
    <x v="0"/>
    <x v="0"/>
    <n v="100"/>
    <n v="2"/>
    <n v="0"/>
    <s v="EQD8"/>
    <n v="200"/>
    <n v="0"/>
    <s v="ร้านที่4"/>
    <s v="ธ***รัตน์"/>
    <s v="ปทุมธานี"/>
    <s v="-"/>
    <s v=""/>
    <s v="04/01/2025 17:07"/>
    <s v="-"/>
    <s v="Flash Express Thailand"/>
    <s v="Tiktok"/>
    <s v="tiktok"/>
    <s v=""/>
    <s v="THT04061DYPZH1Z"/>
    <s v="04/01/2025 17:07"/>
  </r>
  <r>
    <x v="3"/>
    <x v="3"/>
    <n v="100"/>
    <n v="2"/>
    <n v="0"/>
    <s v="EQD5"/>
    <n v="200"/>
    <n v="0"/>
    <s v="ร้านที่2"/>
    <s v="ป******์"/>
    <s v="******.ประทาย จ.นครราชสีมา 30180 ตำบลนางรำ อำเภอประทาย จังหวัดนครราชสีมา 30180"/>
    <s v="30180"/>
    <s v="19"/>
    <s v="04/01/2025 17:08"/>
    <s v="-"/>
    <s v="SPX Express"/>
    <s v="Shopee"/>
    <s v="shopee"/>
    <s v=""/>
    <s v="TH254818986055X"/>
    <s v="04/01/2025 17:04"/>
  </r>
  <r>
    <x v="9"/>
    <x v="4"/>
    <n v="100"/>
    <n v="6"/>
    <n v="0"/>
    <s v="EQD4"/>
    <n v="600"/>
    <n v="0"/>
    <s v="ร้านที่1"/>
    <s v="อ***ียา แ***์รังษี"/>
    <s v="นครราชสีมา"/>
    <s v="-"/>
    <s v=""/>
    <s v="04/01/2025 17:02"/>
    <s v="-"/>
    <s v="J&amp;T Express"/>
    <s v="Tiktok"/>
    <s v="tiktok"/>
    <s v=""/>
    <s v="754334615090"/>
    <s v="04/01/2025 17:02"/>
  </r>
  <r>
    <x v="1"/>
    <x v="1"/>
    <n v="200"/>
    <n v="1"/>
    <n v="0"/>
    <s v="EQD3"/>
    <n v="200"/>
    <n v="0"/>
    <s v="ร้านที่1"/>
    <s v="m***"/>
    <s v="กรุงเทพมหานคร"/>
    <s v="-"/>
    <s v=""/>
    <s v="04/01/2025 17:02"/>
    <s v="-"/>
    <s v="J&amp;T COD"/>
    <s v="Tiktok"/>
    <s v="จ่ายทีหลัง / COD"/>
    <s v=""/>
    <s v="754303319011"/>
    <s v="04/01/2025 17:02"/>
  </r>
  <r>
    <x v="0"/>
    <x v="0"/>
    <n v="100"/>
    <n v="2"/>
    <n v="0"/>
    <s v="EQD2"/>
    <n v="200"/>
    <n v="0"/>
    <s v="ร้านที่4"/>
    <s v="ป***ภา ค***ี่ยม"/>
    <s v="พิษณุโลก"/>
    <s v="-"/>
    <s v=""/>
    <s v="04/01/2025 17:02"/>
    <s v="-"/>
    <s v="Flash Express Thailand COD"/>
    <s v="Tiktok"/>
    <s v="จ่ายทีหลัง / COD"/>
    <s v=""/>
    <s v="THT61011DZ1HU8Z"/>
    <s v="04/01/2025 17:02"/>
  </r>
  <r>
    <x v="0"/>
    <x v="0"/>
    <n v="100"/>
    <n v="1"/>
    <n v="0"/>
    <s v="EQD1"/>
    <n v="106"/>
    <n v="6"/>
    <s v="ร้านที่4"/>
    <s v="ส***วดี เ***"/>
    <s v="สุรินทร์"/>
    <s v="-"/>
    <s v=""/>
    <s v="04/01/2025 17:01"/>
    <s v="-"/>
    <s v="Flash Express Thailand COD"/>
    <s v="Tiktok"/>
    <s v="จ่ายทีหลัง / COD"/>
    <s v=""/>
    <s v="THT29171E2CJX3Z"/>
    <s v="04/01/2025 17:01"/>
  </r>
  <r>
    <x v="0"/>
    <x v="0"/>
    <n v="100"/>
    <n v="1"/>
    <n v="0"/>
    <s v="EQD0"/>
    <n v="200"/>
    <n v="0"/>
    <s v="ร้านที่4"/>
    <s v="น*** แ***วีสุข"/>
    <s v="ปทุมธานี"/>
    <s v="-"/>
    <s v=""/>
    <s v="04/01/2025 17:01"/>
    <s v="-"/>
    <s v="Flash Express Thailand"/>
    <s v="Tiktok"/>
    <s v="tiktok"/>
    <s v=""/>
    <s v="THT04061E2PHZ9Z"/>
    <s v="04/01/2025 17:01"/>
  </r>
  <r>
    <x v="3"/>
    <x v="3"/>
    <n v="100"/>
    <n v="1"/>
    <n v="0"/>
    <s v="EQD0"/>
    <n v="200"/>
    <n v="0"/>
    <s v="ร้านที่4"/>
    <s v="น*** แ***วีสุข"/>
    <s v="ปทุมธานี"/>
    <s v="-"/>
    <s v=""/>
    <s v="04/01/2025 17:01"/>
    <s v="-"/>
    <s v="Flash Express Thailand"/>
    <s v="Tiktok"/>
    <s v="tiktok"/>
    <s v=""/>
    <s v="THT04061E2PHZ9Z"/>
    <s v="04/01/2025 17:01"/>
  </r>
  <r>
    <x v="19"/>
    <x v="19"/>
    <n v="199"/>
    <n v="1"/>
    <n v="0"/>
    <s v="EQC99"/>
    <n v="379"/>
    <n v="0"/>
    <s v="ร้านที่1"/>
    <s v="ค******ข"/>
    <s v="****** 5 ซอยนิคมอุตสาหกรรม, ตำบลคานหาม, อำเภออุทัย ตำบลคานหาม อำเภออุทัย จังหวัดพระนครศรีอยุธยา 13210"/>
    <s v="13210"/>
    <s v="73"/>
    <s v="04/01/2025 17:02"/>
    <s v="-"/>
    <s v="SPX Express"/>
    <s v="Shopee"/>
    <s v="shopee"/>
    <s v=""/>
    <s v="TH251658780139E"/>
    <s v="04/01/2025 17:01"/>
  </r>
  <r>
    <x v="0"/>
    <x v="0"/>
    <n v="100"/>
    <n v="2"/>
    <n v="0"/>
    <s v="EQC98"/>
    <n v="200"/>
    <n v="0"/>
    <s v="ร้านที่4"/>
    <s v="น***าวลัดดาวรรณ ส***รดง"/>
    <s v="ปราจีนบุรี"/>
    <s v="-"/>
    <s v=""/>
    <s v="04/01/2025 17:00"/>
    <s v="-"/>
    <s v="Flash Express Thailand COD"/>
    <s v="Tiktok"/>
    <s v="จ่ายทีหลัง / COD"/>
    <s v=""/>
    <s v="THT25051DYP1N1Z"/>
    <s v="04/01/2025 17:00"/>
  </r>
  <r>
    <x v="0"/>
    <x v="0"/>
    <n v="100"/>
    <n v="1"/>
    <n v="0"/>
    <s v="EQC97"/>
    <n v="106"/>
    <n v="6"/>
    <s v="ร้านที่4"/>
    <s v="ธ***ษา ส***รณรัตน์"/>
    <s v="นครศรีธรรมราช"/>
    <s v="-"/>
    <s v=""/>
    <s v="04/01/2025 16:59"/>
    <s v="-"/>
    <s v="Flash Express Thailand COD"/>
    <s v="Tiktok"/>
    <s v="จ่ายทีหลัง / COD"/>
    <s v=""/>
    <s v="THT64201E2DET5Z"/>
    <s v="04/01/2025 16:59"/>
  </r>
  <r>
    <x v="0"/>
    <x v="0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9"/>
    <x v="4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4"/>
    <x v="4"/>
    <n v="100"/>
    <n v="1"/>
    <n v="0"/>
    <s v="EQC96"/>
    <n v="894"/>
    <n v="0"/>
    <s v="ร้านที่4"/>
    <s v="ร***ี ส***ภาค"/>
    <s v="นครปฐม"/>
    <s v="-"/>
    <s v=""/>
    <s v="04/01/2025 16:59"/>
    <s v="-"/>
    <s v="Flash Express Thailand"/>
    <s v="Tiktok"/>
    <s v="tiktok"/>
    <s v=""/>
    <s v="THT15061E25ZM1Z"/>
    <s v="04/01/2025 16:59"/>
  </r>
  <r>
    <x v="4"/>
    <x v="4"/>
    <n v="100"/>
    <n v="1"/>
    <n v="0"/>
    <s v="EQC94"/>
    <n v="106"/>
    <n v="6"/>
    <s v="ร้านที่4"/>
    <s v="k***นารี บ***ันทร์"/>
    <s v="ยะลา"/>
    <s v="-"/>
    <s v=""/>
    <s v="04/01/2025 16:57"/>
    <s v="-"/>
    <s v="Flash Express Thailand COD"/>
    <s v="Tiktok"/>
    <s v="จ่ายทีหลัง / COD"/>
    <s v=""/>
    <s v="THT76011DYNFT7Z"/>
    <s v="04/01/2025 16:57"/>
  </r>
  <r>
    <x v="1"/>
    <x v="1"/>
    <n v="200"/>
    <n v="1"/>
    <n v="0"/>
    <s v="EQC93"/>
    <n v="200"/>
    <n v="0"/>
    <s v="ร้านที่2"/>
    <s v="ช***ร ฮ***จริญ"/>
    <s v="สุราษฎร์ธานี"/>
    <s v="-"/>
    <s v=""/>
    <s v="04/01/2025 16:56"/>
    <s v="-"/>
    <s v="J&amp;T COD"/>
    <s v="Tiktok"/>
    <s v="จ่ายทีหลัง / COD"/>
    <s v=""/>
    <s v="754323614096"/>
    <s v="04/01/2025 16:56"/>
  </r>
  <r>
    <x v="0"/>
    <x v="0"/>
    <n v="100"/>
    <n v="1"/>
    <n v="0"/>
    <s v="EQC92"/>
    <n v="200"/>
    <n v="0"/>
    <s v="ร้านที่4"/>
    <s v="น** ส***น ว***ำนอง"/>
    <s v="ตรัง"/>
    <s v="-"/>
    <s v=""/>
    <s v="04/01/2025 16:55"/>
    <s v="-"/>
    <s v="Flash Express Thailand COD"/>
    <s v="Tiktok"/>
    <s v="จ่ายทีหลัง / COD"/>
    <s v=""/>
    <s v="THT73011E307A8Z"/>
    <s v="04/01/2025 16:55"/>
  </r>
  <r>
    <x v="4"/>
    <x v="4"/>
    <n v="100"/>
    <n v="1"/>
    <n v="0"/>
    <s v="EQC92"/>
    <n v="200"/>
    <n v="0"/>
    <s v="ร้านที่4"/>
    <s v="น** ส***น ว***ำนอง"/>
    <s v="ตรัง"/>
    <s v="-"/>
    <s v=""/>
    <s v="04/01/2025 16:55"/>
    <s v="-"/>
    <s v="Flash Express Thailand COD"/>
    <s v="Tiktok"/>
    <s v="จ่ายทีหลัง / COD"/>
    <s v=""/>
    <s v="THT73011E307A8Z"/>
    <s v="04/01/2025 16:55"/>
  </r>
  <r>
    <x v="0"/>
    <x v="0"/>
    <n v="100"/>
    <n v="1"/>
    <n v="0"/>
    <s v="EQC91"/>
    <n v="106"/>
    <n v="6"/>
    <s v="ร้านที่4"/>
    <s v="เ***ลักษ์"/>
    <s v="ระยอง"/>
    <s v="-"/>
    <s v=""/>
    <s v="04/01/2025 16:53"/>
    <s v="-"/>
    <s v="Flash Express Thailand COD"/>
    <s v="Tiktok"/>
    <s v="จ่ายทีหลัง / COD"/>
    <s v=""/>
    <s v="THT21031E2CZ39Z"/>
    <s v="04/01/2025 16:53"/>
  </r>
  <r>
    <x v="9"/>
    <x v="4"/>
    <n v="100"/>
    <n v="1"/>
    <n v="0"/>
    <s v="EQC90"/>
    <n v="200"/>
    <n v="0"/>
    <s v="ร้านที่4"/>
    <s v="พ***ิพย์ชัยช้าง"/>
    <s v="นครราชสีมา"/>
    <s v="-"/>
    <s v=""/>
    <s v="04/01/2025 16:52"/>
    <s v="-"/>
    <s v="Flash Express Thailand COD"/>
    <s v="Tiktok"/>
    <s v="จ่ายทีหลัง / COD"/>
    <s v=""/>
    <s v="THT27141DZ3232Z"/>
    <s v="04/01/2025 16:52"/>
  </r>
  <r>
    <x v="0"/>
    <x v="0"/>
    <n v="100"/>
    <n v="1"/>
    <n v="0"/>
    <s v="EQC90"/>
    <n v="200"/>
    <n v="0"/>
    <s v="ร้านที่4"/>
    <s v="พ***ิพย์ชัยช้าง"/>
    <s v="นครราชสีมา"/>
    <s v="-"/>
    <s v=""/>
    <s v="04/01/2025 16:52"/>
    <s v="-"/>
    <s v="Flash Express Thailand COD"/>
    <s v="Tiktok"/>
    <s v="จ่ายทีหลัง / COD"/>
    <s v=""/>
    <s v="THT27141DZ3232Z"/>
    <s v="04/01/2025 16:52"/>
  </r>
  <r>
    <x v="4"/>
    <x v="4"/>
    <n v="100"/>
    <n v="1"/>
    <n v="0"/>
    <s v="EQC89"/>
    <n v="106"/>
    <n v="6"/>
    <s v="ร้านที่4"/>
    <s v="ศ***พร แ***งี้ยว"/>
    <s v="สุราษฎร์ธานี"/>
    <s v="-"/>
    <s v=""/>
    <s v="04/01/2025 16:51"/>
    <s v="-"/>
    <s v="Flash Express Thailand COD"/>
    <s v="Tiktok"/>
    <s v="จ่ายทีหลัง / COD"/>
    <s v=""/>
    <s v="THT68121DZ0G56Z"/>
    <s v="04/01/2025 16:51"/>
  </r>
  <r>
    <x v="0"/>
    <x v="0"/>
    <n v="100"/>
    <n v="1"/>
    <n v="0"/>
    <s v="EQC88"/>
    <n v="106"/>
    <n v="6"/>
    <s v="ร้านที่4"/>
    <s v="พ***ลอย ค***ตุ"/>
    <s v="พัทลุง"/>
    <s v="-"/>
    <s v=""/>
    <s v="04/01/2025 16:50"/>
    <s v="-"/>
    <s v="Flash Express Thailand COD"/>
    <s v="Tiktok"/>
    <s v="จ่ายทีหลัง / COD"/>
    <s v=""/>
    <s v="THT74031E2D1Y1Z"/>
    <s v="04/01/2025 16:50"/>
  </r>
  <r>
    <x v="0"/>
    <x v="0"/>
    <n v="100"/>
    <n v="1"/>
    <n v="0"/>
    <s v="EQC87"/>
    <n v="199"/>
    <n v="0"/>
    <s v="ร้านที่4"/>
    <s v="น*** ข***รมเครื่อง"/>
    <s v="สมุทรสาคร"/>
    <s v="-"/>
    <s v=""/>
    <s v="04/01/2025 16:50"/>
    <s v="-"/>
    <s v="Flash Express Thailand"/>
    <s v="Tiktok"/>
    <s v="tiktok"/>
    <s v=""/>
    <s v="THT16011DYKVA1Z"/>
    <s v="04/01/2025 16:50"/>
  </r>
  <r>
    <x v="4"/>
    <x v="4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3"/>
    <x v="3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0"/>
    <x v="0"/>
    <n v="100"/>
    <n v="1"/>
    <n v="0"/>
    <s v="EQC84"/>
    <n v="300"/>
    <n v="0"/>
    <s v="ร้านที่4"/>
    <s v="เ***มชาติ"/>
    <s v="นครนายก"/>
    <s v="-"/>
    <s v=""/>
    <s v="04/01/2025 16:48"/>
    <s v="-"/>
    <s v="Flash Express Thailand COD"/>
    <s v="Tiktok"/>
    <s v="จ่ายทีหลัง / COD"/>
    <s v=""/>
    <s v="THT11031E328Y4Z"/>
    <s v="04/01/2025 16:48"/>
  </r>
  <r>
    <x v="1"/>
    <x v="1"/>
    <n v="200"/>
    <n v="1"/>
    <n v="0"/>
    <s v="EQC82"/>
    <n v="200"/>
    <n v="0"/>
    <s v="ร้านที่1"/>
    <s v="ก***าภัค เ***การช่าง"/>
    <s v="กรุงเทพฯ"/>
    <s v="-"/>
    <s v=""/>
    <s v="04/01/2025 16:47"/>
    <s v="-"/>
    <s v="J&amp;T COD"/>
    <s v="Tiktok"/>
    <s v="จ่ายทีหลัง / COD"/>
    <s v=""/>
    <s v="754347020000"/>
    <s v="04/01/2025 16:47"/>
  </r>
  <r>
    <x v="0"/>
    <x v="0"/>
    <n v="100"/>
    <n v="1"/>
    <n v="0"/>
    <s v="EQC81"/>
    <n v="199"/>
    <n v="0"/>
    <s v="ร้านที่4"/>
    <s v="ส***ทิพย์  ท***ครือจีน"/>
    <s v="พิษณุโลก"/>
    <s v="-"/>
    <s v=""/>
    <s v="04/01/2025 16:46"/>
    <s v="-"/>
    <s v="Flash Express Thailand COD"/>
    <s v="Tiktok"/>
    <s v="จ่ายทีหลัง / COD"/>
    <s v=""/>
    <s v="THT61011DYM1V7Z"/>
    <s v="04/01/2025 16:46"/>
  </r>
  <r>
    <x v="0"/>
    <x v="0"/>
    <n v="100"/>
    <n v="1"/>
    <n v="0"/>
    <s v="EQC80"/>
    <n v="129"/>
    <n v="29"/>
    <s v="ร้านที่4"/>
    <s v="ก***นา แ***ระสิทธิ์"/>
    <s v="เทศบาลนครพิษณุโลก"/>
    <s v="-"/>
    <s v=""/>
    <s v="04/01/2025 16:43"/>
    <s v="-"/>
    <s v="Flash Express Thailand COD"/>
    <s v="Tiktok"/>
    <s v="จ่ายทีหลัง / COD"/>
    <s v=""/>
    <s v="THT61081E2DGX9Z"/>
    <s v="04/01/2025 16:43"/>
  </r>
  <r>
    <x v="3"/>
    <x v="3"/>
    <n v="100"/>
    <n v="1"/>
    <n v="0"/>
    <s v="EQC79"/>
    <n v="300"/>
    <n v="0"/>
    <s v="ร้านที่4"/>
    <s v="น***าวพนัชกร ร***รรม"/>
    <s v="สมุทรสงคราม"/>
    <s v="-"/>
    <s v=""/>
    <s v="04/01/2025 16:42"/>
    <s v="-"/>
    <s v="Flash Express Thailand COD"/>
    <s v="Tiktok"/>
    <s v="จ่ายทีหลัง / COD"/>
    <s v=""/>
    <s v="THT17011E30JH0Z"/>
    <s v="04/01/2025 16:42"/>
  </r>
  <r>
    <x v="4"/>
    <x v="4"/>
    <n v="100"/>
    <n v="2"/>
    <n v="0"/>
    <s v="EQC79"/>
    <n v="300"/>
    <n v="0"/>
    <s v="ร้านที่4"/>
    <s v="น***าวพนัชกร ร***รรม"/>
    <s v="สมุทรสงคราม"/>
    <s v="-"/>
    <s v=""/>
    <s v="04/01/2025 16:42"/>
    <s v="-"/>
    <s v="Flash Express Thailand COD"/>
    <s v="Tiktok"/>
    <s v="จ่ายทีหลัง / COD"/>
    <s v=""/>
    <s v="THT17011E30JH0Z"/>
    <s v="04/01/2025 16:42"/>
  </r>
  <r>
    <x v="4"/>
    <x v="4"/>
    <n v="100"/>
    <n v="1"/>
    <n v="0"/>
    <s v="EQC76"/>
    <n v="300"/>
    <n v="0"/>
    <s v="ร้านที่4"/>
    <s v="อ***อลนิวเซอร์วิส"/>
    <s v="อ่างทอง"/>
    <s v="-"/>
    <s v=""/>
    <s v="04/01/2025 16:38"/>
    <s v="-"/>
    <s v="Flash Express Thailand COD"/>
    <s v="Tiktok"/>
    <s v="จ่ายทีหลัง / COD"/>
    <s v=""/>
    <s v="THT06031DZ43Q7Z"/>
    <s v="04/01/2025 16:38"/>
  </r>
  <r>
    <x v="9"/>
    <x v="4"/>
    <n v="100"/>
    <n v="2"/>
    <n v="0"/>
    <s v="EQC76"/>
    <n v="300"/>
    <n v="0"/>
    <s v="ร้านที่4"/>
    <s v="อ***อลนิวเซอร์วิส"/>
    <s v="อ่างทอง"/>
    <s v="-"/>
    <s v=""/>
    <s v="04/01/2025 16:38"/>
    <s v="-"/>
    <s v="Flash Express Thailand COD"/>
    <s v="Tiktok"/>
    <s v="จ่ายทีหลัง / COD"/>
    <s v=""/>
    <s v="THT06031DZ43Q7Z"/>
    <s v="04/01/2025 16:38"/>
  </r>
  <r>
    <x v="6"/>
    <x v="6"/>
    <n v="250"/>
    <n v="2"/>
    <n v="0"/>
    <s v="EQC72"/>
    <n v="580"/>
    <n v="0"/>
    <s v="ร้านที่1"/>
    <s v="น******า"/>
    <s v="****** ตำบลโคกกลาง อำเภอพนมดงรัก จังหวัดสุรินทร์ 32140"/>
    <s v="32140"/>
    <s v="95"/>
    <s v="04/01/2025 16:34"/>
    <s v="-"/>
    <s v="Flash Express"/>
    <s v="Shopee"/>
    <s v="shopee"/>
    <s v=""/>
    <s v="TH29146NPS0F8B"/>
    <s v="04/01/2025 16:33"/>
  </r>
  <r>
    <x v="3"/>
    <x v="3"/>
    <n v="100"/>
    <n v="1"/>
    <n v="0"/>
    <s v="EQC71"/>
    <n v="135"/>
    <n v="35"/>
    <s v="ร้านที่2"/>
    <s v="ส******์"/>
    <s v="******83/33 หมู่ 7 ต.ท่าอิฐ ตำบลท่าอิฐ อำเภอปากเกร็ด จังหวัดนนทบุรี 11120"/>
    <s v="11120"/>
    <s v="94"/>
    <s v="04/01/2025 16:32"/>
    <s v="-"/>
    <s v="Flash Express"/>
    <s v="Shopee"/>
    <s v="shopee"/>
    <s v=""/>
    <s v="TH03066NV62D3G"/>
    <s v="04/01/2025 16:32"/>
  </r>
  <r>
    <x v="5"/>
    <x v="5"/>
    <n v="330"/>
    <n v="1"/>
    <n v="0"/>
    <s v="EQC70"/>
    <n v="330"/>
    <n v="0"/>
    <s v="ร้านที่1"/>
    <s v="ร***แม่จ๋า"/>
    <s v="ขอนแก่น"/>
    <s v="-"/>
    <s v=""/>
    <s v="04/01/2025 16:32"/>
    <s v="-"/>
    <s v="J&amp;T COD"/>
    <s v="Tiktok"/>
    <s v="จ่ายทีหลัง / COD"/>
    <s v=""/>
    <s v="754310609393"/>
    <s v="04/01/2025 16:32"/>
  </r>
  <r>
    <x v="4"/>
    <x v="4"/>
    <n v="100"/>
    <n v="2"/>
    <n v="0"/>
    <s v="EQC69"/>
    <n v="200"/>
    <n v="0"/>
    <s v="ร้านที่1"/>
    <s v="ช***มา​ น***ฉวี​"/>
    <s v="กรุงเทพฯ"/>
    <s v="-"/>
    <s v=""/>
    <s v="04/01/2025 16:30"/>
    <s v="-"/>
    <s v="J&amp;T COD"/>
    <s v="Tiktok"/>
    <s v="จ่ายทีหลัง / COD"/>
    <s v=""/>
    <s v="754345533093"/>
    <s v="04/01/2025 16:30"/>
  </r>
  <r>
    <x v="0"/>
    <x v="0"/>
    <n v="100"/>
    <n v="1"/>
    <n v="0"/>
    <s v="EQC68"/>
    <n v="106"/>
    <n v="6"/>
    <s v="ร้านที่4"/>
    <s v="อ***ี ส***ดี"/>
    <s v="ราชบุรี"/>
    <s v="-"/>
    <s v=""/>
    <s v="04/01/2025 16:30"/>
    <s v="-"/>
    <s v="Flash Express Thailand"/>
    <s v="Tiktok"/>
    <s v="tiktok"/>
    <s v=""/>
    <s v="THT12041E2DV55Z"/>
    <s v="04/01/2025 16:30"/>
  </r>
  <r>
    <x v="1"/>
    <x v="1"/>
    <n v="200"/>
    <n v="2"/>
    <n v="0"/>
    <s v="EQC67"/>
    <n v="400"/>
    <n v="0"/>
    <s v="ร้านที่4"/>
    <s v="เ***นพิศ บ***ล้า"/>
    <s v="มหาสารคาม"/>
    <s v="-"/>
    <s v=""/>
    <s v="04/01/2025 16:26"/>
    <s v="-"/>
    <s v="Flash Express Thailand"/>
    <s v="Tiktok"/>
    <s v="tiktok"/>
    <s v=""/>
    <s v="THT41041E2AAW3Z"/>
    <s v="04/01/2025 16:26"/>
  </r>
  <r>
    <x v="0"/>
    <x v="0"/>
    <n v="100"/>
    <n v="1"/>
    <n v="0"/>
    <s v="EQC66"/>
    <n v="106"/>
    <n v="6"/>
    <s v="ร้านที่4"/>
    <s v="ท***พียร ค***"/>
    <s v="ตาก"/>
    <s v="-"/>
    <s v=""/>
    <s v="04/01/2025 16:24"/>
    <s v="-"/>
    <s v="Flash Express Thailand"/>
    <s v="Tiktok"/>
    <s v="tiktok"/>
    <s v=""/>
    <s v="THT59061E2E337Z"/>
    <s v="04/01/2025 16:24"/>
  </r>
  <r>
    <x v="0"/>
    <x v="0"/>
    <n v="100"/>
    <n v="1"/>
    <n v="0"/>
    <s v="EQC65"/>
    <n v="106"/>
    <n v="6"/>
    <s v="ร้านที่4"/>
    <s v="น***ึ้ง เ***น้อย"/>
    <s v="เชียงใหม่"/>
    <s v="-"/>
    <s v=""/>
    <s v="04/01/2025 16:24"/>
    <s v="-"/>
    <s v="Flash Express Thailand COD"/>
    <s v="Tiktok"/>
    <s v="จ่ายทีหลัง / COD"/>
    <s v=""/>
    <s v="THT47101E2SW38Z"/>
    <s v="04/01/2025 16:24"/>
  </r>
  <r>
    <x v="3"/>
    <x v="3"/>
    <n v="100"/>
    <n v="1"/>
    <n v="0"/>
    <s v="EQC64"/>
    <n v="285"/>
    <n v="35"/>
    <s v="ร้านที่2"/>
    <s v="ก******ง"/>
    <s v="******หง12 ถ.รามคำแหง แขวงหัวหมาก แขวงหัวหมาก เขตบางกะปิ จังหวัดกรุงเทพมหานคร 10240"/>
    <s v="10240"/>
    <s v="38"/>
    <s v="04/01/2025 16:20"/>
    <s v="-"/>
    <s v="SPX Express"/>
    <s v="Shopee"/>
    <s v="shopee"/>
    <s v=""/>
    <s v="TH257361201657J"/>
    <s v="04/01/2025 16:17"/>
  </r>
  <r>
    <x v="4"/>
    <x v="4"/>
    <n v="150"/>
    <n v="1"/>
    <n v="0"/>
    <s v="EQC64"/>
    <n v="285"/>
    <n v="35"/>
    <s v="ร้านที่2"/>
    <s v="ก******ง"/>
    <s v="******หง12 ถ.รามคำแหง แขวงหัวหมาก แขวงหัวหมาก เขตบางกะปิ จังหวัดกรุงเทพมหานคร 10240"/>
    <s v="10240"/>
    <s v="38"/>
    <s v="04/01/2025 16:20"/>
    <s v="-"/>
    <s v="SPX Express"/>
    <s v="Shopee"/>
    <s v="shopee"/>
    <s v=""/>
    <s v="TH257361201657J"/>
    <s v="04/01/2025 16:17"/>
  </r>
  <r>
    <x v="10"/>
    <x v="10"/>
    <n v="200"/>
    <n v="1"/>
    <n v="0"/>
    <s v="EQC62"/>
    <n v="200"/>
    <n v="0"/>
    <s v="ร้านที่4"/>
    <s v="จ***ี ไ***าติ"/>
    <s v="กาญจนบุรี"/>
    <s v="-"/>
    <s v=""/>
    <s v="04/01/2025 16:12"/>
    <s v="-"/>
    <s v="Flash Express Thailand COD"/>
    <s v="Tiktok"/>
    <s v="จ่ายทีหลัง / COD"/>
    <s v=""/>
    <s v="THT13091DZ3TK1Z"/>
    <s v="04/01/2025 16:12"/>
  </r>
  <r>
    <x v="0"/>
    <x v="0"/>
    <n v="100"/>
    <n v="1"/>
    <n v="0"/>
    <s v="EQC61"/>
    <n v="106"/>
    <n v="6"/>
    <s v="ร้านที่4"/>
    <s v="ร***รรม พ***มเผ่าพันธุ์"/>
    <s v="กรุงเทพฯ"/>
    <s v="-"/>
    <s v=""/>
    <s v="04/01/2025 16:12"/>
    <s v="-"/>
    <s v="Flash Express Thailand COD"/>
    <s v="Tiktok"/>
    <s v="จ่ายทีหลัง / COD"/>
    <s v=""/>
    <s v="THT01391E2G4F1Z"/>
    <s v="04/01/2025 16:12"/>
  </r>
  <r>
    <x v="3"/>
    <x v="3"/>
    <n v="100"/>
    <n v="2"/>
    <n v="0"/>
    <s v="EQC61"/>
    <n v="236"/>
    <n v="41"/>
    <s v="ร้านที่2"/>
    <s v="ช******ี"/>
    <s v="******ี่ 275, หมู่ที่ 4 ตำบลไชยมงคล อำเภอเมืองนครราชสีมา จังหวัดนครราชสีมา 30000"/>
    <s v="30000"/>
    <s v="10"/>
    <s v="04/01/2025 16:48"/>
    <s v="-"/>
    <s v="SPX Express"/>
    <s v="Shopee"/>
    <s v="shopee"/>
    <s v=""/>
    <s v="TH251687580414Z"/>
    <s v="04/01/2025 16:11"/>
  </r>
  <r>
    <x v="10"/>
    <x v="10"/>
    <n v="200"/>
    <n v="1"/>
    <n v="0"/>
    <s v="EQC60"/>
    <n v="200"/>
    <n v="0"/>
    <s v="ร้านที่4"/>
    <s v="บ***ืน ข***อก"/>
    <s v="นครสวรรค์"/>
    <s v="-"/>
    <s v=""/>
    <s v="04/01/2025 16:11"/>
    <s v="-"/>
    <s v="Flash Express Thailand"/>
    <s v="Tiktok"/>
    <s v="tiktok"/>
    <s v=""/>
    <s v="THT56111DZ3WT5Z"/>
    <s v="04/01/2025 16:11"/>
  </r>
  <r>
    <x v="0"/>
    <x v="0"/>
    <n v="100"/>
    <n v="2"/>
    <n v="0"/>
    <s v="EQC59"/>
    <n v="200"/>
    <n v="0"/>
    <s v="ร้านที่2"/>
    <s v="ส***นวา อ***นองกุง"/>
    <s v="มหาสารคาม"/>
    <s v="-"/>
    <s v=""/>
    <s v="04/01/2025 16:08"/>
    <s v="-"/>
    <s v="J&amp;T COD"/>
    <s v="Tiktok"/>
    <s v="จ่ายทีหลัง / COD"/>
    <s v=""/>
    <s v="754307276236"/>
    <s v="04/01/2025 16:08"/>
  </r>
  <r>
    <x v="1"/>
    <x v="1"/>
    <n v="200"/>
    <n v="1"/>
    <n v="0"/>
    <s v="EQC58"/>
    <n v="200"/>
    <n v="0"/>
    <s v="ร้านที่1"/>
    <s v="ป***า บ***ชาลี"/>
    <s v="เทศบาลนครนครราชสีมา"/>
    <s v="-"/>
    <s v=""/>
    <s v="04/01/2025 16:05"/>
    <s v="-"/>
    <s v="J&amp;T COD"/>
    <s v="Tiktok"/>
    <s v="จ่ายทีหลัง / COD"/>
    <s v=""/>
    <s v="754380218093"/>
    <s v="04/01/2025 16:05"/>
  </r>
  <r>
    <x v="1"/>
    <x v="1"/>
    <n v="200"/>
    <n v="1"/>
    <n v="0"/>
    <s v="EQC56"/>
    <n v="200"/>
    <n v="0"/>
    <s v="ร้านที่2"/>
    <s v="เ***ลักษณ์ ก***หาญ"/>
    <s v="สุพรรณบุรี"/>
    <s v="-"/>
    <s v=""/>
    <s v="04/01/2025 15:59"/>
    <s v="-"/>
    <s v="J&amp;T COD"/>
    <s v="Tiktok"/>
    <s v="จ่ายทีหลัง / COD"/>
    <s v=""/>
    <s v="754362119033"/>
    <s v="04/01/2025 15:59"/>
  </r>
  <r>
    <x v="0"/>
    <x v="0"/>
    <n v="100"/>
    <n v="2"/>
    <n v="0"/>
    <s v="EQC55"/>
    <n v="200"/>
    <n v="0"/>
    <s v="ร้านที่4"/>
    <s v="ว***ี"/>
    <s v="นครสวรรค์"/>
    <s v="-"/>
    <s v=""/>
    <s v="04/01/2025 15:59"/>
    <s v="-"/>
    <s v="Flash Express Thailand"/>
    <s v="Tiktok"/>
    <s v="tiktok"/>
    <s v=""/>
    <s v="THT56091DYPJW9Z"/>
    <s v="04/01/2025 15:59"/>
  </r>
  <r>
    <x v="1"/>
    <x v="1"/>
    <n v="200"/>
    <n v="1"/>
    <n v="0"/>
    <s v="EQC54"/>
    <n v="200"/>
    <n v="0"/>
    <s v="ร้านที่2"/>
    <s v="น***ัญนพ เ***จิตต์"/>
    <s v="ศรีสะเกษ"/>
    <s v="-"/>
    <s v=""/>
    <s v="04/01/2025 15:57"/>
    <s v="-"/>
    <s v="J&amp;T COD"/>
    <s v="Tiktok"/>
    <s v="จ่ายทีหลัง / COD"/>
    <s v=""/>
    <s v="754339826004"/>
    <s v="04/01/2025 15:57"/>
  </r>
  <r>
    <x v="9"/>
    <x v="4"/>
    <n v="100"/>
    <n v="1"/>
    <n v="0"/>
    <s v="EQC53"/>
    <n v="100"/>
    <n v="0"/>
    <s v="ร้านที่1"/>
    <s v="ช*** เ***เรียน"/>
    <s v="นครปฐม"/>
    <s v="-"/>
    <s v=""/>
    <s v="04/01/2025 15:56"/>
    <s v="-"/>
    <s v="J&amp;T COD"/>
    <s v="Tiktok"/>
    <s v="จ่ายทีหลัง / COD"/>
    <s v=""/>
    <s v="754337411063"/>
    <s v="04/01/2025 15:56"/>
  </r>
  <r>
    <x v="1"/>
    <x v="1"/>
    <n v="200"/>
    <n v="1"/>
    <n v="0"/>
    <s v="EQC52"/>
    <n v="200"/>
    <n v="0"/>
    <s v="ร้านที่2"/>
    <s v="น*** ป***านเกษม"/>
    <s v="กาฬสินธุ์"/>
    <s v="-"/>
    <s v=""/>
    <s v="04/01/2025 15:54"/>
    <s v="-"/>
    <s v="Flash Express Thailand COD"/>
    <s v="Tiktok"/>
    <s v="จ่ายทีหลัง / COD"/>
    <s v=""/>
    <s v="THT43011DZ7BA4Z"/>
    <s v="04/01/2025 15:54"/>
  </r>
  <r>
    <x v="0"/>
    <x v="0"/>
    <n v="100"/>
    <n v="1"/>
    <n v="0"/>
    <s v="EQC51"/>
    <n v="200"/>
    <n v="0"/>
    <s v="ร้านที่4"/>
    <s v="ท***ัย"/>
    <s v="ลพบุรี"/>
    <s v="-"/>
    <s v=""/>
    <s v="04/01/2025 15:53"/>
    <s v="-"/>
    <s v="Flash Express Thailand COD"/>
    <s v="Tiktok"/>
    <s v="จ่ายทีหลัง / COD"/>
    <s v=""/>
    <s v="THT07011DYR9J9Z"/>
    <s v="04/01/2025 15:53"/>
  </r>
  <r>
    <x v="9"/>
    <x v="4"/>
    <n v="100"/>
    <n v="1"/>
    <n v="0"/>
    <s v="EQC51"/>
    <n v="200"/>
    <n v="0"/>
    <s v="ร้านที่4"/>
    <s v="ท***ัย"/>
    <s v="ลพบุรี"/>
    <s v="-"/>
    <s v=""/>
    <s v="04/01/2025 15:53"/>
    <s v="-"/>
    <s v="Flash Express Thailand COD"/>
    <s v="Tiktok"/>
    <s v="จ่ายทีหลัง / COD"/>
    <s v=""/>
    <s v="THT07011DYR9J9Z"/>
    <s v="04/01/2025 15:53"/>
  </r>
  <r>
    <x v="9"/>
    <x v="4"/>
    <n v="100"/>
    <n v="1"/>
    <n v="0"/>
    <s v="EQC50"/>
    <n v="200"/>
    <n v="0"/>
    <s v="ร้านที่4"/>
    <s v="พ***  ร*** ล***่องวัดเจษ"/>
    <s v="กรุงเทพมหานคร"/>
    <s v="-"/>
    <s v=""/>
    <s v="04/01/2025 15:51"/>
    <s v="-"/>
    <s v="Flash Express Thailand COD"/>
    <s v="Tiktok"/>
    <s v="จ่ายทีหลัง / COD"/>
    <s v=""/>
    <s v="THT01111DZFKF8Z"/>
    <s v="04/01/2025 15:51"/>
  </r>
  <r>
    <x v="4"/>
    <x v="4"/>
    <n v="100"/>
    <n v="1"/>
    <n v="0"/>
    <s v="EQC50"/>
    <n v="200"/>
    <n v="0"/>
    <s v="ร้านที่4"/>
    <s v="พ***  ร*** ล***่องวัดเจษ"/>
    <s v="กรุงเทพมหานคร"/>
    <s v="-"/>
    <s v=""/>
    <s v="04/01/2025 15:51"/>
    <s v="-"/>
    <s v="Flash Express Thailand COD"/>
    <s v="Tiktok"/>
    <s v="จ่ายทีหลัง / COD"/>
    <s v=""/>
    <s v="THT01111DZFKF8Z"/>
    <s v="04/01/2025 15:51"/>
  </r>
  <r>
    <x v="0"/>
    <x v="0"/>
    <n v="100"/>
    <n v="1"/>
    <n v="0"/>
    <s v="EQC49"/>
    <n v="145"/>
    <n v="45"/>
    <s v="ร้านที่4"/>
    <s v="N***aphat N***aung"/>
    <s v="เชียงใหม่"/>
    <s v="-"/>
    <s v=""/>
    <s v="04/01/2025 15:50"/>
    <s v="-"/>
    <s v="Flash Express Thailand COD"/>
    <s v="Tiktok"/>
    <s v="จ่ายทีหลัง / COD"/>
    <s v=""/>
    <s v="THT47011E2G1B9Z"/>
    <s v="04/01/2025 15:51"/>
  </r>
  <r>
    <x v="1"/>
    <x v="1"/>
    <n v="200"/>
    <n v="2"/>
    <n v="0"/>
    <s v="EQC48"/>
    <n v="400"/>
    <n v="0"/>
    <s v="ร้านที่2"/>
    <s v="ธ***ภรณ์ ท***าม"/>
    <s v="นครศรีธรรมราช"/>
    <s v="-"/>
    <s v=""/>
    <s v="04/01/2025 15:49"/>
    <s v="-"/>
    <s v="J&amp;T COD"/>
    <s v="Tiktok"/>
    <s v="จ่ายทีหลัง / COD"/>
    <s v=""/>
    <s v="754352407336"/>
    <s v="04/01/2025 15:49"/>
  </r>
  <r>
    <x v="1"/>
    <x v="1"/>
    <n v="200"/>
    <n v="1"/>
    <n v="0"/>
    <s v="EQC45"/>
    <n v="200"/>
    <n v="0"/>
    <s v="ร้านที่1"/>
    <s v="น*** ป***โลก"/>
    <s v="อุบลราชธานี"/>
    <s v="-"/>
    <s v=""/>
    <s v="04/01/2025 15:45"/>
    <s v="-"/>
    <s v="J&amp;T COD"/>
    <s v="Tiktok"/>
    <s v="จ่ายทีหลัง / COD"/>
    <s v=""/>
    <s v="754325317034"/>
    <s v="04/01/2025 15:45"/>
  </r>
  <r>
    <x v="12"/>
    <x v="12"/>
    <n v="160"/>
    <n v="1"/>
    <n v="0"/>
    <s v="EQC44"/>
    <n v="400"/>
    <n v="0"/>
    <s v="ร้านที่1"/>
    <s v="อ******ม"/>
    <s v="******ตำบล พงตึก ตำบลพงตึก อำเภอท่ามะกา จังหวัดกาญจนบุรี 71120"/>
    <s v="71120"/>
    <s v="01"/>
    <s v="04/01/2025 16:01"/>
    <s v="-"/>
    <s v="SPX Express"/>
    <s v="Shopee"/>
    <s v="shopee"/>
    <s v=""/>
    <s v="TH253081461809H"/>
    <s v="04/01/2025 15:42"/>
  </r>
  <r>
    <x v="3"/>
    <x v="8"/>
    <n v="105"/>
    <n v="1"/>
    <n v="0"/>
    <s v="EQC43"/>
    <n v="150"/>
    <n v="45"/>
    <s v="ร้านที่6"/>
    <s v="อาภา    เตชะศรินทน์"/>
    <s v="หมู่บ้านโนเบิ้ลธารา หมู่ 8  ถ.รัตนาธิเบศ ต.บางกระสอ 316/12 · บางกระสอ/ Bang Kraso_x000a__x000a_เมืองนนทบุรี/ Mueang Nonthaburiนนทบุรี/ Nonthaburi_x000a_11000"/>
    <s v="11000"/>
    <s v="660959516561"/>
    <s v="04/01/2025 15:41"/>
    <s v="-"/>
    <s v="Kerry_dropoff"/>
    <s v="Lazada"/>
    <s v="lazada"/>
    <s v=""/>
    <s v="LEXPU0442269292"/>
    <s v="04/01/2025 15:40"/>
  </r>
  <r>
    <x v="0"/>
    <x v="0"/>
    <n v="100"/>
    <n v="2"/>
    <n v="0"/>
    <s v="EQC42"/>
    <n v="200"/>
    <n v="0"/>
    <s v="ร้านที่2"/>
    <s v="ค***ิณณ์"/>
    <s v="ชัยภูมิ"/>
    <s v="-"/>
    <s v=""/>
    <s v="04/01/2025 15:37"/>
    <s v="-"/>
    <s v="J&amp;T COD"/>
    <s v="Tiktok"/>
    <s v="จ่ายทีหลัง / COD"/>
    <s v=""/>
    <s v="754357560272"/>
    <s v="04/01/2025 15:37"/>
  </r>
  <r>
    <x v="4"/>
    <x v="4"/>
    <n v="100"/>
    <n v="1"/>
    <n v="0"/>
    <s v="EQC41"/>
    <n v="100"/>
    <n v="0"/>
    <s v="ร้านที่4"/>
    <s v="ว***า  ป***น"/>
    <s v="เทศบาลนครนครปฐม"/>
    <s v="-"/>
    <s v=""/>
    <s v="04/01/2025 15:32"/>
    <s v="-"/>
    <s v="Flash Express Thailand COD"/>
    <s v="Tiktok"/>
    <s v="จ่ายทีหลัง / COD"/>
    <s v=""/>
    <s v="THT15011DZ5WZ5Z"/>
    <s v="04/01/2025 15:33"/>
  </r>
  <r>
    <x v="3"/>
    <x v="8"/>
    <n v="99.75"/>
    <n v="1"/>
    <n v="0"/>
    <s v="EQC40"/>
    <n v="222.5"/>
    <n v="23"/>
    <s v="ร้านที่6"/>
    <s v="ลำใย พุกอ"/>
    <s v="บ้านเลขที่8/2 · ตะนาวศรี/ Tanao Si_x000a__x000a_สวนผึ้ง/ Suan Phuengราชบุรี/ Ratchaburi_x000a_70180"/>
    <s v="70180"/>
    <s v="660986059440"/>
    <s v="04/01/2025 15:27"/>
    <s v="-"/>
    <s v="Kerry_dropoff"/>
    <s v="Lazada"/>
    <s v="lazada"/>
    <s v=""/>
    <s v="520004267003"/>
    <s v="04/01/2025 15:27"/>
  </r>
  <r>
    <x v="3"/>
    <x v="8"/>
    <n v="99.75"/>
    <n v="1"/>
    <n v="0"/>
    <s v="EQC40"/>
    <n v="222.5"/>
    <n v="23"/>
    <s v="ร้านที่6"/>
    <s v="ลำใย พุกอ"/>
    <s v="บ้านเลขที่8/2 · ตะนาวศรี/ Tanao Si_x000a__x000a_สวนผึ้ง/ Suan Phuengราชบุรี/ Ratchaburi_x000a_70180"/>
    <s v="70180"/>
    <s v="660986059440"/>
    <s v="04/01/2025 15:27"/>
    <s v="-"/>
    <s v="Kerry_dropoff"/>
    <s v="Lazada"/>
    <s v="lazada"/>
    <s v=""/>
    <s v="520004267003"/>
    <s v="04/01/2025 15:27"/>
  </r>
  <r>
    <x v="44"/>
    <x v="77"/>
    <n v="420"/>
    <n v="1"/>
    <n v="0"/>
    <s v="EQC39"/>
    <n v="449"/>
    <n v="29"/>
    <s v="ร้านที่1"/>
    <s v="ญ******บ"/>
    <s v="******แขม, อำเภอเมืองนครปฐม ตำบลบางแขม อำเภอเมืองนครปฐม จังหวัดนครปฐม 73000"/>
    <s v="73000"/>
    <s v="49"/>
    <s v="04/01/2025 15:20"/>
    <s v="-"/>
    <s v="SPX Express"/>
    <s v="Shopee"/>
    <s v="shopee"/>
    <s v=""/>
    <s v="TH255021288242R"/>
    <s v="04/01/2025 15:20"/>
  </r>
  <r>
    <x v="4"/>
    <x v="4"/>
    <n v="100"/>
    <n v="1"/>
    <n v="0"/>
    <s v="EQC38"/>
    <n v="106"/>
    <n v="6"/>
    <s v="ร้านที่1"/>
    <s v="ส***ตรี  ศ***งนุช"/>
    <s v="อำเภอเมืองกาญจนบุรี"/>
    <s v="-"/>
    <s v=""/>
    <s v="04/01/2025 15:10"/>
    <s v="-"/>
    <s v="J&amp;T COD"/>
    <s v="Tiktok"/>
    <s v="จ่ายทีหลัง / COD"/>
    <s v=""/>
    <s v="754361445073"/>
    <s v="04/01/2025 15:11"/>
  </r>
  <r>
    <x v="3"/>
    <x v="3"/>
    <n v="100"/>
    <n v="1"/>
    <n v="0"/>
    <s v="EQC37"/>
    <n v="100"/>
    <n v="0"/>
    <s v="ร้านที่2"/>
    <s v="ป******์"/>
    <s v="******งเทพ ห้อง201ถ.นางลิ้นจี่2 เเขวงทุ่งมหาเมฆ เขตสาทร แขวงทุ่งมหาเมฆ เขตสาทร จังหวัดกรุงเทพมหานคร 10120"/>
    <s v="10120"/>
    <s v="26"/>
    <s v="04/01/2025 15:03"/>
    <s v="-"/>
    <s v="Flash Express"/>
    <s v="Shopee"/>
    <s v="shopee"/>
    <s v=""/>
    <s v="TH01466NVC0W2A"/>
    <s v="04/01/2025 15:02"/>
  </r>
  <r>
    <x v="9"/>
    <x v="4"/>
    <n v="100"/>
    <n v="1"/>
    <n v="0"/>
    <s v="EQC36"/>
    <n v="300"/>
    <n v="0"/>
    <s v="ร้านที่4"/>
    <s v="น***ำปาง ศ***มภู"/>
    <s v="Yasothon"/>
    <s v="-"/>
    <s v=""/>
    <s v="04/01/2025 15:02"/>
    <s v="-"/>
    <s v="Flash Express Thailand"/>
    <s v="Tiktok"/>
    <s v="tiktok"/>
    <s v=""/>
    <s v="THT32031DZFSF2Z"/>
    <s v="04/01/2025 15:02"/>
  </r>
  <r>
    <x v="4"/>
    <x v="4"/>
    <n v="100"/>
    <n v="2"/>
    <n v="0"/>
    <s v="EQC36"/>
    <n v="300"/>
    <n v="0"/>
    <s v="ร้านที่4"/>
    <s v="น***ำปาง ศ***มภู"/>
    <s v="Yasothon"/>
    <s v="-"/>
    <s v=""/>
    <s v="04/01/2025 15:02"/>
    <s v="-"/>
    <s v="Flash Express Thailand"/>
    <s v="Tiktok"/>
    <s v="tiktok"/>
    <s v=""/>
    <s v="THT32031DZFSF2Z"/>
    <s v="04/01/2025 15:02"/>
  </r>
  <r>
    <x v="0"/>
    <x v="0"/>
    <n v="100"/>
    <n v="1"/>
    <n v="0"/>
    <s v="EQC35"/>
    <n v="106"/>
    <n v="6"/>
    <s v="ร้านที่2"/>
    <s v="ฉ***ทิมา ท***ดง"/>
    <s v="ชลบุรี"/>
    <s v="-"/>
    <s v=""/>
    <s v="04/01/2025 14:55"/>
    <s v="-"/>
    <s v="J&amp;T COD"/>
    <s v="Tiktok"/>
    <s v="จ่ายทีหลัง / COD"/>
    <s v=""/>
    <s v="754366585206"/>
    <s v="04/01/2025 14:56"/>
  </r>
  <r>
    <x v="0"/>
    <x v="0"/>
    <n v="100"/>
    <n v="1"/>
    <n v="0"/>
    <s v="EQC34"/>
    <n v="106"/>
    <n v="6"/>
    <s v="ร้านที่2"/>
    <s v="พ** เ***จูม"/>
    <s v="ร้อยเอ็ด"/>
    <s v="-"/>
    <s v=""/>
    <s v="04/01/2025 14:54"/>
    <s v="-"/>
    <s v="J&amp;T Express"/>
    <s v="Tiktok"/>
    <s v="tiktok"/>
    <s v=""/>
    <s v="754328980204"/>
    <s v="04/01/2025 14:54"/>
  </r>
  <r>
    <x v="1"/>
    <x v="1"/>
    <n v="200"/>
    <n v="1"/>
    <n v="0"/>
    <s v="EQC33"/>
    <n v="200"/>
    <n v="0"/>
    <s v="ร้านที่1"/>
    <s v="ส***ชชา พ***ัทธิ์"/>
    <s v="เพชรบูรณ์"/>
    <s v="-"/>
    <s v=""/>
    <s v="04/01/2025 14:53"/>
    <s v="-"/>
    <s v="J&amp;T Express"/>
    <s v="Tiktok"/>
    <s v="tiktok"/>
    <s v=""/>
    <s v="754392629001"/>
    <s v="04/01/2025 14:53"/>
  </r>
  <r>
    <x v="0"/>
    <x v="0"/>
    <n v="100"/>
    <n v="2"/>
    <n v="0"/>
    <s v="EQC32"/>
    <n v="200"/>
    <n v="0"/>
    <s v="ร้านที่4"/>
    <s v="เ***ริต ศ***ร์ศิริ"/>
    <s v="พระนครศรีอยุธยา"/>
    <s v="-"/>
    <s v=""/>
    <s v="04/01/2025 14:53"/>
    <s v="-"/>
    <s v="Flash Express Thailand COD"/>
    <s v="Tiktok"/>
    <s v="จ่ายทีหลัง / COD"/>
    <s v=""/>
    <s v="THT05021DYP9J7Z"/>
    <s v="04/01/2025 14:53"/>
  </r>
  <r>
    <x v="9"/>
    <x v="4"/>
    <n v="100"/>
    <n v="1"/>
    <n v="0"/>
    <s v="EQC31"/>
    <n v="106"/>
    <n v="6"/>
    <s v="ร้านที่1"/>
    <s v="ส***ักดิ์ ก***ิริยวงศ์"/>
    <s v="อุดรธานี"/>
    <s v="-"/>
    <s v=""/>
    <s v="04/01/2025 14:50"/>
    <s v="-"/>
    <s v="J&amp;T COD"/>
    <s v="Tiktok"/>
    <s v="จ่ายทีหลัง / COD"/>
    <s v=""/>
    <s v="754369503086"/>
    <s v="04/01/2025 14:50"/>
  </r>
  <r>
    <x v="9"/>
    <x v="4"/>
    <n v="100"/>
    <n v="1"/>
    <n v="0"/>
    <s v="EQC30"/>
    <n v="106"/>
    <n v="6"/>
    <s v="ร้านที่1"/>
    <s v="เ***"/>
    <s v="ร้อยเอ็ด"/>
    <s v="-"/>
    <s v=""/>
    <s v="04/01/2025 14:49"/>
    <s v="-"/>
    <s v="J&amp;T COD"/>
    <s v="Tiktok"/>
    <s v="จ่ายทีหลัง / COD"/>
    <s v=""/>
    <s v="754347816062"/>
    <s v="04/01/2025 14:50"/>
  </r>
  <r>
    <x v="4"/>
    <x v="4"/>
    <n v="100"/>
    <n v="3"/>
    <n v="0"/>
    <s v="EQC29"/>
    <n v="300"/>
    <n v="0"/>
    <s v="ร้านที่1"/>
    <s v="ล***ณา ท***พธิ์"/>
    <s v="ปทุมธานี"/>
    <s v="-"/>
    <s v=""/>
    <s v="04/01/2025 14:34"/>
    <s v="-"/>
    <s v="J&amp;T COD"/>
    <s v="Tiktok"/>
    <s v="จ่ายทีหลัง / COD"/>
    <s v=""/>
    <s v="754366336091"/>
    <s v="04/01/2025 14:34"/>
  </r>
  <r>
    <x v="0"/>
    <x v="0"/>
    <n v="100"/>
    <n v="1"/>
    <n v="0"/>
    <s v="EQC28"/>
    <n v="106"/>
    <n v="6"/>
    <s v="ร้านที่1"/>
    <s v="ว***า อ***ัตพงศ์พันธุ์"/>
    <s v="ชุมพร"/>
    <s v="-"/>
    <s v=""/>
    <s v="04/01/2025 14:26"/>
    <s v="-"/>
    <s v="J&amp;T COD"/>
    <s v="Tiktok"/>
    <s v="จ่ายทีหลัง / COD"/>
    <s v=""/>
    <s v="754330561250"/>
    <s v="04/01/2025 14:26"/>
  </r>
  <r>
    <x v="0"/>
    <x v="0"/>
    <n v="100"/>
    <n v="1"/>
    <n v="0"/>
    <s v="EQC27"/>
    <n v="106"/>
    <n v="6"/>
    <s v="ร้านที่1"/>
    <s v="พ***้"/>
    <s v="กรุงเทพฯ"/>
    <s v="-"/>
    <s v=""/>
    <s v="04/01/2025 14:15"/>
    <s v="-"/>
    <s v="J&amp;T COD"/>
    <s v="Tiktok"/>
    <s v="จ่ายทีหลัง / COD"/>
    <s v=""/>
    <s v="754314969295"/>
    <s v="04/01/2025 14:17"/>
  </r>
  <r>
    <x v="4"/>
    <x v="4"/>
    <n v="100"/>
    <n v="1"/>
    <n v="0"/>
    <s v="EQC26"/>
    <n v="200"/>
    <n v="0"/>
    <s v="ร้านที่1"/>
    <s v="ธ*** ห***งบุญ"/>
    <s v="กรุงเทพฯ"/>
    <s v="-"/>
    <s v=""/>
    <s v="04/01/2025 14:16"/>
    <s v="-"/>
    <s v="J&amp;T COD"/>
    <s v="Tiktok"/>
    <s v="จ่ายทีหลัง / COD"/>
    <s v=""/>
    <s v="754327596212"/>
    <s v="04/01/2025 14:17"/>
  </r>
  <r>
    <x v="0"/>
    <x v="0"/>
    <n v="100"/>
    <n v="1"/>
    <n v="0"/>
    <s v="EQC26"/>
    <n v="200"/>
    <n v="0"/>
    <s v="ร้านที่1"/>
    <s v="ธ*** ห***งบุญ"/>
    <s v="กรุงเทพฯ"/>
    <s v="-"/>
    <s v=""/>
    <s v="04/01/2025 14:16"/>
    <s v="-"/>
    <s v="J&amp;T COD"/>
    <s v="Tiktok"/>
    <s v="จ่ายทีหลัง / COD"/>
    <s v=""/>
    <s v="754327596212"/>
    <s v="04/01/2025 14:17"/>
  </r>
  <r>
    <x v="10"/>
    <x v="10"/>
    <n v="200"/>
    <n v="1"/>
    <n v="0"/>
    <s v="EQC25"/>
    <n v="200"/>
    <n v="0"/>
    <s v="ร้านที่1"/>
    <s v="ป***ดา แ***ำลือ"/>
    <s v="กระบี่"/>
    <s v="-"/>
    <s v=""/>
    <s v="04/01/2025 14:14"/>
    <s v="-"/>
    <s v="J&amp;T COD"/>
    <s v="Tiktok"/>
    <s v="จ่ายทีหลัง / COD"/>
    <s v=""/>
    <s v="754381344021"/>
    <s v="04/01/2025 14:16"/>
  </r>
  <r>
    <x v="3"/>
    <x v="8"/>
    <n v="20.95"/>
    <n v="1"/>
    <n v="0"/>
    <s v="EQC22"/>
    <n v="25.95"/>
    <n v="5"/>
    <s v="ร้านที่6"/>
    <s v="วิภารัตน์"/>
    <s v="2/3 ม.9 ต.บางกุ้ง - · บางกุ้ง/ Bang Kung_x000a__x000a_ห้วยยอด/ Huai Yotตรัง/ Trang_x000a_92210"/>
    <s v="92210"/>
    <s v="660846292119"/>
    <s v="04/01/2025 14:19"/>
    <s v="-"/>
    <s v="Kerry_dropoff"/>
    <s v="Lazada"/>
    <s v="lazada"/>
    <s v=""/>
    <s v="TH73066NUB6H8D"/>
    <s v="04/01/2025 14:11"/>
  </r>
  <r>
    <x v="3"/>
    <x v="3"/>
    <n v="150"/>
    <n v="2"/>
    <n v="0"/>
    <s v="EQC21"/>
    <n v="421"/>
    <n v="41"/>
    <s v="ร้านที่1"/>
    <s v="ท******ศ"/>
    <s v="******ตุ จ.อุดรธานี ตำบลศรีธาตุ อำเภอศรีธาตุ จังหวัดอุดรธานี 41230"/>
    <s v="41230"/>
    <s v="88"/>
    <s v="04/01/2025 14:36"/>
    <s v="-"/>
    <s v="Flash Express"/>
    <s v="Shopee"/>
    <s v="shopee"/>
    <s v=""/>
    <s v="TH38096NV6CT0A"/>
    <s v="04/01/2025 14:10"/>
  </r>
  <r>
    <x v="1"/>
    <x v="1"/>
    <n v="200"/>
    <n v="1"/>
    <n v="0"/>
    <s v="EQC20"/>
    <n v="200"/>
    <n v="0"/>
    <s v="ร้านที่1"/>
    <s v="ส***ญญา ผ***ระโทก"/>
    <s v="นครราชสีมา"/>
    <s v="-"/>
    <s v=""/>
    <s v="04/01/2025 13:59"/>
    <s v="-"/>
    <s v="J&amp;T COD"/>
    <s v="Tiktok"/>
    <s v="จ่ายทีหลัง / COD"/>
    <s v=""/>
    <s v="754384109345"/>
    <s v="04/01/2025 13:59"/>
  </r>
  <r>
    <x v="1"/>
    <x v="1"/>
    <n v="200"/>
    <n v="1"/>
    <n v="0"/>
    <s v="EQC19"/>
    <n v="200"/>
    <n v="0"/>
    <s v="ร้านที่1"/>
    <s v="u***58815009553250"/>
    <s v="พระนครศรีอยุธยา"/>
    <s v="-"/>
    <s v=""/>
    <s v="04/01/2025 13:56"/>
    <s v="-"/>
    <s v="J&amp;T COD"/>
    <s v="Tiktok"/>
    <s v="จ่ายทีหลัง / COD"/>
    <s v=""/>
    <s v="754341105350"/>
    <s v="04/01/2025 13:56"/>
  </r>
  <r>
    <x v="0"/>
    <x v="0"/>
    <n v="100"/>
    <n v="2"/>
    <n v="0"/>
    <s v="EQC17"/>
    <n v="200"/>
    <n v="0"/>
    <s v="ร้านที่4"/>
    <s v="ช***มา ห***าภิรมย์โชค"/>
    <s v="ปราจีนบุรี"/>
    <s v="-"/>
    <s v=""/>
    <s v="04/01/2025 13:43"/>
    <s v="-"/>
    <s v="Flash Express Thailand COD"/>
    <s v="Tiktok"/>
    <s v="จ่ายทีหลัง / COD"/>
    <s v=""/>
    <s v="THT25021DYP5E7Z"/>
    <s v="04/01/2025 13:44"/>
  </r>
  <r>
    <x v="4"/>
    <x v="4"/>
    <n v="100"/>
    <n v="1"/>
    <n v="0"/>
    <s v="EQC15"/>
    <n v="106"/>
    <n v="6"/>
    <s v="ร้านที่4"/>
    <s v="โ***ตา ค***ุด"/>
    <s v="ปทุมธานี"/>
    <s v="-"/>
    <s v=""/>
    <s v="04/01/2025 13:38"/>
    <s v="-"/>
    <s v="Flash Express Thailand COD"/>
    <s v="Tiktok"/>
    <s v="จ่ายทีหลัง / COD"/>
    <s v=""/>
    <s v="THT04061DZ0TF8Z"/>
    <s v="04/01/2025 13:38"/>
  </r>
  <r>
    <x v="18"/>
    <x v="18"/>
    <n v="150"/>
    <n v="1"/>
    <n v="0"/>
    <s v="EQC14"/>
    <n v="540"/>
    <n v="45"/>
    <s v="ร้านที่1"/>
    <s v="อัญชลี  วงศ์คูณ"/>
    <s v="9/195  ม.18 (หมู่บ้านเจริญทรัพย์ 11 ) ซอย 12  ต.ขามใหญ่_x000a__x000a_เมืองอุบลราชธานี/ Mueang Ubon Ratchathaniอุบลราชธานี/ Ubon Ratchathani_x000a_34000"/>
    <s v="34000"/>
    <s v="660853089997"/>
    <s v="04/01/2025 13:33"/>
    <s v="-"/>
    <s v="Kerry_dropoff"/>
    <s v="Lazada"/>
    <s v="lazada"/>
    <s v=""/>
    <s v="LEXPU0441827321"/>
    <s v="04/01/2025 13:33"/>
  </r>
  <r>
    <x v="18"/>
    <x v="18"/>
    <n v="150"/>
    <n v="1"/>
    <n v="0"/>
    <s v="EQC14"/>
    <n v="540"/>
    <n v="45"/>
    <s v="ร้านที่1"/>
    <s v="อัญชลี  วงศ์คูณ"/>
    <s v="9/195  ม.18 (หมู่บ้านเจริญทรัพย์ 11 ) ซอย 12  ต.ขามใหญ่_x000a__x000a_เมืองอุบลราชธานี/ Mueang Ubon Ratchathaniอุบลราชธานี/ Ubon Ratchathani_x000a_34000"/>
    <s v="34000"/>
    <s v="660853089997"/>
    <s v="04/01/2025 13:33"/>
    <s v="-"/>
    <s v="Kerry_dropoff"/>
    <s v="Lazada"/>
    <s v="lazada"/>
    <s v=""/>
    <s v="LEXPU0441827321"/>
    <s v="04/01/2025 13:33"/>
  </r>
  <r>
    <x v="27"/>
    <x v="29"/>
    <n v="800"/>
    <n v="1"/>
    <n v="0"/>
    <s v="EQC13"/>
    <n v="800"/>
    <n v="0"/>
    <s v="ร้านที่4"/>
    <s v="ข***ศิริ ว***ท"/>
    <s v="ตาก"/>
    <s v="-"/>
    <s v=""/>
    <s v="04/01/2025 13:33"/>
    <s v="-"/>
    <s v="Flash Express Thailand COD"/>
    <s v="Tiktok"/>
    <s v="จ่ายทีหลัง / COD"/>
    <s v=""/>
    <s v="THT59051DYK3K9Z"/>
    <s v="04/01/2025 13:33"/>
  </r>
  <r>
    <x v="1"/>
    <x v="1"/>
    <n v="200"/>
    <n v="1"/>
    <n v="0"/>
    <s v="EQC12"/>
    <n v="200"/>
    <n v="0"/>
    <s v="ร้านที่1"/>
    <s v="ส***นตรา โ***ูงเนิน"/>
    <s v="Lop Buri"/>
    <s v="-"/>
    <s v=""/>
    <s v="04/01/2025 13:32"/>
    <s v="-"/>
    <s v="J&amp;T COD"/>
    <s v="Tiktok"/>
    <s v="จ่ายทีหลัง / COD"/>
    <s v=""/>
    <s v="754304822003"/>
    <s v="04/01/2025 13:32"/>
  </r>
  <r>
    <x v="3"/>
    <x v="8"/>
    <n v="88.4"/>
    <n v="1"/>
    <n v="0"/>
    <s v="EQC8"/>
    <n v="88.4"/>
    <n v="0"/>
    <s v="ร้านที่6"/>
    <s v="ขวัญใจ หนูสาลี"/>
    <s v="34/1 หมู่5 ต.ห้วยทราย อ.หนองแ · ห้วยทราย/ Huai Sai_x000a__x000a_หนองแค/ Nong Khaeสระบุรี/ Saraburi_x000a_18230"/>
    <s v="18230"/>
    <s v="660656943197"/>
    <s v="04/01/2025 13:13"/>
    <s v="-"/>
    <s v="Kerry_dropoff"/>
    <s v="Lazada"/>
    <s v="lazada"/>
    <s v=""/>
    <s v="LEXPU0442271570"/>
    <s v="04/01/2025 13:13"/>
  </r>
  <r>
    <x v="19"/>
    <x v="19"/>
    <n v="199"/>
    <n v="1"/>
    <n v="0"/>
    <s v="EQC7"/>
    <n v="244"/>
    <n v="45"/>
    <s v="ร้านที่1"/>
    <s v="น******ะ"/>
    <s v="******, เลขที่ 72, หมู่ที่ 2 ตำบลแม่สอง อำเภอท่าสองยาง จังหวัดตาก 63150"/>
    <s v="63150"/>
    <s v="70"/>
    <s v="04/01/2025 13:11"/>
    <s v="-"/>
    <s v="Flash Express"/>
    <s v="Shopee"/>
    <s v="shopee"/>
    <s v=""/>
    <s v="TH59056NPKP82C"/>
    <s v="04/01/2025 13:11"/>
  </r>
  <r>
    <x v="19"/>
    <x v="19"/>
    <n v="199"/>
    <n v="1"/>
    <n v="0"/>
    <s v="EQC4"/>
    <n v="244"/>
    <n v="45"/>
    <s v="ร้านที่1"/>
    <s v="ณ******า"/>
    <s v="******นน สุขุมวิท-บางปู ตำบล บางปูใหม่ ตำบลบางปูใหม่ อำเภอเมืองสมุทรปราการ จังหวัดสมุทรปราการ 10280"/>
    <s v="10280"/>
    <s v="27"/>
    <s v="04/01/2025 13:01"/>
    <s v="-"/>
    <s v="SPX Express"/>
    <s v="Shopee"/>
    <s v="shopee"/>
    <s v=""/>
    <s v="TH252321977900N"/>
    <s v="04/01/2025 12:56"/>
  </r>
  <r>
    <x v="4"/>
    <x v="4"/>
    <n v="100"/>
    <n v="1"/>
    <n v="0"/>
    <s v="EQC3"/>
    <n v="200"/>
    <n v="0"/>
    <s v="ร้านที่1"/>
    <s v="ย***น พ***นโชติ"/>
    <s v="สมุทรปราการ"/>
    <s v="-"/>
    <s v=""/>
    <s v="04/01/2025 12:54"/>
    <s v="-"/>
    <s v="J&amp;T COD"/>
    <s v="Tiktok"/>
    <s v="จ่ายทีหลัง / COD"/>
    <s v=""/>
    <s v="754317531096"/>
    <s v="04/01/2025 12:54"/>
  </r>
  <r>
    <x v="9"/>
    <x v="4"/>
    <n v="100"/>
    <n v="1"/>
    <n v="0"/>
    <s v="EQC3"/>
    <n v="200"/>
    <n v="0"/>
    <s v="ร้านที่1"/>
    <s v="ย***น พ***นโชติ"/>
    <s v="สมุทรปราการ"/>
    <s v="-"/>
    <s v=""/>
    <s v="04/01/2025 12:54"/>
    <s v="-"/>
    <s v="J&amp;T COD"/>
    <s v="Tiktok"/>
    <s v="จ่ายทีหลัง / COD"/>
    <s v=""/>
    <s v="754317531096"/>
    <s v="04/01/2025 12:54"/>
  </r>
  <r>
    <x v="4"/>
    <x v="4"/>
    <n v="100"/>
    <n v="1"/>
    <n v="0"/>
    <s v="EQC2"/>
    <n v="200"/>
    <n v="0"/>
    <s v="ร้านที่4"/>
    <s v="ค***ิศมัย"/>
    <s v="น่าน"/>
    <s v="-"/>
    <s v=""/>
    <s v="04/01/2025 12:53"/>
    <s v="-"/>
    <s v="Flash Express Thailand"/>
    <s v="Tiktok"/>
    <s v="tiktok"/>
    <s v=""/>
    <s v="THT52061DZF7Y0Z"/>
    <s v="04/01/2025 12:51"/>
  </r>
  <r>
    <x v="9"/>
    <x v="4"/>
    <n v="100"/>
    <n v="1"/>
    <n v="0"/>
    <s v="EQC2"/>
    <n v="200"/>
    <n v="0"/>
    <s v="ร้านที่4"/>
    <s v="ค***ิศมัย"/>
    <s v="น่าน"/>
    <s v="-"/>
    <s v=""/>
    <s v="04/01/2025 12:53"/>
    <s v="-"/>
    <s v="Flash Express Thailand"/>
    <s v="Tiktok"/>
    <s v="tiktok"/>
    <s v=""/>
    <s v="THT52061DZF7Y0Z"/>
    <s v="04/01/2025 12:51"/>
  </r>
  <r>
    <x v="9"/>
    <x v="4"/>
    <n v="100"/>
    <n v="1"/>
    <n v="0"/>
    <s v="EQC1"/>
    <n v="106"/>
    <n v="6"/>
    <s v="ร้านที่4"/>
    <s v="ส***ี ศ***จ่ม"/>
    <s v="กรุงเทพฯ"/>
    <s v="-"/>
    <s v=""/>
    <s v="04/01/2025 12:51"/>
    <s v="-"/>
    <s v="Flash Express Thailand COD"/>
    <s v="Tiktok"/>
    <s v="จ่ายทีหลัง / COD"/>
    <s v=""/>
    <s v="THT01481DZ3RF0Z"/>
    <s v="04/01/2025 12:51"/>
  </r>
  <r>
    <x v="0"/>
    <x v="0"/>
    <n v="100"/>
    <n v="1"/>
    <n v="0"/>
    <s v="EQC0"/>
    <n v="106"/>
    <n v="6"/>
    <s v="ร้านที่4"/>
    <s v="อ***ณ์ เ***อรอด"/>
    <s v="ชลบุรี"/>
    <s v="-"/>
    <s v=""/>
    <s v="04/01/2025 12:40"/>
    <s v="-"/>
    <s v="Flash Express Thailand COD"/>
    <s v="Tiktok"/>
    <s v="จ่ายทีหลัง / COD"/>
    <s v=""/>
    <s v="THT20021E2DMA9Z"/>
    <s v="04/01/2025 12:40"/>
  </r>
  <r>
    <x v="1"/>
    <x v="1"/>
    <n v="200"/>
    <n v="1"/>
    <n v="0"/>
    <s v="EQB99"/>
    <n v="200"/>
    <n v="0"/>
    <s v="ร้านที่4"/>
    <s v="น***วรรณ ส***ะดิษฐ์"/>
    <s v="สุราษฎร์ธานี"/>
    <s v="-"/>
    <s v=""/>
    <s v="04/01/2025 12:36"/>
    <s v="-"/>
    <s v="Flash Express Thailand COD"/>
    <s v="Tiktok"/>
    <s v="จ่ายทีหลัง / COD"/>
    <s v="เน้น**ฝอยทอง 3กล่อง** ให้ผู้สูงอายุน้ะคะ ขอบคุนนคะ"/>
    <s v="THT68011DYVYJ7Z"/>
    <s v="04/01/2025 12:36"/>
  </r>
  <r>
    <x v="5"/>
    <x v="5"/>
    <n v="330"/>
    <n v="1"/>
    <n v="0"/>
    <s v="EQB98"/>
    <n v="330"/>
    <n v="0"/>
    <s v="ร้านที่2"/>
    <s v="น***กรียงศักดิ์ ต***ู"/>
    <s v="ขอนแก่น"/>
    <s v="-"/>
    <s v=""/>
    <s v="04/01/2025 12:35"/>
    <s v="-"/>
    <s v="J&amp;T COD"/>
    <s v="Tiktok"/>
    <s v="จ่ายทีหลัง / COD"/>
    <s v=""/>
    <s v="754307305312"/>
    <s v="04/01/2025 12:36"/>
  </r>
  <r>
    <x v="19"/>
    <x v="19"/>
    <n v="197"/>
    <n v="2"/>
    <n v="0"/>
    <s v="EQB95"/>
    <n v="458"/>
    <n v="64"/>
    <s v="ร้านที่2"/>
    <s v="แ**ม"/>
    <s v="******ถนนรังสิต-นครนายก ต.ประชาธิปัตย์ ตำบลประชาธิปัตย์ อำเภอธัญบุรี จังหวัดปทุมธานี 12130"/>
    <s v="12130"/>
    <s v="40"/>
    <s v="04/01/2025 12:57"/>
    <s v="-"/>
    <s v="SPX Express"/>
    <s v="Shopee"/>
    <s v="shopee"/>
    <s v=""/>
    <s v="TH258933070860X"/>
    <s v="04/01/2025 12:27"/>
  </r>
  <r>
    <x v="4"/>
    <x v="4"/>
    <n v="100"/>
    <n v="1"/>
    <n v="0"/>
    <s v="EQB94"/>
    <n v="145"/>
    <n v="45"/>
    <s v="ร้านที่2"/>
    <s v="อ***ัฒน์ ล***ชื่น อ***ม"/>
    <s v="นนทบุรี"/>
    <s v="-"/>
    <s v=""/>
    <s v="04/01/2025 12:23"/>
    <s v="-"/>
    <s v="J&amp;T Express"/>
    <s v="Tiktok"/>
    <s v="tiktok"/>
    <s v=""/>
    <s v="754307737094"/>
    <s v="04/01/2025 12:23"/>
  </r>
  <r>
    <x v="3"/>
    <x v="3"/>
    <n v="100"/>
    <n v="1"/>
    <n v="0"/>
    <s v="EQB93"/>
    <n v="195"/>
    <n v="0"/>
    <s v="ร้านที่2"/>
    <s v="ส***ดาภรณ์ เ***ชุม"/>
    <s v="อุดรธานี"/>
    <s v="-"/>
    <s v=""/>
    <s v="04/01/2025 12:23"/>
    <s v="-"/>
    <s v="J&amp;T COD"/>
    <s v="Tiktok"/>
    <s v="จ่ายทีหลัง / COD"/>
    <s v=""/>
    <s v="754389792225"/>
    <s v="04/01/2025 12:23"/>
  </r>
  <r>
    <x v="9"/>
    <x v="4"/>
    <n v="100"/>
    <n v="1"/>
    <n v="0"/>
    <s v="EQB92"/>
    <n v="145"/>
    <n v="45"/>
    <s v="ร้านที่4"/>
    <s v="จ***รัตน์ ป***การ เ***"/>
    <s v="อุดรธานี"/>
    <s v="-"/>
    <s v=""/>
    <s v="04/01/2025 12:21"/>
    <s v="-"/>
    <s v="Flash Express Thailand"/>
    <s v="Tiktok"/>
    <s v="tiktok"/>
    <s v=""/>
    <s v="THT38011DZ3VS8Z"/>
    <s v="04/01/2025 12:21"/>
  </r>
  <r>
    <x v="9"/>
    <x v="4"/>
    <n v="100"/>
    <n v="1"/>
    <n v="0"/>
    <s v="EQB91"/>
    <n v="145"/>
    <n v="45"/>
    <s v="ร้านที่4"/>
    <s v="ค***ราณี ส***ง"/>
    <s v="สกลนคร"/>
    <s v="-"/>
    <s v=""/>
    <s v="04/01/2025 12:21"/>
    <s v="-"/>
    <s v="Flash Express Thailand"/>
    <s v="Tiktok"/>
    <s v="tiktok"/>
    <s v=""/>
    <s v="THT44161DZ46F4Z"/>
    <s v="04/01/2025 12:20"/>
  </r>
  <r>
    <x v="10"/>
    <x v="10"/>
    <n v="200"/>
    <n v="1"/>
    <n v="0"/>
    <s v="EQB90"/>
    <n v="200"/>
    <n v="0"/>
    <s v="ร้านที่2"/>
    <s v="พ***นภา ช***คกสูง"/>
    <s v="นครราชสีมา"/>
    <s v="-"/>
    <s v=""/>
    <s v="04/01/2025 12:18"/>
    <s v="-"/>
    <s v="J&amp;T COD"/>
    <s v="Tiktok"/>
    <s v="จ่ายทีหลัง / COD"/>
    <s v=""/>
    <s v="754399843072"/>
    <s v="04/01/2025 12:18"/>
  </r>
  <r>
    <x v="10"/>
    <x v="10"/>
    <n v="200"/>
    <n v="1"/>
    <n v="0"/>
    <s v="EQB89"/>
    <n v="200"/>
    <n v="0"/>
    <s v="ร้านที่2"/>
    <s v="ก***นา พ***พา"/>
    <s v="สุพรรณบุรี"/>
    <s v="-"/>
    <s v=""/>
    <s v="04/01/2025 12:18"/>
    <s v="-"/>
    <s v="J&amp;T Express"/>
    <s v="Tiktok"/>
    <s v="tiktok"/>
    <s v=""/>
    <s v="754368840072"/>
    <s v="04/01/2025 12:18"/>
  </r>
  <r>
    <x v="19"/>
    <x v="19"/>
    <n v="250"/>
    <n v="2"/>
    <n v="0"/>
    <s v="EQB88"/>
    <n v="500"/>
    <n v="0"/>
    <s v="ร้านที่4"/>
    <s v="น***นา น***ิกาญจนะ"/>
    <s v="ประจวบคีรีขันธ์"/>
    <s v="-"/>
    <s v=""/>
    <s v="04/01/2025 12:00"/>
    <s v="-"/>
    <s v="Flash Express Thailand"/>
    <s v="Tiktok"/>
    <s v="tiktok"/>
    <s v=""/>
    <s v="THT19071DYJZA3Z"/>
    <s v="04/01/2025 12:14"/>
  </r>
  <r>
    <x v="3"/>
    <x v="8"/>
    <n v="84"/>
    <n v="1"/>
    <n v="0"/>
    <s v="EQB87"/>
    <n v="89"/>
    <n v="5"/>
    <s v="ร้านที่6"/>
    <s v="อนุสรณ์"/>
    <s v="146หมู่14 ต ภูเงิน อ เสลภูมิ จ ร้อยเอ็ด_x000a__x000a_เสลภูมิ/ Selaphumร้อยเอ็ด/ Roi Et_x000a_45120"/>
    <s v="45120"/>
    <s v="660946796464"/>
    <s v="04/01/2025 12:12"/>
    <s v="-"/>
    <s v="Kerry_dropoff"/>
    <s v="Lazada"/>
    <s v="lazada"/>
    <s v=""/>
    <s v="TH42106NUBY18J"/>
    <s v="04/01/2025 12:12"/>
  </r>
  <r>
    <x v="1"/>
    <x v="1"/>
    <n v="145"/>
    <n v="1"/>
    <n v="0"/>
    <s v="EQB86"/>
    <n v="150"/>
    <n v="5"/>
    <s v="ร้านที่1"/>
    <s v="ประภัสสร แก่นทอง"/>
    <s v="107/129 หมู่ 5 · หนองผึ้ง/ Nong Phueng_x000a__x000a_สารภี/ Saraphiเชียงใหม่/ Chiang Mai_x000a_50140"/>
    <s v="50140"/>
    <s v="660944098487"/>
    <s v="04/01/2025 13:09"/>
    <s v="-"/>
    <s v="Kerry_dropoff"/>
    <s v="Lazada"/>
    <s v="lazada"/>
    <s v=""/>
    <s v="LEXPU0442283019"/>
    <s v="04/01/2025 12:12"/>
  </r>
  <r>
    <x v="5"/>
    <x v="5"/>
    <n v="330"/>
    <n v="1"/>
    <n v="0"/>
    <s v="EQB85"/>
    <n v="330"/>
    <n v="0"/>
    <s v="ร้านที่1"/>
    <s v="บ***ร    เ***สืบ"/>
    <s v="เชียงราย"/>
    <s v="-"/>
    <s v=""/>
    <s v="04/01/2025 12:13"/>
    <s v="-"/>
    <s v="J&amp;T Express"/>
    <s v="Tiktok"/>
    <s v="tiktok"/>
    <s v=""/>
    <s v="754350102321"/>
    <s v="04/01/2025 12:10"/>
  </r>
  <r>
    <x v="9"/>
    <x v="4"/>
    <n v="100"/>
    <n v="2"/>
    <n v="0"/>
    <s v="EQB78"/>
    <n v="200"/>
    <n v="0"/>
    <s v="ร้านที่2"/>
    <s v="พ***มล น***ำ"/>
    <s v="นครศรีธรรมราช"/>
    <s v="-"/>
    <s v=""/>
    <s v="04/01/2025 11:53"/>
    <s v="-"/>
    <s v="J&amp;T COD"/>
    <s v="Tiktok"/>
    <s v="จ่ายทีหลัง / COD"/>
    <s v=""/>
    <s v="754329705091"/>
    <s v="04/01/2025 11:53"/>
  </r>
  <r>
    <x v="27"/>
    <x v="29"/>
    <n v="800"/>
    <n v="1"/>
    <n v="0"/>
    <s v="EQB76"/>
    <n v="800"/>
    <n v="0"/>
    <s v="ร้านที่1"/>
    <s v="ร***ลอดช่องวัดเจษ"/>
    <s v="กรุงเทพฯ"/>
    <s v="-"/>
    <s v=""/>
    <s v="04/01/2025 11:51"/>
    <s v="-"/>
    <s v="J&amp;T COD"/>
    <s v="Tiktok"/>
    <s v="จ่ายทีหลัง / COD"/>
    <s v=""/>
    <s v="754376203070"/>
    <s v="04/01/2025 11:51"/>
  </r>
  <r>
    <x v="4"/>
    <x v="4"/>
    <n v="100"/>
    <n v="1"/>
    <n v="0"/>
    <s v="EQB73"/>
    <n v="100"/>
    <n v="0"/>
    <s v="ร้านที่4"/>
    <s v="ช***า ส***ำแ้อง"/>
    <s v="สมุทรสาคร"/>
    <s v="-"/>
    <s v=""/>
    <s v="04/01/2025 11:42"/>
    <s v="-"/>
    <s v="Flash Express Thailand COD"/>
    <s v="Tiktok"/>
    <s v="จ่ายทีหลัง / COD"/>
    <s v=""/>
    <s v="THT16011DZ0W02Z"/>
    <s v="04/01/2025 11:43"/>
  </r>
  <r>
    <x v="0"/>
    <x v="0"/>
    <n v="100"/>
    <n v="1"/>
    <n v="0"/>
    <s v="EQB72"/>
    <n v="106"/>
    <n v="6"/>
    <s v="ร้านที่4"/>
    <s v="บ***ัย จ***าวุฒิกุล"/>
    <s v="สุรินทร์"/>
    <s v="-"/>
    <s v=""/>
    <s v="04/01/2025 11:42"/>
    <s v="-"/>
    <s v="Flash Express Thailand COD"/>
    <s v="Tiktok"/>
    <s v="จ่ายทีหลัง / COD"/>
    <s v=""/>
    <s v="THT29011E2U8F0Z"/>
    <s v="04/01/2025 11:42"/>
  </r>
  <r>
    <x v="3"/>
    <x v="8"/>
    <n v="84"/>
    <n v="1"/>
    <n v="0"/>
    <s v="EQB71"/>
    <n v="89"/>
    <n v="5"/>
    <s v="ร้านที่6"/>
    <s v="จารุณี ปานมาศ"/>
    <s v="417/4ม.1ต.ปากพูน_x000a__x000a_เมืองนครศรีธรรมราช/ Mueang Nakhon Si Thammaratนครศรีธรรมราช/ Nakhon Si Thammarat_x000a_80000"/>
    <s v="80000"/>
    <s v="660886394344"/>
    <s v="04/01/2025 11:42"/>
    <s v="-"/>
    <s v="Kerry_dropoff"/>
    <s v="Lazada"/>
    <s v="lazada"/>
    <s v=""/>
    <s v="LEXPU0442276301"/>
    <s v="04/01/2025 11:42"/>
  </r>
  <r>
    <x v="0"/>
    <x v="0"/>
    <n v="100"/>
    <n v="1"/>
    <n v="0"/>
    <s v="EQB69"/>
    <n v="106"/>
    <n v="6"/>
    <s v="ร้านที่4"/>
    <s v="จ***พร พ***แดง"/>
    <s v="เพชรบุรี"/>
    <s v="-"/>
    <s v=""/>
    <s v="04/01/2025 11:37"/>
    <s v="-"/>
    <s v="Flash Express Thailand COD"/>
    <s v="Tiktok"/>
    <s v="จ่ายทีหลัง / COD"/>
    <s v=""/>
    <s v="THT18061E2R4R0Z"/>
    <s v="04/01/2025 11:37"/>
  </r>
  <r>
    <x v="1"/>
    <x v="1"/>
    <n v="200"/>
    <n v="1"/>
    <n v="0"/>
    <s v="EQB68"/>
    <n v="300"/>
    <n v="0"/>
    <s v="ร้านที่1"/>
    <s v="โ***ุคนธ์ พ***่ม"/>
    <s v="พิษณุโลก"/>
    <s v="-"/>
    <s v=""/>
    <s v="04/01/2025 11:38"/>
    <s v="-"/>
    <s v="J&amp;T Express"/>
    <s v="Tiktok"/>
    <s v="tiktok"/>
    <s v=""/>
    <s v="754388900300"/>
    <s v="04/01/2025 11:37"/>
  </r>
  <r>
    <x v="9"/>
    <x v="4"/>
    <n v="100"/>
    <n v="1"/>
    <n v="0"/>
    <s v="EQB68"/>
    <n v="300"/>
    <n v="0"/>
    <s v="ร้านที่1"/>
    <s v="โ***ุคนธ์ พ***่ม"/>
    <s v="พิษณุโลก"/>
    <s v="-"/>
    <s v=""/>
    <s v="04/01/2025 11:38"/>
    <s v="-"/>
    <s v="J&amp;T Express"/>
    <s v="Tiktok"/>
    <s v="tiktok"/>
    <s v=""/>
    <s v="754388900300"/>
    <s v="04/01/2025 11:37"/>
  </r>
  <r>
    <x v="5"/>
    <x v="5"/>
    <n v="330"/>
    <n v="1"/>
    <n v="0"/>
    <s v="EQB67"/>
    <n v="330"/>
    <n v="0"/>
    <s v="ร้านที่2"/>
    <s v="ข***ฤดี ท***ินดา"/>
    <s v="นราธิวาส"/>
    <s v="-"/>
    <s v=""/>
    <s v="04/01/2025 11:34"/>
    <s v="-"/>
    <s v="J&amp;T COD"/>
    <s v="Tiktok"/>
    <s v="จ่ายทีหลัง / COD"/>
    <s v=""/>
    <s v="754304308321"/>
    <s v="04/01/2025 11:34"/>
  </r>
  <r>
    <x v="17"/>
    <x v="17"/>
    <n v="800"/>
    <n v="1"/>
    <n v="0"/>
    <s v="EQB66"/>
    <n v="800"/>
    <n v="0"/>
    <s v="ร้านที่4"/>
    <s v="อ***วรรณ เ***นู "/>
    <s v="กรุงเทพฯ"/>
    <s v="-"/>
    <s v=""/>
    <s v="04/01/2025 11:29"/>
    <s v="-"/>
    <s v="Flash Express Thailand COD"/>
    <s v="Tiktok"/>
    <s v="จ่ายทีหลัง / COD"/>
    <s v=""/>
    <s v="THT01071DYSP29Z"/>
    <s v="04/01/2025 11:29"/>
  </r>
  <r>
    <x v="17"/>
    <x v="17"/>
    <n v="80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4"/>
    <x v="4"/>
    <n v="10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26"/>
    <x v="56"/>
    <n v="240"/>
    <n v="1"/>
    <n v="0"/>
    <s v="EQB65"/>
    <n v="1140"/>
    <n v="0"/>
    <s v="ร้านที่4"/>
    <s v="อ***วรรณ เ***นู "/>
    <s v="กรุงเทพฯ"/>
    <s v="-"/>
    <s v=""/>
    <s v="04/01/2025 11:28"/>
    <s v="-"/>
    <s v="Flash Express Thailand COD"/>
    <s v="Tiktok"/>
    <s v="จ่ายทีหลัง / COD"/>
    <s v=""/>
    <s v="THT01071DZQUY4Z"/>
    <s v="04/01/2025 11:28"/>
  </r>
  <r>
    <x v="9"/>
    <x v="4"/>
    <n v="100"/>
    <n v="2"/>
    <n v="0"/>
    <s v="EQB64"/>
    <n v="206"/>
    <n v="6"/>
    <s v="ร้านที่1"/>
    <s v="ส***ิ บ***พ็ชร"/>
    <s v="กรุงเทพมหานคร"/>
    <s v="-"/>
    <s v=""/>
    <s v="04/01/2025 11:27"/>
    <s v="-"/>
    <s v="J&amp;T Express"/>
    <s v="Tiktok"/>
    <s v="tiktok"/>
    <s v=""/>
    <s v="754304519006"/>
    <s v="04/01/2025 11:27"/>
  </r>
  <r>
    <x v="4"/>
    <x v="4"/>
    <n v="100"/>
    <n v="2"/>
    <n v="0"/>
    <s v="EQB61"/>
    <n v="200"/>
    <n v="0"/>
    <s v="ร้านที่4"/>
    <s v="น***เนาวรัตน์​  ศ***าแก้ว"/>
    <s v="ชลบุรี"/>
    <s v="-"/>
    <s v=""/>
    <s v="04/01/2025 11:18"/>
    <s v="-"/>
    <s v="Flash Express Thailand"/>
    <s v="Tiktok"/>
    <s v="tiktok"/>
    <s v=""/>
    <s v="THT20011DYVV89Z"/>
    <s v="04/01/2025 11:18"/>
  </r>
  <r>
    <x v="1"/>
    <x v="1"/>
    <n v="200"/>
    <n v="1"/>
    <n v="0"/>
    <s v="EQB59"/>
    <n v="200"/>
    <n v="0"/>
    <s v="ร้านที่2"/>
    <s v="ย***น น***สน"/>
    <s v="อำนาจเจริญ"/>
    <s v="-"/>
    <s v=""/>
    <s v="04/01/2025 11:13"/>
    <s v="-"/>
    <s v="J&amp;T COD"/>
    <s v="Tiktok"/>
    <s v="จ่ายทีหลัง / COD"/>
    <s v=""/>
    <s v="754370512033"/>
    <s v="04/01/2025 11:13"/>
  </r>
  <r>
    <x v="9"/>
    <x v="4"/>
    <n v="100"/>
    <n v="3"/>
    <n v="0"/>
    <s v="EQB58"/>
    <n v="300"/>
    <n v="0"/>
    <s v="ร้านที่4"/>
    <s v="จ***พร ด***นท์"/>
    <s v="มหาสารคาม"/>
    <s v="-"/>
    <s v=""/>
    <s v="04/01/2025 11:10"/>
    <s v="-"/>
    <s v="Flash Express Thailand COD"/>
    <s v="Tiktok"/>
    <s v="จ่ายทีหลัง / COD"/>
    <s v=""/>
    <s v="THT41061DYRTY5Z"/>
    <s v="04/01/2025 11:10"/>
  </r>
  <r>
    <x v="0"/>
    <x v="0"/>
    <n v="100"/>
    <n v="1"/>
    <n v="0"/>
    <s v="EQB55"/>
    <n v="100"/>
    <n v="0"/>
    <s v="ร้านที่1"/>
    <s v="น***า อ***เกิด"/>
    <s v="ชัยนาท"/>
    <s v="-"/>
    <s v=""/>
    <s v="04/01/2025 11:04"/>
    <s v="-"/>
    <s v="J&amp;T COD"/>
    <s v="Tiktok"/>
    <s v="จ่ายทีหลัง / COD"/>
    <s v=""/>
    <s v="754300288276"/>
    <s v="04/01/2025 11:04"/>
  </r>
  <r>
    <x v="34"/>
    <x v="45"/>
    <n v="4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24"/>
    <x v="76"/>
    <n v="7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24"/>
    <x v="76"/>
    <n v="750"/>
    <n v="1"/>
    <n v="0"/>
    <s v="EQB54"/>
    <n v="2084"/>
    <n v="134"/>
    <s v="ร้านที่1"/>
    <s v="เสาวคนธ์ ทองศิริ"/>
    <s v="29/1 ม.13 ต.พนางตุง อ.ควนขนุน0918022_x000a__x000a_ควนขนุน/ Khuan Khanunพัทลุง/ Phatthalung_x000a_93150"/>
    <s v="93150"/>
    <s v="660918022010"/>
    <s v="04/01/2025 11:02"/>
    <s v="-"/>
    <s v="Kerry_dropoff"/>
    <s v="Lazada"/>
    <s v="lazada"/>
    <s v=""/>
    <s v="TH74056NP4KV7J"/>
    <s v="04/01/2025 11:02"/>
  </r>
  <r>
    <x v="5"/>
    <x v="5"/>
    <n v="330"/>
    <n v="1"/>
    <n v="0"/>
    <s v="EQB53"/>
    <n v="330"/>
    <n v="0"/>
    <s v="ร้านที่1"/>
    <s v="ส***​"/>
    <s v="นนทบุรี"/>
    <s v="-"/>
    <s v=""/>
    <s v="04/01/2025 11:02"/>
    <s v="-"/>
    <s v="J&amp;T COD"/>
    <s v="Tiktok"/>
    <s v="จ่ายทีหลัง / COD"/>
    <s v=""/>
    <s v="754337600376"/>
    <s v="04/01/2025 11:02"/>
  </r>
  <r>
    <x v="9"/>
    <x v="4"/>
    <n v="100"/>
    <n v="6"/>
    <n v="0"/>
    <s v="EQB52"/>
    <n v="600"/>
    <n v="0"/>
    <s v="ร้านที่4"/>
    <s v="ก***าภัค  บ***สน"/>
    <s v="ปัตตานี"/>
    <s v="-"/>
    <s v=""/>
    <s v="04/01/2025 11:01"/>
    <s v="-"/>
    <s v="Flash Express Thailand COD"/>
    <s v="Tiktok"/>
    <s v="จ่ายทีหลัง / COD"/>
    <s v=""/>
    <s v="THT75011DZ3YD0Z"/>
    <s v="04/01/2025 11:01"/>
  </r>
  <r>
    <x v="33"/>
    <x v="43"/>
    <n v="330"/>
    <n v="1"/>
    <n v="0"/>
    <s v="EQB51"/>
    <n v="330"/>
    <n v="0"/>
    <s v="ร้านที่4"/>
    <s v="ไ***นทร์ อ***ล้า"/>
    <s v="กรุงเทพฯ"/>
    <s v="-"/>
    <s v=""/>
    <s v="04/01/2025 10:59"/>
    <s v="-"/>
    <s v="Flash Express Thailand"/>
    <s v="Tiktok"/>
    <s v="tiktok"/>
    <s v=""/>
    <s v="THT01231DZ3PY0Z"/>
    <s v="04/01/2025 10:59"/>
  </r>
  <r>
    <x v="3"/>
    <x v="3"/>
    <n v="100"/>
    <n v="1"/>
    <n v="0"/>
    <s v="EQB50"/>
    <n v="106"/>
    <n v="6"/>
    <s v="ร้านที่4"/>
    <s v="ส***ทิพย์ ข***ู่"/>
    <s v="กาญจนบุรี"/>
    <s v="-"/>
    <s v=""/>
    <s v="04/01/2025 10:57"/>
    <s v="-"/>
    <s v="Flash Express Thailand COD"/>
    <s v="Tiktok"/>
    <s v="จ่ายทีหลัง / COD"/>
    <s v=""/>
    <s v="THT13041DZ1YW0Z"/>
    <s v="04/01/2025 10:57"/>
  </r>
  <r>
    <x v="19"/>
    <x v="19"/>
    <n v="250"/>
    <n v="1"/>
    <n v="0"/>
    <s v="EQB49"/>
    <n v="250"/>
    <n v="0"/>
    <s v="ร้านที่4"/>
    <s v="น***าวจารุวรรณ  ท***งหาญ"/>
    <s v="สมุทรสาคร"/>
    <s v="-"/>
    <s v=""/>
    <s v="04/01/2025 10:49"/>
    <s v="-"/>
    <s v="Flash Express Thailand COD"/>
    <s v="Tiktok"/>
    <s v="จ่ายทีหลัง / COD"/>
    <s v=""/>
    <s v="THT16011DYJUW1Z"/>
    <s v="04/01/2025 10:49"/>
  </r>
  <r>
    <x v="4"/>
    <x v="4"/>
    <n v="100"/>
    <n v="3"/>
    <n v="0"/>
    <s v="EQB48"/>
    <n v="300"/>
    <n v="0"/>
    <s v="ร้านที่1"/>
    <s v="ธ***ารัตน์ ท***ปรม"/>
    <s v="เพชรบูรณ์"/>
    <s v="-"/>
    <s v=""/>
    <s v="04/01/2025 10:48"/>
    <s v="-"/>
    <s v="J&amp;T Express"/>
    <s v="Tiktok"/>
    <s v="tiktok"/>
    <s v=""/>
    <s v="754385139093"/>
    <s v="04/01/2025 10:48"/>
  </r>
  <r>
    <x v="29"/>
    <x v="36"/>
    <n v="330"/>
    <n v="1"/>
    <n v="0"/>
    <s v="EQB47"/>
    <n v="330"/>
    <n v="0"/>
    <s v="ร้านที่4"/>
    <s v="ก***ัตน์ เ***นทองดี"/>
    <s v="เทศบาลนครนครปฐม"/>
    <s v="-"/>
    <s v=""/>
    <s v="04/01/2025 10:47"/>
    <s v="-"/>
    <s v="Flash Express Thailand COD"/>
    <s v="Tiktok"/>
    <s v="จ่ายทีหลัง / COD"/>
    <s v=""/>
    <s v="THT15021DZ6991Z"/>
    <s v="04/01/2025 10:47"/>
  </r>
  <r>
    <x v="1"/>
    <x v="1"/>
    <n v="200"/>
    <n v="1"/>
    <n v="0"/>
    <s v="EQB45"/>
    <n v="200"/>
    <n v="0"/>
    <s v="ร้านที่1"/>
    <s v="น* พ***ี"/>
    <s v="ร้อยเอ็ด"/>
    <s v="-"/>
    <s v=""/>
    <s v="04/01/2025 10:44"/>
    <s v="-"/>
    <s v="J&amp;T Express"/>
    <s v="Tiktok"/>
    <s v="tiktok"/>
    <s v=""/>
    <s v="754373424011"/>
    <s v="04/01/2025 10:44"/>
  </r>
  <r>
    <x v="3"/>
    <x v="8"/>
    <n v="84"/>
    <n v="1"/>
    <n v="0"/>
    <s v="EQB44"/>
    <n v="89"/>
    <n v="5"/>
    <s v="ร้านที่6"/>
    <s v="นิตยา เนตรหาญ"/>
    <s v="ห้วยทราย 31/1 ม.4_x000a__x000a_สันกำแพง/ San Kamphaengเชียงใหม่/ Chiang Mai_x000a_50130"/>
    <s v="50130"/>
    <s v="660969523477"/>
    <s v="04/01/2025 10:44"/>
    <s v="-"/>
    <s v="Kerry_dropoff"/>
    <s v="Lazada"/>
    <s v="lazada"/>
    <s v=""/>
    <s v="LEXPU0442275497"/>
    <s v="04/01/2025 10:44"/>
  </r>
  <r>
    <x v="4"/>
    <x v="4"/>
    <n v="100"/>
    <n v="2"/>
    <n v="0"/>
    <s v="EQB43"/>
    <n v="200"/>
    <n v="0"/>
    <s v="ร้านที่2"/>
    <s v="เ***ณิต  ส***์ทอง"/>
    <s v="สุพรรณบุรี"/>
    <s v="-"/>
    <s v=""/>
    <s v="04/01/2025 10:43"/>
    <s v="-"/>
    <s v="J&amp;T Express"/>
    <s v="Tiktok"/>
    <s v="tiktok"/>
    <s v=""/>
    <s v="754324335096"/>
    <s v="04/01/2025 10:43"/>
  </r>
  <r>
    <x v="3"/>
    <x v="3"/>
    <n v="100"/>
    <n v="1"/>
    <n v="0"/>
    <s v="EQB42"/>
    <n v="107"/>
    <n v="7"/>
    <s v="ร้านที่2"/>
    <s v="ส******ม"/>
    <s v="******, ถนน รังสิต-นครนายก, ตำบลรังสิต, อำเภอธัญบุรี ตำบลรังสิต อำเภอธัญบุรี จังหวัดปทุมธานี 12110"/>
    <s v="12110"/>
    <s v="53"/>
    <s v="04/01/2025 10:44"/>
    <s v="-"/>
    <s v="SPX Express"/>
    <s v="Shopee"/>
    <s v="shopee"/>
    <s v=""/>
    <s v="TH253380148649D"/>
    <s v="04/01/2025 10:43"/>
  </r>
  <r>
    <x v="9"/>
    <x v="4"/>
    <n v="100"/>
    <n v="3"/>
    <n v="0"/>
    <s v="EQB41"/>
    <n v="600"/>
    <n v="0"/>
    <s v="ร้านที่4"/>
    <s v="น***าวจารุวรรณ  ท***งหาญ"/>
    <s v="สมุทรสาคร"/>
    <s v="-"/>
    <s v=""/>
    <s v="04/01/2025 10:39"/>
    <s v="-"/>
    <s v="Flash Express Thailand COD"/>
    <s v="Tiktok"/>
    <s v="จ่ายทีหลัง / COD"/>
    <s v=""/>
    <s v="THT16011DZ36C1Z"/>
    <s v="04/01/2025 10:39"/>
  </r>
  <r>
    <x v="4"/>
    <x v="4"/>
    <n v="100"/>
    <n v="3"/>
    <n v="0"/>
    <s v="EQB41"/>
    <n v="600"/>
    <n v="0"/>
    <s v="ร้านที่4"/>
    <s v="น***าวจารุวรรณ  ท***งหาญ"/>
    <s v="สมุทรสาคร"/>
    <s v="-"/>
    <s v=""/>
    <s v="04/01/2025 10:39"/>
    <s v="-"/>
    <s v="Flash Express Thailand COD"/>
    <s v="Tiktok"/>
    <s v="จ่ายทีหลัง / COD"/>
    <s v=""/>
    <s v="THT16011DZ36C1Z"/>
    <s v="04/01/2025 10:39"/>
  </r>
  <r>
    <x v="9"/>
    <x v="4"/>
    <n v="100"/>
    <n v="3"/>
    <n v="0"/>
    <s v="EQB39"/>
    <n v="300"/>
    <n v="0"/>
    <s v="ร้านที่4"/>
    <s v="ร***ิกร  แ***งสกุล"/>
    <s v="นครราชสีมา"/>
    <s v="-"/>
    <s v=""/>
    <s v="04/01/2025 10:38"/>
    <s v="-"/>
    <s v="Flash Express Thailand"/>
    <s v="Tiktok"/>
    <s v="tiktok"/>
    <s v=""/>
    <s v="THT27081DZ42W4Z"/>
    <s v="04/01/2025 10:37"/>
  </r>
  <r>
    <x v="3"/>
    <x v="3"/>
    <n v="100"/>
    <n v="3"/>
    <n v="0"/>
    <s v="EQB38"/>
    <n v="300"/>
    <n v="0"/>
    <s v="ร้านที่4"/>
    <s v="ส***นัน"/>
    <s v="สงขลา"/>
    <s v="-"/>
    <s v=""/>
    <s v="04/01/2025 10:37"/>
    <s v="-"/>
    <s v="Flash Express Thailand COD"/>
    <s v="Tiktok"/>
    <s v="จ่ายทีหลัง / COD"/>
    <s v=""/>
    <s v="THT71041E2NN42Z"/>
    <s v="04/01/2025 10:37"/>
  </r>
  <r>
    <x v="9"/>
    <x v="4"/>
    <n v="100"/>
    <n v="1"/>
    <n v="0"/>
    <s v="EQB37"/>
    <n v="106"/>
    <n v="6"/>
    <s v="ร้านที่4"/>
    <s v="น***ิง เ***ทิพย์"/>
    <s v="นครศรีธรรมราช"/>
    <s v="-"/>
    <s v=""/>
    <s v="04/01/2025 10:36"/>
    <s v="-"/>
    <s v="Flash Express Thailand COD"/>
    <s v="Tiktok"/>
    <s v="จ่ายทีหลัง / COD"/>
    <s v=""/>
    <s v="THT64091DZ3X20Z"/>
    <s v="04/01/2025 10:36"/>
  </r>
  <r>
    <x v="3"/>
    <x v="3"/>
    <n v="100"/>
    <n v="3"/>
    <n v="0"/>
    <s v="EQB36"/>
    <n v="345"/>
    <n v="45"/>
    <s v="ร้านที่2"/>
    <s v="(******า"/>
    <s v="******บลท่ามะกา อำเภอท่ามะกา จังหวัดกาญจนบุรี 71120"/>
    <s v="71120"/>
    <s v="36"/>
    <s v="04/01/2025 11:04"/>
    <s v="-"/>
    <s v="SPX Express"/>
    <s v="Shopee"/>
    <s v="shopee"/>
    <s v=""/>
    <s v="TH258473866162A"/>
    <s v="04/01/2025 10:34"/>
  </r>
  <r>
    <x v="3"/>
    <x v="3"/>
    <n v="100"/>
    <n v="1"/>
    <n v="0"/>
    <s v="EQB35"/>
    <n v="100"/>
    <n v="0"/>
    <s v="ร้านที่1"/>
    <s v="ศ***ิมพ์ ส***ี"/>
    <s v="สุโขทัย"/>
    <s v="-"/>
    <s v=""/>
    <s v="04/01/2025 10:28"/>
    <s v="-"/>
    <s v="J&amp;T COD"/>
    <s v="Tiktok"/>
    <s v="จ่ายทีหลัง / COD"/>
    <s v=""/>
    <s v="754385398266"/>
    <s v="04/01/2025 10:28"/>
  </r>
  <r>
    <x v="10"/>
    <x v="10"/>
    <n v="200"/>
    <n v="1"/>
    <n v="0"/>
    <s v="EQB33"/>
    <n v="200"/>
    <n v="0"/>
    <s v="ร้านที่1"/>
    <s v="ศ***ิมพ์ ส***ี"/>
    <s v="จังหวัดสุโขทัย"/>
    <s v="-"/>
    <s v=""/>
    <s v="04/01/2025 10:19"/>
    <s v="-"/>
    <s v="J&amp;T COD"/>
    <s v="Tiktok"/>
    <s v="จ่ายทีหลัง / COD"/>
    <s v=""/>
    <s v="754353942005"/>
    <s v="04/01/2025 10:19"/>
  </r>
  <r>
    <x v="9"/>
    <x v="4"/>
    <n v="100"/>
    <n v="2"/>
    <n v="0"/>
    <s v="EQB32"/>
    <n v="200"/>
    <n v="0"/>
    <s v="ร้านที่4"/>
    <s v="พ***รณ  อ***ิศัย"/>
    <s v="เชียงใหม่"/>
    <s v="-"/>
    <s v=""/>
    <s v="04/01/2025 10:18"/>
    <s v="-"/>
    <s v="Flash Express Thailand"/>
    <s v="Tiktok"/>
    <s v="tiktok"/>
    <s v=""/>
    <s v="THT47121DYS8T5Z"/>
    <s v="04/01/2025 10:17"/>
  </r>
  <r>
    <x v="27"/>
    <x v="29"/>
    <n v="800"/>
    <n v="1"/>
    <n v="0"/>
    <s v="EQB31"/>
    <n v="800"/>
    <n v="0"/>
    <s v="ร้านที่2"/>
    <s v="ร***ลอดช่องวัดเจษ"/>
    <s v="กรุงเทพฯ"/>
    <s v="-"/>
    <s v=""/>
    <s v="04/01/2025 10:15"/>
    <s v="-"/>
    <s v="J&amp;T COD"/>
    <s v="Tiktok"/>
    <s v="จ่ายทีหลัง / COD"/>
    <s v=""/>
    <s v="754340800080"/>
    <s v="04/01/2025 10:15"/>
  </r>
  <r>
    <x v="0"/>
    <x v="0"/>
    <n v="100"/>
    <n v="1"/>
    <n v="0"/>
    <s v="EQB30"/>
    <n v="100"/>
    <n v="0"/>
    <s v="ร้านที่4"/>
    <s v="ช***ชา ค***ุดม"/>
    <s v="สุโขทัย"/>
    <s v="-"/>
    <s v=""/>
    <s v="04/01/2025 10:14"/>
    <s v="-"/>
    <s v="Flash Express Thailand"/>
    <s v="Tiktok"/>
    <s v="tiktok"/>
    <s v=""/>
    <s v="THT60061E2CU13Z"/>
    <s v="04/01/2025 10:14"/>
  </r>
  <r>
    <x v="4"/>
    <x v="4"/>
    <n v="100"/>
    <n v="1"/>
    <n v="0"/>
    <s v="EQB29"/>
    <n v="200"/>
    <n v="0"/>
    <s v="ร้านที่4"/>
    <s v="ส***พร.   ม***ำ"/>
    <s v="กำแพงเพชร"/>
    <s v="-"/>
    <s v=""/>
    <s v="04/01/2025 10:13"/>
    <s v="-"/>
    <s v="Flash Express Thailand COD"/>
    <s v="Tiktok"/>
    <s v="จ่ายทีหลัง / COD"/>
    <s v=""/>
    <s v="THT58041E30F50Z"/>
    <s v="04/01/2025 10:14"/>
  </r>
  <r>
    <x v="0"/>
    <x v="0"/>
    <n v="100"/>
    <n v="1"/>
    <n v="0"/>
    <s v="EQB29"/>
    <n v="200"/>
    <n v="0"/>
    <s v="ร้านที่4"/>
    <s v="ส***พร.   ม***ำ"/>
    <s v="กำแพงเพชร"/>
    <s v="-"/>
    <s v=""/>
    <s v="04/01/2025 10:13"/>
    <s v="-"/>
    <s v="Flash Express Thailand COD"/>
    <s v="Tiktok"/>
    <s v="จ่ายทีหลัง / COD"/>
    <s v=""/>
    <s v="THT58041E30F50Z"/>
    <s v="04/01/2025 10:13"/>
  </r>
  <r>
    <x v="6"/>
    <x v="6"/>
    <n v="250"/>
    <n v="1"/>
    <n v="0"/>
    <s v="EQB28"/>
    <n v="315"/>
    <n v="0"/>
    <s v="ร้านที่1"/>
    <s v="ภ******ล"/>
    <s v="******7 ม.5 ตำบลทับมา ตำบลทับมา อำเภอเมืองระยอง จังหวัดระยอง 21000"/>
    <s v="21000"/>
    <s v="49"/>
    <s v="04/01/2025 10:13"/>
    <s v="-"/>
    <s v="SPX Express"/>
    <s v="Shopee"/>
    <s v="shopee"/>
    <s v=""/>
    <s v="TH253821097070T"/>
    <s v="04/01/2025 10:13"/>
  </r>
  <r>
    <x v="0"/>
    <x v="0"/>
    <n v="100"/>
    <n v="2"/>
    <n v="0"/>
    <s v="EQB27"/>
    <n v="200"/>
    <n v="0"/>
    <s v="ร้านที่1"/>
    <s v="N*** P***y L***g"/>
    <s v="Nakhon Pathom"/>
    <s v="-"/>
    <s v=""/>
    <s v="04/01/2025 10:10"/>
    <s v="-"/>
    <s v="J&amp;T COD"/>
    <s v="Tiktok"/>
    <s v="จ่ายทีหลัง / COD"/>
    <s v=""/>
    <s v="754359689204"/>
    <s v="04/01/2025 10:10"/>
  </r>
  <r>
    <x v="0"/>
    <x v="0"/>
    <n v="100"/>
    <n v="1"/>
    <n v="0"/>
    <s v="EQB25"/>
    <n v="106"/>
    <n v="6"/>
    <s v="ร้านที่1"/>
    <s v="ก***ิการ์ ม***สอน"/>
    <s v="สมุทรปราการ"/>
    <s v="-"/>
    <s v=""/>
    <s v="04/01/2025 10:09"/>
    <s v="-"/>
    <s v="J&amp;T Express"/>
    <s v="Tiktok"/>
    <s v="tiktok"/>
    <s v=""/>
    <s v="754392168250"/>
    <s v="04/01/2025 10:09"/>
  </r>
  <r>
    <x v="3"/>
    <x v="3"/>
    <n v="100"/>
    <n v="2"/>
    <n v="0"/>
    <s v="EQB24"/>
    <n v="229"/>
    <n v="29"/>
    <s v="ร้านที่2"/>
    <s v="ฐ******ง"/>
    <s v="******กเพรียว ตำบลปากเพรียว อำเภอเมืองสระบุรี จังหวัดสระบุรี 18000"/>
    <s v="18000"/>
    <s v="00"/>
    <s v="04/01/2025 10:33"/>
    <s v="-"/>
    <s v="Flash Express"/>
    <s v="Shopee"/>
    <s v="shopee"/>
    <s v=""/>
    <s v="TH10016NVDMB3A"/>
    <s v="04/01/2025 10:03"/>
  </r>
  <r>
    <x v="19"/>
    <x v="19"/>
    <n v="199"/>
    <n v="1"/>
    <n v="0"/>
    <s v="EQB23"/>
    <n v="228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4/01/2025 10:33"/>
    <s v="-"/>
    <s v="SPX Express"/>
    <s v="Shopee"/>
    <s v="shopee"/>
    <s v=""/>
    <s v="TH259912294359D"/>
    <s v="04/01/2025 10:03"/>
  </r>
  <r>
    <x v="19"/>
    <x v="19"/>
    <n v="197"/>
    <n v="1"/>
    <n v="0"/>
    <s v="EQB22"/>
    <n v="197"/>
    <n v="0"/>
    <s v="ร้านที่2"/>
    <s v="ก******์"/>
    <s v="******ือม, อำเภอเฉลิมพระเกียรติ ตำบลหนองงูเหลือม อำเภอเฉลิมพระเกียรติ จังหวัดนครราชสีมา 30000"/>
    <s v="30000"/>
    <s v="97"/>
    <s v="04/01/2025 10:32"/>
    <s v="-"/>
    <s v="SPX Express"/>
    <s v="Shopee"/>
    <s v="shopee"/>
    <s v=""/>
    <s v="TH252384413301B"/>
    <s v="04/01/2025 10:02"/>
  </r>
  <r>
    <x v="19"/>
    <x v="19"/>
    <n v="199"/>
    <n v="1"/>
    <n v="0"/>
    <s v="EQB21"/>
    <n v="328"/>
    <n v="64"/>
    <s v="ร้านที่1"/>
    <s v="อ******ะ"/>
    <s v="******ุ่งคล้า ตำบลบุ่งคล้า อำเภอเมืองชัยภูมิ จังหวัดชัยภูมิ 36000"/>
    <s v="36000"/>
    <s v="80"/>
    <s v="04/01/2025 10:02"/>
    <s v="-"/>
    <s v="SPX Express"/>
    <s v="Shopee"/>
    <s v="shopee"/>
    <s v=""/>
    <s v="TH252457000625X"/>
    <s v="04/01/2025 10:02"/>
  </r>
  <r>
    <x v="1"/>
    <x v="1"/>
    <n v="200"/>
    <n v="1"/>
    <n v="0"/>
    <s v="EQB20"/>
    <n v="200"/>
    <n v="0"/>
    <s v="ร้านที่2"/>
    <s v="ก*** บ***รับทรัพย์"/>
    <s v="นครปฐม"/>
    <s v="-"/>
    <s v=""/>
    <s v="04/01/2025 10:02"/>
    <s v="-"/>
    <s v="J&amp;T COD"/>
    <s v="Tiktok"/>
    <s v="จ่ายทีหลัง / COD"/>
    <s v=""/>
    <s v="754344819314"/>
    <s v="04/01/2025 10:02"/>
  </r>
  <r>
    <x v="0"/>
    <x v="0"/>
    <n v="100"/>
    <n v="1"/>
    <n v="0"/>
    <s v="EQB19"/>
    <n v="106"/>
    <n v="6"/>
    <s v="ร้านที่1"/>
    <s v="ก***ม๊ะ"/>
    <s v="ปัตตานี"/>
    <s v="-"/>
    <s v=""/>
    <s v="04/01/2025 10:00"/>
    <s v="-"/>
    <s v="J&amp;T COD"/>
    <s v="Tiktok"/>
    <s v="จ่ายทีหลัง / COD"/>
    <s v=""/>
    <s v="754343989210"/>
    <s v="04/01/2025 10:00"/>
  </r>
  <r>
    <x v="9"/>
    <x v="4"/>
    <n v="100"/>
    <n v="1"/>
    <n v="0"/>
    <s v="EQB18"/>
    <n v="106"/>
    <n v="6"/>
    <s v="ร้านที่4"/>
    <s v="อ***ุข อ***รมย์"/>
    <s v="ขอนแก่น"/>
    <s v="-"/>
    <s v=""/>
    <s v="04/01/2025 09:58"/>
    <s v="-"/>
    <s v="Flash Express Thailand"/>
    <s v="Tiktok"/>
    <s v="tiktok"/>
    <s v=""/>
    <s v="THT37151DZ3Z48Z"/>
    <s v="04/01/2025 09:57"/>
  </r>
  <r>
    <x v="0"/>
    <x v="0"/>
    <n v="100"/>
    <n v="1"/>
    <n v="0"/>
    <s v="EQB17"/>
    <n v="106"/>
    <n v="6"/>
    <s v="ร้านที่1"/>
    <s v="น***สาวิตรี ช***งจันทร์"/>
    <s v="เทศบาลนครนครศรีธรรมราช"/>
    <s v="-"/>
    <s v=""/>
    <s v="04/01/2025 09:51"/>
    <s v="-"/>
    <s v="J&amp;T COD"/>
    <s v="Tiktok"/>
    <s v="จ่ายทีหลัง / COD"/>
    <s v=""/>
    <s v="754382689270"/>
    <s v="04/01/2025 09:51"/>
  </r>
  <r>
    <x v="0"/>
    <x v="0"/>
    <n v="100"/>
    <n v="1"/>
    <n v="0"/>
    <s v="EQB16"/>
    <n v="106"/>
    <n v="6"/>
    <s v="ร้านที่2"/>
    <s v="อ***รัตน์  แ***กลาง"/>
    <s v="นครราชสีมา"/>
    <s v="-"/>
    <s v=""/>
    <s v="04/01/2025 09:50"/>
    <s v="-"/>
    <s v="J&amp;T COD"/>
    <s v="Tiktok"/>
    <s v="จ่ายทีหลัง / COD"/>
    <s v=""/>
    <s v="754366682263"/>
    <s v="04/01/2025 09:50"/>
  </r>
  <r>
    <x v="5"/>
    <x v="5"/>
    <n v="350"/>
    <n v="1"/>
    <n v="0"/>
    <s v="EQB15"/>
    <n v="350"/>
    <n v="0"/>
    <s v="ร้านที่4"/>
    <s v="ข***ศิริ ว***ท"/>
    <s v="ตาก"/>
    <s v="-"/>
    <s v=""/>
    <s v="04/01/2025 09:50"/>
    <s v="-"/>
    <s v="Flash Express Thailand COD"/>
    <s v="Tiktok"/>
    <s v="จ่ายทีหลัง / COD"/>
    <s v=""/>
    <s v="THT59051E2NBX1Z"/>
    <s v="04/01/2025 09:50"/>
  </r>
  <r>
    <x v="4"/>
    <x v="4"/>
    <n v="100"/>
    <n v="1"/>
    <n v="0"/>
    <s v="EQB14"/>
    <n v="300"/>
    <n v="0"/>
    <s v="ร้านที่1"/>
    <s v="แ**"/>
    <s v="ปทุมธานี"/>
    <s v="-"/>
    <s v=""/>
    <s v="04/01/2025 09:48"/>
    <s v="-"/>
    <s v="J&amp;T COD"/>
    <s v="Tiktok"/>
    <s v="จ่ายทีหลัง / COD"/>
    <s v=""/>
    <s v="754340549045"/>
    <s v="04/01/2025 09:48"/>
  </r>
  <r>
    <x v="9"/>
    <x v="4"/>
    <n v="100"/>
    <n v="2"/>
    <n v="0"/>
    <s v="EQB14"/>
    <n v="300"/>
    <n v="0"/>
    <s v="ร้านที่1"/>
    <s v="แ**"/>
    <s v="ปทุมธานี"/>
    <s v="-"/>
    <s v=""/>
    <s v="04/01/2025 09:48"/>
    <s v="-"/>
    <s v="J&amp;T COD"/>
    <s v="Tiktok"/>
    <s v="จ่ายทีหลัง / COD"/>
    <s v=""/>
    <s v="754340549045"/>
    <s v="04/01/2025 09:48"/>
  </r>
  <r>
    <x v="3"/>
    <x v="3"/>
    <n v="100"/>
    <n v="1"/>
    <n v="0"/>
    <s v="EQB13"/>
    <n v="160"/>
    <n v="0"/>
    <s v="ร้านที่2"/>
    <s v="ภ******ง"/>
    <s v="******กวาง, อำเภอบรรพตพิสัย ตำบลหูกวาง อำเภอบรรพตพิสัย จังหวัดนครสวรรค์ 60180"/>
    <s v="60180"/>
    <s v="63"/>
    <s v="04/01/2025 09:44"/>
    <s v="-"/>
    <s v="SPX Express"/>
    <s v="Shopee"/>
    <s v="shopee"/>
    <s v=""/>
    <s v="TH252706692007T"/>
    <s v="04/01/2025 09:43"/>
  </r>
  <r>
    <x v="0"/>
    <x v="0"/>
    <n v="100"/>
    <n v="2"/>
    <n v="0"/>
    <s v="EQB12"/>
    <n v="200"/>
    <n v="0"/>
    <s v="ร้านที่2"/>
    <s v="ช***ดา บ***าญ"/>
    <s v="จันทบุรี"/>
    <s v="-"/>
    <s v=""/>
    <s v="04/01/2025 09:41"/>
    <s v="-"/>
    <s v="J&amp;T COD"/>
    <s v="Tiktok"/>
    <s v="จ่ายทีหลัง / COD"/>
    <s v=""/>
    <s v="754362271246"/>
    <s v="04/01/2025 09:41"/>
  </r>
  <r>
    <x v="0"/>
    <x v="0"/>
    <n v="100"/>
    <n v="1"/>
    <n v="0"/>
    <s v="EQB11"/>
    <n v="106"/>
    <n v="6"/>
    <s v="ร้านที่1"/>
    <s v="เ***พิชชา"/>
    <s v="ชลบุรี"/>
    <s v="-"/>
    <s v=""/>
    <s v="04/01/2025 09:42"/>
    <s v="-"/>
    <s v="J&amp;T Express"/>
    <s v="Tiktok"/>
    <s v="tiktok"/>
    <s v=""/>
    <s v="754326485220"/>
    <s v="04/01/2025 09:41"/>
  </r>
  <r>
    <x v="29"/>
    <x v="36"/>
    <n v="330"/>
    <n v="2"/>
    <n v="0"/>
    <s v="EQB9"/>
    <n v="684"/>
    <n v="24"/>
    <s v="ร้านที่4"/>
    <s v="ร***ีจันทร์ ส***ธชาติ"/>
    <s v="กรุงเทพมหานคร"/>
    <s v="-"/>
    <s v=""/>
    <s v="04/01/2025 09:39"/>
    <s v="-"/>
    <s v="Flash Express Thailand"/>
    <s v="Tiktok"/>
    <s v="tiktok"/>
    <s v=""/>
    <s v="THT01391DZPZ96Z"/>
    <s v="04/01/2025 09:39"/>
  </r>
  <r>
    <x v="1"/>
    <x v="1"/>
    <n v="200"/>
    <n v="1"/>
    <n v="0"/>
    <s v="EQB8"/>
    <n v="200"/>
    <n v="0"/>
    <s v="ร้านที่1"/>
    <s v="อ***รณ ว***กระพันธุ์"/>
    <s v="สงขลา"/>
    <s v="-"/>
    <s v=""/>
    <s v="04/01/2025 09:25"/>
    <s v="-"/>
    <s v="J&amp;T COD"/>
    <s v="Tiktok"/>
    <s v="จ่ายทีหลัง / COD"/>
    <s v=""/>
    <s v="754309712030"/>
    <s v="04/01/2025 09:39"/>
  </r>
  <r>
    <x v="1"/>
    <x v="1"/>
    <n v="200"/>
    <n v="1"/>
    <n v="0"/>
    <s v="EQB6"/>
    <n v="200"/>
    <n v="0"/>
    <s v="ร้านที่2"/>
    <s v="เ***มเกียรติ์ ต***ยงมัด"/>
    <s v="ชลบุรี"/>
    <s v="-"/>
    <s v=""/>
    <s v="04/01/2025 09:35"/>
    <s v="-"/>
    <s v="J&amp;T COD"/>
    <s v="Tiktok"/>
    <s v="จ่ายทีหลัง / COD"/>
    <s v=""/>
    <s v="754387426015"/>
    <s v="04/01/2025 09:35"/>
  </r>
  <r>
    <x v="38"/>
    <x v="50"/>
    <n v="200"/>
    <n v="1"/>
    <n v="0"/>
    <s v="EQB5"/>
    <n v="200"/>
    <n v="0"/>
    <s v="ร้านที่2"/>
    <s v="ก***รณ์ ย***ี"/>
    <s v="เทศบาลนครพิษณุโลก"/>
    <s v="-"/>
    <s v=""/>
    <s v="04/01/2025 09:33"/>
    <s v="-"/>
    <s v="J&amp;T COD"/>
    <s v="Tiktok"/>
    <s v="จ่ายทีหลัง / COD"/>
    <s v=""/>
    <s v="754350514050"/>
    <s v="04/01/2025 09:33"/>
  </r>
  <r>
    <x v="4"/>
    <x v="4"/>
    <n v="100"/>
    <n v="3"/>
    <n v="0"/>
    <s v="EQB4"/>
    <n v="300"/>
    <n v="0"/>
    <s v="ร้านที่4"/>
    <s v="ก***รรณ โ***์จันทร์"/>
    <s v="สมุทรสาคร"/>
    <s v="-"/>
    <s v=""/>
    <s v="04/01/2025 09:30"/>
    <s v="-"/>
    <s v="Flash Express Thailand COD"/>
    <s v="Tiktok"/>
    <s v="จ่ายทีหลัง / COD"/>
    <s v=""/>
    <s v="THT16011DZBME7Z"/>
    <s v="04/01/2025 09:30"/>
  </r>
  <r>
    <x v="9"/>
    <x v="4"/>
    <n v="100"/>
    <n v="1"/>
    <n v="0"/>
    <s v="EQB3"/>
    <n v="140"/>
    <n v="0"/>
    <s v="ร้านที่1"/>
    <s v="ค***ยอม ก***กสิกิจ"/>
    <s v="กำแพงเพชร"/>
    <s v="-"/>
    <s v=""/>
    <s v="04/01/2025 09:27"/>
    <s v="-"/>
    <s v="J&amp;T Express"/>
    <s v="Tiktok"/>
    <s v="tiktok"/>
    <s v=""/>
    <s v="754365723053"/>
    <s v="04/01/2025 09:27"/>
  </r>
  <r>
    <x v="37"/>
    <x v="49"/>
    <n v="100"/>
    <n v="1"/>
    <n v="0"/>
    <s v="EQB2"/>
    <n v="300"/>
    <n v="0"/>
    <s v="ร้านที่4"/>
    <s v="ก***าณี      ก***ม"/>
    <s v="ชลบุรี"/>
    <s v="-"/>
    <s v=""/>
    <s v="04/01/2025 09:25"/>
    <s v="-"/>
    <s v="Flash Express Thailand COD"/>
    <s v="Tiktok"/>
    <s v="จ่ายทีหลัง / COD"/>
    <s v=""/>
    <s v="THT20071DYPTQ3Z"/>
    <s v="04/01/2025 09:25"/>
  </r>
  <r>
    <x v="9"/>
    <x v="4"/>
    <n v="100"/>
    <n v="2"/>
    <n v="0"/>
    <s v="EQB2"/>
    <n v="300"/>
    <n v="0"/>
    <s v="ร้านที่4"/>
    <s v="ก***าณี      ก***ม"/>
    <s v="ชลบุรี"/>
    <s v="-"/>
    <s v=""/>
    <s v="04/01/2025 09:25"/>
    <s v="-"/>
    <s v="Flash Express Thailand COD"/>
    <s v="Tiktok"/>
    <s v="จ่ายทีหลัง / COD"/>
    <s v=""/>
    <s v="THT20071DYPTQ3Z"/>
    <s v="04/01/2025 09:25"/>
  </r>
  <r>
    <x v="1"/>
    <x v="1"/>
    <n v="200"/>
    <n v="1"/>
    <n v="0"/>
    <s v="EQB1"/>
    <n v="200"/>
    <n v="0"/>
    <s v="ร้านที่1"/>
    <s v="ส***ญญา  อ***ต์สุข"/>
    <s v="ศรีสะเกษ"/>
    <s v="-"/>
    <s v=""/>
    <s v="04/01/2025 09:25"/>
    <s v="-"/>
    <s v="J&amp;T COD"/>
    <s v="Tiktok"/>
    <s v="จ่ายทีหลัง / COD"/>
    <s v=""/>
    <s v="754380919040"/>
    <s v="04/01/2025 09:25"/>
  </r>
  <r>
    <x v="10"/>
    <x v="10"/>
    <n v="200"/>
    <n v="1"/>
    <n v="0"/>
    <s v="EQB0"/>
    <n v="200"/>
    <n v="0"/>
    <s v="ร้านที่1"/>
    <s v="ก***นา  ต***วินิจกุล"/>
    <s v="กาญจนบุรี"/>
    <s v="-"/>
    <s v=""/>
    <s v="04/01/2025 09:24"/>
    <s v="-"/>
    <s v="J&amp;T COD"/>
    <s v="Tiktok"/>
    <s v="จ่ายทีหลัง / COD"/>
    <s v=""/>
    <s v="754366244074"/>
    <s v="04/01/2025 09:24"/>
  </r>
  <r>
    <x v="1"/>
    <x v="1"/>
    <n v="200"/>
    <n v="1"/>
    <n v="0"/>
    <s v="EQA98"/>
    <n v="200"/>
    <n v="0"/>
    <s v="ร้านที่4"/>
    <s v="ธ***นันท์ เ***เดชคณาพัฒน์"/>
    <s v="สมุทรสงคราม"/>
    <s v="-"/>
    <s v=""/>
    <s v="04/01/2025 09:21"/>
    <s v="-"/>
    <s v="Flash Express Thailand"/>
    <s v="Tiktok"/>
    <s v="tiktok"/>
    <s v=""/>
    <s v="THT17031DZ7MX4Z"/>
    <s v="04/01/2025 09:21"/>
  </r>
  <r>
    <x v="9"/>
    <x v="4"/>
    <n v="100"/>
    <n v="1"/>
    <n v="0"/>
    <s v="EQA97"/>
    <n v="106"/>
    <n v="6"/>
    <s v="ร้านที่4"/>
    <s v="ณ***ิศา ส***ล"/>
    <s v="Bangkok"/>
    <s v="-"/>
    <s v=""/>
    <s v="04/01/2025 09:20"/>
    <s v="-"/>
    <s v="Flash Express Thailand COD"/>
    <s v="Tiktok"/>
    <s v="จ่ายทีหลัง / COD"/>
    <s v=""/>
    <s v="THT01121DYSPG3Z"/>
    <s v="04/01/2025 09:21"/>
  </r>
  <r>
    <x v="9"/>
    <x v="4"/>
    <n v="100"/>
    <n v="1"/>
    <n v="0"/>
    <s v="EQA96"/>
    <n v="106"/>
    <n v="6"/>
    <s v="ร้านที่2"/>
    <s v="พ***์ลิตา ศ***นาเรืองทวี"/>
    <s v="นนทบุรี"/>
    <s v="-"/>
    <s v=""/>
    <s v="04/01/2025 09:21"/>
    <s v="-"/>
    <s v="J&amp;T Express"/>
    <s v="Tiktok"/>
    <s v="tiktok"/>
    <s v=""/>
    <s v="754340309096"/>
    <s v="04/01/2025 09:21"/>
  </r>
  <r>
    <x v="9"/>
    <x v="4"/>
    <n v="100"/>
    <n v="2"/>
    <n v="0"/>
    <s v="EQA95"/>
    <n v="200"/>
    <n v="0"/>
    <s v="ร้านที่4"/>
    <s v="แ***"/>
    <s v="สระบุรี"/>
    <s v="-"/>
    <s v=""/>
    <s v="04/01/2025 09:20"/>
    <s v="-"/>
    <s v="Flash Express Thailand COD"/>
    <s v="Tiktok"/>
    <s v="จ่ายทีหลัง / COD"/>
    <s v=""/>
    <s v="THT10101DYSV99Z"/>
    <s v="04/01/2025 09:20"/>
  </r>
  <r>
    <x v="19"/>
    <x v="19"/>
    <n v="199"/>
    <n v="1"/>
    <n v="0"/>
    <s v="EQA93"/>
    <n v="244"/>
    <n v="45"/>
    <s v="ร้านที่1"/>
    <s v="ภ******์"/>
    <s v="******ุมพร,ตรงข้ามตึก3ชั้น) ตำบลวารินชำราบ อำเภอวารินชำราบ จังหวัดอุบลราชธานี 34190"/>
    <s v="34190"/>
    <s v="09"/>
    <s v="04/01/2025 09:18"/>
    <s v="-"/>
    <s v="SPX Express"/>
    <s v="Shopee"/>
    <s v="shopee"/>
    <s v=""/>
    <s v="TH252801332415K"/>
    <s v="04/01/2025 09:18"/>
  </r>
  <r>
    <x v="37"/>
    <x v="49"/>
    <n v="100"/>
    <n v="1"/>
    <n v="0"/>
    <s v="EQA92"/>
    <n v="430"/>
    <n v="0"/>
    <s v="ร้านที่4"/>
    <s v="ส***รี ป***ำสี"/>
    <s v="นครราชสีมา"/>
    <s v="-"/>
    <s v=""/>
    <s v="04/01/2025 09:17"/>
    <s v="-"/>
    <s v="Flash Express Thailand COD"/>
    <s v="Tiktok"/>
    <s v="จ่ายทีหลัง / COD"/>
    <s v=""/>
    <s v="THT27081DYQEP3Z"/>
    <s v="04/01/2025 09:17"/>
  </r>
  <r>
    <x v="33"/>
    <x v="43"/>
    <n v="330"/>
    <n v="1"/>
    <n v="0"/>
    <s v="EQA92"/>
    <n v="430"/>
    <n v="0"/>
    <s v="ร้านที่4"/>
    <s v="ส***รี ป***ำสี"/>
    <s v="นครราชสีมา"/>
    <s v="-"/>
    <s v=""/>
    <s v="04/01/2025 09:17"/>
    <s v="-"/>
    <s v="Flash Express Thailand COD"/>
    <s v="Tiktok"/>
    <s v="จ่ายทีหลัง / COD"/>
    <s v=""/>
    <s v="THT27081DYQEP3Z"/>
    <s v="04/01/2025 09:17"/>
  </r>
  <r>
    <x v="10"/>
    <x v="10"/>
    <n v="200"/>
    <n v="1"/>
    <n v="0"/>
    <s v="EQA90"/>
    <n v="200"/>
    <n v="0"/>
    <s v="ร้านที่1"/>
    <s v="ก***ิกาล ร***ี"/>
    <s v="กระบี่"/>
    <s v="-"/>
    <s v=""/>
    <s v="04/01/2025 09:15"/>
    <s v="-"/>
    <s v="J&amp;T COD"/>
    <s v="Tiktok"/>
    <s v="จ่ายทีหลัง / COD"/>
    <s v=""/>
    <s v="754302944006"/>
    <s v="04/01/2025 09:15"/>
  </r>
  <r>
    <x v="37"/>
    <x v="49"/>
    <n v="100"/>
    <n v="1"/>
    <n v="0"/>
    <s v="EQA86"/>
    <n v="106"/>
    <n v="6"/>
    <s v="ร้านที่4"/>
    <s v="ภ***รณ  ส***้าย"/>
    <s v="กรุงเทพฯ"/>
    <s v="-"/>
    <s v=""/>
    <s v="04/01/2025 09:11"/>
    <s v="-"/>
    <s v="Flash Express Thailand COD"/>
    <s v="Tiktok"/>
    <s v="จ่ายทีหลัง / COD"/>
    <s v=""/>
    <s v="THT01441E2DAR5Z"/>
    <s v="04/01/2025 09:11"/>
  </r>
  <r>
    <x v="33"/>
    <x v="43"/>
    <n v="330"/>
    <n v="1"/>
    <n v="0"/>
    <s v="EQA84"/>
    <n v="330"/>
    <n v="0"/>
    <s v="ร้านที่4"/>
    <s v="ท***กร"/>
    <s v="นครสวรรค์"/>
    <s v="-"/>
    <s v=""/>
    <s v="04/01/2025 09:10"/>
    <s v="-"/>
    <s v="Flash Express Thailand COD"/>
    <s v="Tiktok"/>
    <s v="จ่ายทีหลัง / COD"/>
    <s v=""/>
    <s v="THT56071DYSXJ7Z"/>
    <s v="04/01/2025 09:10"/>
  </r>
  <r>
    <x v="38"/>
    <x v="50"/>
    <n v="240"/>
    <n v="1"/>
    <n v="0"/>
    <s v="EQA83"/>
    <n v="285"/>
    <n v="45"/>
    <s v="ร้านที่1"/>
    <s v="อ******ล"/>
    <s v="******นบุรี ส่งที่ป้อมยามสนามกอล์ฟบลูเซฟไฟล์ ตำบลช่องด่าน อำเภอบ่อพลอย จังหวัดกาญจนบุรี 71160"/>
    <s v="71160"/>
    <s v="31"/>
    <s v="04/01/2025 09:10"/>
    <s v="-"/>
    <s v="SPX Express"/>
    <s v="Shopee"/>
    <s v="shopee"/>
    <s v=""/>
    <s v="TH255954057697V"/>
    <s v="04/01/2025 09:10"/>
  </r>
  <r>
    <x v="10"/>
    <x v="10"/>
    <n v="200"/>
    <n v="2"/>
    <n v="0"/>
    <s v="EQA82"/>
    <n v="400"/>
    <n v="0"/>
    <s v="ร้านที่4"/>
    <s v="ข***ศิริ ว***ท"/>
    <s v="ตาก"/>
    <s v="-"/>
    <s v=""/>
    <s v="04/01/2025 09:07"/>
    <s v="-"/>
    <s v="Flash Express Thailand COD"/>
    <s v="Tiktok"/>
    <s v="จ่ายทีหลัง / COD"/>
    <s v=""/>
    <s v="THT59051DZ3D05Z"/>
    <s v="04/01/2025 09:07"/>
  </r>
  <r>
    <x v="4"/>
    <x v="4"/>
    <n v="100"/>
    <n v="1"/>
    <n v="0"/>
    <s v="EQA80"/>
    <n v="106"/>
    <n v="6"/>
    <s v="ร้านที่4"/>
    <s v="M***sicha B*"/>
    <s v="Phrae"/>
    <s v="-"/>
    <s v=""/>
    <s v="04/01/2025 08:53"/>
    <s v="-"/>
    <s v="Flash Express Thailand"/>
    <s v="Tiktok"/>
    <s v="tiktok"/>
    <s v=""/>
    <s v="THT51021DZ0K94Z"/>
    <s v="04/01/2025 08:53"/>
  </r>
  <r>
    <x v="1"/>
    <x v="1"/>
    <n v="200"/>
    <n v="1"/>
    <n v="0"/>
    <s v="EQA79"/>
    <n v="200"/>
    <n v="0"/>
    <s v="ร้านที่2"/>
    <s v="ส***กษณ์ ค***ี"/>
    <s v="จันทบุรี"/>
    <s v="-"/>
    <s v=""/>
    <s v="04/01/2025 08:41"/>
    <s v="-"/>
    <s v="J&amp;T COD"/>
    <s v="Tiktok"/>
    <s v="จ่ายทีหลัง / COD"/>
    <s v=""/>
    <s v="754308903342"/>
    <s v="04/01/2025 08:42"/>
  </r>
  <r>
    <x v="9"/>
    <x v="4"/>
    <n v="100"/>
    <n v="2"/>
    <n v="0"/>
    <s v="EQA78"/>
    <n v="200"/>
    <n v="0"/>
    <s v="ร้านที่4"/>
    <s v="ส***กษณ์ ค***ี"/>
    <s v="จันทบุรี"/>
    <s v="-"/>
    <s v=""/>
    <s v="04/01/2025 08:41"/>
    <s v="-"/>
    <s v="Flash Express Thailand COD"/>
    <s v="Tiktok"/>
    <s v="จ่ายทีหลัง / COD"/>
    <s v=""/>
    <s v="THT22091DYSTY1Z"/>
    <s v="04/01/2025 08:41"/>
  </r>
  <r>
    <x v="0"/>
    <x v="0"/>
    <n v="100"/>
    <n v="2"/>
    <n v="0"/>
    <s v="EQA76"/>
    <n v="200"/>
    <n v="0"/>
    <s v="ร้านที่1"/>
    <s v="แ***ี ฝ*** พ***์อรพรรณ"/>
    <s v="อุบลราชธานี"/>
    <s v="-"/>
    <s v=""/>
    <s v="04/01/2025 08:40"/>
    <s v="-"/>
    <s v="J&amp;T COD"/>
    <s v="Tiktok"/>
    <s v="จ่ายทีหลัง / COD"/>
    <s v=""/>
    <s v="754374368274"/>
    <s v="04/01/2025 08:40"/>
  </r>
  <r>
    <x v="1"/>
    <x v="1"/>
    <n v="200"/>
    <n v="1"/>
    <n v="0"/>
    <s v="EQA75"/>
    <n v="200"/>
    <n v="0"/>
    <s v="ร้านที่2"/>
    <s v="เ**"/>
    <s v="เทศบาลนครสุราษฎร์ธานี"/>
    <s v="-"/>
    <s v=""/>
    <s v="04/01/2025 08:39"/>
    <s v="-"/>
    <s v="J&amp;T COD"/>
    <s v="Tiktok"/>
    <s v="จ่ายทีหลัง / COD"/>
    <s v=""/>
    <s v="754353219314"/>
    <s v="04/01/2025 08:39"/>
  </r>
  <r>
    <x v="9"/>
    <x v="4"/>
    <n v="100"/>
    <n v="1"/>
    <n v="0"/>
    <s v="EQA74"/>
    <n v="200"/>
    <n v="0"/>
    <s v="ร้านที่1"/>
    <s v="ส***ลี  น***าจารย์"/>
    <s v="กำแพงเพชร"/>
    <s v="-"/>
    <s v=""/>
    <s v="04/01/2025 08:38"/>
    <s v="-"/>
    <s v="J&amp;T COD"/>
    <s v="Tiktok"/>
    <s v="จ่ายทีหลัง / COD"/>
    <s v=""/>
    <s v="754383742022"/>
    <s v="04/01/2025 08:38"/>
  </r>
  <r>
    <x v="4"/>
    <x v="4"/>
    <n v="100"/>
    <n v="1"/>
    <n v="0"/>
    <s v="EQA74"/>
    <n v="200"/>
    <n v="0"/>
    <s v="ร้านที่1"/>
    <s v="ส***ลี  น***าจารย์"/>
    <s v="กำแพงเพชร"/>
    <s v="-"/>
    <s v=""/>
    <s v="04/01/2025 08:38"/>
    <s v="-"/>
    <s v="J&amp;T COD"/>
    <s v="Tiktok"/>
    <s v="จ่ายทีหลัง / COD"/>
    <s v=""/>
    <s v="754383742022"/>
    <s v="04/01/2025 08:38"/>
  </r>
  <r>
    <x v="0"/>
    <x v="0"/>
    <n v="100"/>
    <n v="1"/>
    <n v="0"/>
    <s v="EQA72"/>
    <n v="106"/>
    <n v="6"/>
    <s v="ร้านที่1"/>
    <s v="ส***ร เ***ผล"/>
    <s v="เทศบาลนครนครศรีธรรมราช"/>
    <s v="-"/>
    <s v=""/>
    <s v="04/01/2025 08:33"/>
    <s v="-"/>
    <s v="J&amp;T COD"/>
    <s v="Tiktok"/>
    <s v="จ่ายทีหลัง / COD"/>
    <s v="ขอสินค้าตามสั่งสภาพที่สมบรูณขอบคุนคะ"/>
    <s v="754372407025"/>
    <s v="04/01/2025 08:33"/>
  </r>
  <r>
    <x v="1"/>
    <x v="1"/>
    <n v="200"/>
    <n v="1"/>
    <n v="0"/>
    <s v="EQA71"/>
    <n v="200"/>
    <n v="0"/>
    <s v="ร้านที่2"/>
    <s v="อ***ลี พ***เกษม"/>
    <s v="นนทบุรี"/>
    <s v="-"/>
    <s v=""/>
    <s v="04/01/2025 08:29"/>
    <s v="-"/>
    <s v="J&amp;T COD"/>
    <s v="Tiktok"/>
    <s v="จ่ายทีหลัง / COD"/>
    <s v=""/>
    <s v="754352423005"/>
    <s v="04/01/2025 08:30"/>
  </r>
  <r>
    <x v="10"/>
    <x v="10"/>
    <n v="200"/>
    <n v="1"/>
    <n v="0"/>
    <s v="EQA69"/>
    <n v="200"/>
    <n v="0"/>
    <s v="ร้านที่1"/>
    <s v="ศ***า ส***ท่น"/>
    <s v="ระยอง"/>
    <s v="-"/>
    <s v=""/>
    <s v="04/01/2025 08:26"/>
    <s v="-"/>
    <s v="J&amp;T Express"/>
    <s v="Tiktok"/>
    <s v="tiktok"/>
    <s v=""/>
    <s v="754394141023"/>
    <s v="04/01/2025 08:25"/>
  </r>
  <r>
    <x v="9"/>
    <x v="4"/>
    <n v="100"/>
    <n v="1"/>
    <n v="0"/>
    <s v="EQA68"/>
    <n v="106"/>
    <n v="6"/>
    <s v="ร้านที่1"/>
    <s v="ป***ฉัตร แ***าค"/>
    <s v="ปทุมธานี"/>
    <s v="-"/>
    <s v=""/>
    <s v="04/01/2025 08:20"/>
    <s v="-"/>
    <s v="J&amp;T Express"/>
    <s v="Tiktok"/>
    <s v="tiktok"/>
    <s v=""/>
    <s v="754368914014"/>
    <s v="04/01/2025 08:19"/>
  </r>
  <r>
    <x v="5"/>
    <x v="5"/>
    <n v="330"/>
    <n v="1"/>
    <n v="0"/>
    <s v="EQA67"/>
    <n v="330"/>
    <n v="0"/>
    <s v="ร้านที่2"/>
    <s v="พ***ษฐ์ พ***ขาว"/>
    <s v="สมุทรปราการ"/>
    <s v="-"/>
    <s v=""/>
    <s v="04/01/2025 08:17"/>
    <s v="-"/>
    <s v="J&amp;T COD"/>
    <s v="Tiktok"/>
    <s v="จ่ายทีหลัง / COD"/>
    <s v=""/>
    <s v="754364505311"/>
    <s v="04/01/2025 08:17"/>
  </r>
  <r>
    <x v="3"/>
    <x v="3"/>
    <n v="100"/>
    <n v="5"/>
    <n v="0"/>
    <s v="EQA66"/>
    <n v="500"/>
    <n v="0"/>
    <s v="ร้านที่1"/>
    <s v="ณ***ันท์  พ***ัน"/>
    <s v="สมุทรปราการ"/>
    <s v="-"/>
    <s v=""/>
    <s v="04/01/2025 08:17"/>
    <s v="-"/>
    <s v="J&amp;T COD"/>
    <s v="Tiktok"/>
    <s v="จ่ายทีหลัง / COD"/>
    <s v=""/>
    <s v="754346390254"/>
    <s v="04/01/2025 08:17"/>
  </r>
  <r>
    <x v="0"/>
    <x v="0"/>
    <n v="100"/>
    <n v="1"/>
    <n v="0"/>
    <s v="EQA65"/>
    <n v="106"/>
    <n v="6"/>
    <s v="ร้านที่1"/>
    <s v="ส***  บ***้อน"/>
    <s v="นครพนม"/>
    <s v="-"/>
    <s v=""/>
    <s v="04/01/2025 08:11"/>
    <s v="-"/>
    <s v="J&amp;T COD"/>
    <s v="Tiktok"/>
    <s v="จ่ายทีหลัง / COD"/>
    <s v=""/>
    <s v="754227791940"/>
    <s v="04/01/2025 08:11"/>
  </r>
  <r>
    <x v="0"/>
    <x v="0"/>
    <n v="100"/>
    <n v="1"/>
    <n v="0"/>
    <s v="EQA63"/>
    <n v="100"/>
    <n v="0"/>
    <s v="ร้านที่1"/>
    <s v="ส***ิดา ว***ารี"/>
    <s v="สมุทรสาคร"/>
    <s v="-"/>
    <s v=""/>
    <s v="04/01/2025 08:03"/>
    <s v="-"/>
    <s v="J&amp;T COD"/>
    <s v="Tiktok"/>
    <s v="จ่ายทีหลัง / COD"/>
    <s v=""/>
    <s v="754397480233"/>
    <s v="04/01/2025 08:05"/>
  </r>
  <r>
    <x v="4"/>
    <x v="4"/>
    <n v="100"/>
    <n v="1"/>
    <n v="0"/>
    <s v="EQA62"/>
    <n v="200"/>
    <n v="0"/>
    <s v="ร้านที่4"/>
    <s v="น***นา ไ***าะ"/>
    <s v="ชลบุรี"/>
    <s v="-"/>
    <s v=""/>
    <s v="04/01/2025 08:03"/>
    <s v="-"/>
    <s v="Flash Express Thailand"/>
    <s v="Tiktok"/>
    <s v="tiktok"/>
    <s v=""/>
    <s v="THT20051DZ2QX2Z"/>
    <s v="04/01/2025 08:04"/>
  </r>
  <r>
    <x v="37"/>
    <x v="49"/>
    <n v="100"/>
    <n v="1"/>
    <n v="0"/>
    <s v="EQA62"/>
    <n v="200"/>
    <n v="0"/>
    <s v="ร้านที่4"/>
    <s v="น***นา ไ***าะ"/>
    <s v="ชลบุรี"/>
    <s v="-"/>
    <s v=""/>
    <s v="04/01/2025 08:03"/>
    <s v="-"/>
    <s v="Flash Express Thailand"/>
    <s v="Tiktok"/>
    <s v="tiktok"/>
    <s v=""/>
    <s v="THT20051DZ2QX2Z"/>
    <s v="04/01/2025 08:03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2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2"/>
  </r>
  <r>
    <x v="3"/>
    <x v="8"/>
    <n v="84"/>
    <n v="1"/>
    <n v="0"/>
    <s v="EQA61"/>
    <n v="257"/>
    <n v="5"/>
    <s v="ร้านที่6"/>
    <s v="สมทรง  ติ้นยะเสน"/>
    <s v="ตรงข้ามหมูบ้านวรสิริ   ซอย   ข้าวนึ่ง 73หมู่3ต.หลักหก · หลักหก/ Lak Hok_x000a__x000a_เมืองปทุมธานี/ Mueang Pathum Thaniปทุมธานี/ Pathum Thani_x000a_12000"/>
    <s v="12000"/>
    <s v="660941293552"/>
    <s v="04/01/2025 08:03"/>
    <s v="-"/>
    <s v="Kerry_dropoff"/>
    <s v="Lazada"/>
    <s v="lazada"/>
    <s v=""/>
    <s v="LEXPU0442286153"/>
    <s v="04/01/2025 08:01"/>
  </r>
  <r>
    <x v="5"/>
    <x v="5"/>
    <n v="350"/>
    <n v="1"/>
    <n v="0"/>
    <s v="EQA60"/>
    <n v="350"/>
    <n v="0"/>
    <s v="ร้านที่4"/>
    <s v="อ***มย์ ป***ุข"/>
    <s v="เทศบาลเมืองบุรีรัมย์"/>
    <s v="-"/>
    <s v=""/>
    <s v="04/01/2025 07:56"/>
    <s v="-"/>
    <s v="Flash Express Thailand COD"/>
    <s v="Tiktok"/>
    <s v="จ่ายทีหลัง / COD"/>
    <s v=""/>
    <s v="THT28021E2MVB7Z"/>
    <s v="04/01/2025 07:57"/>
  </r>
  <r>
    <x v="10"/>
    <x v="10"/>
    <n v="200"/>
    <n v="1"/>
    <n v="0"/>
    <s v="EQA55"/>
    <n v="200"/>
    <n v="0"/>
    <s v="ร้านที่1"/>
    <s v="ส***ดา  บ***ัฒน์วรานนท์"/>
    <s v="เลย"/>
    <s v="-"/>
    <s v=""/>
    <s v="04/01/2025 07:50"/>
    <s v="-"/>
    <s v="J&amp;T COD"/>
    <s v="Tiktok"/>
    <s v="จ่ายทีหลัง / COD"/>
    <s v=""/>
    <s v="754370246092"/>
    <s v="04/01/2025 07:50"/>
  </r>
  <r>
    <x v="0"/>
    <x v="0"/>
    <n v="100"/>
    <n v="1"/>
    <n v="0"/>
    <s v="EQA54"/>
    <n v="100"/>
    <n v="0"/>
    <s v="ร้านที่1"/>
    <s v="อ***ญา แ***ิ๋ว"/>
    <s v="นครสวรรค์"/>
    <s v="-"/>
    <s v=""/>
    <s v="04/01/2025 07:49"/>
    <s v="-"/>
    <s v="J&amp;T Express"/>
    <s v="Tiktok"/>
    <s v="tiktok"/>
    <s v=""/>
    <s v="754377171295"/>
    <s v="04/01/2025 07:49"/>
  </r>
  <r>
    <x v="4"/>
    <x v="4"/>
    <n v="100"/>
    <n v="1"/>
    <n v="0"/>
    <s v="EQA53"/>
    <n v="200"/>
    <n v="0"/>
    <s v="ร้านที่1"/>
    <s v="ล***"/>
    <s v="สมุทรสาคร"/>
    <s v="-"/>
    <s v=""/>
    <s v="04/01/2025 07:48"/>
    <s v="-"/>
    <s v="J&amp;T Express"/>
    <s v="Tiktok"/>
    <s v="tiktok"/>
    <s v=""/>
    <s v="754387240084"/>
    <s v="04/01/2025 07:48"/>
  </r>
  <r>
    <x v="9"/>
    <x v="4"/>
    <n v="100"/>
    <n v="1"/>
    <n v="0"/>
    <s v="EQA53"/>
    <n v="200"/>
    <n v="0"/>
    <s v="ร้านที่1"/>
    <s v="ล***"/>
    <s v="สมุทรสาคร"/>
    <s v="-"/>
    <s v=""/>
    <s v="04/01/2025 07:48"/>
    <s v="-"/>
    <s v="J&amp;T Express"/>
    <s v="Tiktok"/>
    <s v="tiktok"/>
    <s v=""/>
    <s v="754387240084"/>
    <s v="04/01/2025 07:48"/>
  </r>
  <r>
    <x v="1"/>
    <x v="1"/>
    <n v="200"/>
    <n v="1"/>
    <n v="0"/>
    <s v="EQA52"/>
    <n v="200"/>
    <n v="0"/>
    <s v="ร้านที่1"/>
    <s v="แ***ินทีมไลฟ์"/>
    <s v="ลำปาง"/>
    <s v="-"/>
    <s v=""/>
    <s v="04/01/2025 07:46"/>
    <s v="-"/>
    <s v="J&amp;T Express"/>
    <s v="Tiktok"/>
    <s v="tiktok"/>
    <s v=""/>
    <s v="754371424004"/>
    <s v="04/01/2025 07:45"/>
  </r>
  <r>
    <x v="0"/>
    <x v="0"/>
    <n v="100"/>
    <n v="1"/>
    <n v="0"/>
    <s v="EQA51"/>
    <n v="106"/>
    <n v="6"/>
    <s v="ร้านที่1"/>
    <s v="ก***รรณ ล***าง"/>
    <s v="บึงกาฬ"/>
    <s v="-"/>
    <s v=""/>
    <s v="04/01/2025 07:44"/>
    <s v="-"/>
    <s v="J&amp;T COD"/>
    <s v="Tiktok"/>
    <s v="จ่ายทีหลัง / COD"/>
    <s v=""/>
    <s v="754352285260"/>
    <s v="04/01/2025 07:45"/>
  </r>
  <r>
    <x v="4"/>
    <x v="4"/>
    <n v="100"/>
    <n v="1"/>
    <n v="0"/>
    <s v="EQA49"/>
    <n v="200"/>
    <n v="0"/>
    <s v="ร้านที่2"/>
    <s v="อ***น ล***"/>
    <s v="ลำปาง"/>
    <s v="-"/>
    <s v=""/>
    <s v="04/01/2025 07:30"/>
    <s v="-"/>
    <s v="J&amp;T Express"/>
    <s v="Tiktok"/>
    <s v="tiktok"/>
    <s v=""/>
    <s v="754350895266"/>
    <s v="04/01/2025 07:30"/>
  </r>
  <r>
    <x v="3"/>
    <x v="3"/>
    <n v="100"/>
    <n v="1"/>
    <n v="0"/>
    <s v="EQA49"/>
    <n v="200"/>
    <n v="0"/>
    <s v="ร้านที่2"/>
    <s v="อ***น ล***"/>
    <s v="ลำปาง"/>
    <s v="-"/>
    <s v=""/>
    <s v="04/01/2025 07:30"/>
    <s v="-"/>
    <s v="J&amp;T Express"/>
    <s v="Tiktok"/>
    <s v="tiktok"/>
    <s v=""/>
    <s v="754350895266"/>
    <s v="04/01/2025 07:29"/>
  </r>
  <r>
    <x v="10"/>
    <x v="10"/>
    <n v="200"/>
    <n v="1"/>
    <n v="0"/>
    <s v="EQA48"/>
    <n v="200"/>
    <n v="0"/>
    <s v="ร้านที่1"/>
    <s v="ฐ*** ไ***าติ"/>
    <s v="ราชบุรี"/>
    <s v="-"/>
    <s v=""/>
    <s v="04/01/2025 07:27"/>
    <s v="-"/>
    <s v="J&amp;T COD"/>
    <s v="Tiktok"/>
    <s v="จ่ายทีหลัง / COD"/>
    <s v=""/>
    <s v="754367047081"/>
    <s v="04/01/2025 07:27"/>
  </r>
  <r>
    <x v="10"/>
    <x v="10"/>
    <n v="200"/>
    <n v="1"/>
    <n v="0"/>
    <s v="EQA47"/>
    <n v="200"/>
    <n v="0"/>
    <s v="ร้านที่1"/>
    <s v="ย***ร้อย ก***าเกียรณ"/>
    <s v="กรุงเทพฯ"/>
    <s v="-"/>
    <s v=""/>
    <s v="04/01/2025 07:00"/>
    <s v="-"/>
    <s v="J&amp;T Express"/>
    <s v="Tiktok"/>
    <s v="tiktok"/>
    <s v=""/>
    <s v="754256076840"/>
    <s v="04/01/2025 07:00"/>
  </r>
  <r>
    <x v="19"/>
    <x v="34"/>
    <n v="180"/>
    <n v="1"/>
    <n v="0"/>
    <s v="EQA44"/>
    <n v="185"/>
    <n v="5"/>
    <s v="ร้านที่9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4/01/2025 06:56"/>
    <s v="-"/>
    <s v="Kerry_dropoff"/>
    <s v="Lazada"/>
    <s v="lazada"/>
    <s v=""/>
    <s v="TH28136NH6137E"/>
    <s v="04/01/2025 06:56"/>
  </r>
  <r>
    <x v="10"/>
    <x v="10"/>
    <n v="200"/>
    <n v="1"/>
    <n v="0"/>
    <s v="EQA43"/>
    <n v="200"/>
    <n v="0"/>
    <s v="ร้านที่2"/>
    <s v="ม***ี ใ***้า"/>
    <s v="ไทย, เชียงใหม่, หางดง,ไท* 50***"/>
    <s v="-"/>
    <s v=""/>
    <s v="04/01/2025 06:55"/>
    <s v="-"/>
    <s v="J&amp;T COD"/>
    <s v="Tiktok"/>
    <s v="จ่ายทีหลัง / COD"/>
    <s v=""/>
    <s v="754235873834"/>
    <s v="04/01/2025 06:55"/>
  </r>
  <r>
    <x v="34"/>
    <x v="69"/>
    <n v="420"/>
    <n v="2"/>
    <n v="0"/>
    <s v="EQA42"/>
    <n v="840"/>
    <n v="0"/>
    <s v="ร้านที่1"/>
    <s v="น******์"/>
    <s v="******ธิน แขวงอนุสาวรีย์ แขวงอนุสาวรีย์ เขตบางเขน จังหวัดกรุงเทพมหานคร 10220"/>
    <s v="10220"/>
    <s v="58"/>
    <s v="04/01/2025 06:53"/>
    <s v="-"/>
    <s v="SPX Express"/>
    <s v="Shopee"/>
    <s v="shopee"/>
    <s v=""/>
    <s v="TH258964643269W"/>
    <s v="04/01/2025 06:53"/>
  </r>
  <r>
    <x v="10"/>
    <x v="10"/>
    <n v="200"/>
    <n v="1"/>
    <n v="0"/>
    <s v="EQA41"/>
    <n v="200"/>
    <n v="0"/>
    <s v="ร้านที่4"/>
    <s v="ว***ษ์ ศ***ัฒน์"/>
    <s v="สุราษฎร์ธานี"/>
    <s v="-"/>
    <s v=""/>
    <s v="04/01/2025 06:33"/>
    <s v="-"/>
    <s v="Flash Express Thailand COD"/>
    <s v="Tiktok"/>
    <s v="จ่ายทีหลัง / COD"/>
    <s v=""/>
    <s v="THT68021DW42X2Z"/>
    <s v="04/01/2025 06:33"/>
  </r>
  <r>
    <x v="10"/>
    <x v="10"/>
    <n v="200"/>
    <n v="1"/>
    <n v="0"/>
    <s v="EQA40"/>
    <n v="200"/>
    <n v="0"/>
    <s v="ร้านที่4"/>
    <s v="ต***"/>
    <s v="สมุทรปราการ"/>
    <s v="-"/>
    <s v=""/>
    <s v="04/01/2025 06:26"/>
    <s v="-"/>
    <s v="Flash Express Thailand COD"/>
    <s v="Tiktok"/>
    <s v="จ่ายทีหลัง / COD"/>
    <s v=""/>
    <s v="THT02051DW40M0Z"/>
    <s v="04/01/2025 06:26"/>
  </r>
  <r>
    <x v="9"/>
    <x v="4"/>
    <n v="100"/>
    <n v="1"/>
    <n v="0"/>
    <s v="EQA39"/>
    <n v="106"/>
    <n v="6"/>
    <s v="ร้านที่1"/>
    <s v="แ***ภา ป***พหมู่"/>
    <s v="เทศบาลนครนครราชสีมา"/>
    <s v="-"/>
    <s v=""/>
    <s v="04/01/2025 06:20"/>
    <s v="-"/>
    <s v="J&amp;T COD"/>
    <s v="Tiktok"/>
    <s v="จ่ายทีหลัง / COD"/>
    <s v=""/>
    <s v="754226295745"/>
    <s v="04/01/2025 06:21"/>
  </r>
  <r>
    <x v="24"/>
    <x v="25"/>
    <n v="800"/>
    <n v="2"/>
    <n v="0"/>
    <s v="EQA38"/>
    <n v="1734"/>
    <n v="134"/>
    <s v="ร้านที่1"/>
    <s v="น******ง"/>
    <s v="******ตำบลกระแชง อำเภอสามโคก จังหวัดปทุมธานี 12160"/>
    <s v="12160"/>
    <s v="60"/>
    <s v="04/01/2025 06:03"/>
    <s v="-"/>
    <s v="SPX Express"/>
    <s v="Shopee"/>
    <s v="shopee"/>
    <s v=""/>
    <s v="TH2580027670650"/>
    <s v="04/01/2025 06:03"/>
  </r>
  <r>
    <x v="19"/>
    <x v="19"/>
    <n v="199"/>
    <n v="1"/>
    <n v="0"/>
    <s v="EQA37"/>
    <n v="228"/>
    <n v="29"/>
    <s v="ร้านที่1"/>
    <s v="ธ******ม"/>
    <s v="******ตำบลสามบัณฑิต อำเภออุทัย จังหวัดพระนครศรีอยุธยา 13210"/>
    <s v="13210"/>
    <s v="45"/>
    <s v="04/01/2025 06:01"/>
    <s v="-"/>
    <s v="SPX Express"/>
    <s v="Shopee"/>
    <s v="shopee"/>
    <s v=""/>
    <s v="TH250010191505Y"/>
    <s v="04/01/2025 06:00"/>
  </r>
  <r>
    <x v="4"/>
    <x v="4"/>
    <n v="100"/>
    <n v="3"/>
    <n v="0"/>
    <s v="EQA36"/>
    <n v="300"/>
    <n v="0"/>
    <s v="ร้านที่2"/>
    <s v="ณ***์ธนิน ก***นสมาธิ"/>
    <s v="กรุงเทพฯ"/>
    <s v="-"/>
    <s v=""/>
    <s v="04/01/2025 05:56"/>
    <s v="-"/>
    <s v="J&amp;T Express"/>
    <s v="Tiktok"/>
    <s v="tiktok"/>
    <s v=""/>
    <s v="754286397745"/>
    <s v="04/01/2025 05:56"/>
  </r>
  <r>
    <x v="10"/>
    <x v="10"/>
    <n v="200"/>
    <n v="1"/>
    <n v="0"/>
    <s v="EQA35"/>
    <n v="200"/>
    <n v="0"/>
    <s v="ร้านที่1"/>
    <s v="ศ***ร"/>
    <s v="กรุงเทพฯ"/>
    <s v="-"/>
    <s v=""/>
    <s v="04/01/2025 05:43"/>
    <s v="-"/>
    <s v="J&amp;T COD"/>
    <s v="Tiktok"/>
    <s v="จ่ายทีหลัง / COD"/>
    <s v=""/>
    <s v="754276874831"/>
    <s v="04/01/2025 05:43"/>
  </r>
  <r>
    <x v="13"/>
    <x v="30"/>
    <n v="197.75"/>
    <n v="1"/>
    <n v="0"/>
    <s v="EQA34"/>
    <n v="202.75"/>
    <n v="5"/>
    <s v="ร้านที่9"/>
    <s v="วรรณี พนาวิชัยกุล"/>
    <s v="6/611 ซอยคู้บอน 27 แยก 58 ถนนรามอินทรา · ท่าแร้ง/ Tha Raeng_x000a__x000a_บางเขน/ Bang Khenกรุงเทพมหานคร/ Bangkok_x000a_10220"/>
    <s v="10220"/>
    <s v="660896084401"/>
    <s v="04/01/2025 05:17"/>
    <s v="-"/>
    <s v="Kerry_dropoff"/>
    <s v="Lazada"/>
    <s v="lazada"/>
    <s v=""/>
    <s v="LEXDO0123767259"/>
    <s v="04/01/2025 05:17"/>
  </r>
  <r>
    <x v="9"/>
    <x v="4"/>
    <n v="123"/>
    <n v="1"/>
    <n v="0"/>
    <s v="EQA33"/>
    <n v="128"/>
    <n v="5"/>
    <s v="ร้านที่1"/>
    <s v="วรรณี พนาวิชัยกุล"/>
    <s v="6/611 ซอยคู้บอน 27 แยก 58 ถนนรามอินทรา · ท่าแร้ง/ Tha Raeng_x000a__x000a_บางเขน/ Bang Khenกรุงเทพมหานคร/ Bangkok_x000a_10220"/>
    <s v="10220"/>
    <s v="660896084401"/>
    <s v="04/01/2025 05:15"/>
    <s v="-"/>
    <s v="Kerry_dropoff"/>
    <s v="Lazada"/>
    <s v="lazada"/>
    <s v=""/>
    <s v="LEXPU0441467738"/>
    <s v="04/01/2025 05:14"/>
  </r>
  <r>
    <x v="4"/>
    <x v="4"/>
    <n v="100"/>
    <n v="2"/>
    <n v="0"/>
    <s v="EQA32"/>
    <n v="400"/>
    <n v="0"/>
    <s v="ร้านที่1"/>
    <s v="ส***รัตน์ แ***้อง"/>
    <s v="ศรีสะเกษ"/>
    <s v="-"/>
    <s v=""/>
    <s v="04/01/2025 05:02"/>
    <s v="-"/>
    <s v="J&amp;T Express"/>
    <s v="Tiktok"/>
    <s v="tiktok"/>
    <s v=""/>
    <s v="754299265882"/>
    <s v="04/01/2025 05:02"/>
  </r>
  <r>
    <x v="9"/>
    <x v="4"/>
    <n v="100"/>
    <n v="2"/>
    <n v="0"/>
    <s v="EQA32"/>
    <n v="400"/>
    <n v="0"/>
    <s v="ร้านที่1"/>
    <s v="ส***รัตน์ แ***้อง"/>
    <s v="ศรีสะเกษ"/>
    <s v="-"/>
    <s v=""/>
    <s v="04/01/2025 05:02"/>
    <s v="-"/>
    <s v="J&amp;T Express"/>
    <s v="Tiktok"/>
    <s v="tiktok"/>
    <s v=""/>
    <s v="754299265882"/>
    <s v="04/01/2025 05:02"/>
  </r>
  <r>
    <x v="29"/>
    <x v="36"/>
    <n v="400"/>
    <n v="1"/>
    <n v="0"/>
    <s v="EQA31"/>
    <n v="400"/>
    <n v="0"/>
    <s v="ร้านที่4"/>
    <s v="ส***ญญา ด***ก้ว"/>
    <s v="อุบลราชธานี"/>
    <s v="-"/>
    <s v=""/>
    <s v="04/01/2025 04:26"/>
    <s v="-"/>
    <s v="Flash Express Thailand COD"/>
    <s v="Tiktok"/>
    <s v="จ่ายทีหลัง / COD"/>
    <s v=""/>
    <s v="THT31011DVX8N6Z"/>
    <s v="04/01/2025 04:27"/>
  </r>
  <r>
    <x v="4"/>
    <x v="4"/>
    <n v="100"/>
    <n v="4"/>
    <n v="0"/>
    <s v="EQA30"/>
    <n v="400"/>
    <n v="0"/>
    <s v="ร้านที่1"/>
    <s v="ส***ญญา ด***ก้ว"/>
    <s v="อุบลราชธานี"/>
    <s v="-"/>
    <s v=""/>
    <s v="04/01/2025 04:22"/>
    <s v="-"/>
    <s v="J&amp;T COD"/>
    <s v="Tiktok"/>
    <s v="จ่ายทีหลัง / COD"/>
    <s v=""/>
    <s v="754259192750"/>
    <s v="04/01/2025 04:23"/>
  </r>
  <r>
    <x v="19"/>
    <x v="19"/>
    <n v="199"/>
    <n v="1"/>
    <n v="0"/>
    <s v="EQA2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1/2025 04:42"/>
    <s v="-"/>
    <s v="SPX Express"/>
    <s v="Shopee"/>
    <s v="shopee"/>
    <s v=""/>
    <s v="TH252341318242P"/>
    <s v="04/01/2025 04:18"/>
  </r>
  <r>
    <x v="19"/>
    <x v="19"/>
    <n v="199"/>
    <n v="1"/>
    <n v="0"/>
    <s v="EQA2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1/2025 04:41"/>
    <s v="-"/>
    <s v="SPX Express"/>
    <s v="Shopee"/>
    <s v="shopee"/>
    <s v=""/>
    <s v="TH2573194009921"/>
    <s v="04/01/2025 04:17"/>
  </r>
  <r>
    <x v="10"/>
    <x v="10"/>
    <n v="200"/>
    <n v="1"/>
    <n v="0"/>
    <s v="EQA27"/>
    <n v="200"/>
    <n v="0"/>
    <s v="ร้านที่1"/>
    <s v="น***พัชรี. ท***สอน"/>
    <s v="เทศบาลนครอุบลราชธานี"/>
    <s v="-"/>
    <s v=""/>
    <s v="04/01/2025 03:41"/>
    <s v="-"/>
    <s v="J&amp;T COD"/>
    <s v="Tiktok"/>
    <s v="จ่ายทีหลัง / COD"/>
    <s v=""/>
    <s v="754237274836"/>
    <s v="04/01/2025 03:41"/>
  </r>
  <r>
    <x v="10"/>
    <x v="10"/>
    <n v="200"/>
    <n v="1"/>
    <n v="0"/>
    <s v="EQA26"/>
    <n v="200"/>
    <n v="0"/>
    <s v="ร้านที่1"/>
    <s v="ว***นา พ***ยม"/>
    <s v="กรุงเทพมหานคร"/>
    <s v="-"/>
    <s v=""/>
    <s v="04/01/2025 03:15"/>
    <s v="-"/>
    <s v="J&amp;T COD"/>
    <s v="Tiktok"/>
    <s v="จ่ายทีหลัง / COD"/>
    <s v=""/>
    <s v="754267072801"/>
    <s v="04/01/2025 03:15"/>
  </r>
  <r>
    <x v="10"/>
    <x v="10"/>
    <n v="200"/>
    <n v="1"/>
    <n v="0"/>
    <s v="EQA25"/>
    <n v="200"/>
    <n v="0"/>
    <s v="ร้านที่1"/>
    <s v="ค***ำรวย บ***ผู้ใหญ่"/>
    <s v="ราชบุรี"/>
    <s v="-"/>
    <s v=""/>
    <s v="04/01/2025 04:21"/>
    <s v="-"/>
    <s v="J&amp;T Express"/>
    <s v="Tiktok"/>
    <s v="tiktok"/>
    <s v=""/>
    <s v="754218272835"/>
    <s v="04/01/2025 03:04"/>
  </r>
  <r>
    <x v="9"/>
    <x v="4"/>
    <n v="150"/>
    <n v="1"/>
    <n v="0"/>
    <s v="EQA24"/>
    <n v="305"/>
    <n v="5"/>
    <s v="ร้านที่1"/>
    <s v="พจณา แซ่เตี้ยว"/>
    <s v="พี.ที. แมนชั่น,  1ซอยรามคำแหง24แยก22 ถ.รามคำแหง แขวงหัวหมาก เขตบางกะปิ กทม.10240 · หัวหมาก/ Hua Mak_x000a__x000a_บางกะปิ/ Bang Kapiกรุงเทพมหานคร/ Bangkok_x000a_10240"/>
    <s v="10240"/>
    <s v="660983362342"/>
    <s v="04/01/2025 03:04"/>
    <s v="-"/>
    <s v="Kerry_dropoff"/>
    <s v="Lazada"/>
    <s v="lazada"/>
    <s v=""/>
    <s v="LEXPU0441466879"/>
    <s v="04/01/2025 03:03"/>
  </r>
  <r>
    <x v="9"/>
    <x v="4"/>
    <n v="150"/>
    <n v="1"/>
    <n v="0"/>
    <s v="EQA24"/>
    <n v="305"/>
    <n v="5"/>
    <s v="ร้านที่1"/>
    <s v="พจณา แซ่เตี้ยว"/>
    <s v="พี.ที. แมนชั่น,  1ซอยรามคำแหง24แยก22 ถ.รามคำแหง แขวงหัวหมาก เขตบางกะปิ กทม.10240 · หัวหมาก/ Hua Mak_x000a__x000a_บางกะปิ/ Bang Kapiกรุงเทพมหานคร/ Bangkok_x000a_10240"/>
    <s v="10240"/>
    <s v="660983362342"/>
    <s v="04/01/2025 03:04"/>
    <s v="-"/>
    <s v="Kerry_dropoff"/>
    <s v="Lazada"/>
    <s v="lazada"/>
    <s v=""/>
    <s v="LEXPU0441466879"/>
    <s v="04/01/2025 03:03"/>
  </r>
  <r>
    <x v="10"/>
    <x v="10"/>
    <n v="200"/>
    <n v="1"/>
    <n v="0"/>
    <s v="EQA23"/>
    <n v="200"/>
    <n v="0"/>
    <s v="ร้านที่1"/>
    <s v="ม***า  ร***ก้ว"/>
    <s v="ตาก"/>
    <s v="-"/>
    <s v=""/>
    <s v="04/01/2025 02:51"/>
    <s v="-"/>
    <s v="J&amp;T Express"/>
    <s v="Tiktok"/>
    <s v="tiktok"/>
    <s v=""/>
    <s v="754238677835"/>
    <s v="04/01/2025 02:51"/>
  </r>
  <r>
    <x v="10"/>
    <x v="10"/>
    <n v="200"/>
    <n v="1"/>
    <n v="0"/>
    <s v="EQA22"/>
    <n v="500"/>
    <n v="0"/>
    <s v="ร้านที่4"/>
    <s v="ป***์ธิดา ท***ี"/>
    <s v="กรุงเทพมหานคร"/>
    <s v="-"/>
    <s v=""/>
    <s v="04/01/2025 02:23"/>
    <s v="-"/>
    <s v="Flash Express Thailand COD"/>
    <s v="Tiktok"/>
    <s v="จ่ายทีหลัง / COD"/>
    <s v=""/>
    <s v="THT01391DVTHA3Z"/>
    <s v="04/01/2025 02:23"/>
  </r>
  <r>
    <x v="9"/>
    <x v="4"/>
    <n v="100"/>
    <n v="3"/>
    <n v="0"/>
    <s v="EQA22"/>
    <n v="500"/>
    <n v="0"/>
    <s v="ร้านที่4"/>
    <s v="ป***์ธิดา ท***ี"/>
    <s v="กรุงเทพมหานคร"/>
    <s v="-"/>
    <s v=""/>
    <s v="04/01/2025 02:23"/>
    <s v="-"/>
    <s v="Flash Express Thailand COD"/>
    <s v="Tiktok"/>
    <s v="จ่ายทีหลัง / COD"/>
    <s v=""/>
    <s v="THT01391DVTHA3Z"/>
    <s v="04/01/2025 02:23"/>
  </r>
  <r>
    <x v="10"/>
    <x v="10"/>
    <n v="200"/>
    <n v="1"/>
    <n v="0"/>
    <s v="EQA21"/>
    <n v="200"/>
    <n v="0"/>
    <s v="ร้านที่1"/>
    <s v="T***mo"/>
    <s v="กรุงเทพฯ"/>
    <s v="-"/>
    <s v=""/>
    <s v="04/01/2025 01:56"/>
    <s v="-"/>
    <s v="J&amp;T Express"/>
    <s v="Tiktok"/>
    <s v="tiktok"/>
    <s v=""/>
    <s v="754258763860"/>
    <s v="04/01/2025 01:55"/>
  </r>
  <r>
    <x v="10"/>
    <x v="10"/>
    <n v="200"/>
    <n v="1"/>
    <n v="0"/>
    <s v="EQA20"/>
    <n v="200"/>
    <n v="0"/>
    <s v="ร้านที่1"/>
    <s v="ป***ญา.  น***ประภากร"/>
    <s v="กรุงเทพฯ"/>
    <s v="-"/>
    <s v=""/>
    <s v="04/01/2025 01:35"/>
    <s v="-"/>
    <s v="J&amp;T Express"/>
    <s v="Tiktok"/>
    <s v="tiktok"/>
    <s v=""/>
    <s v="754243165830"/>
    <s v="04/01/2025 01:36"/>
  </r>
  <r>
    <x v="1"/>
    <x v="1"/>
    <n v="200"/>
    <n v="1"/>
    <n v="0"/>
    <s v="EQA19"/>
    <n v="600"/>
    <n v="0"/>
    <s v="ร้านที่1"/>
    <s v="ท***ูณ ป***ทานะโต"/>
    <s v="มหาสารคาม"/>
    <s v="-"/>
    <s v=""/>
    <s v="04/01/2025 01:33"/>
    <s v="-"/>
    <s v="J&amp;T Express"/>
    <s v="Tiktok"/>
    <s v="tiktok"/>
    <s v=""/>
    <s v="754269163863"/>
    <s v="04/01/2025 01:35"/>
  </r>
  <r>
    <x v="10"/>
    <x v="10"/>
    <n v="200"/>
    <n v="2"/>
    <n v="0"/>
    <s v="EQA19"/>
    <n v="600"/>
    <n v="0"/>
    <s v="ร้านที่1"/>
    <s v="ท***ูณ ป***ทานะโต"/>
    <s v="มหาสารคาม"/>
    <s v="-"/>
    <s v=""/>
    <s v="04/01/2025 01:33"/>
    <s v="-"/>
    <s v="J&amp;T Express"/>
    <s v="Tiktok"/>
    <s v="tiktok"/>
    <s v=""/>
    <s v="754269163863"/>
    <s v="04/01/2025 01:35"/>
  </r>
  <r>
    <x v="3"/>
    <x v="8"/>
    <n v="84"/>
    <n v="1"/>
    <n v="0"/>
    <s v="EQA18"/>
    <n v="89"/>
    <n v="5"/>
    <s v="ร้านที่6"/>
    <s v="สันติภาพ"/>
    <s v="32 ซ.นาวงประชาพัฒนา2  ถ นาวงประชาพัฒนา ต ส์กัน อ ดอนเมือง จ กรุงเทพ_x000a__x000a_ดอนเมือง/ Don Mueangกรุงเทพมหานคร/ Bangkok_x000a_10210"/>
    <s v="10210"/>
    <s v="660854821324"/>
    <s v="04/01/2025 01:34"/>
    <s v="-"/>
    <s v="Kerry_dropoff"/>
    <s v="Lazada"/>
    <s v="lazada"/>
    <s v=""/>
    <s v="LEXPU0441481124"/>
    <s v="04/01/2025 01:34"/>
  </r>
  <r>
    <x v="10"/>
    <x v="10"/>
    <n v="200"/>
    <n v="1"/>
    <n v="0"/>
    <s v="EQA17"/>
    <n v="200"/>
    <n v="0"/>
    <s v="ร้านที่1"/>
    <s v="อ***ญา อ***โชติ"/>
    <s v="พิษณุโลก"/>
    <s v="-"/>
    <s v=""/>
    <s v="04/01/2025 01:00"/>
    <s v="-"/>
    <s v="J&amp;T Express"/>
    <s v="Tiktok"/>
    <s v="tiktok"/>
    <s v=""/>
    <s v="754216872846"/>
    <s v="04/01/2025 01:00"/>
  </r>
  <r>
    <x v="9"/>
    <x v="4"/>
    <n v="100"/>
    <n v="1"/>
    <n v="0"/>
    <s v="EQA16"/>
    <n v="106"/>
    <n v="6"/>
    <s v="ร้านที่1"/>
    <s v="ณ***ดา เ***รจนจินดา"/>
    <s v="หนองคาย"/>
    <s v="-"/>
    <s v=""/>
    <s v="04/01/2025 00:54"/>
    <s v="-"/>
    <s v="J&amp;T COD"/>
    <s v="Tiktok"/>
    <s v="จ่ายทีหลัง / COD"/>
    <s v=""/>
    <s v="754276890754"/>
    <s v="04/01/2025 00:54"/>
  </r>
  <r>
    <x v="4"/>
    <x v="4"/>
    <n v="100"/>
    <n v="1"/>
    <n v="0"/>
    <s v="EQA15"/>
    <n v="106"/>
    <n v="6"/>
    <s v="ร้านที่1"/>
    <s v="น***นทร อ***ะสุข"/>
    <s v="นครศรีธรรมราช"/>
    <s v="-"/>
    <s v=""/>
    <s v="04/01/2025 00:49"/>
    <s v="-"/>
    <s v="J&amp;T COD"/>
    <s v="Tiktok"/>
    <s v="จ่ายทีหลัง / COD"/>
    <s v=""/>
    <s v="754250845891"/>
    <s v="04/01/2025 00:50"/>
  </r>
  <r>
    <x v="19"/>
    <x v="19"/>
    <n v="199"/>
    <n v="1"/>
    <n v="0"/>
    <s v="EQA14"/>
    <n v="228"/>
    <n v="29"/>
    <s v="ร้านที่1"/>
    <s v="แ******์"/>
    <s v="******ลเดิมบาง อำเภอเดิมบางนางบวช จังหวัดสุพรรณบุรี 72120"/>
    <s v="72120"/>
    <s v="66"/>
    <s v="04/01/2025 00:40"/>
    <s v="-"/>
    <s v="SPX Express"/>
    <s v="Shopee"/>
    <s v="shopee"/>
    <s v=""/>
    <s v="TH250662562813Q"/>
    <s v="04/01/2025 00:39"/>
  </r>
  <r>
    <x v="10"/>
    <x v="10"/>
    <n v="200"/>
    <n v="1"/>
    <n v="0"/>
    <s v="EQA11"/>
    <n v="200"/>
    <n v="0"/>
    <s v="ร้านที่1"/>
    <s v="ส***น บ***า"/>
    <s v="ปัตตานี"/>
    <s v="-"/>
    <s v=""/>
    <s v="04/01/2025 00:28"/>
    <s v="-"/>
    <s v="J&amp;T COD"/>
    <s v="Tiktok"/>
    <s v="จ่ายทีหลัง / COD"/>
    <s v=""/>
    <s v="754294479842"/>
    <s v="04/01/2025 00:28"/>
  </r>
  <r>
    <x v="4"/>
    <x v="4"/>
    <n v="100"/>
    <n v="1"/>
    <n v="0"/>
    <s v="EQA9"/>
    <n v="106"/>
    <n v="6"/>
    <s v="ร้านที่2"/>
    <s v="น***ร บ***ิทธิโกศล"/>
    <s v="เพชรบุรี"/>
    <s v="-"/>
    <s v=""/>
    <s v="04/01/2025 00:23"/>
    <s v="-"/>
    <s v="J&amp;T COD"/>
    <s v="Tiktok"/>
    <s v="จ่ายทีหลัง / COD"/>
    <s v=""/>
    <s v="754203934890"/>
    <s v="04/01/2025 00:26"/>
  </r>
  <r>
    <x v="10"/>
    <x v="10"/>
    <n v="200"/>
    <n v="1"/>
    <n v="0"/>
    <s v="EQA8"/>
    <n v="200"/>
    <n v="0"/>
    <s v="ร้านที่4"/>
    <s v="A** G***am"/>
    <s v="เชียงใหม่"/>
    <s v="-"/>
    <s v=""/>
    <s v="04/01/2025 00:19"/>
    <s v="-"/>
    <s v="Flash Express Thailand COD"/>
    <s v="Tiktok"/>
    <s v="จ่ายทีหลัง / COD"/>
    <s v=""/>
    <s v="THT47151DW6CW0Z"/>
    <s v="04/01/2025 00:25"/>
  </r>
  <r>
    <x v="19"/>
    <x v="19"/>
    <n v="199"/>
    <n v="1"/>
    <n v="0"/>
    <s v="EQA7"/>
    <n v="244"/>
    <n v="45"/>
    <s v="ร้านที่1"/>
    <s v="ร******ด"/>
    <s v="******ผุด, อำเภอเกาะสมุย ตำบลบ่อผุด อำเภอเกาะสมุย จังหวัดสุราษฎร์ธานี 84320"/>
    <s v="84320"/>
    <s v="61"/>
    <s v="04/01/2025 00:42"/>
    <s v="-"/>
    <s v="SPX Express"/>
    <s v="Shopee"/>
    <s v="shopee"/>
    <s v=""/>
    <s v="TH251081664313S"/>
    <s v="04/01/2025 00:23"/>
  </r>
  <r>
    <x v="4"/>
    <x v="4"/>
    <n v="100"/>
    <n v="1"/>
    <n v="0"/>
    <s v="EQA6"/>
    <n v="106"/>
    <n v="6"/>
    <s v="ร้านที่1"/>
    <s v="ว** ศ***วรรค์"/>
    <s v="กรุงเทพฯ"/>
    <s v="-"/>
    <s v=""/>
    <s v="04/01/2025 00:02"/>
    <s v="-"/>
    <s v="J&amp;T COD"/>
    <s v="Tiktok"/>
    <s v="จ่ายทีหลัง / COD"/>
    <s v=""/>
    <s v="754237854801"/>
    <s v="04/01/2025 00:03"/>
  </r>
  <r>
    <x v="4"/>
    <x v="4"/>
    <n v="100"/>
    <n v="1"/>
    <n v="0"/>
    <s v="EQA5"/>
    <n v="300"/>
    <n v="0"/>
    <s v="ร้านที่2"/>
    <s v="ส***นดา ใ***้รอบ"/>
    <s v="ปทุมธานี"/>
    <s v="-"/>
    <s v=""/>
    <s v="04/01/2025 00:00"/>
    <s v="-"/>
    <s v="J&amp;T COD"/>
    <s v="Tiktok"/>
    <s v="จ่ายทีหลัง / COD"/>
    <s v=""/>
    <s v="754277763816"/>
    <s v="04/01/2025 00:00"/>
  </r>
  <r>
    <x v="9"/>
    <x v="4"/>
    <n v="100"/>
    <n v="2"/>
    <n v="0"/>
    <s v="EQA5"/>
    <n v="300"/>
    <n v="0"/>
    <s v="ร้านที่2"/>
    <s v="ส***นดา ใ***้รอบ"/>
    <s v="ปทุมธานี"/>
    <s v="-"/>
    <s v=""/>
    <s v="04/01/2025 00:00"/>
    <s v="-"/>
    <s v="J&amp;T COD"/>
    <s v="Tiktok"/>
    <s v="จ่ายทีหลัง / COD"/>
    <s v=""/>
    <s v="754277763816"/>
    <s v="04/01/2025 00:00"/>
  </r>
  <r>
    <x v="4"/>
    <x v="4"/>
    <n v="100"/>
    <n v="1"/>
    <n v="0"/>
    <s v="EQA4"/>
    <n v="129"/>
    <n v="29"/>
    <s v="ร้านที่1"/>
    <s v="ช***ัตน์ อ***ีเชาว์"/>
    <s v="ลพบุรี"/>
    <s v="-"/>
    <s v=""/>
    <s v="04/01/2025 00:00"/>
    <s v="-"/>
    <s v="J&amp;T Express"/>
    <s v="Tiktok"/>
    <s v="tiktok"/>
    <s v=""/>
    <s v="754288241862"/>
    <s v="04/01/2025 00:00"/>
  </r>
  <r>
    <x v="10"/>
    <x v="10"/>
    <n v="200"/>
    <n v="1"/>
    <n v="0"/>
    <s v="EQA3"/>
    <n v="200"/>
    <n v="0"/>
    <s v="ร้านที่4"/>
    <s v="บ***ากร จ***ช่วย"/>
    <s v="กระบี่"/>
    <s v="-"/>
    <s v=""/>
    <s v="03/01/2025 23:59"/>
    <s v="-"/>
    <s v="Flash Express Thailand COD"/>
    <s v="Tiktok"/>
    <s v="จ่ายทีหลัง / COD"/>
    <s v=""/>
    <s v="THT65061DVQA31Z"/>
    <s v="03/01/2025 23:59"/>
  </r>
  <r>
    <x v="4"/>
    <x v="4"/>
    <n v="100"/>
    <n v="1"/>
    <n v="0"/>
    <s v="EQA2"/>
    <n v="200"/>
    <n v="0"/>
    <s v="ร้านที่2"/>
    <s v="ท***ัตน์ ค***น"/>
    <s v="พังงา"/>
    <s v="-"/>
    <s v=""/>
    <s v="03/01/2025 23:59"/>
    <s v="-"/>
    <s v="J&amp;T COD"/>
    <s v="Tiktok"/>
    <s v="จ่ายทีหลัง / COD"/>
    <s v=""/>
    <s v="754258671810"/>
    <s v="03/01/2025 23:59"/>
  </r>
  <r>
    <x v="9"/>
    <x v="4"/>
    <n v="100"/>
    <n v="1"/>
    <n v="0"/>
    <s v="EQA2"/>
    <n v="200"/>
    <n v="0"/>
    <s v="ร้านที่2"/>
    <s v="ท***ัตน์ ค***น"/>
    <s v="พังงา"/>
    <s v="-"/>
    <s v=""/>
    <s v="03/01/2025 23:59"/>
    <s v="-"/>
    <s v="J&amp;T COD"/>
    <s v="Tiktok"/>
    <s v="จ่ายทีหลัง / COD"/>
    <s v=""/>
    <s v="754258671810"/>
    <s v="03/01/2025 23:59"/>
  </r>
  <r>
    <x v="10"/>
    <x v="10"/>
    <n v="200"/>
    <n v="1"/>
    <n v="0"/>
    <s v="EQA1"/>
    <n v="200"/>
    <n v="0"/>
    <s v="ร้านที่4"/>
    <s v="l***sara"/>
    <s v="กระบี่"/>
    <s v="-"/>
    <s v=""/>
    <s v="03/01/2025 23:58"/>
    <s v="-"/>
    <s v="Flash Express Thailand COD"/>
    <s v="Tiktok"/>
    <s v="จ่ายทีหลัง / COD"/>
    <s v=""/>
    <s v="THT65081DW3Z46Z"/>
    <s v="03/01/2025 23:58"/>
  </r>
  <r>
    <x v="10"/>
    <x v="10"/>
    <n v="200"/>
    <n v="1"/>
    <n v="0"/>
    <s v="EQA0"/>
    <n v="200"/>
    <n v="0"/>
    <s v="ร้านที่2"/>
    <s v="ส***ณี"/>
    <s v="กรุงเทพฯ"/>
    <s v="-"/>
    <s v=""/>
    <s v="03/01/2025 23:56"/>
    <s v="-"/>
    <s v="J&amp;T COD"/>
    <s v="Tiktok"/>
    <s v="จ่ายทีหลัง / COD"/>
    <s v=""/>
    <s v="754223968853"/>
    <s v="03/01/2025 23:56"/>
  </r>
  <r>
    <x v="4"/>
    <x v="4"/>
    <n v="100"/>
    <n v="1"/>
    <n v="0"/>
    <s v="EPZ98"/>
    <n v="106"/>
    <n v="6"/>
    <s v="ร้านที่1"/>
    <s v="ส***วรรณ ส***มัจโร"/>
    <s v="พัทลุง"/>
    <s v="-"/>
    <s v=""/>
    <s v="03/01/2025 23:52"/>
    <s v="-"/>
    <s v="J&amp;T COD"/>
    <s v="Tiktok"/>
    <s v="จ่ายทีหลัง / COD"/>
    <s v=""/>
    <s v="754242235806"/>
    <s v="03/01/2025 23:52"/>
  </r>
  <r>
    <x v="10"/>
    <x v="10"/>
    <n v="200"/>
    <n v="1"/>
    <n v="0"/>
    <s v="EPZ96"/>
    <n v="200"/>
    <n v="0"/>
    <s v="ร้านที่1"/>
    <s v="น***าวอัญชลิกา ม***มูล"/>
    <s v="อุบลราชธานี"/>
    <s v="-"/>
    <s v=""/>
    <s v="03/01/2025 23:43"/>
    <s v="-"/>
    <s v="J&amp;T Express"/>
    <s v="Tiktok"/>
    <s v="tiktok"/>
    <s v=""/>
    <s v="754265564824"/>
    <s v="03/01/2025 23:43"/>
  </r>
  <r>
    <x v="10"/>
    <x v="10"/>
    <n v="200"/>
    <n v="1"/>
    <n v="0"/>
    <s v="EPZ95"/>
    <n v="200"/>
    <n v="0"/>
    <s v="ร้านที่4"/>
    <s v="ป***ันธ์ ป***ุข"/>
    <s v="นครศรีธรรมราช"/>
    <s v="-"/>
    <s v=""/>
    <s v="03/01/2025 23:42"/>
    <s v="-"/>
    <s v="Flash Express Thailand COD"/>
    <s v="Tiktok"/>
    <s v="จ่ายทีหลัง / COD"/>
    <s v=""/>
    <s v="THT64131DW3ZZ2Z"/>
    <s v="03/01/2025 23:42"/>
  </r>
  <r>
    <x v="4"/>
    <x v="4"/>
    <n v="100"/>
    <n v="2"/>
    <n v="0"/>
    <s v="EPZ94"/>
    <n v="200"/>
    <n v="0"/>
    <s v="ร้านที่1"/>
    <s v="จ***รกานต์​"/>
    <s v="ชลบุรี"/>
    <s v="-"/>
    <s v=""/>
    <s v="03/01/2025 23:42"/>
    <s v="-"/>
    <s v="J&amp;T COD"/>
    <s v="Tiktok"/>
    <s v="จ่ายทีหลัง / COD"/>
    <s v=""/>
    <s v="754239524813"/>
    <s v="03/01/2025 23:42"/>
  </r>
  <r>
    <x v="9"/>
    <x v="4"/>
    <n v="100"/>
    <n v="1"/>
    <n v="0"/>
    <s v="EPZ93"/>
    <n v="106"/>
    <n v="6"/>
    <s v="ร้านที่1"/>
    <s v="เ** เ***ิรา"/>
    <s v="นนทบุรี"/>
    <s v="-"/>
    <s v=""/>
    <s v="03/01/2025 23:41"/>
    <s v="-"/>
    <s v="J&amp;T COD"/>
    <s v="Tiktok"/>
    <s v="จ่ายทีหลัง / COD"/>
    <s v=""/>
    <s v="754284780782"/>
    <s v="03/01/2025 23:41"/>
  </r>
  <r>
    <x v="10"/>
    <x v="10"/>
    <n v="200"/>
    <n v="1"/>
    <n v="0"/>
    <s v="EPZ92"/>
    <n v="200"/>
    <n v="0"/>
    <s v="ร้านที่2"/>
    <s v="ส***ย์ ศ***ำภา"/>
    <s v="ชลบุรี"/>
    <s v="-"/>
    <s v=""/>
    <s v="03/01/2025 23:39"/>
    <s v="-"/>
    <s v="J&amp;T COD"/>
    <s v="Tiktok"/>
    <s v="จ่ายทีหลัง / COD"/>
    <s v=""/>
    <s v="754250270804"/>
    <s v="03/01/2025 23:39"/>
  </r>
  <r>
    <x v="4"/>
    <x v="4"/>
    <n v="100"/>
    <n v="4"/>
    <n v="0"/>
    <s v="EPZ91"/>
    <n v="400"/>
    <n v="0"/>
    <s v="ร้านที่1"/>
    <s v="บ***ปี๊ยก"/>
    <s v="ราชบุรี"/>
    <s v="-"/>
    <s v=""/>
    <s v="03/01/2025 23:39"/>
    <s v="-"/>
    <s v="J&amp;T COD"/>
    <s v="Tiktok"/>
    <s v="จ่ายทีหลัง / COD"/>
    <s v=""/>
    <s v="754247390750"/>
    <s v="03/01/2025 23:39"/>
  </r>
  <r>
    <x v="4"/>
    <x v="4"/>
    <n v="100"/>
    <n v="1"/>
    <n v="0"/>
    <s v="EPZ90"/>
    <n v="106"/>
    <n v="6"/>
    <s v="ร้านที่1"/>
    <s v="ศ***ักษณ์ ส***น"/>
    <s v="กรุงเทพฯ"/>
    <s v="-"/>
    <s v=""/>
    <s v="03/01/2025 23:38"/>
    <s v="-"/>
    <s v="J&amp;T COD"/>
    <s v="Tiktok"/>
    <s v="จ่ายทีหลัง / COD"/>
    <s v=""/>
    <s v="754239533880"/>
    <s v="03/01/2025 23:38"/>
  </r>
  <r>
    <x v="10"/>
    <x v="10"/>
    <n v="200"/>
    <n v="1"/>
    <n v="0"/>
    <s v="EPZ89"/>
    <n v="200"/>
    <n v="0"/>
    <s v="ร้านที่4"/>
    <s v="ธ***ร โ***สารวงศ์"/>
    <s v="นครศรีธรรมราช"/>
    <s v="-"/>
    <s v=""/>
    <s v="03/01/2025 23:33"/>
    <s v="-"/>
    <s v="Flash Express Thailand"/>
    <s v="Tiktok"/>
    <s v="tiktok"/>
    <s v=""/>
    <s v="THT64091DVTQK5Z"/>
    <s v="03/01/2025 23:32"/>
  </r>
  <r>
    <x v="10"/>
    <x v="10"/>
    <n v="200"/>
    <n v="1"/>
    <n v="0"/>
    <s v="EPZ88"/>
    <n v="200"/>
    <n v="0"/>
    <s v="ร้านที่1"/>
    <s v="ธ***รัตน์ ล***งษ์"/>
    <s v="เทศบาลเมืองบุรีรัมย์"/>
    <s v="-"/>
    <s v=""/>
    <s v="03/01/2025 23:28"/>
    <s v="-"/>
    <s v="J&amp;T Express"/>
    <s v="Tiktok"/>
    <s v="tiktok"/>
    <s v=""/>
    <s v="754299165841"/>
    <s v="03/01/2025 23:28"/>
  </r>
  <r>
    <x v="9"/>
    <x v="4"/>
    <n v="100"/>
    <n v="1"/>
    <n v="0"/>
    <s v="EPZ87"/>
    <n v="106"/>
    <n v="6"/>
    <s v="ร้านที่2"/>
    <s v="พ***ร ศ***สงใส "/>
    <s v="ปทุมธานี"/>
    <s v="-"/>
    <s v=""/>
    <s v="03/01/2025 23:29"/>
    <s v="-"/>
    <s v="J&amp;T Express"/>
    <s v="Tiktok"/>
    <s v="tiktok"/>
    <s v=""/>
    <s v="754292891752"/>
    <s v="03/01/2025 23:28"/>
  </r>
  <r>
    <x v="4"/>
    <x v="4"/>
    <n v="100"/>
    <n v="2"/>
    <n v="0"/>
    <s v="EPZ86"/>
    <n v="200"/>
    <n v="0"/>
    <s v="ร้านที่1"/>
    <s v="ค*** ส***สสรา​  บ***อิน"/>
    <s v="กรุงเทพมหานคร"/>
    <s v="-"/>
    <s v=""/>
    <s v="03/01/2025 23:27"/>
    <s v="-"/>
    <s v="J&amp;T Express"/>
    <s v="Tiktok"/>
    <s v="tiktok"/>
    <s v=""/>
    <s v="754208925816"/>
    <s v="03/01/2025 23:27"/>
  </r>
  <r>
    <x v="4"/>
    <x v="4"/>
    <n v="100"/>
    <n v="2"/>
    <n v="0"/>
    <s v="EPZ85"/>
    <n v="200"/>
    <n v="0"/>
    <s v="ร้านที่1"/>
    <s v="ณ***ดา ด***าคร"/>
    <s v="พระนครศรีอยุธยา"/>
    <s v="-"/>
    <s v=""/>
    <s v="03/01/2025 23:25"/>
    <s v="-"/>
    <s v="J&amp;T COD"/>
    <s v="Tiktok"/>
    <s v="จ่ายทีหลัง / COD"/>
    <s v=""/>
    <s v="754298660846"/>
    <s v="03/01/2025 23:25"/>
  </r>
  <r>
    <x v="4"/>
    <x v="4"/>
    <n v="100"/>
    <n v="1"/>
    <n v="0"/>
    <s v="EPZ84"/>
    <n v="106"/>
    <n v="6"/>
    <s v="ร้านที่1"/>
    <s v="ส***รัตน์ ค***ลา"/>
    <s v="เพชรบุรี"/>
    <s v="-"/>
    <s v=""/>
    <s v="03/01/2025 23:15"/>
    <s v="-"/>
    <s v="J&amp;T COD"/>
    <s v="Tiktok"/>
    <s v="จ่ายทีหลัง / COD"/>
    <s v=""/>
    <s v="754241642851"/>
    <s v="03/01/2025 23:15"/>
  </r>
  <r>
    <x v="9"/>
    <x v="4"/>
    <n v="100"/>
    <n v="1"/>
    <n v="0"/>
    <s v="EPZ83"/>
    <n v="106"/>
    <n v="6"/>
    <s v="ร้านที่1"/>
    <s v="ว***า    เ***ฐสูงเนิน"/>
    <s v="บุรีรัมย์"/>
    <s v="-"/>
    <s v=""/>
    <s v="03/01/2025 23:14"/>
    <s v="-"/>
    <s v="J&amp;T COD"/>
    <s v="Tiktok"/>
    <s v="จ่ายทีหลัง / COD"/>
    <s v=""/>
    <s v="754236098766"/>
    <s v="03/01/2025 23:14"/>
  </r>
  <r>
    <x v="4"/>
    <x v="4"/>
    <n v="100"/>
    <n v="2"/>
    <n v="0"/>
    <s v="EPZ82"/>
    <n v="200"/>
    <n v="0"/>
    <s v="ร้านที่2"/>
    <s v="ส***รัตน์"/>
    <s v="กรุงเทพฯ"/>
    <s v="-"/>
    <s v=""/>
    <s v="03/01/2025 23:10"/>
    <s v="-"/>
    <s v="J&amp;T COD"/>
    <s v="Tiktok"/>
    <s v="จ่ายทีหลัง / COD"/>
    <s v=""/>
    <s v="754209460841"/>
    <s v="03/01/2025 23:10"/>
  </r>
  <r>
    <x v="4"/>
    <x v="4"/>
    <n v="100"/>
    <n v="6"/>
    <n v="0"/>
    <s v="EPZ81"/>
    <n v="600"/>
    <n v="0"/>
    <s v="ร้านที่1"/>
    <s v="น***พจนีย์ จ***"/>
    <s v="กาญจนบุรี"/>
    <s v="-"/>
    <s v=""/>
    <s v="03/01/2025 23:07"/>
    <s v="-"/>
    <s v="J&amp;T Express"/>
    <s v="Tiktok"/>
    <s v="tiktok"/>
    <s v=""/>
    <s v="754256710830"/>
    <s v="03/01/2025 23:07"/>
  </r>
  <r>
    <x v="4"/>
    <x v="4"/>
    <n v="100"/>
    <n v="1"/>
    <n v="0"/>
    <s v="EPZ80"/>
    <n v="129"/>
    <n v="29"/>
    <s v="ร้านที่1"/>
    <s v="อ***ลักษณ์ เ***อง"/>
    <s v="เทศบาลนครนครปฐม"/>
    <s v="-"/>
    <s v=""/>
    <s v="03/01/2025 23:05"/>
    <s v="-"/>
    <s v="J&amp;T COD"/>
    <s v="Tiktok"/>
    <s v="จ่ายทีหลัง / COD"/>
    <s v=""/>
    <s v="754235924842"/>
    <s v="03/01/2025 23:05"/>
  </r>
  <r>
    <x v="3"/>
    <x v="3"/>
    <n v="100"/>
    <n v="1"/>
    <n v="0"/>
    <s v="EPZ79"/>
    <n v="106"/>
    <n v="6"/>
    <s v="ร้านที่1"/>
    <s v="ช***ราวุฒิ โ***ุลย์"/>
    <s v="ชัยภูมิ"/>
    <s v="-"/>
    <s v=""/>
    <s v="03/01/2025 23:04"/>
    <s v="-"/>
    <s v="J&amp;T Express"/>
    <s v="Tiktok"/>
    <s v="tiktok"/>
    <s v=""/>
    <s v="754225426824"/>
    <s v="03/01/2025 23:03"/>
  </r>
  <r>
    <x v="1"/>
    <x v="1"/>
    <n v="200"/>
    <n v="1"/>
    <n v="0"/>
    <s v="EPZ78"/>
    <n v="200"/>
    <n v="0"/>
    <s v="ร้านที่1"/>
    <s v="ส***า ว***ทยานเขานางพันธุรัต"/>
    <s v="เพชรบุรี"/>
    <s v="-"/>
    <s v=""/>
    <s v="03/01/2025 22:56"/>
    <s v="-"/>
    <s v="J&amp;T Express"/>
    <s v="Tiktok"/>
    <s v="tiktok"/>
    <s v="ไม่เอาไส้ทุเรียนค่ะ รบกวนเปลี่ยนเป็นไส้อื่นแทนได้ค่ะ ขอบคุณค่ะ"/>
    <s v="754266601896"/>
    <s v="03/01/2025 22:56"/>
  </r>
  <r>
    <x v="1"/>
    <x v="1"/>
    <n v="200"/>
    <n v="1"/>
    <n v="0"/>
    <s v="EPZ77"/>
    <n v="200"/>
    <n v="0"/>
    <s v="ร้านที่4"/>
    <s v="น***าวนภัสวรรณ ก***งกาย"/>
    <s v="นครราชสีมา"/>
    <s v="-"/>
    <s v=""/>
    <s v="03/01/2025 22:53"/>
    <s v="-"/>
    <s v="Flash Express Thailand COD"/>
    <s v="Tiktok"/>
    <s v="จ่ายทีหลัง / COD"/>
    <s v=""/>
    <s v="THT27101DVMNM7Z"/>
    <s v="03/01/2025 22:53"/>
  </r>
  <r>
    <x v="1"/>
    <x v="1"/>
    <n v="200"/>
    <n v="1"/>
    <n v="0"/>
    <s v="EPZ76"/>
    <n v="200"/>
    <n v="0"/>
    <s v="ร้านที่1"/>
    <s v="ด***วายุภัทร์ ส***บาย"/>
    <s v="นครศรีธรรมราช"/>
    <s v="-"/>
    <s v=""/>
    <s v="03/01/2025 22:45"/>
    <s v="-"/>
    <s v="J&amp;T Express"/>
    <s v="Tiktok"/>
    <s v="tiktok"/>
    <s v=""/>
    <s v="754265362826"/>
    <s v="03/01/2025 22:45"/>
  </r>
  <r>
    <x v="5"/>
    <x v="5"/>
    <n v="330"/>
    <n v="1"/>
    <n v="0"/>
    <s v="EPZ75"/>
    <n v="330"/>
    <n v="0"/>
    <s v="ร้านที่1"/>
    <s v="ไ***า ค***จันทร์"/>
    <s v="อุบลราชธานี"/>
    <s v="-"/>
    <s v=""/>
    <s v="03/01/2025 22:43"/>
    <s v="-"/>
    <s v="J&amp;T COD"/>
    <s v="Tiktok"/>
    <s v="จ่ายทีหลัง / COD"/>
    <s v=""/>
    <s v="754258860832"/>
    <s v="03/01/2025 22:43"/>
  </r>
  <r>
    <x v="53"/>
    <x v="78"/>
    <n v="180"/>
    <n v="1"/>
    <n v="0"/>
    <s v="EPZ74"/>
    <n v="180"/>
    <n v="0"/>
    <s v="ร้านที่4"/>
    <s v="เ***พรรณ อ***านรัตน์"/>
    <s v="สมุทรสงคราม"/>
    <s v="-"/>
    <s v=""/>
    <s v="03/01/2025 22:42"/>
    <s v="-"/>
    <s v="Flash Express Thailand COD"/>
    <s v="Tiktok"/>
    <s v="จ่ายทีหลัง / COD"/>
    <s v=""/>
    <s v="THT17031DVQEC6Z"/>
    <s v="03/01/2025 22:42"/>
  </r>
  <r>
    <x v="19"/>
    <x v="19"/>
    <n v="197"/>
    <n v="1"/>
    <n v="0"/>
    <s v="EPZ73"/>
    <n v="197"/>
    <n v="0"/>
    <s v="ร้านที่2"/>
    <s v="น******ี"/>
    <s v="******่าน้าว ตำบลท่าน้าว อำเภอภูเพียง จังหวัดน่าน 55000"/>
    <s v="55000"/>
    <s v="93"/>
    <s v="03/01/2025 22:42"/>
    <s v="-"/>
    <s v="Flash Express"/>
    <s v="Shopee"/>
    <s v="shopee"/>
    <s v=""/>
    <s v="TH52146NHX894F"/>
    <s v="03/01/2025 22:42"/>
  </r>
  <r>
    <x v="10"/>
    <x v="10"/>
    <n v="200"/>
    <n v="2"/>
    <n v="0"/>
    <s v="EPZ72"/>
    <n v="400"/>
    <n v="0"/>
    <s v="ร้านที่2"/>
    <s v="ร***ทิวา ป***พ"/>
    <s v="ภูเก็ต"/>
    <s v="-"/>
    <s v=""/>
    <s v="03/01/2025 22:41"/>
    <s v="-"/>
    <s v="J&amp;T COD"/>
    <s v="Tiktok"/>
    <s v="จ่ายทีหลัง / COD"/>
    <s v=""/>
    <s v="754209960814"/>
    <s v="03/01/2025 22:41"/>
  </r>
  <r>
    <x v="4"/>
    <x v="4"/>
    <n v="100"/>
    <n v="1"/>
    <n v="0"/>
    <s v="EPZ70"/>
    <n v="106"/>
    <n v="6"/>
    <s v="ร้านที่2"/>
    <s v="ล***าแสงศรี"/>
    <s v="จันทบุรี"/>
    <s v="-"/>
    <s v=""/>
    <s v="03/01/2025 22:37"/>
    <s v="-"/>
    <s v="J&amp;T COD"/>
    <s v="Tiktok"/>
    <s v="จ่ายทีหลัง / COD"/>
    <s v=""/>
    <s v="754212234812"/>
    <s v="03/01/2025 22:37"/>
  </r>
  <r>
    <x v="1"/>
    <x v="1"/>
    <n v="200"/>
    <n v="1"/>
    <n v="0"/>
    <s v="EPZ68"/>
    <n v="200"/>
    <n v="0"/>
    <s v="ร้านที่2"/>
    <s v="ป***ทิพย์ อ***สิทธิ์"/>
    <s v="เชียงใหม่"/>
    <s v="-"/>
    <s v=""/>
    <s v="03/01/2025 22:35"/>
    <s v="-"/>
    <s v="J&amp;T COD"/>
    <s v="Tiktok"/>
    <s v="จ่ายทีหลัง / COD"/>
    <s v=""/>
    <s v="754283467862"/>
    <s v="03/01/2025 22:35"/>
  </r>
  <r>
    <x v="10"/>
    <x v="10"/>
    <n v="200"/>
    <n v="1"/>
    <n v="0"/>
    <s v="EPZ67"/>
    <n v="200"/>
    <n v="0"/>
    <s v="ร้านที่1"/>
    <s v="ศ***ลักษณ์  อ***ลี"/>
    <s v="ระยอง"/>
    <s v="-"/>
    <s v=""/>
    <s v="03/01/2025 22:33"/>
    <s v="-"/>
    <s v="J&amp;T COD"/>
    <s v="Tiktok"/>
    <s v="จ่ายทีหลัง / COD"/>
    <s v=""/>
    <s v="754286963861"/>
    <s v="03/01/2025 22:33"/>
  </r>
  <r>
    <x v="19"/>
    <x v="19"/>
    <n v="199"/>
    <n v="3"/>
    <n v="0"/>
    <s v="EPZ66"/>
    <n v="676"/>
    <n v="79"/>
    <s v="ร้านที่1"/>
    <s v="ต******์"/>
    <s v="******นสุข (บางกรวย 13) ตำบลบางกรวย ตำบลบางกรวย อำเภอบางกรวย จังหวัดนนทบุรี 11130"/>
    <s v="11130"/>
    <s v="40"/>
    <s v="03/01/2025 23:01"/>
    <s v="-"/>
    <s v="Flash Express"/>
    <s v="Shopee"/>
    <s v="shopee"/>
    <s v=""/>
    <s v="TH03026NJBXA1B"/>
    <s v="03/01/2025 22:31"/>
  </r>
  <r>
    <x v="0"/>
    <x v="0"/>
    <n v="100"/>
    <n v="1"/>
    <n v="0"/>
    <s v="EPZ65"/>
    <n v="100"/>
    <n v="0"/>
    <s v="ร้านที่1"/>
    <s v="บ***ร  ส***รี"/>
    <s v="พระนครศรีอยุธยา"/>
    <s v="-"/>
    <s v=""/>
    <s v="03/01/2025 22:27"/>
    <s v="-"/>
    <s v="J&amp;T COD"/>
    <s v="Tiktok"/>
    <s v="จ่ายทีหลัง / COD"/>
    <s v=""/>
    <s v="754284258803"/>
    <s v="03/01/2025 22:27"/>
  </r>
  <r>
    <x v="1"/>
    <x v="1"/>
    <n v="200"/>
    <n v="1"/>
    <n v="0"/>
    <s v="EPZ63"/>
    <n v="200"/>
    <n v="0"/>
    <s v="ร้านที่1"/>
    <s v="ว***น ไ***ันธ์"/>
    <s v="ปทุมธานี"/>
    <s v="-"/>
    <s v=""/>
    <s v="03/01/2025 22:25"/>
    <s v="-"/>
    <s v="J&amp;T COD"/>
    <s v="Tiktok"/>
    <s v="จ่ายทีหลัง / COD"/>
    <s v=""/>
    <s v="754294668864"/>
    <s v="03/01/2025 22:25"/>
  </r>
  <r>
    <x v="19"/>
    <x v="34"/>
    <n v="214.1"/>
    <n v="1"/>
    <n v="0"/>
    <s v="EPZ61"/>
    <n v="219.1"/>
    <n v="5"/>
    <s v="ร้านที่9"/>
    <s v="น.ส.จันทรา  บุญมี"/>
    <s v="50/3 ม.3 ซ.แม่น้ำ5 · แม่น้ำ/ Mae Nam_x000a__x000a_เกาะสมุย/ Ko Samuiสุราษฎร์ธานี/ Surat Thani_x000a_84330"/>
    <s v="84330"/>
    <s v="660866873609"/>
    <s v="03/01/2025 22:20"/>
    <s v="-"/>
    <s v="Kerry_dropoff"/>
    <s v="Lazada"/>
    <s v="lazada"/>
    <s v=""/>
    <s v="TH68046NH6834G"/>
    <s v="03/01/2025 22:20"/>
  </r>
  <r>
    <x v="1"/>
    <x v="1"/>
    <n v="200"/>
    <n v="1"/>
    <n v="0"/>
    <s v="EPZ59"/>
    <n v="200"/>
    <n v="0"/>
    <s v="ร้านที่2"/>
    <s v="พ***์พรรณ ส***ันธ์"/>
    <s v="สมุทรปราการ"/>
    <s v="-"/>
    <s v=""/>
    <s v="03/01/2025 22:15"/>
    <s v="-"/>
    <s v="J&amp;T COD"/>
    <s v="Tiktok"/>
    <s v="จ่ายทีหลัง / COD"/>
    <s v=""/>
    <s v="754249466854"/>
    <s v="03/01/2025 22:15"/>
  </r>
  <r>
    <x v="4"/>
    <x v="4"/>
    <n v="100"/>
    <n v="1"/>
    <n v="0"/>
    <s v="EPZ58"/>
    <n v="200"/>
    <n v="0"/>
    <s v="ร้านที่1"/>
    <s v="1** ห*** 4 บ***ดงมัน ต***คำนาดี อ***อโพนทอง จ***วัดร้อยเอ็ด 4***"/>
    <s v="ร้อยเอ็ด"/>
    <s v="-"/>
    <s v=""/>
    <s v="03/01/2025 22:12"/>
    <s v="-"/>
    <s v="J&amp;T Express"/>
    <s v="Tiktok"/>
    <s v="tiktok"/>
    <s v=""/>
    <s v="754278071831"/>
    <s v="03/01/2025 22:11"/>
  </r>
  <r>
    <x v="3"/>
    <x v="3"/>
    <n v="100"/>
    <n v="1"/>
    <n v="0"/>
    <s v="EPZ58"/>
    <n v="200"/>
    <n v="0"/>
    <s v="ร้านที่1"/>
    <s v="1** ห*** 4 บ***ดงมัน ต***คำนาดี อ***อโพนทอง จ***วัดร้อยเอ็ด 4***"/>
    <s v="ร้อยเอ็ด"/>
    <s v="-"/>
    <s v=""/>
    <s v="03/01/2025 22:12"/>
    <s v="-"/>
    <s v="J&amp;T Express"/>
    <s v="Tiktok"/>
    <s v="tiktok"/>
    <s v=""/>
    <s v="754278071831"/>
    <s v="03/01/2025 22:11"/>
  </r>
  <r>
    <x v="5"/>
    <x v="5"/>
    <n v="330"/>
    <n v="1"/>
    <n v="0"/>
    <s v="EPZ57"/>
    <n v="330"/>
    <n v="0"/>
    <s v="ร้านที่1"/>
    <s v="ป***าย ส***พเพชร"/>
    <s v="ชัยภูมิ"/>
    <s v="-"/>
    <s v=""/>
    <s v="03/01/2025 22:09"/>
    <s v="-"/>
    <s v="J&amp;T COD"/>
    <s v="Tiktok"/>
    <s v="จ่ายทีหลัง / COD"/>
    <s v=""/>
    <s v="754209865802"/>
    <s v="03/01/2025 22:09"/>
  </r>
  <r>
    <x v="1"/>
    <x v="1"/>
    <n v="200"/>
    <n v="1"/>
    <n v="0"/>
    <s v="EPZ56"/>
    <n v="200"/>
    <n v="0"/>
    <s v="ร้านที่1"/>
    <s v="อ***ภรณ์   เ***รงค์"/>
    <s v="ชุมพร"/>
    <s v="-"/>
    <s v=""/>
    <s v="03/01/2025 22:04"/>
    <s v="-"/>
    <s v="J&amp;T COD"/>
    <s v="Tiktok"/>
    <s v="จ่ายทีหลัง / COD"/>
    <s v=""/>
    <s v="754200760810"/>
    <s v="03/01/2025 22:04"/>
  </r>
  <r>
    <x v="10"/>
    <x v="10"/>
    <n v="200"/>
    <n v="1"/>
    <n v="0"/>
    <s v="EPZ55"/>
    <n v="200"/>
    <n v="0"/>
    <s v="ร้านที่1"/>
    <s v="โ***วดี  ข***นู"/>
    <s v="นครศรีธรรมราช"/>
    <s v="-"/>
    <s v=""/>
    <s v="03/01/2025 22:04"/>
    <s v="-"/>
    <s v="J&amp;T COD"/>
    <s v="Tiktok"/>
    <s v="จ่ายทีหลัง / COD"/>
    <s v=""/>
    <s v="754210670813"/>
    <s v="03/01/2025 22:04"/>
  </r>
  <r>
    <x v="3"/>
    <x v="8"/>
    <n v="99.75"/>
    <n v="1"/>
    <n v="0"/>
    <s v="EPZ52"/>
    <n v="104.75"/>
    <n v="5"/>
    <s v="ร้านที่6"/>
    <s v="นันทิดา ปิบเงิน"/>
    <s v="99/24ม.10 · หนองขาม/ Nong Kham_x000a__x000a_ศรีราชา/ Si Rachaชลบุรี/ Chonburi_x000a_20230"/>
    <s v="20230"/>
    <s v="660848691618"/>
    <s v="03/01/2025 21:57"/>
    <s v="-"/>
    <s v="Kerry_dropoff"/>
    <s v="Lazada"/>
    <s v="lazada"/>
    <s v=""/>
    <s v="LEXPU0441480569"/>
    <s v="03/01/2025 21:57"/>
  </r>
  <r>
    <x v="1"/>
    <x v="1"/>
    <n v="200"/>
    <n v="1"/>
    <n v="0"/>
    <s v="EPZ51"/>
    <n v="200"/>
    <n v="0"/>
    <s v="ร้านที่1"/>
    <s v="เ***บียร์ ร***ฯ ผ***"/>
    <s v="ขอนแก่น"/>
    <s v="-"/>
    <s v=""/>
    <s v="03/01/2025 21:57"/>
    <s v="-"/>
    <s v="J&amp;T COD"/>
    <s v="Tiktok"/>
    <s v="จ่ายทีหลัง / COD"/>
    <s v=""/>
    <s v="754221361810"/>
    <s v="03/01/2025 21:57"/>
  </r>
  <r>
    <x v="10"/>
    <x v="10"/>
    <n v="200"/>
    <n v="1"/>
    <n v="0"/>
    <s v="EPZ50"/>
    <n v="200"/>
    <n v="0"/>
    <s v="ร้านที่4"/>
    <s v="ป***ภรณ์ ช***ัย"/>
    <s v="ชลบุรี"/>
    <s v="-"/>
    <s v=""/>
    <s v="03/01/2025 21:56"/>
    <s v="-"/>
    <s v="Flash Express Thailand COD"/>
    <s v="Tiktok"/>
    <s v="จ่ายทีหลัง / COD"/>
    <s v=""/>
    <s v="THT20071DW3SE4Z"/>
    <s v="03/01/2025 21:57"/>
  </r>
  <r>
    <x v="10"/>
    <x v="10"/>
    <n v="200"/>
    <n v="1"/>
    <n v="0"/>
    <s v="EPZ49"/>
    <n v="200"/>
    <n v="0"/>
    <s v="ร้านที่4"/>
    <s v="อ***รา ร***วุฒิ"/>
    <s v="ลพบุรี"/>
    <s v="-"/>
    <s v=""/>
    <s v="03/01/2025 21:50"/>
    <s v="-"/>
    <s v="Flash Express Thailand"/>
    <s v="Tiktok"/>
    <s v="tiktok"/>
    <s v=""/>
    <s v="THT07021DW3JD0Z"/>
    <s v="03/01/2025 21:50"/>
  </r>
  <r>
    <x v="5"/>
    <x v="5"/>
    <n v="330"/>
    <n v="1"/>
    <n v="0"/>
    <s v="EPZ47"/>
    <n v="330"/>
    <n v="0"/>
    <s v="ร้านที่1"/>
    <s v="เ* ท***น"/>
    <s v="เทศบาลนครเชียงราย"/>
    <s v="-"/>
    <s v=""/>
    <s v="03/01/2025 21:47"/>
    <s v="-"/>
    <s v="J&amp;T Express"/>
    <s v="Tiktok"/>
    <s v="tiktok"/>
    <s v=""/>
    <s v="754206066832"/>
    <s v="03/01/2025 21:47"/>
  </r>
  <r>
    <x v="1"/>
    <x v="1"/>
    <n v="200"/>
    <n v="1"/>
    <n v="0"/>
    <s v="EPZ46"/>
    <n v="200"/>
    <n v="0"/>
    <s v="ร้านที่1"/>
    <s v="พ***รรณ แ***สำโรง"/>
    <s v="ขอนแก่น"/>
    <s v="-"/>
    <s v=""/>
    <s v="03/01/2025 21:43"/>
    <s v="-"/>
    <s v="J&amp;T Express"/>
    <s v="Tiktok"/>
    <s v="tiktok"/>
    <s v=""/>
    <s v="754274963816"/>
    <s v="03/01/2025 21:42"/>
  </r>
  <r>
    <x v="5"/>
    <x v="5"/>
    <n v="350"/>
    <n v="1"/>
    <n v="0"/>
    <s v="EPZ45"/>
    <n v="350"/>
    <n v="0"/>
    <s v="ร้านที่4"/>
    <s v="ล***ลา ส***ัญญา"/>
    <s v="ฉะเชิงเทรา"/>
    <s v="-"/>
    <s v=""/>
    <s v="03/01/2025 21:40"/>
    <s v="-"/>
    <s v="Flash Express Thailand COD"/>
    <s v="Tiktok"/>
    <s v="จ่ายทีหลัง / COD"/>
    <s v=""/>
    <s v="THT24051DVKWZ7Z"/>
    <s v="03/01/2025 21:40"/>
  </r>
  <r>
    <x v="5"/>
    <x v="5"/>
    <n v="330"/>
    <n v="1"/>
    <n v="0"/>
    <s v="EPZ44"/>
    <n v="330"/>
    <n v="0"/>
    <s v="ร้านที่1"/>
    <s v="อ***งค์"/>
    <s v="เทศบาลนครนครปฐม"/>
    <s v="-"/>
    <s v=""/>
    <s v="03/01/2025 21:39"/>
    <s v="-"/>
    <s v="J&amp;T Express"/>
    <s v="Tiktok"/>
    <s v="tiktok"/>
    <s v=""/>
    <s v="754224059805"/>
    <s v="03/01/2025 21:39"/>
  </r>
  <r>
    <x v="4"/>
    <x v="4"/>
    <n v="100"/>
    <n v="2"/>
    <n v="0"/>
    <s v="EPZ43"/>
    <n v="200"/>
    <n v="0"/>
    <s v="ร้านที่2"/>
    <s v="ศ***ัตน์ ข***ครือ"/>
    <s v="สุรินทร์"/>
    <s v="-"/>
    <s v=""/>
    <s v="03/01/2025 21:39"/>
    <s v="-"/>
    <s v="J&amp;T COD"/>
    <s v="Tiktok"/>
    <s v="จ่ายทีหลัง / COD"/>
    <s v=""/>
    <s v="754233355875"/>
    <s v="03/01/2025 21:39"/>
  </r>
  <r>
    <x v="3"/>
    <x v="3"/>
    <n v="100"/>
    <n v="2"/>
    <n v="0"/>
    <s v="EPZ42"/>
    <n v="198"/>
    <n v="0"/>
    <s v="ร้านที่2"/>
    <s v="เ**ก"/>
    <s v="******, ถนน กาญจนวนิช, ตำบล คอหงส์, อำเภอหาดใหญ่ ตำบลคอหงส์ อำเภอหาดใหญ่ จังหวัดสงขลา 90110"/>
    <s v="90110"/>
    <s v="72"/>
    <s v="03/01/2025 21:38"/>
    <s v="-"/>
    <s v="Flash Express"/>
    <s v="Shopee"/>
    <s v="shopee"/>
    <s v=""/>
    <s v="TH71116NH8BK1D0"/>
    <s v="03/01/2025 21:38"/>
  </r>
  <r>
    <x v="3"/>
    <x v="8"/>
    <n v="99.75"/>
    <n v="1"/>
    <n v="0"/>
    <s v="EPZ41"/>
    <n v="99.75"/>
    <n v="0"/>
    <s v="ร้านที่6"/>
    <s v="นิภาภรณ์ แทนน้อย"/>
    <s v="358หมู่10ตำบลพานทอง_x000a__x000a_ไทรงาม/ Sai Ngamกำแพงเพชร/ Kamphaeng Phet_x000a_62150"/>
    <s v="62150"/>
    <s v="660613599693"/>
    <s v="03/01/2025 21:37"/>
    <s v="-"/>
    <s v="Kerry_dropoff"/>
    <s v="Lazada"/>
    <s v="lazada"/>
    <s v=""/>
    <s v="TH58026NHBFB9F"/>
    <s v="03/01/2025 21:37"/>
  </r>
  <r>
    <x v="10"/>
    <x v="10"/>
    <n v="200"/>
    <n v="1"/>
    <n v="0"/>
    <s v="EPZ40"/>
    <n v="200"/>
    <n v="0"/>
    <s v="ร้านที่4"/>
    <s v="อ***ย"/>
    <s v="ปทุมธานี"/>
    <s v="-"/>
    <s v=""/>
    <s v="03/01/2025 21:37"/>
    <s v="-"/>
    <s v="Flash Express Thailand COD"/>
    <s v="Tiktok"/>
    <s v="จ่ายทีหลัง / COD"/>
    <s v=""/>
    <s v="THT04021DVSYA3Z"/>
    <s v="03/01/2025 21:37"/>
  </r>
  <r>
    <x v="1"/>
    <x v="1"/>
    <n v="200"/>
    <n v="5"/>
    <n v="0"/>
    <s v="EPZ39"/>
    <n v="2000"/>
    <n v="0"/>
    <s v="ร้านที่1"/>
    <s v="ป***ุญและปางแม่วัง"/>
    <s v="ลำปาง"/>
    <s v="-"/>
    <s v=""/>
    <s v="04/01/2025 07:36"/>
    <s v="-"/>
    <s v="J&amp;T Express"/>
    <s v="Tiktok"/>
    <s v="tiktok"/>
    <s v=""/>
    <s v="754302007325"/>
    <s v="03/01/2025 21:35"/>
  </r>
  <r>
    <x v="10"/>
    <x v="10"/>
    <n v="200"/>
    <n v="5"/>
    <n v="0"/>
    <s v="EPZ39"/>
    <n v="2000"/>
    <n v="0"/>
    <s v="ร้านที่1"/>
    <s v="ป***ุญและปางแม่วัง"/>
    <s v="ลำปาง"/>
    <s v="-"/>
    <s v=""/>
    <s v="04/01/2025 07:36"/>
    <s v="-"/>
    <s v="J&amp;T Express"/>
    <s v="Tiktok"/>
    <s v="tiktok"/>
    <s v=""/>
    <s v="754302007325"/>
    <s v="03/01/2025 21:35"/>
  </r>
  <r>
    <x v="10"/>
    <x v="10"/>
    <n v="200"/>
    <n v="2"/>
    <n v="0"/>
    <s v="EPZ38"/>
    <n v="400"/>
    <n v="0"/>
    <s v="ร้านที่1"/>
    <s v="ค***ชลิดา ป***พ"/>
    <s v="ลำปาง"/>
    <s v="-"/>
    <s v=""/>
    <s v="03/01/2025 21:32"/>
    <s v="-"/>
    <s v="J&amp;T Express"/>
    <s v="Tiktok"/>
    <s v="tiktok"/>
    <s v=""/>
    <s v="754245761813"/>
    <s v="03/01/2025 21:32"/>
  </r>
  <r>
    <x v="4"/>
    <x v="4"/>
    <n v="100"/>
    <n v="2"/>
    <n v="0"/>
    <s v="EPZ37"/>
    <n v="400"/>
    <n v="0"/>
    <s v="ร้านที่1"/>
    <s v="ศ***ัตน์ ข***ครือ"/>
    <s v="สุรินทร์"/>
    <s v="-"/>
    <s v=""/>
    <s v="03/01/2025 21:31"/>
    <s v="-"/>
    <s v="J&amp;T COD"/>
    <s v="Tiktok"/>
    <s v="จ่ายทีหลัง / COD"/>
    <s v=""/>
    <s v="754257962813"/>
    <s v="03/01/2025 21:31"/>
  </r>
  <r>
    <x v="9"/>
    <x v="4"/>
    <n v="100"/>
    <n v="2"/>
    <n v="0"/>
    <s v="EPZ37"/>
    <n v="400"/>
    <n v="0"/>
    <s v="ร้านที่1"/>
    <s v="ศ***ัตน์ ข***ครือ"/>
    <s v="สุรินทร์"/>
    <s v="-"/>
    <s v=""/>
    <s v="03/01/2025 21:31"/>
    <s v="-"/>
    <s v="J&amp;T COD"/>
    <s v="Tiktok"/>
    <s v="จ่ายทีหลัง / COD"/>
    <s v=""/>
    <s v="754257962813"/>
    <s v="03/01/2025 21:31"/>
  </r>
  <r>
    <x v="9"/>
    <x v="4"/>
    <n v="100"/>
    <n v="1"/>
    <n v="0"/>
    <s v="EPZ36"/>
    <n v="106"/>
    <n v="6"/>
    <s v="ร้านที่1"/>
    <s v="ว***ี ส***าดุลย์"/>
    <s v="นครศรีธรรมราช"/>
    <s v="-"/>
    <s v=""/>
    <s v="03/01/2025 21:28"/>
    <s v="-"/>
    <s v="J&amp;T COD"/>
    <s v="Tiktok"/>
    <s v="จ่ายทีหลัง / COD"/>
    <s v=""/>
    <s v="754253387790"/>
    <s v="03/01/2025 21:29"/>
  </r>
  <r>
    <x v="19"/>
    <x v="34"/>
    <n v="149.88"/>
    <n v="1"/>
    <n v="0"/>
    <s v="EPZ34"/>
    <n v="299.75"/>
    <n v="0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3/01/2025 22:03"/>
    <s v="-"/>
    <s v="Kerry_dropoff"/>
    <s v="Lazada"/>
    <s v="lazada"/>
    <s v=""/>
    <s v="TH61046NH6HC0E"/>
    <s v="03/01/2025 21:28"/>
  </r>
  <r>
    <x v="19"/>
    <x v="34"/>
    <n v="149.87"/>
    <n v="1"/>
    <n v="0"/>
    <s v="EPZ34"/>
    <n v="299.75"/>
    <n v="0"/>
    <s v="ร้านที่9"/>
    <s v="เปรมฤดี เอมอ่ำ"/>
    <s v="109/3 ม.10 ต.บึงกอก บ้านบึงกอกพัฒนา_x000a__x000a_บางระกำ/ Bang Rakamพิษณุโลก/ Phitsanulok_x000a_65140"/>
    <s v="65140"/>
    <s v="660836309358"/>
    <s v="03/01/2025 22:03"/>
    <s v="-"/>
    <s v="Kerry_dropoff"/>
    <s v="Lazada"/>
    <s v="lazada"/>
    <s v=""/>
    <s v="TH61046NH6HC0E"/>
    <s v="03/01/2025 21:28"/>
  </r>
  <r>
    <x v="10"/>
    <x v="10"/>
    <n v="200"/>
    <n v="1"/>
    <n v="0"/>
    <s v="EPZ30"/>
    <n v="200"/>
    <n v="0"/>
    <s v="ร้านที่4"/>
    <s v="T***awin"/>
    <s v="กรุงเทพฯ"/>
    <s v="-"/>
    <s v=""/>
    <s v="03/01/2025 21:22"/>
    <s v="-"/>
    <s v="Flash Express Thailand COD"/>
    <s v="Tiktok"/>
    <s v="จ่ายทีหลัง / COD"/>
    <s v=""/>
    <s v="THT01031DW3NZ4Z"/>
    <s v="03/01/2025 21:22"/>
  </r>
  <r>
    <x v="9"/>
    <x v="4"/>
    <n v="100"/>
    <n v="4"/>
    <n v="0"/>
    <s v="EPZ28"/>
    <n v="400"/>
    <n v="0"/>
    <s v="ร้านที่1"/>
    <s v="ส***กษณ์ ค***ี"/>
    <s v="จันทบุรี"/>
    <s v="-"/>
    <s v=""/>
    <s v="03/01/2025 21:17"/>
    <s v="-"/>
    <s v="J&amp;T COD"/>
    <s v="Tiktok"/>
    <s v="จ่ายทีหลัง / COD"/>
    <s v=""/>
    <s v="754260519843"/>
    <s v="03/01/2025 21:18"/>
  </r>
  <r>
    <x v="10"/>
    <x v="10"/>
    <n v="200"/>
    <n v="2"/>
    <n v="0"/>
    <s v="EPZ27"/>
    <n v="400"/>
    <n v="0"/>
    <s v="ร้านที่4"/>
    <s v="จ***าพร ป***สำอางค์"/>
    <s v="กาญจนบุรี"/>
    <s v="-"/>
    <s v=""/>
    <s v="03/01/2025 21:17"/>
    <s v="-"/>
    <s v="Flash Express Thailand"/>
    <s v="Tiktok"/>
    <s v="tiktok"/>
    <s v=""/>
    <s v="THT13051DVTWB3Z"/>
    <s v="03/01/2025 21:18"/>
  </r>
  <r>
    <x v="1"/>
    <x v="1"/>
    <n v="200"/>
    <n v="1"/>
    <n v="0"/>
    <s v="EPZ26"/>
    <n v="200"/>
    <n v="0"/>
    <s v="ร้านที่1"/>
    <s v="ว***า  อ***ิต"/>
    <s v="สุพรรณบุรี"/>
    <s v="-"/>
    <s v=""/>
    <s v="03/01/2025 21:11"/>
    <s v="-"/>
    <s v="J&amp;T COD"/>
    <s v="Tiktok"/>
    <s v="จ่ายทีหลัง / COD"/>
    <s v=""/>
    <s v="754243960820"/>
    <s v="03/01/2025 21:16"/>
  </r>
  <r>
    <x v="1"/>
    <x v="1"/>
    <n v="200"/>
    <n v="1"/>
    <n v="0"/>
    <s v="EPZ25"/>
    <n v="200"/>
    <n v="0"/>
    <s v="ร้านที่1"/>
    <s v="อ***วัน. เ***ชัย"/>
    <s v="สมุทรปราการ"/>
    <s v="-"/>
    <s v=""/>
    <s v="03/01/2025 21:03"/>
    <s v="-"/>
    <s v="Flash Express Thailand COD"/>
    <s v="Tiktok"/>
    <s v="จ่ายทีหลัง / COD"/>
    <s v=""/>
    <s v="THT02061DVHHU1Z"/>
    <s v="03/01/2025 21:03"/>
  </r>
  <r>
    <x v="10"/>
    <x v="10"/>
    <n v="200"/>
    <n v="1"/>
    <n v="0"/>
    <s v="EPZ24"/>
    <n v="200"/>
    <n v="0"/>
    <s v="ร้านที่1"/>
    <s v="ศ***ยา อ***ัญจร"/>
    <s v="ประจวบคีรีขันธ์"/>
    <s v="-"/>
    <s v=""/>
    <s v="03/01/2025 20:58"/>
    <s v="-"/>
    <s v="J&amp;T COD"/>
    <s v="Tiktok"/>
    <s v="จ่ายทีหลัง / COD"/>
    <s v=""/>
    <s v="754250278821"/>
    <s v="03/01/2025 20:58"/>
  </r>
  <r>
    <x v="4"/>
    <x v="4"/>
    <n v="100"/>
    <n v="2"/>
    <n v="0"/>
    <s v="EPZ23"/>
    <n v="200"/>
    <n v="0"/>
    <s v="ร้านที่2"/>
    <s v="ส***ล ศ***ภัย"/>
    <s v="นครราชสีมา"/>
    <s v="-"/>
    <s v=""/>
    <s v="03/01/2025 20:57"/>
    <s v="-"/>
    <s v="J&amp;T COD"/>
    <s v="Tiktok"/>
    <s v="จ่ายทีหลัง / COD"/>
    <s v=""/>
    <s v="754244731870"/>
    <s v="03/01/2025 20:57"/>
  </r>
  <r>
    <x v="5"/>
    <x v="5"/>
    <n v="330"/>
    <n v="1"/>
    <n v="0"/>
    <s v="EPZ20"/>
    <n v="330"/>
    <n v="0"/>
    <s v="ร้านที่1"/>
    <s v="ว***ล ท***ัน"/>
    <s v="มุกดาหาร"/>
    <s v="-"/>
    <s v=""/>
    <s v="03/01/2025 20:55"/>
    <s v="-"/>
    <s v="Flash Express Thailand COD"/>
    <s v="Tiktok"/>
    <s v="จ่ายทีหลัง / COD"/>
    <s v=""/>
    <s v="THT46011DW06J0Z"/>
    <s v="03/01/2025 20:56"/>
  </r>
  <r>
    <x v="4"/>
    <x v="4"/>
    <n v="100"/>
    <n v="1"/>
    <n v="0"/>
    <s v="EPZ19"/>
    <n v="200"/>
    <n v="0"/>
    <s v="ร้านที่2"/>
    <s v="เ***มาศ แ***ทอง"/>
    <s v="เทศบาลนครสุราษฎร์ธานี"/>
    <s v="-"/>
    <s v=""/>
    <s v="03/01/2025 20:52"/>
    <s v="-"/>
    <s v="J&amp;T COD"/>
    <s v="Tiktok"/>
    <s v="จ่ายทีหลัง / COD"/>
    <s v=""/>
    <s v="754219167822"/>
    <s v="03/01/2025 20:52"/>
  </r>
  <r>
    <x v="9"/>
    <x v="4"/>
    <n v="100"/>
    <n v="1"/>
    <n v="0"/>
    <s v="EPZ19"/>
    <n v="200"/>
    <n v="0"/>
    <s v="ร้านที่2"/>
    <s v="เ***มาศ แ***ทอง"/>
    <s v="เทศบาลนครสุราษฎร์ธานี"/>
    <s v="-"/>
    <s v=""/>
    <s v="03/01/2025 20:52"/>
    <s v="-"/>
    <s v="J&amp;T COD"/>
    <s v="Tiktok"/>
    <s v="จ่ายทีหลัง / COD"/>
    <s v=""/>
    <s v="754219167822"/>
    <s v="03/01/2025 20:52"/>
  </r>
  <r>
    <x v="1"/>
    <x v="1"/>
    <n v="200"/>
    <n v="1"/>
    <n v="0"/>
    <s v="EPZ18"/>
    <n v="200"/>
    <n v="0"/>
    <s v="ร้านที่2"/>
    <s v="เ***า ส***ษ์สา"/>
    <s v="จันทบุรี"/>
    <s v="-"/>
    <s v=""/>
    <s v="03/01/2025 20:52"/>
    <s v="-"/>
    <s v="J&amp;T COD"/>
    <s v="Tiktok"/>
    <s v="จ่ายทีหลัง / COD"/>
    <s v=""/>
    <s v="754260565844"/>
    <s v="03/01/2025 20:52"/>
  </r>
  <r>
    <x v="1"/>
    <x v="1"/>
    <n v="200"/>
    <n v="1"/>
    <n v="0"/>
    <s v="EPZ17"/>
    <n v="200"/>
    <n v="0"/>
    <s v="ร้านที่2"/>
    <s v="น***สุรีย์รัตน์ ม***สุข"/>
    <s v="สงขลา"/>
    <s v="-"/>
    <s v=""/>
    <s v="03/01/2025 20:51"/>
    <s v="-"/>
    <s v="J&amp;T COD"/>
    <s v="Tiktok"/>
    <s v="จ่ายทีหลัง / COD"/>
    <s v=""/>
    <s v="754243568816"/>
    <s v="03/01/2025 20:51"/>
  </r>
  <r>
    <x v="19"/>
    <x v="19"/>
    <n v="199"/>
    <n v="1"/>
    <n v="0"/>
    <s v="EPZ16"/>
    <n v="228"/>
    <n v="29"/>
    <s v="ร้านที่1"/>
    <s v="ว******ง"/>
    <s v="******นบ้านของฝาก ตำบลไชยภูมิ อำเภอไชโย จังหวัดอ่างทอง 14140"/>
    <s v="14140"/>
    <s v="98"/>
    <s v="03/01/2025 21:20"/>
    <s v="-"/>
    <s v="Flash Express"/>
    <s v="Shopee"/>
    <s v="shopee"/>
    <s v=""/>
    <s v="TH06026NJ4K81B"/>
    <s v="03/01/2025 20:50"/>
  </r>
  <r>
    <x v="3"/>
    <x v="8"/>
    <n v="84"/>
    <n v="1"/>
    <n v="0"/>
    <s v="EPZ15"/>
    <n v="173"/>
    <n v="5"/>
    <s v="ร้านที่6"/>
    <s v="สุชาดา พิณเขียว"/>
    <s v="7หมู่10 ถ.สุรนารายณ์ ต.โคกสูง อ.เมือง จ.นครราชสีมา_x000a__x000a_เมืองนครราชสีมา/ Mueng Nakorn Ratchasimaนครราชสีมา/ Nakhon Ratchasima_x000a_30310"/>
    <s v="30310"/>
    <s v="660994262516"/>
    <s v="03/01/2025 20:49"/>
    <s v="-"/>
    <s v="Kerry_dropoff"/>
    <s v="Lazada"/>
    <s v="lazada"/>
    <s v=""/>
    <s v="LEXPU0441458640"/>
    <s v="03/01/2025 20:48"/>
  </r>
  <r>
    <x v="3"/>
    <x v="8"/>
    <n v="84"/>
    <n v="1"/>
    <n v="0"/>
    <s v="EPZ15"/>
    <n v="173"/>
    <n v="5"/>
    <s v="ร้านที่6"/>
    <s v="สุชาดา พิณเขียว"/>
    <s v="7หมู่10 ถ.สุรนารายณ์ ต.โคกสูง อ.เมือง จ.นครราชสีมา_x000a__x000a_เมืองนครราชสีมา/ Mueng Nakorn Ratchasimaนครราชสีมา/ Nakhon Ratchasima_x000a_30310"/>
    <s v="30310"/>
    <s v="660994262516"/>
    <s v="03/01/2025 20:49"/>
    <s v="-"/>
    <s v="Kerry_dropoff"/>
    <s v="Lazada"/>
    <s v="lazada"/>
    <s v=""/>
    <s v="LEXPU0441458640"/>
    <s v="03/01/2025 20:48"/>
  </r>
  <r>
    <x v="9"/>
    <x v="4"/>
    <n v="100"/>
    <n v="1"/>
    <n v="0"/>
    <s v="EPZ14"/>
    <n v="185"/>
    <n v="0"/>
    <s v="ร้านที่4"/>
    <s v="อ***สยา เ***เกตุการ"/>
    <s v="สมุทรปราการ"/>
    <s v="-"/>
    <s v=""/>
    <s v="03/01/2025 20:47"/>
    <s v="-"/>
    <s v="Flash Express Thailand"/>
    <s v="Tiktok"/>
    <s v="tiktok"/>
    <s v=""/>
    <s v="THT02011DVPV88Z"/>
    <s v="03/01/2025 20:46"/>
  </r>
  <r>
    <x v="54"/>
    <x v="11"/>
    <n v="250"/>
    <n v="1"/>
    <n v="0"/>
    <s v="EPZ13"/>
    <n v="500"/>
    <n v="0"/>
    <s v="ร้านที่4"/>
    <s v="น***าววันวิสาข์  พ***ุนทด"/>
    <s v="ปทุมธานี"/>
    <s v="-"/>
    <s v=""/>
    <s v="03/01/2025 20:46"/>
    <s v="-"/>
    <s v="Flash Express Thailand"/>
    <s v="Tiktok"/>
    <s v="tiktok"/>
    <s v=""/>
    <s v="THT04061DVKZV4Z"/>
    <s v="03/01/2025 20:46"/>
  </r>
  <r>
    <x v="55"/>
    <x v="11"/>
    <n v="250"/>
    <n v="1"/>
    <n v="0"/>
    <s v="EPZ13"/>
    <n v="500"/>
    <n v="0"/>
    <s v="ร้านที่4"/>
    <s v="น***าววันวิสาข์  พ***ุนทด"/>
    <s v="ปทุมธานี"/>
    <s v="-"/>
    <s v=""/>
    <s v="03/01/2025 20:46"/>
    <s v="-"/>
    <s v="Flash Express Thailand"/>
    <s v="Tiktok"/>
    <s v="tiktok"/>
    <s v=""/>
    <s v="THT04061DVKZV4Z"/>
    <s v="03/01/2025 20:46"/>
  </r>
  <r>
    <x v="10"/>
    <x v="10"/>
    <n v="200"/>
    <n v="1"/>
    <n v="0"/>
    <s v="EPZ12"/>
    <n v="200"/>
    <n v="0"/>
    <s v="ร้านที่2"/>
    <s v="น***เนเน่"/>
    <s v="นครสวรรค์"/>
    <s v="-"/>
    <s v=""/>
    <s v="03/01/2025 20:41"/>
    <s v="-"/>
    <s v="J&amp;T Express"/>
    <s v="Tiktok"/>
    <s v="tiktok"/>
    <s v=""/>
    <s v="754278369843"/>
    <s v="03/01/2025 20:40"/>
  </r>
  <r>
    <x v="4"/>
    <x v="4"/>
    <n v="100"/>
    <n v="1"/>
    <n v="0"/>
    <s v="EPZ10"/>
    <n v="200"/>
    <n v="0"/>
    <s v="ร้านที่1"/>
    <s v="ณ***ร "/>
    <s v="เชียงราย"/>
    <s v="-"/>
    <s v=""/>
    <s v="03/01/2025 20:37"/>
    <s v="-"/>
    <s v="J&amp;T COD"/>
    <s v="Tiktok"/>
    <s v="จ่ายทีหลัง / COD"/>
    <s v=""/>
    <s v="754293769843"/>
    <s v="03/01/2025 20:37"/>
  </r>
  <r>
    <x v="9"/>
    <x v="4"/>
    <n v="100"/>
    <n v="1"/>
    <n v="0"/>
    <s v="EPZ10"/>
    <n v="200"/>
    <n v="0"/>
    <s v="ร้านที่1"/>
    <s v="ณ***ร "/>
    <s v="เชียงราย"/>
    <s v="-"/>
    <s v=""/>
    <s v="03/01/2025 20:37"/>
    <s v="-"/>
    <s v="J&amp;T COD"/>
    <s v="Tiktok"/>
    <s v="จ่ายทีหลัง / COD"/>
    <s v=""/>
    <s v="754293769843"/>
    <s v="03/01/2025 20:37"/>
  </r>
  <r>
    <x v="0"/>
    <x v="0"/>
    <n v="100"/>
    <n v="1"/>
    <n v="0"/>
    <s v="EPZ9"/>
    <n v="106"/>
    <n v="6"/>
    <s v="ร้านที่1"/>
    <s v="น**"/>
    <s v="เชียงราย"/>
    <s v="-"/>
    <s v=""/>
    <s v="03/01/2025 20:36"/>
    <s v="-"/>
    <s v="J&amp;T Express"/>
    <s v="Tiktok"/>
    <s v="tiktok"/>
    <s v=""/>
    <s v="754264047880"/>
    <s v="03/01/2025 20:36"/>
  </r>
  <r>
    <x v="5"/>
    <x v="5"/>
    <n v="350"/>
    <n v="1"/>
    <n v="0"/>
    <s v="EPZ8"/>
    <n v="350"/>
    <n v="0"/>
    <s v="ร้านที่4"/>
    <s v="ภ***ณี บ***ลับ"/>
    <s v="อุทัยธานี"/>
    <s v="-"/>
    <s v=""/>
    <s v="03/01/2025 20:35"/>
    <s v="-"/>
    <s v="Flash Express Thailand COD"/>
    <s v="Tiktok"/>
    <s v="จ่ายทีหลัง / COD"/>
    <s v=""/>
    <s v="THT57021DVFSS3Z"/>
    <s v="03/01/2025 20:36"/>
  </r>
  <r>
    <x v="1"/>
    <x v="1"/>
    <n v="200"/>
    <n v="1"/>
    <n v="0"/>
    <s v="EPZ7"/>
    <n v="200"/>
    <n v="0"/>
    <s v="ร้านที่2"/>
    <s v="ว***นา เ***กสุบรนณ"/>
    <s v="สุราษฎร์ธานี"/>
    <s v="-"/>
    <s v=""/>
    <s v="03/01/2025 20:35"/>
    <s v="-"/>
    <s v="J&amp;T Express"/>
    <s v="Tiktok"/>
    <s v="tiktok"/>
    <s v=""/>
    <s v="754294763854"/>
    <s v="03/01/2025 20:34"/>
  </r>
  <r>
    <x v="5"/>
    <x v="5"/>
    <n v="330"/>
    <n v="1"/>
    <n v="0"/>
    <s v="EPZ6"/>
    <n v="330"/>
    <n v="0"/>
    <s v="ร้านที่1"/>
    <s v="ป***ล่าน"/>
    <s v="ยะลา"/>
    <s v="-"/>
    <s v=""/>
    <s v="03/01/2025 20:31"/>
    <s v="-"/>
    <s v="J&amp;T COD"/>
    <s v="Tiktok"/>
    <s v="จ่ายทีหลัง / COD"/>
    <s v=""/>
    <s v="754254062833"/>
    <s v="03/01/2025 20:31"/>
  </r>
  <r>
    <x v="9"/>
    <x v="4"/>
    <n v="100"/>
    <n v="1"/>
    <n v="0"/>
    <s v="EPZ5"/>
    <n v="500"/>
    <n v="0"/>
    <s v="ร้านที่4"/>
    <s v="ห***พิรุณ ด***ฆ"/>
    <s v="ตาก"/>
    <s v="-"/>
    <s v=""/>
    <s v="03/01/2025 20:31"/>
    <s v="-"/>
    <s v="Flash Express Thailand"/>
    <s v="Tiktok"/>
    <s v="tiktok"/>
    <s v="แต่ละกล่องขอคละมีใส้กับไม่มีใส้นะคะจะเอาไปเป็นของฝากปีใหม่ค่ะ"/>
    <s v="THT59011DVT9N3Z"/>
    <s v="03/01/2025 20:31"/>
  </r>
  <r>
    <x v="10"/>
    <x v="10"/>
    <n v="200"/>
    <n v="2"/>
    <n v="0"/>
    <s v="EPZ5"/>
    <n v="500"/>
    <n v="0"/>
    <s v="ร้านที่4"/>
    <s v="ห***พิรุณ ด***ฆ"/>
    <s v="ตาก"/>
    <s v="-"/>
    <s v=""/>
    <s v="03/01/2025 20:31"/>
    <s v="-"/>
    <s v="Flash Express Thailand"/>
    <s v="Tiktok"/>
    <s v="tiktok"/>
    <s v="แต่ละกล่องขอคละมีใส้กับไม่มีใส้นะคะจะเอาไปเป็นของฝากปีใหม่ค่ะ"/>
    <s v="THT59011DVT9N3Z"/>
    <s v="03/01/2025 20:31"/>
  </r>
  <r>
    <x v="0"/>
    <x v="0"/>
    <n v="100"/>
    <n v="1"/>
    <n v="0"/>
    <s v="EPZ4"/>
    <n v="100"/>
    <n v="0"/>
    <s v="ร้านที่2"/>
    <s v="น***สมจิตร อ***ันต์"/>
    <s v="เพชรบูรณ์"/>
    <s v="-"/>
    <s v=""/>
    <s v="03/01/2025 20:28"/>
    <s v="-"/>
    <s v="J&amp;T COD"/>
    <s v="Tiktok"/>
    <s v="จ่ายทีหลัง / COD"/>
    <s v=""/>
    <s v="754291942821"/>
    <s v="03/01/2025 20:28"/>
  </r>
  <r>
    <x v="1"/>
    <x v="1"/>
    <n v="200"/>
    <n v="1"/>
    <n v="0"/>
    <s v="EPZ2"/>
    <n v="200"/>
    <n v="0"/>
    <s v="ร้านที่2"/>
    <s v="ก*** พ***ไทย"/>
    <s v="เทศบาลนครสกลนคร"/>
    <s v="-"/>
    <s v=""/>
    <s v="03/01/2025 20:22"/>
    <s v="-"/>
    <s v="J&amp;T COD"/>
    <s v="Tiktok"/>
    <s v="จ่ายทีหลัง / COD"/>
    <s v=""/>
    <s v="754279279810"/>
    <s v="03/01/2025 20:22"/>
  </r>
  <r>
    <x v="38"/>
    <x v="50"/>
    <n v="200"/>
    <n v="1"/>
    <n v="0"/>
    <s v="EPZ1"/>
    <n v="245"/>
    <n v="45"/>
    <s v="ร้านที่4"/>
    <s v="a***cha f***"/>
    <s v="ปทุมธานี"/>
    <s v="-"/>
    <s v=""/>
    <s v="03/01/2025 20:22"/>
    <s v="-"/>
    <s v="Flash Express Thailand"/>
    <s v="Tiktok"/>
    <s v="tiktok"/>
    <s v=""/>
    <s v="THT04031DVKYF7Z"/>
    <s v="03/01/2025 20:21"/>
  </r>
  <r>
    <x v="4"/>
    <x v="4"/>
    <n v="100"/>
    <n v="1"/>
    <n v="0"/>
    <s v="EPZ0"/>
    <n v="129"/>
    <n v="29"/>
    <s v="ร้านที่2"/>
    <s v="น*** น***ศร ม***้มภัก"/>
    <s v="พระนครศรีอยุธยา"/>
    <s v="-"/>
    <s v=""/>
    <s v="03/01/2025 20:21"/>
    <s v="-"/>
    <s v="J&amp;T Express"/>
    <s v="Tiktok"/>
    <s v="tiktok"/>
    <s v=""/>
    <s v="754287240895"/>
    <s v="03/01/2025 20:17"/>
  </r>
  <r>
    <x v="1"/>
    <x v="1"/>
    <n v="200"/>
    <n v="1"/>
    <n v="0"/>
    <s v="EPY99"/>
    <n v="200"/>
    <n v="0"/>
    <s v="ร้านที่1"/>
    <s v="บ***อิญ ท***ชียง"/>
    <s v="สิงห์บุรี"/>
    <s v="-"/>
    <s v=""/>
    <s v="03/01/2025 20:15"/>
    <s v="-"/>
    <s v="J&amp;T COD"/>
    <s v="Tiktok"/>
    <s v="จ่ายทีหลัง / COD"/>
    <s v=""/>
    <s v="754227278814"/>
    <s v="03/01/2025 20:15"/>
  </r>
  <r>
    <x v="1"/>
    <x v="1"/>
    <n v="200"/>
    <n v="1"/>
    <n v="0"/>
    <s v="EPY98"/>
    <n v="200"/>
    <n v="0"/>
    <s v="ร้านที่2"/>
    <s v="อ***าต ป***าดี"/>
    <s v="อำนาจเจริญ"/>
    <s v="-"/>
    <s v=""/>
    <s v="03/01/2025 20:11"/>
    <s v="-"/>
    <s v="J&amp;T COD"/>
    <s v="Tiktok"/>
    <s v="จ่ายทีหลัง / COD"/>
    <s v=""/>
    <s v="754232875826"/>
    <s v="03/01/2025 20:11"/>
  </r>
  <r>
    <x v="1"/>
    <x v="1"/>
    <n v="200"/>
    <n v="1"/>
    <n v="0"/>
    <s v="EPY96"/>
    <n v="200"/>
    <n v="0"/>
    <s v="ร้านที่1"/>
    <s v="อ***"/>
    <s v="กรุงเทพฯ"/>
    <s v="-"/>
    <s v=""/>
    <s v="03/01/2025 20:06"/>
    <s v="-"/>
    <s v="J&amp;T COD"/>
    <s v="Tiktok"/>
    <s v="จ่ายทีหลัง / COD"/>
    <s v=""/>
    <s v="754268364846"/>
    <s v="03/01/2025 20:06"/>
  </r>
  <r>
    <x v="19"/>
    <x v="34"/>
    <n v="213.75"/>
    <n v="1"/>
    <n v="0"/>
    <s v="EPY94"/>
    <n v="218.75"/>
    <n v="5"/>
    <s v="ร้านที่9"/>
    <s v="ดวงกมล อยู่เย็น  (จากน้องมุก)"/>
    <s v="69/530 หมู่บ้านวีเคโฮม ซอยอนามัยงามเจริญ 31 ถนนอนามัยงามเจริญ · ท่าข้าม/ Tha Kham_x000a__x000a_บางขุนเทียน/ Bang Khun Thianกรุงเทพมหานคร/ Bangkok_x000a_10150"/>
    <s v="10150"/>
    <s v="660972175574"/>
    <s v="03/01/2025 20:04"/>
    <s v="-"/>
    <s v="Kerry_dropoff"/>
    <s v="Lazada"/>
    <s v="lazada"/>
    <s v=""/>
    <s v="LEXDO0123756453"/>
    <s v="03/01/2025 20:04"/>
  </r>
  <r>
    <x v="19"/>
    <x v="19"/>
    <n v="197"/>
    <n v="1"/>
    <n v="0"/>
    <s v="EPY93"/>
    <n v="240"/>
    <n v="45"/>
    <s v="ร้านที่2"/>
    <s v="เ******์"/>
    <s v="******ากเกร็ด จังหวัดนนทบุรี ตำบลคลองข่อย อำเภอปากเกร็ด จังหวัดนนทบุรี 11120"/>
    <s v="11120"/>
    <s v="52"/>
    <s v="03/01/2025 20:08"/>
    <s v="-"/>
    <s v="Flash Express"/>
    <s v="Shopee"/>
    <s v="shopee"/>
    <s v=""/>
    <s v="TH03066NHSM42J"/>
    <s v="03/01/2025 20:02"/>
  </r>
  <r>
    <x v="10"/>
    <x v="10"/>
    <n v="200"/>
    <n v="1"/>
    <n v="0"/>
    <s v="EPY92"/>
    <n v="200"/>
    <n v="0"/>
    <s v="ร้านที่4"/>
    <s v="น*** ส***ิง ห***ทอง"/>
    <s v="ราชบุรี"/>
    <s v="-"/>
    <s v=""/>
    <s v="03/01/2025 20:02"/>
    <s v="-"/>
    <s v="Flash Express Thailand COD"/>
    <s v="Tiktok"/>
    <s v="จ่ายทีหลัง / COD"/>
    <s v=""/>
    <s v="THT12011DW64X0Z"/>
    <s v="03/01/2025 20:02"/>
  </r>
  <r>
    <x v="1"/>
    <x v="1"/>
    <n v="232.55"/>
    <n v="1"/>
    <n v="0"/>
    <s v="EPY91"/>
    <n v="489.1"/>
    <n v="24"/>
    <s v="ร้านที่1"/>
    <s v="วิชุดา วรรณเขต"/>
    <s v="CBC INGS (Thailand) Co.,Ltd หมู่ที่ 5 นิคมอุตสาหกรรมอมตะซิตี้ ชลบุรี 700/869 ตำบล หนองกะขะ อำเภอพานทอง ชลบุรี 20160_x000a__x000a_พานทอง/ Phan Thongชลบุรี/ Chonburi_x000a_20160"/>
    <s v="20160"/>
    <s v="660864077006"/>
    <s v="03/01/2025 20:02"/>
    <s v="-"/>
    <s v="Kerry_dropoff"/>
    <s v="Lazada"/>
    <s v="lazada"/>
    <s v=""/>
    <s v="LEXPU0441461709"/>
    <s v="03/01/2025 20:02"/>
  </r>
  <r>
    <x v="1"/>
    <x v="1"/>
    <n v="232.55"/>
    <n v="1"/>
    <n v="0"/>
    <s v="EPY91"/>
    <n v="489.1"/>
    <n v="24"/>
    <s v="ร้านที่1"/>
    <s v="วิชุดา วรรณเขต"/>
    <s v="CBC INGS (Thailand) Co.,Ltd หมู่ที่ 5 นิคมอุตสาหกรรมอมตะซิตี้ ชลบุรี 700/869 ตำบล หนองกะขะ อำเภอพานทอง ชลบุรี 20160_x000a__x000a_พานทอง/ Phan Thongชลบุรี/ Chonburi_x000a_20160"/>
    <s v="20160"/>
    <s v="660864077006"/>
    <s v="03/01/2025 20:02"/>
    <s v="-"/>
    <s v="Kerry_dropoff"/>
    <s v="Lazada"/>
    <s v="lazada"/>
    <s v=""/>
    <s v="LEXPU0441461709"/>
    <s v="03/01/2025 20:02"/>
  </r>
  <r>
    <x v="4"/>
    <x v="4"/>
    <n v="100"/>
    <n v="1"/>
    <n v="0"/>
    <s v="EPY90"/>
    <n v="106"/>
    <n v="6"/>
    <s v="ร้านที่2"/>
    <s v="จ***รัตน์"/>
    <s v="กาญจนบุรี"/>
    <s v="-"/>
    <s v=""/>
    <s v="03/01/2025 20:01"/>
    <s v="-"/>
    <s v="J&amp;T COD"/>
    <s v="Tiktok"/>
    <s v="จ่ายทีหลัง / COD"/>
    <s v=""/>
    <s v="754202135886"/>
    <s v="03/01/2025 20:01"/>
  </r>
  <r>
    <x v="10"/>
    <x v="10"/>
    <n v="200"/>
    <n v="1"/>
    <n v="0"/>
    <s v="EPY89"/>
    <n v="530"/>
    <n v="0"/>
    <s v="ร้านที่2"/>
    <s v="ข***ขนิษฐา พ***ักษา"/>
    <s v="สมุทรปราการ"/>
    <s v="-"/>
    <s v=""/>
    <s v="03/01/2025 20:00"/>
    <s v="-"/>
    <s v="Flash Express Thailand"/>
    <s v="Tiktok"/>
    <s v="tiktok"/>
    <s v=""/>
    <s v="THT02051DW28F4Z"/>
    <s v="03/01/2025 20:00"/>
  </r>
  <r>
    <x v="5"/>
    <x v="5"/>
    <n v="330"/>
    <n v="1"/>
    <n v="0"/>
    <s v="EPY89"/>
    <n v="530"/>
    <n v="0"/>
    <s v="ร้านที่2"/>
    <s v="ข***ขนิษฐา พ***ักษา"/>
    <s v="สมุทรปราการ"/>
    <s v="-"/>
    <s v=""/>
    <s v="03/01/2025 20:00"/>
    <s v="-"/>
    <s v="Flash Express Thailand"/>
    <s v="Tiktok"/>
    <s v="tiktok"/>
    <s v=""/>
    <s v="THT02051DW28F4Z"/>
    <s v="03/01/2025 20:00"/>
  </r>
  <r>
    <x v="4"/>
    <x v="4"/>
    <n v="100"/>
    <n v="1"/>
    <n v="0"/>
    <s v="EPY88"/>
    <n v="106"/>
    <n v="6"/>
    <s v="ร้านที่4"/>
    <s v="ป***ัย แ***ทอง แ**"/>
    <s v="สงขลา"/>
    <s v="-"/>
    <s v=""/>
    <s v="03/01/2025 19:59"/>
    <s v="-"/>
    <s v="Flash Express Thailand COD"/>
    <s v="Tiktok"/>
    <s v="จ่ายทีหลัง / COD"/>
    <s v=""/>
    <s v="THT71061DVDAB9Z"/>
    <s v="03/01/2025 19:59"/>
  </r>
  <r>
    <x v="5"/>
    <x v="5"/>
    <n v="350"/>
    <n v="1"/>
    <n v="0"/>
    <s v="EPY87"/>
    <n v="350"/>
    <n v="0"/>
    <s v="ร้านที่4"/>
    <s v="เ***อวัลย์ จ***ม"/>
    <s v="ปราจีนบุรี"/>
    <s v="-"/>
    <s v=""/>
    <s v="03/01/2025 19:56"/>
    <s v="-"/>
    <s v="Flash Express Thailand COD"/>
    <s v="Tiktok"/>
    <s v="จ่ายทีหลัง / COD"/>
    <s v=""/>
    <s v="THT25071DVN253Z"/>
    <s v="03/01/2025 19:56"/>
  </r>
  <r>
    <x v="9"/>
    <x v="4"/>
    <n v="100"/>
    <n v="1"/>
    <n v="0"/>
    <s v="EPY85"/>
    <n v="106"/>
    <n v="6"/>
    <s v="ร้านที่2"/>
    <s v="น***ช ด***ข็ม"/>
    <s v="กาญจนบุรี"/>
    <s v="-"/>
    <s v=""/>
    <s v="03/01/2025 19:55"/>
    <s v="-"/>
    <s v="J&amp;T COD"/>
    <s v="Tiktok"/>
    <s v="จ่ายทีหลัง / COD"/>
    <s v=""/>
    <s v="754270809832"/>
    <s v="03/01/2025 19:55"/>
  </r>
  <r>
    <x v="1"/>
    <x v="1"/>
    <n v="200"/>
    <n v="1"/>
    <n v="0"/>
    <s v="EPY84"/>
    <n v="200"/>
    <n v="0"/>
    <s v="ร้านที่1"/>
    <s v="ว***า"/>
    <s v="ร้อยเอ็ด"/>
    <s v="-"/>
    <s v=""/>
    <s v="03/01/2025 19:54"/>
    <s v="-"/>
    <s v="J&amp;T COD"/>
    <s v="Tiktok"/>
    <s v="จ่ายทีหลัง / COD"/>
    <s v=""/>
    <s v="754278211886"/>
    <s v="03/01/2025 19:54"/>
  </r>
  <r>
    <x v="9"/>
    <x v="4"/>
    <n v="100"/>
    <n v="1"/>
    <n v="0"/>
    <s v="EPY83"/>
    <n v="200"/>
    <n v="0"/>
    <s v="ร้านที่2"/>
    <s v="ป***า ล***สมบัติอนันต์"/>
    <s v="สมุทรสงคราม"/>
    <s v="-"/>
    <s v=""/>
    <s v="03/01/2025 19:53"/>
    <s v="-"/>
    <s v="J&amp;T COD"/>
    <s v="Tiktok"/>
    <s v="จ่ายทีหลัง / COD"/>
    <s v=""/>
    <s v="754268368825"/>
    <s v="03/01/2025 19:53"/>
  </r>
  <r>
    <x v="4"/>
    <x v="4"/>
    <n v="100"/>
    <n v="1"/>
    <n v="0"/>
    <s v="EPY83"/>
    <n v="200"/>
    <n v="0"/>
    <s v="ร้านที่2"/>
    <s v="ป***า ล***สมบัติอนันต์"/>
    <s v="สมุทรสงคราม"/>
    <s v="-"/>
    <s v=""/>
    <s v="03/01/2025 19:53"/>
    <s v="-"/>
    <s v="J&amp;T COD"/>
    <s v="Tiktok"/>
    <s v="จ่ายทีหลัง / COD"/>
    <s v=""/>
    <s v="754268368825"/>
    <s v="03/01/2025 19:53"/>
  </r>
  <r>
    <x v="10"/>
    <x v="10"/>
    <n v="200"/>
    <n v="1"/>
    <n v="0"/>
    <s v="EPY82"/>
    <n v="200"/>
    <n v="0"/>
    <s v="ร้านที่4"/>
    <s v="แ***้อย  ศ***วณิชชากร"/>
    <s v="สมุทรปราการ"/>
    <s v="-"/>
    <s v=""/>
    <s v="03/01/2025 19:52"/>
    <s v="-"/>
    <s v="Flash Express Thailand COD"/>
    <s v="Tiktok"/>
    <s v="จ่ายทีหลัง / COD"/>
    <s v=""/>
    <s v="THT02041DVTDA1Z"/>
    <s v="03/01/2025 19:52"/>
  </r>
  <r>
    <x v="4"/>
    <x v="4"/>
    <n v="100"/>
    <n v="1"/>
    <n v="0"/>
    <s v="EPY81"/>
    <n v="106"/>
    <n v="6"/>
    <s v="ร้านที่1"/>
    <s v="ข***ฐา​ ด***รัส​"/>
    <s v="เทศบาลนครสุราษฎร์ธานี"/>
    <s v="-"/>
    <s v=""/>
    <s v="03/01/2025 19:50"/>
    <s v="-"/>
    <s v="J&amp;T COD"/>
    <s v="Tiktok"/>
    <s v="จ่ายทีหลัง / COD"/>
    <s v=""/>
    <s v="754228731896"/>
    <s v="03/01/2025 19:50"/>
  </r>
  <r>
    <x v="3"/>
    <x v="3"/>
    <n v="100"/>
    <n v="1"/>
    <n v="0"/>
    <s v="EPY80"/>
    <n v="167"/>
    <n v="7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20:18"/>
    <s v="-"/>
    <s v="Flash Express"/>
    <s v="Shopee"/>
    <s v="shopee"/>
    <s v=""/>
    <s v="TH01086NJF939B1"/>
    <s v="03/01/2025 19:48"/>
  </r>
  <r>
    <x v="3"/>
    <x v="3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4"/>
    <x v="4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9"/>
    <x v="4"/>
    <n v="100"/>
    <n v="1"/>
    <n v="0"/>
    <s v="EPY79"/>
    <n v="300"/>
    <n v="0"/>
    <s v="ร้านที่1"/>
    <s v="ณ***า ช***ัย"/>
    <s v="กรุงเทพฯ"/>
    <s v="-"/>
    <s v=""/>
    <s v="03/01/2025 19:48"/>
    <s v="-"/>
    <s v="J&amp;T Express"/>
    <s v="Tiktok"/>
    <s v="tiktok"/>
    <s v=""/>
    <s v="754297670836"/>
    <s v="03/01/2025 19:48"/>
  </r>
  <r>
    <x v="10"/>
    <x v="10"/>
    <n v="200"/>
    <n v="1"/>
    <n v="0"/>
    <s v="EPY78"/>
    <n v="200"/>
    <n v="0"/>
    <s v="ร้านที่1"/>
    <s v="น***รรยา ช***ูรณ์"/>
    <s v="นครพนม"/>
    <s v="-"/>
    <s v=""/>
    <s v="03/01/2025 19:45"/>
    <s v="-"/>
    <s v="J&amp;T COD"/>
    <s v="Tiktok"/>
    <s v="จ่ายทีหลัง / COD"/>
    <s v=""/>
    <s v="754227961826"/>
    <s v="03/01/2025 19:45"/>
  </r>
  <r>
    <x v="3"/>
    <x v="3"/>
    <n v="100"/>
    <n v="2"/>
    <n v="0"/>
    <s v="EPY77"/>
    <n v="983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3/01/2025 19:44"/>
    <s v="-"/>
    <s v="Flash Express"/>
    <s v="Shopee"/>
    <s v="shopee"/>
    <s v=""/>
    <s v="TH71056NHFN87C"/>
    <s v="03/01/2025 19:44"/>
  </r>
  <r>
    <x v="19"/>
    <x v="19"/>
    <n v="197"/>
    <n v="4"/>
    <n v="0"/>
    <s v="EPY77"/>
    <n v="983"/>
    <n v="0"/>
    <s v="ร้านที่2"/>
    <s v="น******ก"/>
    <s v="******กองร้อยทหารม้าที่ 2 ต.เกาะสะบ้า อ.เทพา จ.สงขลา ตำบลเกาะสะบ้า อำเภอเทพา จังหวัดสงขลา 90150"/>
    <s v="90150"/>
    <s v="33"/>
    <s v="03/01/2025 19:44"/>
    <s v="-"/>
    <s v="Flash Express"/>
    <s v="Shopee"/>
    <s v="shopee"/>
    <s v=""/>
    <s v="TH71056NHFN87C"/>
    <s v="03/01/2025 19:44"/>
  </r>
  <r>
    <x v="9"/>
    <x v="4"/>
    <n v="100"/>
    <n v="1"/>
    <n v="0"/>
    <s v="EPY76"/>
    <n v="106"/>
    <n v="6"/>
    <s v="ร้านที่1"/>
    <s v="ร***ียบ แ***ศรี"/>
    <s v="ชลบุรี"/>
    <s v="-"/>
    <s v=""/>
    <s v="03/01/2025 19:44"/>
    <s v="-"/>
    <s v="J&amp;T Express"/>
    <s v="Tiktok"/>
    <s v="tiktok"/>
    <s v=""/>
    <s v="754275801834"/>
    <s v="03/01/2025 19:43"/>
  </r>
  <r>
    <x v="9"/>
    <x v="4"/>
    <n v="100"/>
    <n v="1"/>
    <n v="0"/>
    <s v="EPY75"/>
    <n v="106"/>
    <n v="6"/>
    <s v="ร้านที่2"/>
    <s v="T**"/>
    <s v="นครราชสีมา"/>
    <s v="-"/>
    <s v=""/>
    <s v="03/01/2025 19:39"/>
    <s v="-"/>
    <s v="J&amp;T COD"/>
    <s v="Tiktok"/>
    <s v="จ่ายทีหลัง / COD"/>
    <s v=""/>
    <s v="754201397751"/>
    <s v="03/01/2025 19:39"/>
  </r>
  <r>
    <x v="10"/>
    <x v="10"/>
    <n v="200"/>
    <n v="1"/>
    <n v="0"/>
    <s v="EPY73"/>
    <n v="200"/>
    <n v="0"/>
    <s v="ร้านที่4"/>
    <s v="ช***นต์ จ***นะชาติ"/>
    <s v="อำนาจเจริญ"/>
    <s v="-"/>
    <s v=""/>
    <s v="03/01/2025 19:35"/>
    <s v="-"/>
    <s v="Flash Express Thailand COD"/>
    <s v="Tiktok"/>
    <s v="จ่ายทีหลัง / COD"/>
    <s v=""/>
    <s v="THT34061DVTA51Z"/>
    <s v="03/01/2025 19:35"/>
  </r>
  <r>
    <x v="19"/>
    <x v="19"/>
    <n v="197"/>
    <n v="1"/>
    <n v="0"/>
    <s v="EPY72"/>
    <n v="240"/>
    <n v="45"/>
    <s v="ร้านที่2"/>
    <s v="ช******ม"/>
    <s v="******่ทาวน์โฮม ซ.18 ต.ละหาร ตำบลละหาร อำเภอบางบัวทอง จังหวัดนนทบุรี 11110"/>
    <s v="11110"/>
    <s v="23"/>
    <s v="03/01/2025 19:34"/>
    <s v="-"/>
    <s v="Flash Express"/>
    <s v="Shopee"/>
    <s v="shopee"/>
    <s v=""/>
    <s v="TH03046NJ0XC1E"/>
    <s v="03/01/2025 19:34"/>
  </r>
  <r>
    <x v="19"/>
    <x v="19"/>
    <n v="197"/>
    <n v="1"/>
    <n v="0"/>
    <s v="EPY71"/>
    <n v="237"/>
    <n v="45"/>
    <s v="ร้านที่2"/>
    <s v="ช******ม"/>
    <s v="******่ทาวน์โฮม ซ.18 ต.ละหาร ตำบลละหาร อำเภอบางบัวทอง จังหวัดนนทบุรี 11110"/>
    <s v="11110"/>
    <s v="23"/>
    <s v="03/01/2025 19:33"/>
    <s v="-"/>
    <s v="Flash Express"/>
    <s v="Shopee"/>
    <s v="shopee"/>
    <s v=""/>
    <s v="TH03046NJ0MD1E"/>
    <s v="03/01/2025 19:33"/>
  </r>
  <r>
    <x v="19"/>
    <x v="19"/>
    <n v="197"/>
    <n v="1"/>
    <n v="0"/>
    <s v="EPY70"/>
    <n v="240"/>
    <n v="45"/>
    <s v="ร้านที่2"/>
    <s v="ธ******์"/>
    <s v="******อ.บางบัวทอง จ.นนทบุรี 11110 (ซอย18 อยู่ตรงวงเวียน หลังที่2 ขวามือ) ตำบลละหาร อำเภอบางบัวทอง จังหวัดนนทบุรี 11110"/>
    <s v="11110"/>
    <s v="88"/>
    <s v="03/01/2025 19:33"/>
    <s v="-"/>
    <s v="Flash Express"/>
    <s v="Shopee"/>
    <s v="shopee"/>
    <s v=""/>
    <s v="TH03046NHSVQ1E"/>
    <s v="03/01/2025 19:33"/>
  </r>
  <r>
    <x v="1"/>
    <x v="1"/>
    <n v="200"/>
    <n v="1"/>
    <n v="0"/>
    <s v="EPY69"/>
    <n v="200"/>
    <n v="0"/>
    <s v="ร้านที่2"/>
    <s v="ส***ร์ ช***นุช"/>
    <s v="กรุงเทพฯ"/>
    <s v="-"/>
    <s v=""/>
    <s v="03/01/2025 19:31"/>
    <s v="-"/>
    <s v="J&amp;T COD"/>
    <s v="Tiktok"/>
    <s v="จ่ายทีหลัง / COD"/>
    <s v=""/>
    <s v="754257420825"/>
    <s v="03/01/2025 19:31"/>
  </r>
  <r>
    <x v="1"/>
    <x v="1"/>
    <n v="200"/>
    <n v="1"/>
    <n v="0"/>
    <s v="EPY68"/>
    <n v="200"/>
    <n v="0"/>
    <s v="ร้านที่1"/>
    <s v="ส***วัลย์ ม***วัน"/>
    <s v="ราชบุรี"/>
    <s v="-"/>
    <s v=""/>
    <s v="03/01/2025 19:31"/>
    <s v="-"/>
    <s v="J&amp;T COD"/>
    <s v="Tiktok"/>
    <s v="จ่ายทีหลัง / COD"/>
    <s v=""/>
    <s v="754241512824"/>
    <s v="03/01/2025 19:31"/>
  </r>
  <r>
    <x v="4"/>
    <x v="4"/>
    <n v="100"/>
    <n v="2"/>
    <n v="0"/>
    <s v="EPY66"/>
    <n v="200"/>
    <n v="0"/>
    <s v="ร้านที่1"/>
    <s v="อ***ลี​  อ***​เศียร​"/>
    <s v="นครนายก"/>
    <s v="-"/>
    <s v=""/>
    <s v="03/01/2025 19:27"/>
    <s v="-"/>
    <s v="J&amp;T COD"/>
    <s v="Tiktok"/>
    <s v="จ่ายทีหลัง / COD"/>
    <s v=""/>
    <s v="754214046876"/>
    <s v="03/01/2025 19:27"/>
  </r>
  <r>
    <x v="3"/>
    <x v="3"/>
    <n v="100"/>
    <n v="1"/>
    <n v="0"/>
    <s v="EPY65"/>
    <n v="167"/>
    <n v="7"/>
    <s v="ร้านที่2"/>
    <s v="ส****า"/>
    <s v="******บลลำลูกกา อำเภอลำลูกกา จังหวัดปทุมธานี 12150"/>
    <s v="12150"/>
    <s v="04"/>
    <s v="03/01/2025 19:26"/>
    <s v="-"/>
    <s v="SPX Express"/>
    <s v="Shopee"/>
    <s v="shopee"/>
    <s v=""/>
    <s v="TH250572215401Q"/>
    <s v="03/01/2025 19:25"/>
  </r>
  <r>
    <x v="3"/>
    <x v="8"/>
    <n v="84"/>
    <n v="1"/>
    <n v="0"/>
    <s v="EPY64"/>
    <n v="84"/>
    <n v="0"/>
    <s v="ร้านที่6"/>
    <s v="ชลดา ปิยะศิริภัณฑ์"/>
    <s v="385/59 หมู่ที่ 10 หมู่บ้านเดโชคันทรี่5 · นครสวรรค์ตก/ Nakhon Sawan Tok_x000a__x000a_เมืองนครสวรรค์/ Mueang Nakhon Sawanนครสวรรค์/ Nakhon Sawan_x000a_60000"/>
    <s v="60000"/>
    <s v="660918379168"/>
    <s v="03/01/2025 19:25"/>
    <s v="-"/>
    <s v="Kerry_dropoff"/>
    <s v="Lazada"/>
    <s v="lazada"/>
    <s v=""/>
    <s v="LEXPU0441484455"/>
    <s v="03/01/2025 19:25"/>
  </r>
  <r>
    <x v="1"/>
    <x v="1"/>
    <n v="200"/>
    <n v="1"/>
    <n v="0"/>
    <s v="EPY63"/>
    <n v="200"/>
    <n v="0"/>
    <s v="ร้านที่1"/>
    <s v="บ***ร ห***กระจก"/>
    <s v="พระนครศรีอยุธยา"/>
    <s v="-"/>
    <s v=""/>
    <s v="03/01/2025 19:24"/>
    <s v="-"/>
    <s v="Flash Express Thailand COD"/>
    <s v="Tiktok"/>
    <s v="จ่ายทีหลัง / COD"/>
    <s v=""/>
    <s v="THT05161DVHNV3Z"/>
    <s v="03/01/2025 19:24"/>
  </r>
  <r>
    <x v="10"/>
    <x v="10"/>
    <n v="200"/>
    <n v="1"/>
    <n v="0"/>
    <s v="EPY62"/>
    <n v="200"/>
    <n v="0"/>
    <s v="ร้านที่1"/>
    <s v="ป***า ค***งพรหม"/>
    <s v="พระนครศรีอยุธยา"/>
    <s v="-"/>
    <s v=""/>
    <s v="03/01/2025 19:25"/>
    <s v="-"/>
    <s v="J&amp;T Express"/>
    <s v="Tiktok"/>
    <s v="tiktok"/>
    <s v=""/>
    <s v="754232470806"/>
    <s v="03/01/2025 19:24"/>
  </r>
  <r>
    <x v="10"/>
    <x v="10"/>
    <n v="200"/>
    <n v="1"/>
    <n v="0"/>
    <s v="EPY61"/>
    <n v="200"/>
    <n v="0"/>
    <s v="ร้านที่2"/>
    <s v="เ***ภา ม***ศรี"/>
    <s v="ชลบุรี"/>
    <s v="-"/>
    <s v=""/>
    <s v="03/01/2025 19:24"/>
    <s v="-"/>
    <s v="Flash Express Thailand COD"/>
    <s v="Tiktok"/>
    <s v="จ่ายทีหลัง / COD"/>
    <s v=""/>
    <s v="THT20071DVTP55Z"/>
    <s v="03/01/2025 19:24"/>
  </r>
  <r>
    <x v="1"/>
    <x v="1"/>
    <n v="200"/>
    <n v="1"/>
    <n v="0"/>
    <s v="EPY60"/>
    <n v="200"/>
    <n v="0"/>
    <s v="ร้านที่2"/>
    <s v="เ***จวรรณ บ***ะสีทา"/>
    <s v="มหาสารคาม"/>
    <s v="-"/>
    <s v=""/>
    <s v="03/01/2025 19:22"/>
    <s v="-"/>
    <s v="J&amp;T COD"/>
    <s v="Tiktok"/>
    <s v="จ่ายทีหลัง / COD"/>
    <s v=""/>
    <s v="754266917854"/>
    <s v="03/01/2025 19:22"/>
  </r>
  <r>
    <x v="3"/>
    <x v="3"/>
    <n v="100"/>
    <n v="1"/>
    <n v="0"/>
    <s v="EPY58"/>
    <n v="167"/>
    <n v="7"/>
    <s v="ร้านที่2"/>
    <s v="ศ******ล"/>
    <s v="******ืองสมุทรปราการ (217) ตรงข้ามรร.สวัสดี2020 ตำบลเทพารักษ์ อำเภอเมืองสมุทรปราการ จังหวัดสมุทรปราการ 10270"/>
    <s v="10270"/>
    <s v="06"/>
    <s v="03/01/2025 19:20"/>
    <s v="-"/>
    <s v="SPX Express"/>
    <s v="Shopee"/>
    <s v="shopee"/>
    <s v=""/>
    <s v="TH257056273784N"/>
    <s v="03/01/2025 19:19"/>
  </r>
  <r>
    <x v="3"/>
    <x v="3"/>
    <n v="100"/>
    <n v="1"/>
    <n v="0"/>
    <s v="EPY57"/>
    <n v="167"/>
    <n v="7"/>
    <s v="ร้านที่2"/>
    <s v="ส****ล"/>
    <s v="****** 87, ถนน ลาดพร้าว, แขวงคลองเจ้าคุณสิงห์, เขตวังทองหลาง แขวงคลองเจ้าคุณสิงห์ เขตวังทองหลาง จังหวัดกรุงเทพมหานคร 10310"/>
    <s v="10310"/>
    <s v="15"/>
    <s v="03/01/2025 19:15"/>
    <s v="-"/>
    <s v="Flash Express"/>
    <s v="Shopee"/>
    <s v="shopee"/>
    <s v=""/>
    <s v="TH01416NJEDA4A"/>
    <s v="03/01/2025 19:14"/>
  </r>
  <r>
    <x v="4"/>
    <x v="4"/>
    <n v="100"/>
    <n v="2"/>
    <n v="0"/>
    <s v="EPY56"/>
    <n v="200"/>
    <n v="0"/>
    <s v="ร้านที่4"/>
    <s v="ศ***พร ม***เรศ"/>
    <s v="สระบุรี"/>
    <s v="-"/>
    <s v=""/>
    <s v="03/01/2025 19:07"/>
    <s v="-"/>
    <s v="Flash Express Thailand COD"/>
    <s v="Tiktok"/>
    <s v="จ่ายทีหลัง / COD"/>
    <s v=""/>
    <s v="THT10011DVUB98Z"/>
    <s v="03/01/2025 19:07"/>
  </r>
  <r>
    <x v="3"/>
    <x v="3"/>
    <n v="100"/>
    <n v="4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4"/>
    <x v="4"/>
    <n v="150"/>
    <n v="3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9"/>
    <x v="4"/>
    <n v="150"/>
    <n v="1"/>
    <n v="0"/>
    <s v="EPY55"/>
    <n v="1059"/>
    <n v="64"/>
    <s v="ร้านที่2"/>
    <s v="ต******์"/>
    <s v="******ขวงดินแดง, เขตดินแดง แขวงดินแดง เขตดินแดง จังหวัดกรุงเทพมหานคร 10400"/>
    <s v="10400"/>
    <s v="60"/>
    <s v="03/01/2025 19:08"/>
    <s v="-"/>
    <s v="Flash Express"/>
    <s v="Shopee"/>
    <s v="shopee"/>
    <s v=""/>
    <s v="TH01086NJAUD2B1"/>
    <s v="03/01/2025 19:07"/>
  </r>
  <r>
    <x v="1"/>
    <x v="1"/>
    <n v="200"/>
    <n v="1"/>
    <n v="0"/>
    <s v="EPY54"/>
    <n v="200"/>
    <n v="0"/>
    <s v="ร้านที่2"/>
    <s v="เ***ักษร ส***ะนอง"/>
    <s v="กรุงเทพฯ"/>
    <s v="-"/>
    <s v=""/>
    <s v="03/01/2025 19:06"/>
    <s v="-"/>
    <s v="J&amp;T COD"/>
    <s v="Tiktok"/>
    <s v="จ่ายทีหลัง / COD"/>
    <s v=""/>
    <s v="754262718823"/>
    <s v="03/01/2025 19:06"/>
  </r>
  <r>
    <x v="1"/>
    <x v="1"/>
    <n v="200"/>
    <n v="1"/>
    <n v="0"/>
    <s v="EPY53"/>
    <n v="200"/>
    <n v="0"/>
    <s v="ร้านที่1"/>
    <s v="น** ช***ร ช***มย์"/>
    <s v="สระบุรี"/>
    <s v="-"/>
    <s v=""/>
    <s v="03/01/2025 19:03"/>
    <s v="-"/>
    <s v="J&amp;T Express"/>
    <s v="Tiktok"/>
    <s v="tiktok"/>
    <s v=""/>
    <s v="754215476825"/>
    <s v="03/01/2025 19:02"/>
  </r>
  <r>
    <x v="4"/>
    <x v="4"/>
    <n v="100"/>
    <n v="2"/>
    <n v="0"/>
    <s v="EPY52"/>
    <n v="200"/>
    <n v="0"/>
    <s v="ร้านที่2"/>
    <s v="ป***รรณ"/>
    <s v="พระนครศรีอยุธยา"/>
    <s v="-"/>
    <s v=""/>
    <s v="03/01/2025 19:01"/>
    <s v="-"/>
    <s v="J&amp;T COD"/>
    <s v="Tiktok"/>
    <s v="จ่ายทีหลัง / COD"/>
    <s v=""/>
    <s v="754205269845"/>
    <s v="03/01/2025 19:01"/>
  </r>
  <r>
    <x v="5"/>
    <x v="5"/>
    <n v="330"/>
    <n v="1"/>
    <n v="0"/>
    <s v="EPY51"/>
    <n v="330"/>
    <n v="0"/>
    <s v="ร้านที่1"/>
    <s v="ส***นดา เ***ธิ์"/>
    <s v="นครราชสีมา"/>
    <s v="-"/>
    <s v=""/>
    <s v="03/01/2025 19:00"/>
    <s v="-"/>
    <s v="J&amp;T Express"/>
    <s v="Tiktok"/>
    <s v="tiktok"/>
    <s v=""/>
    <s v="754264154851"/>
    <s v="03/01/2025 19:00"/>
  </r>
  <r>
    <x v="3"/>
    <x v="3"/>
    <n v="100"/>
    <n v="1"/>
    <n v="0"/>
    <s v="EPY50"/>
    <n v="321"/>
    <n v="29"/>
    <s v="ร้านที่2"/>
    <s v="ก******์"/>
    <s v="******ตำบลไร่รถ อำเภอดอนเจดีย์ จังหวัดสุพรรณบุรี 72170"/>
    <s v="72170"/>
    <s v="34"/>
    <s v="03/01/2025 19:00"/>
    <s v="-"/>
    <s v="SPX Express"/>
    <s v="Shopee"/>
    <s v="shopee"/>
    <s v=""/>
    <s v="TH252327345506T"/>
    <s v="03/01/2025 18:58"/>
  </r>
  <r>
    <x v="19"/>
    <x v="19"/>
    <n v="197"/>
    <n v="1"/>
    <n v="0"/>
    <s v="EPY50"/>
    <n v="321"/>
    <n v="29"/>
    <s v="ร้านที่2"/>
    <s v="ก******์"/>
    <s v="******ตำบลไร่รถ อำเภอดอนเจดีย์ จังหวัดสุพรรณบุรี 72170"/>
    <s v="72170"/>
    <s v="34"/>
    <s v="03/01/2025 19:00"/>
    <s v="-"/>
    <s v="SPX Express"/>
    <s v="Shopee"/>
    <s v="shopee"/>
    <s v=""/>
    <s v="TH252327345506T"/>
    <s v="03/01/2025 18:58"/>
  </r>
  <r>
    <x v="3"/>
    <x v="3"/>
    <n v="100"/>
    <n v="2"/>
    <n v="0"/>
    <s v="EPY49"/>
    <n v="240"/>
    <n v="45"/>
    <s v="ร้านที่2"/>
    <s v="น******จ"/>
    <s v="******ีพาร์ค แยก 6-10 ต.บางบัวทอง ตำบลบางบัวทอง อำเภอบางบัวทอง จังหวัดนนทบุรี 11110"/>
    <s v="11110"/>
    <s v="99"/>
    <s v="03/01/2025 19:22"/>
    <s v="-"/>
    <s v="Flash Express"/>
    <s v="Shopee"/>
    <s v="shopee"/>
    <s v=""/>
    <s v="TH03046NH8UY5B"/>
    <s v="03/01/2025 18:57"/>
  </r>
  <r>
    <x v="1"/>
    <x v="1"/>
    <n v="200"/>
    <n v="1"/>
    <n v="0"/>
    <s v="EPY48"/>
    <n v="200"/>
    <n v="0"/>
    <s v="ร้านที่2"/>
    <s v="น***สภณ เ***่ยมมุกดา"/>
    <s v="กรุงเทพฯ"/>
    <s v="-"/>
    <s v=""/>
    <s v="03/01/2025 18:57"/>
    <s v="-"/>
    <s v="J&amp;T COD"/>
    <s v="Tiktok"/>
    <s v="จ่ายทีหลัง / COD"/>
    <s v=""/>
    <s v="754216875812"/>
    <s v="03/01/2025 18:57"/>
  </r>
  <r>
    <x v="3"/>
    <x v="3"/>
    <n v="100"/>
    <n v="2"/>
    <n v="0"/>
    <s v="EPY47"/>
    <n v="200"/>
    <n v="0"/>
    <s v="ร้านที่1"/>
    <s v="ช***นันท์ ว***ษโชค"/>
    <s v="เทศบาลนครสุราษฎร์ธานี"/>
    <s v="-"/>
    <s v=""/>
    <s v="03/01/2025 18:55"/>
    <s v="-"/>
    <s v="J&amp;T COD"/>
    <s v="Tiktok"/>
    <s v="จ่ายทีหลัง / COD"/>
    <s v=""/>
    <s v="754258716816"/>
    <s v="03/01/2025 18:55"/>
  </r>
  <r>
    <x v="4"/>
    <x v="4"/>
    <n v="100"/>
    <n v="1"/>
    <n v="0"/>
    <s v="EPY46"/>
    <n v="106"/>
    <n v="6"/>
    <s v="ร้านที่2"/>
    <s v="อ***า พ***์คง"/>
    <s v="เทศบาลนครสุราษฎร์ธานี"/>
    <s v="-"/>
    <s v=""/>
    <s v="03/01/2025 18:53"/>
    <s v="-"/>
    <s v="J&amp;T COD"/>
    <s v="Tiktok"/>
    <s v="จ่ายทีหลัง / COD"/>
    <s v=""/>
    <s v="754285342823"/>
    <s v="03/01/2025 18:53"/>
  </r>
  <r>
    <x v="1"/>
    <x v="1"/>
    <n v="200"/>
    <n v="1"/>
    <n v="0"/>
    <s v="EPY45"/>
    <n v="200"/>
    <n v="0"/>
    <s v="ร้านที่1"/>
    <s v="ส***ญา ศ***พร"/>
    <s v="ลพบุรี"/>
    <s v="-"/>
    <s v=""/>
    <s v="03/01/2025 18:45"/>
    <s v="-"/>
    <s v="J&amp;T COD"/>
    <s v="Tiktok"/>
    <s v="จ่ายทีหลัง / COD"/>
    <s v=""/>
    <s v="754258569842"/>
    <s v="03/01/2025 18:45"/>
  </r>
  <r>
    <x v="3"/>
    <x v="3"/>
    <n v="100"/>
    <n v="1"/>
    <n v="0"/>
    <s v="EPY43"/>
    <n v="198"/>
    <n v="0"/>
    <s v="ร้านที่2"/>
    <s v="ช******ม"/>
    <s v="******ก2 แขวงท่าแร้ง เขตบางเขน จังหวัดกรุงเทพมหานคร 10230"/>
    <s v="10230"/>
    <s v="59"/>
    <s v="03/01/2025 18:43"/>
    <s v="-"/>
    <s v="SPX Express"/>
    <s v="Shopee"/>
    <s v="shopee"/>
    <s v=""/>
    <s v="TH2592392284053"/>
    <s v="03/01/2025 18:42"/>
  </r>
  <r>
    <x v="3"/>
    <x v="3"/>
    <n v="100"/>
    <n v="1"/>
    <n v="0"/>
    <s v="EPY42"/>
    <n v="106"/>
    <n v="6"/>
    <s v="ร้านที่4"/>
    <s v="K***ง ค***ิธิวัน"/>
    <s v="นนทบุรี"/>
    <s v="-"/>
    <s v=""/>
    <s v="03/01/2025 18:40"/>
    <s v="-"/>
    <s v="Flash Express Thailand"/>
    <s v="Tiktok"/>
    <s v="tiktok"/>
    <s v=""/>
    <s v="THT03031DVGJF5Z"/>
    <s v="03/01/2025 18:40"/>
  </r>
  <r>
    <x v="4"/>
    <x v="4"/>
    <n v="124.5"/>
    <n v="1"/>
    <n v="0"/>
    <s v="EPY41"/>
    <n v="129.5"/>
    <n v="5"/>
    <s v="ร้านที่1"/>
    <s v="ชนิดาภา ฉ่ำศรี"/>
    <s v="(ร้านกาแฟหน้าโลตัสเขาหินซ้อน)171 ม2. ต.เขาหินซ้อน_x000a__x000a_พนมสารคาม/ Phanom Sarakhamฉะเชิงเทรา/ Chachoengsao_x000a_24120"/>
    <s v="24120"/>
    <s v="660629651852"/>
    <s v="03/01/2025 18:37"/>
    <s v="-"/>
    <s v="Kerry_dropoff"/>
    <s v="Lazada"/>
    <s v="lazada"/>
    <s v=""/>
    <s v="LEXPU0441468272"/>
    <s v="03/01/2025 18:37"/>
  </r>
  <r>
    <x v="1"/>
    <x v="1"/>
    <n v="200"/>
    <n v="1"/>
    <n v="0"/>
    <s v="EPY40"/>
    <n v="200"/>
    <n v="0"/>
    <s v="ร้านที่2"/>
    <s v="ค***น ล***งดี"/>
    <s v="เพชรบูรณ์"/>
    <s v="-"/>
    <s v=""/>
    <s v="03/01/2025 18:37"/>
    <s v="-"/>
    <s v="J&amp;T Express"/>
    <s v="Tiktok"/>
    <s v="tiktok"/>
    <s v=""/>
    <s v="754291420831"/>
    <s v="03/01/2025 18:36"/>
  </r>
  <r>
    <x v="1"/>
    <x v="1"/>
    <n v="200"/>
    <n v="1"/>
    <n v="0"/>
    <s v="EPY39"/>
    <n v="200"/>
    <n v="0"/>
    <s v="ร้านที่1"/>
    <s v="ป***วบ"/>
    <s v="บุรีรัมย์"/>
    <s v="-"/>
    <s v=""/>
    <s v="03/01/2025 18:35"/>
    <s v="-"/>
    <s v="J&amp;T Express"/>
    <s v="Tiktok"/>
    <s v="tiktok"/>
    <s v=""/>
    <s v="754249020825"/>
    <s v="03/01/2025 18:35"/>
  </r>
  <r>
    <x v="4"/>
    <x v="4"/>
    <n v="100"/>
    <n v="1"/>
    <n v="0"/>
    <s v="EPY38"/>
    <n v="200"/>
    <n v="0"/>
    <s v="ร้านที่1"/>
    <s v="K***ngKHaGarn"/>
    <s v="นครศรีธรรมราช"/>
    <s v="-"/>
    <s v=""/>
    <s v="03/01/2025 18:34"/>
    <s v="-"/>
    <s v="J&amp;T Express"/>
    <s v="Tiktok"/>
    <s v="tiktok"/>
    <s v=""/>
    <s v="754220273822"/>
    <s v="03/01/2025 18:34"/>
  </r>
  <r>
    <x v="9"/>
    <x v="4"/>
    <n v="100"/>
    <n v="1"/>
    <n v="0"/>
    <s v="EPY38"/>
    <n v="200"/>
    <n v="0"/>
    <s v="ร้านที่1"/>
    <s v="K***ngKHaGarn"/>
    <s v="นครศรีธรรมราช"/>
    <s v="-"/>
    <s v=""/>
    <s v="03/01/2025 18:34"/>
    <s v="-"/>
    <s v="J&amp;T Express"/>
    <s v="Tiktok"/>
    <s v="tiktok"/>
    <s v=""/>
    <s v="754220273822"/>
    <s v="03/01/2025 18:34"/>
  </r>
  <r>
    <x v="4"/>
    <x v="4"/>
    <n v="100"/>
    <n v="1"/>
    <n v="0"/>
    <s v="EPY37"/>
    <n v="106"/>
    <n v="6"/>
    <s v="ร้านที่2"/>
    <s v="ป***พ เ***สุวรรณ"/>
    <s v="นครศรีธรรมราช"/>
    <s v="-"/>
    <s v=""/>
    <s v="03/01/2025 18:33"/>
    <s v="-"/>
    <s v="J&amp;T COD"/>
    <s v="Tiktok"/>
    <s v="จ่ายทีหลัง / COD"/>
    <s v=""/>
    <s v="754239245896"/>
    <s v="03/01/2025 18:33"/>
  </r>
  <r>
    <x v="10"/>
    <x v="10"/>
    <n v="200"/>
    <n v="1"/>
    <n v="0"/>
    <s v="EPY36"/>
    <n v="200"/>
    <n v="0"/>
    <s v="ร้านที่1"/>
    <s v="ฉ**"/>
    <s v="ลพบุรี"/>
    <s v="-"/>
    <s v=""/>
    <s v="03/01/2025 18:32"/>
    <s v="-"/>
    <s v="J&amp;T Express"/>
    <s v="Tiktok"/>
    <s v="tiktok"/>
    <s v=""/>
    <s v="754279875812"/>
    <s v="03/01/2025 18:32"/>
  </r>
  <r>
    <x v="19"/>
    <x v="19"/>
    <n v="199"/>
    <n v="2"/>
    <n v="0"/>
    <s v="EPY34"/>
    <n v="398"/>
    <n v="0"/>
    <s v="ร้านที่1"/>
    <s v="น******ว"/>
    <s v="******าะขันธ์, อำเภอชะอวด ตำบลเกาะขันธ์ อำเภอชะอวด จังหวัดนครศรีธรรมราช 80180"/>
    <s v="80180"/>
    <s v="49"/>
    <s v="03/01/2025 19:01"/>
    <s v="-"/>
    <s v="Flash Express"/>
    <s v="Shopee"/>
    <s v="shopee"/>
    <s v=""/>
    <s v="TH64076NJB225H"/>
    <s v="03/01/2025 18:31"/>
  </r>
  <r>
    <x v="3"/>
    <x v="8"/>
    <n v="84"/>
    <n v="1"/>
    <n v="0"/>
    <s v="EPY33"/>
    <n v="89"/>
    <n v="5"/>
    <s v="ร้านที่6"/>
    <s v="ชุดาภา ล่ามแขก"/>
    <s v="38/2 หมู่7 บ้านศรีฐาน ต.ในเมือง อ.เมือง จ.ขอนแก่น ตรงข้าม ร้าน ซัก อบ รีด พรศรีฐาน_x000a__x000a_เมืองขอนแก่น/ Mueang Khon Kaenขอนแก่น/ Khon Kaen_x000a_40000"/>
    <s v="40000"/>
    <s v="660880375796"/>
    <s v="03/01/2025 18:30"/>
    <s v="-"/>
    <s v="Kerry_dropoff"/>
    <s v="Lazada"/>
    <s v="lazada"/>
    <s v=""/>
    <s v="LEXPU0441484952"/>
    <s v="03/01/2025 18:29"/>
  </r>
  <r>
    <x v="1"/>
    <x v="1"/>
    <n v="200"/>
    <n v="1"/>
    <n v="0"/>
    <s v="EPY32"/>
    <n v="200"/>
    <n v="0"/>
    <s v="ร้านที่1"/>
    <s v="ค*** ส***"/>
    <s v="กรุงเทพฯ"/>
    <s v="-"/>
    <s v=""/>
    <s v="03/01/2025 18:28"/>
    <s v="-"/>
    <s v="J&amp;T COD"/>
    <s v="Tiktok"/>
    <s v="จ่ายทีหลัง / COD"/>
    <s v=""/>
    <s v="754220960850"/>
    <s v="03/01/2025 18:28"/>
  </r>
  <r>
    <x v="3"/>
    <x v="3"/>
    <n v="100"/>
    <n v="1"/>
    <n v="0"/>
    <s v="EPY31"/>
    <n v="105"/>
    <n v="7"/>
    <s v="ร้านที่2"/>
    <s v="ร******ี"/>
    <s v="******ุณทหารลาดกระบัง วิทยาเขตชุมพร ( หอใน ), ตำบลชุมโค, อำเภอปะทิว ตำบลชุมโค อำเภอปะทิว จังหวัดชุมพร 86160"/>
    <s v="86160"/>
    <s v="86"/>
    <s v="03/01/2025 18:28"/>
    <s v="-"/>
    <s v="Flash Express"/>
    <s v="Shopee"/>
    <s v="shopee"/>
    <s v=""/>
    <s v="TH70036NHA861D"/>
    <s v="03/01/2025 18:28"/>
  </r>
  <r>
    <x v="13"/>
    <x v="13"/>
    <n v="230"/>
    <n v="1"/>
    <n v="0"/>
    <s v="EPY29"/>
    <n v="254"/>
    <n v="29"/>
    <s v="ร้านที่2"/>
    <s v="ป******ง"/>
    <s v="******2 ตำบลทุ่งหลวง อำเภอคีรีมาศ จังหวัดสุโขทัย 64160"/>
    <s v="64160"/>
    <s v="28"/>
    <s v="03/01/2025 18:49"/>
    <s v="-"/>
    <s v="SPX Express"/>
    <s v="Shopee"/>
    <s v="shopee"/>
    <s v=""/>
    <s v="TH2532762503758"/>
    <s v="03/01/2025 18:20"/>
  </r>
  <r>
    <x v="4"/>
    <x v="4"/>
    <n v="100"/>
    <n v="1"/>
    <n v="0"/>
    <s v="EPY28"/>
    <n v="200"/>
    <n v="0"/>
    <s v="ร้านที่1"/>
    <s v="ป***วล ค***ำโรง"/>
    <s v="พิจิตร"/>
    <s v="-"/>
    <s v=""/>
    <s v="03/01/2025 18:17"/>
    <s v="-"/>
    <s v="J&amp;T Express"/>
    <s v="Tiktok"/>
    <s v="tiktok"/>
    <s v=""/>
    <s v="754288567830"/>
    <s v="03/01/2025 18:16"/>
  </r>
  <r>
    <x v="9"/>
    <x v="4"/>
    <n v="100"/>
    <n v="1"/>
    <n v="0"/>
    <s v="EPY28"/>
    <n v="200"/>
    <n v="0"/>
    <s v="ร้านที่1"/>
    <s v="ป***วล ค***ำโรง"/>
    <s v="พิจิตร"/>
    <s v="-"/>
    <s v=""/>
    <s v="03/01/2025 18:17"/>
    <s v="-"/>
    <s v="J&amp;T Express"/>
    <s v="Tiktok"/>
    <s v="tiktok"/>
    <s v=""/>
    <s v="754288567830"/>
    <s v="03/01/2025 18:16"/>
  </r>
  <r>
    <x v="5"/>
    <x v="5"/>
    <n v="330"/>
    <n v="1"/>
    <n v="0"/>
    <s v="EPY27"/>
    <n v="330"/>
    <n v="0"/>
    <s v="ร้านที่2"/>
    <s v="ห***งฤทัย แ***ูงเนิน"/>
    <s v="นครราชสีมา"/>
    <s v="-"/>
    <s v=""/>
    <s v="03/01/2025 18:16"/>
    <s v="-"/>
    <s v="J&amp;T COD"/>
    <s v="Tiktok"/>
    <s v="จ่ายทีหลัง / COD"/>
    <s v=""/>
    <s v="754219356855"/>
    <s v="03/01/2025 18:16"/>
  </r>
  <r>
    <x v="10"/>
    <x v="10"/>
    <n v="200"/>
    <n v="1"/>
    <n v="0"/>
    <s v="EPY25"/>
    <n v="200"/>
    <n v="0"/>
    <s v="ร้านที่4"/>
    <s v="ป*** ธ***า"/>
    <s v="กรุงเทพฯ"/>
    <s v="-"/>
    <s v=""/>
    <s v="03/01/2025 18:15"/>
    <s v="-"/>
    <s v="Flash Express Thailand COD"/>
    <s v="Tiktok"/>
    <s v="จ่ายทีหลัง / COD"/>
    <s v=""/>
    <s v="THT01211DVT373Z"/>
    <s v="03/01/2025 18:15"/>
  </r>
  <r>
    <x v="29"/>
    <x v="36"/>
    <n v="400"/>
    <n v="1"/>
    <n v="0"/>
    <s v="EPY24"/>
    <n v="1200"/>
    <n v="0"/>
    <s v="ร้านที่1"/>
    <s v="จ***ร์จิรา ใ***ู"/>
    <s v="สุราษฎร์ธานี"/>
    <s v="-"/>
    <s v=""/>
    <s v="03/01/2025 18:11"/>
    <s v="-"/>
    <s v="J&amp;T COD"/>
    <s v="Tiktok"/>
    <s v="จ่ายทีหลัง / COD"/>
    <s v=""/>
    <s v="754297569826"/>
    <s v="03/01/2025 18:11"/>
  </r>
  <r>
    <x v="33"/>
    <x v="43"/>
    <n v="400"/>
    <n v="2"/>
    <n v="0"/>
    <s v="EPY24"/>
    <n v="1200"/>
    <n v="0"/>
    <s v="ร้านที่1"/>
    <s v="จ***ร์จิรา ใ***ู"/>
    <s v="สุราษฎร์ธานี"/>
    <s v="-"/>
    <s v=""/>
    <s v="03/01/2025 18:11"/>
    <s v="-"/>
    <s v="J&amp;T COD"/>
    <s v="Tiktok"/>
    <s v="จ่ายทีหลัง / COD"/>
    <s v=""/>
    <s v="754297569826"/>
    <s v="03/01/2025 18:11"/>
  </r>
  <r>
    <x v="3"/>
    <x v="3"/>
    <n v="100"/>
    <n v="1"/>
    <n v="0"/>
    <s v="EPY23"/>
    <n v="185"/>
    <n v="0"/>
    <s v="ร้านที่4"/>
    <s v="น***ิกา น***ะสิงห์ น***แทน"/>
    <s v="กรุงเทพฯ"/>
    <s v="-"/>
    <s v=""/>
    <s v="03/01/2025 18:11"/>
    <s v="-"/>
    <s v="Flash Express Thailand"/>
    <s v="Tiktok"/>
    <s v="tiktok"/>
    <s v=""/>
    <s v="THT01031DVXQ28Z"/>
    <s v="03/01/2025 18:10"/>
  </r>
  <r>
    <x v="3"/>
    <x v="3"/>
    <n v="100"/>
    <n v="1"/>
    <n v="0"/>
    <s v="EPY22"/>
    <n v="385"/>
    <n v="45"/>
    <s v="ร้านที่4"/>
    <s v="พ***ียา  น***งษา"/>
    <s v="อุบลราชธานี"/>
    <s v="-"/>
    <s v=""/>
    <s v="03/01/2025 18:08"/>
    <s v="-"/>
    <s v="Flash Express Thailand"/>
    <s v="Tiktok"/>
    <s v="tiktok"/>
    <s v=""/>
    <s v="THT31021DVM8M5Z"/>
    <s v="03/01/2025 18:08"/>
  </r>
  <r>
    <x v="26"/>
    <x v="56"/>
    <n v="240"/>
    <n v="1"/>
    <n v="0"/>
    <s v="EPY22"/>
    <n v="385"/>
    <n v="45"/>
    <s v="ร้านที่4"/>
    <s v="พ***ียา  น***งษา"/>
    <s v="อุบลราชธานี"/>
    <s v="-"/>
    <s v=""/>
    <s v="03/01/2025 18:08"/>
    <s v="-"/>
    <s v="Flash Express Thailand"/>
    <s v="Tiktok"/>
    <s v="tiktok"/>
    <s v=""/>
    <s v="THT31021DVM8M5Z"/>
    <s v="03/01/2025 18:08"/>
  </r>
  <r>
    <x v="9"/>
    <x v="4"/>
    <n v="100"/>
    <n v="2"/>
    <n v="0"/>
    <s v="EPY21"/>
    <n v="200"/>
    <n v="0"/>
    <s v="ร้านที่4"/>
    <s v="พ***า จ***ร"/>
    <s v="กาญจนบุรี"/>
    <s v="-"/>
    <s v=""/>
    <s v="03/01/2025 18:08"/>
    <s v="-"/>
    <s v="Flash Express Thailand"/>
    <s v="Tiktok"/>
    <s v="tiktok"/>
    <s v=""/>
    <s v="THT13041DVQTD0Z"/>
    <s v="03/01/2025 18:07"/>
  </r>
  <r>
    <x v="4"/>
    <x v="4"/>
    <n v="100"/>
    <n v="1"/>
    <n v="0"/>
    <s v="EPY20"/>
    <n v="106"/>
    <n v="6"/>
    <s v="ร้านที่1"/>
    <s v="ฉ***นา พ***นทึก"/>
    <s v="นครราชสีมา"/>
    <s v="-"/>
    <s v=""/>
    <s v="03/01/2025 18:07"/>
    <s v="-"/>
    <s v="J&amp;T COD"/>
    <s v="Tiktok"/>
    <s v="จ่ายทีหลัง / COD"/>
    <s v=""/>
    <s v="754259843853"/>
    <s v="03/01/2025 18:07"/>
  </r>
  <r>
    <x v="10"/>
    <x v="10"/>
    <n v="200"/>
    <n v="1"/>
    <n v="0"/>
    <s v="EPY19"/>
    <n v="200"/>
    <n v="0"/>
    <s v="ร้านที่2"/>
    <s v="น***า ก***บราณ"/>
    <s v="กรุงเทพฯ"/>
    <s v="-"/>
    <s v=""/>
    <s v="03/01/2025 18:02"/>
    <s v="-"/>
    <s v="J&amp;T COD"/>
    <s v="Tiktok"/>
    <s v="จ่ายทีหลัง / COD"/>
    <s v=""/>
    <s v="754259563831"/>
    <s v="03/01/2025 18:02"/>
  </r>
  <r>
    <x v="1"/>
    <x v="1"/>
    <n v="200"/>
    <n v="1"/>
    <n v="0"/>
    <s v="EPY18"/>
    <n v="200"/>
    <n v="0"/>
    <s v="ร้านที่2"/>
    <s v="ธ***พล ร***ะมาณ"/>
    <s v="สระแก้ว"/>
    <s v="-"/>
    <s v=""/>
    <s v="03/01/2025 18:02"/>
    <s v="-"/>
    <s v="J&amp;T COD"/>
    <s v="Tiktok"/>
    <s v="จ่ายทีหลัง / COD"/>
    <s v=""/>
    <s v="754259964850"/>
    <s v="03/01/2025 18:02"/>
  </r>
  <r>
    <x v="9"/>
    <x v="4"/>
    <n v="100"/>
    <n v="1"/>
    <n v="0"/>
    <s v="EPY17"/>
    <n v="106"/>
    <n v="6"/>
    <s v="ร้านที่1"/>
    <s v="เ***  ร***ังหวัด"/>
    <s v="กาญจนบุรี"/>
    <s v="-"/>
    <s v=""/>
    <s v="03/01/2025 18:00"/>
    <s v="-"/>
    <s v="J&amp;T COD"/>
    <s v="Tiktok"/>
    <s v="จ่ายทีหลัง / COD"/>
    <s v=""/>
    <s v="754219297742"/>
    <s v="03/01/2025 18:00"/>
  </r>
  <r>
    <x v="19"/>
    <x v="34"/>
    <n v="213.75"/>
    <n v="1"/>
    <n v="0"/>
    <s v="EPY16"/>
    <n v="213.75"/>
    <n v="0"/>
    <s v="ร้านที่9"/>
    <s v="นางสาวจันทร์จิรา ศรีสิงห์"/>
    <s v="151/3 ถ.รัฐราษฎร์รังสรรค์ ต.ตะพานหิน_x000a__x000a_ตะพานหิน/ Taphan Hinพิจิตร/ Phichit_x000a_66110"/>
    <s v="66110"/>
    <s v="660873241975"/>
    <s v="03/01/2025 17:59"/>
    <s v="-"/>
    <s v="Kerry_dropoff"/>
    <s v="Lazada"/>
    <s v="lazada"/>
    <s v=""/>
    <s v="TH62046NH5937A"/>
    <s v="03/01/2025 17:59"/>
  </r>
  <r>
    <x v="9"/>
    <x v="4"/>
    <n v="1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3"/>
    <x v="3"/>
    <n v="1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"/>
    <x v="1"/>
    <n v="2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0"/>
    <x v="10"/>
    <n v="200"/>
    <n v="1"/>
    <n v="0"/>
    <s v="EPY15"/>
    <n v="600"/>
    <n v="0"/>
    <s v="ร้านที่4"/>
    <s v="ก***์สินี"/>
    <s v="มหาสารคาม"/>
    <s v="-"/>
    <s v=""/>
    <s v="03/01/2025 18:03"/>
    <s v="-"/>
    <s v="Flash Express Thailand"/>
    <s v="Tiktok"/>
    <s v="tiktok"/>
    <s v=""/>
    <s v="THT41041DVQEA7Z"/>
    <s v="03/01/2025 17:59"/>
  </r>
  <r>
    <x v="19"/>
    <x v="19"/>
    <n v="197"/>
    <n v="1"/>
    <n v="0"/>
    <s v="EPY14"/>
    <n v="195"/>
    <n v="0"/>
    <s v="ร้านที่2"/>
    <s v="ศ******ร"/>
    <s v="******น้อย ตึก23/1 ตำบลศีรษะจรเข้ใหญ่ อำเภอบางเสาธง จังหวัดสมุทรปราการ 10540"/>
    <s v="10540"/>
    <s v="41"/>
    <s v="03/01/2025 18:27"/>
    <s v="-"/>
    <s v="Flash Express"/>
    <s v="Shopee"/>
    <s v="shopee"/>
    <s v=""/>
    <s v="TH02066NJ3F90C"/>
    <s v="03/01/2025 17:57"/>
  </r>
  <r>
    <x v="3"/>
    <x v="3"/>
    <n v="100"/>
    <n v="1"/>
    <n v="0"/>
    <s v="EPY13"/>
    <n v="106"/>
    <n v="6"/>
    <s v="ร้านที่4"/>
    <s v="ร***าภรณ์ บ***าม"/>
    <s v="กรุงเทพมหานคร"/>
    <s v="-"/>
    <s v=""/>
    <s v="03/01/2025 17:56"/>
    <s v="-"/>
    <s v="Flash Express Thailand COD"/>
    <s v="Tiktok"/>
    <s v="จ่ายทีหลัง / COD"/>
    <s v=""/>
    <s v="THT01261DVWW80Z"/>
    <s v="03/01/2025 17:56"/>
  </r>
  <r>
    <x v="3"/>
    <x v="3"/>
    <n v="100"/>
    <n v="3"/>
    <n v="0"/>
    <s v="EPY12"/>
    <n v="327"/>
    <n v="29"/>
    <s v="ร้านที่2"/>
    <s v="ค*****ย"/>
    <s v="******ุมเกาะ อำเภอสวรรคโลก จังหวัดสุโขทัย 64110"/>
    <s v="64110"/>
    <s v="55"/>
    <s v="03/01/2025 17:56"/>
    <s v="-"/>
    <s v="Flash Express"/>
    <s v="Shopee"/>
    <s v="shopee"/>
    <s v=""/>
    <s v="TH60076NHBF30I"/>
    <s v="03/01/2025 17:55"/>
  </r>
  <r>
    <x v="9"/>
    <x v="4"/>
    <n v="100"/>
    <n v="2"/>
    <n v="0"/>
    <s v="EPY11"/>
    <n v="200"/>
    <n v="0"/>
    <s v="ร้านที่1"/>
    <s v="ช***ธร  น***าว์"/>
    <s v="พระนครศรีอยุธยา"/>
    <s v="-"/>
    <s v=""/>
    <s v="03/01/2025 17:55"/>
    <s v="-"/>
    <s v="J&amp;T COD"/>
    <s v="Tiktok"/>
    <s v="จ่ายทีหลัง / COD"/>
    <s v=""/>
    <s v="754223195773"/>
    <s v="03/01/2025 17:55"/>
  </r>
  <r>
    <x v="1"/>
    <x v="1"/>
    <n v="200"/>
    <n v="1"/>
    <n v="0"/>
    <s v="EPY10"/>
    <n v="245"/>
    <n v="45"/>
    <s v="ร้านที่2"/>
    <s v="น***มคิด บ***ีร์"/>
    <s v="กรุงเทพฯ"/>
    <s v="-"/>
    <s v=""/>
    <s v="03/01/2025 17:54"/>
    <s v="-"/>
    <s v="J&amp;T COD"/>
    <s v="Tiktok"/>
    <s v="จ่ายทีหลัง / COD"/>
    <s v=""/>
    <s v="754272679834"/>
    <s v="03/01/2025 17:55"/>
  </r>
  <r>
    <x v="4"/>
    <x v="4"/>
    <n v="100"/>
    <n v="1"/>
    <n v="0"/>
    <s v="EPY9"/>
    <n v="100"/>
    <n v="0"/>
    <s v="ร้านที่4"/>
    <s v="จ***า ร***วิลัย"/>
    <s v="เทศบาลนครนครปฐม"/>
    <s v="-"/>
    <s v=""/>
    <s v="03/01/2025 17:54"/>
    <s v="-"/>
    <s v="Flash Express Thailand COD"/>
    <s v="Tiktok"/>
    <s v="จ่ายทีหลัง / COD"/>
    <s v=""/>
    <s v="THT15021DVSXU2Z"/>
    <s v="03/01/2025 17:54"/>
  </r>
  <r>
    <x v="1"/>
    <x v="1"/>
    <n v="200"/>
    <n v="1"/>
    <n v="0"/>
    <s v="EPY8"/>
    <n v="200"/>
    <n v="0"/>
    <s v="ร้านที่1"/>
    <s v="อ***ักดิ์โกยรัมย์"/>
    <s v="กรุงเทพมหานคร"/>
    <s v="-"/>
    <s v=""/>
    <s v="03/01/2025 17:48"/>
    <s v="-"/>
    <s v="J&amp;T COD"/>
    <s v="Tiktok"/>
    <s v="จ่ายทีหลัง / COD"/>
    <s v=""/>
    <s v="754286965854"/>
    <s v="03/01/2025 17:48"/>
  </r>
  <r>
    <x v="4"/>
    <x v="4"/>
    <n v="100"/>
    <n v="1"/>
    <n v="0"/>
    <s v="EPY7"/>
    <n v="200"/>
    <n v="0"/>
    <s v="ร้านที่1"/>
    <s v="อ***วัน. เ***ชัย"/>
    <s v="สมุทรปราการ"/>
    <s v="-"/>
    <s v=""/>
    <s v="03/01/2025 17:47"/>
    <s v="-"/>
    <s v="Flash Express Thailand COD"/>
    <s v="Tiktok"/>
    <s v="จ่ายทีหลัง / COD"/>
    <s v=""/>
    <s v="THT02061DVT4A7Z"/>
    <s v="03/01/2025 17:47"/>
  </r>
  <r>
    <x v="9"/>
    <x v="4"/>
    <n v="100"/>
    <n v="1"/>
    <n v="0"/>
    <s v="EPY7"/>
    <n v="200"/>
    <n v="0"/>
    <s v="ร้านที่1"/>
    <s v="อ***วัน. เ***ชัย"/>
    <s v="สมุทรปราการ"/>
    <s v="-"/>
    <s v=""/>
    <s v="03/01/2025 17:47"/>
    <s v="-"/>
    <s v="Flash Express Thailand COD"/>
    <s v="Tiktok"/>
    <s v="จ่ายทีหลัง / COD"/>
    <s v=""/>
    <s v="THT02061DVT4A7Z"/>
    <s v="03/01/2025 17:47"/>
  </r>
  <r>
    <x v="1"/>
    <x v="1"/>
    <n v="200"/>
    <n v="1"/>
    <n v="0"/>
    <s v="EPY6"/>
    <n v="200"/>
    <n v="0"/>
    <s v="ร้านที่2"/>
    <s v="อ***รวิไล"/>
    <s v="ลพบุรี"/>
    <s v="-"/>
    <s v=""/>
    <s v="03/01/2025 17:41"/>
    <s v="-"/>
    <s v="J&amp;T COD"/>
    <s v="Tiktok"/>
    <s v="จ่ายทีหลัง / COD"/>
    <s v=""/>
    <s v="754258768852"/>
    <s v="03/01/2025 17:41"/>
  </r>
  <r>
    <x v="10"/>
    <x v="10"/>
    <n v="200"/>
    <n v="1"/>
    <n v="0"/>
    <s v="EPY5"/>
    <n v="200"/>
    <n v="0"/>
    <s v="ร้านที่1"/>
    <s v="น*** จ***ุ่ม"/>
    <s v="สุราษฎร์ธานี"/>
    <s v="-"/>
    <s v=""/>
    <s v="03/01/2025 17:41"/>
    <s v="-"/>
    <s v="J&amp;T COD"/>
    <s v="Tiktok"/>
    <s v="จ่ายทีหลัง / COD"/>
    <s v=""/>
    <s v="754296071826"/>
    <s v="03/01/2025 17:41"/>
  </r>
  <r>
    <x v="29"/>
    <x v="36"/>
    <n v="40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3"/>
    <x v="3"/>
    <n v="10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5"/>
    <x v="5"/>
    <n v="350"/>
    <n v="1"/>
    <n v="0"/>
    <s v="EPY4"/>
    <n v="850"/>
    <n v="0"/>
    <s v="ร้านที่4"/>
    <s v="ว***พรรณ ศ***ะวรรณ์"/>
    <s v="เชียงใหม่"/>
    <s v="-"/>
    <s v=""/>
    <s v="03/01/2025 17:38"/>
    <s v="-"/>
    <s v="Flash Express Thailand COD"/>
    <s v="Tiktok"/>
    <s v="จ่ายทีหลัง / COD"/>
    <s v=""/>
    <s v="THT47061DVP8J1Z"/>
    <s v="03/01/2025 17:38"/>
  </r>
  <r>
    <x v="3"/>
    <x v="3"/>
    <n v="100"/>
    <n v="1"/>
    <n v="0"/>
    <s v="EPY3"/>
    <n v="105"/>
    <n v="7"/>
    <s v="ร้านที่2"/>
    <s v="T******p"/>
    <s v="******สบปราบ ตำบลสมัย อำเภอสบปราบ จังหวัดลำปาง 52170"/>
    <s v="52170"/>
    <s v="49"/>
    <s v="03/01/2025 18:08"/>
    <s v="-"/>
    <s v="Flash Express"/>
    <s v="Shopee"/>
    <s v="shopee"/>
    <s v=""/>
    <s v="TH49116NH9YJ4B"/>
    <s v="03/01/2025 17:38"/>
  </r>
  <r>
    <x v="1"/>
    <x v="1"/>
    <n v="200"/>
    <n v="1"/>
    <n v="0"/>
    <s v="EPY2"/>
    <n v="200"/>
    <n v="0"/>
    <s v="ร้านที่1"/>
    <s v="น***น่อย  ส***สุทธิ์"/>
    <s v="นครราชสีมา"/>
    <s v="-"/>
    <s v=""/>
    <s v="03/01/2025 17:34"/>
    <s v="-"/>
    <s v="J&amp;T COD"/>
    <s v="Tiktok"/>
    <s v="จ่ายทีหลัง / COD"/>
    <s v=""/>
    <s v="754230874832"/>
    <s v="03/01/2025 17:34"/>
  </r>
  <r>
    <x v="3"/>
    <x v="3"/>
    <n v="100"/>
    <n v="2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4"/>
    <x v="4"/>
    <n v="100"/>
    <n v="1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9"/>
    <x v="4"/>
    <n v="100"/>
    <n v="1"/>
    <n v="0"/>
    <s v="EPY1"/>
    <n v="400"/>
    <n v="0"/>
    <s v="ร้านที่1"/>
    <s v="ส***พักตร์ ถ***รอด"/>
    <s v="ชลบุรี"/>
    <s v="-"/>
    <s v=""/>
    <s v="03/01/2025 17:30"/>
    <s v="-"/>
    <s v="J&amp;T COD"/>
    <s v="Tiktok"/>
    <s v="จ่ายทีหลัง / COD"/>
    <s v=""/>
    <s v="754281670844"/>
    <s v="03/01/2025 17:30"/>
  </r>
  <r>
    <x v="1"/>
    <x v="1"/>
    <n v="200"/>
    <n v="1"/>
    <n v="0"/>
    <s v="EPX99"/>
    <n v="200"/>
    <n v="0"/>
    <s v="ร้านที่2"/>
    <s v="T***awin"/>
    <s v="กรุงเทพฯ"/>
    <s v="-"/>
    <s v=""/>
    <s v="03/01/2025 17:09"/>
    <s v="-"/>
    <s v="J&amp;T COD"/>
    <s v="Tiktok"/>
    <s v="จ่ายทีหลัง / COD"/>
    <s v=""/>
    <s v="754217561845"/>
    <s v="03/01/2025 17:10"/>
  </r>
  <r>
    <x v="19"/>
    <x v="19"/>
    <n v="199"/>
    <n v="1"/>
    <n v="0"/>
    <s v="EPX98"/>
    <n v="244"/>
    <n v="4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3/01/2025 17:08"/>
    <s v="-"/>
    <s v="Flash Express"/>
    <s v="Shopee"/>
    <s v="shopee"/>
    <s v=""/>
    <s v="TH01166NJ3779A1"/>
    <s v="03/01/2025 17:08"/>
  </r>
  <r>
    <x v="10"/>
    <x v="10"/>
    <n v="200"/>
    <n v="1"/>
    <n v="0"/>
    <s v="EPX96"/>
    <n v="200"/>
    <n v="0"/>
    <s v="ร้านที่4"/>
    <s v="ร***า แ***ำรงกุล"/>
    <s v="นครปฐม"/>
    <s v="-"/>
    <s v=""/>
    <s v="03/01/2025 17:07"/>
    <s v="-"/>
    <s v="Flash Express Thailand"/>
    <s v="Tiktok"/>
    <s v="tiktok"/>
    <s v=""/>
    <s v="THT15061DVTHT7Z"/>
    <s v="03/01/2025 17:07"/>
  </r>
  <r>
    <x v="9"/>
    <x v="4"/>
    <n v="100"/>
    <n v="2"/>
    <n v="0"/>
    <s v="EPX94"/>
    <n v="200"/>
    <n v="0"/>
    <s v="ร้านที่4"/>
    <s v="ป***ุช ศ***วลจำปา"/>
    <s v="ลพบุรี"/>
    <s v="-"/>
    <s v=""/>
    <s v="03/01/2025 17:02"/>
    <s v="-"/>
    <s v="Flash Express Thailand COD"/>
    <s v="Tiktok"/>
    <s v="จ่ายทีหลัง / COD"/>
    <s v=""/>
    <s v="THT07011DVA6R3Z"/>
    <s v="03/01/2025 17:02"/>
  </r>
  <r>
    <x v="4"/>
    <x v="4"/>
    <n v="100"/>
    <n v="1"/>
    <n v="0"/>
    <s v="EPX93"/>
    <n v="200"/>
    <n v="0"/>
    <s v="ร้านที่1"/>
    <s v="ค***ุญเรือน โ***์ศรี"/>
    <s v="นครสวรรค์"/>
    <s v="-"/>
    <s v=""/>
    <s v="03/01/2025 16:58"/>
    <s v="-"/>
    <s v="J&amp;T COD"/>
    <s v="Tiktok"/>
    <s v="จ่ายทีหลัง / COD"/>
    <s v=""/>
    <s v="754217076826"/>
    <s v="03/01/2025 16:58"/>
  </r>
  <r>
    <x v="9"/>
    <x v="4"/>
    <n v="100"/>
    <n v="1"/>
    <n v="0"/>
    <s v="EPX93"/>
    <n v="200"/>
    <n v="0"/>
    <s v="ร้านที่1"/>
    <s v="ค***ุญเรือน โ***์ศรี"/>
    <s v="นครสวรรค์"/>
    <s v="-"/>
    <s v=""/>
    <s v="03/01/2025 16:58"/>
    <s v="-"/>
    <s v="J&amp;T COD"/>
    <s v="Tiktok"/>
    <s v="จ่ายทีหลัง / COD"/>
    <s v=""/>
    <s v="754217076826"/>
    <s v="03/01/2025 16:58"/>
  </r>
  <r>
    <x v="4"/>
    <x v="4"/>
    <n v="100"/>
    <n v="1"/>
    <n v="0"/>
    <s v="EPX90"/>
    <n v="106"/>
    <n v="6"/>
    <s v="ร้านที่4"/>
    <s v="น***ล"/>
    <s v="นครศรีธรรมราช"/>
    <s v="-"/>
    <s v=""/>
    <s v="03/01/2025 16:45"/>
    <s v="-"/>
    <s v="Flash Express Thailand COD"/>
    <s v="Tiktok"/>
    <s v="จ่ายทีหลัง / COD"/>
    <s v=""/>
    <s v="THT64041DVW4R6Z"/>
    <s v="03/01/2025 16:45"/>
  </r>
  <r>
    <x v="5"/>
    <x v="5"/>
    <n v="330"/>
    <n v="1"/>
    <n v="0"/>
    <s v="EPX88"/>
    <n v="330"/>
    <n v="0"/>
    <s v="ร้านที่1"/>
    <s v="ส***ธร ป***ไพริน"/>
    <s v="นนทบุรี"/>
    <s v="-"/>
    <s v=""/>
    <s v="03/01/2025 16:42"/>
    <s v="-"/>
    <s v="J&amp;T COD"/>
    <s v="Tiktok"/>
    <s v="จ่ายทีหลัง / COD"/>
    <s v=""/>
    <s v="754211069813"/>
    <s v="03/01/2025 16:42"/>
  </r>
  <r>
    <x v="10"/>
    <x v="10"/>
    <n v="200"/>
    <n v="1"/>
    <n v="0"/>
    <s v="EPX87"/>
    <n v="200"/>
    <n v="0"/>
    <s v="ร้านที่1"/>
    <s v="น***ชิรวิชญ์ ธ***รอนันต์กูร"/>
    <s v="นครพนม"/>
    <s v="-"/>
    <s v=""/>
    <s v="03/01/2025 16:41"/>
    <s v="-"/>
    <s v="J&amp;T COD"/>
    <s v="Tiktok"/>
    <s v="จ่ายทีหลัง / COD"/>
    <s v=""/>
    <s v="754288875826"/>
    <s v="03/01/2025 16:41"/>
  </r>
  <r>
    <x v="5"/>
    <x v="5"/>
    <n v="330"/>
    <n v="1"/>
    <n v="0"/>
    <s v="EPX86"/>
    <n v="330"/>
    <n v="0"/>
    <s v="ร้านที่1"/>
    <s v="ธ***ิษฐ์ ธ***พรเชาวนันท์"/>
    <s v="ประจวบคีรีขันธ์"/>
    <s v="-"/>
    <s v=""/>
    <s v="03/01/2025 16:41"/>
    <s v="-"/>
    <s v="J&amp;T COD"/>
    <s v="Tiktok"/>
    <s v="จ่ายทีหลัง / COD"/>
    <s v=""/>
    <s v="754235151854"/>
    <s v="03/01/2025 16:41"/>
  </r>
  <r>
    <x v="28"/>
    <x v="35"/>
    <n v="153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13"/>
    <x v="63"/>
    <n v="191.25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3"/>
    <x v="8"/>
    <n v="89.25"/>
    <n v="1"/>
    <n v="0"/>
    <s v="EPX85"/>
    <n v="565.5"/>
    <n v="64"/>
    <s v="ร้านที่6"/>
    <s v="สำลี แก่นอินทร์"/>
    <s v="หมู่บ้านลานหิน 135หมู่5 · ลานดอกไม้/ Lan Dokmai_x000a__x000a_เมืองกำแพงเพชร/ Mueang Kamphaeng Phetกำแพงเพชร/ Kamphaeng Phet_x000a_62000"/>
    <s v="62000"/>
    <s v="660979812670"/>
    <s v="03/01/2025 16:41"/>
    <s v="-"/>
    <s v="Kerry_dropoff"/>
    <s v="Lazada"/>
    <s v="lazada"/>
    <s v=""/>
    <s v="LEXPU0441487792"/>
    <s v="03/01/2025 16:40"/>
  </r>
  <r>
    <x v="10"/>
    <x v="10"/>
    <n v="200"/>
    <n v="1"/>
    <n v="0"/>
    <s v="EPX84"/>
    <n v="200"/>
    <n v="0"/>
    <s v="ร้านที่1"/>
    <s v="จ***มาศ โ***ัตน์"/>
    <s v="ร้อยเอ็ด"/>
    <s v="-"/>
    <s v=""/>
    <s v="03/01/2025 16:39"/>
    <s v="-"/>
    <s v="J&amp;T COD"/>
    <s v="Tiktok"/>
    <s v="จ่ายทีหลัง / COD"/>
    <s v=""/>
    <s v="754260478812"/>
    <s v="03/01/2025 16:39"/>
  </r>
  <r>
    <x v="10"/>
    <x v="10"/>
    <n v="200"/>
    <n v="1"/>
    <n v="0"/>
    <s v="EPX83"/>
    <n v="200"/>
    <n v="0"/>
    <s v="ร้านที่4"/>
    <s v="ค***งศักดิ์ เ***ตะโร"/>
    <s v="สงขลา"/>
    <s v="-"/>
    <s v=""/>
    <s v="03/01/2025 16:38"/>
    <s v="-"/>
    <s v="Flash Express Thailand"/>
    <s v="Tiktok"/>
    <s v="tiktok"/>
    <s v=""/>
    <s v="THT71011DW6AT6Z"/>
    <s v="03/01/2025 16:39"/>
  </r>
  <r>
    <x v="4"/>
    <x v="4"/>
    <n v="100"/>
    <n v="2"/>
    <n v="0"/>
    <s v="EPX82"/>
    <n v="200"/>
    <n v="0"/>
    <s v="ร้านที่1"/>
    <s v="ป***ณา"/>
    <s v="นครราชสีมา"/>
    <s v="-"/>
    <s v=""/>
    <s v="03/01/2025 16:39"/>
    <s v="-"/>
    <s v="J&amp;T Express"/>
    <s v="Tiktok"/>
    <s v="tiktok"/>
    <s v=""/>
    <s v="754256958873"/>
    <s v="03/01/2025 16:38"/>
  </r>
  <r>
    <x v="4"/>
    <x v="4"/>
    <n v="100"/>
    <n v="1"/>
    <n v="0"/>
    <s v="EPX81"/>
    <n v="200"/>
    <n v="0"/>
    <s v="ร้านที่1"/>
    <s v="ส***วิณี  โ***์สุวรรณ์"/>
    <s v="พระนครศรีอยุธยา"/>
    <s v="-"/>
    <s v=""/>
    <s v="03/01/2025 16:36"/>
    <s v="-"/>
    <s v="J&amp;T Express"/>
    <s v="Tiktok"/>
    <s v="tiktok"/>
    <s v=""/>
    <s v="754256678825"/>
    <s v="03/01/2025 16:35"/>
  </r>
  <r>
    <x v="9"/>
    <x v="4"/>
    <n v="100"/>
    <n v="1"/>
    <n v="0"/>
    <s v="EPX81"/>
    <n v="200"/>
    <n v="0"/>
    <s v="ร้านที่1"/>
    <s v="ส***วิณี  โ***์สุวรรณ์"/>
    <s v="พระนครศรีอยุธยา"/>
    <s v="-"/>
    <s v=""/>
    <s v="03/01/2025 16:36"/>
    <s v="-"/>
    <s v="J&amp;T Express"/>
    <s v="Tiktok"/>
    <s v="tiktok"/>
    <s v=""/>
    <s v="754256678825"/>
    <s v="03/01/2025 16:35"/>
  </r>
  <r>
    <x v="0"/>
    <x v="0"/>
    <n v="100"/>
    <n v="2"/>
    <n v="0"/>
    <s v="EPX79"/>
    <n v="206"/>
    <n v="6"/>
    <s v="ร้านที่4"/>
    <s v="จ***ี่จัง"/>
    <s v="นครราชสีมา"/>
    <s v="-"/>
    <s v=""/>
    <s v="03/01/2025 16:32"/>
    <s v="-"/>
    <s v="Flash Express Thailand COD"/>
    <s v="Tiktok"/>
    <s v="จ่ายทีหลัง / COD"/>
    <s v=""/>
    <s v="THT27151DVHNN5Z"/>
    <s v="03/01/2025 16:32"/>
  </r>
  <r>
    <x v="3"/>
    <x v="3"/>
    <n v="100"/>
    <n v="2"/>
    <n v="0"/>
    <s v="EPX78"/>
    <n v="264"/>
    <n v="29"/>
    <s v="ร้านที่2"/>
    <s v="ท******ญ"/>
    <s v="******หกรรมไฮเทคบ้านหว้า  ต.บ้านโพธิ์ ตำบลบ้านโพ อำเภอบางปะอิน จังหวัดพระนครศรีอยุธยา 13160"/>
    <s v="13160"/>
    <s v="62"/>
    <s v="03/01/2025 16:56"/>
    <s v="-"/>
    <s v="Flash Express"/>
    <s v="Shopee"/>
    <s v="shopee"/>
    <s v=""/>
    <s v="TH05066NH8017C"/>
    <s v="03/01/2025 16:26"/>
  </r>
  <r>
    <x v="1"/>
    <x v="1"/>
    <n v="200"/>
    <n v="5"/>
    <n v="0"/>
    <s v="EPX77"/>
    <n v="1000"/>
    <n v="0"/>
    <s v="ร้านที่2"/>
    <s v="จ***ภา จ***สาระ"/>
    <s v="กาฬสินธุ์"/>
    <s v="-"/>
    <s v=""/>
    <s v="03/01/2025 16:26"/>
    <s v="-"/>
    <s v="J&amp;T Express"/>
    <s v="Tiktok"/>
    <s v="tiktok"/>
    <s v=""/>
    <s v="754263820881"/>
    <s v="03/01/2025 16:26"/>
  </r>
  <r>
    <x v="9"/>
    <x v="4"/>
    <n v="100"/>
    <n v="1"/>
    <n v="0"/>
    <s v="EPX76"/>
    <n v="200"/>
    <n v="0"/>
    <s v="ร้านที่2"/>
    <s v="น***า บ***อดรักษ์"/>
    <s v="นครปฐม"/>
    <s v="-"/>
    <s v=""/>
    <s v="03/01/2025 16:18"/>
    <s v="-"/>
    <s v="J&amp;T Express"/>
    <s v="Tiktok"/>
    <s v="tiktok"/>
    <s v=""/>
    <s v="754288478812"/>
    <s v="03/01/2025 16:17"/>
  </r>
  <r>
    <x v="4"/>
    <x v="4"/>
    <n v="100"/>
    <n v="1"/>
    <n v="0"/>
    <s v="EPX76"/>
    <n v="200"/>
    <n v="0"/>
    <s v="ร้านที่2"/>
    <s v="น***า บ***อดรักษ์"/>
    <s v="นครปฐม"/>
    <s v="-"/>
    <s v=""/>
    <s v="03/01/2025 16:18"/>
    <s v="-"/>
    <s v="J&amp;T Express"/>
    <s v="Tiktok"/>
    <s v="tiktok"/>
    <s v=""/>
    <s v="754288478812"/>
    <s v="03/01/2025 16:17"/>
  </r>
  <r>
    <x v="1"/>
    <x v="1"/>
    <n v="200"/>
    <n v="1"/>
    <n v="0"/>
    <s v="EPX74"/>
    <n v="200"/>
    <n v="0"/>
    <s v="ร้านที่2"/>
    <s v="M** T** M** T**"/>
    <s v="Chon Buri"/>
    <s v="-"/>
    <s v=""/>
    <s v="03/01/2025 16:15"/>
    <s v="-"/>
    <s v="J&amp;T COD"/>
    <s v="Tiktok"/>
    <s v="จ่ายทีหลัง / COD"/>
    <s v=""/>
    <s v="754298366846"/>
    <s v="03/01/2025 16:15"/>
  </r>
  <r>
    <x v="3"/>
    <x v="8"/>
    <n v="84"/>
    <n v="1"/>
    <n v="0"/>
    <s v="EPX72"/>
    <n v="89"/>
    <n v="5"/>
    <s v="ร้านที่6"/>
    <s v="ศศิธร ธรรมนิยม"/>
    <s v="315ม.7 ต.บ้านซ่อง อ.พนมสารคาม จ.ฉะเชิงเทรา_x000a__x000a_พนมสารคาม/ Phanom Sarakhamฉะเชิงเทรา/ Chachoengsao_x000a_24120"/>
    <s v="24120"/>
    <s v="660642538112"/>
    <s v="03/01/2025 16:14"/>
    <s v="-"/>
    <s v="Kerry_dropoff"/>
    <s v="Lazada"/>
    <s v="lazada"/>
    <s v=""/>
    <s v="LEXPU0441484092"/>
    <s v="03/01/2025 16:13"/>
  </r>
  <r>
    <x v="1"/>
    <x v="1"/>
    <n v="200"/>
    <n v="1"/>
    <n v="0"/>
    <s v="EPX71"/>
    <n v="200"/>
    <n v="0"/>
    <s v="ร้านที่1"/>
    <s v="ส***งค์"/>
    <s v="สุรินทร์"/>
    <s v="-"/>
    <s v=""/>
    <s v="03/01/2025 16:08"/>
    <s v="-"/>
    <s v="J&amp;T COD"/>
    <s v="Tiktok"/>
    <s v="จ่ายทีหลัง / COD"/>
    <s v=""/>
    <s v="754260662886"/>
    <s v="03/01/2025 16:08"/>
  </r>
  <r>
    <x v="3"/>
    <x v="3"/>
    <n v="100"/>
    <n v="1"/>
    <n v="0"/>
    <s v="EPX70"/>
    <n v="100"/>
    <n v="0"/>
    <s v="ร้านที่4"/>
    <s v="บ***ันทร์ พ***ง"/>
    <s v="ลพบุรี"/>
    <s v="-"/>
    <s v=""/>
    <s v="03/01/2025 16:08"/>
    <s v="-"/>
    <s v="Flash Express Thailand COD"/>
    <s v="Tiktok"/>
    <s v="จ่ายทีหลัง / COD"/>
    <s v=""/>
    <s v="THT07071DVYVZ6Z"/>
    <s v="03/01/2025 16:08"/>
  </r>
  <r>
    <x v="4"/>
    <x v="4"/>
    <n v="100"/>
    <n v="1"/>
    <n v="0"/>
    <s v="EPX69"/>
    <n v="106"/>
    <n v="6"/>
    <s v="ร้านที่2"/>
    <s v="ค***มพู่ ณ ล***ง"/>
    <s v="สมุทรปราการ"/>
    <s v="-"/>
    <s v=""/>
    <s v="03/01/2025 16:06"/>
    <s v="-"/>
    <s v="Flash Express Thailand COD"/>
    <s v="Tiktok"/>
    <s v="จ่ายทีหลัง / COD"/>
    <s v=""/>
    <s v="THT02051DVW8Z2Z"/>
    <s v="03/01/2025 16:06"/>
  </r>
  <r>
    <x v="3"/>
    <x v="3"/>
    <n v="100"/>
    <n v="1"/>
    <n v="0"/>
    <s v="EPX67"/>
    <n v="393"/>
    <n v="45"/>
    <s v="ร้านที่2"/>
    <s v="ณ******ฐ"/>
    <s v="******บลบ่อแดง อำเภอสทิงพระ จังหวัดสงขลา 90190"/>
    <s v="90190"/>
    <s v="96"/>
    <s v="03/01/2025 16:32"/>
    <s v="-"/>
    <s v="SPX Express"/>
    <s v="Shopee"/>
    <s v="shopee"/>
    <s v=""/>
    <s v="TH2514147696715"/>
    <s v="03/01/2025 16:02"/>
  </r>
  <r>
    <x v="6"/>
    <x v="6"/>
    <n v="230"/>
    <n v="1"/>
    <n v="0"/>
    <s v="EPX67"/>
    <n v="393"/>
    <n v="45"/>
    <s v="ร้านที่2"/>
    <s v="ณ******ฐ"/>
    <s v="******บลบ่อแดง อำเภอสทิงพระ จังหวัดสงขลา 90190"/>
    <s v="90190"/>
    <s v="96"/>
    <s v="03/01/2025 16:32"/>
    <s v="-"/>
    <s v="SPX Express"/>
    <s v="Shopee"/>
    <s v="shopee"/>
    <s v=""/>
    <s v="TH2514147696715"/>
    <s v="03/01/2025 16:02"/>
  </r>
  <r>
    <x v="3"/>
    <x v="3"/>
    <n v="100"/>
    <n v="3"/>
    <n v="0"/>
    <s v="EPX66"/>
    <n v="343"/>
    <n v="45"/>
    <s v="ร้านที่2"/>
    <s v="พ******ง"/>
    <s v="******าการ 1 ตึก 79 ต.แพรกษา ตำบลแพรกษา อำเภอเมืองสมุทรปราการ จังหวัดสมุทรปราการ 10280"/>
    <s v="10280"/>
    <s v="79"/>
    <s v="03/01/2025 16:31"/>
    <s v="-"/>
    <s v="SPX Express"/>
    <s v="Shopee"/>
    <s v="shopee"/>
    <s v=""/>
    <s v="TH2560636721386"/>
    <s v="03/01/2025 16:01"/>
  </r>
  <r>
    <x v="5"/>
    <x v="5"/>
    <n v="350"/>
    <n v="1"/>
    <n v="0"/>
    <s v="EPX65"/>
    <n v="350"/>
    <n v="0"/>
    <s v="ร้านที่4"/>
    <s v="ก***ิรมย์ ป***ำพันธ์"/>
    <s v="สุพรรณบุรี"/>
    <s v="-"/>
    <s v=""/>
    <s v="03/01/2025 16:00"/>
    <s v="-"/>
    <s v="Flash Express Thailand COD"/>
    <s v="Tiktok"/>
    <s v="จ่ายทีหลัง / COD"/>
    <s v=""/>
    <s v="THT14071DVM695Z"/>
    <s v="03/01/2025 16:00"/>
  </r>
  <r>
    <x v="1"/>
    <x v="1"/>
    <n v="200"/>
    <n v="1"/>
    <n v="0"/>
    <s v="EPX64"/>
    <n v="200"/>
    <n v="0"/>
    <s v="ร้านที่1"/>
    <s v="จ***มาศ   ฐ***ารมี"/>
    <s v="สุโขทัย"/>
    <s v="-"/>
    <s v=""/>
    <s v="03/01/2025 15:58"/>
    <s v="-"/>
    <s v="J&amp;T COD"/>
    <s v="Tiktok"/>
    <s v="จ่ายทีหลัง / COD"/>
    <s v=""/>
    <s v="754242364842"/>
    <s v="03/01/2025 15:58"/>
  </r>
  <r>
    <x v="5"/>
    <x v="5"/>
    <n v="350"/>
    <n v="1"/>
    <n v="0"/>
    <s v="EPX63"/>
    <n v="350"/>
    <n v="0"/>
    <s v="ร้านที่4"/>
    <s v="อ*** ย***ย็น"/>
    <s v="ปทุมธานี"/>
    <s v="-"/>
    <s v=""/>
    <s v="03/01/2025 15:55"/>
    <s v="-"/>
    <s v="Flash Express Thailand COD"/>
    <s v="Tiktok"/>
    <s v="จ่ายทีหลัง / COD"/>
    <s v=""/>
    <s v="THT04041DW0FM0Z"/>
    <s v="03/01/2025 15:55"/>
  </r>
  <r>
    <x v="3"/>
    <x v="8"/>
    <n v="84"/>
    <n v="1"/>
    <n v="0"/>
    <s v="EPX62"/>
    <n v="89"/>
    <n v="5"/>
    <s v="ร้านที่6"/>
    <s v="บานเย็น  อุดด้วง"/>
    <s v="126 ม.3 ต.ห้วยโรง_x000a__x000a_ร้องกวาง/ Rong Kwangแพร่/ Phrae_x000a_54140"/>
    <s v="54140"/>
    <s v="660988212025"/>
    <s v="03/01/2025 15:54"/>
    <s v="-"/>
    <s v="Kerry_dropoff"/>
    <s v="Lazada"/>
    <s v="lazada"/>
    <s v=""/>
    <s v="TH51026NHCV27I"/>
    <s v="03/01/2025 15:54"/>
  </r>
  <r>
    <x v="9"/>
    <x v="4"/>
    <n v="100"/>
    <n v="3"/>
    <n v="0"/>
    <s v="EPX61"/>
    <n v="300"/>
    <n v="0"/>
    <s v="ร้านที่4"/>
    <s v="ย***ี โ***มทา"/>
    <s v="ระยอง"/>
    <s v="-"/>
    <s v=""/>
    <s v="03/01/2025 15:54"/>
    <s v="-"/>
    <s v="Flash Express Thailand COD"/>
    <s v="Tiktok"/>
    <s v="จ่ายทีหลัง / COD"/>
    <s v=""/>
    <s v="THT21081DVD6F7Z"/>
    <s v="03/01/2025 15:54"/>
  </r>
  <r>
    <x v="3"/>
    <x v="3"/>
    <n v="100"/>
    <n v="3"/>
    <n v="0"/>
    <s v="EPX60"/>
    <n v="340"/>
    <n v="45"/>
    <s v="ร้านที่2"/>
    <s v="พ******ง"/>
    <s v="******าการ 1 ตึก 79 ต.แพรกษา ตำบลแพรกษา อำเภอเมืองสมุทรปราการ จังหวัดสมุทรปราการ 10280"/>
    <s v="10280"/>
    <s v="79"/>
    <s v="03/01/2025 16:22"/>
    <s v="-"/>
    <s v="SPX Express"/>
    <s v="Shopee"/>
    <s v="shopee"/>
    <s v=""/>
    <s v="TH251319288246Z"/>
    <s v="03/01/2025 15:52"/>
  </r>
  <r>
    <x v="3"/>
    <x v="8"/>
    <n v="99.75"/>
    <n v="1"/>
    <n v="0"/>
    <s v="EPX59"/>
    <n v="204.5"/>
    <n v="5"/>
    <s v="ร้านที่6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3/01/2025 15:51"/>
    <s v="-"/>
    <s v="Kerry_dropoff"/>
    <s v="Lazada"/>
    <s v="lazada"/>
    <s v=""/>
    <s v="LEXPU0441485747"/>
    <s v="03/01/2025 15:51"/>
  </r>
  <r>
    <x v="3"/>
    <x v="8"/>
    <n v="99.75"/>
    <n v="1"/>
    <n v="0"/>
    <s v="EPX59"/>
    <n v="204.5"/>
    <n v="5"/>
    <s v="ร้านที่6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3/01/2025 15:51"/>
    <s v="-"/>
    <s v="Kerry_dropoff"/>
    <s v="Lazada"/>
    <s v="lazada"/>
    <s v=""/>
    <s v="LEXPU0441485747"/>
    <s v="03/01/2025 15:51"/>
  </r>
  <r>
    <x v="4"/>
    <x v="4"/>
    <n v="100"/>
    <n v="1"/>
    <n v="0"/>
    <s v="EPX58"/>
    <n v="106"/>
    <n v="6"/>
    <s v="ร้านที่1"/>
    <s v="ค***า"/>
    <s v="กรุงเทพฯ"/>
    <s v="-"/>
    <s v=""/>
    <s v="03/01/2025 15:51"/>
    <s v="-"/>
    <s v="J&amp;T Express"/>
    <s v="Tiktok"/>
    <s v="tiktok"/>
    <s v=""/>
    <s v="754222523832"/>
    <s v="03/01/2025 15:50"/>
  </r>
  <r>
    <x v="5"/>
    <x v="5"/>
    <n v="330"/>
    <n v="1"/>
    <n v="0"/>
    <s v="EPX57"/>
    <n v="330"/>
    <n v="0"/>
    <s v="ร้านที่2"/>
    <s v="ห***ิ้น  แ***ิ่ม"/>
    <s v="สงขลา"/>
    <s v="-"/>
    <s v=""/>
    <s v="03/01/2025 15:49"/>
    <s v="-"/>
    <s v="J&amp;T COD"/>
    <s v="Tiktok"/>
    <s v="จ่ายทีหลัง / COD"/>
    <s v=""/>
    <s v="754251667842"/>
    <s v="03/01/2025 15:49"/>
  </r>
  <r>
    <x v="9"/>
    <x v="4"/>
    <n v="100"/>
    <n v="2"/>
    <n v="0"/>
    <s v="EPX56"/>
    <n v="200"/>
    <n v="0"/>
    <s v="ร้านที่4"/>
    <s v="แ*** ศ***โฉม"/>
    <s v="กรุงเทพฯ"/>
    <s v="-"/>
    <s v=""/>
    <s v="03/01/2025 15:45"/>
    <s v="-"/>
    <s v="Flash Express Thailand COD"/>
    <s v="Tiktok"/>
    <s v="จ่ายทีหลัง / COD"/>
    <s v=""/>
    <s v="THT01401DVA279Z"/>
    <s v="03/01/2025 15:45"/>
  </r>
  <r>
    <x v="1"/>
    <x v="1"/>
    <n v="200"/>
    <n v="2"/>
    <n v="0"/>
    <s v="EPX55"/>
    <n v="400"/>
    <n v="0"/>
    <s v="ร้านที่2"/>
    <s v="A***a P**"/>
    <s v="ศรีสะเกษ"/>
    <s v="-"/>
    <s v=""/>
    <s v="03/01/2025 15:39"/>
    <s v="-"/>
    <s v="J&amp;T COD"/>
    <s v="Tiktok"/>
    <s v="จ่ายทีหลัง / COD"/>
    <s v=""/>
    <s v="754265309884"/>
    <s v="03/01/2025 15:40"/>
  </r>
  <r>
    <x v="1"/>
    <x v="1"/>
    <n v="200"/>
    <n v="1"/>
    <n v="0"/>
    <s v="EPX54"/>
    <n v="200"/>
    <n v="0"/>
    <s v="ร้านที่1"/>
    <s v="พ***ล ค***"/>
    <s v="หนองบัวลำภู"/>
    <s v="-"/>
    <s v=""/>
    <s v="03/01/2025 15:38"/>
    <s v="-"/>
    <s v="J&amp;T COD"/>
    <s v="Tiktok"/>
    <s v="จ่ายทีหลัง / COD"/>
    <s v=""/>
    <s v="754258870820"/>
    <s v="03/01/2025 15:38"/>
  </r>
  <r>
    <x v="1"/>
    <x v="1"/>
    <n v="200"/>
    <n v="2"/>
    <n v="0"/>
    <s v="EPX53"/>
    <n v="400"/>
    <n v="0"/>
    <s v="ร้านที่2"/>
    <s v="A** M**"/>
    <s v="Bangkok"/>
    <s v="-"/>
    <s v=""/>
    <s v="03/01/2025 15:38"/>
    <s v="-"/>
    <s v="J&amp;T COD"/>
    <s v="Tiktok"/>
    <s v="จ่ายทีหลัง / COD"/>
    <s v=""/>
    <s v="754207611850"/>
    <s v="03/01/2025 15:38"/>
  </r>
  <r>
    <x v="10"/>
    <x v="10"/>
    <n v="200"/>
    <n v="2"/>
    <n v="0"/>
    <s v="EPX51"/>
    <n v="400"/>
    <n v="0"/>
    <s v="ร้านที่2"/>
    <s v="ว***ร ส***รณ์"/>
    <s v="นครปฐม"/>
    <s v="-"/>
    <s v=""/>
    <s v="03/01/2025 15:35"/>
    <s v="-"/>
    <s v="J&amp;T Express"/>
    <s v="Tiktok"/>
    <s v="tiktok"/>
    <s v=""/>
    <s v="754203769826"/>
    <s v="03/01/2025 15:35"/>
  </r>
  <r>
    <x v="9"/>
    <x v="4"/>
    <n v="100"/>
    <n v="1"/>
    <n v="0"/>
    <s v="EPX50"/>
    <n v="106"/>
    <n v="6"/>
    <s v="ร้านที่4"/>
    <s v="อ***"/>
    <s v="นครราชสีมา"/>
    <s v="-"/>
    <s v=""/>
    <s v="03/01/2025 15:27"/>
    <s v="-"/>
    <s v="Flash Express Thailand COD"/>
    <s v="Tiktok"/>
    <s v="จ่ายทีหลัง / COD"/>
    <s v=""/>
    <s v="THT27011DVQG96Z"/>
    <s v="03/01/2025 15:27"/>
  </r>
  <r>
    <x v="19"/>
    <x v="19"/>
    <n v="199"/>
    <n v="1"/>
    <n v="0"/>
    <s v="EPX47"/>
    <n v="228"/>
    <n v="29"/>
    <s v="ร้านที่1"/>
    <s v="ศ******ก"/>
    <s v="******, อำเภอเมืองสุพรรณบุรี ตำบลสระแก้ว อำเภอเมืองสุพรรณบุรี จังหวัดสุพรรณบุรี 72230"/>
    <s v="72230"/>
    <s v="88"/>
    <s v="03/01/2025 15:21"/>
    <s v="-"/>
    <s v="Flash Express"/>
    <s v="Shopee"/>
    <s v="shopee"/>
    <s v=""/>
    <s v="TH14016NHSRB3M"/>
    <s v="03/01/2025 15:21"/>
  </r>
  <r>
    <x v="4"/>
    <x v="4"/>
    <n v="100"/>
    <n v="1"/>
    <n v="0"/>
    <s v="EPX46"/>
    <n v="200"/>
    <n v="0"/>
    <s v="ร้านที่1"/>
    <s v="อ***ักดิ์  ล***อย"/>
    <s v="สระแก้ว"/>
    <s v="-"/>
    <s v=""/>
    <s v="03/01/2025 15:16"/>
    <s v="-"/>
    <s v="J&amp;T COD"/>
    <s v="Tiktok"/>
    <s v="จ่ายทีหลัง / COD"/>
    <s v=""/>
    <s v="754294960856"/>
    <s v="03/01/2025 15:16"/>
  </r>
  <r>
    <x v="9"/>
    <x v="4"/>
    <n v="100"/>
    <n v="1"/>
    <n v="0"/>
    <s v="EPX46"/>
    <n v="200"/>
    <n v="0"/>
    <s v="ร้านที่1"/>
    <s v="อ***ักดิ์  ล***อย"/>
    <s v="สระแก้ว"/>
    <s v="-"/>
    <s v=""/>
    <s v="03/01/2025 15:16"/>
    <s v="-"/>
    <s v="J&amp;T COD"/>
    <s v="Tiktok"/>
    <s v="จ่ายทีหลัง / COD"/>
    <s v=""/>
    <s v="754294960856"/>
    <s v="03/01/2025 15:16"/>
  </r>
  <r>
    <x v="56"/>
    <x v="79"/>
    <n v="180"/>
    <n v="1"/>
    <n v="0"/>
    <s v="EPX45"/>
    <n v="180"/>
    <n v="0"/>
    <s v="ร้านที่1"/>
    <s v="จ***ิมา เ***ทะนง"/>
    <s v="ชลบุรี"/>
    <s v="-"/>
    <s v=""/>
    <s v="03/01/2025 15:15"/>
    <s v="-"/>
    <s v="J&amp;T Express"/>
    <s v="Tiktok"/>
    <s v="tiktok"/>
    <s v=""/>
    <s v="754270212894"/>
    <s v="03/01/2025 15:15"/>
  </r>
  <r>
    <x v="1"/>
    <x v="1"/>
    <n v="200"/>
    <n v="1"/>
    <n v="0"/>
    <s v="EPX44"/>
    <n v="200"/>
    <n v="0"/>
    <s v="ร้านที่1"/>
    <s v="ก***ิการ์ ห***นจิตร"/>
    <s v="สมุทรปราการ"/>
    <s v="-"/>
    <s v=""/>
    <s v="03/01/2025 15:15"/>
    <s v="-"/>
    <s v="J&amp;T COD"/>
    <s v="Tiktok"/>
    <s v="จ่ายทีหลัง / COD"/>
    <s v=""/>
    <s v="754203764801"/>
    <s v="03/01/2025 15:15"/>
  </r>
  <r>
    <x v="19"/>
    <x v="19"/>
    <n v="197"/>
    <n v="1"/>
    <n v="0"/>
    <s v="EPX43"/>
    <n v="237"/>
    <n v="45"/>
    <s v="ร้านที่2"/>
    <s v="ส******ม"/>
    <s v="******, ถนน รังสิต-นครนายก, ตำบลรังสิต, อำเภอธัญบุรี ตำบลรังสิต อำเภอธัญบุรี จังหวัดปทุมธานี 12110"/>
    <s v="12110"/>
    <s v="53"/>
    <s v="03/01/2025 15:15"/>
    <s v="-"/>
    <s v="SPX Express"/>
    <s v="Shopee"/>
    <s v="shopee"/>
    <s v=""/>
    <s v="TH2557072981087"/>
    <s v="03/01/2025 15:15"/>
  </r>
  <r>
    <x v="1"/>
    <x v="1"/>
    <n v="200"/>
    <n v="1"/>
    <n v="0"/>
    <s v="EPX42"/>
    <n v="200"/>
    <n v="0"/>
    <s v="ร้านที่1"/>
    <s v="ส***ล ศ***ภัย"/>
    <s v="นครราชสีมา"/>
    <s v="-"/>
    <s v=""/>
    <s v="03/01/2025 15:14"/>
    <s v="-"/>
    <s v="J&amp;T COD"/>
    <s v="Tiktok"/>
    <s v="จ่ายทีหลัง / COD"/>
    <s v=""/>
    <s v="754224261873"/>
    <s v="03/01/2025 15:14"/>
  </r>
  <r>
    <x v="3"/>
    <x v="3"/>
    <n v="100"/>
    <n v="3"/>
    <n v="0"/>
    <s v="EPX41"/>
    <n v="329"/>
    <n v="29"/>
    <s v="ร้านที่4"/>
    <s v="ว*** บ***ที่ยง"/>
    <s v="สุโขทัย"/>
    <s v="-"/>
    <s v=""/>
    <s v="03/01/2025 15:14"/>
    <s v="-"/>
    <s v="Flash Express Thailand"/>
    <s v="Tiktok"/>
    <s v="tiktok"/>
    <s v=""/>
    <s v="THT60011DVMZG3Z"/>
    <s v="03/01/2025 15:14"/>
  </r>
  <r>
    <x v="26"/>
    <x v="56"/>
    <n v="240"/>
    <n v="1"/>
    <n v="0"/>
    <s v="EPX40"/>
    <n v="240"/>
    <n v="0"/>
    <s v="ร้านที่4"/>
    <s v="ป***ารัตน์ โ***์เจริญ"/>
    <s v="ปทุมธานี"/>
    <s v="-"/>
    <s v=""/>
    <s v="03/01/2025 15:14"/>
    <s v="-"/>
    <s v="Flash Express Thailand"/>
    <s v="Tiktok"/>
    <s v="tiktok"/>
    <s v=""/>
    <s v="THT04011DW0D40Z"/>
    <s v="03/01/2025 15:13"/>
  </r>
  <r>
    <x v="0"/>
    <x v="0"/>
    <n v="100"/>
    <n v="2"/>
    <n v="0"/>
    <s v="EPX39"/>
    <n v="200"/>
    <n v="0"/>
    <s v="ร้านที่2"/>
    <s v="ธ***พร ป***ำ"/>
    <s v="พิจิตร"/>
    <s v="-"/>
    <s v=""/>
    <s v="03/01/2025 15:11"/>
    <s v="-"/>
    <s v="J&amp;T COD"/>
    <s v="Tiktok"/>
    <s v="จ่ายทีหลัง / COD"/>
    <s v=""/>
    <s v="754274243881"/>
    <s v="03/01/2025 15:12"/>
  </r>
  <r>
    <x v="3"/>
    <x v="3"/>
    <n v="100"/>
    <n v="1"/>
    <n v="0"/>
    <s v="EPX38"/>
    <n v="106"/>
    <n v="6"/>
    <s v="ร้านที่1"/>
    <s v="เ***รัตน์ ท***าติ"/>
    <s v="สกลนคร"/>
    <s v="-"/>
    <s v=""/>
    <s v="03/01/2025 15:11"/>
    <s v="-"/>
    <s v="J&amp;T Express"/>
    <s v="Tiktok"/>
    <s v="tiktok"/>
    <s v=""/>
    <s v="754208628806"/>
    <s v="03/01/2025 15:11"/>
  </r>
  <r>
    <x v="0"/>
    <x v="0"/>
    <n v="100"/>
    <n v="1"/>
    <n v="0"/>
    <s v="EPX37"/>
    <n v="106"/>
    <n v="6"/>
    <s v="ร้านที่1"/>
    <s v="อ***ักดิ์  ล***อย"/>
    <s v="สระแก้ว"/>
    <s v="-"/>
    <s v=""/>
    <s v="03/01/2025 15:10"/>
    <s v="-"/>
    <s v="J&amp;T COD"/>
    <s v="Tiktok"/>
    <s v="จ่ายทีหลัง / COD"/>
    <s v=""/>
    <s v="754219043885"/>
    <s v="03/01/2025 15:10"/>
  </r>
  <r>
    <x v="9"/>
    <x v="4"/>
    <n v="100"/>
    <n v="2"/>
    <n v="0"/>
    <s v="EPX36"/>
    <n v="500"/>
    <n v="0"/>
    <s v="ร้านที่4"/>
    <s v="เ***"/>
    <s v="นนทบุรี"/>
    <s v="-"/>
    <s v=""/>
    <s v="03/01/2025 15:09"/>
    <s v="-"/>
    <s v="Flash Express Thailand"/>
    <s v="Tiktok"/>
    <s v="tiktok"/>
    <s v=""/>
    <s v="THT03021DVTN07Z"/>
    <s v="03/01/2025 15:10"/>
  </r>
  <r>
    <x v="4"/>
    <x v="4"/>
    <n v="100"/>
    <n v="3"/>
    <n v="0"/>
    <s v="EPX36"/>
    <n v="500"/>
    <n v="0"/>
    <s v="ร้านที่4"/>
    <s v="เ***"/>
    <s v="นนทบุรี"/>
    <s v="-"/>
    <s v=""/>
    <s v="03/01/2025 15:09"/>
    <s v="-"/>
    <s v="Flash Express Thailand"/>
    <s v="Tiktok"/>
    <s v="tiktok"/>
    <s v=""/>
    <s v="THT03021DVTN07Z"/>
    <s v="03/01/2025 15:10"/>
  </r>
  <r>
    <x v="4"/>
    <x v="4"/>
    <n v="100"/>
    <n v="1"/>
    <n v="0"/>
    <s v="EPX35"/>
    <n v="200"/>
    <n v="0"/>
    <s v="ร้านที่4"/>
    <s v="ว***ิณี ไ***ิลป์"/>
    <s v="ตาก"/>
    <s v="-"/>
    <s v=""/>
    <s v="03/01/2025 15:07"/>
    <s v="-"/>
    <s v="Flash Express Thailand"/>
    <s v="Tiktok"/>
    <s v="tiktok"/>
    <s v=""/>
    <s v="THT59041DVQWQ5Z"/>
    <s v="03/01/2025 15:07"/>
  </r>
  <r>
    <x v="9"/>
    <x v="4"/>
    <n v="100"/>
    <n v="1"/>
    <n v="0"/>
    <s v="EPX35"/>
    <n v="200"/>
    <n v="0"/>
    <s v="ร้านที่4"/>
    <s v="ว***ิณี ไ***ิลป์"/>
    <s v="ตาก"/>
    <s v="-"/>
    <s v=""/>
    <s v="03/01/2025 15:07"/>
    <s v="-"/>
    <s v="Flash Express Thailand"/>
    <s v="Tiktok"/>
    <s v="tiktok"/>
    <s v=""/>
    <s v="THT59041DVQWQ5Z"/>
    <s v="03/01/2025 15:07"/>
  </r>
  <r>
    <x v="1"/>
    <x v="1"/>
    <n v="200"/>
    <n v="1"/>
    <n v="0"/>
    <s v="EPX34"/>
    <n v="200"/>
    <n v="0"/>
    <s v="ร้านที่1"/>
    <s v="ว*** ท***ุตร"/>
    <s v="ปทุมธานี"/>
    <s v="-"/>
    <s v=""/>
    <s v="03/01/2025 15:06"/>
    <s v="-"/>
    <s v="J&amp;T COD"/>
    <s v="Tiktok"/>
    <s v="จ่ายทีหลัง / COD"/>
    <s v=""/>
    <s v="754248169813"/>
    <s v="03/01/2025 15:06"/>
  </r>
  <r>
    <x v="0"/>
    <x v="0"/>
    <n v="100"/>
    <n v="2"/>
    <n v="0"/>
    <s v="EPX33"/>
    <n v="200"/>
    <n v="0"/>
    <s v="ร้านที่1"/>
    <s v="ณ*** ค***งคุณ"/>
    <s v="ปราจีนบุรี"/>
    <s v="-"/>
    <s v=""/>
    <s v="03/01/2025 15:06"/>
    <s v="-"/>
    <s v="J&amp;T Express"/>
    <s v="Tiktok"/>
    <s v="tiktok"/>
    <s v=""/>
    <s v="754246339884"/>
    <s v="03/01/2025 15:06"/>
  </r>
  <r>
    <x v="0"/>
    <x v="0"/>
    <n v="100"/>
    <n v="1"/>
    <n v="0"/>
    <s v="EPX32"/>
    <n v="100"/>
    <n v="0"/>
    <s v="ร้านที่2"/>
    <s v="อ***พร แ***นึก"/>
    <s v="พระนครศรีอยุธยา"/>
    <s v="-"/>
    <s v=""/>
    <s v="03/01/2025 15:06"/>
    <s v="-"/>
    <s v="J&amp;T COD"/>
    <s v="Tiktok"/>
    <s v="จ่ายทีหลัง / COD"/>
    <s v=""/>
    <s v="754245741804"/>
    <s v="03/01/2025 15:06"/>
  </r>
  <r>
    <x v="0"/>
    <x v="0"/>
    <n v="100"/>
    <n v="1"/>
    <n v="0"/>
    <s v="EPX31"/>
    <n v="100"/>
    <n v="0"/>
    <s v="ร้านที่2"/>
    <s v="อ***ศรี  ศ***างวัล"/>
    <s v="เทศบาลนครนครปฐม"/>
    <s v="-"/>
    <s v=""/>
    <s v="03/01/2025 15:04"/>
    <s v="-"/>
    <s v="J&amp;T COD"/>
    <s v="Tiktok"/>
    <s v="จ่ายทีหลัง / COD"/>
    <s v=""/>
    <s v="754206929836"/>
    <s v="03/01/2025 15:04"/>
  </r>
  <r>
    <x v="0"/>
    <x v="0"/>
    <n v="100"/>
    <n v="3"/>
    <n v="0"/>
    <s v="EPX30"/>
    <n v="300"/>
    <n v="0"/>
    <s v="ร้านที่1"/>
    <s v="น***าวพัชรินทร์ ใ***ญ"/>
    <s v="ตาก"/>
    <s v="-"/>
    <s v=""/>
    <s v="03/01/2025 15:02"/>
    <s v="-"/>
    <s v="J&amp;T COD"/>
    <s v="Tiktok"/>
    <s v="จ่ายทีหลัง / COD"/>
    <s v=""/>
    <s v="754280429851"/>
    <s v="03/01/2025 15:02"/>
  </r>
  <r>
    <x v="1"/>
    <x v="1"/>
    <n v="200"/>
    <n v="1"/>
    <n v="0"/>
    <s v="EPX29"/>
    <n v="200"/>
    <n v="0"/>
    <s v="ร้านที่2"/>
    <s v="ก***า ถ***อง"/>
    <s v="ศรีสะเกษ"/>
    <s v="-"/>
    <s v=""/>
    <s v="03/01/2025 14:57"/>
    <s v="-"/>
    <s v="J&amp;T COD"/>
    <s v="Tiktok"/>
    <s v="จ่ายทีหลัง / COD"/>
    <s v=""/>
    <s v="754255861870"/>
    <s v="03/01/2025 14:58"/>
  </r>
  <r>
    <x v="0"/>
    <x v="0"/>
    <n v="100"/>
    <n v="10"/>
    <n v="0"/>
    <s v="EPX28"/>
    <n v="1000"/>
    <n v="0"/>
    <s v="ร้านที่4"/>
    <s v="ป**"/>
    <s v="พัทลุง"/>
    <s v="-"/>
    <s v=""/>
    <s v="03/01/2025 14:57"/>
    <s v="-"/>
    <s v="Flash Express Thailand COD"/>
    <s v="Tiktok"/>
    <s v="จ่ายทีหลัง / COD"/>
    <s v=""/>
    <s v="THT74041DVPWE8Z"/>
    <s v="03/01/2025 14:57"/>
  </r>
  <r>
    <x v="10"/>
    <x v="10"/>
    <n v="200"/>
    <n v="1"/>
    <n v="0"/>
    <s v="EPX27"/>
    <n v="200"/>
    <n v="0"/>
    <s v="ร้านที่4"/>
    <s v="เ*** เ***ชาดี"/>
    <s v="อุดรธานี"/>
    <s v="-"/>
    <s v=""/>
    <s v="03/01/2025 14:54"/>
    <s v="-"/>
    <s v="Flash Express Thailand COD"/>
    <s v="Tiktok"/>
    <s v="จ่ายทีหลัง / COD"/>
    <s v=""/>
    <s v="THT38011DW3UP6Z"/>
    <s v="03/01/2025 14:54"/>
  </r>
  <r>
    <x v="0"/>
    <x v="0"/>
    <n v="100"/>
    <n v="2"/>
    <n v="0"/>
    <s v="EPX25"/>
    <n v="200"/>
    <n v="0"/>
    <s v="ร้านที่1"/>
    <s v="ว***รณ์"/>
    <s v="ชลบุรี"/>
    <s v="-"/>
    <s v=""/>
    <s v="03/01/2025 14:50"/>
    <s v="-"/>
    <s v="J&amp;T COD"/>
    <s v="Tiktok"/>
    <s v="จ่ายทีหลัง / COD"/>
    <s v=""/>
    <s v="754252820860"/>
    <s v="03/01/2025 14:50"/>
  </r>
  <r>
    <x v="1"/>
    <x v="1"/>
    <n v="200"/>
    <n v="5"/>
    <n v="0"/>
    <s v="EPX24"/>
    <n v="1000"/>
    <n v="0"/>
    <s v="ร้านที่2"/>
    <s v="อ***ิต แ***อง"/>
    <s v="ราชบุรี"/>
    <s v="-"/>
    <s v=""/>
    <s v="03/01/2025 14:48"/>
    <s v="-"/>
    <s v="J&amp;T COD"/>
    <s v="Tiktok"/>
    <s v="จ่ายทีหลัง / COD"/>
    <s v=""/>
    <s v="754201516891"/>
    <s v="03/01/2025 14:48"/>
  </r>
  <r>
    <x v="7"/>
    <x v="7"/>
    <n v="19"/>
    <n v="1"/>
    <n v="0"/>
    <s v="EPX23"/>
    <n v="19"/>
    <n v="0"/>
    <s v="ร้านที่1"/>
    <s v="นงเยา"/>
    <s v="35/3 หมู่3 ซ.มหาทองหยด · ปลายนา/ Plai Na_x000a__x000a_ศรีประจันต์/ Si Prachanสุพรรณบุรี/ Suphanburi_x000a_72140"/>
    <s v="72140"/>
    <s v="660872462768"/>
    <s v="03/01/2025 14:48"/>
    <s v="-"/>
    <s v="Kerry_dropoff"/>
    <s v="Lazada"/>
    <s v="lazada"/>
    <s v=""/>
    <s v="TH14056NHJHZ9F"/>
    <s v="03/01/2025 14:47"/>
  </r>
  <r>
    <x v="0"/>
    <x v="0"/>
    <n v="100"/>
    <n v="1"/>
    <n v="0"/>
    <s v="EPX22"/>
    <n v="106"/>
    <n v="6"/>
    <s v="ร้านที่1"/>
    <s v="ม***มี่ยว"/>
    <s v="ปทุมธานี"/>
    <s v="-"/>
    <s v=""/>
    <s v="03/01/2025 14:44"/>
    <s v="-"/>
    <s v="Flash Express Thailand"/>
    <s v="Tiktok"/>
    <s v="tiktok"/>
    <s v=""/>
    <s v="THT04061DW1F84Z"/>
    <s v="03/01/2025 14:44"/>
  </r>
  <r>
    <x v="0"/>
    <x v="0"/>
    <n v="100"/>
    <n v="1"/>
    <n v="0"/>
    <s v="EPX21"/>
    <n v="106"/>
    <n v="6"/>
    <s v="ร้านที่1"/>
    <s v="พ***มาศ แ***ศรี"/>
    <s v="เลย"/>
    <s v="-"/>
    <s v=""/>
    <s v="03/01/2025 14:44"/>
    <s v="-"/>
    <s v="J&amp;T COD"/>
    <s v="Tiktok"/>
    <s v="จ่ายทีหลัง / COD"/>
    <s v=""/>
    <s v="754277349803"/>
    <s v="03/01/2025 14:44"/>
  </r>
  <r>
    <x v="7"/>
    <x v="7"/>
    <n v="15.1"/>
    <n v="1"/>
    <n v="0"/>
    <s v="EPX19"/>
    <n v="15.1"/>
    <n v="0"/>
    <s v="ร้านที่1"/>
    <s v="เอ็มหนว"/>
    <s v="74 หมู่9 เอ็ม · ยางช้าย/ Yang Sai_x000a__x000a_โพธิ์ทอง/ Pho Thongอ่างทอง/ Ang Thong_x000a_14120"/>
    <s v="14120"/>
    <s v="660987379398"/>
    <s v="03/01/2025 14:48"/>
    <s v="-"/>
    <s v="Kerry_dropoff"/>
    <s v="Lazada"/>
    <s v="lazada"/>
    <s v=""/>
    <s v="LEXPU0441495602"/>
    <s v="03/01/2025 14:39"/>
  </r>
  <r>
    <x v="3"/>
    <x v="3"/>
    <n v="100"/>
    <n v="1"/>
    <n v="0"/>
    <s v="EPX18"/>
    <n v="344"/>
    <n v="0"/>
    <s v="ร้านที่1"/>
    <s v="ก***พร"/>
    <s v="ราชบุรี"/>
    <s v="-"/>
    <s v=""/>
    <s v="03/01/2025 14:38"/>
    <s v="-"/>
    <s v="Flash Express Thailand COD"/>
    <s v="Tiktok"/>
    <s v="จ่ายทีหลัง / COD"/>
    <s v=""/>
    <s v="THT12061DVS355Z"/>
    <s v="03/01/2025 14:38"/>
  </r>
  <r>
    <x v="9"/>
    <x v="4"/>
    <n v="100"/>
    <n v="1"/>
    <n v="0"/>
    <s v="EPX18"/>
    <n v="344"/>
    <n v="0"/>
    <s v="ร้านที่1"/>
    <s v="ก***พร"/>
    <s v="ราชบุรี"/>
    <s v="-"/>
    <s v=""/>
    <s v="03/01/2025 14:38"/>
    <s v="-"/>
    <s v="Flash Express Thailand COD"/>
    <s v="Tiktok"/>
    <s v="จ่ายทีหลัง / COD"/>
    <s v=""/>
    <s v="THT12061DVS355Z"/>
    <s v="03/01/2025 14:38"/>
  </r>
  <r>
    <x v="33"/>
    <x v="43"/>
    <n v="400"/>
    <n v="1"/>
    <n v="0"/>
    <s v="EPX17"/>
    <n v="400"/>
    <n v="0"/>
    <s v="ร้านที่4"/>
    <s v="ห*** P*"/>
    <s v="ระนอง"/>
    <s v="-"/>
    <s v=""/>
    <s v="03/01/2025 14:36"/>
    <s v="-"/>
    <s v="Flash Express Thailand COD"/>
    <s v="Tiktok"/>
    <s v="จ่ายทีหลัง / COD"/>
    <s v=""/>
    <s v="THT69041DVE3V9Z"/>
    <s v="03/01/2025 14:36"/>
  </r>
  <r>
    <x v="0"/>
    <x v="0"/>
    <n v="100"/>
    <n v="1"/>
    <n v="0"/>
    <s v="EPX16"/>
    <n v="106"/>
    <n v="6"/>
    <s v="ร้านที่1"/>
    <s v="ว***ุตม์ ร***รังษี"/>
    <s v="ชุมพร"/>
    <s v="-"/>
    <s v=""/>
    <s v="03/01/2025 14:35"/>
    <s v="-"/>
    <s v="J&amp;T COD"/>
    <s v="Tiktok"/>
    <s v="จ่ายทีหลัง / COD"/>
    <s v=""/>
    <s v="754270542804"/>
    <s v="03/01/2025 14:36"/>
  </r>
  <r>
    <x v="0"/>
    <x v="0"/>
    <n v="100"/>
    <n v="2"/>
    <n v="0"/>
    <s v="EPX15"/>
    <n v="200"/>
    <n v="0"/>
    <s v="ร้านที่2"/>
    <s v="อ*** อ***บุตร"/>
    <s v="เทศบาลนครอุดรธานี"/>
    <s v="-"/>
    <s v=""/>
    <s v="03/01/2025 14:34"/>
    <s v="-"/>
    <s v="J&amp;T COD"/>
    <s v="Tiktok"/>
    <s v="จ่ายทีหลัง / COD"/>
    <s v=""/>
    <s v="754292840884"/>
    <s v="03/01/2025 14:34"/>
  </r>
  <r>
    <x v="0"/>
    <x v="0"/>
    <n v="100"/>
    <n v="1"/>
    <n v="0"/>
    <s v="EPX14"/>
    <n v="106"/>
    <n v="6"/>
    <s v="ร้านที่2"/>
    <s v="อ***ัย"/>
    <s v="มหาสารคาม"/>
    <s v="-"/>
    <s v=""/>
    <s v="03/01/2025 14:32"/>
    <s v="-"/>
    <s v="J&amp;T COD"/>
    <s v="Tiktok"/>
    <s v="จ่ายทีหลัง / COD"/>
    <s v=""/>
    <s v="754263259816"/>
    <s v="03/01/2025 14:32"/>
  </r>
  <r>
    <x v="19"/>
    <x v="19"/>
    <n v="197"/>
    <n v="1"/>
    <n v="0"/>
    <s v="EPX13"/>
    <n v="237"/>
    <n v="45"/>
    <s v="ร้านที่2"/>
    <s v="บ******ง"/>
    <s v="******บลหนองบัว อำเภอเมืองกาญจนบุรี จังหวัดกาญจนบุรี 71190"/>
    <s v="71190"/>
    <s v="61"/>
    <s v="03/01/2025 14:32"/>
    <s v="-"/>
    <s v="Flash Express"/>
    <s v="Shopee"/>
    <s v="shopee"/>
    <s v=""/>
    <s v="TH13086NJ1DZ6L"/>
    <s v="03/01/2025 14:31"/>
  </r>
  <r>
    <x v="0"/>
    <x v="0"/>
    <n v="100"/>
    <n v="1"/>
    <n v="0"/>
    <s v="EPX12"/>
    <n v="200"/>
    <n v="0"/>
    <s v="ร้านที่2"/>
    <s v="K***้ง"/>
    <s v="บุรีรัมย์"/>
    <s v="-"/>
    <s v=""/>
    <s v="03/01/2025 14:31"/>
    <s v="-"/>
    <s v="J&amp;T COD"/>
    <s v="Tiktok"/>
    <s v="จ่ายทีหลัง / COD"/>
    <s v=""/>
    <s v="754298906863"/>
    <s v="03/01/2025 14:31"/>
  </r>
  <r>
    <x v="3"/>
    <x v="3"/>
    <n v="100"/>
    <n v="1"/>
    <n v="0"/>
    <s v="EPX12"/>
    <n v="200"/>
    <n v="0"/>
    <s v="ร้านที่2"/>
    <s v="K***้ง"/>
    <s v="บุรีรัมย์"/>
    <s v="-"/>
    <s v=""/>
    <s v="03/01/2025 14:31"/>
    <s v="-"/>
    <s v="J&amp;T COD"/>
    <s v="Tiktok"/>
    <s v="จ่ายทีหลัง / COD"/>
    <s v=""/>
    <s v="754298906863"/>
    <s v="03/01/2025 14:31"/>
  </r>
  <r>
    <x v="0"/>
    <x v="0"/>
    <n v="100"/>
    <n v="1"/>
    <n v="0"/>
    <s v="EPX11"/>
    <n v="106"/>
    <n v="6"/>
    <s v="ร้านที่2"/>
    <s v="ด***มล​ แ***​บุบ​ผา​"/>
    <s v="เชียงใหม่"/>
    <s v="-"/>
    <s v=""/>
    <s v="03/01/2025 14:29"/>
    <s v="-"/>
    <s v="J&amp;T COD"/>
    <s v="Tiktok"/>
    <s v="จ่ายทีหลัง / COD"/>
    <s v=""/>
    <s v="754260527845"/>
    <s v="03/01/2025 14:29"/>
  </r>
  <r>
    <x v="0"/>
    <x v="0"/>
    <n v="100"/>
    <n v="1"/>
    <n v="0"/>
    <s v="EPX10"/>
    <n v="106"/>
    <n v="6"/>
    <s v="ร้านที่2"/>
    <s v="น***ต้า ห***แดง"/>
    <s v="สตูล"/>
    <s v="-"/>
    <s v=""/>
    <s v="03/01/2025 14:28"/>
    <s v="-"/>
    <s v="J&amp;T COD"/>
    <s v="Tiktok"/>
    <s v="จ่ายทีหลัง / COD"/>
    <s v=""/>
    <s v="754289524833"/>
    <s v="03/01/2025 14:28"/>
  </r>
  <r>
    <x v="0"/>
    <x v="0"/>
    <n v="100"/>
    <n v="1"/>
    <n v="0"/>
    <s v="EPX9"/>
    <n v="106"/>
    <n v="6"/>
    <s v="ร้านที่1"/>
    <s v="ส***กา ธ***วงค์"/>
    <s v="ลำปาง"/>
    <s v="-"/>
    <s v=""/>
    <s v="03/01/2025 14:28"/>
    <s v="-"/>
    <s v="J&amp;T COD"/>
    <s v="Tiktok"/>
    <s v="จ่ายทีหลัง / COD"/>
    <s v=""/>
    <s v="754295049874"/>
    <s v="03/01/2025 14:28"/>
  </r>
  <r>
    <x v="3"/>
    <x v="3"/>
    <n v="100"/>
    <n v="1"/>
    <n v="0"/>
    <s v="EPX8"/>
    <n v="145"/>
    <n v="45"/>
    <s v="ร้านที่4"/>
    <s v="น***าวธนัชพร เ***ยธา"/>
    <s v="เทศบาลนครขอนแก่น"/>
    <s v="-"/>
    <s v=""/>
    <s v="03/01/2025 14:23"/>
    <s v="-"/>
    <s v="Flash Express Thailand COD"/>
    <s v="Tiktok"/>
    <s v="จ่ายทีหลัง / COD"/>
    <s v=""/>
    <s v="THT37101DVGQ61Z"/>
    <s v="03/01/2025 14:23"/>
  </r>
  <r>
    <x v="1"/>
    <x v="1"/>
    <n v="200"/>
    <n v="1"/>
    <n v="0"/>
    <s v="EPX6"/>
    <n v="200"/>
    <n v="0"/>
    <s v="ร้านที่2"/>
    <s v="แ***พ็ญ เ***มเผ่าพัน"/>
    <s v="เชียงราย"/>
    <s v="-"/>
    <s v=""/>
    <s v="03/01/2025 14:19"/>
    <s v="-"/>
    <s v="J&amp;T COD"/>
    <s v="Tiktok"/>
    <s v="จ่ายทีหลัง / COD"/>
    <s v=""/>
    <s v="754206162824"/>
    <s v="03/01/2025 14:19"/>
  </r>
  <r>
    <x v="4"/>
    <x v="4"/>
    <n v="100"/>
    <n v="1"/>
    <n v="0"/>
    <s v="EPX4"/>
    <n v="106"/>
    <n v="6"/>
    <s v="ร้านที่1"/>
    <s v="ก*** บ***รี"/>
    <s v="จันทบุรี"/>
    <s v="-"/>
    <s v=""/>
    <s v="03/01/2025 14:15"/>
    <s v="-"/>
    <s v="J&amp;T COD"/>
    <s v="Tiktok"/>
    <s v="จ่ายทีหลัง / COD"/>
    <s v=""/>
    <s v="754225448885"/>
    <s v="03/01/2025 14:17"/>
  </r>
  <r>
    <x v="1"/>
    <x v="1"/>
    <n v="200"/>
    <n v="1"/>
    <n v="0"/>
    <s v="EPX2"/>
    <n v="200"/>
    <n v="0"/>
    <s v="ร้านที่2"/>
    <s v="แ***ี"/>
    <s v="ขอนแก่น"/>
    <s v="-"/>
    <s v=""/>
    <s v="03/01/2025 14:14"/>
    <s v="-"/>
    <s v="J&amp;T COD"/>
    <s v="Tiktok"/>
    <s v="จ่ายทีหลัง / COD"/>
    <s v=""/>
    <s v="754237470814"/>
    <s v="03/01/2025 14:16"/>
  </r>
  <r>
    <x v="3"/>
    <x v="8"/>
    <n v="99.75"/>
    <n v="1"/>
    <n v="0"/>
    <s v="EPX1"/>
    <n v="104.75"/>
    <n v="5"/>
    <s v="ร้านที่6"/>
    <s v="คุณวสันต์ วรพฤกษ์กิจ"/>
    <s v="789/27 หมู่1 บริษัทจุฑาวรรณ จำกัด · หนองขาม/ Nong Kham_x000a__x000a_ศรีราชา/ Si Rachaชลบุรี/ Chonburi_x000a_20230"/>
    <s v="20230"/>
    <s v="660897636339"/>
    <s v="03/01/2025 14:15"/>
    <s v="-"/>
    <s v="Kerry_dropoff"/>
    <s v="Lazada"/>
    <s v="lazada"/>
    <s v=""/>
    <s v="LEXPU0441482980"/>
    <s v="03/01/2025 14:15"/>
  </r>
  <r>
    <x v="0"/>
    <x v="0"/>
    <n v="100"/>
    <n v="1"/>
    <n v="0"/>
    <s v="EPX0"/>
    <n v="106"/>
    <n v="6"/>
    <s v="ร้านที่1"/>
    <s v="เ***ลักษณ์"/>
    <s v="ปทุมธานี"/>
    <s v="-"/>
    <s v=""/>
    <s v="03/01/2025 14:10"/>
    <s v="-"/>
    <s v="J&amp;T COD"/>
    <s v="Tiktok"/>
    <s v="จ่ายทีหลัง / COD"/>
    <s v=""/>
    <s v="754247637813"/>
    <s v="03/01/2025 14:13"/>
  </r>
  <r>
    <x v="0"/>
    <x v="0"/>
    <n v="100"/>
    <n v="1"/>
    <n v="0"/>
    <s v="EPW99"/>
    <n v="106"/>
    <n v="6"/>
    <s v="ร้านที่1"/>
    <s v="น***พาโชค ว***านะ"/>
    <s v="จันทบุรี"/>
    <s v="-"/>
    <s v=""/>
    <s v="03/01/2025 14:09"/>
    <s v="-"/>
    <s v="J&amp;T COD"/>
    <s v="Tiktok"/>
    <s v="จ่ายทีหลัง / COD"/>
    <s v=""/>
    <s v="754299458802"/>
    <s v="03/01/2025 14:13"/>
  </r>
  <r>
    <x v="0"/>
    <x v="0"/>
    <n v="100"/>
    <n v="1"/>
    <n v="0"/>
    <s v="EPW98"/>
    <n v="100"/>
    <n v="0"/>
    <s v="ร้านที่2"/>
    <s v="ส***ัว เ***นเงิน"/>
    <s v="นครสวรรค์"/>
    <s v="-"/>
    <s v=""/>
    <s v="03/01/2025 14:09"/>
    <s v="-"/>
    <s v="J&amp;T COD"/>
    <s v="Tiktok"/>
    <s v="จ่ายทีหลัง / COD"/>
    <s v=""/>
    <s v="754214948830"/>
    <s v="03/01/2025 14:13"/>
  </r>
  <r>
    <x v="9"/>
    <x v="4"/>
    <n v="100"/>
    <n v="1"/>
    <n v="0"/>
    <s v="EPW97"/>
    <n v="106"/>
    <n v="6"/>
    <s v="ร้านที่4"/>
    <s v="น***วววววว"/>
    <s v="กรุงเทพฯ"/>
    <s v="-"/>
    <s v=""/>
    <s v="03/01/2025 14:08"/>
    <s v="-"/>
    <s v="Flash Express Thailand"/>
    <s v="Tiktok"/>
    <s v="tiktok"/>
    <s v=""/>
    <s v="THT01501DVQDT0Z"/>
    <s v="03/01/2025 14:13"/>
  </r>
  <r>
    <x v="3"/>
    <x v="3"/>
    <n v="100"/>
    <n v="2"/>
    <n v="0"/>
    <s v="EPW95"/>
    <n v="200"/>
    <n v="0"/>
    <s v="ร้านที่2"/>
    <s v="น******์"/>
    <s v="******5, Pracha U-thit Road, ตำบล บางแม่นาง ตำบลบางแม่นาง อำเภอบางใหญ่ จังหวัดนนทบุรี 11140"/>
    <s v="11140"/>
    <s v="19"/>
    <s v="03/01/2025 14:37"/>
    <s v="-"/>
    <s v="SPX Express"/>
    <s v="Shopee"/>
    <s v="shopee"/>
    <s v=""/>
    <s v="TH250280720511S"/>
    <s v="03/01/2025 14:12"/>
  </r>
  <r>
    <x v="0"/>
    <x v="0"/>
    <n v="100"/>
    <n v="1"/>
    <n v="0"/>
    <s v="EPW94"/>
    <n v="100"/>
    <n v="0"/>
    <s v="ร้านที่1"/>
    <s v="ว***ย"/>
    <s v="Samut Songkhram"/>
    <s v="-"/>
    <s v=""/>
    <s v="03/01/2025 14:07"/>
    <s v="-"/>
    <s v="J&amp;T COD"/>
    <s v="Tiktok"/>
    <s v="จ่ายทีหลัง / COD"/>
    <s v=""/>
    <s v="754253251813"/>
    <s v="03/01/2025 14:11"/>
  </r>
  <r>
    <x v="1"/>
    <x v="1"/>
    <n v="200"/>
    <n v="1"/>
    <n v="0"/>
    <s v="EPW93"/>
    <n v="200"/>
    <n v="0"/>
    <s v="ร้านที่1"/>
    <s v="อ***ตี  เ***ุข"/>
    <s v="สมุทรปราการ"/>
    <s v="-"/>
    <s v=""/>
    <s v="03/01/2025 14:06"/>
    <s v="-"/>
    <s v="J&amp;T COD"/>
    <s v="Tiktok"/>
    <s v="จ่ายทีหลัง / COD"/>
    <s v=""/>
    <s v="754257366844"/>
    <s v="03/01/2025 14:11"/>
  </r>
  <r>
    <x v="1"/>
    <x v="1"/>
    <n v="200"/>
    <n v="1"/>
    <n v="0"/>
    <s v="EPW92"/>
    <n v="200"/>
    <n v="0"/>
    <s v="ร้านที่1"/>
    <s v="ช***ดดา​ เ***ญ​พิ​พัฒพงษ์​"/>
    <s v="สุพรรณบุรี"/>
    <s v="-"/>
    <s v=""/>
    <s v="03/01/2025 14:03"/>
    <s v="-"/>
    <s v="J&amp;T COD"/>
    <s v="Tiktok"/>
    <s v="จ่ายทีหลัง / COD"/>
    <s v=""/>
    <s v="754241676812"/>
    <s v="03/01/2025 14:04"/>
  </r>
  <r>
    <x v="0"/>
    <x v="0"/>
    <n v="100"/>
    <n v="1"/>
    <n v="0"/>
    <s v="EPW91"/>
    <n v="100"/>
    <n v="0"/>
    <s v="ร้านที่1"/>
    <s v="ธ***ชาติ  ร***บูชา"/>
    <s v="นครสวรรค์"/>
    <s v="-"/>
    <s v=""/>
    <s v="03/01/2025 14:03"/>
    <s v="-"/>
    <s v="J&amp;T COD"/>
    <s v="Tiktok"/>
    <s v="จ่ายทีหลัง / COD"/>
    <s v=""/>
    <s v="754245324825"/>
    <s v="03/01/2025 14:04"/>
  </r>
  <r>
    <x v="38"/>
    <x v="50"/>
    <n v="200"/>
    <n v="1"/>
    <n v="0"/>
    <s v="EPW90"/>
    <n v="200"/>
    <n v="0"/>
    <s v="ร้านที่4"/>
    <s v="น***ัย ใ***รีย์"/>
    <s v="เชียงราย"/>
    <s v="-"/>
    <s v=""/>
    <s v="03/01/2025 14:02"/>
    <s v="-"/>
    <s v="Flash Express Thailand COD"/>
    <s v="Tiktok"/>
    <s v="จ่ายทีหลัง / COD"/>
    <s v=""/>
    <s v="THT54011DVM3A7Z"/>
    <s v="03/01/2025 14:02"/>
  </r>
  <r>
    <x v="3"/>
    <x v="8"/>
    <n v="8.8699999999999992"/>
    <n v="1"/>
    <n v="0"/>
    <s v="EPW89"/>
    <n v="8.8699999999999992"/>
    <n v="0"/>
    <s v="ร้านที่6"/>
    <s v="Sasvanee Ramanjea"/>
    <s v="18/4 ม.3 · จะแหน/ Chanae_x000a__x000a_สะบ้าย้อย/ Saba Yoiสงขลา/ Songkhla_x000a_90210"/>
    <s v="90210"/>
    <s v="660806587509"/>
    <s v="03/01/2025 14:00"/>
    <s v="-"/>
    <s v="Kerry_dropoff"/>
    <s v="Lazada"/>
    <s v="lazada"/>
    <s v=""/>
    <s v="TH71066NHCQS5E"/>
    <s v="03/01/2025 14:00"/>
  </r>
  <r>
    <x v="24"/>
    <x v="76"/>
    <n v="646.79999999999995"/>
    <n v="1"/>
    <n v="0"/>
    <s v="EPW88"/>
    <n v="685.8"/>
    <n v="39"/>
    <s v="ร้านที่1"/>
    <s v="น.ส.กุลวดี คงเชียร"/>
    <s v="ศูนย์พัฒนาเด็กเล็กเทศบาลตำบลเชียรใหญ่_x000a__x000a_เชียรใหญ่/ Chian Yaiนครศรีธรรมราช/ Nakhon Si Thammarat_x000a_80190"/>
    <s v="80190"/>
    <s v="660956715451"/>
    <s v="03/01/2025 14:00"/>
    <s v="-"/>
    <s v="Kerry_dropoff"/>
    <s v="Lazada"/>
    <s v="lazada"/>
    <s v=""/>
    <s v="TH64066NH6SC0A"/>
    <s v="03/01/2025 14:00"/>
  </r>
  <r>
    <x v="9"/>
    <x v="4"/>
    <n v="100"/>
    <n v="2"/>
    <n v="0"/>
    <s v="EPW87"/>
    <n v="200"/>
    <n v="0"/>
    <s v="ร้านที่4"/>
    <s v="ร***า"/>
    <s v="ปทุมธานี"/>
    <s v="-"/>
    <s v=""/>
    <s v="03/01/2025 13:59"/>
    <s v="-"/>
    <s v="Flash Express Thailand COD"/>
    <s v="Tiktok"/>
    <s v="จ่ายทีหลัง / COD"/>
    <s v=""/>
    <s v="THT04031DVQVB8Z"/>
    <s v="03/01/2025 13:59"/>
  </r>
  <r>
    <x v="4"/>
    <x v="4"/>
    <n v="100"/>
    <n v="4"/>
    <n v="0"/>
    <s v="EPW86"/>
    <n v="400"/>
    <n v="0"/>
    <s v="ร้านที่4"/>
    <s v="ณ***ล T***O"/>
    <s v="กรุงเทพมหานคร"/>
    <s v="-"/>
    <s v=""/>
    <s v="03/01/2025 13:59"/>
    <s v="-"/>
    <s v="Flash Express Thailand"/>
    <s v="Tiktok"/>
    <s v="tiktok"/>
    <s v=""/>
    <s v="THT01211DVBKQ3Z"/>
    <s v="03/01/2025 13:59"/>
  </r>
  <r>
    <x v="1"/>
    <x v="1"/>
    <n v="200"/>
    <n v="1"/>
    <n v="0"/>
    <s v="EPW85"/>
    <n v="200"/>
    <n v="0"/>
    <s v="ร้านที่1"/>
    <s v="ส***ลี  ศ***ิพย์"/>
    <s v="ประจวบคีรีขันธ์"/>
    <s v="-"/>
    <s v=""/>
    <s v="03/01/2025 13:58"/>
    <s v="-"/>
    <s v="J&amp;T COD"/>
    <s v="Tiktok"/>
    <s v="จ่ายทีหลัง / COD"/>
    <s v=""/>
    <s v="754288561843"/>
    <s v="03/01/2025 13:58"/>
  </r>
  <r>
    <x v="0"/>
    <x v="0"/>
    <n v="100"/>
    <n v="1"/>
    <n v="0"/>
    <s v="EPW82"/>
    <n v="100"/>
    <n v="0"/>
    <s v="ร้านที่1"/>
    <s v="น** เ***กา จ***ลี"/>
    <s v="พิษณุโลก"/>
    <s v="-"/>
    <s v=""/>
    <s v="03/01/2025 13:55"/>
    <s v="-"/>
    <s v="J&amp;T COD"/>
    <s v="Tiktok"/>
    <s v="จ่ายทีหลัง / COD"/>
    <s v=""/>
    <s v="754217829890"/>
    <s v="03/01/2025 13:55"/>
  </r>
  <r>
    <x v="9"/>
    <x v="4"/>
    <n v="100"/>
    <n v="4"/>
    <n v="0"/>
    <s v="EPW81"/>
    <n v="400"/>
    <n v="0"/>
    <s v="ร้านที่1"/>
    <s v="ส***รณี  ห***ี"/>
    <s v="ภูเก็ต"/>
    <s v="-"/>
    <s v=""/>
    <s v="03/01/2025 13:53"/>
    <s v="-"/>
    <s v="J&amp;T COD"/>
    <s v="Tiktok"/>
    <s v="จ่ายทีหลัง / COD"/>
    <s v=""/>
    <s v="754278918805"/>
    <s v="03/01/2025 13:53"/>
  </r>
  <r>
    <x v="1"/>
    <x v="1"/>
    <n v="200"/>
    <n v="1"/>
    <n v="0"/>
    <s v="EPW80"/>
    <n v="200"/>
    <n v="0"/>
    <s v="ร้านที่1"/>
    <s v="ท***ีย์ ล***ี 3** ม*** ต***่งพระยา อ***ามชัยเขตุ จ***เชิงเทรา 2***0"/>
    <s v="ฉะเชิงเทรา"/>
    <s v="-"/>
    <s v=""/>
    <s v="03/01/2025 13:52"/>
    <s v="-"/>
    <s v="J&amp;T COD"/>
    <s v="Tiktok"/>
    <s v="จ่ายทีหลัง / COD"/>
    <s v=""/>
    <s v="754232163856"/>
    <s v="03/01/2025 13:52"/>
  </r>
  <r>
    <x v="3"/>
    <x v="3"/>
    <n v="100"/>
    <n v="1"/>
    <n v="0"/>
    <s v="EPW79"/>
    <n v="145"/>
    <n v="45"/>
    <s v="ร้านที่2"/>
    <s v="ว******ง"/>
    <s v="******พงษ์8 ตำบลท่ามะกา อำเภอท่ามะกา จังหวัดกาญจนบุรี 71120"/>
    <s v="71120"/>
    <s v="85"/>
    <s v="03/01/2025 13:50"/>
    <s v="-"/>
    <s v="SPX Express"/>
    <s v="Shopee"/>
    <s v="shopee"/>
    <s v=""/>
    <s v="TH251055123010D"/>
    <s v="03/01/2025 13:50"/>
  </r>
  <r>
    <x v="3"/>
    <x v="3"/>
    <n v="100"/>
    <n v="1"/>
    <n v="0"/>
    <s v="EPW78"/>
    <n v="342"/>
    <n v="45"/>
    <s v="ร้านที่2"/>
    <s v="ฐ******ว"/>
    <s v="******คร้ำเอน อำเภอท่ามะกา จังหวัดกาญจนบุรี 71130"/>
    <s v="71130"/>
    <s v="39"/>
    <s v="03/01/2025 13:48"/>
    <s v="-"/>
    <s v="SPX Express"/>
    <s v="Shopee"/>
    <s v="shopee"/>
    <s v=""/>
    <s v="TH257792344269S"/>
    <s v="03/01/2025 13:47"/>
  </r>
  <r>
    <x v="19"/>
    <x v="19"/>
    <n v="197"/>
    <n v="1"/>
    <n v="0"/>
    <s v="EPW78"/>
    <n v="342"/>
    <n v="45"/>
    <s v="ร้านที่2"/>
    <s v="ฐ******ว"/>
    <s v="******คร้ำเอน อำเภอท่ามะกา จังหวัดกาญจนบุรี 71130"/>
    <s v="71130"/>
    <s v="39"/>
    <s v="03/01/2025 13:48"/>
    <s v="-"/>
    <s v="SPX Express"/>
    <s v="Shopee"/>
    <s v="shopee"/>
    <s v=""/>
    <s v="TH257792344269S"/>
    <s v="03/01/2025 13:47"/>
  </r>
  <r>
    <x v="1"/>
    <x v="1"/>
    <n v="200"/>
    <n v="1"/>
    <n v="0"/>
    <s v="EPW76"/>
    <n v="200"/>
    <n v="0"/>
    <s v="ร้านที่1"/>
    <s v="ป***าภา อ***ฤทธิ์"/>
    <s v="กรุงเทพฯ"/>
    <s v="-"/>
    <s v=""/>
    <s v="03/01/2025 13:46"/>
    <s v="-"/>
    <s v="J&amp;T COD"/>
    <s v="Tiktok"/>
    <s v="จ่ายทีหลัง / COD"/>
    <s v=""/>
    <s v="754231565850"/>
    <s v="03/01/2025 13:46"/>
  </r>
  <r>
    <x v="1"/>
    <x v="1"/>
    <n v="200"/>
    <n v="1"/>
    <n v="0"/>
    <s v="EPW73"/>
    <n v="200"/>
    <n v="0"/>
    <s v="ร้านที่2"/>
    <s v="ล***า ฮ***จริญ"/>
    <s v="กรุงเทพฯ"/>
    <s v="-"/>
    <s v=""/>
    <s v="03/01/2025 13:43"/>
    <s v="-"/>
    <s v="J&amp;T COD"/>
    <s v="Tiktok"/>
    <s v="จ่ายทีหลัง / COD"/>
    <s v=""/>
    <s v="754288958883"/>
    <s v="03/01/2025 13:43"/>
  </r>
  <r>
    <x v="1"/>
    <x v="1"/>
    <n v="200"/>
    <n v="1"/>
    <n v="0"/>
    <s v="EPW71"/>
    <n v="200"/>
    <n v="0"/>
    <s v="ร้านที่1"/>
    <s v="ค***ะม่อม"/>
    <s v="นครศรีธรรมราช"/>
    <s v="-"/>
    <s v=""/>
    <s v="03/01/2025 13:41"/>
    <s v="-"/>
    <s v="J&amp;T COD"/>
    <s v="Tiktok"/>
    <s v="จ่ายทีหลัง / COD"/>
    <s v=""/>
    <s v="754231369802"/>
    <s v="03/01/2025 13:41"/>
  </r>
  <r>
    <x v="0"/>
    <x v="0"/>
    <n v="100"/>
    <n v="2"/>
    <n v="0"/>
    <s v="EPW68"/>
    <n v="200"/>
    <n v="0"/>
    <s v="ร้านที่2"/>
    <s v="ท***นภา อ***ยบูลย์"/>
    <s v="พิษณุโลก"/>
    <s v="-"/>
    <s v=""/>
    <s v="03/01/2025 13:34"/>
    <s v="-"/>
    <s v="J&amp;T COD"/>
    <s v="Tiktok"/>
    <s v="จ่ายทีหลัง / COD"/>
    <s v=""/>
    <s v="754203440896"/>
    <s v="03/01/2025 13:35"/>
  </r>
  <r>
    <x v="19"/>
    <x v="19"/>
    <n v="197"/>
    <n v="2"/>
    <n v="0"/>
    <s v="EPW67"/>
    <n v="458"/>
    <n v="64"/>
    <s v="ร้านที่2"/>
    <s v="ช******ว"/>
    <s v="******ำบลพระแท่น อำเภอท่ามะกา จังหวัดกาญจนบุรี 71130"/>
    <s v="71130"/>
    <s v="45"/>
    <s v="03/01/2025 13:33"/>
    <s v="-"/>
    <s v="SPX Express"/>
    <s v="Shopee"/>
    <s v="shopee"/>
    <s v=""/>
    <s v="TH252460700099P"/>
    <s v="03/01/2025 13:33"/>
  </r>
  <r>
    <x v="9"/>
    <x v="4"/>
    <n v="100"/>
    <n v="1"/>
    <n v="0"/>
    <s v="EPW66"/>
    <n v="106"/>
    <n v="6"/>
    <s v="ร้านที่4"/>
    <s v="พ***ี ข***ักดี"/>
    <s v="ระนอง"/>
    <s v="-"/>
    <s v=""/>
    <s v="03/01/2025 13:33"/>
    <s v="-"/>
    <s v="Flash Express Thailand COD"/>
    <s v="Tiktok"/>
    <s v="จ่ายทีหลัง / COD"/>
    <s v=""/>
    <s v="THT69011DVB4N5Z"/>
    <s v="03/01/2025 13:33"/>
  </r>
  <r>
    <x v="9"/>
    <x v="4"/>
    <n v="100"/>
    <n v="1"/>
    <n v="0"/>
    <s v="EPW65"/>
    <n v="200"/>
    <n v="0"/>
    <s v="ร้านที่4"/>
    <s v="ท***"/>
    <s v="สมุทรสาคร"/>
    <s v="-"/>
    <s v=""/>
    <s v="03/01/2025 13:33"/>
    <s v="-"/>
    <s v="Flash Express Thailand COD"/>
    <s v="Tiktok"/>
    <s v="จ่ายทีหลัง / COD"/>
    <s v=""/>
    <s v="THT16031DW3QN2Z"/>
    <s v="03/01/2025 13:33"/>
  </r>
  <r>
    <x v="4"/>
    <x v="4"/>
    <n v="100"/>
    <n v="1"/>
    <n v="0"/>
    <s v="EPW65"/>
    <n v="200"/>
    <n v="0"/>
    <s v="ร้านที่4"/>
    <s v="ท***"/>
    <s v="สมุทรสาคร"/>
    <s v="-"/>
    <s v=""/>
    <s v="03/01/2025 13:33"/>
    <s v="-"/>
    <s v="Flash Express Thailand COD"/>
    <s v="Tiktok"/>
    <s v="จ่ายทีหลัง / COD"/>
    <s v=""/>
    <s v="THT16031DW3QN2Z"/>
    <s v="03/01/2025 13:33"/>
  </r>
  <r>
    <x v="19"/>
    <x v="19"/>
    <n v="199"/>
    <n v="1"/>
    <n v="0"/>
    <s v="EPW64"/>
    <n v="199"/>
    <n v="0"/>
    <s v="ร้านที่1"/>
    <s v="ศ******ิ"/>
    <s v="******ย์บุญชัย28 ถ.ทรัพย์พัฒนา ต.บางเมือง ตำบลบางเมือง อำเภอเมืองสมุทรปราการ จังหวัดสมุทรปราการ 10270"/>
    <s v="10270"/>
    <s v="54"/>
    <s v="03/01/2025 13:33"/>
    <s v="-"/>
    <s v="SPX Express"/>
    <s v="Shopee"/>
    <s v="shopee"/>
    <s v=""/>
    <s v="TH258793577864W"/>
    <s v="03/01/2025 13:33"/>
  </r>
  <r>
    <x v="0"/>
    <x v="0"/>
    <n v="100"/>
    <n v="1"/>
    <n v="0"/>
    <s v="EPW63"/>
    <n v="145"/>
    <n v="45"/>
    <s v="ร้านที่1"/>
    <s v="ศ***า ส***ลิศ"/>
    <s v="สุรินทร์"/>
    <s v="-"/>
    <s v=""/>
    <s v="03/01/2025 13:32"/>
    <s v="-"/>
    <s v="J&amp;T COD"/>
    <s v="Tiktok"/>
    <s v="จ่ายทีหลัง / COD"/>
    <s v=""/>
    <s v="754212854813"/>
    <s v="03/01/2025 13:32"/>
  </r>
  <r>
    <x v="9"/>
    <x v="4"/>
    <n v="100"/>
    <n v="1"/>
    <n v="0"/>
    <s v="EPW61"/>
    <n v="106"/>
    <n v="6"/>
    <s v="ร้านที่4"/>
    <s v="ส***รณ์ น***อี่ยม"/>
    <s v="ราชบุรี"/>
    <s v="-"/>
    <s v=""/>
    <s v="03/01/2025 13:32"/>
    <s v="-"/>
    <s v="Flash Express Thailand COD"/>
    <s v="Tiktok"/>
    <s v="จ่ายทีหลัง / COD"/>
    <s v=""/>
    <s v="THT12061DVB3B1Z"/>
    <s v="03/01/2025 13:32"/>
  </r>
  <r>
    <x v="0"/>
    <x v="0"/>
    <n v="100"/>
    <n v="1"/>
    <n v="0"/>
    <s v="EPW60"/>
    <n v="106"/>
    <n v="6"/>
    <s v="ร้านที่2"/>
    <s v="ว***ิสา แ***ทองหลาง"/>
    <s v="กาญจนบุรี"/>
    <s v="-"/>
    <s v=""/>
    <s v="03/01/2025 13:31"/>
    <s v="-"/>
    <s v="J&amp;T COD"/>
    <s v="Tiktok"/>
    <s v="จ่ายทีหลัง / COD"/>
    <s v=""/>
    <s v="754275655814"/>
    <s v="03/01/2025 13:31"/>
  </r>
  <r>
    <x v="0"/>
    <x v="0"/>
    <n v="100"/>
    <n v="1"/>
    <n v="0"/>
    <s v="EPW59"/>
    <n v="106"/>
    <n v="6"/>
    <s v="ร้านที่4"/>
    <s v="บ***มาศ ใ***"/>
    <s v="สงขลา"/>
    <s v="-"/>
    <s v=""/>
    <s v="03/01/2025 13:30"/>
    <s v="-"/>
    <s v="Flash Express Thailand COD"/>
    <s v="Tiktok"/>
    <s v="จ่ายทีหลัง / COD"/>
    <s v=""/>
    <s v="THT71151DVN7Y3Z"/>
    <s v="03/01/2025 13:31"/>
  </r>
  <r>
    <x v="1"/>
    <x v="1"/>
    <n v="200"/>
    <n v="1"/>
    <n v="0"/>
    <s v="EPW58"/>
    <n v="200"/>
    <n v="0"/>
    <s v="ร้านที่1"/>
    <s v="ม***ี ม***คูล"/>
    <s v="สมุทรปราการ"/>
    <s v="-"/>
    <s v=""/>
    <s v="03/01/2025 13:31"/>
    <s v="-"/>
    <s v="J&amp;T Express"/>
    <s v="Tiktok"/>
    <s v="tiktok"/>
    <s v=""/>
    <s v="754271663880"/>
    <s v="03/01/2025 13:30"/>
  </r>
  <r>
    <x v="0"/>
    <x v="0"/>
    <n v="100"/>
    <n v="1"/>
    <n v="0"/>
    <s v="EPW57"/>
    <n v="106"/>
    <n v="6"/>
    <s v="ร้านที่2"/>
    <s v="เ***ิรา ร***าน"/>
    <s v="ระนอง"/>
    <s v="-"/>
    <s v=""/>
    <s v="03/01/2025 13:29"/>
    <s v="-"/>
    <s v="J&amp;T COD"/>
    <s v="Tiktok"/>
    <s v="จ่ายทีหลัง / COD"/>
    <s v=""/>
    <s v="754268823895"/>
    <s v="03/01/2025 13:29"/>
  </r>
  <r>
    <x v="9"/>
    <x v="4"/>
    <n v="100"/>
    <n v="4"/>
    <n v="0"/>
    <s v="EPW55"/>
    <n v="400"/>
    <n v="0"/>
    <s v="ร้านที่4"/>
    <s v="ป***าภรณ์ ล***ูง"/>
    <s v="ราชบุรี"/>
    <s v="-"/>
    <s v=""/>
    <s v="03/01/2025 13:27"/>
    <s v="-"/>
    <s v="Flash Express Thailand COD"/>
    <s v="Tiktok"/>
    <s v="จ่ายทีหลัง / COD"/>
    <s v=""/>
    <s v="THT12031DV5WE3Z"/>
    <s v="03/01/2025 13:27"/>
  </r>
  <r>
    <x v="4"/>
    <x v="4"/>
    <n v="100"/>
    <n v="1"/>
    <n v="0"/>
    <s v="EPW54"/>
    <n v="100"/>
    <n v="0"/>
    <s v="ร้านที่1"/>
    <s v="ส***ตนา ร***าวงษ์"/>
    <s v="สิงห์บุรี"/>
    <s v="-"/>
    <s v=""/>
    <s v="03/01/2025 13:26"/>
    <s v="-"/>
    <s v="J&amp;T COD"/>
    <s v="Tiktok"/>
    <s v="จ่ายทีหลัง / COD"/>
    <s v=""/>
    <s v="754238923830"/>
    <s v="03/01/2025 13:26"/>
  </r>
  <r>
    <x v="1"/>
    <x v="1"/>
    <n v="200"/>
    <n v="1"/>
    <n v="0"/>
    <s v="EPW53"/>
    <n v="200"/>
    <n v="0"/>
    <s v="ร้านที่1"/>
    <s v="จ***นา ภ***งศ์"/>
    <s v="สุรินทร์"/>
    <s v="-"/>
    <s v=""/>
    <s v="03/01/2025 13:23"/>
    <s v="-"/>
    <s v="J&amp;T COD"/>
    <s v="Tiktok"/>
    <s v="จ่ายทีหลัง / COD"/>
    <s v=""/>
    <s v="754284164826"/>
    <s v="03/01/2025 13:23"/>
  </r>
  <r>
    <x v="5"/>
    <x v="5"/>
    <n v="350"/>
    <n v="1"/>
    <n v="0"/>
    <s v="EPW52"/>
    <n v="350"/>
    <n v="0"/>
    <s v="ร้านที่4"/>
    <s v="ท***"/>
    <s v="กรุงเทพฯ"/>
    <s v="-"/>
    <s v=""/>
    <s v="03/01/2025 13:23"/>
    <s v="-"/>
    <s v="Flash Express Thailand COD"/>
    <s v="Tiktok"/>
    <s v="จ่ายทีหลัง / COD"/>
    <s v=""/>
    <s v="THT01201DVZHT8Z"/>
    <s v="03/01/2025 13:23"/>
  </r>
  <r>
    <x v="3"/>
    <x v="3"/>
    <n v="100"/>
    <n v="5"/>
    <n v="0"/>
    <s v="EPW50"/>
    <n v="500"/>
    <n v="0"/>
    <s v="ร้านที่4"/>
    <s v="โ***ส เ***ยงกระโทก"/>
    <s v="นครราชสีมา"/>
    <s v="-"/>
    <s v=""/>
    <s v="03/01/2025 13:22"/>
    <s v="-"/>
    <s v="Flash Express Thailand COD"/>
    <s v="Tiktok"/>
    <s v="จ่ายทีหลัง / COD"/>
    <s v=""/>
    <s v="THT27071DVY7F2Z"/>
    <s v="03/01/2025 13:22"/>
  </r>
  <r>
    <x v="3"/>
    <x v="3"/>
    <n v="100"/>
    <n v="2"/>
    <n v="0"/>
    <s v="EPW49"/>
    <n v="461"/>
    <n v="64"/>
    <s v="ร้านที่2"/>
    <s v="ค******ไ"/>
    <s v="******.เพชรเกษม แขวงวัดท่าพระ เขตบางกอกใหญ่ จังหวัดกรุงเทพมหานคร 10600"/>
    <s v="10600"/>
    <s v="04"/>
    <s v="03/01/2025 13:48"/>
    <s v="-"/>
    <s v="SPX Express"/>
    <s v="Shopee"/>
    <s v="shopee"/>
    <s v=""/>
    <s v="TH2597619433788"/>
    <s v="03/01/2025 13:20"/>
  </r>
  <r>
    <x v="19"/>
    <x v="19"/>
    <n v="197"/>
    <n v="1"/>
    <n v="0"/>
    <s v="EPW49"/>
    <n v="461"/>
    <n v="64"/>
    <s v="ร้านที่2"/>
    <s v="ค******ไ"/>
    <s v="******.เพชรเกษม แขวงวัดท่าพระ เขตบางกอกใหญ่ จังหวัดกรุงเทพมหานคร 10600"/>
    <s v="10600"/>
    <s v="04"/>
    <s v="03/01/2025 13:48"/>
    <s v="-"/>
    <s v="SPX Express"/>
    <s v="Shopee"/>
    <s v="shopee"/>
    <s v=""/>
    <s v="TH2597619433788"/>
    <s v="03/01/2025 13:20"/>
  </r>
  <r>
    <x v="9"/>
    <x v="4"/>
    <n v="100"/>
    <n v="1"/>
    <n v="0"/>
    <s v="EPW48"/>
    <n v="106"/>
    <n v="6"/>
    <s v="ร้านที่2"/>
    <s v="ด***้อ ภ***อง"/>
    <s v="กาญจนบุรี"/>
    <s v="-"/>
    <s v=""/>
    <s v="03/01/2025 13:19"/>
    <s v="-"/>
    <s v="J&amp;T COD"/>
    <s v="Tiktok"/>
    <s v="จ่ายทีหลัง / COD"/>
    <s v=""/>
    <s v="754251695761"/>
    <s v="03/01/2025 13:19"/>
  </r>
  <r>
    <x v="1"/>
    <x v="1"/>
    <n v="200"/>
    <n v="1"/>
    <n v="0"/>
    <s v="EPW47"/>
    <n v="200"/>
    <n v="0"/>
    <s v="ร้านที่2"/>
    <s v="จ***รัตน์"/>
    <s v="สุพรรณบุรี"/>
    <s v="-"/>
    <s v=""/>
    <s v="03/01/2025 13:19"/>
    <s v="-"/>
    <s v="J&amp;T COD"/>
    <s v="Tiktok"/>
    <s v="จ่ายทีหลัง / COD"/>
    <s v=""/>
    <s v="754208968800"/>
    <s v="03/01/2025 13:19"/>
  </r>
  <r>
    <x v="0"/>
    <x v="0"/>
    <n v="100"/>
    <n v="2"/>
    <n v="0"/>
    <s v="EPW46"/>
    <n v="200"/>
    <n v="0"/>
    <s v="ร้านที่4"/>
    <s v="ร***นภา ก***รง"/>
    <s v="เพชรบูรณ์"/>
    <s v="-"/>
    <s v=""/>
    <s v="03/01/2025 13:17"/>
    <s v="-"/>
    <s v="Flash Express Thailand COD"/>
    <s v="Tiktok"/>
    <s v="จ่ายทีหลัง / COD"/>
    <s v=""/>
    <s v="THT63031DVHXF5Z"/>
    <s v="03/01/2025 13:17"/>
  </r>
  <r>
    <x v="5"/>
    <x v="5"/>
    <n v="330"/>
    <n v="1"/>
    <n v="0"/>
    <s v="EPW44"/>
    <n v="330"/>
    <n v="0"/>
    <s v="ร้านที่2"/>
    <s v="อ***ดา น***ุทธิ์"/>
    <s v="ชลบุรี"/>
    <s v="-"/>
    <s v=""/>
    <s v="03/01/2025 13:15"/>
    <s v="-"/>
    <s v="J&amp;T COD"/>
    <s v="Tiktok"/>
    <s v="จ่ายทีหลัง / COD"/>
    <s v=""/>
    <s v="754289464832"/>
    <s v="03/01/2025 13:15"/>
  </r>
  <r>
    <x v="4"/>
    <x v="4"/>
    <n v="100"/>
    <n v="1"/>
    <n v="0"/>
    <s v="EPW43"/>
    <n v="106"/>
    <n v="6"/>
    <s v="ร้านที่1"/>
    <s v="เ***ยบ ก***ะวี"/>
    <s v="ระยอง"/>
    <s v="-"/>
    <s v=""/>
    <s v="03/01/2025 13:14"/>
    <s v="-"/>
    <s v="J&amp;T COD"/>
    <s v="Tiktok"/>
    <s v="จ่ายทีหลัง / COD"/>
    <s v=""/>
    <s v="754200442870"/>
    <s v="03/01/2025 13:14"/>
  </r>
  <r>
    <x v="10"/>
    <x v="10"/>
    <n v="200"/>
    <n v="2"/>
    <n v="0"/>
    <s v="EPW41"/>
    <n v="400"/>
    <n v="0"/>
    <s v="ร้านที่2"/>
    <s v="ก***นา"/>
    <s v="ราชบุรี"/>
    <s v="-"/>
    <s v=""/>
    <s v="03/01/2025 13:12"/>
    <s v="-"/>
    <s v="J&amp;T COD"/>
    <s v="Tiktok"/>
    <s v="จ่ายทีหลัง / COD"/>
    <s v=""/>
    <s v="754206061895"/>
    <s v="03/01/2025 13:13"/>
  </r>
  <r>
    <x v="19"/>
    <x v="19"/>
    <n v="199"/>
    <n v="3"/>
    <n v="0"/>
    <s v="EPW40"/>
    <n v="676"/>
    <n v="79"/>
    <s v="ร้านที่1"/>
    <s v="อ******า"/>
    <s v="******ระชาอุทิศ ซอย79 แยก18/11 แขวงทุ่งครุ เขตทุ่งครุ จังหวัดกรุงเทพมหานคร 10140"/>
    <s v="10140"/>
    <s v="96"/>
    <s v="03/01/2025 13:12"/>
    <s v="-"/>
    <s v="SPX Express"/>
    <s v="Shopee"/>
    <s v="shopee"/>
    <s v=""/>
    <s v="TH2500618274343"/>
    <s v="03/01/2025 13:11"/>
  </r>
  <r>
    <x v="4"/>
    <x v="4"/>
    <n v="100"/>
    <n v="1"/>
    <n v="0"/>
    <s v="EPW38"/>
    <n v="100"/>
    <n v="0"/>
    <s v="ร้านที่1"/>
    <s v="ส***ญ​ เ***์เกิด"/>
    <s v="นครปฐม"/>
    <s v="-"/>
    <s v=""/>
    <s v="03/01/2025 13:09"/>
    <s v="-"/>
    <s v="J&amp;T COD"/>
    <s v="Tiktok"/>
    <s v="จ่ายทีหลัง / COD"/>
    <s v=""/>
    <s v="754202648872"/>
    <s v="03/01/2025 13:09"/>
  </r>
  <r>
    <x v="7"/>
    <x v="7"/>
    <n v="0"/>
    <n v="1"/>
    <n v="0"/>
    <s v="EPW37"/>
    <n v="5"/>
    <n v="5"/>
    <s v="ร้านที่1"/>
    <s v="วิภารัตน์"/>
    <s v="259 (ลือนาม2) พหลโยธิน46 เสนานิคม · จตุจักร/ Chatuchak_x000a__x000a_จตุจักร/ Chatuchakกรุงเทพมหานคร/ Bangkok_x000a_10900"/>
    <s v="10900"/>
    <s v="660633393231"/>
    <s v="03/01/2025 13:10"/>
    <s v="-"/>
    <s v="Kerry_dropoff"/>
    <s v="Lazada"/>
    <s v="lazada"/>
    <s v=""/>
    <s v="LEXPU0441494970"/>
    <s v="03/01/2025 13:08"/>
  </r>
  <r>
    <x v="4"/>
    <x v="4"/>
    <n v="100"/>
    <n v="1"/>
    <n v="0"/>
    <s v="EPW36"/>
    <n v="100"/>
    <n v="0"/>
    <s v="ร้านที่2"/>
    <s v="ก***นา ม***นะ"/>
    <s v="เพชรบูรณ์"/>
    <s v="-"/>
    <s v=""/>
    <s v="03/01/2025 13:08"/>
    <s v="-"/>
    <s v="J&amp;T COD"/>
    <s v="Tiktok"/>
    <s v="จ่ายทีหลัง / COD"/>
    <s v=""/>
    <s v="754216841862"/>
    <s v="03/01/2025 13:08"/>
  </r>
  <r>
    <x v="9"/>
    <x v="4"/>
    <n v="100"/>
    <n v="1"/>
    <n v="0"/>
    <s v="EPW35"/>
    <n v="106"/>
    <n v="6"/>
    <s v="ร้านที่1"/>
    <s v="ว***า บ***ชน"/>
    <s v="ร้อยเอ็ด"/>
    <s v="-"/>
    <s v=""/>
    <s v="03/01/2025 13:08"/>
    <s v="-"/>
    <s v="J&amp;T Express"/>
    <s v="Tiktok"/>
    <s v="tiktok"/>
    <s v=""/>
    <s v="754242692770"/>
    <s v="03/01/2025 13:06"/>
  </r>
  <r>
    <x v="0"/>
    <x v="0"/>
    <n v="100"/>
    <n v="1"/>
    <n v="0"/>
    <s v="EPW34"/>
    <n v="106"/>
    <n v="6"/>
    <s v="ร้านที่4"/>
    <s v="ภ***ารัตน์  ส***ย้ม"/>
    <s v="สมุทรปราการ"/>
    <s v="-"/>
    <s v=""/>
    <s v="03/01/2025 13:06"/>
    <s v="-"/>
    <s v="Flash Express Thailand"/>
    <s v="Tiktok"/>
    <s v="tiktok"/>
    <s v=""/>
    <s v="THT02021DVN3Z1Z"/>
    <s v="03/01/2025 13:06"/>
  </r>
  <r>
    <x v="9"/>
    <x v="4"/>
    <n v="100"/>
    <n v="3"/>
    <n v="0"/>
    <s v="EPW33"/>
    <n v="300"/>
    <n v="0"/>
    <s v="ร้านที่4"/>
    <s v="อ***รณ เ***สุข"/>
    <s v="เทศบาลนครนครราชสีมา"/>
    <s v="-"/>
    <s v=""/>
    <s v="03/01/2025 13:05"/>
    <s v="-"/>
    <s v="Flash Express Thailand COD"/>
    <s v="Tiktok"/>
    <s v="จ่ายทีหลัง / COD"/>
    <s v=""/>
    <s v="THT10131DVA1C1Z"/>
    <s v="03/01/2025 13:05"/>
  </r>
  <r>
    <x v="1"/>
    <x v="1"/>
    <n v="200"/>
    <n v="1"/>
    <n v="0"/>
    <s v="EPW32"/>
    <n v="200"/>
    <n v="0"/>
    <s v="ร้านที่2"/>
    <s v="ส***พร ศ***ุ่ม"/>
    <s v="ราชบุรี"/>
    <s v="-"/>
    <s v=""/>
    <s v="03/01/2025 13:04"/>
    <s v="-"/>
    <s v="J&amp;T COD"/>
    <s v="Tiktok"/>
    <s v="จ่ายทีหลัง / COD"/>
    <s v=""/>
    <s v="754284265884"/>
    <s v="03/01/2025 13:04"/>
  </r>
  <r>
    <x v="5"/>
    <x v="5"/>
    <n v="350"/>
    <n v="1"/>
    <n v="0"/>
    <s v="EPW31"/>
    <n v="350"/>
    <n v="0"/>
    <s v="ร้านที่4"/>
    <s v="เ***ินี ม***วิเชียร"/>
    <s v="กรุงเทพฯ"/>
    <s v="-"/>
    <s v=""/>
    <s v="03/01/2025 13:04"/>
    <s v="-"/>
    <s v="Flash Express Thailand COD"/>
    <s v="Tiktok"/>
    <s v="จ่ายทีหลัง / COD"/>
    <s v=""/>
    <s v="THT01201DVZMJ0Z"/>
    <s v="03/01/2025 13:04"/>
  </r>
  <r>
    <x v="4"/>
    <x v="4"/>
    <n v="100"/>
    <n v="1"/>
    <n v="0"/>
    <s v="EPW30"/>
    <n v="100"/>
    <n v="0"/>
    <s v="ร้านที่4"/>
    <s v="ธ***นต์ ค***ญ"/>
    <s v="กำแพงเพชร"/>
    <s v="-"/>
    <s v=""/>
    <s v="03/01/2025 13:04"/>
    <s v="-"/>
    <s v="Flash Express Thailand"/>
    <s v="Tiktok"/>
    <s v="tiktok"/>
    <s v=""/>
    <s v="THT58081DVCTF5Z"/>
    <s v="03/01/2025 13:03"/>
  </r>
  <r>
    <x v="5"/>
    <x v="5"/>
    <n v="330"/>
    <n v="1"/>
    <n v="0"/>
    <s v="EPW29"/>
    <n v="330"/>
    <n v="0"/>
    <s v="ร้านที่2"/>
    <s v="จ***ร์เพ็ญ ร***จุล"/>
    <s v="ร้อยเอ็ด"/>
    <s v="-"/>
    <s v=""/>
    <s v="03/01/2025 13:02"/>
    <s v="-"/>
    <s v="J&amp;T COD"/>
    <s v="Tiktok"/>
    <s v="จ่ายทีหลัง / COD"/>
    <s v=""/>
    <s v="754271461834"/>
    <s v="03/01/2025 13:02"/>
  </r>
  <r>
    <x v="9"/>
    <x v="4"/>
    <n v="100"/>
    <n v="1"/>
    <n v="0"/>
    <s v="EPW28"/>
    <n v="106"/>
    <n v="6"/>
    <s v="ร้านที่4"/>
    <s v="อ***ย ว***ก่อ"/>
    <s v="ศรีสะเกษ"/>
    <s v="-"/>
    <s v=""/>
    <s v="03/01/2025 13:02"/>
    <s v="-"/>
    <s v="Flash Express Thailand"/>
    <s v="Tiktok"/>
    <s v="tiktok"/>
    <s v=""/>
    <s v="THT30091DVR792Z"/>
    <s v="03/01/2025 13:02"/>
  </r>
  <r>
    <x v="1"/>
    <x v="1"/>
    <n v="200"/>
    <n v="1"/>
    <n v="0"/>
    <s v="EPW27"/>
    <n v="200"/>
    <n v="0"/>
    <s v="ร้านที่2"/>
    <s v="ช*** น***ทร์ ล***ขสาม"/>
    <s v="สุพรรณบุรี"/>
    <s v="-"/>
    <s v=""/>
    <s v="03/01/2025 13:01"/>
    <s v="-"/>
    <s v="J&amp;T Express"/>
    <s v="Tiktok"/>
    <s v="tiktok"/>
    <s v=""/>
    <s v="754227766806"/>
    <s v="03/01/2025 13:01"/>
  </r>
  <r>
    <x v="3"/>
    <x v="8"/>
    <n v="84"/>
    <n v="1"/>
    <n v="0"/>
    <s v="EPW26"/>
    <n v="89"/>
    <n v="5"/>
    <s v="ร้านที่6"/>
    <s v="คุณ​ตาจ่า​วัฒน์​ ​/ คุณ​ แป๋ว​ สุกัญญา​"/>
    <s v="10หมู่6 ร้านธาดาโฟโต้แล็บ ต.หนองไผ่ อ.แก้งคร้อ จ.ชัยภูมิ · หนองไผ่/ Nong Phai_x000a__x000a_แก้งคร้อ/ Kaeng Khroชัยภูมิ/ Chaiyaphum_x000a_36150"/>
    <s v="36150"/>
    <s v="660653379696"/>
    <s v="03/01/2025 12:57"/>
    <s v="-"/>
    <s v="Kerry_dropoff"/>
    <s v="Lazada"/>
    <s v="lazada"/>
    <s v=""/>
    <s v="TH33126NHC6F9J"/>
    <s v="03/01/2025 12:57"/>
  </r>
  <r>
    <x v="9"/>
    <x v="4"/>
    <n v="100"/>
    <n v="3"/>
    <n v="0"/>
    <s v="EPW25"/>
    <n v="300"/>
    <n v="0"/>
    <s v="ร้านที่4"/>
    <s v="ศ***พร"/>
    <s v="กรุงเทพฯ"/>
    <s v="-"/>
    <s v=""/>
    <s v="03/01/2025 12:52"/>
    <s v="-"/>
    <s v="Flash Express Thailand COD"/>
    <s v="Tiktok"/>
    <s v="จ่ายทีหลัง / COD"/>
    <s v=""/>
    <s v="THT01311DVQ6M4Z"/>
    <s v="03/01/2025 12:52"/>
  </r>
  <r>
    <x v="5"/>
    <x v="5"/>
    <n v="350"/>
    <n v="1"/>
    <n v="0"/>
    <s v="EPW24"/>
    <n v="350"/>
    <n v="0"/>
    <s v="ร้านที่4"/>
    <s v="ก***ิพย์ เ***ดทหาร"/>
    <s v="สมุทรปราการ"/>
    <s v="-"/>
    <s v=""/>
    <s v="03/01/2025 12:52"/>
    <s v="-"/>
    <s v="Flash Express Thailand COD"/>
    <s v="Tiktok"/>
    <s v="จ่ายทีหลัง / COD"/>
    <s v=""/>
    <s v="THT02051DVZSX4Z"/>
    <s v="03/01/2025 12:52"/>
  </r>
  <r>
    <x v="9"/>
    <x v="4"/>
    <n v="129"/>
    <n v="2"/>
    <n v="0"/>
    <s v="EPW23"/>
    <n v="303"/>
    <n v="45"/>
    <s v="ร้านที่1"/>
    <s v="น******ด"/>
    <s v="******5, ตำบล เขาชะงุ้ม, อำเภอโพธาราม70120 ตำบลเขาชะงุ้ม อำเภอโพธาราม จังหวัดราชบุรี 70120"/>
    <s v="70120"/>
    <s v="53"/>
    <s v="03/01/2025 12:51"/>
    <s v="-"/>
    <s v="SPX Express"/>
    <s v="Shopee"/>
    <s v="shopee"/>
    <s v=""/>
    <s v="TH2526411520975"/>
    <s v="03/01/2025 12:51"/>
  </r>
  <r>
    <x v="1"/>
    <x v="1"/>
    <n v="200"/>
    <n v="1"/>
    <n v="0"/>
    <s v="EPW22"/>
    <n v="300"/>
    <n v="0"/>
    <s v="ร้านที่4"/>
    <s v="น***ุญมี ส***าม"/>
    <s v="กาฬสินธุ์"/>
    <s v="-"/>
    <s v=""/>
    <s v="03/01/2025 12:51"/>
    <s v="-"/>
    <s v="Flash Express Thailand"/>
    <s v="Tiktok"/>
    <s v="tiktok"/>
    <s v=""/>
    <s v="THT43011DVNQ99Z"/>
    <s v="03/01/2025 12:50"/>
  </r>
  <r>
    <x v="9"/>
    <x v="4"/>
    <n v="100"/>
    <n v="1"/>
    <n v="0"/>
    <s v="EPW22"/>
    <n v="300"/>
    <n v="0"/>
    <s v="ร้านที่4"/>
    <s v="น***ุญมี ส***าม"/>
    <s v="กาฬสินธุ์"/>
    <s v="-"/>
    <s v=""/>
    <s v="03/01/2025 12:51"/>
    <s v="-"/>
    <s v="Flash Express Thailand"/>
    <s v="Tiktok"/>
    <s v="tiktok"/>
    <s v=""/>
    <s v="THT43011DVNQ99Z"/>
    <s v="03/01/2025 12:50"/>
  </r>
  <r>
    <x v="1"/>
    <x v="1"/>
    <n v="200"/>
    <n v="1"/>
    <n v="0"/>
    <s v="EPW19"/>
    <n v="200"/>
    <n v="0"/>
    <s v="ร้านที่2"/>
    <s v="ส***ญญา อ***เสมอ"/>
    <s v="พระนครศรีอยุธยา"/>
    <s v="-"/>
    <s v=""/>
    <s v="03/01/2025 12:47"/>
    <s v="-"/>
    <s v="J&amp;T COD"/>
    <s v="Tiktok"/>
    <s v="จ่ายทีหลัง / COD"/>
    <s v=""/>
    <s v="754276153890"/>
    <s v="03/01/2025 12:47"/>
  </r>
  <r>
    <x v="1"/>
    <x v="1"/>
    <n v="200"/>
    <n v="1"/>
    <n v="0"/>
    <s v="EPW18"/>
    <n v="200"/>
    <n v="0"/>
    <s v="ร้านที่1"/>
    <s v="ภ***ชา น***ฟ้า"/>
    <s v="กรุงเทพฯ"/>
    <s v="-"/>
    <s v=""/>
    <s v="03/01/2025 12:47"/>
    <s v="-"/>
    <s v="J&amp;T Express"/>
    <s v="Tiktok"/>
    <s v="tiktok"/>
    <s v=""/>
    <s v="754218756896"/>
    <s v="03/01/2025 12:47"/>
  </r>
  <r>
    <x v="1"/>
    <x v="1"/>
    <n v="200"/>
    <n v="1"/>
    <n v="0"/>
    <s v="EPW17"/>
    <n v="200"/>
    <n v="0"/>
    <s v="ร้านที่4"/>
    <s v="ศ***ธร ไ***ุทร"/>
    <s v="ราชบุรี"/>
    <s v="-"/>
    <s v=""/>
    <s v="03/01/2025 12:46"/>
    <s v="-"/>
    <s v="Flash Express Thailand COD"/>
    <s v="Tiktok"/>
    <s v="จ่ายทีหลัง / COD"/>
    <s v=""/>
    <s v="THT12011DVXFN4Z"/>
    <s v="03/01/2025 12:46"/>
  </r>
  <r>
    <x v="4"/>
    <x v="4"/>
    <n v="100"/>
    <n v="2"/>
    <n v="0"/>
    <s v="EPW16"/>
    <n v="500"/>
    <n v="0"/>
    <s v="ร้านที่4"/>
    <s v="ศ***รัตน์"/>
    <s v="กรุงเทพมหานคร"/>
    <s v="-"/>
    <s v=""/>
    <s v="03/01/2025 12:45"/>
    <s v="-"/>
    <s v="Flash Express Thailand COD"/>
    <s v="Tiktok"/>
    <s v="จ่ายทีหลัง / COD"/>
    <s v=""/>
    <s v="THT01231DVTBE7Z"/>
    <s v="03/01/2025 12:45"/>
  </r>
  <r>
    <x v="9"/>
    <x v="4"/>
    <n v="100"/>
    <n v="3"/>
    <n v="0"/>
    <s v="EPW16"/>
    <n v="500"/>
    <n v="0"/>
    <s v="ร้านที่4"/>
    <s v="ศ***รัตน์"/>
    <s v="กรุงเทพมหานคร"/>
    <s v="-"/>
    <s v=""/>
    <s v="03/01/2025 12:45"/>
    <s v="-"/>
    <s v="Flash Express Thailand COD"/>
    <s v="Tiktok"/>
    <s v="จ่ายทีหลัง / COD"/>
    <s v=""/>
    <s v="THT01231DVTBE7Z"/>
    <s v="03/01/2025 12:45"/>
  </r>
  <r>
    <x v="10"/>
    <x v="10"/>
    <n v="200"/>
    <n v="1"/>
    <n v="0"/>
    <s v="EPW15"/>
    <n v="200"/>
    <n v="0"/>
    <s v="ร้านที่2"/>
    <s v="ว***ภรณ์​  ป***จัน​ทึก​"/>
    <s v="เพชรบูรณ์"/>
    <s v="-"/>
    <s v=""/>
    <s v="03/01/2025 12:45"/>
    <s v="-"/>
    <s v="J&amp;T Express"/>
    <s v="Tiktok"/>
    <s v="tiktok"/>
    <s v=""/>
    <s v="754265478820"/>
    <s v="03/01/2025 12:45"/>
  </r>
  <r>
    <x v="19"/>
    <x v="19"/>
    <n v="199"/>
    <n v="1"/>
    <n v="0"/>
    <s v="EPW12"/>
    <n v="228"/>
    <n v="29"/>
    <s v="ร้านที่1"/>
    <s v="ก******ู"/>
    <s v="******่ 25 )  คลองพุทรา 1 ซอย5/1 ตำบลบางกระสั้น อำเภอบางปะอิน จังหวัดพระนครศรีอยุธยา 13160"/>
    <s v="13160"/>
    <s v="27"/>
    <s v="03/01/2025 13:12"/>
    <s v="-"/>
    <s v="SPX Express"/>
    <s v="Shopee"/>
    <s v="shopee"/>
    <s v=""/>
    <s v="TH250580965427H"/>
    <s v="03/01/2025 12:42"/>
  </r>
  <r>
    <x v="1"/>
    <x v="1"/>
    <n v="200"/>
    <n v="1"/>
    <n v="0"/>
    <s v="EPW11"/>
    <n v="200"/>
    <n v="0"/>
    <s v="ร้านที่1"/>
    <s v="พ***ดา บ***าภ น***บีม"/>
    <s v="ชลบุรี"/>
    <s v="-"/>
    <s v=""/>
    <s v="03/01/2025 12:42"/>
    <s v="-"/>
    <s v="J&amp;T Express"/>
    <s v="Tiktok"/>
    <s v="tiktok"/>
    <s v=""/>
    <s v="754279560834"/>
    <s v="03/01/2025 12:42"/>
  </r>
  <r>
    <x v="4"/>
    <x v="4"/>
    <n v="100"/>
    <n v="1"/>
    <n v="0"/>
    <s v="EPW9"/>
    <n v="106"/>
    <n v="6"/>
    <s v="ร้านที่4"/>
    <s v="ร***ี เ***ย์วงศ์ณอยุธยา"/>
    <s v="กรุงเทพมหานคร"/>
    <s v="-"/>
    <s v=""/>
    <s v="03/01/2025 12:38"/>
    <s v="-"/>
    <s v="Flash Express Thailand COD"/>
    <s v="Tiktok"/>
    <s v="จ่ายทีหลัง / COD"/>
    <s v=""/>
    <s v="THT01021DV9BT5Z"/>
    <s v="03/01/2025 12:38"/>
  </r>
  <r>
    <x v="3"/>
    <x v="3"/>
    <n v="100"/>
    <n v="1"/>
    <n v="0"/>
    <s v="EPW8"/>
    <n v="106"/>
    <n v="6"/>
    <s v="ร้านที่4"/>
    <s v="ค***ำใย ร***บุรี"/>
    <s v="นครศรีธรรมราช"/>
    <s v="-"/>
    <s v=""/>
    <s v="03/01/2025 12:38"/>
    <s v="-"/>
    <s v="Flash Express Thailand COD"/>
    <s v="Tiktok"/>
    <s v="จ่ายทีหลัง / COD"/>
    <s v=""/>
    <s v="THT64091DVX3W0Z"/>
    <s v="03/01/2025 12:38"/>
  </r>
  <r>
    <x v="3"/>
    <x v="3"/>
    <n v="100"/>
    <n v="3"/>
    <n v="0"/>
    <s v="EPW7"/>
    <n v="324"/>
    <n v="29"/>
    <s v="ร้านที่2"/>
    <s v="น******า"/>
    <s v="******กลัง บ้านสีเทา ถังขยะสีเหลือง) ต.ดอนคา ตำบลดอนคา อำเภออู่ทอง จังหวัดสุพรรณบุรี 72160"/>
    <s v="72160"/>
    <s v="23"/>
    <s v="03/01/2025 12:48"/>
    <s v="-"/>
    <s v="SPX Express"/>
    <s v="Shopee"/>
    <s v="shopee"/>
    <s v=""/>
    <s v="TH251680571220V"/>
    <s v="03/01/2025 12:37"/>
  </r>
  <r>
    <x v="1"/>
    <x v="1"/>
    <n v="200"/>
    <n v="1"/>
    <n v="0"/>
    <s v="EPW5"/>
    <n v="200"/>
    <n v="0"/>
    <s v="ร้านที่2"/>
    <s v="ส***ตร์ เ***ัง"/>
    <s v="สิงห์บุรี"/>
    <s v="-"/>
    <s v=""/>
    <s v="03/01/2025 12:34"/>
    <s v="-"/>
    <s v="J&amp;T COD"/>
    <s v="Tiktok"/>
    <s v="จ่ายทีหลัง / COD"/>
    <s v=""/>
    <s v="754207750892"/>
    <s v="03/01/2025 12:34"/>
  </r>
  <r>
    <x v="1"/>
    <x v="1"/>
    <n v="200"/>
    <n v="1"/>
    <n v="0"/>
    <s v="EPW4"/>
    <n v="200"/>
    <n v="0"/>
    <s v="ร้านที่1"/>
    <s v="ม***นันท์  ร***ระเสริฐ"/>
    <s v="กรุงเทพมหานคร"/>
    <s v="-"/>
    <s v=""/>
    <s v="03/01/2025 12:33"/>
    <s v="-"/>
    <s v="J&amp;T COD"/>
    <s v="Tiktok"/>
    <s v="จ่ายทีหลัง / COD"/>
    <s v=""/>
    <s v="754204960806"/>
    <s v="03/01/2025 12:33"/>
  </r>
  <r>
    <x v="1"/>
    <x v="1"/>
    <n v="200"/>
    <n v="1"/>
    <n v="0"/>
    <s v="EPW2"/>
    <n v="300"/>
    <n v="0"/>
    <s v="ร้านที่4"/>
    <s v="ว***ธนา ศ***งาม"/>
    <s v="สุรินทร์"/>
    <s v="-"/>
    <s v=""/>
    <s v="03/01/2025 12:32"/>
    <s v="-"/>
    <s v="Flash Express Thailand"/>
    <s v="Tiktok"/>
    <s v="tiktok"/>
    <s v=""/>
    <s v="THT29031DW1YG6Z"/>
    <s v="03/01/2025 12:32"/>
  </r>
  <r>
    <x v="4"/>
    <x v="4"/>
    <n v="100"/>
    <n v="1"/>
    <n v="0"/>
    <s v="EPW2"/>
    <n v="300"/>
    <n v="0"/>
    <s v="ร้านที่4"/>
    <s v="ว***ธนา ศ***งาม"/>
    <s v="สุรินทร์"/>
    <s v="-"/>
    <s v=""/>
    <s v="03/01/2025 12:32"/>
    <s v="-"/>
    <s v="Flash Express Thailand"/>
    <s v="Tiktok"/>
    <s v="tiktok"/>
    <s v=""/>
    <s v="THT29031DW1YG6Z"/>
    <s v="03/01/2025 12:32"/>
  </r>
  <r>
    <x v="19"/>
    <x v="19"/>
    <n v="199"/>
    <n v="2"/>
    <n v="0"/>
    <s v="EPW1"/>
    <n v="462"/>
    <n v="64"/>
    <s v="ร้านที่1"/>
    <s v="ส******์"/>
    <s v="******5 ซ.ลาซาล แขวงบางนาใต้ เขตบางนา จังหวัดกรุงเทพมหานคร 10260"/>
    <s v="10260"/>
    <s v="67"/>
    <s v="03/01/2025 12:28"/>
    <s v="-"/>
    <s v="SPX Express"/>
    <s v="Shopee"/>
    <s v="shopee"/>
    <s v=""/>
    <s v="TH259907883185C"/>
    <s v="03/01/2025 12:28"/>
  </r>
  <r>
    <x v="34"/>
    <x v="69"/>
    <n v="420"/>
    <n v="1"/>
    <n v="0"/>
    <s v="EPW0"/>
    <n v="499"/>
    <n v="79"/>
    <s v="ร้านที่1"/>
    <s v="ป******ี"/>
    <s v="******99 ตำบลท่าสะอ้าน อำเภอบางปะกง จังหวัดฉะเชิงเทรา 24130"/>
    <s v="24130"/>
    <s v="41"/>
    <s v="03/01/2025 12:28"/>
    <s v="-"/>
    <s v="Flash Express"/>
    <s v="Shopee"/>
    <s v="shopee"/>
    <s v=""/>
    <s v="TH24046NJ3606B"/>
    <s v="03/01/2025 12:28"/>
  </r>
  <r>
    <x v="5"/>
    <x v="5"/>
    <n v="330"/>
    <n v="1"/>
    <n v="0"/>
    <s v="EPV99"/>
    <n v="330"/>
    <n v="0"/>
    <s v="ร้านที่1"/>
    <s v="น** เ***นภา เ***อนนุช"/>
    <s v="กรุงเทพมหานคร"/>
    <s v="-"/>
    <s v=""/>
    <s v="03/01/2025 12:24"/>
    <s v="-"/>
    <s v="J&amp;T COD"/>
    <s v="Tiktok"/>
    <s v="จ่ายทีหลัง / COD"/>
    <s v=""/>
    <s v="754243755856"/>
    <s v="03/01/2025 12:24"/>
  </r>
  <r>
    <x v="1"/>
    <x v="1"/>
    <n v="200"/>
    <n v="1"/>
    <n v="0"/>
    <s v="EPV94"/>
    <n v="200"/>
    <n v="0"/>
    <s v="ร้านที่1"/>
    <s v="ค***องทศ   โ***์เนียม"/>
    <s v="สกลนคร"/>
    <s v="-"/>
    <s v=""/>
    <s v="03/01/2025 14:15"/>
    <s v="-"/>
    <s v="J&amp;T Express"/>
    <s v="Tiktok"/>
    <s v="tiktok"/>
    <s v=""/>
    <s v="754269464874"/>
    <s v="03/01/2025 12:22"/>
  </r>
  <r>
    <x v="1"/>
    <x v="1"/>
    <n v="200"/>
    <n v="1"/>
    <n v="0"/>
    <s v="EPV93"/>
    <n v="200"/>
    <n v="0"/>
    <s v="ร้านที่1"/>
    <s v="แ***ยุรา ค***ดงเค็ง"/>
    <s v="มหาสารคาม"/>
    <s v="-"/>
    <s v=""/>
    <s v="03/01/2025 12:20"/>
    <s v="-"/>
    <s v="J&amp;T Express"/>
    <s v="Tiktok"/>
    <s v="tiktok"/>
    <s v=""/>
    <s v="754217157890"/>
    <s v="03/01/2025 12:20"/>
  </r>
  <r>
    <x v="4"/>
    <x v="4"/>
    <n v="100"/>
    <n v="2"/>
    <n v="0"/>
    <s v="EPV92"/>
    <n v="200"/>
    <n v="0"/>
    <s v="ร้านที่4"/>
    <s v="ม***ดา ร***อุไร"/>
    <s v="กรุงเทพมหานคร"/>
    <s v="-"/>
    <s v=""/>
    <s v="03/01/2025 12:19"/>
    <s v="-"/>
    <s v="Flash Express Thailand COD"/>
    <s v="Tiktok"/>
    <s v="จ่ายทีหลัง / COD"/>
    <s v=""/>
    <s v="THT01341DVE7F1Z"/>
    <s v="03/01/2025 12:19"/>
  </r>
  <r>
    <x v="3"/>
    <x v="8"/>
    <n v="97.08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7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8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3"/>
    <x v="8"/>
    <n v="97.07"/>
    <n v="1"/>
    <n v="0"/>
    <s v="EPV91"/>
    <n v="412.3"/>
    <n v="24"/>
    <s v="ร้านที่6"/>
    <s v="นายศศิธร ศรนิล"/>
    <s v="49-50 ม.7 ถ.บางนา-ตราด ถ.254 ต.บ้านเก่า อ.พานทอง  คอนโดพานทอง (ฝาก รปภ ตึก p1) ตึก p7 ชั้น 2 ห้อง 221 · บ้านเก่า/ Ban Kao_x000a__x000a_พานทอง/ Phan Thongชลบุรี/ Chonburi_x000a_20160"/>
    <s v="20160"/>
    <s v="660937672989"/>
    <s v="03/01/2025 12:18"/>
    <s v="-"/>
    <s v="Kerry_dropoff"/>
    <s v="Lazada"/>
    <s v="lazada"/>
    <s v=""/>
    <s v="LEXPU0441459807"/>
    <s v="03/01/2025 12:18"/>
  </r>
  <r>
    <x v="4"/>
    <x v="4"/>
    <n v="100"/>
    <n v="1"/>
    <n v="0"/>
    <s v="EPV89"/>
    <n v="106"/>
    <n v="6"/>
    <s v="ร้านที่1"/>
    <s v="ณ***ุช ว***ชัย"/>
    <s v="เชียงราย"/>
    <s v="-"/>
    <s v=""/>
    <s v="03/01/2025 12:17"/>
    <s v="-"/>
    <s v="J&amp;T COD"/>
    <s v="Tiktok"/>
    <s v="จ่ายทีหลัง / COD"/>
    <s v=""/>
    <s v="754206549806"/>
    <s v="03/01/2025 12:17"/>
  </r>
  <r>
    <x v="9"/>
    <x v="4"/>
    <n v="100"/>
    <n v="1"/>
    <n v="0"/>
    <s v="EPV87"/>
    <n v="106"/>
    <n v="6"/>
    <s v="ร้านที่1"/>
    <s v="ฐ***พร ร***ุย"/>
    <s v="ชลบุรี"/>
    <s v="-"/>
    <s v=""/>
    <s v="03/01/2025 12:14"/>
    <s v="-"/>
    <s v="J&amp;T COD"/>
    <s v="Tiktok"/>
    <s v="จ่ายทีหลัง / COD"/>
    <s v=""/>
    <s v="754274795702"/>
    <s v="03/01/2025 12:14"/>
  </r>
  <r>
    <x v="1"/>
    <x v="1"/>
    <n v="200"/>
    <n v="1"/>
    <n v="0"/>
    <s v="EPV86"/>
    <n v="200"/>
    <n v="0"/>
    <s v="ร้านที่1"/>
    <s v="ว***ี ส***กสิณกรณ์"/>
    <s v="พิจิตร"/>
    <s v="-"/>
    <s v=""/>
    <s v="03/01/2025 12:10"/>
    <s v="-"/>
    <s v="J&amp;T COD"/>
    <s v="Tiktok"/>
    <s v="จ่ายทีหลัง / COD"/>
    <s v=""/>
    <s v="754294367816"/>
    <s v="03/01/2025 12:10"/>
  </r>
  <r>
    <x v="4"/>
    <x v="4"/>
    <n v="100"/>
    <n v="1"/>
    <n v="0"/>
    <s v="EPV85"/>
    <n v="106"/>
    <n v="6"/>
    <s v="ร้านที่2"/>
    <s v="ว***ดา ห***า"/>
    <s v="ชลบุรี"/>
    <s v="-"/>
    <s v=""/>
    <s v="03/01/2025 12:08"/>
    <s v="-"/>
    <s v="J&amp;T Express"/>
    <s v="Tiktok"/>
    <s v="tiktok"/>
    <s v=""/>
    <s v="754234147800"/>
    <s v="03/01/2025 12:08"/>
  </r>
  <r>
    <x v="5"/>
    <x v="5"/>
    <n v="330"/>
    <n v="1"/>
    <n v="0"/>
    <s v="EPV83"/>
    <n v="330"/>
    <n v="0"/>
    <s v="ร้านที่1"/>
    <s v="อ*** บ***า"/>
    <s v="ยโสธร"/>
    <s v="-"/>
    <s v=""/>
    <s v="03/01/2025 12:08"/>
    <s v="-"/>
    <s v="J&amp;T Express"/>
    <s v="Tiktok"/>
    <s v="tiktok"/>
    <s v=""/>
    <s v="754233255801"/>
    <s v="03/01/2025 12:08"/>
  </r>
  <r>
    <x v="9"/>
    <x v="4"/>
    <n v="100"/>
    <n v="3"/>
    <n v="0"/>
    <s v="EPV82"/>
    <n v="300"/>
    <n v="0"/>
    <s v="ร้านที่4"/>
    <s v="ม***ดา ร***อุไร"/>
    <s v="กรุงเทพมหานคร"/>
    <s v="-"/>
    <s v=""/>
    <s v="03/01/2025 12:07"/>
    <s v="-"/>
    <s v="Flash Express Thailand COD"/>
    <s v="Tiktok"/>
    <s v="จ่ายทีหลัง / COD"/>
    <s v=""/>
    <s v="THT01341DVVDZ4Z"/>
    <s v="03/01/2025 12:07"/>
  </r>
  <r>
    <x v="4"/>
    <x v="4"/>
    <n v="100"/>
    <n v="2"/>
    <n v="0"/>
    <s v="EPV80"/>
    <n v="200"/>
    <n v="0"/>
    <s v="ร้านที่1"/>
    <s v="ก***กร"/>
    <s v="เชียงใหม่"/>
    <s v="-"/>
    <s v=""/>
    <s v="03/01/2025 12:07"/>
    <s v="-"/>
    <s v="J&amp;T COD"/>
    <s v="Tiktok"/>
    <s v="จ่ายทีหลัง / COD"/>
    <s v=""/>
    <s v="754213663840"/>
    <s v="03/01/2025 12:07"/>
  </r>
  <r>
    <x v="9"/>
    <x v="4"/>
    <n v="100"/>
    <n v="1"/>
    <n v="0"/>
    <s v="EPV79"/>
    <n v="200"/>
    <n v="0"/>
    <s v="ร้านที่4"/>
    <s v="ป***า"/>
    <s v="นครราชสีมา"/>
    <s v="-"/>
    <s v=""/>
    <s v="03/01/2025 12:07"/>
    <s v="-"/>
    <s v="Flash Express Thailand COD"/>
    <s v="Tiktok"/>
    <s v="จ่ายทีหลัง / COD"/>
    <s v=""/>
    <s v="THT27011DVXM02Z"/>
    <s v="03/01/2025 12:07"/>
  </r>
  <r>
    <x v="3"/>
    <x v="3"/>
    <n v="100"/>
    <n v="1"/>
    <n v="0"/>
    <s v="EPV79"/>
    <n v="200"/>
    <n v="0"/>
    <s v="ร้านที่4"/>
    <s v="ป***า"/>
    <s v="นครราชสีมา"/>
    <s v="-"/>
    <s v=""/>
    <s v="03/01/2025 12:07"/>
    <s v="-"/>
    <s v="Flash Express Thailand COD"/>
    <s v="Tiktok"/>
    <s v="จ่ายทีหลัง / COD"/>
    <s v=""/>
    <s v="THT27011DVXM02Z"/>
    <s v="03/01/2025 12:07"/>
  </r>
  <r>
    <x v="3"/>
    <x v="3"/>
    <n v="100"/>
    <n v="1"/>
    <n v="0"/>
    <s v="EPV77"/>
    <n v="200"/>
    <n v="0"/>
    <s v="ร้านที่4"/>
    <s v="ว***รณ์ ป***ักษ์กุลวงศา"/>
    <s v="ราชบุรี"/>
    <s v="-"/>
    <s v=""/>
    <s v="03/01/2025 12:05"/>
    <s v="-"/>
    <s v="Flash Express Thailand COD"/>
    <s v="Tiktok"/>
    <s v="จ่ายทีหลัง / COD"/>
    <s v=""/>
    <s v="THT12041DVH1X1Z"/>
    <s v="03/01/2025 12:06"/>
  </r>
  <r>
    <x v="9"/>
    <x v="4"/>
    <n v="100"/>
    <n v="1"/>
    <n v="0"/>
    <s v="EPV77"/>
    <n v="200"/>
    <n v="0"/>
    <s v="ร้านที่4"/>
    <s v="ว***รณ์ ป***ักษ์กุลวงศา"/>
    <s v="ราชบุรี"/>
    <s v="-"/>
    <s v=""/>
    <s v="03/01/2025 12:05"/>
    <s v="-"/>
    <s v="Flash Express Thailand COD"/>
    <s v="Tiktok"/>
    <s v="จ่ายทีหลัง / COD"/>
    <s v=""/>
    <s v="THT12041DVH1X1Z"/>
    <s v="03/01/2025 12:06"/>
  </r>
  <r>
    <x v="4"/>
    <x v="4"/>
    <n v="100"/>
    <n v="1"/>
    <n v="0"/>
    <s v="EPV75"/>
    <n v="100"/>
    <n v="0"/>
    <s v="ร้านที่4"/>
    <s v="น*** พ***รณ ท***ิมเงิน"/>
    <s v="พิษณุโลก"/>
    <s v="-"/>
    <s v=""/>
    <s v="03/01/2025 12:04"/>
    <s v="-"/>
    <s v="Flash Express Thailand COD"/>
    <s v="Tiktok"/>
    <s v="จ่ายทีหลัง / COD"/>
    <s v=""/>
    <s v="THT61041DVPSE0Z"/>
    <s v="03/01/2025 12:05"/>
  </r>
  <r>
    <x v="3"/>
    <x v="3"/>
    <n v="150"/>
    <n v="1"/>
    <n v="0"/>
    <s v="EPV74"/>
    <n v="774"/>
    <n v="79"/>
    <s v="ร้านที่1"/>
    <s v="ธ******ง"/>
    <s v="******ยบวารี59 แขวงโคกแฟด แขวงโคกแฝด เขตหนองจอก จังหวัดกรุงเทพมหานคร 10530"/>
    <s v="10530"/>
    <s v="06"/>
    <s v="03/01/2025 12:04"/>
    <s v="-"/>
    <s v="SPX Express"/>
    <s v="Shopee"/>
    <s v="shopee"/>
    <s v=""/>
    <s v="TH258779600243N"/>
    <s v="03/01/2025 12:04"/>
  </r>
  <r>
    <x v="18"/>
    <x v="39"/>
    <n v="140"/>
    <n v="1"/>
    <n v="0"/>
    <s v="EPV74"/>
    <n v="774"/>
    <n v="79"/>
    <s v="ร้านที่1"/>
    <s v="ธ******ง"/>
    <s v="******ยบวารี59 แขวงโคกแฟด แขวงโคกแฝด เขตหนองจอก จังหวัดกรุงเทพมหานคร 10530"/>
    <s v="10530"/>
    <s v="06"/>
    <s v="03/01/2025 12:04"/>
    <s v="-"/>
    <s v="SPX Express"/>
    <s v="Shopee"/>
    <s v="shopee"/>
    <s v=""/>
    <s v="TH258779600243N"/>
    <s v="03/01/2025 12:04"/>
  </r>
  <r>
    <x v="9"/>
    <x v="4"/>
    <n v="100"/>
    <n v="1"/>
    <n v="0"/>
    <s v="EPV73"/>
    <n v="200"/>
    <n v="0"/>
    <s v="ร้านที่4"/>
    <s v="เ**"/>
    <s v="ราชบุรี"/>
    <s v="-"/>
    <s v=""/>
    <s v="03/01/2025 12:00"/>
    <s v="-"/>
    <s v="Flash Express Thailand COD"/>
    <s v="Tiktok"/>
    <s v="จ่ายทีหลัง / COD"/>
    <s v=""/>
    <s v="THT12031DVQMG1Z"/>
    <s v="03/01/2025 12:04"/>
  </r>
  <r>
    <x v="4"/>
    <x v="4"/>
    <n v="100"/>
    <n v="1"/>
    <n v="0"/>
    <s v="EPV73"/>
    <n v="200"/>
    <n v="0"/>
    <s v="ร้านที่4"/>
    <s v="เ**"/>
    <s v="ราชบุรี"/>
    <s v="-"/>
    <s v=""/>
    <s v="03/01/2025 12:00"/>
    <s v="-"/>
    <s v="Flash Express Thailand COD"/>
    <s v="Tiktok"/>
    <s v="จ่ายทีหลัง / COD"/>
    <s v=""/>
    <s v="THT12031DVQMG1Z"/>
    <s v="03/01/2025 12:04"/>
  </r>
  <r>
    <x v="9"/>
    <x v="4"/>
    <n v="100"/>
    <n v="2"/>
    <n v="0"/>
    <s v="EPV72"/>
    <n v="400"/>
    <n v="0"/>
    <s v="ร้านที่4"/>
    <s v="ร*** ค***วิเชียร"/>
    <s v="สมุทรสาคร"/>
    <s v="-"/>
    <s v=""/>
    <s v="03/01/2025 12:00"/>
    <s v="-"/>
    <s v="Flash Express Thailand COD"/>
    <s v="Tiktok"/>
    <s v="จ่ายทีหลัง / COD"/>
    <s v=""/>
    <s v="THT16011DVTWT5Z"/>
    <s v="03/01/2025 12:04"/>
  </r>
  <r>
    <x v="4"/>
    <x v="4"/>
    <n v="100"/>
    <n v="2"/>
    <n v="0"/>
    <s v="EPV72"/>
    <n v="400"/>
    <n v="0"/>
    <s v="ร้านที่4"/>
    <s v="ร*** ค***วิเชียร"/>
    <s v="สมุทรสาคร"/>
    <s v="-"/>
    <s v=""/>
    <s v="03/01/2025 12:00"/>
    <s v="-"/>
    <s v="Flash Express Thailand COD"/>
    <s v="Tiktok"/>
    <s v="จ่ายทีหลัง / COD"/>
    <s v=""/>
    <s v="THT16011DVTWT5Z"/>
    <s v="03/01/2025 12:04"/>
  </r>
  <r>
    <x v="5"/>
    <x v="5"/>
    <n v="330"/>
    <n v="1"/>
    <n v="0"/>
    <s v="EPV70"/>
    <n v="330"/>
    <n v="0"/>
    <s v="ร้านที่2"/>
    <s v="ข***ฐา ข***่อง"/>
    <s v="นครศรีธรรมราช"/>
    <s v="-"/>
    <s v=""/>
    <s v="03/01/2025 11:59"/>
    <s v="-"/>
    <s v="J&amp;T COD"/>
    <s v="Tiktok"/>
    <s v="จ่ายทีหลัง / COD"/>
    <s v="มะพร้าว2 เผือก2 ฝอยทอง2 ลูกตาล2 กาแฟ2"/>
    <s v="754259271824"/>
    <s v="03/01/2025 12:04"/>
  </r>
  <r>
    <x v="9"/>
    <x v="4"/>
    <n v="100"/>
    <n v="3"/>
    <n v="0"/>
    <s v="EPV68"/>
    <n v="700"/>
    <n v="0"/>
    <s v="ร้านที่4"/>
    <s v="น***นาภรณ์  น***ศิลา"/>
    <s v="ศรีสะเกษ"/>
    <s v="-"/>
    <s v=""/>
    <s v="03/01/2025 11:57"/>
    <s v="-"/>
    <s v="Flash Express Thailand COD"/>
    <s v="Tiktok"/>
    <s v="จ่ายทีหลัง / COD"/>
    <s v=""/>
    <s v="THT30051DVSVP1Z"/>
    <s v="03/01/2025 12:03"/>
  </r>
  <r>
    <x v="4"/>
    <x v="4"/>
    <n v="100"/>
    <n v="4"/>
    <n v="0"/>
    <s v="EPV68"/>
    <n v="700"/>
    <n v="0"/>
    <s v="ร้านที่4"/>
    <s v="น***นาภรณ์  น***ศิลา"/>
    <s v="ศรีสะเกษ"/>
    <s v="-"/>
    <s v=""/>
    <s v="03/01/2025 11:57"/>
    <s v="-"/>
    <s v="Flash Express Thailand COD"/>
    <s v="Tiktok"/>
    <s v="จ่ายทีหลัง / COD"/>
    <s v=""/>
    <s v="THT30051DVSVP1Z"/>
    <s v="03/01/2025 12:03"/>
  </r>
  <r>
    <x v="19"/>
    <x v="34"/>
    <n v="191.25"/>
    <n v="1"/>
    <n v="0"/>
    <s v="EPV66"/>
    <n v="387.5"/>
    <n v="5"/>
    <s v="ร้านที่9"/>
    <s v="พิมพ์ใจ ศิริสมบูรณ์"/>
    <s v="144 หมู่ที่ 1 ต. หนองช้างคืน อ.เมืองลำพูน จ.ลำพูน · หนองช้างคืน/ Nong Chang_x000a__x000a_เมืองลำพูน/ Mueang Lamphunลำพูน/ Lamphun_x000a_51150"/>
    <s v="51150"/>
    <s v="660817748634"/>
    <s v="03/01/2025 12:03"/>
    <s v="-"/>
    <s v="Kerry_dropoff"/>
    <s v="Lazada"/>
    <s v="lazada"/>
    <s v=""/>
    <s v="LEXDO0123757213"/>
    <s v="03/01/2025 12:03"/>
  </r>
  <r>
    <x v="19"/>
    <x v="34"/>
    <n v="191.25"/>
    <n v="1"/>
    <n v="0"/>
    <s v="EPV66"/>
    <n v="387.5"/>
    <n v="5"/>
    <s v="ร้านที่9"/>
    <s v="พิมพ์ใจ ศิริสมบูรณ์"/>
    <s v="144 หมู่ที่ 1 ต. หนองช้างคืน อ.เมืองลำพูน จ.ลำพูน · หนองช้างคืน/ Nong Chang_x000a__x000a_เมืองลำพูน/ Mueang Lamphunลำพูน/ Lamphun_x000a_51150"/>
    <s v="51150"/>
    <s v="660817748634"/>
    <s v="03/01/2025 12:03"/>
    <s v="-"/>
    <s v="Kerry_dropoff"/>
    <s v="Lazada"/>
    <s v="lazada"/>
    <s v=""/>
    <s v="LEXDO0123757213"/>
    <s v="03/01/2025 12:03"/>
  </r>
  <r>
    <x v="9"/>
    <x v="4"/>
    <n v="100"/>
    <n v="5"/>
    <n v="0"/>
    <s v="EPV65"/>
    <n v="500"/>
    <n v="0"/>
    <s v="ร้านที่1"/>
    <s v="จ***ร์ฉาย  เ***สุขสมาน"/>
    <s v="พระนครศรีอยุธยา"/>
    <s v="-"/>
    <s v=""/>
    <s v="03/01/2025 11:54"/>
    <s v="-"/>
    <s v="J&amp;T COD"/>
    <s v="Tiktok"/>
    <s v="จ่ายทีหลัง / COD"/>
    <s v=""/>
    <s v="754266916804"/>
    <s v="03/01/2025 12:02"/>
  </r>
  <r>
    <x v="1"/>
    <x v="1"/>
    <n v="200"/>
    <n v="1"/>
    <n v="0"/>
    <s v="EPV64"/>
    <n v="200"/>
    <n v="0"/>
    <s v="ร้านที่1"/>
    <s v="ก***วดี  ด***ำเกิง"/>
    <s v="นครศรีธรรมราช"/>
    <s v="-"/>
    <s v=""/>
    <s v="03/01/2025 11:53"/>
    <s v="-"/>
    <s v="J&amp;T COD"/>
    <s v="Tiktok"/>
    <s v="จ่ายทีหลัง / COD"/>
    <s v=""/>
    <s v="754253562845"/>
    <s v="03/01/2025 12:01"/>
  </r>
  <r>
    <x v="15"/>
    <x v="15"/>
    <n v="100"/>
    <n v="1"/>
    <n v="0"/>
    <s v="EPV61"/>
    <n v="106"/>
    <n v="6"/>
    <s v="ร้านที่4"/>
    <s v="น***พร แ***อง"/>
    <s v="ราชบุรี"/>
    <s v="-"/>
    <s v=""/>
    <s v="03/01/2025 11:50"/>
    <s v="-"/>
    <s v="Flash Express Thailand COD"/>
    <s v="Tiktok"/>
    <s v="จ่ายทีหลัง / COD"/>
    <s v=""/>
    <s v="THT12061DVHT85Z"/>
    <s v="03/01/2025 12:00"/>
  </r>
  <r>
    <x v="3"/>
    <x v="3"/>
    <n v="100"/>
    <n v="2"/>
    <n v="0"/>
    <s v="EPV60"/>
    <n v="229"/>
    <n v="29"/>
    <s v="ร้านที่2"/>
    <s v="ร******์"/>
    <s v="******ลน ตำบลขุนโขลน อำเภอพระพุทธบาท จังหวัดสระบุรี 18120"/>
    <s v="18120"/>
    <s v="36"/>
    <s v="03/01/2025 11:59"/>
    <s v="-"/>
    <s v="SPX Express"/>
    <s v="Shopee"/>
    <s v="shopee"/>
    <s v=""/>
    <s v="TH258254369416R"/>
    <s v="03/01/2025 11:59"/>
  </r>
  <r>
    <x v="4"/>
    <x v="4"/>
    <n v="100"/>
    <n v="1"/>
    <n v="0"/>
    <s v="EPV59"/>
    <n v="106"/>
    <n v="6"/>
    <s v="ร้านที่4"/>
    <s v="ล***งทราย ค***ร"/>
    <s v="ปทุมธานี"/>
    <s v="-"/>
    <s v=""/>
    <s v="03/01/2025 11:47"/>
    <s v="-"/>
    <s v="Flash Express Thailand COD"/>
    <s v="Tiktok"/>
    <s v="จ่ายทีหลัง / COD"/>
    <s v=""/>
    <s v="THT04051DVSTV2Z"/>
    <s v="03/01/2025 11:58"/>
  </r>
  <r>
    <x v="19"/>
    <x v="19"/>
    <n v="199"/>
    <n v="1"/>
    <n v="0"/>
    <s v="EPV57"/>
    <n v="244"/>
    <n v="45"/>
    <s v="ร้านที่1"/>
    <s v="ส******์"/>
    <s v="****** ตำบลสำโรงเหนือ ตำบลสำโรงเหนือ อำเภอเมืองสมุทรปราการ จังหวัดสมุทรปราการ 10270"/>
    <s v="10270"/>
    <s v="52"/>
    <s v="03/01/2025 11:55"/>
    <s v="-"/>
    <s v="SPX Express"/>
    <s v="Shopee"/>
    <s v="shopee"/>
    <s v=""/>
    <s v="TH259989759379J"/>
    <s v="03/01/2025 11:55"/>
  </r>
  <r>
    <x v="0"/>
    <x v="0"/>
    <n v="100"/>
    <n v="1"/>
    <n v="0"/>
    <s v="EPV55"/>
    <n v="100"/>
    <n v="0"/>
    <s v="ร้านที่4"/>
    <s v="ป***ร์"/>
    <s v="สมุทรสาคร"/>
    <s v="-"/>
    <s v=""/>
    <s v="03/01/2025 11:36"/>
    <s v="-"/>
    <s v="Flash Express Thailand COD"/>
    <s v="Tiktok"/>
    <s v="จ่ายทีหลัง / COD"/>
    <s v=""/>
    <s v="THT16031DVMV79Z"/>
    <s v="03/01/2025 11:54"/>
  </r>
  <r>
    <x v="6"/>
    <x v="6"/>
    <n v="199"/>
    <n v="3"/>
    <n v="0"/>
    <s v="EPV54"/>
    <n v="597"/>
    <n v="0"/>
    <s v="ร้านที่1"/>
    <s v="ส******ง"/>
    <s v="******ท่ายาง ตำบลท่ายาง อำเภอเมืองชุมพร จังหวัดชุมพร 86120"/>
    <s v="86120"/>
    <s v="49"/>
    <s v="03/01/2025 11:53"/>
    <s v="-"/>
    <s v="SPX Express"/>
    <s v="Shopee"/>
    <s v="shopee"/>
    <s v=""/>
    <s v="TH255105070659U"/>
    <s v="03/01/2025 11:53"/>
  </r>
  <r>
    <x v="57"/>
    <x v="80"/>
    <n v="992.6"/>
    <n v="1"/>
    <n v="0"/>
    <s v="EPV53"/>
    <n v="992.6"/>
    <n v="0"/>
    <s v="ร้านที่10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3/01/2025 11:53"/>
    <s v="-"/>
    <s v="Kerry_dropoff"/>
    <s v="Lazada"/>
    <s v="lazada"/>
    <s v=""/>
    <s v="LEXDO0123762062"/>
    <s v="03/01/2025 11:53"/>
  </r>
  <r>
    <x v="9"/>
    <x v="4"/>
    <n v="100"/>
    <n v="1"/>
    <n v="0"/>
    <s v="EPV52"/>
    <n v="106"/>
    <n v="6"/>
    <s v="ร้านที่4"/>
    <s v="ผ***าศ​  ม***รรม​"/>
    <s v="ปทุมธานี"/>
    <s v="-"/>
    <s v=""/>
    <s v="03/01/2025 11:30"/>
    <s v="-"/>
    <s v="Flash Express Thailand"/>
    <s v="Tiktok"/>
    <s v="tiktok"/>
    <s v=""/>
    <s v="THT04011DVZG74Z"/>
    <s v="03/01/2025 11:53"/>
  </r>
  <r>
    <x v="57"/>
    <x v="80"/>
    <n v="850"/>
    <n v="1"/>
    <n v="0"/>
    <s v="EPV52"/>
    <n v="850"/>
    <n v="0"/>
    <s v="ร้านที่10"/>
    <s v="เกตสรินทร์ ด้วงสํารวย"/>
    <s v="125/5 ม.4 ซ.บุญลือ ต.ในคลองบางปลากด อ.พระสมุทรเจดีย์ จ.สมุทรปราการ - · ในคลองบางปลากด/ Nai Khlong Bang Pla Kot_x000a__x000a_พระสมุทรเจดีย์/ Phra Samut Chediสมุทรปราการ/ Samut Prakan_x000a_10290"/>
    <s v="10290"/>
    <s v="660818482036"/>
    <s v="03/01/2025 11:53"/>
    <s v="-"/>
    <s v="Kerry_dropoff"/>
    <s v="Lazada"/>
    <s v="lazada"/>
    <s v=""/>
    <s v="LEXDO0123762440"/>
    <s v="03/01/2025 11:53"/>
  </r>
  <r>
    <x v="9"/>
    <x v="4"/>
    <n v="100"/>
    <n v="1"/>
    <n v="0"/>
    <s v="EPV51"/>
    <n v="106"/>
    <n v="6"/>
    <s v="ร้านที่4"/>
    <s v="ศ***านต์ ข***าจ"/>
    <s v="ฉะเชิงเทรา"/>
    <s v="-"/>
    <s v=""/>
    <s v="03/01/2025 11:27"/>
    <s v="-"/>
    <s v="Flash Express Thailand COD"/>
    <s v="Tiktok"/>
    <s v="จ่ายทีหลัง / COD"/>
    <s v=""/>
    <s v="THT24041DVK8A5Z"/>
    <s v="03/01/2025 11:52"/>
  </r>
  <r>
    <x v="19"/>
    <x v="19"/>
    <n v="199"/>
    <n v="1"/>
    <n v="0"/>
    <s v="EPV4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5 11:55"/>
    <s v="-"/>
    <s v="SPX Express"/>
    <s v="Shopee"/>
    <s v="shopee"/>
    <s v=""/>
    <s v="TH255943562681M"/>
    <s v="03/01/2025 11:51"/>
  </r>
  <r>
    <x v="19"/>
    <x v="19"/>
    <n v="199"/>
    <n v="1"/>
    <n v="0"/>
    <s v="EPV48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5 11:55"/>
    <s v="-"/>
    <s v="SPX Express"/>
    <s v="Shopee"/>
    <s v="shopee"/>
    <s v=""/>
    <s v="TH258184498788D"/>
    <s v="03/01/2025 11:51"/>
  </r>
  <r>
    <x v="19"/>
    <x v="19"/>
    <n v="199"/>
    <n v="1"/>
    <n v="0"/>
    <s v="EPV47"/>
    <n v="228"/>
    <n v="29"/>
    <s v="ร้านที่1"/>
    <s v="จ******ง"/>
    <s v="******ฝาก) ตำบลไชยภูมิ อำเภอไชโย จังหวัดอ่างทอง 14140"/>
    <s v="14140"/>
    <s v="96"/>
    <s v="03/01/2025 11:55"/>
    <s v="-"/>
    <s v="SPX Express"/>
    <s v="Shopee"/>
    <s v="shopee"/>
    <s v=""/>
    <s v="TH2517745668572"/>
    <s v="03/01/2025 11:50"/>
  </r>
  <r>
    <x v="6"/>
    <x v="6"/>
    <n v="199"/>
    <n v="2"/>
    <n v="0"/>
    <s v="EPV46"/>
    <n v="477"/>
    <n v="79"/>
    <s v="ร้านที่1"/>
    <s v="จ******ง"/>
    <s v="******ะขามเตี้ย ตำบลมะขามเตี้ย อำเภอเมืองสุราษฎร์ธานี จังหวัดสุราษฎร์ธานี 84000"/>
    <s v="84000"/>
    <s v="11"/>
    <s v="03/01/2025 11:50"/>
    <s v="-"/>
    <s v="SPX Express"/>
    <s v="Shopee"/>
    <s v="shopee"/>
    <s v=""/>
    <s v="TH2538769746117"/>
    <s v="03/01/2025 11:50"/>
  </r>
  <r>
    <x v="24"/>
    <x v="76"/>
    <n v="644.64"/>
    <n v="1"/>
    <n v="0"/>
    <s v="EPV45"/>
    <n v="752.4"/>
    <n v="39"/>
    <s v="ร้านที่1"/>
    <s v="น.ส.  สำลี โพธิ์ทูล"/>
    <s v="19/2. ม.4.  ต.ไชยมงคล_x000a__x000a_เมืองนครราชสีมา/ Mueng Nakorn Ratchasimaนครราชสีมา/ Nakhon Ratchasima_x000a_30000"/>
    <s v="30000"/>
    <s v="660806153027"/>
    <s v="03/01/2025 11:45"/>
    <s v="-"/>
    <s v="Kerry_dropoff"/>
    <s v="Lazada"/>
    <s v="lazada"/>
    <s v=""/>
    <s v="LEXPU0441463011"/>
    <s v="03/01/2025 11:45"/>
  </r>
  <r>
    <x v="7"/>
    <x v="7"/>
    <n v="68.760000000000005"/>
    <n v="1"/>
    <n v="0"/>
    <s v="EPV45"/>
    <n v="752.4"/>
    <n v="39"/>
    <s v="ร้านที่1"/>
    <s v="น.ส.  สำลี โพธิ์ทูล"/>
    <s v="19/2. ม.4.  ต.ไชยมงคล_x000a__x000a_เมืองนครราชสีมา/ Mueng Nakorn Ratchasimaนครราชสีมา/ Nakhon Ratchasima_x000a_30000"/>
    <s v="30000"/>
    <s v="660806153027"/>
    <s v="03/01/2025 11:45"/>
    <s v="-"/>
    <s v="Kerry_dropoff"/>
    <s v="Lazada"/>
    <s v="lazada"/>
    <s v=""/>
    <s v="LEXPU0441463011"/>
    <s v="03/01/2025 11:45"/>
  </r>
  <r>
    <x v="4"/>
    <x v="4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0"/>
    <x v="0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3"/>
    <x v="3"/>
    <n v="100"/>
    <n v="1"/>
    <n v="0"/>
    <s v="EPV44"/>
    <n v="300"/>
    <n v="0"/>
    <s v="ร้านที่1"/>
    <s v="น***ันท์"/>
    <s v="เทศบาลเมืองบุรีรัมย์"/>
    <s v="-"/>
    <s v=""/>
    <s v="03/01/2025 11:17"/>
    <s v="-"/>
    <s v="J&amp;T COD"/>
    <s v="Tiktok"/>
    <s v="จ่ายทีหลัง / COD"/>
    <s v=""/>
    <s v="754244167865"/>
    <s v="03/01/2025 11:43"/>
  </r>
  <r>
    <x v="0"/>
    <x v="0"/>
    <n v="100"/>
    <n v="1"/>
    <n v="0"/>
    <s v="EPV43"/>
    <n v="100"/>
    <n v="0"/>
    <s v="ร้านที่1"/>
    <s v="ช***กาญจน์ เ***สุทะ"/>
    <s v="สมุทรสาคร"/>
    <s v="-"/>
    <s v=""/>
    <s v="03/01/2025 11:19"/>
    <s v="-"/>
    <s v="J&amp;T COD"/>
    <s v="Tiktok"/>
    <s v="จ่ายทีหลัง / COD"/>
    <s v=""/>
    <s v="754258524821"/>
    <s v="03/01/2025 11:43"/>
  </r>
  <r>
    <x v="0"/>
    <x v="0"/>
    <n v="100"/>
    <n v="1"/>
    <n v="0"/>
    <s v="EPV42"/>
    <n v="106"/>
    <n v="6"/>
    <s v="ร้านที่1"/>
    <s v="จ***ียร"/>
    <s v="สุราษฎร์ธานี"/>
    <s v="-"/>
    <s v=""/>
    <s v="03/01/2025 11:24"/>
    <s v="-"/>
    <s v="J&amp;T COD"/>
    <s v="Tiktok"/>
    <s v="จ่ายทีหลัง / COD"/>
    <s v=""/>
    <s v="754261724834"/>
    <s v="03/01/2025 11:43"/>
  </r>
  <r>
    <x v="5"/>
    <x v="5"/>
    <n v="330"/>
    <n v="1"/>
    <n v="0"/>
    <s v="EPV40"/>
    <n v="330"/>
    <n v="0"/>
    <s v="ร้านที่1"/>
    <s v="ณ***์ เ***สุวรรณ"/>
    <s v="พระนครศรีอยุธยา"/>
    <s v="-"/>
    <s v=""/>
    <s v="03/01/2025 11:28"/>
    <s v="-"/>
    <s v="J&amp;T Express"/>
    <s v="Tiktok"/>
    <s v="tiktok"/>
    <s v=""/>
    <s v="754250462840"/>
    <s v="03/01/2025 11:43"/>
  </r>
  <r>
    <x v="9"/>
    <x v="4"/>
    <n v="100"/>
    <n v="1"/>
    <n v="0"/>
    <s v="EPV39"/>
    <n v="200"/>
    <n v="0"/>
    <s v="ร้านที่1"/>
    <s v="ร***  แ***อี้ยว"/>
    <s v="สระบุรี"/>
    <s v="-"/>
    <s v=""/>
    <s v="03/01/2025 11:28"/>
    <s v="-"/>
    <s v="J&amp;T COD"/>
    <s v="Tiktok"/>
    <s v="จ่ายทีหลัง / COD"/>
    <s v=""/>
    <s v="754280164842"/>
    <s v="03/01/2025 11:43"/>
  </r>
  <r>
    <x v="4"/>
    <x v="4"/>
    <n v="100"/>
    <n v="1"/>
    <n v="0"/>
    <s v="EPV39"/>
    <n v="200"/>
    <n v="0"/>
    <s v="ร้านที่1"/>
    <s v="ร***  แ***อี้ยว"/>
    <s v="สระบุรี"/>
    <s v="-"/>
    <s v=""/>
    <s v="03/01/2025 11:28"/>
    <s v="-"/>
    <s v="J&amp;T COD"/>
    <s v="Tiktok"/>
    <s v="จ่ายทีหลัง / COD"/>
    <s v=""/>
    <s v="754280164842"/>
    <s v="03/01/2025 11:43"/>
  </r>
  <r>
    <x v="0"/>
    <x v="0"/>
    <n v="100"/>
    <n v="1"/>
    <n v="0"/>
    <s v="EPV38"/>
    <n v="200"/>
    <n v="0"/>
    <s v="ร้านที่1"/>
    <s v="น*** ส***กดี"/>
    <s v="อุดรธานี"/>
    <s v="-"/>
    <s v=""/>
    <s v="03/01/2025 11:30"/>
    <s v="-"/>
    <s v="J&amp;T COD"/>
    <s v="Tiktok"/>
    <s v="จ่ายทีหลัง / COD"/>
    <s v=""/>
    <s v="754249229845"/>
    <s v="03/01/2025 11:43"/>
  </r>
  <r>
    <x v="9"/>
    <x v="4"/>
    <n v="100"/>
    <n v="1"/>
    <n v="0"/>
    <s v="EPV38"/>
    <n v="200"/>
    <n v="0"/>
    <s v="ร้านที่1"/>
    <s v="น*** ส***กดี"/>
    <s v="อุดรธานี"/>
    <s v="-"/>
    <s v=""/>
    <s v="03/01/2025 11:30"/>
    <s v="-"/>
    <s v="J&amp;T COD"/>
    <s v="Tiktok"/>
    <s v="จ่ายทีหลัง / COD"/>
    <s v=""/>
    <s v="754249229845"/>
    <s v="03/01/2025 11:43"/>
  </r>
  <r>
    <x v="1"/>
    <x v="1"/>
    <n v="200"/>
    <n v="1"/>
    <n v="0"/>
    <s v="EPV37"/>
    <n v="200"/>
    <n v="0"/>
    <s v="ร้านที่1"/>
    <s v="พ***พย์ ห***จารีย์"/>
    <s v="ชลบุรี"/>
    <s v="-"/>
    <s v=""/>
    <s v="03/01/2025 11:33"/>
    <s v="-"/>
    <s v="J&amp;T COD"/>
    <s v="Tiktok"/>
    <s v="จ่ายทีหลัง / COD"/>
    <s v=""/>
    <s v="754282860855"/>
    <s v="03/01/2025 11:43"/>
  </r>
  <r>
    <x v="15"/>
    <x v="15"/>
    <n v="200"/>
    <n v="1"/>
    <n v="0"/>
    <s v="EPV36"/>
    <n v="200"/>
    <n v="0"/>
    <s v="ร้านที่1"/>
    <s v="ก***าณี ก***งแก้ว"/>
    <s v="นครนายก"/>
    <s v="-"/>
    <s v=""/>
    <s v="03/01/2025 11:35"/>
    <s v="-"/>
    <s v="J&amp;T COD"/>
    <s v="Tiktok"/>
    <s v="จ่ายทีหลัง / COD"/>
    <s v=""/>
    <s v="754271339883"/>
    <s v="03/01/2025 11:43"/>
  </r>
  <r>
    <x v="1"/>
    <x v="1"/>
    <n v="200"/>
    <n v="1"/>
    <n v="0"/>
    <s v="EPV35"/>
    <n v="200"/>
    <n v="0"/>
    <s v="ร้านที่1"/>
    <s v="ก***ารัตน์  เ***วัสดิ์"/>
    <s v="พิจิตร"/>
    <s v="-"/>
    <s v=""/>
    <s v="03/01/2025 11:39"/>
    <s v="-"/>
    <s v="J&amp;T COD"/>
    <s v="Tiktok"/>
    <s v="จ่ายทีหลัง / COD"/>
    <s v=""/>
    <s v="754206675810"/>
    <s v="03/01/2025 11:43"/>
  </r>
  <r>
    <x v="9"/>
    <x v="4"/>
    <n v="100"/>
    <n v="2"/>
    <n v="0"/>
    <s v="EPV34"/>
    <n v="200"/>
    <n v="0"/>
    <s v="ร้านที่1"/>
    <s v="ส***ดา แ***นุ่น"/>
    <s v="นครศรีธรรมราช"/>
    <s v="-"/>
    <s v=""/>
    <s v="03/01/2025 11:41"/>
    <s v="-"/>
    <s v="J&amp;T COD"/>
    <s v="Tiktok"/>
    <s v="จ่ายทีหลัง / COD"/>
    <s v=""/>
    <s v="754221591771"/>
    <s v="03/01/2025 11:43"/>
  </r>
  <r>
    <x v="3"/>
    <x v="3"/>
    <n v="100"/>
    <n v="2"/>
    <n v="0"/>
    <s v="EPV33"/>
    <n v="245"/>
    <n v="45"/>
    <s v="ร้านที่2"/>
    <s v="ก******ว"/>
    <s v="****** 158 ม.3 ตำบล ท่าศาลา, อำเภอท่าศาลา ตำบลท่าศาลา อำเภอท่าศาลา จังหวัดนครศรีธรรมราช 80160"/>
    <s v="80160"/>
    <s v="07"/>
    <s v="03/01/2025 11:38"/>
    <s v="-"/>
    <s v="SPX Express"/>
    <s v="Shopee"/>
    <s v="shopee"/>
    <s v=""/>
    <s v="TH258114523578E"/>
    <s v="03/01/2025 11:38"/>
  </r>
  <r>
    <x v="0"/>
    <x v="0"/>
    <n v="100"/>
    <n v="1"/>
    <n v="0"/>
    <s v="EPV32"/>
    <n v="200"/>
    <n v="0"/>
    <s v="ร้านที่4"/>
    <s v="เ**"/>
    <s v="สมุทรสาคร"/>
    <s v="-"/>
    <s v=""/>
    <s v="03/01/2025 11:07"/>
    <s v="-"/>
    <s v="Flash Express Thailand COD"/>
    <s v="Tiktok"/>
    <s v="จ่ายทีหลัง / COD"/>
    <s v=""/>
    <s v="THT16011DVZ6N6Z"/>
    <s v="03/01/2025 11:21"/>
  </r>
  <r>
    <x v="4"/>
    <x v="4"/>
    <n v="100"/>
    <n v="1"/>
    <n v="0"/>
    <s v="EPV32"/>
    <n v="200"/>
    <n v="0"/>
    <s v="ร้านที่4"/>
    <s v="เ**"/>
    <s v="สมุทรสาคร"/>
    <s v="-"/>
    <s v=""/>
    <s v="03/01/2025 11:07"/>
    <s v="-"/>
    <s v="Flash Express Thailand COD"/>
    <s v="Tiktok"/>
    <s v="จ่ายทีหลัง / COD"/>
    <s v=""/>
    <s v="THT16011DVZ6N6Z"/>
    <s v="03/01/2025 11:21"/>
  </r>
  <r>
    <x v="3"/>
    <x v="3"/>
    <n v="100"/>
    <n v="1"/>
    <n v="0"/>
    <s v="EPV31"/>
    <n v="106"/>
    <n v="6"/>
    <s v="ร้านที่4"/>
    <s v="ร***ทิวา"/>
    <s v="ชัยภูมิ"/>
    <s v="-"/>
    <s v=""/>
    <s v="03/01/2025 11:09"/>
    <s v="-"/>
    <s v="Flash Express Thailand COD"/>
    <s v="Tiktok"/>
    <s v="จ่ายทีหลัง / COD"/>
    <s v=""/>
    <s v="THT33071DV6S61Z"/>
    <s v="03/01/2025 11:21"/>
  </r>
  <r>
    <x v="3"/>
    <x v="3"/>
    <n v="100"/>
    <n v="1"/>
    <n v="0"/>
    <s v="EPV30"/>
    <n v="106"/>
    <n v="6"/>
    <s v="ร้านที่4"/>
    <s v="ป***ฟ้า"/>
    <s v="นนทบุรี"/>
    <s v="-"/>
    <s v=""/>
    <s v="03/01/2025 11:15"/>
    <s v="-"/>
    <s v="Flash Express Thailand"/>
    <s v="Tiktok"/>
    <s v="tiktok"/>
    <s v=""/>
    <s v="THT03041DVGF79Z"/>
    <s v="03/01/2025 11:21"/>
  </r>
  <r>
    <x v="3"/>
    <x v="3"/>
    <n v="100"/>
    <n v="2"/>
    <n v="0"/>
    <s v="EPV29"/>
    <n v="200"/>
    <n v="0"/>
    <s v="ร้านที่4"/>
    <s v="อ***ลักษณ์"/>
    <s v="ราชบุรี"/>
    <s v="-"/>
    <s v=""/>
    <s v="03/01/2025 11:16"/>
    <s v="-"/>
    <s v="Flash Express Thailand COD"/>
    <s v="Tiktok"/>
    <s v="จ่ายทีหลัง / COD"/>
    <s v=""/>
    <s v="THT12011DVXCR0Z"/>
    <s v="03/01/2025 11:21"/>
  </r>
  <r>
    <x v="4"/>
    <x v="4"/>
    <n v="100"/>
    <n v="1"/>
    <n v="0"/>
    <s v="EPV27"/>
    <n v="106"/>
    <n v="6"/>
    <s v="ร้านที่2"/>
    <s v="ป***อ็ม"/>
    <s v="เทศบาลนครนครศรีธรรมราช"/>
    <s v="-"/>
    <s v=""/>
    <s v="03/01/2025 11:03"/>
    <s v="-"/>
    <s v="J&amp;T COD"/>
    <s v="Tiktok"/>
    <s v="จ่ายทีหลัง / COD"/>
    <s v=""/>
    <s v="754202544826"/>
    <s v="03/01/2025 11:03"/>
  </r>
  <r>
    <x v="0"/>
    <x v="0"/>
    <n v="100"/>
    <n v="1"/>
    <n v="0"/>
    <s v="EPV26"/>
    <n v="106"/>
    <n v="6"/>
    <s v="ร้านที่1"/>
    <s v="ว***อนแก้วเชียงดา"/>
    <s v="อุดรธานี"/>
    <s v="-"/>
    <s v=""/>
    <s v="03/01/2025 11:03"/>
    <s v="-"/>
    <s v="J&amp;T COD"/>
    <s v="Tiktok"/>
    <s v="จ่ายทีหลัง / COD"/>
    <s v=""/>
    <s v="754253728841"/>
    <s v="03/01/2025 11:03"/>
  </r>
  <r>
    <x v="1"/>
    <x v="1"/>
    <n v="200"/>
    <n v="1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9"/>
    <x v="4"/>
    <n v="100"/>
    <n v="1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0"/>
    <x v="0"/>
    <n v="100"/>
    <n v="2"/>
    <n v="0"/>
    <s v="EPV25"/>
    <n v="500"/>
    <n v="0"/>
    <s v="ร้านที่2"/>
    <s v="ส*** ช***่า"/>
    <s v="ชุมพร"/>
    <s v="-"/>
    <s v=""/>
    <s v="03/01/2025 11:02"/>
    <s v="-"/>
    <s v="J&amp;T COD"/>
    <s v="Tiktok"/>
    <s v="จ่ายทีหลัง / COD"/>
    <s v=""/>
    <s v="754264420814"/>
    <s v="03/01/2025 11:02"/>
  </r>
  <r>
    <x v="0"/>
    <x v="0"/>
    <n v="100"/>
    <n v="1"/>
    <n v="0"/>
    <s v="EPV24"/>
    <n v="100"/>
    <n v="0"/>
    <s v="ร้านที่2"/>
    <s v="ร***  แ***อี้ยว"/>
    <s v="สระบุรี"/>
    <s v="-"/>
    <s v=""/>
    <s v="03/01/2025 11:02"/>
    <s v="-"/>
    <s v="J&amp;T COD"/>
    <s v="Tiktok"/>
    <s v="จ่ายทีหลัง / COD"/>
    <s v=""/>
    <s v="754282049894"/>
    <s v="03/01/2025 11:02"/>
  </r>
  <r>
    <x v="3"/>
    <x v="3"/>
    <n v="100"/>
    <n v="1"/>
    <n v="0"/>
    <s v="EPV23"/>
    <n v="107"/>
    <n v="7"/>
    <s v="ร้านที่2"/>
    <s v="ก******ล"/>
    <s v="****** ตำบลเวียงพางคำ อำเภอแม่สาย จังหวัดเชียงราย 57130"/>
    <s v="57130"/>
    <s v="93"/>
    <s v="03/01/2025 11:03"/>
    <s v="-"/>
    <s v="Flash Express"/>
    <s v="Shopee"/>
    <s v="shopee"/>
    <s v=""/>
    <s v="TH54096NHAM43F"/>
    <s v="03/01/2025 11:02"/>
  </r>
  <r>
    <x v="9"/>
    <x v="4"/>
    <n v="100"/>
    <n v="6"/>
    <n v="0"/>
    <s v="EPV22"/>
    <n v="600"/>
    <n v="0"/>
    <s v="ร้านที่4"/>
    <s v="ว***ภา  ส***อด"/>
    <s v="เทศบาลเมืองบุรีรัมย์"/>
    <s v="-"/>
    <s v=""/>
    <s v="03/01/2025 11:01"/>
    <s v="-"/>
    <s v="Flash Express Thailand"/>
    <s v="Tiktok"/>
    <s v="tiktok"/>
    <s v=""/>
    <s v="THT28071DVKQQ6Z"/>
    <s v="03/01/2025 11:02"/>
  </r>
  <r>
    <x v="6"/>
    <x v="6"/>
    <n v="199"/>
    <n v="1"/>
    <n v="0"/>
    <s v="EPV21"/>
    <n v="199"/>
    <n v="0"/>
    <s v="ร้านที่1"/>
    <s v="อ**ี"/>
    <s v="******กซ้ายมือขับเข้ามาจนสุด (ซอยตรงข้ามบ้าน 312/1)) ตำบลกาฬสินธุ์ อำเภอเมืองกาฬสินธุ์ จังหวัดกาฬสินธุ์ 46000"/>
    <s v="46000"/>
    <s v="05"/>
    <s v="03/01/2025 11:02"/>
    <s v="-"/>
    <s v="SPX Express"/>
    <s v="Shopee"/>
    <s v="shopee"/>
    <s v=""/>
    <s v="TH2557066416853"/>
    <s v="03/01/2025 11:01"/>
  </r>
  <r>
    <x v="3"/>
    <x v="3"/>
    <n v="100"/>
    <n v="3"/>
    <n v="0"/>
    <s v="EPV20"/>
    <n v="300"/>
    <n v="0"/>
    <s v="ร้านที่4"/>
    <s v="พ***ินทร์ โ***์สุวรรณ"/>
    <s v="สมุทรปราการ"/>
    <s v="-"/>
    <s v=""/>
    <s v="03/01/2025 11:00"/>
    <s v="-"/>
    <s v="Flash Express Thailand COD"/>
    <s v="Tiktok"/>
    <s v="จ่ายทีหลัง / COD"/>
    <s v=""/>
    <s v="THT02031DW0XK2Z"/>
    <s v="03/01/2025 11:00"/>
  </r>
  <r>
    <x v="1"/>
    <x v="1"/>
    <n v="200"/>
    <n v="1"/>
    <n v="0"/>
    <s v="EPV18"/>
    <n v="200"/>
    <n v="0"/>
    <s v="ร้านที่2"/>
    <s v="ย***พรภู่ย้อย"/>
    <s v="ปทุมธานี"/>
    <s v="-"/>
    <s v=""/>
    <s v="03/01/2025 10:59"/>
    <s v="-"/>
    <s v="J&amp;T COD"/>
    <s v="Tiktok"/>
    <s v="จ่ายทีหลัง / COD"/>
    <s v=""/>
    <s v="754294560821"/>
    <s v="03/01/2025 10:59"/>
  </r>
  <r>
    <x v="9"/>
    <x v="4"/>
    <n v="100"/>
    <n v="1"/>
    <n v="0"/>
    <s v="EPV17"/>
    <n v="100"/>
    <n v="0"/>
    <s v="ร้านที่4"/>
    <s v="ว***พ็ญ อ***ำ"/>
    <s v="ชัยนาท"/>
    <s v="-"/>
    <s v=""/>
    <s v="03/01/2025 10:57"/>
    <s v="-"/>
    <s v="Flash Express Thailand COD"/>
    <s v="Tiktok"/>
    <s v="จ่ายทีหลัง / COD"/>
    <s v=""/>
    <s v="THT09021DVK333Z"/>
    <s v="03/01/2025 10:57"/>
  </r>
  <r>
    <x v="1"/>
    <x v="1"/>
    <n v="200"/>
    <n v="1"/>
    <n v="0"/>
    <s v="EPV16"/>
    <n v="200"/>
    <n v="0"/>
    <s v="ร้านที่1"/>
    <s v="เ***นจิตร​  เ***รภา"/>
    <s v="น่าน"/>
    <s v="-"/>
    <s v=""/>
    <s v="03/01/2025 10:56"/>
    <s v="-"/>
    <s v="J&amp;T COD"/>
    <s v="Tiktok"/>
    <s v="จ่ายทีหลัง / COD"/>
    <s v=""/>
    <s v="754299566812"/>
    <s v="03/01/2025 10:56"/>
  </r>
  <r>
    <x v="0"/>
    <x v="0"/>
    <n v="100"/>
    <n v="3"/>
    <n v="0"/>
    <s v="EPV15"/>
    <n v="300"/>
    <n v="0"/>
    <s v="ร้านที่1"/>
    <s v="ช***า ส***ำแ้อง"/>
    <s v="สมุทรสาคร"/>
    <s v="-"/>
    <s v=""/>
    <s v="03/01/2025 10:55"/>
    <s v="-"/>
    <s v="J&amp;T COD"/>
    <s v="Tiktok"/>
    <s v="จ่ายทีหลัง / COD"/>
    <s v=""/>
    <s v="754212713870"/>
    <s v="03/01/2025 10:55"/>
  </r>
  <r>
    <x v="0"/>
    <x v="0"/>
    <n v="100"/>
    <n v="1"/>
    <n v="0"/>
    <s v="EPV14"/>
    <n v="106"/>
    <n v="6"/>
    <s v="ร้านที่2"/>
    <s v="ม***า"/>
    <s v="ชัยภูมิ"/>
    <s v="-"/>
    <s v=""/>
    <s v="03/01/2025 10:55"/>
    <s v="-"/>
    <s v="J&amp;T COD"/>
    <s v="Tiktok"/>
    <s v="จ่ายทีหลัง / COD"/>
    <s v=""/>
    <s v="754242647852"/>
    <s v="03/01/2025 10:55"/>
  </r>
  <r>
    <x v="0"/>
    <x v="0"/>
    <n v="100"/>
    <n v="1"/>
    <n v="0"/>
    <s v="EPV13"/>
    <n v="106"/>
    <n v="6"/>
    <s v="ร้านที่1"/>
    <s v="บ** ศ***ญา"/>
    <s v="กรุงเทพฯ"/>
    <s v="-"/>
    <s v=""/>
    <s v="03/01/2025 10:53"/>
    <s v="-"/>
    <s v="J&amp;T COD"/>
    <s v="Tiktok"/>
    <s v="จ่ายทีหลัง / COD"/>
    <s v=""/>
    <s v="754261837803"/>
    <s v="03/01/2025 10:54"/>
  </r>
  <r>
    <x v="0"/>
    <x v="0"/>
    <n v="100"/>
    <n v="1"/>
    <n v="0"/>
    <s v="EPV12"/>
    <n v="106"/>
    <n v="6"/>
    <s v="ร้านที่1"/>
    <s v="พ***ษฐ์ จ***ร์วงค์"/>
    <s v="กรุงเทพมหานคร"/>
    <s v="-"/>
    <s v=""/>
    <s v="03/01/2025 10:52"/>
    <s v="-"/>
    <s v="J&amp;T COD"/>
    <s v="Tiktok"/>
    <s v="จ่ายทีหลัง / COD"/>
    <s v=""/>
    <s v="754269845895"/>
    <s v="03/01/2025 10:52"/>
  </r>
  <r>
    <x v="0"/>
    <x v="0"/>
    <n v="100"/>
    <n v="1"/>
    <n v="0"/>
    <s v="EPV11"/>
    <n v="106"/>
    <n v="6"/>
    <s v="ร้านที่1"/>
    <s v="น***าญ อ***แก้ว"/>
    <s v="ชลบุรี"/>
    <s v="-"/>
    <s v=""/>
    <s v="03/01/2025 10:51"/>
    <s v="-"/>
    <s v="J&amp;T COD"/>
    <s v="Tiktok"/>
    <s v="จ่ายทีหลัง / COD"/>
    <s v=""/>
    <s v="754222846882"/>
    <s v="03/01/2025 10:51"/>
  </r>
  <r>
    <x v="0"/>
    <x v="0"/>
    <n v="100"/>
    <n v="1"/>
    <n v="0"/>
    <s v="EPV9"/>
    <n v="100"/>
    <n v="0"/>
    <s v="ร้านที่4"/>
    <s v="น***จรัสศรี  น***สนาะ"/>
    <s v="สุพรรณบุรี"/>
    <s v="-"/>
    <s v=""/>
    <s v="03/01/2025 10:48"/>
    <s v="-"/>
    <s v="Flash Express Thailand"/>
    <s v="Tiktok"/>
    <s v="tiktok"/>
    <s v=""/>
    <s v="THT14011DW0YB8Z"/>
    <s v="03/01/2025 10:48"/>
  </r>
  <r>
    <x v="29"/>
    <x v="36"/>
    <n v="400"/>
    <n v="1"/>
    <n v="0"/>
    <s v="EPV8"/>
    <n v="400"/>
    <n v="0"/>
    <s v="ร้านที่4"/>
    <s v="ส***งค์ ใ***ง"/>
    <s v="นครราชสีมา"/>
    <s v="-"/>
    <s v=""/>
    <s v="03/01/2025 10:47"/>
    <s v="-"/>
    <s v="Flash Express Thailand COD"/>
    <s v="Tiktok"/>
    <s v="จ่ายทีหลัง / COD"/>
    <s v=""/>
    <s v="THT27181DVA6S5Z"/>
    <s v="03/01/2025 10:47"/>
  </r>
  <r>
    <x v="4"/>
    <x v="4"/>
    <n v="100"/>
    <n v="1"/>
    <n v="0"/>
    <s v="EPV7"/>
    <n v="106"/>
    <n v="6"/>
    <s v="ร้านที่1"/>
    <s v="ส***ชชา จ***คำ"/>
    <s v="กรุงเทพฯ"/>
    <s v="-"/>
    <s v=""/>
    <s v="03/01/2025 10:47"/>
    <s v="-"/>
    <s v="J&amp;T COD"/>
    <s v="Tiktok"/>
    <s v="จ่ายทีหลัง / COD"/>
    <s v=""/>
    <s v="754200633815"/>
    <s v="03/01/2025 10:47"/>
  </r>
  <r>
    <x v="4"/>
    <x v="4"/>
    <n v="100"/>
    <n v="3"/>
    <n v="0"/>
    <s v="EPV5"/>
    <n v="300"/>
    <n v="0"/>
    <s v="ร้านที่4"/>
    <s v="อ***ักดิ์"/>
    <s v="ศรีสะเกษ"/>
    <s v="-"/>
    <s v=""/>
    <s v="03/01/2025 10:45"/>
    <s v="-"/>
    <s v="Flash Express Thailand COD"/>
    <s v="Tiktok"/>
    <s v="จ่ายทีหลัง / COD"/>
    <s v=""/>
    <s v="THT30011DVVZ58Z"/>
    <s v="03/01/2025 10:45"/>
  </r>
  <r>
    <x v="4"/>
    <x v="4"/>
    <n v="100"/>
    <n v="2"/>
    <n v="0"/>
    <s v="EPV4"/>
    <n v="200"/>
    <n v="0"/>
    <s v="ร้านที่4"/>
    <s v="ร***ดา"/>
    <s v="พระนครศรีอยุธยา"/>
    <s v="-"/>
    <s v=""/>
    <s v="03/01/2025 10:44"/>
    <s v="-"/>
    <s v="Flash Express Thailand"/>
    <s v="Tiktok"/>
    <s v="tiktok"/>
    <s v=""/>
    <s v="THT05021DVTDV6Z"/>
    <s v="03/01/2025 10:44"/>
  </r>
  <r>
    <x v="0"/>
    <x v="0"/>
    <n v="100"/>
    <n v="1"/>
    <n v="0"/>
    <s v="EPV3"/>
    <n v="145"/>
    <n v="45"/>
    <s v="ร้านที่2"/>
    <s v="ท***รรณ ห***ุตร"/>
    <s v="เลย"/>
    <s v="-"/>
    <s v=""/>
    <s v="03/01/2025 10:44"/>
    <s v="-"/>
    <s v="J&amp;T COD"/>
    <s v="Tiktok"/>
    <s v="จ่ายทีหลัง / COD"/>
    <s v=""/>
    <s v="754217541814"/>
    <s v="03/01/2025 10:44"/>
  </r>
  <r>
    <x v="3"/>
    <x v="3"/>
    <n v="100"/>
    <n v="1"/>
    <n v="0"/>
    <s v="EPV2"/>
    <n v="299"/>
    <n v="0"/>
    <s v="ร้านที่1"/>
    <s v="ส***ญญา ย***เจริญ"/>
    <s v="ฉะเชิงเทรา"/>
    <s v="-"/>
    <s v=""/>
    <s v="03/01/2025 10:43"/>
    <s v="-"/>
    <s v="J&amp;T COD"/>
    <s v="Tiktok"/>
    <s v="จ่ายทีหลัง / COD"/>
    <s v=""/>
    <s v="754275213845"/>
    <s v="03/01/2025 10:43"/>
  </r>
  <r>
    <x v="0"/>
    <x v="0"/>
    <n v="100"/>
    <n v="1"/>
    <n v="0"/>
    <s v="EPV2"/>
    <n v="299"/>
    <n v="0"/>
    <s v="ร้านที่1"/>
    <s v="ส***ญญา ย***เจริญ"/>
    <s v="ฉะเชิงเทรา"/>
    <s v="-"/>
    <s v=""/>
    <s v="03/01/2025 10:43"/>
    <s v="-"/>
    <s v="J&amp;T COD"/>
    <s v="Tiktok"/>
    <s v="จ่ายทีหลัง / COD"/>
    <s v=""/>
    <s v="754275213845"/>
    <s v="03/01/2025 10:43"/>
  </r>
  <r>
    <x v="0"/>
    <x v="0"/>
    <n v="100"/>
    <n v="1"/>
    <n v="0"/>
    <s v="EPV1"/>
    <n v="106"/>
    <n v="6"/>
    <s v="ร้านที่1"/>
    <s v="ก***นา เ***ญสุข"/>
    <s v="เทศบาลนครเชียงใหม่"/>
    <s v="-"/>
    <s v=""/>
    <s v="03/01/2025 10:38"/>
    <s v="-"/>
    <s v="J&amp;T Express"/>
    <s v="Tiktok"/>
    <s v="tiktok"/>
    <s v=""/>
    <s v="754246645880"/>
    <s v="03/01/2025 10:38"/>
  </r>
  <r>
    <x v="5"/>
    <x v="5"/>
    <n v="330"/>
    <n v="1"/>
    <n v="0"/>
    <s v="EPV0"/>
    <n v="330"/>
    <n v="0"/>
    <s v="ร้านที่2"/>
    <s v="เ***อวัลย์ ส***ารงาน"/>
    <s v="ตรัง"/>
    <s v="-"/>
    <s v=""/>
    <s v="03/01/2025 10:37"/>
    <s v="-"/>
    <s v="J&amp;T COD"/>
    <s v="Tiktok"/>
    <s v="จ่ายทีหลัง / COD"/>
    <s v=""/>
    <s v="754205265833"/>
    <s v="03/01/2025 10:37"/>
  </r>
  <r>
    <x v="0"/>
    <x v="0"/>
    <n v="100"/>
    <n v="1"/>
    <n v="0"/>
    <s v="EPU99"/>
    <n v="106"/>
    <n v="6"/>
    <s v="ร้านที่4"/>
    <s v="ม* ว***สกุล"/>
    <s v="สุรินทร์"/>
    <s v="-"/>
    <s v=""/>
    <s v="03/01/2025 10:37"/>
    <s v="-"/>
    <s v="Flash Express Thailand COD"/>
    <s v="Tiktok"/>
    <s v="จ่ายทีหลัง / COD"/>
    <s v=""/>
    <s v="THT29121DVMPR5Z"/>
    <s v="03/01/2025 10:37"/>
  </r>
  <r>
    <x v="29"/>
    <x v="36"/>
    <n v="330"/>
    <n v="1"/>
    <n v="0"/>
    <s v="EPU97"/>
    <n v="660"/>
    <n v="0"/>
    <s v="ร้านที่1"/>
    <s v="ธ***รรณ ส***"/>
    <s v="อุดรธานี"/>
    <s v="-"/>
    <s v=""/>
    <s v="03/01/2025 10:31"/>
    <s v="-"/>
    <s v="J&amp;T COD"/>
    <s v="Tiktok"/>
    <s v="จ่ายทีหลัง / COD"/>
    <s v=""/>
    <s v="754223161871"/>
    <s v="03/01/2025 10:32"/>
  </r>
  <r>
    <x v="5"/>
    <x v="5"/>
    <n v="330"/>
    <n v="1"/>
    <n v="0"/>
    <s v="EPU97"/>
    <n v="660"/>
    <n v="0"/>
    <s v="ร้านที่1"/>
    <s v="ธ***รรณ ส***"/>
    <s v="อุดรธานี"/>
    <s v="-"/>
    <s v=""/>
    <s v="03/01/2025 10:31"/>
    <s v="-"/>
    <s v="J&amp;T COD"/>
    <s v="Tiktok"/>
    <s v="จ่ายทีหลัง / COD"/>
    <s v=""/>
    <s v="754223161871"/>
    <s v="03/01/2025 10:32"/>
  </r>
  <r>
    <x v="4"/>
    <x v="4"/>
    <n v="100"/>
    <n v="4"/>
    <n v="0"/>
    <s v="EPU96"/>
    <n v="400"/>
    <n v="0"/>
    <s v="ร้านที่2"/>
    <s v="พ***คณาจิต  ถ***"/>
    <s v="Bangkok"/>
    <s v="-"/>
    <s v=""/>
    <s v="03/01/2025 10:31"/>
    <s v="-"/>
    <s v="J&amp;T Express"/>
    <s v="Tiktok"/>
    <s v="tiktok"/>
    <s v=""/>
    <s v="754282208820"/>
    <s v="03/01/2025 10:31"/>
  </r>
  <r>
    <x v="1"/>
    <x v="1"/>
    <n v="200"/>
    <n v="1"/>
    <n v="0"/>
    <s v="EPU95"/>
    <n v="200"/>
    <n v="0"/>
    <s v="ร้านที่1"/>
    <s v="ร***าภรณ์ บ***ทธิ์"/>
    <s v="ชลบุรี"/>
    <s v="-"/>
    <s v=""/>
    <s v="03/01/2025 10:31"/>
    <s v="-"/>
    <s v="J&amp;T COD"/>
    <s v="Tiktok"/>
    <s v="จ่ายทีหลัง / COD"/>
    <s v=""/>
    <s v="754250768821"/>
    <s v="03/01/2025 10:31"/>
  </r>
  <r>
    <x v="4"/>
    <x v="4"/>
    <n v="100"/>
    <n v="1"/>
    <n v="0"/>
    <s v="EPU94"/>
    <n v="106"/>
    <n v="6"/>
    <s v="ร้านที่4"/>
    <s v="ก***ร ใ***รัมย์"/>
    <s v="บุรีรัมย์"/>
    <s v="-"/>
    <s v=""/>
    <s v="03/01/2025 10:31"/>
    <s v="-"/>
    <s v="Flash Express Thailand"/>
    <s v="Tiktok"/>
    <s v="tiktok"/>
    <s v=""/>
    <s v="THT28011DVFSZ1Z"/>
    <s v="03/01/2025 10:31"/>
  </r>
  <r>
    <x v="0"/>
    <x v="0"/>
    <n v="100"/>
    <n v="1"/>
    <n v="0"/>
    <s v="EPU93"/>
    <n v="100"/>
    <n v="0"/>
    <s v="ร้านที่2"/>
    <s v="น***เพ็ชร อ***ทสุข"/>
    <s v="นครสวรรค์"/>
    <s v="-"/>
    <s v=""/>
    <s v="03/01/2025 10:30"/>
    <s v="-"/>
    <s v="J&amp;T COD"/>
    <s v="Tiktok"/>
    <s v="จ่ายทีหลัง / COD"/>
    <s v=""/>
    <s v="754225250811"/>
    <s v="03/01/2025 10:31"/>
  </r>
  <r>
    <x v="0"/>
    <x v="0"/>
    <n v="100"/>
    <n v="2"/>
    <n v="0"/>
    <s v="EPU92"/>
    <n v="200"/>
    <n v="0"/>
    <s v="ร้านที่4"/>
    <s v="เ**"/>
    <s v="สระบุรี"/>
    <s v="-"/>
    <s v=""/>
    <s v="03/01/2025 10:30"/>
    <s v="-"/>
    <s v="Flash Express Thailand COD"/>
    <s v="Tiktok"/>
    <s v="จ่ายทีหลัง / COD"/>
    <s v=""/>
    <s v="THT10071DVHQN1Z"/>
    <s v="03/01/2025 10:30"/>
  </r>
  <r>
    <x v="4"/>
    <x v="4"/>
    <n v="100"/>
    <n v="2"/>
    <n v="0"/>
    <s v="EPU91"/>
    <n v="200"/>
    <n v="0"/>
    <s v="ร้านที่4"/>
    <s v="เ**"/>
    <s v="สระบุรี"/>
    <s v="-"/>
    <s v=""/>
    <s v="03/01/2025 10:28"/>
    <s v="-"/>
    <s v="Flash Express Thailand COD"/>
    <s v="Tiktok"/>
    <s v="จ่ายทีหลัง / COD"/>
    <s v=""/>
    <s v="THT10071DVG8S7Z"/>
    <s v="03/01/2025 10:28"/>
  </r>
  <r>
    <x v="1"/>
    <x v="1"/>
    <n v="200"/>
    <n v="1"/>
    <n v="0"/>
    <s v="EPU90"/>
    <n v="200"/>
    <n v="0"/>
    <s v="ร้านที่1"/>
    <s v="ส***ี ค***สิน"/>
    <s v="ตาก"/>
    <s v="-"/>
    <s v=""/>
    <s v="03/01/2025 10:28"/>
    <s v="-"/>
    <s v="J&amp;T COD"/>
    <s v="Tiktok"/>
    <s v="จ่ายทีหลัง / COD"/>
    <s v=""/>
    <s v="754243861884"/>
    <s v="03/01/2025 10:28"/>
  </r>
  <r>
    <x v="0"/>
    <x v="0"/>
    <n v="100"/>
    <n v="1"/>
    <n v="0"/>
    <s v="EPU89"/>
    <n v="106"/>
    <n v="6"/>
    <s v="ร้านที่4"/>
    <s v="แ***ภา ศ***ำ"/>
    <s v="อุดรธานี"/>
    <s v="-"/>
    <s v=""/>
    <s v="03/01/2025 10:27"/>
    <s v="-"/>
    <s v="Flash Express Thailand COD"/>
    <s v="Tiktok"/>
    <s v="จ่ายทีหลัง / COD"/>
    <s v=""/>
    <s v="THT38041DW0TZ0Z"/>
    <s v="03/01/2025 10:28"/>
  </r>
  <r>
    <x v="0"/>
    <x v="0"/>
    <n v="100"/>
    <n v="1"/>
    <n v="0"/>
    <s v="EPU87"/>
    <n v="106"/>
    <n v="6"/>
    <s v="ร้านที่1"/>
    <s v="อ***'ศรี"/>
    <s v="ยโสธร"/>
    <s v="-"/>
    <s v=""/>
    <s v="03/01/2025 10:24"/>
    <s v="-"/>
    <s v="J&amp;T COD"/>
    <s v="Tiktok"/>
    <s v="จ่ายทีหลัง / COD"/>
    <s v=""/>
    <s v="754226940832"/>
    <s v="03/01/2025 10:24"/>
  </r>
  <r>
    <x v="5"/>
    <x v="5"/>
    <n v="330"/>
    <n v="1"/>
    <n v="0"/>
    <s v="EPU86"/>
    <n v="330"/>
    <n v="0"/>
    <s v="ร้านที่1"/>
    <s v="d***ee1992"/>
    <s v="มหาสารคาม"/>
    <s v="-"/>
    <s v=""/>
    <s v="03/01/2025 10:24"/>
    <s v="-"/>
    <s v="J&amp;T COD"/>
    <s v="Tiktok"/>
    <s v="จ่ายทีหลัง / COD"/>
    <s v=""/>
    <s v="754249759830"/>
    <s v="03/01/2025 10:24"/>
  </r>
  <r>
    <x v="1"/>
    <x v="1"/>
    <n v="200"/>
    <n v="1"/>
    <n v="0"/>
    <s v="EPU85"/>
    <n v="200"/>
    <n v="0"/>
    <s v="ร้านที่2"/>
    <s v="ช***ติ ช***ยัน"/>
    <s v="นครนายก"/>
    <s v="-"/>
    <s v=""/>
    <s v="03/01/2025 10:23"/>
    <s v="-"/>
    <s v="J&amp;T Express"/>
    <s v="Tiktok"/>
    <s v="tiktok"/>
    <s v=""/>
    <s v="754286363810"/>
    <s v="03/01/2025 10:23"/>
  </r>
  <r>
    <x v="3"/>
    <x v="3"/>
    <n v="100"/>
    <n v="2"/>
    <n v="0"/>
    <s v="EPU84"/>
    <n v="200"/>
    <n v="0"/>
    <s v="ร้านที่4"/>
    <s v="ณ***ดา ก***จันทร์เทศ"/>
    <s v="สระบุรี"/>
    <s v="-"/>
    <s v=""/>
    <s v="03/01/2025 10:23"/>
    <s v="-"/>
    <s v="Flash Express Thailand COD"/>
    <s v="Tiktok"/>
    <s v="จ่ายทีหลัง / COD"/>
    <s v=""/>
    <s v="THT10111DVX870Z"/>
    <s v="03/01/2025 10:23"/>
  </r>
  <r>
    <x v="0"/>
    <x v="0"/>
    <n v="100"/>
    <n v="1"/>
    <n v="0"/>
    <s v="EPU83"/>
    <n v="100"/>
    <n v="0"/>
    <s v="ร้านที่1"/>
    <s v="อ***ัตน์ ด***จำนงค์"/>
    <s v="นครนายก"/>
    <s v="-"/>
    <s v=""/>
    <s v="03/01/2025 10:22"/>
    <s v="-"/>
    <s v="J&amp;T COD"/>
    <s v="Tiktok"/>
    <s v="จ่ายทีหลัง / COD"/>
    <s v=""/>
    <s v="754238543833"/>
    <s v="03/01/2025 10:22"/>
  </r>
  <r>
    <x v="19"/>
    <x v="19"/>
    <n v="199"/>
    <n v="2"/>
    <n v="0"/>
    <s v="EPU82"/>
    <n v="398"/>
    <n v="0"/>
    <s v="ร้านที่1"/>
    <s v="ร******จ"/>
    <s v="******ม จ.ราชบุรี ตำบลหนองโพ อำเภอโพธาราม จังหวัดราชบุรี 70120"/>
    <s v="70120"/>
    <s v="02"/>
    <s v="03/01/2025 10:52"/>
    <s v="-"/>
    <s v="SPX Express"/>
    <s v="Shopee"/>
    <s v="shopee"/>
    <s v=""/>
    <s v="TH2559909609051"/>
    <s v="03/01/2025 10:22"/>
  </r>
  <r>
    <x v="0"/>
    <x v="0"/>
    <n v="100"/>
    <n v="1"/>
    <n v="0"/>
    <s v="EPU81"/>
    <n v="100"/>
    <n v="0"/>
    <s v="ร้านที่1"/>
    <s v="ป***ฉัตร. ย***ี้ย"/>
    <s v="กำแพงเพชร"/>
    <s v="-"/>
    <s v=""/>
    <s v="03/01/2025 10:17"/>
    <s v="-"/>
    <s v="J&amp;T COD"/>
    <s v="Tiktok"/>
    <s v="จ่ายทีหลัง / COD"/>
    <s v=""/>
    <s v="754293341830"/>
    <s v="03/01/2025 10:18"/>
  </r>
  <r>
    <x v="10"/>
    <x v="10"/>
    <n v="200"/>
    <n v="1"/>
    <n v="0"/>
    <s v="EPU80"/>
    <n v="200"/>
    <n v="0"/>
    <s v="ร้านที่1"/>
    <s v="น***ล"/>
    <s v="นครศรีธรรมราช"/>
    <s v="-"/>
    <s v=""/>
    <s v="03/01/2025 10:17"/>
    <s v="-"/>
    <s v="J&amp;T COD"/>
    <s v="Tiktok"/>
    <s v="จ่ายทีหลัง / COD"/>
    <s v=""/>
    <s v="754249279825"/>
    <s v="03/01/2025 10:17"/>
  </r>
  <r>
    <x v="7"/>
    <x v="7"/>
    <n v="64.400000000000006"/>
    <n v="1"/>
    <n v="0"/>
    <s v="EPU79"/>
    <n v="69.400000000000006"/>
    <n v="5"/>
    <s v="ร้านที่1"/>
    <s v="เอนก  ปึกขาว"/>
    <s v="487 อาคาร b s V ถนนศรีอยุธยา_x000a__x000a_ราชเทวี/ Ratchathewiกรุงเทพมหานคร/ Bangkok_x000a_10400"/>
    <s v="10400"/>
    <s v="660847364133"/>
    <s v="03/01/2025 10:17"/>
    <s v="-"/>
    <s v="Kerry_dropoff"/>
    <s v="Lazada"/>
    <s v="lazada"/>
    <s v=""/>
    <s v="LEXPU0441498307"/>
    <s v="03/01/2025 10:17"/>
  </r>
  <r>
    <x v="10"/>
    <x v="10"/>
    <n v="200"/>
    <n v="1"/>
    <n v="0"/>
    <s v="EPU78"/>
    <n v="200"/>
    <n v="0"/>
    <s v="ร้านที่2"/>
    <s v="ป***าร ช***ระโทก"/>
    <s v="นครราชสีมา"/>
    <s v="-"/>
    <s v=""/>
    <s v="03/01/2025 10:15"/>
    <s v="-"/>
    <s v="J&amp;T COD"/>
    <s v="Tiktok"/>
    <s v="จ่ายทีหลัง / COD"/>
    <s v=""/>
    <s v="754264960864"/>
    <s v="03/01/2025 10:16"/>
  </r>
  <r>
    <x v="0"/>
    <x v="0"/>
    <n v="100"/>
    <n v="2"/>
    <n v="0"/>
    <s v="EPU76"/>
    <n v="200"/>
    <n v="0"/>
    <s v="ร้านที่1"/>
    <s v="ท***์สุดา แ***มั่น"/>
    <s v="สุรินทร์"/>
    <s v="-"/>
    <s v=""/>
    <s v="03/01/2025 10:11"/>
    <s v="-"/>
    <s v="J&amp;T COD"/>
    <s v="Tiktok"/>
    <s v="จ่ายทีหลัง / COD"/>
    <s v=""/>
    <s v="754288443856"/>
    <s v="03/01/2025 10:13"/>
  </r>
  <r>
    <x v="10"/>
    <x v="10"/>
    <n v="200"/>
    <n v="1"/>
    <n v="0"/>
    <s v="EPU75"/>
    <n v="200"/>
    <n v="0"/>
    <s v="ร้านที่2"/>
    <s v="บ***ีนาถ พ***า"/>
    <s v="ยโสธร"/>
    <s v="-"/>
    <s v=""/>
    <s v="03/01/2025 10:11"/>
    <s v="-"/>
    <s v="J&amp;T COD"/>
    <s v="Tiktok"/>
    <s v="จ่ายทีหลัง / COD"/>
    <s v=""/>
    <s v="754270270843"/>
    <s v="03/01/2025 10:13"/>
  </r>
  <r>
    <x v="0"/>
    <x v="0"/>
    <n v="100"/>
    <n v="1"/>
    <n v="0"/>
    <s v="EPU74"/>
    <n v="100"/>
    <n v="0"/>
    <s v="ร้านที่1"/>
    <s v="พ***ี​ ท***ัญชา"/>
    <s v="กำแพงเพชร"/>
    <s v="-"/>
    <s v=""/>
    <s v="03/01/2025 10:11"/>
    <s v="-"/>
    <s v="J&amp;T COD"/>
    <s v="Tiktok"/>
    <s v="จ่ายทีหลัง / COD"/>
    <s v=""/>
    <s v="754213457815"/>
    <s v="03/01/2025 10:12"/>
  </r>
  <r>
    <x v="3"/>
    <x v="3"/>
    <n v="100"/>
    <n v="1"/>
    <n v="0"/>
    <s v="EPU73"/>
    <n v="100"/>
    <n v="0"/>
    <s v="ร้านที่2"/>
    <s v="ค******์"/>
    <s v="******ซอยอุดมเดช ตำบลบางเมืองใหม่ ตำบลบางเมืองใหม่ อำเภอเมืองสมุทรปราการ จังหวัดสมุทรปราการ 10270"/>
    <s v="10270"/>
    <s v="40"/>
    <s v="03/01/2025 10:11"/>
    <s v="-"/>
    <s v="SPX Express"/>
    <s v="Shopee"/>
    <s v="shopee"/>
    <s v=""/>
    <s v="TH2599744499110"/>
    <s v="03/01/2025 10:11"/>
  </r>
  <r>
    <x v="5"/>
    <x v="5"/>
    <n v="350"/>
    <n v="1"/>
    <n v="0"/>
    <s v="EPU72"/>
    <n v="350"/>
    <n v="0"/>
    <s v="ร้านที่4"/>
    <s v="เ***กา ว***คม"/>
    <s v="ปราจีนบุรี"/>
    <s v="-"/>
    <s v=""/>
    <s v="03/01/2025 10:06"/>
    <s v="-"/>
    <s v="Flash Express Thailand COD"/>
    <s v="Tiktok"/>
    <s v="จ่ายทีหลัง / COD"/>
    <s v=""/>
    <s v="THT25061DVFUX5Z"/>
    <s v="03/01/2025 10:08"/>
  </r>
  <r>
    <x v="0"/>
    <x v="0"/>
    <n v="100"/>
    <n v="1"/>
    <n v="0"/>
    <s v="EPU71"/>
    <n v="106"/>
    <n v="6"/>
    <s v="ร้านที่4"/>
    <s v="จ***า ร***มบัติ"/>
    <s v="ราชบุรี"/>
    <s v="-"/>
    <s v=""/>
    <s v="03/01/2025 10:04"/>
    <s v="-"/>
    <s v="Flash Express Thailand COD"/>
    <s v="Tiktok"/>
    <s v="จ่ายทีหลัง / COD"/>
    <s v=""/>
    <s v="THT12061DVMKT3Z"/>
    <s v="03/01/2025 10:05"/>
  </r>
  <r>
    <x v="3"/>
    <x v="8"/>
    <n v="0"/>
    <n v="1"/>
    <n v="0"/>
    <s v="EPU70"/>
    <n v="5"/>
    <n v="5"/>
    <s v="ร้านที่6"/>
    <s v="เยาวภา แขเกษม"/>
    <s v="100/13 ซ.รามอินทรา 40 แยก 15 ถ.รามอินทรา แขวงนวลจันทร์_x000a__x000a_บึงกุ่ม/ Bueng Kumกรุงเทพมหานคร/ Bangkok_x000a_10230"/>
    <s v="10230"/>
    <s v="660816321199"/>
    <s v="03/01/2025 10:05"/>
    <s v="-"/>
    <s v="Kerry_dropoff"/>
    <s v="Lazada"/>
    <s v="lazada"/>
    <s v=""/>
    <s v="LEXPU0441480388"/>
    <s v="03/01/2025 10:05"/>
  </r>
  <r>
    <x v="19"/>
    <x v="19"/>
    <n v="199"/>
    <n v="1"/>
    <n v="0"/>
    <s v="EPU69"/>
    <n v="234"/>
    <n v="35"/>
    <s v="ร้านที่1"/>
    <s v="จ******์"/>
    <s v="******ศรี อำเภอไทรน้อย จังหวัดนนทบุรี 11150 ตำบลขุนศรี อำเภอไทรน้อย จังหวัดนนทบุรี 11150"/>
    <s v="11150"/>
    <s v="29"/>
    <s v="03/01/2025 10:33"/>
    <s v="-"/>
    <s v="Flash Express"/>
    <s v="Shopee"/>
    <s v="shopee"/>
    <s v=""/>
    <s v="TH03056NJ32Y4E"/>
    <s v="03/01/2025 10:03"/>
  </r>
  <r>
    <x v="4"/>
    <x v="4"/>
    <n v="100"/>
    <n v="1"/>
    <n v="0"/>
    <s v="EPU68"/>
    <n v="200"/>
    <n v="0"/>
    <s v="ร้านที่1"/>
    <s v="ป***ัย แ***ทอง แ**"/>
    <s v="สงขลา"/>
    <s v="-"/>
    <s v=""/>
    <s v="03/01/2025 10:02"/>
    <s v="-"/>
    <s v="J&amp;T COD"/>
    <s v="Tiktok"/>
    <s v="จ่ายทีหลัง / COD"/>
    <s v=""/>
    <s v="754235364864"/>
    <s v="03/01/2025 10:03"/>
  </r>
  <r>
    <x v="9"/>
    <x v="4"/>
    <n v="100"/>
    <n v="1"/>
    <n v="0"/>
    <s v="EPU68"/>
    <n v="200"/>
    <n v="0"/>
    <s v="ร้านที่1"/>
    <s v="ป***ัย แ***ทอง แ**"/>
    <s v="สงขลา"/>
    <s v="-"/>
    <s v=""/>
    <s v="03/01/2025 10:02"/>
    <s v="-"/>
    <s v="J&amp;T COD"/>
    <s v="Tiktok"/>
    <s v="จ่ายทีหลัง / COD"/>
    <s v=""/>
    <s v="754235364864"/>
    <s v="03/01/2025 10:03"/>
  </r>
  <r>
    <x v="0"/>
    <x v="0"/>
    <n v="100"/>
    <n v="1"/>
    <n v="0"/>
    <s v="EPU66"/>
    <n v="100"/>
    <n v="0"/>
    <s v="ร้านที่4"/>
    <s v="ภ** โ***์ศรี"/>
    <s v="สุพรรณบุรี"/>
    <s v="-"/>
    <s v=""/>
    <s v="03/01/2025 10:00"/>
    <s v="-"/>
    <s v="Flash Express Thailand"/>
    <s v="Tiktok"/>
    <s v="tiktok"/>
    <s v=""/>
    <s v="THT14051DW0Q80Z"/>
    <s v="03/01/2025 10:00"/>
  </r>
  <r>
    <x v="1"/>
    <x v="1"/>
    <n v="200"/>
    <n v="1"/>
    <n v="0"/>
    <s v="EPU64"/>
    <n v="200"/>
    <n v="0"/>
    <s v="ร้านที่2"/>
    <s v="ช***ติ ข***คร"/>
    <s v="พิจิตร"/>
    <s v="-"/>
    <s v=""/>
    <s v="03/01/2025 09:56"/>
    <s v="-"/>
    <s v="J&amp;T Express"/>
    <s v="Tiktok"/>
    <s v="tiktok"/>
    <s v=""/>
    <s v="754258665860"/>
    <s v="03/01/2025 09:56"/>
  </r>
  <r>
    <x v="1"/>
    <x v="1"/>
    <n v="200"/>
    <n v="1"/>
    <n v="0"/>
    <s v="EPU63"/>
    <n v="200"/>
    <n v="0"/>
    <s v="ร้านที่2"/>
    <s v="ช***ติ ข***คร"/>
    <s v="กรุงเทพมหานคร"/>
    <s v="-"/>
    <s v=""/>
    <s v="03/01/2025 09:55"/>
    <s v="-"/>
    <s v="J&amp;T COD"/>
    <s v="Tiktok"/>
    <s v="จ่ายทีหลัง / COD"/>
    <s v=""/>
    <s v="754217269853"/>
    <s v="03/01/2025 09:55"/>
  </r>
  <r>
    <x v="6"/>
    <x v="81"/>
    <n v="207.5"/>
    <n v="1"/>
    <n v="0"/>
    <s v="EPU62"/>
    <n v="504"/>
    <n v="89"/>
    <s v="ร้านที่1"/>
    <s v="ไพศาล​ ฤทธิ์วงค์"/>
    <s v="178 ซอยเอกข้าวต้ม, ซอย7สมใจนึก ตำบลท่าขนุน_x000a__x000a_ทองผาภูมิ/ Thong Pha Phumกาญจนบุรี/ Kanchanaburi_x000a_71180"/>
    <s v="71180"/>
    <s v="660861635563"/>
    <s v="03/01/2025 09:56"/>
    <s v="-"/>
    <s v="Kerry_dropoff"/>
    <s v="Lazada"/>
    <s v="lazada"/>
    <s v=""/>
    <s v="TH13026NH5X37B"/>
    <s v="03/01/2025 09:55"/>
  </r>
  <r>
    <x v="6"/>
    <x v="81"/>
    <n v="207.5"/>
    <n v="1"/>
    <n v="0"/>
    <s v="EPU62"/>
    <n v="504"/>
    <n v="89"/>
    <s v="ร้านที่1"/>
    <s v="ไพศาล​ ฤทธิ์วงค์"/>
    <s v="178 ซอยเอกข้าวต้ม, ซอย7สมใจนึก ตำบลท่าขนุน_x000a__x000a_ทองผาภูมิ/ Thong Pha Phumกาญจนบุรี/ Kanchanaburi_x000a_71180"/>
    <s v="71180"/>
    <s v="660861635563"/>
    <s v="03/01/2025 09:56"/>
    <s v="-"/>
    <s v="Kerry_dropoff"/>
    <s v="Lazada"/>
    <s v="lazada"/>
    <s v=""/>
    <s v="TH13026NH5X37B"/>
    <s v="03/01/2025 09:55"/>
  </r>
  <r>
    <x v="0"/>
    <x v="0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9"/>
    <x v="4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3"/>
    <x v="3"/>
    <n v="100"/>
    <n v="1"/>
    <n v="0"/>
    <s v="EPU61"/>
    <n v="300"/>
    <n v="0"/>
    <s v="ร้านที่4"/>
    <s v="น***อยห้อง6"/>
    <s v="ภูเก็ต"/>
    <s v="-"/>
    <s v=""/>
    <s v="03/01/2025 09:51"/>
    <s v="-"/>
    <s v="Flash Express Thailand"/>
    <s v="Tiktok"/>
    <s v="tiktok"/>
    <s v=""/>
    <s v="THT67021DVKGR9Z"/>
    <s v="03/01/2025 09:51"/>
  </r>
  <r>
    <x v="0"/>
    <x v="0"/>
    <n v="100"/>
    <n v="1"/>
    <n v="0"/>
    <s v="EPU58"/>
    <n v="100"/>
    <n v="0"/>
    <s v="ร้านที่2"/>
    <s v="ว***ยพร ส***ิสาร"/>
    <s v="สมุทรสาคร"/>
    <s v="-"/>
    <s v=""/>
    <s v="03/01/2025 09:48"/>
    <s v="-"/>
    <s v="J&amp;T COD"/>
    <s v="Tiktok"/>
    <s v="จ่ายทีหลัง / COD"/>
    <s v=""/>
    <s v="754224659812"/>
    <s v="03/01/2025 09:48"/>
  </r>
  <r>
    <x v="0"/>
    <x v="0"/>
    <n v="100"/>
    <n v="1"/>
    <n v="0"/>
    <s v="EPU57"/>
    <n v="150"/>
    <n v="0"/>
    <s v="ร้านที่2"/>
    <s v="ญ***ภรณ์ ส***ิ"/>
    <s v="สงขลา"/>
    <s v="-"/>
    <s v=""/>
    <s v="03/01/2025 09:48"/>
    <s v="-"/>
    <s v="J&amp;T Express"/>
    <s v="Tiktok"/>
    <s v="tiktok"/>
    <s v=""/>
    <s v="754287319870"/>
    <s v="03/01/2025 09:48"/>
  </r>
  <r>
    <x v="0"/>
    <x v="0"/>
    <n v="100"/>
    <n v="2"/>
    <n v="0"/>
    <s v="EPU56"/>
    <n v="200"/>
    <n v="0"/>
    <s v="ร้านที่4"/>
    <s v="อ***"/>
    <s v="กรุงเทพมหานคร"/>
    <s v="-"/>
    <s v=""/>
    <s v="03/01/2025 09:47"/>
    <s v="-"/>
    <s v="Flash Express Thailand COD"/>
    <s v="Tiktok"/>
    <s v="จ่ายทีหลัง / COD"/>
    <s v=""/>
    <s v="THT01361DVXT12Z"/>
    <s v="03/01/2025 09:47"/>
  </r>
  <r>
    <x v="0"/>
    <x v="0"/>
    <n v="100"/>
    <n v="1"/>
    <n v="0"/>
    <s v="EPU55"/>
    <n v="106"/>
    <n v="6"/>
    <s v="ร้านที่2"/>
    <s v="ท***รรณ แ***ี"/>
    <s v="กาญจนบุรี"/>
    <s v="-"/>
    <s v=""/>
    <s v="03/01/2025 09:46"/>
    <s v="-"/>
    <s v="J&amp;T COD"/>
    <s v="Tiktok"/>
    <s v="จ่ายทีหลัง / COD"/>
    <s v=""/>
    <s v="754294038805"/>
    <s v="03/01/2025 09:47"/>
  </r>
  <r>
    <x v="4"/>
    <x v="4"/>
    <n v="100"/>
    <n v="1"/>
    <n v="0"/>
    <s v="EPU54"/>
    <n v="200"/>
    <n v="0"/>
    <s v="ร้านที่1"/>
    <s v="ไ***"/>
    <s v="พิษณุโลก"/>
    <s v="-"/>
    <s v=""/>
    <s v="03/01/2025 09:42"/>
    <s v="-"/>
    <s v="J&amp;T COD"/>
    <s v="Tiktok"/>
    <s v="จ่ายทีหลัง / COD"/>
    <s v=""/>
    <s v="754206824851"/>
    <s v="03/01/2025 09:43"/>
  </r>
  <r>
    <x v="0"/>
    <x v="0"/>
    <n v="100"/>
    <n v="1"/>
    <n v="0"/>
    <s v="EPU54"/>
    <n v="200"/>
    <n v="0"/>
    <s v="ร้านที่1"/>
    <s v="ไ***"/>
    <s v="พิษณุโลก"/>
    <s v="-"/>
    <s v=""/>
    <s v="03/01/2025 09:42"/>
    <s v="-"/>
    <s v="J&amp;T COD"/>
    <s v="Tiktok"/>
    <s v="จ่ายทีหลัง / COD"/>
    <s v=""/>
    <s v="754206824851"/>
    <s v="03/01/2025 09:43"/>
  </r>
  <r>
    <x v="1"/>
    <x v="1"/>
    <n v="200"/>
    <n v="1"/>
    <n v="0"/>
    <s v="EPU53"/>
    <n v="200"/>
    <n v="0"/>
    <s v="ร้านที่1"/>
    <s v="ช***ณี ท***รกุล"/>
    <s v="เพชรบุรี"/>
    <s v="-"/>
    <s v=""/>
    <s v="03/01/2025 09:42"/>
    <s v="-"/>
    <s v="J&amp;T Express"/>
    <s v="Tiktok"/>
    <s v="tiktok"/>
    <s v=""/>
    <s v="754295660856"/>
    <s v="03/01/2025 09:42"/>
  </r>
  <r>
    <x v="9"/>
    <x v="4"/>
    <n v="100"/>
    <n v="1"/>
    <n v="0"/>
    <s v="EPU52"/>
    <n v="200"/>
    <n v="0"/>
    <s v="ร้านที่4"/>
    <s v="อ***ยา โ***์เย็น"/>
    <s v="สระบุรี"/>
    <s v="-"/>
    <s v=""/>
    <s v="03/01/2025 09:40"/>
    <s v="-"/>
    <s v="Flash Express Thailand COD"/>
    <s v="Tiktok"/>
    <s v="จ่ายทีหลัง / COD"/>
    <s v=""/>
    <s v="THT10071DVXGB6Z"/>
    <s v="03/01/2025 09:40"/>
  </r>
  <r>
    <x v="3"/>
    <x v="3"/>
    <n v="100"/>
    <n v="1"/>
    <n v="0"/>
    <s v="EPU52"/>
    <n v="200"/>
    <n v="0"/>
    <s v="ร้านที่4"/>
    <s v="อ***ยา โ***์เย็น"/>
    <s v="สระบุรี"/>
    <s v="-"/>
    <s v=""/>
    <s v="03/01/2025 09:40"/>
    <s v="-"/>
    <s v="Flash Express Thailand COD"/>
    <s v="Tiktok"/>
    <s v="จ่ายทีหลัง / COD"/>
    <s v=""/>
    <s v="THT10071DVXGB6Z"/>
    <s v="03/01/2025 09:40"/>
  </r>
  <r>
    <x v="0"/>
    <x v="0"/>
    <n v="100"/>
    <n v="1"/>
    <n v="0"/>
    <s v="EPU50"/>
    <n v="106"/>
    <n v="6"/>
    <s v="ร้านที่1"/>
    <s v="ม***า บ***ต่ง"/>
    <s v="ชลบุรี"/>
    <s v="-"/>
    <s v=""/>
    <s v="03/01/2025 09:39"/>
    <s v="-"/>
    <s v="J&amp;T Express"/>
    <s v="Tiktok"/>
    <s v="tiktok"/>
    <s v=""/>
    <s v="754225743843"/>
    <s v="03/01/2025 09:38"/>
  </r>
  <r>
    <x v="0"/>
    <x v="0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4"/>
    <x v="4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3"/>
    <x v="3"/>
    <n v="100"/>
    <n v="1"/>
    <n v="0"/>
    <s v="EPU48"/>
    <n v="399"/>
    <n v="0"/>
    <s v="ร้านที่4"/>
    <s v="ข***่อง"/>
    <s v="เพชรบุรี"/>
    <s v="-"/>
    <s v=""/>
    <s v="03/01/2025 09:34"/>
    <s v="-"/>
    <s v="Flash Express Thailand COD"/>
    <s v="Tiktok"/>
    <s v="จ่ายทีหลัง / COD"/>
    <s v=""/>
    <s v="THT18041DVPCZ3Z"/>
    <s v="03/01/2025 09:34"/>
  </r>
  <r>
    <x v="9"/>
    <x v="4"/>
    <n v="100"/>
    <n v="1"/>
    <n v="0"/>
    <s v="EPU45"/>
    <n v="106"/>
    <n v="6"/>
    <s v="ร้านที่1"/>
    <s v="จ***์จุฑา ก***มกล่ำนุ่ม"/>
    <s v="อุตรดิตถ์"/>
    <s v="-"/>
    <s v=""/>
    <s v="03/01/2025 09:33"/>
    <s v="-"/>
    <s v="J&amp;T COD"/>
    <s v="Tiktok"/>
    <s v="จ่ายทีหลัง / COD"/>
    <s v=""/>
    <s v="754259381783"/>
    <s v="03/01/2025 09:33"/>
  </r>
  <r>
    <x v="13"/>
    <x v="30"/>
    <n v="173.25"/>
    <n v="1"/>
    <n v="0"/>
    <s v="EPU44"/>
    <n v="178.25"/>
    <n v="5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03/01/2025 09:33"/>
    <s v="-"/>
    <s v="Kerry_dropoff"/>
    <s v="Lazada"/>
    <s v="lazada"/>
    <s v=""/>
    <s v="TH44086NJ12R5J"/>
    <s v="03/01/2025 09:33"/>
  </r>
  <r>
    <x v="19"/>
    <x v="34"/>
    <n v="173.25"/>
    <n v="1"/>
    <n v="0"/>
    <s v="EPU43"/>
    <n v="173.25"/>
    <n v="0"/>
    <s v="ร้านที่9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3/01/2025 09:33"/>
    <s v="-"/>
    <s v="Kerry_dropoff"/>
    <s v="Lazada"/>
    <s v="lazada"/>
    <s v=""/>
    <s v="LEXDO0123756340"/>
    <s v="03/01/2025 09:32"/>
  </r>
  <r>
    <x v="29"/>
    <x v="36"/>
    <n v="330"/>
    <n v="1"/>
    <n v="0"/>
    <s v="EPU40"/>
    <n v="330"/>
    <n v="0"/>
    <s v="ร้านที่1"/>
    <s v="ก***ร น***นิล"/>
    <s v="เพชรบูรณ์"/>
    <s v="-"/>
    <s v=""/>
    <s v="03/01/2025 09:28"/>
    <s v="-"/>
    <s v="J&amp;T COD"/>
    <s v="Tiktok"/>
    <s v="จ่ายทีหลัง / COD"/>
    <s v=""/>
    <s v="754241199740"/>
    <s v="03/01/2025 09:28"/>
  </r>
  <r>
    <x v="9"/>
    <x v="4"/>
    <n v="100"/>
    <n v="2"/>
    <n v="0"/>
    <s v="EPU39"/>
    <n v="200"/>
    <n v="0"/>
    <s v="ร้านที่1"/>
    <s v="อ***ียา น***ะยาย"/>
    <s v="มหาสารคาม"/>
    <s v="-"/>
    <s v=""/>
    <s v="03/01/2025 09:27"/>
    <s v="-"/>
    <s v="J&amp;T COD"/>
    <s v="Tiktok"/>
    <s v="จ่ายทีหลัง / COD"/>
    <s v=""/>
    <s v="754237994764"/>
    <s v="03/01/2025 09:28"/>
  </r>
  <r>
    <x v="29"/>
    <x v="36"/>
    <n v="330"/>
    <n v="1"/>
    <n v="0"/>
    <s v="EPU38"/>
    <n v="330"/>
    <n v="0"/>
    <s v="ร้านที่4"/>
    <s v="พ***ก  เ***อนถ้ำ"/>
    <s v="พระนครศรีอยุธยา"/>
    <s v="-"/>
    <s v=""/>
    <s v="03/01/2025 09:27"/>
    <s v="-"/>
    <s v="Flash Express Thailand COD"/>
    <s v="Tiktok"/>
    <s v="จ่ายทีหลัง / COD"/>
    <s v=""/>
    <s v="THT05061DVQ0T0Z"/>
    <s v="03/01/2025 09:27"/>
  </r>
  <r>
    <x v="3"/>
    <x v="3"/>
    <n v="100"/>
    <n v="3"/>
    <n v="0"/>
    <s v="EPU35"/>
    <n v="300"/>
    <n v="0"/>
    <s v="ร้านที่4"/>
    <s v="เ***กมล ส***์ทอง"/>
    <s v="ปราจีนบุรี"/>
    <s v="-"/>
    <s v=""/>
    <s v="03/01/2025 09:22"/>
    <s v="-"/>
    <s v="Flash Express Thailand"/>
    <s v="Tiktok"/>
    <s v="tiktok"/>
    <s v=""/>
    <s v="THT25061DVMTH3Z"/>
    <s v="03/01/2025 09:22"/>
  </r>
  <r>
    <x v="3"/>
    <x v="3"/>
    <n v="100"/>
    <n v="1"/>
    <n v="0"/>
    <s v="EPU34"/>
    <n v="106"/>
    <n v="6"/>
    <s v="ร้านที่1"/>
    <s v="ส***ญญา ก***สาทร"/>
    <s v="ปทุมธานี"/>
    <s v="-"/>
    <s v=""/>
    <s v="03/01/2025 09:21"/>
    <s v="-"/>
    <s v="J&amp;T Express"/>
    <s v="Tiktok"/>
    <s v="tiktok"/>
    <s v=""/>
    <s v="754223111832"/>
    <s v="03/01/2025 09:21"/>
  </r>
  <r>
    <x v="5"/>
    <x v="5"/>
    <n v="350"/>
    <n v="1"/>
    <n v="0"/>
    <s v="EPU33"/>
    <n v="350"/>
    <n v="0"/>
    <s v="ร้านที่4"/>
    <s v="ห***ญญา ก***นุรักษ์"/>
    <s v="ภูเก็ต"/>
    <s v="-"/>
    <s v=""/>
    <s v="03/01/2025 09:19"/>
    <s v="-"/>
    <s v="Flash Express Thailand"/>
    <s v="Tiktok"/>
    <s v="tiktok"/>
    <s v=""/>
    <s v="THT67011DVFN77Z"/>
    <s v="03/01/2025 09:19"/>
  </r>
  <r>
    <x v="0"/>
    <x v="0"/>
    <n v="100"/>
    <n v="2"/>
    <n v="0"/>
    <s v="EPU32"/>
    <n v="200"/>
    <n v="0"/>
    <s v="ร้านที่1"/>
    <s v="ผ***"/>
    <s v="อุทัยธานี"/>
    <s v="-"/>
    <s v=""/>
    <s v="03/01/2025 09:18"/>
    <s v="-"/>
    <s v="J&amp;T COD"/>
    <s v="Tiktok"/>
    <s v="จ่ายทีหลัง / COD"/>
    <s v=""/>
    <s v="754249332885"/>
    <s v="03/01/2025 09:18"/>
  </r>
  <r>
    <x v="4"/>
    <x v="4"/>
    <n v="100"/>
    <n v="2"/>
    <n v="0"/>
    <s v="EPU31"/>
    <n v="200"/>
    <n v="0"/>
    <s v="ร้านที่4"/>
    <s v="ก***า ล***ระเสริฐ"/>
    <s v="ปทุมธานี"/>
    <s v="-"/>
    <s v=""/>
    <s v="03/01/2025 09:16"/>
    <s v="-"/>
    <s v="Flash Express Thailand"/>
    <s v="Tiktok"/>
    <s v="tiktok"/>
    <s v=""/>
    <s v="THT04021DVFXT5Z"/>
    <s v="03/01/2025 09:16"/>
  </r>
  <r>
    <x v="9"/>
    <x v="4"/>
    <n v="100"/>
    <n v="1"/>
    <n v="0"/>
    <s v="EPU30"/>
    <n v="200"/>
    <n v="0"/>
    <s v="ร้านที่4"/>
    <s v="ค** ล***ากัน"/>
    <s v="ขอนแก่น"/>
    <s v="-"/>
    <s v=""/>
    <s v="03/01/2025 09:15"/>
    <s v="-"/>
    <s v="Flash Express Thailand COD"/>
    <s v="Tiktok"/>
    <s v="จ่ายทีหลัง / COD"/>
    <s v=""/>
    <s v="THT37011DVYYG0Z"/>
    <s v="03/01/2025 09:16"/>
  </r>
  <r>
    <x v="0"/>
    <x v="0"/>
    <n v="100"/>
    <n v="1"/>
    <n v="0"/>
    <s v="EPU30"/>
    <n v="200"/>
    <n v="0"/>
    <s v="ร้านที่4"/>
    <s v="ค** ล***ากัน"/>
    <s v="ขอนแก่น"/>
    <s v="-"/>
    <s v=""/>
    <s v="03/01/2025 09:15"/>
    <s v="-"/>
    <s v="Flash Express Thailand COD"/>
    <s v="Tiktok"/>
    <s v="จ่ายทีหลัง / COD"/>
    <s v=""/>
    <s v="THT37011DVYYG0Z"/>
    <s v="03/01/2025 09:16"/>
  </r>
  <r>
    <x v="1"/>
    <x v="1"/>
    <n v="200"/>
    <n v="1"/>
    <n v="0"/>
    <s v="EPU29"/>
    <n v="200"/>
    <n v="0"/>
    <s v="ร้านที่1"/>
    <s v="ค***ชร ก***"/>
    <s v="นนทบุรี"/>
    <s v="-"/>
    <s v=""/>
    <s v="03/01/2025 09:14"/>
    <s v="-"/>
    <s v="J&amp;T Express"/>
    <s v="Tiktok"/>
    <s v="tiktok"/>
    <s v=""/>
    <s v="754287063854"/>
    <s v="03/01/2025 09:14"/>
  </r>
  <r>
    <x v="0"/>
    <x v="0"/>
    <n v="100"/>
    <n v="1"/>
    <n v="0"/>
    <s v="EPU28"/>
    <n v="100"/>
    <n v="0"/>
    <s v="ร้านที่1"/>
    <s v="น***ศนา แ***แก้ว"/>
    <s v="ลพบุรี"/>
    <s v="-"/>
    <s v=""/>
    <s v="03/01/2025 09:13"/>
    <s v="-"/>
    <s v="J&amp;T COD"/>
    <s v="Tiktok"/>
    <s v="จ่ายทีหลัง / COD"/>
    <s v=""/>
    <s v="754215120842"/>
    <s v="03/01/2025 09:14"/>
  </r>
  <r>
    <x v="1"/>
    <x v="1"/>
    <n v="200"/>
    <n v="1"/>
    <n v="0"/>
    <s v="EPU27"/>
    <n v="200"/>
    <n v="0"/>
    <s v="ร้านที่1"/>
    <s v="ข***เรียม  อ***ิเเสง"/>
    <s v="อุดรธานี"/>
    <s v="-"/>
    <s v=""/>
    <s v="03/01/2025 09:12"/>
    <s v="-"/>
    <s v="J&amp;T Express"/>
    <s v="Tiktok"/>
    <s v="tiktok"/>
    <s v=""/>
    <s v="754291062862"/>
    <s v="03/01/2025 09:12"/>
  </r>
  <r>
    <x v="1"/>
    <x v="1"/>
    <n v="200"/>
    <n v="1"/>
    <n v="0"/>
    <s v="EPU25"/>
    <n v="200"/>
    <n v="0"/>
    <s v="ร้านที่2"/>
    <s v="ภ***ย์ ส***วงค์"/>
    <s v="พัทลุง"/>
    <s v="-"/>
    <s v=""/>
    <s v="03/01/2025 09:10"/>
    <s v="-"/>
    <s v="J&amp;T COD"/>
    <s v="Tiktok"/>
    <s v="จ่ายทีหลัง / COD"/>
    <s v=""/>
    <s v="754292150883"/>
    <s v="03/01/2025 09:11"/>
  </r>
  <r>
    <x v="29"/>
    <x v="36"/>
    <n v="330"/>
    <n v="3"/>
    <n v="0"/>
    <s v="EPU24"/>
    <n v="1124"/>
    <n v="134"/>
    <s v="ร้านที่1"/>
    <s v="ส***สา"/>
    <s v="พะเยา"/>
    <s v="-"/>
    <s v=""/>
    <s v="03/01/2025 09:09"/>
    <s v="-"/>
    <s v="J&amp;T COD"/>
    <s v="Tiktok"/>
    <s v="จ่ายทีหลัง / COD"/>
    <s v=""/>
    <s v="754286420860"/>
    <s v="03/01/2025 09:10"/>
  </r>
  <r>
    <x v="34"/>
    <x v="69"/>
    <n v="420"/>
    <n v="1"/>
    <n v="0"/>
    <s v="EPU23"/>
    <n v="462"/>
    <n v="42"/>
    <s v="ร้านที่1"/>
    <s v="N******ย"/>
    <s v="******ล, อำเภอเมืองสุพรรณบุรี ตำบลดอนตาล อำเภอเมืองสุพรรณบุรี จังหวัดสุพรรณบุรี 72000"/>
    <s v="72000"/>
    <s v="55"/>
    <s v="03/01/2025 09:10"/>
    <s v="-"/>
    <s v="Flash Express"/>
    <s v="Shopee"/>
    <s v="shopee"/>
    <s v=""/>
    <s v="TH14016NJ31P5G"/>
    <s v="03/01/2025 09:10"/>
  </r>
  <r>
    <x v="3"/>
    <x v="3"/>
    <n v="100"/>
    <n v="8"/>
    <n v="0"/>
    <s v="EPU22"/>
    <n v="879"/>
    <n v="79"/>
    <s v="ร้านที่2"/>
    <s v="น******ี"/>
    <s v="******กรียบ, อำเภอบางปะอิน ตำบลตลาดเกรียบ อำเภอบางปะอิน จังหวัดพระนครศรีอยุธยา 13160"/>
    <s v="13160"/>
    <s v="18"/>
    <s v="03/01/2025 09:09"/>
    <s v="-"/>
    <s v="SPX Express"/>
    <s v="Shopee"/>
    <s v="shopee"/>
    <s v=""/>
    <s v="TH254384979037Y"/>
    <s v="03/01/2025 09:09"/>
  </r>
  <r>
    <x v="9"/>
    <x v="4"/>
    <n v="100"/>
    <n v="1"/>
    <n v="0"/>
    <s v="EPU21"/>
    <n v="100"/>
    <n v="0"/>
    <s v="ร้านที่4"/>
    <s v="N***aya W*"/>
    <s v="เพชรบูรณ์"/>
    <s v="-"/>
    <s v=""/>
    <s v="03/01/2025 09:04"/>
    <s v="-"/>
    <s v="Flash Express Thailand COD"/>
    <s v="Tiktok"/>
    <s v="จ่ายทีหลัง / COD"/>
    <s v=""/>
    <s v="THT63051DVZJY0Z"/>
    <s v="03/01/2025 09:05"/>
  </r>
  <r>
    <x v="0"/>
    <x v="0"/>
    <n v="100"/>
    <n v="1"/>
    <n v="0"/>
    <s v="EPU20"/>
    <n v="106"/>
    <n v="6"/>
    <s v="ร้านที่1"/>
    <s v="อ*** ส***ิสนธ์"/>
    <s v="ชลบุรี"/>
    <s v="-"/>
    <s v=""/>
    <s v="03/01/2025 09:04"/>
    <s v="-"/>
    <s v="J&amp;T COD"/>
    <s v="Tiktok"/>
    <s v="จ่ายทีหลัง / COD"/>
    <s v=""/>
    <s v="754299252814"/>
    <s v="03/01/2025 09:04"/>
  </r>
  <r>
    <x v="0"/>
    <x v="0"/>
    <n v="100"/>
    <n v="1"/>
    <n v="0"/>
    <s v="EPU18"/>
    <n v="106"/>
    <n v="6"/>
    <s v="ร้านที่1"/>
    <s v="ร***า"/>
    <s v="นครพนม"/>
    <s v="-"/>
    <s v=""/>
    <s v="03/01/2025 09:02"/>
    <s v="-"/>
    <s v="J&amp;T COD"/>
    <s v="Tiktok"/>
    <s v="จ่ายทีหลัง / COD"/>
    <s v=""/>
    <s v="754207453812"/>
    <s v="03/01/2025 09:02"/>
  </r>
  <r>
    <x v="19"/>
    <x v="19"/>
    <n v="199"/>
    <n v="1"/>
    <n v="0"/>
    <s v="EPU15"/>
    <n v="199"/>
    <n v="0"/>
    <s v="ร้านที่1"/>
    <s v="A*r"/>
    <s v="******1 ม.14 ตำบลราชาเทวะ อำเภอบางพลี จังหวัดสมุทรปราการ 10540"/>
    <s v="10540"/>
    <s v="89"/>
    <s v="03/01/2025 08:55"/>
    <s v="-"/>
    <s v="SPX Express"/>
    <s v="Shopee"/>
    <s v="shopee"/>
    <s v=""/>
    <s v="TH2513673636452"/>
    <s v="03/01/2025 08:55"/>
  </r>
  <r>
    <x v="1"/>
    <x v="1"/>
    <n v="200"/>
    <n v="1"/>
    <n v="0"/>
    <s v="EPU14"/>
    <n v="200"/>
    <n v="0"/>
    <s v="ร้านที่2"/>
    <s v="พ***ินทร์ อ***รัตนพิชัย"/>
    <s v="สมุทรปราการ"/>
    <s v="-"/>
    <s v=""/>
    <s v="03/01/2025 08:54"/>
    <s v="-"/>
    <s v="Flash Express Thailand COD"/>
    <s v="Tiktok"/>
    <s v="จ่ายทีหลัง / COD"/>
    <s v=""/>
    <s v="THT02031DVY114Z"/>
    <s v="03/01/2025 08:54"/>
  </r>
  <r>
    <x v="0"/>
    <x v="0"/>
    <n v="100"/>
    <n v="1"/>
    <n v="0"/>
    <s v="EPU12"/>
    <n v="100"/>
    <n v="0"/>
    <s v="ร้านที่1"/>
    <s v="พ***ิรัช ร***เพชรรัตน์"/>
    <s v="ลพบุรี"/>
    <s v="-"/>
    <s v=""/>
    <s v="03/01/2025 08:47"/>
    <s v="-"/>
    <s v="J&amp;T COD"/>
    <s v="Tiktok"/>
    <s v="จ่ายทีหลัง / COD"/>
    <s v=""/>
    <s v="754293543846"/>
    <s v="03/01/2025 08:47"/>
  </r>
  <r>
    <x v="2"/>
    <x v="2"/>
    <n v="96.35"/>
    <n v="1"/>
    <n v="0"/>
    <s v="EPU11"/>
    <n v="101.35"/>
    <n v="5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03/01/2025 08:45"/>
    <s v="-"/>
    <s v="Kerry_dropoff"/>
    <s v="Lazada"/>
    <s v="lazada"/>
    <s v=""/>
    <s v="LEXPU0441458981"/>
    <s v="03/01/2025 08:45"/>
  </r>
  <r>
    <x v="16"/>
    <x v="16"/>
    <n v="250"/>
    <n v="1"/>
    <n v="0"/>
    <s v="EPU9"/>
    <n v="250"/>
    <n v="0"/>
    <s v="ร้านที่4"/>
    <s v="ส*  ส***ิดทอง"/>
    <s v="เทศบาลนครนครศรีธรรมราช"/>
    <s v="-"/>
    <s v=""/>
    <s v="03/01/2025 08:42"/>
    <s v="-"/>
    <s v="Flash Express Thailand COD"/>
    <s v="Tiktok"/>
    <s v="จ่ายทีหลัง / COD"/>
    <s v=""/>
    <s v="THT64171DVB7G5Z"/>
    <s v="03/01/2025 08:42"/>
  </r>
  <r>
    <x v="3"/>
    <x v="3"/>
    <n v="100"/>
    <n v="1"/>
    <n v="0"/>
    <s v="EPU8"/>
    <n v="338"/>
    <n v="41"/>
    <s v="ร้านที่2"/>
    <s v="พ******บ"/>
    <s v="******ย จ.เพชรบุรี ตำบลทับคาง อำเภอเขาย้อย จังหวัดเพชรบุรี 76140"/>
    <s v="76140"/>
    <s v="92"/>
    <s v="03/01/2025 09:12"/>
    <s v="-"/>
    <s v="SPX Express"/>
    <s v="Shopee"/>
    <s v="shopee"/>
    <s v=""/>
    <s v="TH258271336168J"/>
    <s v="03/01/2025 08:42"/>
  </r>
  <r>
    <x v="19"/>
    <x v="19"/>
    <n v="197"/>
    <n v="1"/>
    <n v="0"/>
    <s v="EPU8"/>
    <n v="338"/>
    <n v="41"/>
    <s v="ร้านที่2"/>
    <s v="พ******บ"/>
    <s v="******ย จ.เพชรบุรี ตำบลทับคาง อำเภอเขาย้อย จังหวัดเพชรบุรี 76140"/>
    <s v="76140"/>
    <s v="92"/>
    <s v="03/01/2025 09:12"/>
    <s v="-"/>
    <s v="SPX Express"/>
    <s v="Shopee"/>
    <s v="shopee"/>
    <s v=""/>
    <s v="TH258271336168J"/>
    <s v="03/01/2025 08:42"/>
  </r>
  <r>
    <x v="0"/>
    <x v="0"/>
    <n v="100"/>
    <n v="1"/>
    <n v="0"/>
    <s v="EPU7"/>
    <n v="106"/>
    <n v="6"/>
    <s v="ร้านที่1"/>
    <s v="ป***ม น***นที"/>
    <s v="จังหวัดระยอง"/>
    <s v="-"/>
    <s v=""/>
    <s v="03/01/2025 08:42"/>
    <s v="-"/>
    <s v="J&amp;T Express"/>
    <s v="Tiktok"/>
    <s v="tiktok"/>
    <s v=""/>
    <s v="754220455811"/>
    <s v="03/01/2025 08:40"/>
  </r>
  <r>
    <x v="38"/>
    <x v="41"/>
    <n v="224.7"/>
    <n v="1"/>
    <n v="0"/>
    <s v="EPU6"/>
    <n v="229.7"/>
    <n v="5"/>
    <s v="ร้านที่1"/>
    <s v="ณิชาวรินทร์ ขุมคำ"/>
    <s v="บ้านหนองนารี หมู่8 ต.บุสูง อ.วังหิน บ้านเลขที่ 148 · บุสูง/ Bu Sung_x000a__x000a_วังหิน/ Wang Hinศรีสะเกษ/ Sisaket_x000a_33270"/>
    <s v="33270"/>
    <s v="660950031960"/>
    <s v="03/01/2025 08:38"/>
    <s v="-"/>
    <s v="Kerry_dropoff"/>
    <s v="Lazada"/>
    <s v="lazada"/>
    <s v=""/>
    <s v="TH30156NH9QF7A"/>
    <s v="03/01/2025 08:38"/>
  </r>
  <r>
    <x v="1"/>
    <x v="1"/>
    <n v="200"/>
    <n v="1"/>
    <n v="0"/>
    <s v="EPU5"/>
    <n v="206"/>
    <n v="6"/>
    <s v="ร้านที่2"/>
    <s v="พ*** แ***ัตุรัส"/>
    <s v="สมุทรปราการ"/>
    <s v="-"/>
    <s v=""/>
    <s v="03/01/2025 08:36"/>
    <s v="-"/>
    <s v="J&amp;T Express"/>
    <s v="Tiktok"/>
    <s v="tiktok"/>
    <s v=""/>
    <s v="754203863851"/>
    <s v="03/01/2025 08:35"/>
  </r>
  <r>
    <x v="1"/>
    <x v="1"/>
    <n v="200"/>
    <n v="1"/>
    <n v="0"/>
    <s v="EPU4"/>
    <n v="200"/>
    <n v="0"/>
    <s v="ร้านที่1"/>
    <s v="ค***างค์  เ***วียง"/>
    <s v="ศรีสะเกษ"/>
    <s v="-"/>
    <s v=""/>
    <s v="03/01/2025 08:33"/>
    <s v="-"/>
    <s v="J&amp;T Express"/>
    <s v="Tiktok"/>
    <s v="tiktok"/>
    <s v=""/>
    <s v="754255269865"/>
    <s v="03/01/2025 08:33"/>
  </r>
  <r>
    <x v="2"/>
    <x v="82"/>
    <n v="100"/>
    <n v="1"/>
    <n v="0"/>
    <s v="EPU3"/>
    <n v="200"/>
    <n v="0"/>
    <s v="ร้านที่4"/>
    <s v="ส***ตรี ง***ันธ์"/>
    <s v="สระบุรี"/>
    <s v="-"/>
    <s v=""/>
    <s v="03/01/2025 08:30"/>
    <s v="-"/>
    <s v="Flash Express Thailand COD"/>
    <s v="Tiktok"/>
    <s v="จ่ายทีหลัง / COD"/>
    <s v=""/>
    <s v="THT10051DVJX75Z"/>
    <s v="03/01/2025 08:30"/>
  </r>
  <r>
    <x v="4"/>
    <x v="4"/>
    <n v="100"/>
    <n v="1"/>
    <n v="0"/>
    <s v="EPU3"/>
    <n v="200"/>
    <n v="0"/>
    <s v="ร้านที่4"/>
    <s v="ส***ตรี ง***ันธ์"/>
    <s v="สระบุรี"/>
    <s v="-"/>
    <s v=""/>
    <s v="03/01/2025 08:30"/>
    <s v="-"/>
    <s v="Flash Express Thailand COD"/>
    <s v="Tiktok"/>
    <s v="จ่ายทีหลัง / COD"/>
    <s v=""/>
    <s v="THT10051DVJX75Z"/>
    <s v="03/01/2025 08:30"/>
  </r>
  <r>
    <x v="2"/>
    <x v="82"/>
    <n v="100"/>
    <n v="1"/>
    <n v="0"/>
    <s v="EPU2"/>
    <n v="106"/>
    <n v="6"/>
    <s v="ร้านที่4"/>
    <s v="ณ***ณิดา แ***พิภพ"/>
    <s v="เลย"/>
    <s v="-"/>
    <s v=""/>
    <s v="03/01/2025 08:28"/>
    <s v="-"/>
    <s v="Flash Express Thailand"/>
    <s v="Tiktok"/>
    <s v="tiktok"/>
    <s v=""/>
    <s v="THT39121DVMZN5Z"/>
    <s v="03/01/2025 08:28"/>
  </r>
  <r>
    <x v="0"/>
    <x v="0"/>
    <n v="100"/>
    <n v="2"/>
    <n v="0"/>
    <s v="EPU1"/>
    <n v="200"/>
    <n v="0"/>
    <s v="ร้านที่1"/>
    <s v="ส***นท์ ด***ง"/>
    <s v="อุบลราชธานี"/>
    <s v="-"/>
    <s v=""/>
    <s v="03/01/2025 08:24"/>
    <s v="-"/>
    <s v="J&amp;T COD"/>
    <s v="Tiktok"/>
    <s v="จ่ายทีหลัง / COD"/>
    <s v=""/>
    <s v="754276143832"/>
    <s v="03/01/2025 08:24"/>
  </r>
  <r>
    <x v="33"/>
    <x v="43"/>
    <n v="330"/>
    <n v="1"/>
    <n v="0"/>
    <s v="EPT97"/>
    <n v="330"/>
    <n v="0"/>
    <s v="ร้านที่4"/>
    <s v="ผ***าศ ศ***ุพัฒน์"/>
    <s v="เทศบาลนครนครราชสีมา"/>
    <s v="-"/>
    <s v=""/>
    <s v="03/01/2025 08:19"/>
    <s v="-"/>
    <s v="Flash Express Thailand COD"/>
    <s v="Tiktok"/>
    <s v="จ่ายทีหลัง / COD"/>
    <s v=""/>
    <s v="THT27061DVT9A4Z"/>
    <s v="03/01/2025 08:20"/>
  </r>
  <r>
    <x v="0"/>
    <x v="0"/>
    <n v="100"/>
    <n v="3"/>
    <n v="0"/>
    <s v="EPT96"/>
    <n v="300"/>
    <n v="0"/>
    <s v="ร้านที่1"/>
    <s v="ธ***ิสิษฐ์ ค***เขตต์"/>
    <s v="ประจวบคีรีขันธ์"/>
    <s v="-"/>
    <s v=""/>
    <s v="03/01/2025 08:19"/>
    <s v="-"/>
    <s v="J&amp;T COD"/>
    <s v="Tiktok"/>
    <s v="จ่ายทีหลัง / COD"/>
    <s v=""/>
    <s v="754233711873"/>
    <s v="03/01/2025 08:20"/>
  </r>
  <r>
    <x v="0"/>
    <x v="0"/>
    <n v="100"/>
    <n v="1"/>
    <n v="0"/>
    <s v="EPT95"/>
    <n v="106"/>
    <n v="6"/>
    <s v="ร้านที่1"/>
    <s v="อ***"/>
    <s v="อุบลราชธานี"/>
    <s v="-"/>
    <s v=""/>
    <s v="03/01/2025 08:19"/>
    <s v="-"/>
    <s v="J&amp;T COD"/>
    <s v="Tiktok"/>
    <s v="จ่ายทีหลัง / COD"/>
    <s v=""/>
    <s v="754228148822"/>
    <s v="03/01/2025 08:19"/>
  </r>
  <r>
    <x v="9"/>
    <x v="4"/>
    <n v="100"/>
    <n v="1"/>
    <n v="0"/>
    <s v="EPT94"/>
    <n v="106"/>
    <n v="6"/>
    <s v="ร้านที่4"/>
    <s v="ส***ลยา ข***บาน"/>
    <s v="ฉะเชิงเทรา"/>
    <s v="-"/>
    <s v=""/>
    <s v="03/01/2025 08:19"/>
    <s v="-"/>
    <s v="Flash Express Thailand COD"/>
    <s v="Tiktok"/>
    <s v="จ่ายทีหลัง / COD"/>
    <s v=""/>
    <s v="THT24011DVAQF9Z"/>
    <s v="03/01/2025 08:19"/>
  </r>
  <r>
    <x v="9"/>
    <x v="4"/>
    <n v="100"/>
    <n v="1"/>
    <n v="0"/>
    <s v="EPT92"/>
    <n v="106"/>
    <n v="6"/>
    <s v="ร้านที่1"/>
    <s v="เ***นี ล***โหฬาร"/>
    <s v="มุกดาหาร"/>
    <s v="-"/>
    <s v=""/>
    <s v="03/01/2025 08:08"/>
    <s v="-"/>
    <s v="J&amp;T COD"/>
    <s v="Tiktok"/>
    <s v="จ่ายทีหลัง / COD"/>
    <s v=""/>
    <s v="754297899773"/>
    <s v="03/01/2025 08:08"/>
  </r>
  <r>
    <x v="13"/>
    <x v="30"/>
    <n v="173.25"/>
    <n v="1"/>
    <n v="0"/>
    <s v="EPT91"/>
    <n v="173.25"/>
    <n v="0"/>
    <s v="ร้านที่9"/>
    <s v="บุษยา ศรีเจริญ"/>
    <s v="88/752ม.บสิวารัจน์3 · อ้อมน้อย/ Om Noi_x000a__x000a_กระทุ่มแบน/ Krathum Baenสมุทรสาคร/ Samut Sakhon_x000a_74130"/>
    <s v="74130"/>
    <s v="660969032645"/>
    <s v="03/01/2025 08:07"/>
    <s v="-"/>
    <s v="Kerry_dropoff"/>
    <s v="Lazada"/>
    <s v="lazada"/>
    <s v=""/>
    <s v="LEXDO0123768889"/>
    <s v="03/01/2025 08:06"/>
  </r>
  <r>
    <x v="0"/>
    <x v="0"/>
    <n v="100"/>
    <n v="1"/>
    <n v="0"/>
    <s v="EPT90"/>
    <n v="100"/>
    <n v="0"/>
    <s v="ร้านที่2"/>
    <s v="เ***อมพร ท***หลม"/>
    <s v="นครสวรรค์"/>
    <s v="-"/>
    <s v=""/>
    <s v="03/01/2025 08:03"/>
    <s v="-"/>
    <s v="J&amp;T COD"/>
    <s v="Tiktok"/>
    <s v="จ่ายทีหลัง / COD"/>
    <s v=""/>
    <s v="754242548846"/>
    <s v="03/01/2025 08:03"/>
  </r>
  <r>
    <x v="0"/>
    <x v="0"/>
    <n v="100"/>
    <n v="1"/>
    <n v="0"/>
    <s v="EPT89"/>
    <n v="100"/>
    <n v="0"/>
    <s v="ร้านที่1"/>
    <s v="ค***ย เ***งเพราะ"/>
    <s v="สมุทรสงคราม"/>
    <s v="-"/>
    <s v=""/>
    <s v="03/01/2025 08:03"/>
    <s v="-"/>
    <s v="J&amp;T COD"/>
    <s v="Tiktok"/>
    <s v="จ่ายทีหลัง / COD"/>
    <s v=""/>
    <s v="754220140844"/>
    <s v="03/01/2025 08:03"/>
  </r>
  <r>
    <x v="0"/>
    <x v="0"/>
    <n v="100"/>
    <n v="1"/>
    <n v="0"/>
    <s v="EPT87"/>
    <n v="106"/>
    <n v="6"/>
    <s v="ร้านที่1"/>
    <s v="เ***าภา  ท***ำ"/>
    <s v="นครราชสีมา"/>
    <s v="-"/>
    <s v=""/>
    <s v="03/01/2025 08:02"/>
    <s v="-"/>
    <s v="J&amp;T COD"/>
    <s v="Tiktok"/>
    <s v="จ่ายทีหลัง / COD"/>
    <s v=""/>
    <s v="754222851815"/>
    <s v="03/01/2025 08:02"/>
  </r>
  <r>
    <x v="18"/>
    <x v="18"/>
    <n v="139.5"/>
    <n v="1"/>
    <n v="0"/>
    <s v="EPT86"/>
    <n v="184.5"/>
    <n v="45"/>
    <s v="ร้านที่1"/>
    <s v="กนกวรรณ จักรวิเชียร"/>
    <s v="111/150 หมู่ 1 หมู่บ้านมณีรินทร์พาร์ค_x000a__x000a_เมืองนนทบุรี/ Mueang Nonthaburiนนทบุรี/ Nonthaburi_x000a_11000"/>
    <s v="11000"/>
    <s v="660896915799"/>
    <s v="03/01/2025 08:02"/>
    <s v="-"/>
    <s v="Kerry_dropoff"/>
    <s v="Lazada"/>
    <s v="lazada"/>
    <s v=""/>
    <s v="LEXPU0441474070"/>
    <s v="03/01/2025 08:02"/>
  </r>
  <r>
    <x v="1"/>
    <x v="1"/>
    <n v="200"/>
    <n v="1"/>
    <n v="0"/>
    <s v="EPT85"/>
    <n v="200"/>
    <n v="0"/>
    <s v="ร้านที่1"/>
    <s v="น***ุ่งนภา ศ***ิริวัฒน์"/>
    <s v="กาญจนบุรี"/>
    <s v="-"/>
    <s v=""/>
    <s v="03/01/2025 07:56"/>
    <s v="-"/>
    <s v="J&amp;T Express"/>
    <s v="Tiktok"/>
    <s v="tiktok"/>
    <s v=""/>
    <s v="754282466851"/>
    <s v="03/01/2025 07:56"/>
  </r>
  <r>
    <x v="3"/>
    <x v="8"/>
    <n v="84"/>
    <n v="1"/>
    <n v="0"/>
    <s v="EPT84"/>
    <n v="84"/>
    <n v="0"/>
    <s v="ร้านที่6"/>
    <s v="น้ำนวล  ศรีเจริญ"/>
    <s v="88/752ม.บสิวารัตน์3  ซอย21บ้านประตูสีน้ำเงิน · อ้อมน้อย/ Om Noi_x000a__x000a_กระทุ่มแบน/ Krathum Baenสมุทรสาคร/ Samut Sakhon_x000a_74130"/>
    <s v="74130"/>
    <s v="660952320256"/>
    <s v="03/01/2025 07:56"/>
    <s v="-"/>
    <s v="Kerry_dropoff"/>
    <s v="Lazada"/>
    <s v="lazada"/>
    <s v=""/>
    <s v="LEXPU0441485255"/>
    <s v="03/01/2025 07:56"/>
  </r>
  <r>
    <x v="17"/>
    <x v="17"/>
    <n v="800"/>
    <n v="1"/>
    <n v="0"/>
    <s v="EPT82"/>
    <n v="800"/>
    <n v="0"/>
    <s v="ร้านที่4"/>
    <s v="ศ***มร"/>
    <s v="กรุงเทพมหานคร"/>
    <s v="-"/>
    <s v=""/>
    <s v="03/01/2025 07:46"/>
    <s v="-"/>
    <s v="Flash Express Thailand COD"/>
    <s v="Tiktok"/>
    <s v="จ่ายทีหลัง / COD"/>
    <s v=""/>
    <s v="THT01381DVM5K0Z"/>
    <s v="03/01/2025 07:46"/>
  </r>
  <r>
    <x v="3"/>
    <x v="3"/>
    <n v="100"/>
    <n v="2"/>
    <n v="0"/>
    <s v="EPT80"/>
    <n v="200"/>
    <n v="0"/>
    <s v="ร้านที่1"/>
    <s v="ท***าว น***์แสวง"/>
    <s v="ปราจีนบุรี"/>
    <s v="-"/>
    <s v=""/>
    <s v="03/01/2025 07:44"/>
    <s v="-"/>
    <s v="J&amp;T COD"/>
    <s v="Tiktok"/>
    <s v="จ่ายทีหลัง / COD"/>
    <s v=""/>
    <s v="754233419892"/>
    <s v="03/01/2025 07:44"/>
  </r>
  <r>
    <x v="0"/>
    <x v="0"/>
    <n v="100"/>
    <n v="1"/>
    <n v="0"/>
    <s v="EPT78"/>
    <n v="100"/>
    <n v="0"/>
    <s v="ร้านที่2"/>
    <s v="น***อาทิตยา เ***ญศิลป์"/>
    <s v="เทศบาลนครพิษณุโลก"/>
    <s v="-"/>
    <s v=""/>
    <s v="03/01/2025 07:41"/>
    <s v="-"/>
    <s v="J&amp;T COD"/>
    <s v="Tiktok"/>
    <s v="จ่ายทีหลัง / COD"/>
    <s v=""/>
    <s v="754259640890"/>
    <s v="03/01/2025 07:41"/>
  </r>
  <r>
    <x v="9"/>
    <x v="4"/>
    <n v="100"/>
    <n v="1"/>
    <n v="0"/>
    <s v="EPT77"/>
    <n v="200"/>
    <n v="0"/>
    <s v="ร้านที่4"/>
    <s v="ว***ิสา เ***องหลาง"/>
    <s v="กรุงเทพฯ"/>
    <s v="-"/>
    <s v=""/>
    <s v="03/01/2025 07:42"/>
    <s v="-"/>
    <s v="Flash Express Thailand"/>
    <s v="Tiktok"/>
    <s v="tiktok"/>
    <s v=""/>
    <s v="THT01231DVXDX6Z"/>
    <s v="03/01/2025 07:38"/>
  </r>
  <r>
    <x v="3"/>
    <x v="3"/>
    <n v="100"/>
    <n v="1"/>
    <n v="0"/>
    <s v="EPT77"/>
    <n v="200"/>
    <n v="0"/>
    <s v="ร้านที่4"/>
    <s v="ว***ิสา เ***องหลาง"/>
    <s v="กรุงเทพฯ"/>
    <s v="-"/>
    <s v=""/>
    <s v="03/01/2025 07:42"/>
    <s v="-"/>
    <s v="Flash Express Thailand"/>
    <s v="Tiktok"/>
    <s v="tiktok"/>
    <s v=""/>
    <s v="THT01231DVXDX6Z"/>
    <s v="03/01/2025 07:38"/>
  </r>
  <r>
    <x v="0"/>
    <x v="0"/>
    <n v="100"/>
    <n v="1"/>
    <n v="0"/>
    <s v="EPT76"/>
    <n v="106"/>
    <n v="6"/>
    <s v="ร้านที่4"/>
    <s v="ธ***ารัตน์ ไ***ูล"/>
    <s v="สุราษฎร์ธานี"/>
    <s v="-"/>
    <s v=""/>
    <s v="03/01/2025 07:39"/>
    <s v="-"/>
    <s v="Flash Express Thailand"/>
    <s v="Tiktok"/>
    <s v="tiktok"/>
    <s v=""/>
    <s v="THT68161DVN1S1Z"/>
    <s v="03/01/2025 07:38"/>
  </r>
  <r>
    <x v="9"/>
    <x v="4"/>
    <n v="100"/>
    <n v="1"/>
    <n v="0"/>
    <s v="EPT75"/>
    <n v="106"/>
    <n v="6"/>
    <s v="ร้านที่4"/>
    <s v="เ***นีย์"/>
    <s v="ชลบุรี"/>
    <s v="-"/>
    <s v=""/>
    <s v="03/01/2025 07:36"/>
    <s v="-"/>
    <s v="Flash Express Thailand"/>
    <s v="Tiktok"/>
    <s v="tiktok"/>
    <s v=""/>
    <s v="THT20041DVAT39Z"/>
    <s v="03/01/2025 07:36"/>
  </r>
  <r>
    <x v="3"/>
    <x v="3"/>
    <n v="100"/>
    <n v="1"/>
    <n v="0"/>
    <s v="EPT74"/>
    <n v="106"/>
    <n v="6"/>
    <s v="ร้านที่4"/>
    <s v="ซ***ี่"/>
    <s v="ราชบุรี"/>
    <s v="-"/>
    <s v=""/>
    <s v="03/01/2025 07:35"/>
    <s v="-"/>
    <s v="Flash Express Thailand COD"/>
    <s v="Tiktok"/>
    <s v="จ่ายทีหลัง / COD"/>
    <s v=""/>
    <s v="THT12051DVWYV0Z"/>
    <s v="03/01/2025 07:35"/>
  </r>
  <r>
    <x v="5"/>
    <x v="5"/>
    <n v="330"/>
    <n v="2"/>
    <n v="0"/>
    <s v="EPT73"/>
    <n v="660"/>
    <n v="0"/>
    <s v="ร้านที่2"/>
    <s v="น***ัศมี อ***วรทัต"/>
    <s v="นครราชสีมา"/>
    <s v="-"/>
    <s v=""/>
    <s v="03/01/2025 07:32"/>
    <s v="-"/>
    <s v="J&amp;T COD"/>
    <s v="Tiktok"/>
    <s v="จ่ายทีหลัง / COD"/>
    <s v=""/>
    <s v="754297265805"/>
    <s v="03/01/2025 07:32"/>
  </r>
  <r>
    <x v="1"/>
    <x v="1"/>
    <n v="200"/>
    <n v="1"/>
    <n v="0"/>
    <s v="EPT72"/>
    <n v="200"/>
    <n v="0"/>
    <s v="ร้านที่1"/>
    <s v="อ***ท์ ว***กัลหา"/>
    <s v="ลพบุรี"/>
    <s v="-"/>
    <s v=""/>
    <s v="03/01/2025 07:29"/>
    <s v="-"/>
    <s v="J&amp;T Express"/>
    <s v="Tiktok"/>
    <s v="tiktok"/>
    <s v=""/>
    <s v="754276069853"/>
    <s v="03/01/2025 07:29"/>
  </r>
  <r>
    <x v="1"/>
    <x v="1"/>
    <n v="200"/>
    <n v="1"/>
    <n v="0"/>
    <s v="EPT71"/>
    <n v="200"/>
    <n v="0"/>
    <s v="ร้านที่2"/>
    <s v="บ***โจ้"/>
    <s v="ประจวบคีรีขันธ์"/>
    <s v="-"/>
    <s v=""/>
    <s v="03/01/2025 07:27"/>
    <s v="-"/>
    <s v="J&amp;T COD"/>
    <s v="Tiktok"/>
    <s v="จ่ายทีหลัง / COD"/>
    <s v=""/>
    <s v="754204955884"/>
    <s v="03/01/2025 07:27"/>
  </r>
  <r>
    <x v="0"/>
    <x v="0"/>
    <n v="100"/>
    <n v="1"/>
    <n v="0"/>
    <s v="EPT69"/>
    <n v="100"/>
    <n v="0"/>
    <s v="ร้านที่1"/>
    <s v="ร***นภา  ว***รัสมี"/>
    <s v="นครสวรรค์"/>
    <s v="-"/>
    <s v=""/>
    <s v="03/01/2025 07:22"/>
    <s v="-"/>
    <s v="J&amp;T COD"/>
    <s v="Tiktok"/>
    <s v="จ่ายทีหลัง / COD"/>
    <s v=""/>
    <s v="754261741833"/>
    <s v="03/01/2025 07:23"/>
  </r>
  <r>
    <x v="3"/>
    <x v="3"/>
    <n v="100"/>
    <n v="1"/>
    <n v="0"/>
    <s v="EPT67"/>
    <n v="145"/>
    <n v="45"/>
    <s v="ร้านที่1"/>
    <s v="ม***นแซ่ลี"/>
    <s v="สุราษฎร์ธานี"/>
    <s v="-"/>
    <s v=""/>
    <s v="03/01/2025 07:13"/>
    <s v="-"/>
    <s v="J&amp;T COD"/>
    <s v="Tiktok"/>
    <s v="จ่ายทีหลัง / COD"/>
    <s v=""/>
    <s v="754202710833"/>
    <s v="03/01/2025 07:22"/>
  </r>
  <r>
    <x v="5"/>
    <x v="5"/>
    <n v="330"/>
    <n v="1"/>
    <n v="0"/>
    <s v="EPT64"/>
    <n v="330"/>
    <n v="0"/>
    <s v="ร้านที่2"/>
    <s v="ห***"/>
    <s v="เทศบาลนครนครราชสีมา"/>
    <s v="-"/>
    <s v=""/>
    <s v="03/01/2025 07:08"/>
    <s v="-"/>
    <s v="J&amp;T COD"/>
    <s v="Tiktok"/>
    <s v="จ่ายทีหลัง / COD"/>
    <s v=""/>
    <s v="754232388560"/>
    <s v="03/01/2025 07:11"/>
  </r>
  <r>
    <x v="1"/>
    <x v="1"/>
    <n v="200"/>
    <n v="1"/>
    <n v="0"/>
    <s v="EPT63"/>
    <n v="200"/>
    <n v="0"/>
    <s v="ร้านที่1"/>
    <s v="ห***ง   ท***ุข"/>
    <s v="กำแพงเพชร"/>
    <s v="-"/>
    <s v=""/>
    <s v="03/01/2025 07:02"/>
    <s v="-"/>
    <s v="J&amp;T COD"/>
    <s v="Tiktok"/>
    <s v="จ่ายทีหลัง / COD"/>
    <s v=""/>
    <s v="754213832643"/>
    <s v="03/01/2025 07:04"/>
  </r>
  <r>
    <x v="5"/>
    <x v="5"/>
    <n v="330"/>
    <n v="2"/>
    <n v="0"/>
    <s v="EPT62"/>
    <n v="660"/>
    <n v="0"/>
    <s v="ร้านที่2"/>
    <s v="น***ัศมี อ***วรทัต"/>
    <s v="นครราชสีมา"/>
    <s v="-"/>
    <s v=""/>
    <s v="03/01/2025 07:01"/>
    <s v="-"/>
    <s v="J&amp;T COD"/>
    <s v="Tiktok"/>
    <s v="จ่ายทีหลัง / COD"/>
    <s v=""/>
    <s v="754241889553"/>
    <s v="03/01/2025 07:01"/>
  </r>
  <r>
    <x v="9"/>
    <x v="4"/>
    <n v="100"/>
    <n v="2"/>
    <n v="0"/>
    <s v="EPT60"/>
    <n v="200"/>
    <n v="0"/>
    <s v="ร้านที่2"/>
    <s v="เ***พร น***ุช"/>
    <s v="สมุทรสาคร"/>
    <s v="-"/>
    <s v=""/>
    <s v="03/01/2025 06:58"/>
    <s v="-"/>
    <s v="J&amp;T COD"/>
    <s v="Tiktok"/>
    <s v="จ่ายทีหลัง / COD"/>
    <s v=""/>
    <s v="754206568511"/>
    <s v="03/01/2025 06:58"/>
  </r>
  <r>
    <x v="1"/>
    <x v="1"/>
    <n v="200"/>
    <n v="1"/>
    <n v="0"/>
    <s v="EPT59"/>
    <n v="200"/>
    <n v="0"/>
    <s v="ร้านที่1"/>
    <s v="พ***์นรี ต***้ว"/>
    <s v="นครราชสีมา"/>
    <s v="-"/>
    <s v=""/>
    <s v="03/01/2025 06:56"/>
    <s v="-"/>
    <s v="J&amp;T Express"/>
    <s v="Tiktok"/>
    <s v="tiktok"/>
    <s v=""/>
    <s v="754252638646"/>
    <s v="03/01/2025 06:56"/>
  </r>
  <r>
    <x v="3"/>
    <x v="8"/>
    <n v="84.18"/>
    <n v="1"/>
    <n v="0"/>
    <s v="EPT56"/>
    <n v="89.18"/>
    <n v="5"/>
    <s v="ร้านที่6"/>
    <s v="วิโชติ  คงคติธรรม"/>
    <s v="451/192  หมู่บ้านปัญฐิญา ซอยสุวินทวงศ์11 แขวงแสนแสบ_x000a__x000a_มีนบุรี/ Min Buriกรุงเทพมหานคร/ Bangkok_x000a_10510"/>
    <s v="10510"/>
    <s v="660845804097"/>
    <s v="03/01/2025 06:52"/>
    <s v="-"/>
    <s v="Kerry_dropoff"/>
    <s v="Lazada"/>
    <s v="lazada"/>
    <s v=""/>
    <s v="LEXPU0441117958"/>
    <s v="03/01/2025 06:52"/>
  </r>
  <r>
    <x v="5"/>
    <x v="5"/>
    <n v="330"/>
    <n v="1"/>
    <n v="0"/>
    <s v="EPT54"/>
    <n v="330"/>
    <n v="0"/>
    <s v="ร้านที่2"/>
    <s v="ฉ***าภรณ์ ว***ธิ์"/>
    <s v="เทศบาลนครสุราษฎร์ธานี"/>
    <s v="-"/>
    <s v=""/>
    <s v="03/01/2025 06:45"/>
    <s v="-"/>
    <s v="J&amp;T COD"/>
    <s v="Tiktok"/>
    <s v="จ่ายทีหลัง / COD"/>
    <s v=""/>
    <s v="754250786575"/>
    <s v="03/01/2025 06:45"/>
  </r>
  <r>
    <x v="5"/>
    <x v="5"/>
    <n v="350"/>
    <n v="1"/>
    <n v="0"/>
    <s v="EPT53"/>
    <n v="350"/>
    <n v="0"/>
    <s v="ร้านที่4"/>
    <s v="ป***ร ก***มาโมง"/>
    <s v="ชัยภูมิ"/>
    <s v="-"/>
    <s v=""/>
    <s v="03/01/2025 06:43"/>
    <s v="-"/>
    <s v="Flash Express Thailand COD"/>
    <s v="Tiktok"/>
    <s v="จ่ายทีหลัง / COD"/>
    <s v=""/>
    <s v="THT33051DSEMY4Z"/>
    <s v="03/01/2025 06:43"/>
  </r>
  <r>
    <x v="1"/>
    <x v="1"/>
    <n v="200"/>
    <n v="1"/>
    <n v="0"/>
    <s v="EPT51"/>
    <n v="200"/>
    <n v="0"/>
    <s v="ร้านที่1"/>
    <s v="ว***ะพันธ์ ท***ฉม"/>
    <s v="ชลบุรี"/>
    <s v="-"/>
    <s v=""/>
    <s v="03/01/2025 06:39"/>
    <s v="-"/>
    <s v="J&amp;T COD"/>
    <s v="Tiktok"/>
    <s v="จ่ายทีหลัง / COD"/>
    <s v=""/>
    <s v="754294630644"/>
    <s v="03/01/2025 06:39"/>
  </r>
  <r>
    <x v="24"/>
    <x v="26"/>
    <n v="450"/>
    <n v="1"/>
    <n v="0"/>
    <s v="EPT50"/>
    <n v="474"/>
    <n v="24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03/01/2025 06:36"/>
    <s v="-"/>
    <s v="Kerry_dropoff"/>
    <s v="Lazada"/>
    <s v="lazada"/>
    <s v=""/>
    <s v="LEXDO0123653449"/>
    <s v="03/01/2025 06:36"/>
  </r>
  <r>
    <x v="0"/>
    <x v="0"/>
    <n v="100"/>
    <n v="1"/>
    <n v="0"/>
    <s v="EPT49"/>
    <n v="100"/>
    <n v="0"/>
    <s v="ร้านที่2"/>
    <s v="ม***  ท***หลืองสุข"/>
    <s v="พระนครศรีอยุธยา"/>
    <s v="-"/>
    <s v=""/>
    <s v="03/01/2025 06:34"/>
    <s v="-"/>
    <s v="J&amp;T Express"/>
    <s v="Tiktok"/>
    <s v="tiktok"/>
    <s v=""/>
    <s v="754221030614"/>
    <s v="03/01/2025 06:34"/>
  </r>
  <r>
    <x v="3"/>
    <x v="3"/>
    <n v="100"/>
    <n v="3"/>
    <n v="0"/>
    <s v="EPT48"/>
    <n v="329"/>
    <n v="29"/>
    <s v="ร้านที่2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03/01/2025 07:03"/>
    <s v="-"/>
    <s v="SPX Express"/>
    <s v="Shopee"/>
    <s v="shopee"/>
    <s v=""/>
    <s v="TH252433122536M"/>
    <s v="03/01/2025 06:32"/>
  </r>
  <r>
    <x v="9"/>
    <x v="4"/>
    <n v="100"/>
    <n v="1"/>
    <n v="0"/>
    <s v="EPT47"/>
    <n v="106"/>
    <n v="6"/>
    <s v="ร้านที่1"/>
    <s v="ค***ลัยลักษณ์  ส***นดี"/>
    <s v="ศรีสะเกษ"/>
    <s v="-"/>
    <s v=""/>
    <s v="03/01/2025 06:11"/>
    <s v="-"/>
    <s v="J&amp;T Express"/>
    <s v="Tiktok"/>
    <s v="tiktok"/>
    <s v=""/>
    <s v="754297961550"/>
    <s v="03/01/2025 06:11"/>
  </r>
  <r>
    <x v="1"/>
    <x v="1"/>
    <n v="200"/>
    <n v="1"/>
    <n v="0"/>
    <s v="EPT46"/>
    <n v="200"/>
    <n v="0"/>
    <s v="ร้านที่1"/>
    <s v="ส***งคณา ศ***จริญ"/>
    <s v="นครนายก"/>
    <s v="-"/>
    <s v=""/>
    <s v="03/01/2025 06:07"/>
    <s v="-"/>
    <s v="J&amp;T COD"/>
    <s v="Tiktok"/>
    <s v="จ่ายทีหลัง / COD"/>
    <s v=""/>
    <s v="754272036641"/>
    <s v="03/01/2025 06:08"/>
  </r>
  <r>
    <x v="19"/>
    <x v="19"/>
    <n v="199"/>
    <n v="2"/>
    <n v="0"/>
    <s v="EPT45"/>
    <n v="398"/>
    <n v="0"/>
    <s v="ร้านที่1"/>
    <s v="จ******ง"/>
    <s v="******ะขามเตี้ย ตำบลมะขามเตี้ย อำเภอเมืองสุราษฎร์ธานี จังหวัดสุราษฎร์ธานี 84000"/>
    <s v="84000"/>
    <s v="11"/>
    <s v="03/01/2025 06:07"/>
    <s v="-"/>
    <s v="SPX Express"/>
    <s v="Shopee"/>
    <s v="shopee"/>
    <s v=""/>
    <s v="TH252659364336J"/>
    <s v="03/01/2025 06:06"/>
  </r>
  <r>
    <x v="3"/>
    <x v="3"/>
    <n v="150"/>
    <n v="1"/>
    <n v="0"/>
    <s v="EPT44"/>
    <n v="195"/>
    <n v="45"/>
    <s v="ร้านที่1"/>
    <s v="นาง แจ้ว บุตรดา"/>
    <s v="332/2 หมู่3 ตำบลวังแดง_x000a__x000a_ตรอน/ Tronอุตรดิตถ์/ Uttaradit_x000a_53140"/>
    <s v="53140"/>
    <s v="660961613935"/>
    <s v="03/01/2025 06:03"/>
    <s v="-"/>
    <s v="Kerry_dropoff"/>
    <s v="Lazada"/>
    <s v="lazada"/>
    <s v=""/>
    <s v="LEXPU0441121158"/>
    <s v="03/01/2025 06:03"/>
  </r>
  <r>
    <x v="0"/>
    <x v="0"/>
    <n v="100"/>
    <n v="1"/>
    <n v="0"/>
    <s v="EPT43"/>
    <n v="145"/>
    <n v="45"/>
    <s v="ร้านที่2"/>
    <s v="น***ภา ช***ชำนิ"/>
    <s v="สกลนคร"/>
    <s v="-"/>
    <s v=""/>
    <s v="03/01/2025 05:58"/>
    <s v="-"/>
    <s v="J&amp;T COD"/>
    <s v="Tiktok"/>
    <s v="จ่ายทีหลัง / COD"/>
    <s v=""/>
    <s v="754235928644"/>
    <s v="03/01/2025 05:58"/>
  </r>
  <r>
    <x v="19"/>
    <x v="19"/>
    <n v="199"/>
    <n v="1"/>
    <n v="0"/>
    <s v="EPT41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4"/>
    <s v="-"/>
    <s v="SPX Express"/>
    <s v="Shopee"/>
    <s v="shopee"/>
    <s v=""/>
    <s v="TH2575139468734"/>
    <s v="03/01/2025 05:44"/>
  </r>
  <r>
    <x v="19"/>
    <x v="19"/>
    <n v="199"/>
    <n v="1"/>
    <n v="0"/>
    <s v="EPT40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3"/>
    <s v="-"/>
    <s v="SPX Express"/>
    <s v="Shopee"/>
    <s v="shopee"/>
    <s v=""/>
    <s v="TH2526434845601"/>
    <s v="03/01/2025 05:43"/>
  </r>
  <r>
    <x v="19"/>
    <x v="19"/>
    <n v="199"/>
    <n v="1"/>
    <n v="0"/>
    <s v="EPT39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2"/>
    <s v="-"/>
    <s v="SPX Express"/>
    <s v="Shopee"/>
    <s v="shopee"/>
    <s v=""/>
    <s v="TH250783711832T"/>
    <s v="03/01/2025 05:42"/>
  </r>
  <r>
    <x v="19"/>
    <x v="19"/>
    <n v="199"/>
    <n v="1"/>
    <n v="0"/>
    <s v="EPT38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1"/>
    <s v="-"/>
    <s v="SPX Express"/>
    <s v="Shopee"/>
    <s v="shopee"/>
    <s v=""/>
    <s v="TH2516497196357"/>
    <s v="03/01/2025 05:41"/>
  </r>
  <r>
    <x v="19"/>
    <x v="19"/>
    <n v="199"/>
    <n v="1"/>
    <n v="0"/>
    <s v="EPT37"/>
    <n v="199"/>
    <n v="0"/>
    <s v="ร้านที่1"/>
    <s v="ศ******ส"/>
    <s v="******บ่อแร่ อำเภอโพธิ์ทอง จังหวัดอ่างทอง 14120"/>
    <s v="14120"/>
    <s v="07"/>
    <s v="03/01/2025 06:10"/>
    <s v="-"/>
    <s v="SPX Express"/>
    <s v="Shopee"/>
    <s v="shopee"/>
    <s v=""/>
    <s v="TH255441532027Z"/>
    <s v="03/01/2025 05:41"/>
  </r>
  <r>
    <x v="1"/>
    <x v="1"/>
    <n v="200"/>
    <n v="1"/>
    <n v="0"/>
    <s v="EPT36"/>
    <n v="200"/>
    <n v="0"/>
    <s v="ร้านที่1"/>
    <s v="จ***นา ก***ประโคน"/>
    <s v="เทศบาลเมืองบุรีรัมย์"/>
    <s v="-"/>
    <s v=""/>
    <s v="03/01/2025 05:38"/>
    <s v="-"/>
    <s v="J&amp;T COD"/>
    <s v="Tiktok"/>
    <s v="จ่ายทีหลัง / COD"/>
    <s v=""/>
    <s v="754226324622"/>
    <s v="03/01/2025 05:38"/>
  </r>
  <r>
    <x v="10"/>
    <x v="10"/>
    <n v="200"/>
    <n v="1"/>
    <n v="0"/>
    <s v="EPT35"/>
    <n v="200"/>
    <n v="0"/>
    <s v="ร้านที่4"/>
    <s v="อ***ัตน์  พ***ย"/>
    <s v="สกลนคร"/>
    <s v="-"/>
    <s v=""/>
    <s v="03/01/2025 05:34"/>
    <s v="-"/>
    <s v="Flash Express Thailand COD"/>
    <s v="Tiktok"/>
    <s v="จ่ายทีหลัง / COD"/>
    <s v=""/>
    <s v="THT44011DSN7N7Z"/>
    <s v="03/01/2025 05:34"/>
  </r>
  <r>
    <x v="10"/>
    <x v="10"/>
    <n v="200"/>
    <n v="1"/>
    <n v="0"/>
    <s v="EPT34"/>
    <n v="200"/>
    <n v="0"/>
    <s v="ร้านที่1"/>
    <s v="ธ***ยุทธ ส***ร"/>
    <s v="อุดรธานี"/>
    <s v="-"/>
    <s v=""/>
    <s v="03/01/2025 04:56"/>
    <s v="-"/>
    <s v="J&amp;T COD"/>
    <s v="Tiktok"/>
    <s v="จ่ายทีหลัง / COD"/>
    <s v=""/>
    <s v="754211700653"/>
    <s v="03/01/2025 04:56"/>
  </r>
  <r>
    <x v="3"/>
    <x v="3"/>
    <n v="138"/>
    <n v="1"/>
    <n v="0"/>
    <s v="EPT33"/>
    <n v="143"/>
    <n v="5"/>
    <s v="ร้านที่1"/>
    <s v="ธนัญญา พัฒนพงษ์"/>
    <s v="110   หมู่ 10 ต.หนองปรือ_x000a__x000a_พนัสนิคม/ Phanat Nikhomชลบุรี/ Chonburi_x000a_20140"/>
    <s v="20140"/>
    <s v="660925782659"/>
    <s v="03/01/2025 04:43"/>
    <s v="-"/>
    <s v="Kerry_dropoff"/>
    <s v="Lazada"/>
    <s v="lazada"/>
    <s v=""/>
    <s v="LEXPU0441121223"/>
    <s v="03/01/2025 04:43"/>
  </r>
  <r>
    <x v="0"/>
    <x v="0"/>
    <n v="100"/>
    <n v="2"/>
    <n v="0"/>
    <s v="EPT32"/>
    <n v="200"/>
    <n v="0"/>
    <s v="ร้านที่1"/>
    <s v="อ***ุมาลิน บ***ิน"/>
    <s v="ลพบุรี"/>
    <s v="-"/>
    <s v=""/>
    <s v="03/01/2025 04:31"/>
    <s v="-"/>
    <s v="J&amp;T COD"/>
    <s v="Tiktok"/>
    <s v="จ่ายทีหลัง / COD"/>
    <s v=""/>
    <s v="754217202642"/>
    <s v="03/01/2025 04:38"/>
  </r>
  <r>
    <x v="0"/>
    <x v="0"/>
    <n v="100"/>
    <n v="1"/>
    <n v="0"/>
    <s v="EPT31"/>
    <n v="106"/>
    <n v="6"/>
    <s v="ร้านที่2"/>
    <s v="ห***ชนก"/>
    <s v="ชลบุรี"/>
    <s v="-"/>
    <s v=""/>
    <s v="03/01/2025 04:08"/>
    <s v="-"/>
    <s v="J&amp;T Express"/>
    <s v="Tiktok"/>
    <s v="tiktok"/>
    <s v=""/>
    <s v="754222320692"/>
    <s v="03/01/2025 04:19"/>
  </r>
  <r>
    <x v="0"/>
    <x v="0"/>
    <n v="100"/>
    <n v="2"/>
    <n v="0"/>
    <s v="EPT28"/>
    <n v="200"/>
    <n v="0"/>
    <s v="ร้านที่1"/>
    <s v="P***thiphong B***am"/>
    <s v="ชัยภูมิ"/>
    <s v="-"/>
    <s v=""/>
    <s v="03/01/2025 03:17"/>
    <s v="-"/>
    <s v="J&amp;T COD"/>
    <s v="Tiktok"/>
    <s v="จ่ายทีหลัง / COD"/>
    <s v=""/>
    <s v="754246587522"/>
    <s v="03/01/2025 03:17"/>
  </r>
  <r>
    <x v="7"/>
    <x v="7"/>
    <n v="20"/>
    <n v="1"/>
    <n v="0"/>
    <s v="EPT27"/>
    <n v="20"/>
    <n v="0"/>
    <s v="ร้านที่1"/>
    <s v="รุจิสรร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6531649"/>
    <s v="03/01/2025 02:51"/>
    <s v="-"/>
    <s v="Kerry_dropoff"/>
    <s v="Lazada"/>
    <s v="lazada"/>
    <s v=""/>
    <s v="LEXPU0441100105"/>
    <s v="03/01/2025 02:50"/>
  </r>
  <r>
    <x v="7"/>
    <x v="7"/>
    <n v="0.95"/>
    <n v="1"/>
    <n v="0"/>
    <s v="EPT26"/>
    <n v="0.95"/>
    <n v="0"/>
    <s v="ร้านที่1"/>
    <s v="รุจิสรร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6534649"/>
    <s v="03/01/2025 02:46"/>
    <s v="-"/>
    <s v="Kerry_dropoff"/>
    <s v="Lazada"/>
    <s v="lazada"/>
    <s v=""/>
    <s v="LEXPU0441100579"/>
    <s v="03/01/2025 02:46"/>
  </r>
  <r>
    <x v="13"/>
    <x v="30"/>
    <n v="213.75"/>
    <n v="1"/>
    <n v="0"/>
    <s v="EPT25"/>
    <n v="451.5"/>
    <n v="24"/>
    <s v="ร้านที่9"/>
    <s v="พิเชษฐ ฮ้องหาญ"/>
    <s v="บ้านเหล่าเจริญ 290 ม.8( ร้านเครื่องเขียนกองหนุน) บ้านเหล่าเจริญ ต.ห้วยหลัว_x000a__x000a_บ้านม่วง/ Ban Muangสกลนคร/ Sakon Nakhon_x000a_47140"/>
    <s v="47140"/>
    <s v="660931521789"/>
    <s v="03/01/2025 02:42"/>
    <s v="-"/>
    <s v="Kerry_dropoff"/>
    <s v="Lazada"/>
    <s v="lazada"/>
    <s v=""/>
    <s v="TH44106NBSHN2F"/>
    <s v="03/01/2025 02:42"/>
  </r>
  <r>
    <x v="13"/>
    <x v="30"/>
    <n v="213.75"/>
    <n v="1"/>
    <n v="0"/>
    <s v="EPT25"/>
    <n v="451.5"/>
    <n v="24"/>
    <s v="ร้านที่9"/>
    <s v="พิเชษฐ ฮ้องหาญ"/>
    <s v="บ้านเหล่าเจริญ 290 ม.8( ร้านเครื่องเขียนกองหนุน) บ้านเหล่าเจริญ ต.ห้วยหลัว_x000a__x000a_บ้านม่วง/ Ban Muangสกลนคร/ Sakon Nakhon_x000a_47140"/>
    <s v="47140"/>
    <s v="660931521789"/>
    <s v="03/01/2025 02:42"/>
    <s v="-"/>
    <s v="Kerry_dropoff"/>
    <s v="Lazada"/>
    <s v="lazada"/>
    <s v=""/>
    <s v="TH44106NBSHN2F"/>
    <s v="03/01/2025 02:42"/>
  </r>
  <r>
    <x v="3"/>
    <x v="3"/>
    <n v="100"/>
    <n v="1"/>
    <n v="0"/>
    <s v="EPT23"/>
    <n v="103"/>
    <n v="3"/>
    <s v="ร้านที่2"/>
    <s v="ญ******ง"/>
    <s v="******ะโก, อำเภอทุ่งตะโก ตำบลตะโก อำเภอทุ่งตะโก จังหวัดชุมพร 86220"/>
    <s v="86220"/>
    <s v="63"/>
    <s v="03/01/2025 02:42"/>
    <s v="-"/>
    <s v="Flash Express"/>
    <s v="Shopee"/>
    <s v="shopee"/>
    <s v=""/>
    <s v="TH70086ND3829C"/>
    <s v="03/01/2025 02:12"/>
  </r>
  <r>
    <x v="0"/>
    <x v="0"/>
    <n v="150"/>
    <n v="2"/>
    <n v="0"/>
    <s v="EPT22"/>
    <n v="370"/>
    <n v="0"/>
    <s v="ร้านที่2"/>
    <s v="น******า"/>
    <s v="******อุทิศ69 แขวงทุ่งครุ เขตทุ่งครุ จังหวัดกรุงเทพมหานคร 10140"/>
    <s v="10140"/>
    <s v="09"/>
    <s v="03/01/2025 02:11"/>
    <s v="-"/>
    <s v="SPX Express"/>
    <s v="Shopee"/>
    <s v="shopee"/>
    <s v=""/>
    <s v="TH2517133776411"/>
    <s v="03/01/2025 02:11"/>
  </r>
  <r>
    <x v="0"/>
    <x v="0"/>
    <n v="100"/>
    <n v="1"/>
    <n v="0"/>
    <s v="EPT21"/>
    <n v="106"/>
    <n v="6"/>
    <s v="ร้านที่1"/>
    <s v="ศ***พิชญ์ ท***ย์ประเทือง"/>
    <s v="ชลบุรี"/>
    <s v="-"/>
    <s v=""/>
    <s v="03/01/2025 01:50"/>
    <s v="-"/>
    <s v="J&amp;T Express"/>
    <s v="Tiktok"/>
    <s v="tiktok"/>
    <s v=""/>
    <s v="754289329662"/>
    <s v="03/01/2025 02:11"/>
  </r>
  <r>
    <x v="6"/>
    <x v="6"/>
    <n v="199"/>
    <n v="1"/>
    <n v="0"/>
    <s v="EPT20"/>
    <n v="247"/>
    <n v="48"/>
    <s v="ร้านที่1"/>
    <s v="ร******น"/>
    <s v="******นเสรีไทย แขวงคลองกุ่ม แขวงคลองกุ่ม เขตบึงกุ่ม จังหวัดกรุงเทพมหานคร 10240"/>
    <s v="10240"/>
    <s v="35"/>
    <s v="03/01/2025 02:43"/>
    <s v="-"/>
    <s v="SPX Express"/>
    <s v="Shopee"/>
    <s v="shopee"/>
    <s v=""/>
    <s v="TH257171294988W"/>
    <s v="03/01/2025 02:09"/>
  </r>
  <r>
    <x v="7"/>
    <x v="7"/>
    <n v="74.400000000000006"/>
    <n v="1"/>
    <n v="0"/>
    <s v="EPT19"/>
    <n v="153.80000000000001"/>
    <n v="5"/>
    <s v="ร้านที่1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3/01/2025 01:58"/>
    <s v="-"/>
    <s v="Kerry_dropoff"/>
    <s v="Lazada"/>
    <s v="lazada"/>
    <s v=""/>
    <s v="LEXPU0441099469"/>
    <s v="03/01/2025 01:58"/>
  </r>
  <r>
    <x v="7"/>
    <x v="7"/>
    <n v="74.400000000000006"/>
    <n v="1"/>
    <n v="0"/>
    <s v="EPT19"/>
    <n v="153.80000000000001"/>
    <n v="5"/>
    <s v="ร้านที่1"/>
    <s v="รุ่งนภา ไกรอ่อน"/>
    <s v="เลขที่ 78/9 ซอยเสรีไทย 31 แขวงคลองกุ่ม_x000a__x000a_บึงกุ่ม/ Bueng Kumกรุงเทพมหานคร/ Bangkok_x000a_10240"/>
    <s v="10240"/>
    <s v="660944385935"/>
    <s v="03/01/2025 01:58"/>
    <s v="-"/>
    <s v="Kerry_dropoff"/>
    <s v="Lazada"/>
    <s v="lazada"/>
    <s v=""/>
    <s v="LEXPU0441099469"/>
    <s v="03/01/2025 01:58"/>
  </r>
  <r>
    <x v="3"/>
    <x v="3"/>
    <n v="100"/>
    <n v="2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9"/>
    <x v="4"/>
    <n v="150"/>
    <n v="2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19"/>
    <x v="19"/>
    <n v="197"/>
    <n v="1"/>
    <n v="0"/>
    <s v="EPT18"/>
    <n v="697"/>
    <n v="0"/>
    <s v="ร้านที่2"/>
    <s v="ว******)"/>
    <s v="******หาชน ซ.ชัยพฤกษ์ แขวง/เขตตลื่งขชัน แขวงฉิมพลี เขตตลิ่งชัน จังหวัดกรุงเทพมหานคร 10170"/>
    <s v="10170"/>
    <s v="13"/>
    <s v="03/01/2025 01:48"/>
    <s v="-"/>
    <s v="SPX Express"/>
    <s v="Shopee"/>
    <s v="shopee"/>
    <s v=""/>
    <s v="TH250044619078H"/>
    <s v="03/01/2025 01:48"/>
  </r>
  <r>
    <x v="3"/>
    <x v="3"/>
    <n v="100"/>
    <n v="1"/>
    <n v="0"/>
    <s v="EPT17"/>
    <n v="510"/>
    <n v="0"/>
    <s v="ร้านที่2"/>
    <s v="น******า"/>
    <s v="******อุทิศ69 แขวงทุ่งครุ เขตทุ่งครุ จังหวัดกรุงเทพมหานคร 10140"/>
    <s v="10140"/>
    <s v="09"/>
    <s v="03/01/2025 01:48"/>
    <s v="-"/>
    <s v="SPX Express"/>
    <s v="Shopee"/>
    <s v="shopee"/>
    <s v=""/>
    <s v="TH257299830574A"/>
    <s v="03/01/2025 01:48"/>
  </r>
  <r>
    <x v="0"/>
    <x v="0"/>
    <n v="100"/>
    <n v="1"/>
    <n v="0"/>
    <s v="EPT16"/>
    <n v="106"/>
    <n v="6"/>
    <s v="ร้านที่1"/>
    <s v="ณ***ดา  แ***จำรัส"/>
    <s v="นครราชสีมา"/>
    <s v="-"/>
    <s v=""/>
    <s v="03/01/2025 01:29"/>
    <s v="-"/>
    <s v="J&amp;T COD"/>
    <s v="Tiktok"/>
    <s v="จ่ายทีหลัง / COD"/>
    <s v=""/>
    <s v="754267839636"/>
    <s v="03/01/2025 01:40"/>
  </r>
  <r>
    <x v="1"/>
    <x v="1"/>
    <n v="200"/>
    <n v="1"/>
    <n v="0"/>
    <s v="EPT15"/>
    <n v="200"/>
    <n v="0"/>
    <s v="ร้านที่1"/>
    <s v="น***กษณ์  ศ***ุช"/>
    <s v="นครสวรรค์"/>
    <s v="-"/>
    <s v=""/>
    <s v="03/01/2025 01:29"/>
    <s v="-"/>
    <s v="J&amp;T COD"/>
    <s v="Tiktok"/>
    <s v="จ่ายทีหลัง / COD"/>
    <s v=""/>
    <s v="754231523673"/>
    <s v="03/01/2025 01:40"/>
  </r>
  <r>
    <x v="0"/>
    <x v="0"/>
    <n v="100"/>
    <n v="1"/>
    <n v="0"/>
    <s v="EPT14"/>
    <n v="106"/>
    <n v="6"/>
    <s v="ร้านที่1"/>
    <s v="บ***ากร ส***รณ์สิน"/>
    <s v="ปทุมธานี"/>
    <s v="-"/>
    <s v=""/>
    <s v="03/01/2025 01:31"/>
    <s v="-"/>
    <s v="J&amp;T COD"/>
    <s v="Tiktok"/>
    <s v="จ่ายทีหลัง / COD"/>
    <s v=""/>
    <s v="754233324670"/>
    <s v="03/01/2025 01:40"/>
  </r>
  <r>
    <x v="0"/>
    <x v="0"/>
    <n v="100"/>
    <n v="1"/>
    <n v="0"/>
    <s v="EPT13"/>
    <n v="100"/>
    <n v="0"/>
    <s v="ร้านที่1"/>
    <s v="ม***"/>
    <s v="พิษณุโลก"/>
    <s v="-"/>
    <s v=""/>
    <s v="03/01/2025 01:32"/>
    <s v="-"/>
    <s v="J&amp;T COD"/>
    <s v="Tiktok"/>
    <s v="จ่ายทีหลัง / COD"/>
    <s v=""/>
    <s v="754230033616"/>
    <s v="03/01/2025 01:40"/>
  </r>
  <r>
    <x v="1"/>
    <x v="1"/>
    <n v="200"/>
    <n v="1"/>
    <n v="0"/>
    <s v="EPT12"/>
    <n v="200"/>
    <n v="0"/>
    <s v="ร้านที่1"/>
    <s v="น**"/>
    <s v="กรุงเทพฯ"/>
    <s v="-"/>
    <s v=""/>
    <s v="03/01/2025 01:03"/>
    <s v="-"/>
    <s v="J&amp;T Express"/>
    <s v="Tiktok"/>
    <s v="tiktok"/>
    <s v=""/>
    <s v="754285036621"/>
    <s v="03/01/2025 01:08"/>
  </r>
  <r>
    <x v="13"/>
    <x v="30"/>
    <n v="150.66999999999999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13"/>
    <x v="30"/>
    <n v="150.66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13"/>
    <x v="30"/>
    <n v="150.66999999999999"/>
    <n v="1"/>
    <n v="0"/>
    <s v="EPT11"/>
    <n v="491"/>
    <n v="39"/>
    <s v="ร้านที่9"/>
    <s v="ดวงใจ ด้วงศรีทอง"/>
    <s v="ศาลอุทธรณ์ภาค 1 (ส่วนนิติการ ชั้น 3) เลขที่ 101 หมู่ที่ 10 ซอยคชสาร (จารุศร) ถนนพหลโยธิน ตำบลคลองหนึ่ง_x000a__x000a_คลองหลวง/ Khlong Luangปทุมธานี/ Pathum Thani_x000a_12120"/>
    <s v="12120"/>
    <s v="660815149579"/>
    <s v="03/01/2025 01:05"/>
    <s v="-"/>
    <s v="Kerry_dropoff"/>
    <s v="Lazada"/>
    <s v="lazada"/>
    <s v=""/>
    <s v="LEXDO0123656739"/>
    <s v="03/01/2025 01:02"/>
  </r>
  <r>
    <x v="0"/>
    <x v="0"/>
    <n v="100"/>
    <n v="1"/>
    <n v="0"/>
    <s v="EPT9"/>
    <n v="100"/>
    <n v="0"/>
    <s v="ร้านที่1"/>
    <s v="ส***ุนี"/>
    <s v="พระนครศรีอยุธยา"/>
    <s v="-"/>
    <s v=""/>
    <s v="03/01/2025 00:52"/>
    <s v="-"/>
    <s v="J&amp;T Express"/>
    <s v="Tiktok"/>
    <s v="tiktok"/>
    <s v=""/>
    <s v="754207435612"/>
    <s v="03/01/2025 00:53"/>
  </r>
  <r>
    <x v="0"/>
    <x v="0"/>
    <n v="100"/>
    <n v="1"/>
    <n v="0"/>
    <s v="EPT8"/>
    <n v="106"/>
    <n v="6"/>
    <s v="ร้านที่1"/>
    <s v="น** ว***วดี ก***นทา"/>
    <s v="จังหวัดนครศรีธรรมราช"/>
    <s v="-"/>
    <s v=""/>
    <s v="03/01/2025 00:51"/>
    <s v="-"/>
    <s v="J&amp;T COD"/>
    <s v="Tiktok"/>
    <s v="จ่ายทีหลัง / COD"/>
    <s v=""/>
    <s v="754283434634"/>
    <s v="03/01/2025 00:53"/>
  </r>
  <r>
    <x v="0"/>
    <x v="0"/>
    <n v="100"/>
    <n v="1"/>
    <n v="0"/>
    <s v="EPT7"/>
    <n v="100"/>
    <n v="0"/>
    <s v="ร้านที่2"/>
    <s v="อ*** ไ***ำราญ"/>
    <s v="สมุทรสาคร"/>
    <s v="-"/>
    <s v=""/>
    <s v="03/01/2025 00:49"/>
    <s v="-"/>
    <s v="J&amp;T COD"/>
    <s v="Tiktok"/>
    <s v="จ่ายทีหลัง / COD"/>
    <s v=""/>
    <s v="754261720671"/>
    <s v="03/01/2025 00:52"/>
  </r>
  <r>
    <x v="24"/>
    <x v="26"/>
    <n v="521.5"/>
    <n v="1"/>
    <n v="0"/>
    <s v="EPT6"/>
    <n v="545.5"/>
    <n v="24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3/01/2025 00:51"/>
    <s v="-"/>
    <s v="Kerry_dropoff"/>
    <s v="Lazada"/>
    <s v="lazada"/>
    <s v=""/>
    <s v="LEXDO0123653468"/>
    <s v="03/01/2025 00:51"/>
  </r>
  <r>
    <x v="19"/>
    <x v="19"/>
    <n v="199"/>
    <n v="1"/>
    <n v="0"/>
    <s v="EPT5"/>
    <n v="228"/>
    <n v="29"/>
    <s v="ร้านที่1"/>
    <s v="ธ******า"/>
    <s v="******นหมี่ จ.ลพบุรี ตำบลเชียงงา อำเภอบ้านหมี่ จังหวัดลพบุรี 15110"/>
    <s v="15110"/>
    <s v="45"/>
    <s v="03/01/2025 02:03"/>
    <s v="-"/>
    <s v="SPX Express"/>
    <s v="Shopee"/>
    <s v="shopee"/>
    <s v=""/>
    <s v="TH252389324538Z"/>
    <s v="03/01/2025 00:50"/>
  </r>
  <r>
    <x v="3"/>
    <x v="8"/>
    <n v="84"/>
    <n v="1"/>
    <n v="0"/>
    <s v="EPT4"/>
    <n v="168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3/01/2025 00:49"/>
    <s v="-"/>
    <s v="Kerry_dropoff"/>
    <s v="Lazada"/>
    <s v="lazada"/>
    <s v=""/>
    <s v="LEXPU0441105503"/>
    <s v="03/01/2025 00:49"/>
  </r>
  <r>
    <x v="3"/>
    <x v="8"/>
    <n v="84"/>
    <n v="1"/>
    <n v="0"/>
    <s v="EPT4"/>
    <n v="168"/>
    <n v="0"/>
    <s v="ร้านที่6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3/01/2025 00:49"/>
    <s v="-"/>
    <s v="Kerry_dropoff"/>
    <s v="Lazada"/>
    <s v="lazada"/>
    <s v=""/>
    <s v="LEXPU0441105503"/>
    <s v="03/01/2025 00:49"/>
  </r>
  <r>
    <x v="3"/>
    <x v="3"/>
    <n v="150"/>
    <n v="2"/>
    <n v="0"/>
    <s v="EPT2"/>
    <n v="563"/>
    <n v="64"/>
    <s v="ร้านที่1"/>
    <s v="น******ง"/>
    <s v="******ขันเงิน อ.หลังสวน จ.ชุมพร ตำบลขันเงิน อำเภอหลังสวน จังหวัดชุมพร 86110"/>
    <s v="86110"/>
    <s v="65"/>
    <s v="03/01/2025 00:48"/>
    <s v="-"/>
    <s v="SPX Express"/>
    <s v="Shopee"/>
    <s v="shopee"/>
    <s v=""/>
    <s v="TH253532130687Z"/>
    <s v="03/01/2025 00:48"/>
  </r>
  <r>
    <x v="19"/>
    <x v="19"/>
    <n v="199"/>
    <n v="1"/>
    <n v="0"/>
    <s v="EPT2"/>
    <n v="563"/>
    <n v="64"/>
    <s v="ร้านที่1"/>
    <s v="น******ง"/>
    <s v="******ขันเงิน อ.หลังสวน จ.ชุมพร ตำบลขันเงิน อำเภอหลังสวน จังหวัดชุมพร 86110"/>
    <s v="86110"/>
    <s v="65"/>
    <s v="03/01/2025 00:48"/>
    <s v="-"/>
    <s v="SPX Express"/>
    <s v="Shopee"/>
    <s v="shopee"/>
    <s v=""/>
    <s v="TH253532130687Z"/>
    <s v="03/01/2025 00:48"/>
  </r>
  <r>
    <x v="19"/>
    <x v="19"/>
    <n v="197"/>
    <n v="1"/>
    <n v="0"/>
    <s v="EPS98"/>
    <n v="242"/>
    <n v="45"/>
    <s v="ร้านที่2"/>
    <s v="น******า"/>
    <s v="******เพอร์เฟค พีค, ตำบล เหมือง, อำเภอเมืองชลบุรี ตำบลเหมือง อำเภอเมืองชลบุรี จังหวัดชลบุรี 20130"/>
    <s v="20130"/>
    <s v="89"/>
    <s v="03/01/2025 00:41"/>
    <s v="-"/>
    <s v="SPX Express"/>
    <s v="Shopee"/>
    <s v="shopee"/>
    <s v=""/>
    <s v="TH254698869366X"/>
    <s v="03/01/2025 00:41"/>
  </r>
  <r>
    <x v="19"/>
    <x v="19"/>
    <n v="197"/>
    <n v="1"/>
    <n v="0"/>
    <s v="EPS97"/>
    <n v="242"/>
    <n v="45"/>
    <s v="ร้านที่2"/>
    <s v="ม******า"/>
    <s v="******5 ต.เหมือง ตำบลเหมือง อำเภอเมืองชลบุรี จังหวัดชลบุรี 20130"/>
    <s v="20130"/>
    <s v="60"/>
    <s v="03/01/2025 00:41"/>
    <s v="-"/>
    <s v="SPX Express"/>
    <s v="Shopee"/>
    <s v="shopee"/>
    <s v=""/>
    <s v="TH258661373195D"/>
    <s v="03/01/2025 00:41"/>
  </r>
  <r>
    <x v="19"/>
    <x v="19"/>
    <n v="230"/>
    <n v="2"/>
    <n v="0"/>
    <s v="EPS96"/>
    <n v="489"/>
    <n v="29"/>
    <s v="ร้านที่2"/>
    <s v="ส******์"/>
    <s v="****** หมู่ที่ 3, ตำบลบ้านลี่, อำเภอบางปะหัน ตำบลบ้านลี่ อำเภอบางปะหัน จังหวัดพระนครศรีอยุธยา 13220"/>
    <s v="13220"/>
    <s v="93"/>
    <s v="03/01/2025 00:41"/>
    <s v="-"/>
    <s v="SPX Express"/>
    <s v="Shopee"/>
    <s v="shopee"/>
    <s v=""/>
    <s v="TH2576732620080"/>
    <s v="03/01/2025 00:41"/>
  </r>
  <r>
    <x v="0"/>
    <x v="0"/>
    <n v="100"/>
    <n v="1"/>
    <n v="0"/>
    <s v="EPS95"/>
    <n v="106"/>
    <n v="6"/>
    <s v="ร้านที่1"/>
    <s v="ส***พร  บ***ชิด"/>
    <s v="ชลบุรี"/>
    <s v="-"/>
    <s v=""/>
    <s v="03/01/2025 00:20"/>
    <s v="-"/>
    <s v="J&amp;T COD"/>
    <s v="Tiktok"/>
    <s v="จ่ายทีหลัง / COD"/>
    <s v=""/>
    <s v="754214436625"/>
    <s v="03/01/2025 00:41"/>
  </r>
  <r>
    <x v="0"/>
    <x v="0"/>
    <n v="100"/>
    <n v="1"/>
    <n v="0"/>
    <s v="EPS94"/>
    <n v="145"/>
    <n v="0"/>
    <s v="ร้านที่1"/>
    <s v="ก***ร พ***พิ่ม"/>
    <s v="พระนครศรีอยุธยา"/>
    <s v="-"/>
    <s v=""/>
    <s v="03/01/2025 00:21"/>
    <s v="-"/>
    <s v="J&amp;T Express"/>
    <s v="Tiktok"/>
    <s v="tiktok"/>
    <s v=""/>
    <s v="754236871500"/>
    <s v="03/01/2025 00:40"/>
  </r>
  <r>
    <x v="1"/>
    <x v="1"/>
    <n v="200"/>
    <n v="1"/>
    <n v="0"/>
    <s v="EPS93"/>
    <n v="200"/>
    <n v="0"/>
    <s v="ร้านที่1"/>
    <s v="ร***ซ่อมมอไซค์แยก 4"/>
    <s v="ปทุมธานี"/>
    <s v="-"/>
    <s v=""/>
    <s v="03/01/2025 00:21"/>
    <s v="-"/>
    <s v="J&amp;T COD"/>
    <s v="Tiktok"/>
    <s v="จ่ายทีหลัง / COD"/>
    <s v=""/>
    <s v="754221235633"/>
    <s v="03/01/2025 00:40"/>
  </r>
  <r>
    <x v="0"/>
    <x v="0"/>
    <n v="100"/>
    <n v="1"/>
    <n v="0"/>
    <s v="EPS92"/>
    <n v="106"/>
    <n v="6"/>
    <s v="ร้านที่1"/>
    <s v="น***าวณัฐพร  เ***แจ้ง"/>
    <s v="ชลบุรี"/>
    <s v="-"/>
    <s v=""/>
    <s v="03/01/2025 00:22"/>
    <s v="-"/>
    <s v="J&amp;T COD"/>
    <s v="Tiktok"/>
    <s v="จ่ายทีหลัง / COD"/>
    <s v=""/>
    <s v="754224924655"/>
    <s v="03/01/2025 00:40"/>
  </r>
  <r>
    <x v="0"/>
    <x v="0"/>
    <n v="100"/>
    <n v="1"/>
    <n v="0"/>
    <s v="EPS91"/>
    <n v="145"/>
    <n v="45"/>
    <s v="ร้านที่1"/>
    <s v="ว***ัย   แ***ตียว"/>
    <s v="กรุงเทพฯ"/>
    <s v="-"/>
    <s v=""/>
    <s v="03/01/2025 00:23"/>
    <s v="-"/>
    <s v="J&amp;T COD"/>
    <s v="Tiktok"/>
    <s v="จ่ายทีหลัง / COD"/>
    <s v=""/>
    <s v="754279633601"/>
    <s v="03/01/2025 00:40"/>
  </r>
  <r>
    <x v="1"/>
    <x v="1"/>
    <n v="200"/>
    <n v="1"/>
    <n v="0"/>
    <s v="EPS90"/>
    <n v="200"/>
    <n v="0"/>
    <s v="ร้านที่1"/>
    <s v="ส***สินี ว***ย"/>
    <s v="ชลบุรี"/>
    <s v="-"/>
    <s v=""/>
    <s v="03/01/2025 00:27"/>
    <s v="-"/>
    <s v="J&amp;T COD"/>
    <s v="Tiktok"/>
    <s v="จ่ายทีหลัง / COD"/>
    <s v=""/>
    <s v="754297526662"/>
    <s v="03/01/2025 00:40"/>
  </r>
  <r>
    <x v="0"/>
    <x v="0"/>
    <n v="100"/>
    <n v="1"/>
    <n v="0"/>
    <s v="EPS89"/>
    <n v="106"/>
    <n v="6"/>
    <s v="ร้านที่1"/>
    <s v="ส***ณ โ***ล"/>
    <s v="Samut Prakan"/>
    <s v="-"/>
    <s v=""/>
    <s v="03/01/2025 00:30"/>
    <s v="-"/>
    <s v="J&amp;T Express"/>
    <s v="Tiktok"/>
    <s v="tiktok"/>
    <s v=""/>
    <s v="754245721633"/>
    <s v="03/01/2025 00:40"/>
  </r>
  <r>
    <x v="0"/>
    <x v="0"/>
    <n v="100"/>
    <n v="1"/>
    <n v="0"/>
    <s v="EPS88"/>
    <n v="106"/>
    <n v="6"/>
    <s v="ร้านที่1"/>
    <s v="ก***ิโชค  แ***ง้ว"/>
    <s v="กรุงเทพฯ"/>
    <s v="-"/>
    <s v=""/>
    <s v="03/01/2025 00:33"/>
    <s v="-"/>
    <s v="J&amp;T COD"/>
    <s v="Tiktok"/>
    <s v="จ่ายทีหลัง / COD"/>
    <s v=""/>
    <s v="754210835674"/>
    <s v="03/01/2025 00:40"/>
  </r>
  <r>
    <x v="1"/>
    <x v="1"/>
    <n v="200"/>
    <n v="1"/>
    <n v="0"/>
    <s v="EPS87"/>
    <n v="200"/>
    <n v="0"/>
    <s v="ร้านที่1"/>
    <s v="พ***ษฐ์ ย***อง"/>
    <s v="พระนครศรีอยุธยา"/>
    <s v="-"/>
    <s v=""/>
    <s v="03/01/2025 00:35"/>
    <s v="-"/>
    <s v="J&amp;T COD"/>
    <s v="Tiktok"/>
    <s v="จ่ายทีหลัง / COD"/>
    <s v=""/>
    <s v="754247726676"/>
    <s v="03/01/2025 00:40"/>
  </r>
  <r>
    <x v="0"/>
    <x v="0"/>
    <n v="100"/>
    <n v="1"/>
    <n v="0"/>
    <s v="EPS86"/>
    <n v="106"/>
    <n v="6"/>
    <s v="ร้านที่1"/>
    <s v="อ***พร ส***ินทร์"/>
    <s v="เทศบาลนครสุราษฎร์ธานี"/>
    <s v="-"/>
    <s v=""/>
    <s v="03/01/2025 00:37"/>
    <s v="-"/>
    <s v="J&amp;T COD"/>
    <s v="Tiktok"/>
    <s v="จ่ายทีหลัง / COD"/>
    <s v=""/>
    <s v="754202927693"/>
    <s v="03/01/2025 00:40"/>
  </r>
  <r>
    <x v="33"/>
    <x v="43"/>
    <n v="330"/>
    <n v="1"/>
    <n v="0"/>
    <s v="EPS85"/>
    <n v="330"/>
    <n v="0"/>
    <s v="ร้านที่4"/>
    <s v="ส***สา ก***ือก"/>
    <s v="กรุงเทพฯ"/>
    <s v="-"/>
    <s v=""/>
    <s v="03/01/2025 00:04"/>
    <s v="-"/>
    <s v="Flash Express Thailand"/>
    <s v="Tiktok"/>
    <s v="tiktok"/>
    <s v=""/>
    <s v="THT01301DSJF40Z"/>
    <s v="03/01/2025 00:20"/>
  </r>
  <r>
    <x v="0"/>
    <x v="0"/>
    <n v="100"/>
    <n v="1"/>
    <n v="0"/>
    <s v="EPS84"/>
    <n v="100"/>
    <n v="0"/>
    <s v="ร้านที่2"/>
    <s v="น***ถ"/>
    <s v="สมุทรสาคร"/>
    <s v="-"/>
    <s v=""/>
    <s v="03/01/2025 00:11"/>
    <s v="-"/>
    <s v="J&amp;T COD"/>
    <s v="Tiktok"/>
    <s v="จ่ายทีหลัง / COD"/>
    <s v=""/>
    <s v="754271920640"/>
    <s v="03/01/2025 00:18"/>
  </r>
  <r>
    <x v="0"/>
    <x v="0"/>
    <n v="100"/>
    <n v="1"/>
    <n v="0"/>
    <s v="EPS81"/>
    <n v="100"/>
    <n v="0"/>
    <s v="ร้านที่2"/>
    <s v="ป***ศา ภ***ฉาย"/>
    <s v="พระนครศรีอยุธยา"/>
    <s v="-"/>
    <s v=""/>
    <s v="03/01/2025 00:16"/>
    <s v="-"/>
    <s v="J&amp;T COD"/>
    <s v="Tiktok"/>
    <s v="จ่ายทีหลัง / COD"/>
    <s v=""/>
    <s v="754289231603"/>
    <s v="03/01/2025 00:17"/>
  </r>
  <r>
    <x v="3"/>
    <x v="3"/>
    <n v="100"/>
    <n v="2"/>
    <n v="0"/>
    <s v="EPS78"/>
    <n v="245"/>
    <n v="45"/>
    <s v="ร้านที่2"/>
    <s v="อ******์"/>
    <s v="******ู่3 ซ.22 ต.บึงยี่โถ ตำบลบึงยี่โถ อำเภอธัญบุรี จังหวัดปทุมธานี 12130"/>
    <s v="12130"/>
    <s v="72"/>
    <s v="03/01/2025 00:02"/>
    <s v="-"/>
    <s v="SPX Express"/>
    <s v="Shopee"/>
    <s v="shopee"/>
    <s v=""/>
    <s v="TH2567788741690"/>
    <s v="03/01/2025 00:02"/>
  </r>
  <r>
    <x v="0"/>
    <x v="0"/>
    <n v="100"/>
    <n v="1"/>
    <n v="0"/>
    <s v="EPS77"/>
    <n v="106"/>
    <n v="6"/>
    <s v="ร้านที่2"/>
    <s v="น** ศ***านันท์ ร***ิยม"/>
    <s v="นครศรีธรรมราช"/>
    <s v="-"/>
    <s v=""/>
    <s v="02/01/2025 23:59"/>
    <s v="-"/>
    <s v="J&amp;T COD"/>
    <s v="Tiktok"/>
    <s v="จ่ายทีหลัง / COD"/>
    <s v=""/>
    <s v="754209327631"/>
    <s v="03/01/2025 00:00"/>
  </r>
  <r>
    <x v="0"/>
    <x v="0"/>
    <n v="100"/>
    <n v="1"/>
    <n v="0"/>
    <s v="EPS76"/>
    <n v="106"/>
    <n v="6"/>
    <s v="ร้านที่1"/>
    <s v="ฐ***รี​ย์​ ส***ิวัฒนากุล"/>
    <s v="อุดรธานี"/>
    <s v="-"/>
    <s v=""/>
    <s v="02/01/2025 23:56"/>
    <s v="-"/>
    <s v="J&amp;T COD"/>
    <s v="Tiktok"/>
    <s v="จ่ายทีหลัง / COD"/>
    <s v=""/>
    <s v="754257608661"/>
    <s v="02/01/2025 23:56"/>
  </r>
  <r>
    <x v="0"/>
    <x v="0"/>
    <n v="100"/>
    <n v="1"/>
    <n v="0"/>
    <s v="EPS75"/>
    <n v="106"/>
    <n v="6"/>
    <s v="ร้านที่1"/>
    <s v="จ***พร ส***ปณะ"/>
    <s v="สงขลา"/>
    <s v="-"/>
    <s v=""/>
    <s v="02/01/2025 23:56"/>
    <s v="-"/>
    <s v="J&amp;T COD"/>
    <s v="Tiktok"/>
    <s v="จ่ายทีหลัง / COD"/>
    <s v=""/>
    <s v="754212118645"/>
    <s v="02/01/2025 23:56"/>
  </r>
  <r>
    <x v="1"/>
    <x v="1"/>
    <n v="200"/>
    <n v="1"/>
    <n v="0"/>
    <s v="EPS74"/>
    <n v="200"/>
    <n v="0"/>
    <s v="ร้านที่1"/>
    <s v="ป***า"/>
    <s v="อุตรดิตถ์"/>
    <s v="-"/>
    <s v=""/>
    <s v="02/01/2025 23:55"/>
    <s v="-"/>
    <s v="J&amp;T COD"/>
    <s v="Tiktok"/>
    <s v="จ่ายทีหลัง / COD"/>
    <s v=""/>
    <s v="754292234614"/>
    <s v="02/01/2025 23:55"/>
  </r>
  <r>
    <x v="0"/>
    <x v="0"/>
    <n v="100"/>
    <n v="1"/>
    <n v="0"/>
    <s v="EPS73"/>
    <n v="106"/>
    <n v="6"/>
    <s v="ร้านที่1"/>
    <s v="อ***าพ ภ***ีนาค"/>
    <s v="มหาสารคาม"/>
    <s v="-"/>
    <s v=""/>
    <s v="02/01/2025 23:51"/>
    <s v="-"/>
    <s v="J&amp;T COD"/>
    <s v="Tiktok"/>
    <s v="จ่ายทีหลัง / COD"/>
    <s v=""/>
    <s v="754267624611"/>
    <s v="02/01/2025 23:52"/>
  </r>
  <r>
    <x v="0"/>
    <x v="0"/>
    <n v="100"/>
    <n v="5"/>
    <n v="0"/>
    <s v="EPS72"/>
    <n v="500"/>
    <n v="0"/>
    <s v="ร้านที่2"/>
    <s v="ค***รงวิทย์"/>
    <s v="กรุงเทพฯ"/>
    <s v="-"/>
    <s v=""/>
    <s v="02/01/2025 23:49"/>
    <s v="-"/>
    <s v="J&amp;T COD"/>
    <s v="Tiktok"/>
    <s v="จ่ายทีหลัง / COD"/>
    <s v=""/>
    <s v="754223070521"/>
    <s v="02/01/2025 23:49"/>
  </r>
  <r>
    <x v="0"/>
    <x v="0"/>
    <n v="100"/>
    <n v="1"/>
    <n v="0"/>
    <s v="EPS71"/>
    <n v="106"/>
    <n v="6"/>
    <s v="ร้านที่2"/>
    <s v="ธ*** ท***องคำ"/>
    <s v="ภูเก็ต"/>
    <s v="-"/>
    <s v=""/>
    <s v="02/01/2025 23:48"/>
    <s v="-"/>
    <s v="J&amp;T COD"/>
    <s v="Tiktok"/>
    <s v="จ่ายทีหลัง / COD"/>
    <s v=""/>
    <s v="754264913640"/>
    <s v="02/01/2025 23:48"/>
  </r>
  <r>
    <x v="3"/>
    <x v="8"/>
    <n v="105"/>
    <n v="1"/>
    <n v="0"/>
    <s v="EPS70"/>
    <n v="155"/>
    <n v="5"/>
    <s v="ร้านที่6"/>
    <s v="นงนภัส สุขจิตต์นิรันดร"/>
    <s v="Wat Ban Mai วัดบ้านมาย 29/3หมู่7 ต.วังเงิน อ.แม่ทะ จ.ลำปาง 52150 · วังเงิน/ Wang Ngoen_x000a__x000a_แม่ทะ/ Mae Thaลำปาง/ Lampang_x000a_52150"/>
    <s v="52150"/>
    <s v="660629165625"/>
    <s v="02/01/2025 23:47"/>
    <s v="-"/>
    <s v="Kerry_dropoff"/>
    <s v="Lazada"/>
    <s v="lazada"/>
    <s v=""/>
    <s v="TH49106NBZ5R6I"/>
    <s v="02/01/2025 23:47"/>
  </r>
  <r>
    <x v="0"/>
    <x v="0"/>
    <n v="100"/>
    <n v="1"/>
    <n v="0"/>
    <s v="EPS68"/>
    <n v="100"/>
    <n v="0"/>
    <s v="ร้านที่1"/>
    <s v="น***สงี่ยม  เ***รไม่คลาย"/>
    <s v="อุทัยธานี"/>
    <s v="-"/>
    <s v=""/>
    <s v="02/01/2025 23:45"/>
    <s v="-"/>
    <s v="J&amp;T COD"/>
    <s v="Tiktok"/>
    <s v="จ่ายทีหลัง / COD"/>
    <s v=""/>
    <s v="754277510641"/>
    <s v="02/01/2025 23:45"/>
  </r>
  <r>
    <x v="0"/>
    <x v="0"/>
    <n v="100"/>
    <n v="1"/>
    <n v="0"/>
    <s v="EPS67"/>
    <n v="106"/>
    <n v="6"/>
    <s v="ร้านที่2"/>
    <s v="แ**"/>
    <s v="ชลบุรี"/>
    <s v="-"/>
    <s v=""/>
    <s v="02/01/2025 23:44"/>
    <s v="-"/>
    <s v="J&amp;T COD"/>
    <s v="Tiktok"/>
    <s v="จ่ายทีหลัง / COD"/>
    <s v=""/>
    <s v="754254427625"/>
    <s v="02/01/2025 23:44"/>
  </r>
  <r>
    <x v="5"/>
    <x v="5"/>
    <n v="330"/>
    <n v="1"/>
    <n v="0"/>
    <s v="EPS65"/>
    <n v="330"/>
    <n v="0"/>
    <s v="ร้านที่1"/>
    <s v="ธ***พร ถ***นา"/>
    <s v="ภูเก็ต"/>
    <s v="-"/>
    <s v=""/>
    <s v="02/01/2025 23:38"/>
    <s v="-"/>
    <s v="J&amp;T COD"/>
    <s v="Tiktok"/>
    <s v="จ่ายทีหลัง / COD"/>
    <s v=""/>
    <s v="754247696521"/>
    <s v="02/01/2025 23:38"/>
  </r>
  <r>
    <x v="0"/>
    <x v="0"/>
    <n v="100"/>
    <n v="2"/>
    <n v="0"/>
    <s v="EPS64"/>
    <n v="206"/>
    <n v="6"/>
    <s v="ร้านที่1"/>
    <s v="ค** ส***ิโชค บ***ลบ"/>
    <s v="ชลบุรี"/>
    <s v="-"/>
    <s v=""/>
    <s v="02/01/2025 23:36"/>
    <s v="-"/>
    <s v="J&amp;T Express"/>
    <s v="Tiktok"/>
    <s v="tiktok"/>
    <s v=""/>
    <s v="754210818605"/>
    <s v="02/01/2025 23:36"/>
  </r>
  <r>
    <x v="3"/>
    <x v="3"/>
    <n v="100"/>
    <n v="1"/>
    <n v="0"/>
    <s v="EPS62"/>
    <n v="100"/>
    <n v="0"/>
    <s v="ร้านที่2"/>
    <s v="น******ร"/>
    <s v="******7, ตำบลหนองม่วง, อำเภอหนองม่วง ตำบลหนองม่วง อำเภอหนองม่วง จังหวัดลพบุรี 15170"/>
    <s v="15170"/>
    <s v="38"/>
    <s v="03/01/2025 00:24"/>
    <s v="-"/>
    <s v="SPX Express"/>
    <s v="Shopee"/>
    <s v="shopee"/>
    <s v=""/>
    <s v="TH253298415943O"/>
    <s v="02/01/2025 23:34"/>
  </r>
  <r>
    <x v="0"/>
    <x v="0"/>
    <n v="100"/>
    <n v="2"/>
    <n v="0"/>
    <s v="EPS61"/>
    <n v="200"/>
    <n v="0"/>
    <s v="ร้านที่2"/>
    <s v="ห***งฤทัย เ***ขัน"/>
    <s v="พิษณุโลก"/>
    <s v="-"/>
    <s v=""/>
    <s v="02/01/2025 23:34"/>
    <s v="-"/>
    <s v="J&amp;T COD"/>
    <s v="Tiktok"/>
    <s v="จ่ายทีหลัง / COD"/>
    <s v=""/>
    <s v="754250213603"/>
    <s v="02/01/2025 23:34"/>
  </r>
  <r>
    <x v="0"/>
    <x v="0"/>
    <n v="100"/>
    <n v="1"/>
    <n v="0"/>
    <s v="EPS59"/>
    <n v="106"/>
    <n v="6"/>
    <s v="ร้านที่1"/>
    <s v="ค***ัญฑัต อ***โช"/>
    <s v="เทศบาลนครนครศรีธรรมราช"/>
    <s v="-"/>
    <s v=""/>
    <s v="02/01/2025 23:29"/>
    <s v="-"/>
    <s v="J&amp;T COD"/>
    <s v="Tiktok"/>
    <s v="จ่ายทีหลัง / COD"/>
    <s v=""/>
    <s v="754204718654"/>
    <s v="02/01/2025 23:29"/>
  </r>
  <r>
    <x v="0"/>
    <x v="0"/>
    <n v="100"/>
    <n v="2"/>
    <n v="0"/>
    <s v="EPS58"/>
    <n v="200"/>
    <n v="0"/>
    <s v="ร้านที่2"/>
    <s v="น***ุบลรัตน์ ค***นธ์"/>
    <s v="สมุทรสงคราม"/>
    <s v="-"/>
    <s v=""/>
    <s v="02/01/2025 23:28"/>
    <s v="-"/>
    <s v="J&amp;T COD"/>
    <s v="Tiktok"/>
    <s v="จ่ายทีหลัง / COD"/>
    <s v=""/>
    <s v="754260086591"/>
    <s v="02/01/2025 23:29"/>
  </r>
  <r>
    <x v="9"/>
    <x v="4"/>
    <n v="100"/>
    <n v="3"/>
    <n v="0"/>
    <s v="EPS57"/>
    <n v="300"/>
    <n v="0"/>
    <s v="ร้านที่2"/>
    <s v="M**"/>
    <s v="สุราษฎร์ธานี"/>
    <s v="-"/>
    <s v=""/>
    <s v="02/01/2025 23:28"/>
    <s v="-"/>
    <s v="J&amp;T COD"/>
    <s v="Tiktok"/>
    <s v="จ่ายทีหลัง / COD"/>
    <s v=""/>
    <s v="754232264590"/>
    <s v="02/01/2025 23:29"/>
  </r>
  <r>
    <x v="5"/>
    <x v="5"/>
    <n v="330"/>
    <n v="1"/>
    <n v="0"/>
    <s v="EPS54"/>
    <n v="330"/>
    <n v="0"/>
    <s v="ร้านที่1"/>
    <s v="น***น ก***้ว"/>
    <s v="นครศรีธรรมราช"/>
    <s v="-"/>
    <s v=""/>
    <s v="02/01/2025 23:24"/>
    <s v="-"/>
    <s v="J&amp;T COD"/>
    <s v="Tiktok"/>
    <s v="จ่ายทีหลัง / COD"/>
    <s v=""/>
    <s v="754238297525"/>
    <s v="02/01/2025 23:24"/>
  </r>
  <r>
    <x v="0"/>
    <x v="0"/>
    <n v="100"/>
    <n v="2"/>
    <n v="0"/>
    <s v="EPS53"/>
    <n v="200"/>
    <n v="0"/>
    <s v="ร้านที่1"/>
    <s v="ก***นัย ม***มี"/>
    <s v="พิจิตร"/>
    <s v="-"/>
    <s v=""/>
    <s v="02/01/2025 23:23"/>
    <s v="-"/>
    <s v="J&amp;T COD"/>
    <s v="Tiktok"/>
    <s v="จ่ายทีหลัง / COD"/>
    <s v=""/>
    <s v="754225109632"/>
    <s v="02/01/2025 23:23"/>
  </r>
  <r>
    <x v="0"/>
    <x v="0"/>
    <n v="100"/>
    <n v="2"/>
    <n v="0"/>
    <s v="EPS52"/>
    <n v="200"/>
    <n v="0"/>
    <s v="ร้านที่2"/>
    <s v="ร***ตุ๊กตา"/>
    <s v="นครปฐม"/>
    <s v="-"/>
    <s v=""/>
    <s v="02/01/2025 23:23"/>
    <s v="-"/>
    <s v="J&amp;T COD"/>
    <s v="Tiktok"/>
    <s v="จ่ายทีหลัง / COD"/>
    <s v=""/>
    <s v="754268808694"/>
    <s v="02/01/2025 23:23"/>
  </r>
  <r>
    <x v="0"/>
    <x v="0"/>
    <n v="100"/>
    <n v="1"/>
    <n v="0"/>
    <s v="EPS51"/>
    <n v="106"/>
    <n v="6"/>
    <s v="ร้านที่1"/>
    <s v="ส***ิง น***สียง"/>
    <s v="สมุทรปราการ"/>
    <s v="-"/>
    <s v=""/>
    <s v="02/01/2025 23:22"/>
    <s v="-"/>
    <s v="J&amp;T COD"/>
    <s v="Tiktok"/>
    <s v="จ่ายทีหลัง / COD"/>
    <s v=""/>
    <s v="754221905640"/>
    <s v="02/01/2025 23:22"/>
  </r>
  <r>
    <x v="0"/>
    <x v="0"/>
    <n v="100"/>
    <n v="1"/>
    <n v="0"/>
    <s v="EPS50"/>
    <n v="106"/>
    <n v="6"/>
    <s v="ร้านที่1"/>
    <s v="ก***ิธัช ห***งบุญ"/>
    <s v="กรุงเทพฯ"/>
    <s v="-"/>
    <s v=""/>
    <s v="02/01/2025 23:22"/>
    <s v="-"/>
    <s v="J&amp;T COD"/>
    <s v="Tiktok"/>
    <s v="จ่ายทีหลัง / COD"/>
    <s v=""/>
    <s v="754217819600"/>
    <s v="02/01/2025 23:22"/>
  </r>
  <r>
    <x v="1"/>
    <x v="1"/>
    <n v="200"/>
    <n v="1"/>
    <n v="0"/>
    <s v="EPS49"/>
    <n v="200"/>
    <n v="0"/>
    <s v="ร้านที่1"/>
    <s v="โ***ุดา  ส***ระกูล"/>
    <s v="สุราษฎร์ธานี"/>
    <s v="-"/>
    <s v=""/>
    <s v="02/01/2025 23:20"/>
    <s v="-"/>
    <s v="J&amp;T Express"/>
    <s v="Tiktok"/>
    <s v="tiktok"/>
    <s v=""/>
    <s v="754291237615"/>
    <s v="02/01/2025 23:21"/>
  </r>
  <r>
    <x v="9"/>
    <x v="4"/>
    <n v="100"/>
    <n v="1"/>
    <n v="0"/>
    <s v="EPS46"/>
    <n v="106"/>
    <n v="6"/>
    <s v="ร้านที่1"/>
    <s v="ฟ***ค"/>
    <s v="เลย"/>
    <s v="-"/>
    <s v=""/>
    <s v="02/01/2025 23:20"/>
    <s v="-"/>
    <s v="J&amp;T COD"/>
    <s v="Tiktok"/>
    <s v="จ่ายทีหลัง / COD"/>
    <s v=""/>
    <s v="754212661576"/>
    <s v="02/01/2025 23:20"/>
  </r>
  <r>
    <x v="0"/>
    <x v="0"/>
    <n v="100"/>
    <n v="1"/>
    <n v="0"/>
    <s v="EPS43"/>
    <n v="106"/>
    <n v="6"/>
    <s v="ร้านที่1"/>
    <s v="น***ัตชนก แ***เมือง"/>
    <s v="ประจวบคีรีขันธ์"/>
    <s v="-"/>
    <s v=""/>
    <s v="02/01/2025 23:17"/>
    <s v="-"/>
    <s v="J&amp;T COD"/>
    <s v="Tiktok"/>
    <s v="จ่ายทีหลัง / COD"/>
    <s v=""/>
    <s v="754208505632"/>
    <s v="02/01/2025 23:17"/>
  </r>
  <r>
    <x v="5"/>
    <x v="5"/>
    <n v="330"/>
    <n v="1"/>
    <n v="0"/>
    <s v="EPS42"/>
    <n v="330"/>
    <n v="0"/>
    <s v="ร้านที่2"/>
    <s v="น*** ส***ศิริ"/>
    <s v="ศรีสะเกษ"/>
    <s v="-"/>
    <s v=""/>
    <s v="02/01/2025 23:15"/>
    <s v="-"/>
    <s v="J&amp;T Express"/>
    <s v="Tiktok"/>
    <s v="tiktok"/>
    <s v=""/>
    <s v="754293184573"/>
    <s v="02/01/2025 23:15"/>
  </r>
  <r>
    <x v="0"/>
    <x v="0"/>
    <n v="100"/>
    <n v="1"/>
    <n v="0"/>
    <s v="EPS41"/>
    <n v="100"/>
    <n v="0"/>
    <s v="ร้านที่2"/>
    <s v="ส***ร แ***ึ้ง"/>
    <s v="ลพบุรี"/>
    <s v="-"/>
    <s v=""/>
    <s v="02/01/2025 23:15"/>
    <s v="-"/>
    <s v="J&amp;T COD"/>
    <s v="Tiktok"/>
    <s v="จ่ายทีหลัง / COD"/>
    <s v=""/>
    <s v="754286214603"/>
    <s v="02/01/2025 23:15"/>
  </r>
  <r>
    <x v="1"/>
    <x v="1"/>
    <n v="200"/>
    <n v="1"/>
    <n v="0"/>
    <s v="EPS40"/>
    <n v="200"/>
    <n v="0"/>
    <s v="ร้านที่1"/>
    <s v="ค***วงพรพิทักษ์รณชัย"/>
    <s v="นครราชสีมา"/>
    <s v="-"/>
    <s v=""/>
    <s v="02/01/2025 23:12"/>
    <s v="-"/>
    <s v="J&amp;T COD"/>
    <s v="Tiktok"/>
    <s v="จ่ายทีหลัง / COD"/>
    <s v=""/>
    <s v="754286921640"/>
    <s v="02/01/2025 23:12"/>
  </r>
  <r>
    <x v="0"/>
    <x v="0"/>
    <n v="100"/>
    <n v="1"/>
    <n v="0"/>
    <s v="EPS39"/>
    <n v="106"/>
    <n v="6"/>
    <s v="ร้านที่1"/>
    <s v="ค***ุ่งสัรีย์ แ***ัน"/>
    <s v="ชลบุรี"/>
    <s v="-"/>
    <s v=""/>
    <s v="02/01/2025 23:12"/>
    <s v="-"/>
    <s v="J&amp;T COD"/>
    <s v="Tiktok"/>
    <s v="จ่ายทีหลัง / COD"/>
    <s v=""/>
    <s v="754248192596"/>
    <s v="02/01/2025 23:12"/>
  </r>
  <r>
    <x v="0"/>
    <x v="0"/>
    <n v="100"/>
    <n v="2"/>
    <n v="0"/>
    <s v="EPS38"/>
    <n v="200"/>
    <n v="0"/>
    <s v="ร้านที่1"/>
    <s v="ส*** ห***ล"/>
    <s v="ตราด"/>
    <s v="-"/>
    <s v=""/>
    <s v="02/01/2025 23:09"/>
    <s v="-"/>
    <s v="J&amp;T COD"/>
    <s v="Tiktok"/>
    <s v="จ่ายทีหลัง / COD"/>
    <s v=""/>
    <s v="754277689513"/>
    <s v="02/01/2025 23:10"/>
  </r>
  <r>
    <x v="3"/>
    <x v="3"/>
    <n v="100"/>
    <n v="1"/>
    <n v="0"/>
    <s v="EPS37"/>
    <n v="600"/>
    <n v="0"/>
    <s v="ร้านที่2"/>
    <s v="ป***ม"/>
    <s v="กรุงเทพมหานคร"/>
    <s v="-"/>
    <s v=""/>
    <s v="02/01/2025 23:09"/>
    <s v="-"/>
    <s v="J&amp;T Express"/>
    <s v="Tiktok"/>
    <s v="tiktok"/>
    <s v=""/>
    <s v="754214648600"/>
    <s v="02/01/2025 23:09"/>
  </r>
  <r>
    <x v="58"/>
    <x v="11"/>
    <n v="250"/>
    <n v="2"/>
    <n v="0"/>
    <s v="EPS37"/>
    <n v="600"/>
    <n v="0"/>
    <s v="ร้านที่2"/>
    <s v="ป***ม"/>
    <s v="กรุงเทพมหานคร"/>
    <s v="-"/>
    <s v=""/>
    <s v="02/01/2025 23:09"/>
    <s v="-"/>
    <s v="J&amp;T Express"/>
    <s v="Tiktok"/>
    <s v="tiktok"/>
    <s v=""/>
    <s v="754214648600"/>
    <s v="02/01/2025 23:09"/>
  </r>
  <r>
    <x v="0"/>
    <x v="0"/>
    <n v="100"/>
    <n v="1"/>
    <n v="0"/>
    <s v="EPS36"/>
    <n v="106"/>
    <n v="6"/>
    <s v="ร้านที่1"/>
    <s v="จ***ิมา จ***ร์คำ"/>
    <s v="ชลบุรี"/>
    <s v="-"/>
    <s v=""/>
    <s v="02/01/2025 23:08"/>
    <s v="-"/>
    <s v="J&amp;T COD"/>
    <s v="Tiktok"/>
    <s v="จ่ายทีหลัง / COD"/>
    <s v=""/>
    <s v="754294203666"/>
    <s v="02/01/2025 23:08"/>
  </r>
  <r>
    <x v="0"/>
    <x v="0"/>
    <n v="100"/>
    <n v="2"/>
    <n v="0"/>
    <s v="EPS35"/>
    <n v="200"/>
    <n v="0"/>
    <s v="ร้านที่1"/>
    <s v="ช***กาญจน์ ม***้ว"/>
    <s v="พิจิตร"/>
    <s v="-"/>
    <s v=""/>
    <s v="02/01/2025 23:07"/>
    <s v="-"/>
    <s v="J&amp;T Express"/>
    <s v="Tiktok"/>
    <s v="tiktok"/>
    <s v=""/>
    <s v="754228689513"/>
    <s v="02/01/2025 23:07"/>
  </r>
  <r>
    <x v="0"/>
    <x v="0"/>
    <n v="100"/>
    <n v="1"/>
    <n v="0"/>
    <s v="EPS34"/>
    <n v="106"/>
    <n v="6"/>
    <s v="ร้านที่1"/>
    <s v="อ***ลิกา ส***สน"/>
    <s v="ชลบุรี"/>
    <s v="-"/>
    <s v=""/>
    <s v="02/01/2025 23:06"/>
    <s v="-"/>
    <s v="J&amp;T COD"/>
    <s v="Tiktok"/>
    <s v="จ่ายทีหลัง / COD"/>
    <s v=""/>
    <s v="754266999592"/>
    <s v="02/01/2025 23:06"/>
  </r>
  <r>
    <x v="0"/>
    <x v="0"/>
    <n v="100"/>
    <n v="2"/>
    <n v="0"/>
    <s v="EPS33"/>
    <n v="200"/>
    <n v="0"/>
    <s v="ร้านที่2"/>
    <s v="ข***ฐา"/>
    <s v="ระยอง"/>
    <s v="-"/>
    <s v=""/>
    <s v="02/01/2025 23:06"/>
    <s v="-"/>
    <s v="J&amp;T COD"/>
    <s v="Tiktok"/>
    <s v="จ่ายทีหลัง / COD"/>
    <s v=""/>
    <s v="754229179546"/>
    <s v="02/01/2025 23:06"/>
  </r>
  <r>
    <x v="0"/>
    <x v="0"/>
    <n v="100"/>
    <n v="1"/>
    <n v="0"/>
    <s v="EPS32"/>
    <n v="100"/>
    <n v="0"/>
    <s v="ร้านที่1"/>
    <s v="ว***า ใ***น"/>
    <s v="นครสวรรค์"/>
    <s v="-"/>
    <s v=""/>
    <s v="02/01/2025 23:05"/>
    <s v="-"/>
    <s v="J&amp;T Express"/>
    <s v="Tiktok"/>
    <s v="tiktok"/>
    <s v=""/>
    <s v="754223830662"/>
    <s v="02/01/2025 23:05"/>
  </r>
  <r>
    <x v="0"/>
    <x v="0"/>
    <n v="100"/>
    <n v="1"/>
    <n v="0"/>
    <s v="EPS31"/>
    <n v="106"/>
    <n v="6"/>
    <s v="ร้านที่4"/>
    <s v="พ***ินทร์ ส***ิชุม0659490637"/>
    <s v="ร้อยเอ็ด"/>
    <s v="-"/>
    <s v=""/>
    <s v="02/01/2025 23:05"/>
    <s v="-"/>
    <s v="Flash Express Thailand COD"/>
    <s v="Tiktok"/>
    <s v="จ่ายทีหลัง / COD"/>
    <s v=""/>
    <s v="THT42101DS75D7Z"/>
    <s v="02/01/2025 23:05"/>
  </r>
  <r>
    <x v="0"/>
    <x v="0"/>
    <n v="100"/>
    <n v="1"/>
    <n v="0"/>
    <s v="EPS30"/>
    <n v="106"/>
    <n v="6"/>
    <s v="ร้านที่2"/>
    <s v="จ***มาศ จ***รีกระยอม"/>
    <s v="มหาสารคาม"/>
    <s v="-"/>
    <s v=""/>
    <s v="02/01/2025 23:03"/>
    <s v="-"/>
    <s v="J&amp;T COD"/>
    <s v="Tiktok"/>
    <s v="จ่ายทีหลัง / COD"/>
    <s v=""/>
    <s v="754272035661"/>
    <s v="02/01/2025 23:04"/>
  </r>
  <r>
    <x v="0"/>
    <x v="0"/>
    <n v="100"/>
    <n v="5"/>
    <n v="0"/>
    <s v="EPS29"/>
    <n v="500"/>
    <n v="0"/>
    <s v="ร้านที่4"/>
    <s v="ป**"/>
    <s v="พัทลุง"/>
    <s v="-"/>
    <s v=""/>
    <s v="02/01/2025 23:00"/>
    <s v="-"/>
    <s v="Flash Express Thailand COD"/>
    <s v="Tiktok"/>
    <s v="จ่ายทีหลัง / COD"/>
    <s v=""/>
    <s v="THT74041DS6S05Z"/>
    <s v="02/01/2025 23:00"/>
  </r>
  <r>
    <x v="0"/>
    <x v="0"/>
    <n v="100"/>
    <n v="1"/>
    <n v="0"/>
    <s v="EPS28"/>
    <n v="106"/>
    <n v="6"/>
    <s v="ร้านที่1"/>
    <s v="อ***ราภรณ์ ไ***ล"/>
    <s v="เชียงใหม่"/>
    <s v="-"/>
    <s v=""/>
    <s v="02/01/2025 22:58"/>
    <s v="-"/>
    <s v="J&amp;T COD"/>
    <s v="Tiktok"/>
    <s v="จ่ายทีหลัง / COD"/>
    <s v=""/>
    <s v="754232435666"/>
    <s v="02/01/2025 22:58"/>
  </r>
  <r>
    <x v="0"/>
    <x v="0"/>
    <n v="100"/>
    <n v="1"/>
    <n v="0"/>
    <s v="EPS27"/>
    <n v="106"/>
    <n v="6"/>
    <s v="ร้านที่1"/>
    <s v="แ** ร***ตาจุก"/>
    <s v="กรุงเทพมหานคร"/>
    <s v="-"/>
    <s v=""/>
    <s v="02/01/2025 22:56"/>
    <s v="-"/>
    <s v="J&amp;T COD"/>
    <s v="Tiktok"/>
    <s v="จ่ายทีหลัง / COD"/>
    <s v=""/>
    <s v="754251839666"/>
    <s v="02/01/2025 22:56"/>
  </r>
  <r>
    <x v="1"/>
    <x v="1"/>
    <n v="200"/>
    <n v="1"/>
    <n v="0"/>
    <s v="EPS26"/>
    <n v="200"/>
    <n v="0"/>
    <s v="ร้านที่1"/>
    <s v="อ***ยา เ***งสุข"/>
    <s v="อำนาจเจริญ"/>
    <s v="-"/>
    <s v=""/>
    <s v="02/01/2025 22:56"/>
    <s v="-"/>
    <s v="J&amp;T COD"/>
    <s v="Tiktok"/>
    <s v="จ่ายทีหลัง / COD"/>
    <s v=""/>
    <s v="754299520682"/>
    <s v="02/01/2025 22:56"/>
  </r>
  <r>
    <x v="33"/>
    <x v="43"/>
    <n v="330"/>
    <n v="1"/>
    <n v="0"/>
    <s v="EPS25"/>
    <n v="330"/>
    <n v="0"/>
    <s v="ร้านที่1"/>
    <s v="เ***ยบ"/>
    <s v="สมุทรปราการ"/>
    <s v="-"/>
    <s v=""/>
    <s v="02/01/2025 22:54"/>
    <s v="-"/>
    <s v="J&amp;T Express"/>
    <s v="Tiktok"/>
    <s v="tiktok"/>
    <s v=""/>
    <s v="754258438566"/>
    <s v="02/01/2025 22:54"/>
  </r>
  <r>
    <x v="5"/>
    <x v="5"/>
    <n v="350"/>
    <n v="1"/>
    <n v="0"/>
    <s v="EPS24"/>
    <n v="350"/>
    <n v="0"/>
    <s v="ร้านที่4"/>
    <s v="เ***ยบ"/>
    <s v="สมุทรปราการ"/>
    <s v="-"/>
    <s v=""/>
    <s v="02/01/2025 22:54"/>
    <s v="-"/>
    <s v="Flash Express Thailand"/>
    <s v="Tiktok"/>
    <s v="tiktok"/>
    <s v=""/>
    <s v="THT02061DS1W99Z"/>
    <s v="02/01/2025 22:54"/>
  </r>
  <r>
    <x v="0"/>
    <x v="0"/>
    <n v="100"/>
    <n v="1"/>
    <n v="0"/>
    <s v="EPS23"/>
    <n v="100"/>
    <n v="0"/>
    <s v="ร้านที่1"/>
    <s v="ส***รณษา พ***งาม"/>
    <s v="อ่างทอง"/>
    <s v="-"/>
    <s v=""/>
    <s v="02/01/2025 22:54"/>
    <s v="-"/>
    <s v="J&amp;T COD"/>
    <s v="Tiktok"/>
    <s v="จ่ายทีหลัง / COD"/>
    <s v=""/>
    <s v="754278523692"/>
    <s v="02/01/2025 22:54"/>
  </r>
  <r>
    <x v="0"/>
    <x v="0"/>
    <n v="100"/>
    <n v="1"/>
    <n v="0"/>
    <s v="EPS22"/>
    <n v="106"/>
    <n v="6"/>
    <s v="ร้านที่2"/>
    <s v="น***สร ท***ลอด"/>
    <s v="อำนาจเจริญ"/>
    <s v="-"/>
    <s v=""/>
    <s v="02/01/2025 22:53"/>
    <s v="-"/>
    <s v="J&amp;T COD"/>
    <s v="Tiktok"/>
    <s v="จ่ายทีหลัง / COD"/>
    <s v=""/>
    <s v="754297728693"/>
    <s v="02/01/2025 22:53"/>
  </r>
  <r>
    <x v="0"/>
    <x v="0"/>
    <n v="100"/>
    <n v="1"/>
    <n v="0"/>
    <s v="EPS21"/>
    <n v="106"/>
    <n v="6"/>
    <s v="ร้านที่2"/>
    <s v="ส***รัตน์ น***ุล"/>
    <s v="เทศบาลนครสุราษฎร์ธานี"/>
    <s v="-"/>
    <s v=""/>
    <s v="02/01/2025 22:52"/>
    <s v="-"/>
    <s v="J&amp;T COD"/>
    <s v="Tiktok"/>
    <s v="จ่ายทีหลัง / COD"/>
    <s v=""/>
    <s v="754243633662"/>
    <s v="02/01/2025 22:52"/>
  </r>
  <r>
    <x v="0"/>
    <x v="0"/>
    <n v="100"/>
    <n v="1"/>
    <n v="0"/>
    <s v="EPS20"/>
    <n v="100"/>
    <n v="0"/>
    <s v="ร้านที่1"/>
    <s v="จ***ค์  ช***ชม"/>
    <s v="สระบุรี"/>
    <s v="-"/>
    <s v=""/>
    <s v="02/01/2025 22:53"/>
    <s v="-"/>
    <s v="J&amp;T Express"/>
    <s v="Tiktok"/>
    <s v="tiktok"/>
    <s v=""/>
    <s v="754244231661"/>
    <s v="02/01/2025 22:52"/>
  </r>
  <r>
    <x v="0"/>
    <x v="0"/>
    <n v="100"/>
    <n v="1"/>
    <n v="0"/>
    <s v="EPS19"/>
    <n v="200"/>
    <n v="0"/>
    <s v="ร้านที่1"/>
    <s v="ป***ิดา ไ***าตย์"/>
    <s v="อุดรธานี"/>
    <s v="-"/>
    <s v=""/>
    <s v="02/01/2025 22:52"/>
    <s v="-"/>
    <s v="J&amp;T Express"/>
    <s v="Tiktok"/>
    <s v="tiktok"/>
    <s v=""/>
    <s v="754285768526"/>
    <s v="02/01/2025 22:51"/>
  </r>
  <r>
    <x v="9"/>
    <x v="4"/>
    <n v="100"/>
    <n v="1"/>
    <n v="0"/>
    <s v="EPS19"/>
    <n v="200"/>
    <n v="0"/>
    <s v="ร้านที่1"/>
    <s v="ป***ิดา ไ***าตย์"/>
    <s v="อุดรธานี"/>
    <s v="-"/>
    <s v=""/>
    <s v="02/01/2025 22:52"/>
    <s v="-"/>
    <s v="J&amp;T Express"/>
    <s v="Tiktok"/>
    <s v="tiktok"/>
    <s v=""/>
    <s v="754285768526"/>
    <s v="02/01/2025 22:51"/>
  </r>
  <r>
    <x v="0"/>
    <x v="0"/>
    <n v="100"/>
    <n v="1"/>
    <n v="0"/>
    <s v="EPS18"/>
    <n v="106"/>
    <n v="6"/>
    <s v="ร้านที่2"/>
    <s v="ห***า   ศ***ตั้งมั่น"/>
    <s v="เชียงใหม่"/>
    <s v="-"/>
    <s v=""/>
    <s v="02/01/2025 22:51"/>
    <s v="-"/>
    <s v="J&amp;T COD"/>
    <s v="Tiktok"/>
    <s v="จ่ายทีหลัง / COD"/>
    <s v=""/>
    <s v="754227723690"/>
    <s v="02/01/2025 22:51"/>
  </r>
  <r>
    <x v="3"/>
    <x v="3"/>
    <n v="100"/>
    <n v="2"/>
    <n v="0"/>
    <s v="EPS17"/>
    <n v="235"/>
    <n v="35"/>
    <s v="ร้านที่2"/>
    <s v="พ******ฬ"/>
    <s v="******วศ แขวงคลองสามประเวศ เขตลาดกระบัง จังหวัดกรุงเทพมหานคร 10520"/>
    <s v="10520"/>
    <s v="93"/>
    <s v="02/01/2025 23:20"/>
    <s v="-"/>
    <s v="Flash Express"/>
    <s v="Shopee"/>
    <s v="shopee"/>
    <s v=""/>
    <s v="TH01396ND1AP7G"/>
    <s v="02/01/2025 22:50"/>
  </r>
  <r>
    <x v="0"/>
    <x v="0"/>
    <n v="100"/>
    <n v="1"/>
    <n v="0"/>
    <s v="EPS16"/>
    <n v="100"/>
    <n v="0"/>
    <s v="ร้านที่1"/>
    <s v="น***าถ  ล***ง"/>
    <s v="อ่างทอง"/>
    <s v="-"/>
    <s v=""/>
    <s v="02/01/2025 22:45"/>
    <s v="-"/>
    <s v="J&amp;T Express"/>
    <s v="Tiktok"/>
    <s v="tiktok"/>
    <s v=""/>
    <s v="754243631665"/>
    <s v="02/01/2025 22:45"/>
  </r>
  <r>
    <x v="0"/>
    <x v="0"/>
    <n v="100"/>
    <n v="1"/>
    <n v="0"/>
    <s v="EPS14"/>
    <n v="106"/>
    <n v="6"/>
    <s v="ร้านที่2"/>
    <s v="พ***ทธิ์ จ***โรจน์โถคา"/>
    <s v="กรุงเทพฯ"/>
    <s v="-"/>
    <s v=""/>
    <s v="02/01/2025 22:40"/>
    <s v="-"/>
    <s v="J&amp;T COD"/>
    <s v="Tiktok"/>
    <s v="จ่ายทีหลัง / COD"/>
    <s v=""/>
    <s v="754279121691"/>
    <s v="02/01/2025 22:41"/>
  </r>
  <r>
    <x v="1"/>
    <x v="1"/>
    <n v="200"/>
    <n v="1"/>
    <n v="0"/>
    <s v="EPS13"/>
    <n v="200"/>
    <n v="0"/>
    <s v="ร้านที่2"/>
    <s v="ก***า ส***ติศิริ"/>
    <s v="สมุทรสาคร"/>
    <s v="-"/>
    <s v=""/>
    <s v="02/01/2025 22:37"/>
    <s v="-"/>
    <s v="J&amp;T COD"/>
    <s v="Tiktok"/>
    <s v="จ่ายทีหลัง / COD"/>
    <s v=""/>
    <s v="754233921685"/>
    <s v="02/01/2025 22:37"/>
  </r>
  <r>
    <x v="0"/>
    <x v="0"/>
    <n v="100"/>
    <n v="2"/>
    <n v="0"/>
    <s v="EPS12"/>
    <n v="200"/>
    <n v="0"/>
    <s v="ร้านที่1"/>
    <s v="น***อดชาย ค***ม"/>
    <s v="สกลนคร"/>
    <s v="-"/>
    <s v=""/>
    <s v="02/01/2025 22:36"/>
    <s v="-"/>
    <s v="J&amp;T COD"/>
    <s v="Tiktok"/>
    <s v="จ่ายทีหลัง / COD"/>
    <s v=""/>
    <s v="754243403653"/>
    <s v="02/01/2025 22:36"/>
  </r>
  <r>
    <x v="0"/>
    <x v="0"/>
    <n v="100"/>
    <n v="1"/>
    <n v="0"/>
    <s v="EPS11"/>
    <n v="106"/>
    <n v="6"/>
    <s v="ร้านที่2"/>
    <s v="น** พ***ชรี ป***ันตัง"/>
    <s v="เทศบาลนครขอนแก่น"/>
    <s v="-"/>
    <s v=""/>
    <s v="02/01/2025 22:35"/>
    <s v="-"/>
    <s v="J&amp;T COD"/>
    <s v="Tiktok"/>
    <s v="จ่ายทีหลัง / COD"/>
    <s v=""/>
    <s v="754275437650"/>
    <s v="02/01/2025 22:35"/>
  </r>
  <r>
    <x v="0"/>
    <x v="0"/>
    <n v="100"/>
    <n v="1"/>
    <n v="0"/>
    <s v="EPS10"/>
    <n v="106"/>
    <n v="6"/>
    <s v="ร้านที่1"/>
    <s v="ท***์พร โ***หนองปิง"/>
    <s v="อุดรธานี"/>
    <s v="-"/>
    <s v=""/>
    <s v="02/01/2025 22:34"/>
    <s v="-"/>
    <s v="J&amp;T Express"/>
    <s v="Tiktok"/>
    <s v="tiktok"/>
    <s v=""/>
    <s v="754257231663"/>
    <s v="02/01/2025 22:34"/>
  </r>
  <r>
    <x v="0"/>
    <x v="0"/>
    <n v="100"/>
    <n v="1"/>
    <n v="0"/>
    <s v="EPS9"/>
    <n v="145"/>
    <n v="45"/>
    <s v="ร้านที่1"/>
    <s v="ส*** บ***งศ์"/>
    <s v="ชลบุรี"/>
    <s v="-"/>
    <s v=""/>
    <s v="02/01/2025 22:33"/>
    <s v="-"/>
    <s v="J&amp;T COD"/>
    <s v="Tiktok"/>
    <s v="จ่ายทีหลัง / COD"/>
    <s v=""/>
    <s v="754296032663"/>
    <s v="02/01/2025 22:33"/>
  </r>
  <r>
    <x v="19"/>
    <x v="27"/>
    <n v="220"/>
    <n v="1"/>
    <n v="0"/>
    <s v="EPS7"/>
    <n v="220"/>
    <n v="0"/>
    <s v="ร้านที่10"/>
    <s v="แนนซี่ ร้านเก้าการแว่น"/>
    <s v="200/191 ถนน แจ้งวัฒนะ 200/191 ซอยแจ้งวัฒนะ10 ร้าน9การแว่น · ทุ่งสองห้อง/ Thung Song Hong_x000a__x000a_หลักสี่/ Lak Siกรุงเทพมหานคร/ Bangkok_x000a_10210"/>
    <s v="10210"/>
    <s v="660858090322"/>
    <s v="02/01/2025 22:30"/>
    <s v="-"/>
    <s v="Kerry_dropoff"/>
    <s v="Lazada"/>
    <s v="lazada"/>
    <s v=""/>
    <s v="LEXDO0123654274"/>
    <s v="02/01/2025 22:30"/>
  </r>
  <r>
    <x v="0"/>
    <x v="0"/>
    <n v="100"/>
    <n v="1"/>
    <n v="0"/>
    <s v="EPS6"/>
    <n v="106"/>
    <n v="6"/>
    <s v="ร้านที่1"/>
    <s v="ว***ณี ม***วัลย์"/>
    <s v="พังงา"/>
    <s v="-"/>
    <s v=""/>
    <s v="02/01/2025 22:29"/>
    <s v="-"/>
    <s v="J&amp;T COD"/>
    <s v="Tiktok"/>
    <s v="จ่ายทีหลัง / COD"/>
    <s v=""/>
    <s v="754219728695"/>
    <s v="02/01/2025 22:29"/>
  </r>
  <r>
    <x v="3"/>
    <x v="3"/>
    <n v="100"/>
    <n v="1"/>
    <n v="0"/>
    <s v="EPS5"/>
    <n v="103"/>
    <n v="3"/>
    <s v="ร้านที่2"/>
    <s v="ส******์"/>
    <s v="******่งไหม อำเภอวารินชำราบ จ.อุบลราชธานี ตำบลบุ่งไหม อำเภอวารินชำราบ จังหวัดอุบลราชธานี 34190"/>
    <s v="34190"/>
    <s v="86"/>
    <s v="02/01/2025 22:59"/>
    <s v="-"/>
    <s v="Flash Express"/>
    <s v="Shopee"/>
    <s v="shopee"/>
    <s v=""/>
    <s v="TH31136ND3216P"/>
    <s v="02/01/2025 22:29"/>
  </r>
  <r>
    <x v="19"/>
    <x v="19"/>
    <n v="199"/>
    <n v="1"/>
    <n v="0"/>
    <s v="EPS4"/>
    <n v="244"/>
    <n v="45"/>
    <s v="ร้านที่1"/>
    <s v="ช***ต"/>
    <s v="******บุญเรือง, ตำบล พระกลางทุ่ง, อำเภอธาตุพนม ตำบลพระกลางทุ่ง อำเภอธาตุพนม จังหวัดนครพนม 48110"/>
    <s v="48110"/>
    <s v="66"/>
    <s v="02/01/2025 22:27"/>
    <s v="-"/>
    <s v="Flash Express"/>
    <s v="Shopee"/>
    <s v="shopee"/>
    <s v=""/>
    <s v="TH45056ND4753D"/>
    <s v="02/01/2025 22:27"/>
  </r>
  <r>
    <x v="0"/>
    <x v="0"/>
    <n v="100"/>
    <n v="1"/>
    <n v="0"/>
    <s v="EPS3"/>
    <n v="106"/>
    <n v="6"/>
    <s v="ร้านที่1"/>
    <s v="จ***รรณ ม***ุรินทร์"/>
    <s v="ชลบุรี"/>
    <s v="-"/>
    <s v=""/>
    <s v="02/01/2025 22:25"/>
    <s v="-"/>
    <s v="J&amp;T COD"/>
    <s v="Tiktok"/>
    <s v="จ่ายทีหลัง / COD"/>
    <s v=""/>
    <s v="754220323695"/>
    <s v="02/01/2025 22:25"/>
  </r>
  <r>
    <x v="9"/>
    <x v="4"/>
    <n v="100"/>
    <n v="3"/>
    <n v="0"/>
    <s v="EPS2"/>
    <n v="300"/>
    <n v="0"/>
    <s v="ร้านที่1"/>
    <s v="ธ***ญาดา พ***ภณ"/>
    <s v="นครราชสีมา"/>
    <s v="-"/>
    <s v=""/>
    <s v="02/01/2025 22:24"/>
    <s v="-"/>
    <s v="J&amp;T COD"/>
    <s v="Tiktok"/>
    <s v="จ่ายทีหลัง / COD"/>
    <s v=""/>
    <s v="754292465581"/>
    <s v="02/01/2025 22:24"/>
  </r>
  <r>
    <x v="1"/>
    <x v="1"/>
    <n v="200"/>
    <n v="1"/>
    <n v="0"/>
    <s v="EPS1"/>
    <n v="200"/>
    <n v="0"/>
    <s v="ร้านที่1"/>
    <s v="น***ยา ภ***ญาณ"/>
    <s v="ชลบุรี"/>
    <s v="-"/>
    <s v=""/>
    <s v="02/01/2025 22:23"/>
    <s v="-"/>
    <s v="J&amp;T COD"/>
    <s v="Tiktok"/>
    <s v="จ่ายทีหลัง / COD"/>
    <s v=""/>
    <s v="754211125684"/>
    <s v="02/01/2025 22:23"/>
  </r>
  <r>
    <x v="9"/>
    <x v="4"/>
    <n v="100"/>
    <n v="2"/>
    <n v="0"/>
    <s v="EPS0"/>
    <n v="206"/>
    <n v="6"/>
    <s v="ร้านที่1"/>
    <s v="ถ***ีย์ บ***าร"/>
    <s v="อำนาจเจริญ"/>
    <s v="-"/>
    <s v=""/>
    <s v="02/01/2025 22:20"/>
    <s v="-"/>
    <s v="J&amp;T Express"/>
    <s v="Tiktok"/>
    <s v="tiktok"/>
    <s v=""/>
    <s v="754279663594"/>
    <s v="02/01/2025 22:20"/>
  </r>
  <r>
    <x v="9"/>
    <x v="4"/>
    <n v="100"/>
    <n v="1"/>
    <n v="0"/>
    <s v="EPR99"/>
    <n v="195"/>
    <n v="0"/>
    <s v="ร้านที่1"/>
    <s v="ส***ญญา ก***ษ์"/>
    <s v="เทศบาลนครขอนแก่น"/>
    <s v="-"/>
    <s v=""/>
    <s v="02/01/2025 22:20"/>
    <s v="-"/>
    <s v="J&amp;T COD"/>
    <s v="Tiktok"/>
    <s v="จ่ายทีหลัง / COD"/>
    <s v=""/>
    <s v="754217615653"/>
    <s v="02/01/2025 22:20"/>
  </r>
  <r>
    <x v="0"/>
    <x v="0"/>
    <n v="100"/>
    <n v="1"/>
    <n v="0"/>
    <s v="EPR97"/>
    <n v="100"/>
    <n v="0"/>
    <s v="ร้านที่1"/>
    <s v="ว***   ฤ***ง"/>
    <s v="สระบุรี"/>
    <s v="-"/>
    <s v=""/>
    <s v="02/01/2025 22:19"/>
    <s v="-"/>
    <s v="J&amp;T COD"/>
    <s v="Tiktok"/>
    <s v="จ่ายทีหลัง / COD"/>
    <s v=""/>
    <s v="754272727692"/>
    <s v="02/01/2025 22:19"/>
  </r>
  <r>
    <x v="0"/>
    <x v="0"/>
    <n v="100"/>
    <n v="1"/>
    <n v="0"/>
    <s v="EPR96"/>
    <n v="106"/>
    <n v="6"/>
    <s v="ร้านที่2"/>
    <s v="ซ***าบีน เ***บองอ"/>
    <s v="ยะลา"/>
    <s v="-"/>
    <s v=""/>
    <s v="02/01/2025 22:17"/>
    <s v="-"/>
    <s v="J&amp;T COD"/>
    <s v="Tiktok"/>
    <s v="จ่ายทีหลัง / COD"/>
    <s v=""/>
    <s v="754257636650"/>
    <s v="02/01/2025 22:17"/>
  </r>
  <r>
    <x v="0"/>
    <x v="0"/>
    <n v="100"/>
    <n v="1"/>
    <n v="0"/>
    <s v="EPR95"/>
    <n v="106"/>
    <n v="6"/>
    <s v="ร้านที่2"/>
    <s v="ส***ริ ด***องแดง"/>
    <s v="ลำปาง"/>
    <s v="-"/>
    <s v=""/>
    <s v="02/01/2025 22:16"/>
    <s v="-"/>
    <s v="J&amp;T COD"/>
    <s v="Tiktok"/>
    <s v="จ่ายทีหลัง / COD"/>
    <s v=""/>
    <s v="754277632651"/>
    <s v="02/01/2025 22:16"/>
  </r>
  <r>
    <x v="1"/>
    <x v="1"/>
    <n v="200"/>
    <n v="1"/>
    <n v="0"/>
    <s v="EPR94"/>
    <n v="200"/>
    <n v="0"/>
    <s v="ร้านที่1"/>
    <s v="ว*** อ***ดทอง"/>
    <s v="สงขลา"/>
    <s v="-"/>
    <s v=""/>
    <s v="02/01/2025 22:16"/>
    <s v="-"/>
    <s v="J&amp;T COD"/>
    <s v="Tiktok"/>
    <s v="จ่ายทีหลัง / COD"/>
    <s v=""/>
    <s v="754295630653"/>
    <s v="02/01/2025 22:16"/>
  </r>
  <r>
    <x v="0"/>
    <x v="0"/>
    <n v="100"/>
    <n v="2"/>
    <n v="0"/>
    <s v="EPR93"/>
    <n v="206"/>
    <n v="6"/>
    <s v="ร้านที่1"/>
    <s v="จ***ร ม***ย"/>
    <s v="กรุงเทพมหานคร"/>
    <s v="-"/>
    <s v=""/>
    <s v="02/01/2025 22:15"/>
    <s v="-"/>
    <s v="J&amp;T Express"/>
    <s v="Tiktok"/>
    <s v="tiktok"/>
    <s v=""/>
    <s v="754295790581"/>
    <s v="02/01/2025 22:15"/>
  </r>
  <r>
    <x v="3"/>
    <x v="3"/>
    <n v="100"/>
    <n v="1"/>
    <n v="0"/>
    <s v="EPR91"/>
    <n v="129"/>
    <n v="29"/>
    <s v="ร้านที่4"/>
    <s v="จ***้านควิกลิสซิ่ง"/>
    <s v="เทศบาลนครนครปฐม"/>
    <s v="-"/>
    <s v=""/>
    <s v="02/01/2025 22:14"/>
    <s v="-"/>
    <s v="Flash Express Thailand COD"/>
    <s v="Tiktok"/>
    <s v="จ่ายทีหลัง / COD"/>
    <s v="ขอรสเค้กกล้วยหอมด้วยนะคะ พรีสสสสสส🥺🥺🥺"/>
    <s v="THT15051DSJ688Z"/>
    <s v="02/01/2025 22:14"/>
  </r>
  <r>
    <x v="0"/>
    <x v="0"/>
    <n v="100"/>
    <n v="2"/>
    <n v="0"/>
    <s v="EPR90"/>
    <n v="200"/>
    <n v="0"/>
    <s v="ร้านที่1"/>
    <s v="ร**"/>
    <s v="ราชบุรี"/>
    <s v="-"/>
    <s v=""/>
    <s v="02/01/2025 22:12"/>
    <s v="-"/>
    <s v="J&amp;T COD"/>
    <s v="Tiktok"/>
    <s v="จ่ายทีหลัง / COD"/>
    <s v=""/>
    <s v="754244603652"/>
    <s v="02/01/2025 22:12"/>
  </r>
  <r>
    <x v="10"/>
    <x v="10"/>
    <n v="200"/>
    <n v="3"/>
    <n v="0"/>
    <s v="EPR89"/>
    <n v="600"/>
    <n v="0"/>
    <s v="ร้านที่1"/>
    <s v="M**"/>
    <s v="สุราษฎร์ธานี"/>
    <s v="-"/>
    <s v=""/>
    <s v="02/01/2025 22:10"/>
    <s v="-"/>
    <s v="J&amp;T COD"/>
    <s v="Tiktok"/>
    <s v="จ่ายทีหลัง / COD"/>
    <s v=""/>
    <s v="754293824664"/>
    <s v="02/01/2025 22:11"/>
  </r>
  <r>
    <x v="0"/>
    <x v="0"/>
    <n v="100"/>
    <n v="2"/>
    <n v="0"/>
    <s v="EPR88"/>
    <n v="206"/>
    <n v="6"/>
    <s v="ร้านที่1"/>
    <s v="แ***   ด***ป็ง"/>
    <s v="ตาก"/>
    <s v="-"/>
    <s v=""/>
    <s v="02/01/2025 22:09"/>
    <s v="-"/>
    <s v="J&amp;T Express"/>
    <s v="Tiktok"/>
    <s v="tiktok"/>
    <s v=""/>
    <s v="754249796580"/>
    <s v="02/01/2025 22:09"/>
  </r>
  <r>
    <x v="1"/>
    <x v="1"/>
    <n v="200"/>
    <n v="1"/>
    <n v="0"/>
    <s v="EPR87"/>
    <n v="200"/>
    <n v="0"/>
    <s v="ร้านที่2"/>
    <s v="ค***ัตน์  บ***ูช่วย"/>
    <s v="กรุงเทพมหานคร"/>
    <s v="-"/>
    <s v=""/>
    <s v="02/01/2025 22:07"/>
    <s v="-"/>
    <s v="J&amp;T COD"/>
    <s v="Tiktok"/>
    <s v="จ่ายทีหลัง / COD"/>
    <s v=""/>
    <s v="754224721681"/>
    <s v="02/01/2025 22:08"/>
  </r>
  <r>
    <x v="0"/>
    <x v="0"/>
    <n v="100"/>
    <n v="1"/>
    <n v="0"/>
    <s v="EPR86"/>
    <n v="100"/>
    <n v="0"/>
    <s v="ร้านที่1"/>
    <s v="ส***ภรณ์ ก***นศรีสุข"/>
    <s v="พระนครศรีอยุธยา"/>
    <s v="-"/>
    <s v=""/>
    <s v="02/01/2025 22:06"/>
    <s v="-"/>
    <s v="J&amp;T COD"/>
    <s v="Tiktok"/>
    <s v="จ่ายทีหลัง / COD"/>
    <s v=""/>
    <s v="754263328696"/>
    <s v="02/01/2025 22:06"/>
  </r>
  <r>
    <x v="0"/>
    <x v="0"/>
    <n v="100"/>
    <n v="2"/>
    <n v="0"/>
    <s v="EPR85"/>
    <n v="200"/>
    <n v="0"/>
    <s v="ร้านที่2"/>
    <s v="ก***มา ท***ิเวก"/>
    <s v="เทศบาลเมืองจันทบุรี"/>
    <s v="-"/>
    <s v=""/>
    <s v="02/01/2025 22:05"/>
    <s v="-"/>
    <s v="J&amp;T COD"/>
    <s v="Tiktok"/>
    <s v="จ่ายทีหลัง / COD"/>
    <s v=""/>
    <s v="754258603652"/>
    <s v="02/01/2025 22:06"/>
  </r>
  <r>
    <x v="1"/>
    <x v="1"/>
    <n v="200"/>
    <n v="1"/>
    <n v="0"/>
    <s v="EPR84"/>
    <n v="200"/>
    <n v="0"/>
    <s v="ร้านที่1"/>
    <s v="ธ***พร น***นำ"/>
    <s v="สงขลา"/>
    <s v="-"/>
    <s v=""/>
    <s v="02/01/2025 22:06"/>
    <s v="-"/>
    <s v="J&amp;T Express"/>
    <s v="Tiktok"/>
    <s v="tiktok"/>
    <s v=""/>
    <s v="754236636646"/>
    <s v="02/01/2025 22:03"/>
  </r>
  <r>
    <x v="0"/>
    <x v="0"/>
    <n v="100"/>
    <n v="3"/>
    <n v="0"/>
    <s v="EPR83"/>
    <n v="300"/>
    <n v="0"/>
    <s v="ร้านที่1"/>
    <s v="ใ* ส***ม"/>
    <s v="สมุทรปราการ"/>
    <s v="-"/>
    <s v=""/>
    <s v="02/01/2025 22:00"/>
    <s v="-"/>
    <s v="J&amp;T COD"/>
    <s v="Tiktok"/>
    <s v="จ่ายทีหลัง / COD"/>
    <s v=""/>
    <s v="754209768546"/>
    <s v="02/01/2025 22:00"/>
  </r>
  <r>
    <x v="0"/>
    <x v="0"/>
    <n v="100"/>
    <n v="1"/>
    <n v="0"/>
    <s v="EPR82"/>
    <n v="106"/>
    <n v="6"/>
    <s v="ร้านที่2"/>
    <s v="เ***่  โ***่อนทุกครั้ง"/>
    <s v="ราชบุรี"/>
    <s v="-"/>
    <s v=""/>
    <s v="02/01/2025 21:59"/>
    <s v="-"/>
    <s v="J&amp;T COD"/>
    <s v="Tiktok"/>
    <s v="จ่ายทีหลัง / COD"/>
    <s v=""/>
    <s v="754250436660"/>
    <s v="02/01/2025 21:59"/>
  </r>
  <r>
    <x v="0"/>
    <x v="0"/>
    <n v="100"/>
    <n v="2"/>
    <n v="0"/>
    <s v="EPR81"/>
    <n v="200"/>
    <n v="0"/>
    <s v="ร้านที่2"/>
    <s v="ท***"/>
    <s v="สกลนคร"/>
    <s v="-"/>
    <s v=""/>
    <s v="02/01/2025 21:58"/>
    <s v="-"/>
    <s v="J&amp;T COD"/>
    <s v="Tiktok"/>
    <s v="จ่ายทีหลัง / COD"/>
    <s v=""/>
    <s v="754271190584"/>
    <s v="02/01/2025 21:58"/>
  </r>
  <r>
    <x v="0"/>
    <x v="0"/>
    <n v="100"/>
    <n v="1"/>
    <n v="0"/>
    <s v="EPR79"/>
    <n v="150"/>
    <n v="0"/>
    <s v="ร้านที่2"/>
    <s v="ก***ัตน์  ส***รัพย์"/>
    <s v="เทศบาลนครนครปฐม"/>
    <s v="-"/>
    <s v=""/>
    <s v="02/01/2025 21:56"/>
    <s v="-"/>
    <s v="J&amp;T COD"/>
    <s v="Tiktok"/>
    <s v="จ่ายทีหลัง / COD"/>
    <s v=""/>
    <s v="754262160536"/>
    <s v="02/01/2025 21:56"/>
  </r>
  <r>
    <x v="1"/>
    <x v="1"/>
    <n v="200"/>
    <n v="1"/>
    <n v="0"/>
    <s v="EPR78"/>
    <n v="200"/>
    <n v="0"/>
    <s v="ร้านที่2"/>
    <s v="ภ*** ผ***ศรีสุข"/>
    <s v="ชลบุรี"/>
    <s v="-"/>
    <s v=""/>
    <s v="02/01/2025 21:55"/>
    <s v="-"/>
    <s v="Flash Express Thailand COD"/>
    <s v="Tiktok"/>
    <s v="จ่ายทีหลัง / COD"/>
    <s v=""/>
    <s v="THT20071DSHW66Z"/>
    <s v="02/01/2025 21:55"/>
  </r>
  <r>
    <x v="5"/>
    <x v="5"/>
    <n v="350"/>
    <n v="1"/>
    <n v="0"/>
    <s v="EPR77"/>
    <n v="350"/>
    <n v="0"/>
    <s v="ร้านที่4"/>
    <s v="น***าวฐาปนี  ค***คิด"/>
    <s v="แพร่"/>
    <s v="-"/>
    <s v=""/>
    <s v="02/01/2025 21:54"/>
    <s v="-"/>
    <s v="Flash Express Thailand COD"/>
    <s v="Tiktok"/>
    <s v="จ่ายทีหลัง / COD"/>
    <s v=""/>
    <s v="THT51041DS4Z05Z"/>
    <s v="02/01/2025 21:54"/>
  </r>
  <r>
    <x v="0"/>
    <x v="0"/>
    <n v="100"/>
    <n v="1"/>
    <n v="0"/>
    <s v="EPR75"/>
    <n v="106"/>
    <n v="6"/>
    <s v="ร้านที่1"/>
    <s v="ศ***งษ์"/>
    <s v="ตราด"/>
    <s v="-"/>
    <s v=""/>
    <s v="02/01/2025 21:51"/>
    <s v="-"/>
    <s v="J&amp;T COD"/>
    <s v="Tiktok"/>
    <s v="จ่ายทีหลัง / COD"/>
    <s v=""/>
    <s v="754224936603"/>
    <s v="02/01/2025 21:51"/>
  </r>
  <r>
    <x v="0"/>
    <x v="0"/>
    <n v="100"/>
    <n v="1"/>
    <n v="0"/>
    <s v="EPR74"/>
    <n v="106"/>
    <n v="6"/>
    <s v="ร้านที่1"/>
    <s v="ภ***ิรา น***ชาตรี"/>
    <s v="เทศบาลนครสุราษฎร์ธานี"/>
    <s v="-"/>
    <s v=""/>
    <s v="02/01/2025 21:49"/>
    <s v="-"/>
    <s v="J&amp;T COD"/>
    <s v="Tiktok"/>
    <s v="จ่ายทีหลัง / COD"/>
    <s v=""/>
    <s v="754224333601"/>
    <s v="02/01/2025 21:49"/>
  </r>
  <r>
    <x v="10"/>
    <x v="10"/>
    <n v="200"/>
    <n v="1"/>
    <n v="0"/>
    <s v="EPR73"/>
    <n v="200"/>
    <n v="0"/>
    <s v="ร้านที่4"/>
    <s v="น***ายทอง ก***ะลอง"/>
    <s v="สุโขทัย"/>
    <s v="-"/>
    <s v=""/>
    <s v="02/01/2025 21:45"/>
    <s v="-"/>
    <s v="Flash Express Thailand"/>
    <s v="Tiktok"/>
    <s v="tiktok"/>
    <s v=""/>
    <s v="THT60091DSNGJ1Z"/>
    <s v="02/01/2025 21:44"/>
  </r>
  <r>
    <x v="5"/>
    <x v="5"/>
    <n v="330"/>
    <n v="1"/>
    <n v="0"/>
    <s v="EPR72"/>
    <n v="330"/>
    <n v="0"/>
    <s v="ร้านที่2"/>
    <s v="P***aydow P***han"/>
    <s v="ศรีสะเกษ"/>
    <s v="-"/>
    <s v=""/>
    <s v="02/01/2025 21:43"/>
    <s v="-"/>
    <s v="J&amp;T COD"/>
    <s v="Tiktok"/>
    <s v="จ่ายทีหลัง / COD"/>
    <s v=""/>
    <s v="754256693540"/>
    <s v="02/01/2025 21:43"/>
  </r>
  <r>
    <x v="0"/>
    <x v="0"/>
    <n v="100"/>
    <n v="1"/>
    <n v="0"/>
    <s v="EPR71"/>
    <n v="106"/>
    <n v="6"/>
    <s v="ร้านที่1"/>
    <s v="จ***ร จ***ินทร์"/>
    <s v="ราชบุรี"/>
    <s v="-"/>
    <s v=""/>
    <s v="02/01/2025 21:42"/>
    <s v="-"/>
    <s v="J&amp;T COD"/>
    <s v="Tiktok"/>
    <s v="จ่ายทีหลัง / COD"/>
    <s v=""/>
    <s v="754259431660"/>
    <s v="02/01/2025 21:42"/>
  </r>
  <r>
    <x v="0"/>
    <x v="0"/>
    <n v="100"/>
    <n v="1"/>
    <n v="0"/>
    <s v="EPR70"/>
    <n v="100"/>
    <n v="0"/>
    <s v="ร้านที่1"/>
    <s v="ว***พ็ญ  ข***ิลึก"/>
    <s v="กำแพงเพชร"/>
    <s v="-"/>
    <s v=""/>
    <s v="02/01/2025 21:40"/>
    <s v="-"/>
    <s v="J&amp;T COD"/>
    <s v="Tiktok"/>
    <s v="จ่ายทีหลัง / COD"/>
    <s v=""/>
    <s v="754259834661"/>
    <s v="02/01/2025 21:40"/>
  </r>
  <r>
    <x v="0"/>
    <x v="0"/>
    <n v="100"/>
    <n v="1"/>
    <n v="0"/>
    <s v="EPR69"/>
    <n v="106"/>
    <n v="6"/>
    <s v="ร้านที่1"/>
    <s v="น***"/>
    <s v="ปราจีนบุรี"/>
    <s v="-"/>
    <s v=""/>
    <s v="02/01/2025 21:40"/>
    <s v="-"/>
    <s v="J&amp;T Express"/>
    <s v="Tiktok"/>
    <s v="tiktok"/>
    <s v=""/>
    <s v="754270631660"/>
    <s v="02/01/2025 21:40"/>
  </r>
  <r>
    <x v="3"/>
    <x v="8"/>
    <n v="100.4"/>
    <n v="1"/>
    <n v="0"/>
    <s v="EPR68"/>
    <n v="205.8"/>
    <n v="5"/>
    <s v="ร้านที่6"/>
    <s v="นายเอกชัย เนียมคุ้ม"/>
    <s v="69/ๅ0ฃ.บางระมาด3 (บ้านไทรงาม) ถ.บางระมาด แขวงบางระมาด เขต ตลิ่งชัน ก.ท.ม. 10170 · บางระมาด/ Bang Ramat_x000a__x000a_ตลิ่งชัน/ Taling Chanกรุงเทพมหานคร/ Bangkok_x000a_10170"/>
    <s v="10170"/>
    <s v="660615709405"/>
    <s v="02/01/2025 21:39"/>
    <s v="-"/>
    <s v="Kerry_dropoff"/>
    <s v="Lazada"/>
    <s v="lazada"/>
    <s v=""/>
    <s v="LEXPU0441105388"/>
    <s v="02/01/2025 21:39"/>
  </r>
  <r>
    <x v="3"/>
    <x v="8"/>
    <n v="100.4"/>
    <n v="1"/>
    <n v="0"/>
    <s v="EPR68"/>
    <n v="205.8"/>
    <n v="5"/>
    <s v="ร้านที่6"/>
    <s v="นายเอกชัย เนียมคุ้ม"/>
    <s v="69/ๅ0ฃ.บางระมาด3 (บ้านไทรงาม) ถ.บางระมาด แขวงบางระมาด เขต ตลิ่งชัน ก.ท.ม. 10170 · บางระมาด/ Bang Ramat_x000a__x000a_ตลิ่งชัน/ Taling Chanกรุงเทพมหานคร/ Bangkok_x000a_10170"/>
    <s v="10170"/>
    <s v="660615709405"/>
    <s v="02/01/2025 21:39"/>
    <s v="-"/>
    <s v="Kerry_dropoff"/>
    <s v="Lazada"/>
    <s v="lazada"/>
    <s v=""/>
    <s v="LEXPU0441105388"/>
    <s v="02/01/2025 21:39"/>
  </r>
  <r>
    <x v="13"/>
    <x v="63"/>
    <n v="225"/>
    <n v="1"/>
    <n v="0"/>
    <s v="EPR67"/>
    <n v="230"/>
    <n v="5"/>
    <s v="ร้านที่6"/>
    <s v="สุพัตรา  สัตยภิรณ์"/>
    <s v="48/17  ม.3  ต.หนองบัว อ.บ้านโพธิ์_x000a__x000a_บ้านโพธิ์/ Ban Phoฉะเชิงเทรา/ Chachoengsao_x000a_24140"/>
    <s v="24140"/>
    <s v="660896844824"/>
    <s v="02/01/2025 21:38"/>
    <s v="-"/>
    <s v="Kerry_dropoff"/>
    <s v="Lazada"/>
    <s v="lazada"/>
    <s v=""/>
    <s v="LEXPU0441088071"/>
    <s v="02/01/2025 21:38"/>
  </r>
  <r>
    <x v="0"/>
    <x v="0"/>
    <n v="100"/>
    <n v="1"/>
    <n v="0"/>
    <s v="EPR66"/>
    <n v="106"/>
    <n v="6"/>
    <s v="ร้านที่2"/>
    <s v="จ***ร  ว***ระเสริฐ"/>
    <s v="กาญจนบุรี"/>
    <s v="-"/>
    <s v=""/>
    <s v="02/01/2025 21:37"/>
    <s v="-"/>
    <s v="J&amp;T COD"/>
    <s v="Tiktok"/>
    <s v="จ่ายทีหลัง / COD"/>
    <s v=""/>
    <s v="754278032664"/>
    <s v="02/01/2025 21:38"/>
  </r>
  <r>
    <x v="3"/>
    <x v="3"/>
    <n v="100"/>
    <n v="1"/>
    <n v="0"/>
    <s v="EPR65"/>
    <n v="103"/>
    <n v="3"/>
    <s v="ร้านที่2"/>
    <s v="ก******ี"/>
    <s v="******ม1 ตำบลบ่อผุด อำเภอเกาะสมุย ตำบลบ่อผุด อำเภอเกาะสมุย จังหวัดสุราษฎร์ธานี 84320"/>
    <s v="84320"/>
    <s v="93"/>
    <s v="02/01/2025 21:48"/>
    <s v="-"/>
    <s v="Flash Express"/>
    <s v="Shopee"/>
    <s v="shopee"/>
    <s v=""/>
    <s v="TH68046ND3G46F1"/>
    <s v="02/01/2025 21:37"/>
  </r>
  <r>
    <x v="0"/>
    <x v="0"/>
    <n v="100"/>
    <n v="1"/>
    <n v="0"/>
    <s v="EPR64"/>
    <n v="106"/>
    <n v="6"/>
    <s v="ร้านที่4"/>
    <s v="m**"/>
    <s v="Pathum Thani"/>
    <s v="-"/>
    <s v=""/>
    <s v="02/01/2025 21:34"/>
    <s v="-"/>
    <s v="Flash Express Thailand COD"/>
    <s v="Tiktok"/>
    <s v="จ่ายทีหลัง / COD"/>
    <s v=""/>
    <s v="THT04031DSM1K8Z"/>
    <s v="02/01/2025 21:35"/>
  </r>
  <r>
    <x v="0"/>
    <x v="0"/>
    <n v="100"/>
    <n v="1"/>
    <n v="0"/>
    <s v="EPR63"/>
    <n v="106"/>
    <n v="6"/>
    <s v="ร้านที่1"/>
    <s v="น***า แ***ก้ว"/>
    <s v="นนทบุรี"/>
    <s v="-"/>
    <s v=""/>
    <s v="02/01/2025 21:30"/>
    <s v="-"/>
    <s v="J&amp;T COD"/>
    <s v="Tiktok"/>
    <s v="จ่ายทีหลัง / COD"/>
    <s v=""/>
    <s v="754228837666"/>
    <s v="02/01/2025 21:30"/>
  </r>
  <r>
    <x v="1"/>
    <x v="1"/>
    <n v="200"/>
    <n v="1"/>
    <n v="0"/>
    <s v="EPR61"/>
    <n v="200"/>
    <n v="0"/>
    <s v="ร้านที่2"/>
    <s v="ม***รา  ร***ลับ"/>
    <s v="สมุทรสาคร"/>
    <s v="-"/>
    <s v=""/>
    <s v="02/01/2025 21:29"/>
    <s v="-"/>
    <s v="J&amp;T COD"/>
    <s v="Tiktok"/>
    <s v="จ่ายทีหลัง / COD"/>
    <s v=""/>
    <s v="754226838643"/>
    <s v="02/01/2025 21:29"/>
  </r>
  <r>
    <x v="0"/>
    <x v="0"/>
    <n v="100"/>
    <n v="1"/>
    <n v="0"/>
    <s v="EPR60"/>
    <n v="106"/>
    <n v="6"/>
    <s v="ร้านที่1"/>
    <s v="พ***ร ว***ำ"/>
    <s v="กาฬสินธุ์"/>
    <s v="-"/>
    <s v=""/>
    <s v="02/01/2025 21:29"/>
    <s v="-"/>
    <s v="J&amp;T COD"/>
    <s v="Tiktok"/>
    <s v="จ่ายทีหลัง / COD"/>
    <s v=""/>
    <s v="754201033666"/>
    <s v="02/01/2025 21:29"/>
  </r>
  <r>
    <x v="0"/>
    <x v="0"/>
    <n v="100"/>
    <n v="1"/>
    <n v="0"/>
    <s v="EPR59"/>
    <n v="100"/>
    <n v="0"/>
    <s v="ร้านที่2"/>
    <s v="ว***า พ***าย"/>
    <s v="พระนครศรีอยุธยา"/>
    <s v="-"/>
    <s v=""/>
    <s v="02/01/2025 21:29"/>
    <s v="-"/>
    <s v="J&amp;T COD"/>
    <s v="Tiktok"/>
    <s v="จ่ายทีหลัง / COD"/>
    <s v=""/>
    <s v="754254521694"/>
    <s v="02/01/2025 21:29"/>
  </r>
  <r>
    <x v="0"/>
    <x v="0"/>
    <n v="100"/>
    <n v="1"/>
    <n v="0"/>
    <s v="EPR58"/>
    <n v="106"/>
    <n v="6"/>
    <s v="ร้านที่2"/>
    <s v="ศ***ภัทร        พ***แก้ว"/>
    <s v="ภูเก็ต"/>
    <s v="-"/>
    <s v=""/>
    <s v="02/01/2025 21:29"/>
    <s v="-"/>
    <s v="J&amp;T COD"/>
    <s v="Tiktok"/>
    <s v="จ่ายทีหลัง / COD"/>
    <s v=""/>
    <s v="754277926684"/>
    <s v="02/01/2025 21:29"/>
  </r>
  <r>
    <x v="0"/>
    <x v="0"/>
    <n v="100"/>
    <n v="1"/>
    <n v="0"/>
    <s v="EPR57"/>
    <n v="106"/>
    <n v="6"/>
    <s v="ร้านที่1"/>
    <s v="ฟ**"/>
    <s v="กาญจนบุรี"/>
    <s v="-"/>
    <s v=""/>
    <s v="02/01/2025 21:28"/>
    <s v="-"/>
    <s v="J&amp;T COD"/>
    <s v="Tiktok"/>
    <s v="จ่ายทีหลัง / COD"/>
    <s v=""/>
    <s v="754222233660"/>
    <s v="02/01/2025 21:28"/>
  </r>
  <r>
    <x v="0"/>
    <x v="0"/>
    <n v="100"/>
    <n v="1"/>
    <n v="0"/>
    <s v="EPR56"/>
    <n v="100"/>
    <n v="0"/>
    <s v="ร้านที่2"/>
    <s v="อ***้อล"/>
    <s v="เพชรบูรณ์"/>
    <s v="-"/>
    <s v=""/>
    <s v="02/01/2025 21:27"/>
    <s v="-"/>
    <s v="J&amp;T COD"/>
    <s v="Tiktok"/>
    <s v="จ่ายทีหลัง / COD"/>
    <s v=""/>
    <s v="754275325694"/>
    <s v="02/01/2025 21:28"/>
  </r>
  <r>
    <x v="10"/>
    <x v="10"/>
    <n v="200"/>
    <n v="1"/>
    <n v="0"/>
    <s v="EPR55"/>
    <n v="200"/>
    <n v="0"/>
    <s v="ร้านที่1"/>
    <s v="ข***อง เ***ดขำ"/>
    <s v="นครราชสีมา"/>
    <s v="-"/>
    <s v=""/>
    <s v="02/01/2025 21:24"/>
    <s v="-"/>
    <s v="J&amp;T COD"/>
    <s v="Tiktok"/>
    <s v="จ่ายทีหลัง / COD"/>
    <s v=""/>
    <s v="754208901666"/>
    <s v="02/01/2025 21:27"/>
  </r>
  <r>
    <x v="0"/>
    <x v="0"/>
    <n v="100"/>
    <n v="1"/>
    <n v="0"/>
    <s v="EPR54"/>
    <n v="106"/>
    <n v="6"/>
    <s v="ร้านที่1"/>
    <s v="พ***า เ***มผล"/>
    <s v="สมุทรปราการ"/>
    <s v="-"/>
    <s v=""/>
    <s v="02/01/2025 21:24"/>
    <s v="-"/>
    <s v="J&amp;T Express"/>
    <s v="Tiktok"/>
    <s v="tiktok"/>
    <s v=""/>
    <s v="754240038650"/>
    <s v="02/01/2025 21:27"/>
  </r>
  <r>
    <x v="0"/>
    <x v="0"/>
    <n v="100"/>
    <n v="2"/>
    <n v="0"/>
    <s v="EPR52"/>
    <n v="200"/>
    <n v="0"/>
    <s v="ร้านที่2"/>
    <s v="ป***ุมวรรณ ร***ัง"/>
    <s v="กรุงเทพมหานคร"/>
    <s v="-"/>
    <s v=""/>
    <s v="02/01/2025 21:11"/>
    <s v="-"/>
    <s v="J&amp;T COD"/>
    <s v="Tiktok"/>
    <s v="จ่ายทีหลัง / COD"/>
    <s v=""/>
    <s v="754251198584"/>
    <s v="02/01/2025 21:23"/>
  </r>
  <r>
    <x v="9"/>
    <x v="4"/>
    <n v="100"/>
    <n v="1"/>
    <n v="0"/>
    <s v="EPR51"/>
    <n v="106"/>
    <n v="6"/>
    <s v="ร้านที่2"/>
    <s v="เ***ิน อ***ุวรรณ"/>
    <s v="จังหวัดนครราชสีมา"/>
    <s v="-"/>
    <s v=""/>
    <s v="02/01/2025 21:11"/>
    <s v="-"/>
    <s v="J&amp;T COD"/>
    <s v="Tiktok"/>
    <s v="จ่ายทีหลัง / COD"/>
    <s v=""/>
    <s v="754216960556"/>
    <s v="02/01/2025 21:23"/>
  </r>
  <r>
    <x v="0"/>
    <x v="0"/>
    <n v="100"/>
    <n v="1"/>
    <n v="0"/>
    <s v="EPR50"/>
    <n v="106"/>
    <n v="6"/>
    <s v="ร้านที่2"/>
    <s v="บ***นทร์ พ***สิน"/>
    <s v="ชลบุรี"/>
    <s v="-"/>
    <s v=""/>
    <s v="02/01/2025 21:13"/>
    <s v="-"/>
    <s v="J&amp;T COD"/>
    <s v="Tiktok"/>
    <s v="จ่ายทีหลัง / COD"/>
    <s v=""/>
    <s v="754217523684"/>
    <s v="02/01/2025 21:23"/>
  </r>
  <r>
    <x v="0"/>
    <x v="0"/>
    <n v="100"/>
    <n v="1"/>
    <n v="0"/>
    <s v="EPR48"/>
    <n v="100"/>
    <n v="0"/>
    <s v="ร้านที่2"/>
    <s v="น***สงหล้า ก***า"/>
    <s v="เพชรบูรณ์"/>
    <s v="-"/>
    <s v=""/>
    <s v="02/01/2025 21:15"/>
    <s v="-"/>
    <s v="J&amp;T Express"/>
    <s v="Tiktok"/>
    <s v="tiktok"/>
    <s v=""/>
    <s v="754277929683"/>
    <s v="02/01/2025 21:23"/>
  </r>
  <r>
    <x v="4"/>
    <x v="4"/>
    <n v="100"/>
    <n v="5"/>
    <n v="0"/>
    <s v="EPR47"/>
    <n v="500"/>
    <n v="0"/>
    <s v="ร้านที่1"/>
    <s v="ส***ย ส***ภิรมณ์"/>
    <s v="ฉะเชิงเทรา"/>
    <s v="-"/>
    <s v=""/>
    <s v="02/01/2025 21:10"/>
    <s v="-"/>
    <s v="J&amp;T COD"/>
    <s v="Tiktok"/>
    <s v="จ่ายทีหลัง / COD"/>
    <s v=""/>
    <s v="754293428641"/>
    <s v="02/01/2025 21:23"/>
  </r>
  <r>
    <x v="0"/>
    <x v="0"/>
    <n v="100"/>
    <n v="2"/>
    <n v="0"/>
    <s v="EPR46"/>
    <n v="200"/>
    <n v="0"/>
    <s v="ร้านที่2"/>
    <s v="ก***ัตน์ ช***แดง"/>
    <s v="ขอนแก่น"/>
    <s v="-"/>
    <s v=""/>
    <s v="02/01/2025 21:15"/>
    <s v="-"/>
    <s v="J&amp;T COD"/>
    <s v="Tiktok"/>
    <s v="จ่ายทีหลัง / COD"/>
    <s v=""/>
    <s v="754202596582"/>
    <s v="02/01/2025 21:23"/>
  </r>
  <r>
    <x v="4"/>
    <x v="4"/>
    <n v="100"/>
    <n v="1"/>
    <n v="0"/>
    <s v="EPR45"/>
    <n v="106"/>
    <n v="6"/>
    <s v="ร้านที่2"/>
    <s v="ด***มล ไ***ขตต์"/>
    <s v="กรุงเทพฯ"/>
    <s v="-"/>
    <s v=""/>
    <s v="02/01/2025 21:16"/>
    <s v="-"/>
    <s v="J&amp;T COD"/>
    <s v="Tiktok"/>
    <s v="จ่ายทีหลัง / COD"/>
    <s v=""/>
    <s v="754230500693"/>
    <s v="02/01/2025 21:23"/>
  </r>
  <r>
    <x v="0"/>
    <x v="0"/>
    <n v="100"/>
    <n v="1"/>
    <n v="0"/>
    <s v="EPR44"/>
    <n v="100"/>
    <n v="0"/>
    <s v="ร้านที่2"/>
    <s v="ศ***วิมล ม***ใจ"/>
    <s v="เทศบาลนครนครสวรรค์"/>
    <s v="-"/>
    <s v=""/>
    <s v="02/01/2025 21:17"/>
    <s v="-"/>
    <s v="J&amp;T COD"/>
    <s v="Tiktok"/>
    <s v="จ่ายทีหลัง / COD"/>
    <s v=""/>
    <s v="754288525686"/>
    <s v="02/01/2025 21:23"/>
  </r>
  <r>
    <x v="0"/>
    <x v="0"/>
    <n v="100"/>
    <n v="1"/>
    <n v="0"/>
    <s v="EPR43"/>
    <n v="100"/>
    <n v="0"/>
    <s v="ร้านที่2"/>
    <s v="ส** ด***ม้อ"/>
    <s v="สมุทรสาคร"/>
    <s v="-"/>
    <s v=""/>
    <s v="02/01/2025 21:17"/>
    <s v="-"/>
    <s v="J&amp;T COD"/>
    <s v="Tiktok"/>
    <s v="จ่ายทีหลัง / COD"/>
    <s v=""/>
    <s v="754269327685"/>
    <s v="02/01/2025 21:23"/>
  </r>
  <r>
    <x v="3"/>
    <x v="3"/>
    <n v="100"/>
    <n v="2"/>
    <n v="0"/>
    <s v="EPR41"/>
    <n v="229"/>
    <n v="29"/>
    <s v="ร้านที่2"/>
    <s v="ร******์"/>
    <s v="******15 ตำบลสาริกา ตำบลสาริกา อำเภอเมืองนครนายก จังหวัดนครนายก 26000"/>
    <s v="26000"/>
    <s v="41"/>
    <s v="02/01/2025 21:47"/>
    <s v="-"/>
    <s v="Flash Express"/>
    <s v="Shopee"/>
    <s v="shopee"/>
    <s v=""/>
    <s v="TH11016ND1WQ4J"/>
    <s v="02/01/2025 21:23"/>
  </r>
  <r>
    <x v="0"/>
    <x v="0"/>
    <n v="100"/>
    <n v="1"/>
    <n v="0"/>
    <s v="EPR39"/>
    <n v="100"/>
    <n v="0"/>
    <s v="ร้านที่1"/>
    <s v="N*   S***rat"/>
    <s v="เพชรบูรณ์"/>
    <s v="-"/>
    <s v=""/>
    <s v="02/01/2025 21:09"/>
    <s v="-"/>
    <s v="J&amp;T COD"/>
    <s v="Tiktok"/>
    <s v="จ่ายทีหลัง / COD"/>
    <s v=""/>
    <s v="754225326540"/>
    <s v="02/01/2025 21:10"/>
  </r>
  <r>
    <x v="0"/>
    <x v="0"/>
    <n v="100"/>
    <n v="1"/>
    <n v="0"/>
    <s v="EPR38"/>
    <n v="106"/>
    <n v="6"/>
    <s v="ร้านที่1"/>
    <s v="ส***ตรี  ช***ล"/>
    <s v="กระบี่"/>
    <s v="-"/>
    <s v=""/>
    <s v="02/01/2025 21:09"/>
    <s v="-"/>
    <s v="J&amp;T COD"/>
    <s v="Tiktok"/>
    <s v="จ่ายทีหลัง / COD"/>
    <s v=""/>
    <s v="754281102621"/>
    <s v="02/01/2025 21:10"/>
  </r>
  <r>
    <x v="0"/>
    <x v="0"/>
    <n v="100"/>
    <n v="2"/>
    <n v="0"/>
    <s v="EPR37"/>
    <n v="200"/>
    <n v="0"/>
    <s v="ร้านที่2"/>
    <s v="ส***ย ต***หากิจ"/>
    <s v="ระยอง"/>
    <s v="-"/>
    <s v=""/>
    <s v="02/01/2025 21:07"/>
    <s v="-"/>
    <s v="J&amp;T COD"/>
    <s v="Tiktok"/>
    <s v="จ่ายทีหลัง / COD"/>
    <s v=""/>
    <s v="754270407656"/>
    <s v="02/01/2025 21:08"/>
  </r>
  <r>
    <x v="10"/>
    <x v="10"/>
    <n v="200"/>
    <n v="2"/>
    <n v="0"/>
    <s v="EPR36"/>
    <n v="400"/>
    <n v="0"/>
    <s v="ร้านที่2"/>
    <s v="ว***รณ์ ม***บัติ"/>
    <s v="เทศบาลนครนครปฐม"/>
    <s v="-"/>
    <s v=""/>
    <s v="02/01/2025 21:07"/>
    <s v="-"/>
    <s v="J&amp;T COD"/>
    <s v="Tiktok"/>
    <s v="จ่ายทีหลัง / COD"/>
    <s v=""/>
    <s v="754282822661"/>
    <s v="02/01/2025 21:08"/>
  </r>
  <r>
    <x v="0"/>
    <x v="0"/>
    <n v="100"/>
    <n v="1"/>
    <n v="0"/>
    <s v="EPR35"/>
    <n v="100"/>
    <n v="0"/>
    <s v="ร้านที่2"/>
    <s v="ช***ชิดา ภ***ขันธ์"/>
    <s v="สระบุรี"/>
    <s v="-"/>
    <s v=""/>
    <s v="02/01/2025 21:07"/>
    <s v="-"/>
    <s v="J&amp;T COD"/>
    <s v="Tiktok"/>
    <s v="จ่ายทีหลัง / COD"/>
    <s v=""/>
    <s v="754245030630"/>
    <s v="02/01/2025 21:08"/>
  </r>
  <r>
    <x v="10"/>
    <x v="10"/>
    <n v="200"/>
    <n v="1"/>
    <n v="0"/>
    <s v="EPR34"/>
    <n v="200"/>
    <n v="0"/>
    <s v="ร้านที่1"/>
    <s v="ว***ี ส***าบูรณ์"/>
    <s v="ปทุมธานี"/>
    <s v="-"/>
    <s v=""/>
    <s v="02/01/2025 21:03"/>
    <s v="-"/>
    <s v="J&amp;T COD"/>
    <s v="Tiktok"/>
    <s v="จ่ายทีหลัง / COD"/>
    <s v=""/>
    <s v="754272718625"/>
    <s v="02/01/2025 21:06"/>
  </r>
  <r>
    <x v="1"/>
    <x v="1"/>
    <n v="200"/>
    <n v="1"/>
    <n v="0"/>
    <s v="EPR33"/>
    <n v="200"/>
    <n v="0"/>
    <s v="ร้านที่1"/>
    <s v="ล***น  บ***ั้ง"/>
    <s v="ศรีสะเกษ"/>
    <s v="-"/>
    <s v=""/>
    <s v="02/01/2025 21:02"/>
    <s v="-"/>
    <s v="J&amp;T COD"/>
    <s v="Tiktok"/>
    <s v="จ่ายทีหลัง / COD"/>
    <s v=""/>
    <s v="754264729676"/>
    <s v="02/01/2025 21:02"/>
  </r>
  <r>
    <x v="0"/>
    <x v="0"/>
    <n v="100"/>
    <n v="1"/>
    <n v="0"/>
    <s v="EPR32"/>
    <n v="106"/>
    <n v="6"/>
    <s v="ร้านที่1"/>
    <s v="น** จ***วรรณ เ***อนลอย"/>
    <s v="สงขลา"/>
    <s v="-"/>
    <s v=""/>
    <s v="02/01/2025 20:59"/>
    <s v="-"/>
    <s v="J&amp;T COD"/>
    <s v="Tiktok"/>
    <s v="จ่ายทีหลัง / COD"/>
    <s v=""/>
    <s v="754256129686"/>
    <s v="02/01/2025 20:59"/>
  </r>
  <r>
    <x v="0"/>
    <x v="0"/>
    <n v="100"/>
    <n v="1"/>
    <n v="0"/>
    <s v="EPR31"/>
    <n v="100"/>
    <n v="0"/>
    <s v="ร้านที่1"/>
    <s v="ภ***ดา ส***ศรี"/>
    <s v="พิจิตร"/>
    <s v="-"/>
    <s v=""/>
    <s v="02/01/2025 20:57"/>
    <s v="-"/>
    <s v="J&amp;T COD"/>
    <s v="Tiktok"/>
    <s v="จ่ายทีหลัง / COD"/>
    <s v=""/>
    <s v="754265432616"/>
    <s v="02/01/2025 20:58"/>
  </r>
  <r>
    <x v="0"/>
    <x v="0"/>
    <n v="100"/>
    <n v="1"/>
    <n v="0"/>
    <s v="EPR30"/>
    <n v="106"/>
    <n v="6"/>
    <s v="ร้านที่2"/>
    <s v="ส***ัตน์คนเดิม"/>
    <s v="สงขลา"/>
    <s v="-"/>
    <s v=""/>
    <s v="02/01/2025 20:56"/>
    <s v="-"/>
    <s v="J&amp;T COD"/>
    <s v="Tiktok"/>
    <s v="จ่ายทีหลัง / COD"/>
    <s v=""/>
    <s v="754269837646"/>
    <s v="02/01/2025 20:56"/>
  </r>
  <r>
    <x v="0"/>
    <x v="0"/>
    <n v="100"/>
    <n v="1"/>
    <n v="0"/>
    <s v="EPR29"/>
    <n v="106"/>
    <n v="6"/>
    <s v="ร้านที่1"/>
    <s v="น***ุรีย์  ค***งแก้ว"/>
    <s v="ชุมพร"/>
    <s v="-"/>
    <s v=""/>
    <s v="02/01/2025 20:55"/>
    <s v="-"/>
    <s v="J&amp;T COD"/>
    <s v="Tiktok"/>
    <s v="จ่ายทีหลัง / COD"/>
    <s v=""/>
    <s v="754209632643"/>
    <s v="02/01/2025 20:55"/>
  </r>
  <r>
    <x v="0"/>
    <x v="0"/>
    <n v="100"/>
    <n v="1"/>
    <n v="0"/>
    <s v="EPR28"/>
    <n v="106"/>
    <n v="6"/>
    <s v="ร้านที่1"/>
    <s v="เ***รติศักดิ์ แ***ึง"/>
    <s v="จันทบุรี"/>
    <s v="-"/>
    <s v=""/>
    <s v="02/01/2025 20:53"/>
    <s v="-"/>
    <s v="J&amp;T COD"/>
    <s v="Tiktok"/>
    <s v="จ่ายทีหลัง / COD"/>
    <s v=""/>
    <s v="754210230653"/>
    <s v="02/01/2025 20:53"/>
  </r>
  <r>
    <x v="2"/>
    <x v="2"/>
    <n v="111.6"/>
    <n v="1"/>
    <n v="0"/>
    <s v="EPR25"/>
    <n v="223.2"/>
    <n v="0"/>
    <s v="ร้านที่1"/>
    <s v="พิมพ์ภัทราภรณ์ มากขุนทด"/>
    <s v="129 หมู่4 บ้านชุมม่วง ตำบลชุมตาบง_x000a__x000a_ชุมตาบง/ Chum Ta Bongนครสวรรค์/ Nakhon Sawan_x000a_60150"/>
    <s v="60150"/>
    <s v="660935521748"/>
    <s v="02/01/2025 20:50"/>
    <s v="-"/>
    <s v="Kerry_dropoff"/>
    <s v="Lazada"/>
    <s v="lazada"/>
    <s v=""/>
    <s v="TH56156NC1MT9A"/>
    <s v="02/01/2025 20:50"/>
  </r>
  <r>
    <x v="2"/>
    <x v="2"/>
    <n v="111.6"/>
    <n v="1"/>
    <n v="0"/>
    <s v="EPR25"/>
    <n v="223.2"/>
    <n v="0"/>
    <s v="ร้านที่1"/>
    <s v="พิมพ์ภัทราภรณ์ มากขุนทด"/>
    <s v="129 หมู่4 บ้านชุมม่วง ตำบลชุมตาบง_x000a__x000a_ชุมตาบง/ Chum Ta Bongนครสวรรค์/ Nakhon Sawan_x000a_60150"/>
    <s v="60150"/>
    <s v="660935521748"/>
    <s v="02/01/2025 20:50"/>
    <s v="-"/>
    <s v="Kerry_dropoff"/>
    <s v="Lazada"/>
    <s v="lazada"/>
    <s v=""/>
    <s v="TH56156NC1MT9A"/>
    <s v="02/01/2025 20:50"/>
  </r>
  <r>
    <x v="10"/>
    <x v="10"/>
    <n v="200"/>
    <n v="1"/>
    <n v="0"/>
    <s v="EPR23"/>
    <n v="290"/>
    <n v="0"/>
    <s v="ร้านที่1"/>
    <s v="ศ***พร ศ***ิพัฒน์"/>
    <s v="กรุงเทพฯ"/>
    <s v="-"/>
    <s v=""/>
    <s v="02/01/2025 20:51"/>
    <s v="-"/>
    <s v="J&amp;T Express"/>
    <s v="Tiktok"/>
    <s v="tiktok"/>
    <s v=""/>
    <s v="754265301602"/>
    <s v="02/01/2025 20:47"/>
  </r>
  <r>
    <x v="0"/>
    <x v="0"/>
    <n v="100"/>
    <n v="1"/>
    <n v="0"/>
    <s v="EPR22"/>
    <n v="295"/>
    <n v="0"/>
    <s v="ร้านที่2"/>
    <s v="ส***รณ์  ป***ทองคำ"/>
    <s v="พิษณุโลก"/>
    <s v="-"/>
    <s v=""/>
    <s v="02/01/2025 20:47"/>
    <s v="-"/>
    <s v="J&amp;T COD"/>
    <s v="Tiktok"/>
    <s v="จ่ายทีหลัง / COD"/>
    <s v=""/>
    <s v="754259930620"/>
    <s v="02/01/2025 20:47"/>
  </r>
  <r>
    <x v="3"/>
    <x v="3"/>
    <n v="100"/>
    <n v="1"/>
    <n v="0"/>
    <s v="EPR22"/>
    <n v="295"/>
    <n v="0"/>
    <s v="ร้านที่2"/>
    <s v="ส***รณ์  ป***ทองคำ"/>
    <s v="พิษณุโลก"/>
    <s v="-"/>
    <s v=""/>
    <s v="02/01/2025 20:47"/>
    <s v="-"/>
    <s v="J&amp;T COD"/>
    <s v="Tiktok"/>
    <s v="จ่ายทีหลัง / COD"/>
    <s v=""/>
    <s v="754259930620"/>
    <s v="02/01/2025 20:47"/>
  </r>
  <r>
    <x v="0"/>
    <x v="0"/>
    <n v="100"/>
    <n v="1"/>
    <n v="0"/>
    <s v="EPR21"/>
    <n v="106"/>
    <n v="6"/>
    <s v="ร้านที่1"/>
    <s v="ใ***ิร์น แ***เมืองพล"/>
    <s v="กรุงเทพฯ"/>
    <s v="-"/>
    <s v=""/>
    <s v="02/01/2025 20:47"/>
    <s v="-"/>
    <s v="J&amp;T Express"/>
    <s v="Tiktok"/>
    <s v="tiktok"/>
    <s v=""/>
    <s v="754265125681"/>
    <s v="02/01/2025 20:45"/>
  </r>
  <r>
    <x v="0"/>
    <x v="0"/>
    <n v="100"/>
    <n v="1"/>
    <n v="0"/>
    <s v="EPR20"/>
    <n v="100"/>
    <n v="0"/>
    <s v="ร้านที่1"/>
    <s v="อ***น   ศ***ำราญ"/>
    <s v="สมุทรสงคราม"/>
    <s v="-"/>
    <s v=""/>
    <s v="02/01/2025 20:44"/>
    <s v="-"/>
    <s v="J&amp;T COD"/>
    <s v="Tiktok"/>
    <s v="จ่ายทีหลัง / COD"/>
    <s v=""/>
    <s v="754248834651"/>
    <s v="02/01/2025 20:44"/>
  </r>
  <r>
    <x v="1"/>
    <x v="1"/>
    <n v="200"/>
    <n v="1"/>
    <n v="0"/>
    <s v="EPR19"/>
    <n v="200"/>
    <n v="0"/>
    <s v="ร้านที่1"/>
    <s v="ว***ญา ป***ม"/>
    <s v="ลพบุรี"/>
    <s v="-"/>
    <s v=""/>
    <s v="02/01/2025 20:43"/>
    <s v="-"/>
    <s v="J&amp;T Express"/>
    <s v="Tiktok"/>
    <s v="tiktok"/>
    <s v=""/>
    <s v="754284835636"/>
    <s v="02/01/2025 20:44"/>
  </r>
  <r>
    <x v="0"/>
    <x v="0"/>
    <n v="100"/>
    <n v="1"/>
    <n v="0"/>
    <s v="EPR17"/>
    <n v="350"/>
    <n v="0"/>
    <s v="ร้านที่1"/>
    <s v="ห***อม ห***าค"/>
    <s v="ยโสธร"/>
    <s v="-"/>
    <s v=""/>
    <s v="02/01/2025 20:42"/>
    <s v="-"/>
    <s v="J&amp;T Express"/>
    <s v="Tiktok"/>
    <s v="tiktok"/>
    <s v=""/>
    <s v="754242072500"/>
    <s v="02/01/2025 20:42"/>
  </r>
  <r>
    <x v="55"/>
    <x v="11"/>
    <n v="250"/>
    <n v="1"/>
    <n v="0"/>
    <s v="EPR17"/>
    <n v="350"/>
    <n v="0"/>
    <s v="ร้านที่1"/>
    <s v="ห***อม ห***าค"/>
    <s v="ยโสธร"/>
    <s v="-"/>
    <s v=""/>
    <s v="02/01/2025 20:42"/>
    <s v="-"/>
    <s v="J&amp;T Express"/>
    <s v="Tiktok"/>
    <s v="tiktok"/>
    <s v=""/>
    <s v="754242072500"/>
    <s v="02/01/2025 20:42"/>
  </r>
  <r>
    <x v="1"/>
    <x v="1"/>
    <n v="200"/>
    <n v="1"/>
    <n v="0"/>
    <s v="EPR16"/>
    <n v="200"/>
    <n v="0"/>
    <s v="ร้านที่1"/>
    <s v="ส*** ม***"/>
    <s v="เพชรบูรณ์"/>
    <s v="-"/>
    <s v=""/>
    <s v="02/01/2025 20:40"/>
    <s v="-"/>
    <s v="J&amp;T Express"/>
    <s v="Tiktok"/>
    <s v="tiktok"/>
    <s v=""/>
    <s v="754253039654"/>
    <s v="02/01/2025 20:40"/>
  </r>
  <r>
    <x v="0"/>
    <x v="0"/>
    <n v="100"/>
    <n v="1"/>
    <n v="0"/>
    <s v="EPR15"/>
    <n v="106"/>
    <n v="6"/>
    <s v="ร้านที่2"/>
    <s v="ป***ายแก้ว เ***า"/>
    <s v="สมุทรปราการ"/>
    <s v="-"/>
    <s v=""/>
    <s v="02/01/2025 20:39"/>
    <s v="-"/>
    <s v="J&amp;T Express"/>
    <s v="Tiktok"/>
    <s v="tiktok"/>
    <s v=""/>
    <s v="754238031654"/>
    <s v="02/01/2025 20:39"/>
  </r>
  <r>
    <x v="1"/>
    <x v="1"/>
    <n v="200"/>
    <n v="1"/>
    <n v="0"/>
    <s v="EPR14"/>
    <n v="200"/>
    <n v="0"/>
    <s v="ร้านที่2"/>
    <s v="ช***ศา พ***์ทอง"/>
    <s v="ลำพูน"/>
    <s v="-"/>
    <s v=""/>
    <s v="02/01/2025 20:38"/>
    <s v="-"/>
    <s v="J&amp;T COD"/>
    <s v="Tiktok"/>
    <s v="จ่ายทีหลัง / COD"/>
    <s v=""/>
    <s v="754252837656"/>
    <s v="02/01/2025 20:38"/>
  </r>
  <r>
    <x v="15"/>
    <x v="15"/>
    <n v="200"/>
    <n v="1"/>
    <n v="0"/>
    <s v="EPR13"/>
    <n v="200"/>
    <n v="0"/>
    <s v="ร้านที่1"/>
    <s v="ป***า ห***ครบุรี"/>
    <s v="สมุทรปราการ"/>
    <s v="-"/>
    <s v=""/>
    <s v="02/01/2025 20:36"/>
    <s v="-"/>
    <s v="J&amp;T COD"/>
    <s v="Tiktok"/>
    <s v="จ่ายทีหลัง / COD"/>
    <s v=""/>
    <s v="754252502636"/>
    <s v="02/01/2025 20:37"/>
  </r>
  <r>
    <x v="4"/>
    <x v="4"/>
    <n v="100"/>
    <n v="1"/>
    <n v="0"/>
    <s v="EPR12"/>
    <n v="106"/>
    <n v="6"/>
    <s v="ร้านที่1"/>
    <s v="ณ***ท์ แ***มาก"/>
    <s v="หนองบัวลำภู"/>
    <s v="-"/>
    <s v=""/>
    <s v="02/01/2025 20:36"/>
    <s v="-"/>
    <s v="J&amp;T COD"/>
    <s v="Tiktok"/>
    <s v="จ่ายทีหลัง / COD"/>
    <s v=""/>
    <s v="754262505695"/>
    <s v="02/01/2025 20:36"/>
  </r>
  <r>
    <x v="0"/>
    <x v="0"/>
    <n v="100"/>
    <n v="1"/>
    <n v="0"/>
    <s v="EPR11"/>
    <n v="106"/>
    <n v="6"/>
    <s v="ร้านที่1"/>
    <s v="ม*** เ***งสิทธิ์"/>
    <s v="เทศบาลนครลำปาง"/>
    <s v="-"/>
    <s v=""/>
    <s v="02/01/2025 20:36"/>
    <s v="-"/>
    <s v="J&amp;T COD"/>
    <s v="Tiktok"/>
    <s v="จ่ายทีหลัง / COD"/>
    <s v=""/>
    <s v="754231238655"/>
    <s v="02/01/2025 20:36"/>
  </r>
  <r>
    <x v="0"/>
    <x v="0"/>
    <n v="100"/>
    <n v="1"/>
    <n v="0"/>
    <s v="EPR9"/>
    <n v="100"/>
    <n v="0"/>
    <s v="ร้านที่1"/>
    <s v="ธ***รัตน์ อ***อง"/>
    <s v="กำแพงเพชร"/>
    <s v="-"/>
    <s v=""/>
    <s v="02/01/2025 20:36"/>
    <s v="-"/>
    <s v="J&amp;T COD"/>
    <s v="Tiktok"/>
    <s v="จ่ายทีหลัง / COD"/>
    <s v=""/>
    <s v="754265528682"/>
    <s v="02/01/2025 20:36"/>
  </r>
  <r>
    <x v="0"/>
    <x v="0"/>
    <n v="100"/>
    <n v="1"/>
    <n v="0"/>
    <s v="EPR8"/>
    <n v="106"/>
    <n v="6"/>
    <s v="ร้านที่2"/>
    <s v="เ***เจิน "/>
    <s v="เชียงใหม่"/>
    <s v="-"/>
    <s v=""/>
    <s v="02/01/2025 20:36"/>
    <s v="-"/>
    <s v="J&amp;T Express"/>
    <s v="Tiktok"/>
    <s v="tiktok"/>
    <s v=""/>
    <s v="754239420594"/>
    <s v="02/01/2025 20:35"/>
  </r>
  <r>
    <x v="1"/>
    <x v="1"/>
    <n v="200"/>
    <n v="1"/>
    <n v="0"/>
    <s v="EPR7"/>
    <n v="200"/>
    <n v="0"/>
    <s v="ร้านที่1"/>
    <s v="แ***ใจ ค***อินทร์"/>
    <s v="กรุงเทพฯ"/>
    <s v="-"/>
    <s v=""/>
    <s v="02/01/2025 20:32"/>
    <s v="-"/>
    <s v="J&amp;T COD"/>
    <s v="Tiktok"/>
    <s v="จ่ายทีหลัง / COD"/>
    <s v=""/>
    <s v="754261438652"/>
    <s v="02/01/2025 20:32"/>
  </r>
  <r>
    <x v="5"/>
    <x v="5"/>
    <n v="350"/>
    <n v="1"/>
    <n v="0"/>
    <s v="EPR6"/>
    <n v="350"/>
    <n v="0"/>
    <s v="ร้านที่4"/>
    <s v="ส***ยทองกร  ห***ื่น"/>
    <s v="สุโขทัย"/>
    <s v="-"/>
    <s v=""/>
    <s v="02/01/2025 20:32"/>
    <s v="-"/>
    <s v="Flash Express Thailand COD"/>
    <s v="Tiktok"/>
    <s v="จ่ายทีหลัง / COD"/>
    <s v=""/>
    <s v="THT60051DSEA74Z"/>
    <s v="02/01/2025 20:32"/>
  </r>
  <r>
    <x v="9"/>
    <x v="4"/>
    <n v="100"/>
    <n v="2"/>
    <n v="0"/>
    <s v="EPR4"/>
    <n v="200"/>
    <n v="0"/>
    <s v="ร้านที่1"/>
    <s v="ภ***พงศ์ ม***ธิมงคล"/>
    <s v="ราชบุรี"/>
    <s v="-"/>
    <s v=""/>
    <s v="02/01/2025 20:28"/>
    <s v="-"/>
    <s v="J&amp;T COD"/>
    <s v="Tiktok"/>
    <s v="จ่ายทีหลัง / COD"/>
    <s v=""/>
    <s v="754214962513"/>
    <s v="02/01/2025 20:29"/>
  </r>
  <r>
    <x v="0"/>
    <x v="0"/>
    <n v="100"/>
    <n v="2"/>
    <n v="0"/>
    <s v="EPR3"/>
    <n v="200"/>
    <n v="0"/>
    <s v="ร้านที่2"/>
    <s v="ว***ทร์ภัค จ***จรรยาพงศ์"/>
    <s v="ชลบุรี"/>
    <s v="-"/>
    <s v=""/>
    <s v="02/01/2025 20:28"/>
    <s v="-"/>
    <s v="J&amp;T Express"/>
    <s v="Tiktok"/>
    <s v="tiktok"/>
    <s v=""/>
    <s v="754220580536"/>
    <s v="02/01/2025 20:28"/>
  </r>
  <r>
    <x v="10"/>
    <x v="10"/>
    <n v="200"/>
    <n v="1"/>
    <n v="0"/>
    <s v="EPR1"/>
    <n v="200"/>
    <n v="0"/>
    <s v="ร้านที่2"/>
    <s v="ป***พวรรณณรังษี"/>
    <s v="ระยอง"/>
    <s v="-"/>
    <s v=""/>
    <s v="02/01/2025 20:27"/>
    <s v="-"/>
    <s v="J&amp;T COD"/>
    <s v="Tiktok"/>
    <s v="จ่ายทีหลัง / COD"/>
    <s v=""/>
    <s v="754258016680"/>
    <s v="02/01/2025 20:27"/>
  </r>
  <r>
    <x v="1"/>
    <x v="1"/>
    <n v="200"/>
    <n v="1"/>
    <n v="0"/>
    <s v="EPR0"/>
    <n v="200"/>
    <n v="0"/>
    <s v="ร้านที่1"/>
    <s v="ป***ดา"/>
    <s v="เทศบาลเมืองบุรีรัมย์"/>
    <s v="-"/>
    <s v=""/>
    <s v="02/01/2025 20:27"/>
    <s v="-"/>
    <s v="J&amp;T COD"/>
    <s v="Tiktok"/>
    <s v="จ่ายทีหลัง / COD"/>
    <s v=""/>
    <s v="754229430636"/>
    <s v="02/01/2025 20:27"/>
  </r>
  <r>
    <x v="0"/>
    <x v="0"/>
    <n v="100"/>
    <n v="2"/>
    <n v="0"/>
    <s v="EPQ98"/>
    <n v="200"/>
    <n v="0"/>
    <s v="ร้านที่1"/>
    <s v="ก***นา น***น้อย"/>
    <s v="ปทุมธานี"/>
    <s v="-"/>
    <s v=""/>
    <s v="02/01/2025 20:23"/>
    <s v="-"/>
    <s v="J&amp;T COD"/>
    <s v="Tiktok"/>
    <s v="จ่ายทีหลัง / COD"/>
    <s v=""/>
    <s v="754266286594"/>
    <s v="02/01/2025 20:23"/>
  </r>
  <r>
    <x v="4"/>
    <x v="4"/>
    <n v="100"/>
    <n v="2"/>
    <n v="0"/>
    <s v="EPQ97"/>
    <n v="200"/>
    <n v="0"/>
    <s v="ร้านที่1"/>
    <s v="น***พรณ์ ถ***นอก"/>
    <s v="กรุงเทพมหานคร"/>
    <s v="-"/>
    <s v=""/>
    <s v="02/01/2025 20:21"/>
    <s v="-"/>
    <s v="J&amp;T COD"/>
    <s v="Tiktok"/>
    <s v="จ่ายทีหลัง / COD"/>
    <s v=""/>
    <s v="754255502685"/>
    <s v="02/01/2025 20:21"/>
  </r>
  <r>
    <x v="10"/>
    <x v="10"/>
    <n v="200"/>
    <n v="1"/>
    <n v="0"/>
    <s v="EPQ96"/>
    <n v="200"/>
    <n v="0"/>
    <s v="ร้านที่2"/>
    <s v="น***ลธิรา ว***ำเชื้อ"/>
    <s v="มหาสารคาม"/>
    <s v="-"/>
    <s v=""/>
    <s v="02/01/2025 20:21"/>
    <s v="-"/>
    <s v="J&amp;T Express"/>
    <s v="Tiktok"/>
    <s v="tiktok"/>
    <s v=""/>
    <s v="754277018681"/>
    <s v="02/01/2025 20:21"/>
  </r>
  <r>
    <x v="3"/>
    <x v="3"/>
    <n v="100"/>
    <n v="2"/>
    <n v="0"/>
    <s v="EPQ95"/>
    <n v="200"/>
    <n v="0"/>
    <s v="ร้านที่2"/>
    <s v="ด******)"/>
    <s v="******าด, อำเภอเมืองสุราษฎร์ธานี ตำบลตลาด อำเภอเมืองสุราษฎร์ธานี จังหวัดสุราษฎร์ธานี 84000"/>
    <s v="84000"/>
    <s v="39"/>
    <s v="02/01/2025 20:51"/>
    <s v="-"/>
    <s v="Flash Express"/>
    <s v="Shopee"/>
    <s v="shopee"/>
    <s v=""/>
    <s v="TH68016ND1FD2A"/>
    <s v="02/01/2025 20:21"/>
  </r>
  <r>
    <x v="0"/>
    <x v="0"/>
    <n v="100"/>
    <n v="1"/>
    <n v="0"/>
    <s v="EPQ94"/>
    <n v="106"/>
    <n v="6"/>
    <s v="ร้านที่1"/>
    <s v="น***ุมาลี เ***น้อย"/>
    <s v="ชุมพร"/>
    <s v="-"/>
    <s v=""/>
    <s v="02/01/2025 20:20"/>
    <s v="-"/>
    <s v="J&amp;T COD"/>
    <s v="Tiktok"/>
    <s v="จ่ายทีหลัง / COD"/>
    <s v=""/>
    <s v="754218631666"/>
    <s v="02/01/2025 20:20"/>
  </r>
  <r>
    <x v="1"/>
    <x v="1"/>
    <n v="200"/>
    <n v="1"/>
    <n v="0"/>
    <s v="EPQ92"/>
    <n v="200"/>
    <n v="0"/>
    <s v="ร้านที่1"/>
    <s v="ช*** ณ*"/>
    <s v="ลพบุรี"/>
    <s v="-"/>
    <s v=""/>
    <s v="02/01/2025 20:18"/>
    <s v="-"/>
    <s v="J&amp;T COD"/>
    <s v="Tiktok"/>
    <s v="จ่ายทีหลัง / COD"/>
    <s v=""/>
    <s v="754267920674"/>
    <s v="02/01/2025 20:18"/>
  </r>
  <r>
    <x v="1"/>
    <x v="1"/>
    <n v="200"/>
    <n v="1"/>
    <n v="0"/>
    <s v="EPQ91"/>
    <n v="200"/>
    <n v="0"/>
    <s v="ร้านที่2"/>
    <s v="ว***ตน์ น***ผล"/>
    <s v="นครพนม"/>
    <s v="-"/>
    <s v=""/>
    <s v="02/01/2025 20:17"/>
    <s v="-"/>
    <s v="Flash Express Thailand COD"/>
    <s v="Tiktok"/>
    <s v="จ่ายทีหลัง / COD"/>
    <s v=""/>
    <s v="THT45011DS4X91Z"/>
    <s v="02/01/2025 20:17"/>
  </r>
  <r>
    <x v="19"/>
    <x v="19"/>
    <n v="199"/>
    <n v="1"/>
    <n v="0"/>
    <s v="EPQ90"/>
    <n v="199"/>
    <n v="0"/>
    <s v="ร้านที่1"/>
    <s v="แ******น"/>
    <s v="******  จังหวัดสุราษธานี ตำบลพลูเถื่อน อำเภอพนม จังหวัดสุราษฎร์ธานี 84250"/>
    <s v="84250"/>
    <s v="47"/>
    <s v="02/01/2025 20:17"/>
    <s v="-"/>
    <s v="SPX Express"/>
    <s v="Shopee"/>
    <s v="shopee"/>
    <s v=""/>
    <s v="TH259699064649R"/>
    <s v="02/01/2025 20:17"/>
  </r>
  <r>
    <x v="0"/>
    <x v="0"/>
    <n v="100"/>
    <n v="1"/>
    <n v="0"/>
    <s v="EPQ88"/>
    <n v="106"/>
    <n v="6"/>
    <s v="ร้านที่1"/>
    <s v="พ***รายุทธ ส***กรไทย"/>
    <s v="นครศรีธรรมราช"/>
    <s v="-"/>
    <s v=""/>
    <s v="02/01/2025 20:15"/>
    <s v="-"/>
    <s v="J&amp;T COD"/>
    <s v="Tiktok"/>
    <s v="จ่ายทีหลัง / COD"/>
    <s v=""/>
    <s v="754273332606"/>
    <s v="02/01/2025 20:15"/>
  </r>
  <r>
    <x v="1"/>
    <x v="1"/>
    <n v="200"/>
    <n v="1"/>
    <n v="0"/>
    <s v="EPQ87"/>
    <n v="200"/>
    <n v="0"/>
    <s v="ร้านที่1"/>
    <s v="ไ***"/>
    <s v="พระนครศรีอยุธยา"/>
    <s v="-"/>
    <s v=""/>
    <s v="02/01/2025 20:15"/>
    <s v="-"/>
    <s v="Flash Express Thailand"/>
    <s v="Tiktok"/>
    <s v="tiktok"/>
    <s v=""/>
    <s v="THT05071DS4US7Z"/>
    <s v="02/01/2025 20:15"/>
  </r>
  <r>
    <x v="5"/>
    <x v="5"/>
    <n v="330"/>
    <n v="1"/>
    <n v="0"/>
    <s v="EPQ86"/>
    <n v="330"/>
    <n v="0"/>
    <s v="ร้านที่1"/>
    <s v="น***ิญโญ ท***ิ้ม"/>
    <s v="กรุงเทพฯ"/>
    <s v="-"/>
    <s v=""/>
    <s v="02/01/2025 20:14"/>
    <s v="-"/>
    <s v="J&amp;T COD"/>
    <s v="Tiktok"/>
    <s v="จ่ายทีหลัง / COD"/>
    <s v=""/>
    <s v="754218588524"/>
    <s v="02/01/2025 20:14"/>
  </r>
  <r>
    <x v="1"/>
    <x v="1"/>
    <n v="200"/>
    <n v="1"/>
    <n v="0"/>
    <s v="EPQ85"/>
    <n v="200"/>
    <n v="0"/>
    <s v="ร้านที่1"/>
    <s v="s** c**"/>
    <s v="Surat Thani"/>
    <s v="-"/>
    <s v=""/>
    <s v="02/01/2025 20:13"/>
    <s v="-"/>
    <s v="J&amp;T COD"/>
    <s v="Tiktok"/>
    <s v="จ่ายทีหลัง / COD"/>
    <s v=""/>
    <s v="754215634642"/>
    <s v="02/01/2025 20:13"/>
  </r>
  <r>
    <x v="0"/>
    <x v="0"/>
    <n v="100"/>
    <n v="1"/>
    <n v="0"/>
    <s v="EPQ83"/>
    <n v="129"/>
    <n v="29"/>
    <s v="ร้านที่4"/>
    <s v="ค***้อม"/>
    <s v="นครปฐม"/>
    <s v="-"/>
    <s v=""/>
    <s v="02/01/2025 20:12"/>
    <s v="-"/>
    <s v="Flash Express Thailand"/>
    <s v="Tiktok"/>
    <s v="tiktok"/>
    <s v=""/>
    <s v="THT15011DS76Y1Z"/>
    <s v="02/01/2025 20:11"/>
  </r>
  <r>
    <x v="0"/>
    <x v="0"/>
    <n v="100"/>
    <n v="1"/>
    <n v="0"/>
    <s v="EPQ82"/>
    <n v="106"/>
    <n v="6"/>
    <s v="ร้านที่1"/>
    <s v="ป***า ท***ำ"/>
    <s v="นครศรีธรรมราช"/>
    <s v="-"/>
    <s v=""/>
    <s v="02/01/2025 20:11"/>
    <s v="-"/>
    <s v="J&amp;T COD"/>
    <s v="Tiktok"/>
    <s v="จ่ายทีหลัง / COD"/>
    <s v=""/>
    <s v="754200726661"/>
    <s v="02/01/2025 20:11"/>
  </r>
  <r>
    <x v="38"/>
    <x v="41"/>
    <n v="198.2"/>
    <n v="1"/>
    <n v="0"/>
    <s v="EPQ81"/>
    <n v="203.2"/>
    <n v="5"/>
    <s v="ร้านที่1"/>
    <s v="Prapaporn Wijob"/>
    <s v="163 หมู่ 7 บ้านด่านคนคบ ตำบลด่านคล้า_x000a__x000a_โนนสูง/ Non Sungนครราชสีมา/ Nakhon Ratchasima_x000a_30160"/>
    <s v="30160"/>
    <s v="660813852682"/>
    <s v="02/01/2025 20:11"/>
    <s v="-"/>
    <s v="Kerry_dropoff"/>
    <s v="Lazada"/>
    <s v="lazada"/>
    <s v=""/>
    <s v="TH27106NBS4K8L"/>
    <s v="02/01/2025 20:11"/>
  </r>
  <r>
    <x v="5"/>
    <x v="5"/>
    <n v="330"/>
    <n v="1"/>
    <n v="0"/>
    <s v="EPQ80"/>
    <n v="330"/>
    <n v="0"/>
    <s v="ร้านที่1"/>
    <s v="ท***์เกษร ก***ัตน์"/>
    <s v="ฉะเชิงเทรา"/>
    <s v="-"/>
    <s v=""/>
    <s v="02/01/2025 20:10"/>
    <s v="-"/>
    <s v="J&amp;T COD"/>
    <s v="Tiktok"/>
    <s v="จ่ายทีหลัง / COD"/>
    <s v=""/>
    <s v="754229298535"/>
    <s v="02/01/2025 20:10"/>
  </r>
  <r>
    <x v="5"/>
    <x v="5"/>
    <n v="330"/>
    <n v="1"/>
    <n v="0"/>
    <s v="EPQ79"/>
    <n v="330"/>
    <n v="0"/>
    <s v="ร้านที่1"/>
    <s v="ป***พวรรณณรังษี"/>
    <s v="ระยอง"/>
    <s v="-"/>
    <s v=""/>
    <s v="02/01/2025 20:10"/>
    <s v="-"/>
    <s v="J&amp;T COD"/>
    <s v="Tiktok"/>
    <s v="จ่ายทีหลัง / COD"/>
    <s v=""/>
    <s v="754204093532"/>
    <s v="02/01/2025 20:10"/>
  </r>
  <r>
    <x v="0"/>
    <x v="0"/>
    <n v="100"/>
    <n v="1"/>
    <n v="0"/>
    <s v="EPQ78"/>
    <n v="106"/>
    <n v="6"/>
    <s v="ร้านที่1"/>
    <s v="ม***กมล ช***ชื่น"/>
    <s v="สงขลา"/>
    <s v="-"/>
    <s v=""/>
    <s v="02/01/2025 20:09"/>
    <s v="-"/>
    <s v="J&amp;T COD"/>
    <s v="Tiktok"/>
    <s v="จ่ายทีหลัง / COD"/>
    <s v=""/>
    <s v="754266526646"/>
    <s v="02/01/2025 20:10"/>
  </r>
  <r>
    <x v="10"/>
    <x v="10"/>
    <n v="200"/>
    <n v="1"/>
    <n v="0"/>
    <s v="EPQ76"/>
    <n v="200"/>
    <n v="0"/>
    <s v="ร้านที่2"/>
    <s v="น***ลทิพย์  ส***วัสดิ์"/>
    <s v="สงขลา"/>
    <s v="-"/>
    <s v=""/>
    <s v="02/01/2025 20:09"/>
    <s v="-"/>
    <s v="J&amp;T COD"/>
    <s v="Tiktok"/>
    <s v="จ่ายทีหลัง / COD"/>
    <s v=""/>
    <s v="754240500661"/>
    <s v="02/01/2025 20:09"/>
  </r>
  <r>
    <x v="1"/>
    <x v="1"/>
    <n v="200"/>
    <n v="1"/>
    <n v="0"/>
    <s v="EPQ75"/>
    <n v="200"/>
    <n v="0"/>
    <s v="ร้านที่2"/>
    <s v="ถ***  บ***า"/>
    <s v="นครศรีธรรมราช"/>
    <s v="-"/>
    <s v=""/>
    <s v="02/01/2025 20:06"/>
    <s v="-"/>
    <s v="J&amp;T Express"/>
    <s v="Tiktok"/>
    <s v="tiktok"/>
    <s v=""/>
    <s v="754293524681"/>
    <s v="02/01/2025 20:06"/>
  </r>
  <r>
    <x v="5"/>
    <x v="5"/>
    <n v="350"/>
    <n v="1"/>
    <n v="0"/>
    <s v="EPQ74"/>
    <n v="350"/>
    <n v="0"/>
    <s v="ร้านที่4"/>
    <s v="พ***พย์ เ***ะทอง"/>
    <s v="เทศบาลเมืองบุรีรัมย์"/>
    <s v="-"/>
    <s v=""/>
    <s v="02/01/2025 20:04"/>
    <s v="-"/>
    <s v="Flash Express Thailand"/>
    <s v="Tiktok"/>
    <s v="tiktok"/>
    <s v=""/>
    <s v="THT28101DS0VC9Z"/>
    <s v="02/01/2025 20:04"/>
  </r>
  <r>
    <x v="4"/>
    <x v="4"/>
    <n v="150"/>
    <n v="1"/>
    <n v="0"/>
    <s v="EPQ73"/>
    <n v="150"/>
    <n v="0"/>
    <s v="ร้านที่2"/>
    <s v="เ******ฆ"/>
    <s v="******ตำบลหนองสามวัง อำเภอหนองเสือ จังหวัดปทุมธานี 12170"/>
    <s v="12170"/>
    <s v="13"/>
    <s v="02/01/2025 20:33"/>
    <s v="-"/>
    <s v="Flash Express"/>
    <s v="Shopee"/>
    <s v="shopee"/>
    <s v=""/>
    <s v="TH04046ND12D5E"/>
    <s v="02/01/2025 20:04"/>
  </r>
  <r>
    <x v="0"/>
    <x v="0"/>
    <n v="100"/>
    <n v="2"/>
    <n v="0"/>
    <s v="EPQ72"/>
    <n v="200"/>
    <n v="0"/>
    <s v="ร้านที่1"/>
    <s v="น***ท บ***ิริ"/>
    <s v="สงขลา"/>
    <s v="-"/>
    <s v=""/>
    <s v="02/01/2025 20:02"/>
    <s v="-"/>
    <s v="J&amp;T COD"/>
    <s v="Tiktok"/>
    <s v="จ่ายทีหลัง / COD"/>
    <s v=""/>
    <s v="754226191585"/>
    <s v="02/01/2025 20:02"/>
  </r>
  <r>
    <x v="29"/>
    <x v="36"/>
    <n v="330"/>
    <n v="1"/>
    <n v="0"/>
    <s v="EPQ71"/>
    <n v="330"/>
    <n v="0"/>
    <s v="ร้านที่1"/>
    <s v="ณ***ล  อ***รม"/>
    <s v="เชียงใหม่"/>
    <s v="-"/>
    <s v=""/>
    <s v="02/01/2025 20:02"/>
    <s v="-"/>
    <s v="J&amp;T COD"/>
    <s v="Tiktok"/>
    <s v="จ่ายทีหลัง / COD"/>
    <s v=""/>
    <s v="754223319673"/>
    <s v="02/01/2025 20:02"/>
  </r>
  <r>
    <x v="33"/>
    <x v="43"/>
    <n v="330"/>
    <n v="1"/>
    <n v="0"/>
    <s v="EPQ70"/>
    <n v="330"/>
    <n v="0"/>
    <s v="ร้านที่1"/>
    <s v="ณ***ล  อ***รม"/>
    <s v="เชียงใหม่"/>
    <s v="-"/>
    <s v=""/>
    <s v="02/01/2025 20:01"/>
    <s v="-"/>
    <s v="J&amp;T COD"/>
    <s v="Tiktok"/>
    <s v="จ่ายทีหลัง / COD"/>
    <s v=""/>
    <s v="754270560514"/>
    <s v="02/01/2025 20:01"/>
  </r>
  <r>
    <x v="5"/>
    <x v="5"/>
    <n v="350"/>
    <n v="1"/>
    <n v="0"/>
    <s v="EPQ69"/>
    <n v="350"/>
    <n v="0"/>
    <s v="ร้านที่4"/>
    <s v="ณ***ล  อ***รม"/>
    <s v="เชียงใหม่"/>
    <s v="-"/>
    <s v=""/>
    <s v="02/01/2025 20:00"/>
    <s v="-"/>
    <s v="Flash Express Thailand COD"/>
    <s v="Tiktok"/>
    <s v="จ่ายทีหลัง / COD"/>
    <s v=""/>
    <s v="THT47041DSESQ2Z"/>
    <s v="02/01/2025 20:00"/>
  </r>
  <r>
    <x v="19"/>
    <x v="19"/>
    <n v="199"/>
    <n v="1"/>
    <n v="0"/>
    <s v="EPQ68"/>
    <n v="199"/>
    <n v="0"/>
    <s v="ร้านที่1"/>
    <s v="ณ******ง"/>
    <s v="******เมือง จ.ขอนแก่น 40000 ตำบลโคกสี อำเภอเมืองขอนแก่น จังหวัดขอนแก่น 40000"/>
    <s v="40000"/>
    <s v="29"/>
    <s v="02/01/2025 19:58"/>
    <s v="-"/>
    <s v="Flash Express"/>
    <s v="Shopee"/>
    <s v="shopee"/>
    <s v=""/>
    <s v="TH37016ND4MJ7C"/>
    <s v="02/01/2025 19:57"/>
  </r>
  <r>
    <x v="0"/>
    <x v="0"/>
    <n v="100"/>
    <n v="1"/>
    <n v="0"/>
    <s v="EPQ67"/>
    <n v="106"/>
    <n v="6"/>
    <s v="ร้านที่1"/>
    <s v="ป***สุทธิ์  ห***ทองหลาง"/>
    <s v="เทศบาลเมืองบุรีรัมย์"/>
    <s v="-"/>
    <s v=""/>
    <s v="02/01/2025 19:56"/>
    <s v="-"/>
    <s v="J&amp;T COD"/>
    <s v="Tiktok"/>
    <s v="จ่ายทีหลัง / COD"/>
    <s v=""/>
    <s v="754298230652"/>
    <s v="02/01/2025 19:57"/>
  </r>
  <r>
    <x v="0"/>
    <x v="0"/>
    <n v="100"/>
    <n v="1"/>
    <n v="0"/>
    <s v="EPQ66"/>
    <n v="106"/>
    <n v="6"/>
    <s v="ร้านที่2"/>
    <s v="ก***รรณ ธ***จะดี ก***ฟ"/>
    <s v="กาญจนบุรี"/>
    <s v="-"/>
    <s v=""/>
    <s v="02/01/2025 19:56"/>
    <s v="-"/>
    <s v="J&amp;T COD"/>
    <s v="Tiktok"/>
    <s v="จ่ายทีหลัง / COD"/>
    <s v=""/>
    <s v="754267036655"/>
    <s v="02/01/2025 19:56"/>
  </r>
  <r>
    <x v="4"/>
    <x v="4"/>
    <n v="100"/>
    <n v="1"/>
    <n v="0"/>
    <s v="EPQ65"/>
    <n v="106"/>
    <n v="6"/>
    <s v="ร้านที่2"/>
    <s v="ป***สา  แ***มณี"/>
    <s v="กรุงเทพมหานคร"/>
    <s v="-"/>
    <s v=""/>
    <s v="02/01/2025 19:56"/>
    <s v="-"/>
    <s v="J&amp;T Express"/>
    <s v="Tiktok"/>
    <s v="tiktok"/>
    <s v=""/>
    <s v="754216811655"/>
    <s v="02/01/2025 19:56"/>
  </r>
  <r>
    <x v="3"/>
    <x v="3"/>
    <n v="139.80000000000001"/>
    <n v="1"/>
    <n v="0"/>
    <s v="EPQ64"/>
    <n v="139.80000000000001"/>
    <n v="0"/>
    <s v="ร้านที่1"/>
    <s v="อัญชลี พิสุทธิ์ดำรงกุล"/>
    <s v="12/2 ม.5 · รางพิกุล/ Rang Phikun_x000a__x000a_กำแพงแสน/ Kamphaeng Saenนครปฐม/ Nakhon Pathom_x000a_73140"/>
    <s v="73140"/>
    <s v="660992546988"/>
    <s v="02/01/2025 19:57"/>
    <s v="-"/>
    <s v="Kerry_dropoff"/>
    <s v="Lazada"/>
    <s v="lazada"/>
    <s v=""/>
    <s v="LEXPU0441119694"/>
    <s v="02/01/2025 19:55"/>
  </r>
  <r>
    <x v="5"/>
    <x v="5"/>
    <n v="350"/>
    <n v="1"/>
    <n v="0"/>
    <s v="EPQ63"/>
    <n v="350"/>
    <n v="0"/>
    <s v="ร้านที่4"/>
    <s v="น***รัพย์  ศ***าง"/>
    <s v="สุรินทร์"/>
    <s v="-"/>
    <s v=""/>
    <s v="02/01/2025 19:54"/>
    <s v="-"/>
    <s v="Flash Express Thailand"/>
    <s v="Tiktok"/>
    <s v="tiktok"/>
    <s v=""/>
    <s v="THT29121DSDGP0Z"/>
    <s v="02/01/2025 19:54"/>
  </r>
  <r>
    <x v="9"/>
    <x v="4"/>
    <n v="100"/>
    <n v="1"/>
    <n v="0"/>
    <s v="EPQ61"/>
    <n v="106"/>
    <n v="6"/>
    <s v="ร้านที่4"/>
    <s v="ก***์สิรี"/>
    <s v="ราชบุรี"/>
    <s v="-"/>
    <s v=""/>
    <s v="02/01/2025 19:50"/>
    <s v="-"/>
    <s v="Flash Express Thailand"/>
    <s v="Tiktok"/>
    <s v="tiktok"/>
    <s v=""/>
    <s v="THT12051DS4175Z"/>
    <s v="02/01/2025 19:50"/>
  </r>
  <r>
    <x v="3"/>
    <x v="8"/>
    <n v="84"/>
    <n v="1"/>
    <n v="0"/>
    <s v="EPQ60"/>
    <n v="89"/>
    <n v="5"/>
    <s v="ร้านที่6"/>
    <s v="สุทิน  คำกำจัด"/>
    <s v="165   หมู่1 บ้านตาลชุม  ตำบลตาลชุม_x000a__x000a_เวียงสา/ Wiang Saน่าน/ Nan_x000a_55110"/>
    <s v="55110"/>
    <s v="660819181623"/>
    <s v="02/01/2025 19:49"/>
    <s v="-"/>
    <s v="Kerry_dropoff"/>
    <s v="Lazada"/>
    <s v="lazada"/>
    <s v=""/>
    <s v="TH52076NC62D0D"/>
    <s v="02/01/2025 19:49"/>
  </r>
  <r>
    <x v="4"/>
    <x v="4"/>
    <n v="100"/>
    <n v="1"/>
    <n v="0"/>
    <s v="EPQ59"/>
    <n v="106"/>
    <n v="6"/>
    <s v="ร้านที่4"/>
    <s v="ส***ศ แ***อุดม"/>
    <s v="นครศรีธรรมราช"/>
    <s v="-"/>
    <s v=""/>
    <s v="02/01/2025 19:47"/>
    <s v="-"/>
    <s v="Flash Express Thailand COD"/>
    <s v="Tiktok"/>
    <s v="จ่ายทีหลัง / COD"/>
    <s v=""/>
    <s v="THT64091DRVFS5Z"/>
    <s v="02/01/2025 19:47"/>
  </r>
  <r>
    <x v="1"/>
    <x v="1"/>
    <n v="200"/>
    <n v="1"/>
    <n v="0"/>
    <s v="EPQ58"/>
    <n v="200"/>
    <n v="0"/>
    <s v="ร้านที่2"/>
    <s v="ส***กา ก***นสว่าง"/>
    <s v="เพชรบุรี"/>
    <s v="-"/>
    <s v=""/>
    <s v="02/01/2025 19:47"/>
    <s v="-"/>
    <s v="J&amp;T COD"/>
    <s v="Tiktok"/>
    <s v="จ่ายทีหลัง / COD"/>
    <s v=""/>
    <s v="754298921644"/>
    <s v="02/01/2025 19:47"/>
  </r>
  <r>
    <x v="4"/>
    <x v="4"/>
    <n v="100"/>
    <n v="1"/>
    <n v="0"/>
    <s v="EPQ56"/>
    <n v="200"/>
    <n v="0"/>
    <s v="ร้านที่2"/>
    <s v="ส***วิดา  ศ***ับขวา"/>
    <s v="ขอนแก่น"/>
    <s v="-"/>
    <s v=""/>
    <s v="02/01/2025 19:46"/>
    <s v="-"/>
    <s v="J&amp;T COD"/>
    <s v="Tiktok"/>
    <s v="จ่ายทีหลัง / COD"/>
    <s v=""/>
    <s v="754242969524"/>
    <s v="02/01/2025 19:46"/>
  </r>
  <r>
    <x v="0"/>
    <x v="0"/>
    <n v="100"/>
    <n v="1"/>
    <n v="0"/>
    <s v="EPQ56"/>
    <n v="200"/>
    <n v="0"/>
    <s v="ร้านที่2"/>
    <s v="ส***วิดา  ศ***ับขวา"/>
    <s v="ขอนแก่น"/>
    <s v="-"/>
    <s v=""/>
    <s v="02/01/2025 19:46"/>
    <s v="-"/>
    <s v="J&amp;T COD"/>
    <s v="Tiktok"/>
    <s v="จ่ายทีหลัง / COD"/>
    <s v=""/>
    <s v="754242969524"/>
    <s v="02/01/2025 19:46"/>
  </r>
  <r>
    <x v="10"/>
    <x v="10"/>
    <n v="200"/>
    <n v="1"/>
    <n v="0"/>
    <s v="EPQ55"/>
    <n v="200"/>
    <n v="0"/>
    <s v="ร้านที่1"/>
    <s v="ณ***าวุฒิ  ช***ี"/>
    <s v="กระบี่"/>
    <s v="-"/>
    <s v=""/>
    <s v="02/01/2025 19:44"/>
    <s v="-"/>
    <s v="J&amp;T COD"/>
    <s v="Tiktok"/>
    <s v="จ่ายทีหลัง / COD"/>
    <s v=""/>
    <s v="754286015685"/>
    <s v="02/01/2025 19:44"/>
  </r>
  <r>
    <x v="4"/>
    <x v="4"/>
    <n v="100"/>
    <n v="1"/>
    <n v="0"/>
    <s v="EPQ53"/>
    <n v="106"/>
    <n v="6"/>
    <s v="ร้านที่1"/>
    <s v="ส***จิตร ค***ญ"/>
    <s v="ศรีสะเกษ"/>
    <s v="-"/>
    <s v=""/>
    <s v="02/01/2025 19:41"/>
    <s v="-"/>
    <s v="J&amp;T COD"/>
    <s v="Tiktok"/>
    <s v="จ่ายทีหลัง / COD"/>
    <s v=""/>
    <s v="754237909681"/>
    <s v="02/01/2025 19:41"/>
  </r>
  <r>
    <x v="5"/>
    <x v="5"/>
    <n v="350"/>
    <n v="1"/>
    <n v="0"/>
    <s v="EPQ52"/>
    <n v="350"/>
    <n v="0"/>
    <s v="ร้านที่4"/>
    <s v="เ***กนก ส***รณพงศ์"/>
    <s v="ชัยภูมิ"/>
    <s v="-"/>
    <s v=""/>
    <s v="02/01/2025 19:39"/>
    <s v="-"/>
    <s v="Flash Express Thailand COD"/>
    <s v="Tiktok"/>
    <s v="จ่ายทีหลัง / COD"/>
    <s v=""/>
    <s v="THT33081DS0J75Z"/>
    <s v="02/01/2025 19:39"/>
  </r>
  <r>
    <x v="0"/>
    <x v="0"/>
    <n v="100"/>
    <n v="1"/>
    <n v="0"/>
    <s v="EPQ49"/>
    <n v="106"/>
    <n v="6"/>
    <s v="ร้านที่1"/>
    <s v="ส***ทิพย์  ข***อง"/>
    <s v="พัทลุง"/>
    <s v="-"/>
    <s v=""/>
    <s v="02/01/2025 19:39"/>
    <s v="-"/>
    <s v="J&amp;T COD"/>
    <s v="Tiktok"/>
    <s v="จ่ายทีหลัง / COD"/>
    <s v=""/>
    <s v="754295913674"/>
    <s v="02/01/2025 19:39"/>
  </r>
  <r>
    <x v="1"/>
    <x v="1"/>
    <n v="200"/>
    <n v="1"/>
    <n v="0"/>
    <s v="EPQ48"/>
    <n v="200"/>
    <n v="0"/>
    <s v="ร้านที่1"/>
    <s v="ก***นก น***ปลอด"/>
    <s v="ราชบุรี"/>
    <s v="-"/>
    <s v=""/>
    <s v="02/01/2025 19:39"/>
    <s v="-"/>
    <s v="J&amp;T COD"/>
    <s v="Tiktok"/>
    <s v="จ่ายทีหลัง / COD"/>
    <s v=""/>
    <s v="754206329645"/>
    <s v="02/01/2025 19:39"/>
  </r>
  <r>
    <x v="0"/>
    <x v="0"/>
    <n v="100"/>
    <n v="1"/>
    <n v="0"/>
    <s v="EPQ47"/>
    <n v="100"/>
    <n v="0"/>
    <s v="ร้านที่2"/>
    <s v="น***ไข่มุก"/>
    <s v="เทศบาลนครพิษณุโลก"/>
    <s v="-"/>
    <s v=""/>
    <s v="02/01/2025 19:37"/>
    <s v="-"/>
    <s v="J&amp;T COD"/>
    <s v="Tiktok"/>
    <s v="จ่ายทีหลัง / COD"/>
    <s v=""/>
    <s v="754235027615"/>
    <s v="02/01/2025 19:37"/>
  </r>
  <r>
    <x v="10"/>
    <x v="10"/>
    <n v="200"/>
    <n v="1"/>
    <n v="0"/>
    <s v="EPQ46"/>
    <n v="200"/>
    <n v="0"/>
    <s v="ร้านที่4"/>
    <s v="แ***ใจ ค***อินทร์"/>
    <s v="กรุงเทพฯ"/>
    <s v="-"/>
    <s v=""/>
    <s v="02/01/2025 19:36"/>
    <s v="-"/>
    <s v="Flash Express Thailand COD"/>
    <s v="Tiktok"/>
    <s v="จ่ายทีหลัง / COD"/>
    <s v=""/>
    <s v="THT01501DSN5R0Z"/>
    <s v="02/01/2025 19:36"/>
  </r>
  <r>
    <x v="10"/>
    <x v="10"/>
    <n v="200"/>
    <n v="1"/>
    <n v="0"/>
    <s v="EPQ44"/>
    <n v="200"/>
    <n v="0"/>
    <s v="ร้านที่2"/>
    <s v="ส***รัตน์ น***ทธิ์"/>
    <s v="เทศบาลนครนครศรีธรรมราช"/>
    <s v="-"/>
    <s v=""/>
    <s v="02/01/2025 19:34"/>
    <s v="-"/>
    <s v="J&amp;T COD"/>
    <s v="Tiktok"/>
    <s v="จ่ายทีหลัง / COD"/>
    <s v=""/>
    <s v="754292627675"/>
    <s v="02/01/2025 19:35"/>
  </r>
  <r>
    <x v="10"/>
    <x v="10"/>
    <n v="200"/>
    <n v="1"/>
    <n v="0"/>
    <s v="EPQ43"/>
    <n v="200"/>
    <n v="0"/>
    <s v="ร้านที่2"/>
    <s v="ว***พ็ญ ภ***ก้ว"/>
    <s v="ปทุมธานี"/>
    <s v="-"/>
    <s v=""/>
    <s v="02/01/2025 19:33"/>
    <s v="-"/>
    <s v="J&amp;T Express"/>
    <s v="Tiktok"/>
    <s v="tiktok"/>
    <s v=""/>
    <s v="754226123604"/>
    <s v="02/01/2025 19:32"/>
  </r>
  <r>
    <x v="1"/>
    <x v="1"/>
    <n v="200"/>
    <n v="5"/>
    <n v="0"/>
    <s v="EPQ42"/>
    <n v="1000"/>
    <n v="0"/>
    <s v="ร้านที่2"/>
    <s v="ก***นา"/>
    <s v="ราชบุรี"/>
    <s v="-"/>
    <s v=""/>
    <s v="02/01/2025 19:30"/>
    <s v="-"/>
    <s v="J&amp;T COD"/>
    <s v="Tiktok"/>
    <s v="จ่ายทีหลัง / COD"/>
    <s v=""/>
    <s v="754250087566"/>
    <s v="02/01/2025 19:31"/>
  </r>
  <r>
    <x v="0"/>
    <x v="0"/>
    <n v="100"/>
    <n v="1"/>
    <n v="0"/>
    <s v="EPQ41"/>
    <n v="106"/>
    <n v="6"/>
    <s v="ร้านที่1"/>
    <s v="ส*** พ***พวง"/>
    <s v="กาญจนบุรี"/>
    <s v="-"/>
    <s v=""/>
    <s v="02/01/2025 19:30"/>
    <s v="-"/>
    <s v="J&amp;T COD"/>
    <s v="Tiktok"/>
    <s v="จ่ายทีหลัง / COD"/>
    <s v=""/>
    <s v="754258023610"/>
    <s v="02/01/2025 19:31"/>
  </r>
  <r>
    <x v="0"/>
    <x v="0"/>
    <n v="100"/>
    <n v="1"/>
    <n v="0"/>
    <s v="EPQ40"/>
    <n v="100"/>
    <n v="0"/>
    <s v="ร้านที่1"/>
    <s v="อ***รา ป***ก้ว"/>
    <s v="สมุทรสาคร"/>
    <s v="-"/>
    <s v=""/>
    <s v="02/01/2025 19:30"/>
    <s v="-"/>
    <s v="J&amp;T COD"/>
    <s v="Tiktok"/>
    <s v="จ่ายทีหลัง / COD"/>
    <s v=""/>
    <s v="754293317643"/>
    <s v="02/01/2025 19:30"/>
  </r>
  <r>
    <x v="5"/>
    <x v="5"/>
    <n v="350"/>
    <n v="1"/>
    <n v="0"/>
    <s v="EPQ39"/>
    <n v="350"/>
    <n v="0"/>
    <s v="ร้านที่4"/>
    <s v="ธ***รณ"/>
    <s v="กรุงเทพฯ"/>
    <s v="-"/>
    <s v=""/>
    <s v="02/01/2025 19:30"/>
    <s v="-"/>
    <s v="Flash Express Thailand COD"/>
    <s v="Tiktok"/>
    <s v="จ่ายทีหลัง / COD"/>
    <s v=""/>
    <s v="THT01211DSDXW6Z"/>
    <s v="02/01/2025 19:30"/>
  </r>
  <r>
    <x v="0"/>
    <x v="0"/>
    <n v="100"/>
    <n v="1"/>
    <n v="0"/>
    <s v="EPQ38"/>
    <n v="106"/>
    <n v="6"/>
    <s v="ร้านที่1"/>
    <s v="ด* ร**"/>
    <s v="ยโสธร"/>
    <s v="-"/>
    <s v=""/>
    <s v="02/01/2025 19:26"/>
    <s v="-"/>
    <s v="J&amp;T COD"/>
    <s v="Tiktok"/>
    <s v="จ่ายทีหลัง / COD"/>
    <s v=""/>
    <s v="754247919644"/>
    <s v="02/01/2025 19:27"/>
  </r>
  <r>
    <x v="1"/>
    <x v="1"/>
    <n v="200"/>
    <n v="1"/>
    <n v="0"/>
    <s v="EPQ37"/>
    <n v="200"/>
    <n v="0"/>
    <s v="ร้านที่1"/>
    <s v="ส***ตรี ส***รณรักษ์"/>
    <s v="สุราษฎร์ธานี"/>
    <s v="-"/>
    <s v=""/>
    <s v="02/01/2025 19:24"/>
    <s v="-"/>
    <s v="J&amp;T Express"/>
    <s v="Tiktok"/>
    <s v="tiktok"/>
    <s v=""/>
    <s v="754274721653"/>
    <s v="02/01/2025 19:24"/>
  </r>
  <r>
    <x v="33"/>
    <x v="43"/>
    <n v="330"/>
    <n v="2"/>
    <n v="0"/>
    <s v="EPQ36"/>
    <n v="1320"/>
    <n v="0"/>
    <s v="ร้านที่4"/>
    <s v="เ***พร ป***ทอง"/>
    <s v="กรุงเทพมหานคร"/>
    <s v="-"/>
    <s v=""/>
    <s v="02/01/2025 19:23"/>
    <s v="-"/>
    <s v="Flash Express Thailand COD"/>
    <s v="Tiktok"/>
    <s v="จ่ายทีหลัง / COD"/>
    <s v=""/>
    <s v="THT01051DSJWM5Z"/>
    <s v="02/01/2025 19:24"/>
  </r>
  <r>
    <x v="29"/>
    <x v="36"/>
    <n v="330"/>
    <n v="2"/>
    <n v="0"/>
    <s v="EPQ36"/>
    <n v="1320"/>
    <n v="0"/>
    <s v="ร้านที่4"/>
    <s v="เ***พร ป***ทอง"/>
    <s v="กรุงเทพมหานคร"/>
    <s v="-"/>
    <s v=""/>
    <s v="02/01/2025 19:23"/>
    <s v="-"/>
    <s v="Flash Express Thailand COD"/>
    <s v="Tiktok"/>
    <s v="จ่ายทีหลัง / COD"/>
    <s v=""/>
    <s v="THT01051DSJWM5Z"/>
    <s v="02/01/2025 19:24"/>
  </r>
  <r>
    <x v="0"/>
    <x v="0"/>
    <n v="100"/>
    <n v="3"/>
    <n v="0"/>
    <s v="EPQ35"/>
    <n v="300"/>
    <n v="0"/>
    <s v="ร้านที่1"/>
    <s v="ศ***ณี  เ***มย์"/>
    <s v="บุรีรัมย์"/>
    <s v="-"/>
    <s v=""/>
    <s v="02/01/2025 19:23"/>
    <s v="-"/>
    <s v="J&amp;T COD"/>
    <s v="Tiktok"/>
    <s v="จ่ายทีหลัง / COD"/>
    <s v=""/>
    <s v="754235768543"/>
    <s v="02/01/2025 19:23"/>
  </r>
  <r>
    <x v="0"/>
    <x v="0"/>
    <n v="100"/>
    <n v="1"/>
    <n v="0"/>
    <s v="EPQ34"/>
    <n v="106"/>
    <n v="6"/>
    <s v="ร้านที่1"/>
    <s v="ว***ัทร เ***งคำ"/>
    <s v="หนองคาย"/>
    <s v="-"/>
    <s v=""/>
    <s v="02/01/2025 19:21"/>
    <s v="-"/>
    <s v="J&amp;T COD"/>
    <s v="Tiktok"/>
    <s v="จ่ายทีหลัง / COD"/>
    <s v=""/>
    <s v="754265525635"/>
    <s v="02/01/2025 19:21"/>
  </r>
  <r>
    <x v="5"/>
    <x v="5"/>
    <n v="350"/>
    <n v="1"/>
    <n v="0"/>
    <s v="EPQ33"/>
    <n v="395"/>
    <n v="45"/>
    <s v="ร้านที่4"/>
    <s v="พ**"/>
    <s v="กรุงเทพฯ"/>
    <s v="-"/>
    <s v=""/>
    <s v="02/01/2025 19:20"/>
    <s v="-"/>
    <s v="Flash Express Thailand"/>
    <s v="Tiktok"/>
    <s v="tiktok"/>
    <s v=""/>
    <s v="THT01471DS10R5Z"/>
    <s v="02/01/2025 19:19"/>
  </r>
  <r>
    <x v="0"/>
    <x v="0"/>
    <n v="100"/>
    <n v="1"/>
    <n v="0"/>
    <s v="EPQ32"/>
    <n v="106"/>
    <n v="6"/>
    <s v="ร้านที่2"/>
    <s v="ท***ร ค***ภัย"/>
    <s v="ปราจีนบุรี"/>
    <s v="-"/>
    <s v=""/>
    <s v="02/01/2025 19:14"/>
    <s v="-"/>
    <s v="J&amp;T COD"/>
    <s v="Tiktok"/>
    <s v="จ่ายทีหลัง / COD"/>
    <s v=""/>
    <s v="754236311640"/>
    <s v="02/01/2025 19:14"/>
  </r>
  <r>
    <x v="0"/>
    <x v="0"/>
    <n v="100"/>
    <n v="1"/>
    <n v="0"/>
    <s v="EPQ31"/>
    <n v="145"/>
    <n v="45"/>
    <s v="ร้านที่1"/>
    <s v="อ***สา  ว***ียน"/>
    <s v="ระยอง"/>
    <s v="-"/>
    <s v=""/>
    <s v="02/01/2025 19:14"/>
    <s v="-"/>
    <s v="J&amp;T COD"/>
    <s v="Tiktok"/>
    <s v="จ่ายทีหลัง / COD"/>
    <s v=""/>
    <s v="754281028616"/>
    <s v="02/01/2025 19:14"/>
  </r>
  <r>
    <x v="0"/>
    <x v="0"/>
    <n v="100"/>
    <n v="1"/>
    <n v="0"/>
    <s v="EPQ29"/>
    <n v="106"/>
    <n v="6"/>
    <s v="ร้านที่2"/>
    <s v="ล***าวัลย์  จ***ง่า"/>
    <s v="ฉะเชิงเทรา"/>
    <s v="-"/>
    <s v=""/>
    <s v="02/01/2025 19:10"/>
    <s v="-"/>
    <s v="J&amp;T COD"/>
    <s v="Tiktok"/>
    <s v="จ่ายทีหลัง / COD"/>
    <s v=""/>
    <s v="754256225623"/>
    <s v="02/01/2025 19:10"/>
  </r>
  <r>
    <x v="0"/>
    <x v="0"/>
    <n v="100"/>
    <n v="1"/>
    <n v="0"/>
    <s v="EPQ28"/>
    <n v="106"/>
    <n v="6"/>
    <s v="ร้านที่1"/>
    <s v="ส***วดี ส***ี"/>
    <s v="ตรัง"/>
    <s v="-"/>
    <s v=""/>
    <s v="02/01/2025 19:10"/>
    <s v="-"/>
    <s v="J&amp;T COD"/>
    <s v="Tiktok"/>
    <s v="จ่ายทีหลัง / COD"/>
    <s v=""/>
    <s v="754258914651"/>
    <s v="02/01/2025 19:10"/>
  </r>
  <r>
    <x v="3"/>
    <x v="3"/>
    <n v="100"/>
    <n v="2"/>
    <n v="0"/>
    <s v="EPQ27"/>
    <n v="245"/>
    <n v="45"/>
    <s v="ร้านที่2"/>
    <s v="พ******ย"/>
    <s v="******ษม 10 แขวงวัดท่าพระ เขตบางกอกใหญ่ จังหวัดกรุงเทพมหานคร 10600"/>
    <s v="10600"/>
    <s v="25"/>
    <s v="02/01/2025 19:10"/>
    <s v="-"/>
    <s v="Flash Express"/>
    <s v="Shopee"/>
    <s v="shopee"/>
    <s v=""/>
    <s v="TH01156ND1QP8A1"/>
    <s v="02/01/2025 19:10"/>
  </r>
  <r>
    <x v="5"/>
    <x v="5"/>
    <n v="350"/>
    <n v="2"/>
    <n v="0"/>
    <s v="EPQ26"/>
    <n v="70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EBK0Z"/>
    <s v="02/01/2025 19:10"/>
  </r>
  <r>
    <x v="5"/>
    <x v="5"/>
    <n v="350"/>
    <n v="1"/>
    <n v="0"/>
    <s v="EPQ25"/>
    <n v="35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EVH8Z"/>
    <s v="02/01/2025 19:09"/>
  </r>
  <r>
    <x v="5"/>
    <x v="5"/>
    <n v="350"/>
    <n v="1"/>
    <n v="0"/>
    <s v="EPQ24"/>
    <n v="350"/>
    <n v="0"/>
    <s v="ร้านที่4"/>
    <s v="อ*** ย***ย็น"/>
    <s v="ปทุมธานี"/>
    <s v="-"/>
    <s v=""/>
    <s v="02/01/2025 19:09"/>
    <s v="-"/>
    <s v="Flash Express Thailand COD"/>
    <s v="Tiktok"/>
    <s v="จ่ายทีหลัง / COD"/>
    <s v=""/>
    <s v="THT04041DS0WW9Z"/>
    <s v="02/01/2025 19:09"/>
  </r>
  <r>
    <x v="4"/>
    <x v="4"/>
    <n v="100"/>
    <n v="1"/>
    <n v="0"/>
    <s v="EPQ23"/>
    <n v="106"/>
    <n v="6"/>
    <s v="ร้านที่1"/>
    <s v="ก***า ท***ค์"/>
    <s v="นนทบุรี"/>
    <s v="-"/>
    <s v=""/>
    <s v="02/01/2025 19:07"/>
    <s v="-"/>
    <s v="J&amp;T COD"/>
    <s v="Tiktok"/>
    <s v="จ่ายทีหลัง / COD"/>
    <s v=""/>
    <s v="754248708684"/>
    <s v="02/01/2025 19:07"/>
  </r>
  <r>
    <x v="4"/>
    <x v="4"/>
    <n v="100"/>
    <n v="1"/>
    <n v="0"/>
    <s v="EPQ22"/>
    <n v="106"/>
    <n v="6"/>
    <s v="ร้านที่1"/>
    <s v="u***9795042116912"/>
    <s v="นนทบุรี"/>
    <s v="-"/>
    <s v=""/>
    <s v="02/01/2025 19:31"/>
    <s v="-"/>
    <s v="J&amp;T Express"/>
    <s v="Tiktok"/>
    <s v="tiktok"/>
    <s v=""/>
    <s v="754216708685"/>
    <s v="02/01/2025 19:06"/>
  </r>
  <r>
    <x v="33"/>
    <x v="43"/>
    <n v="330"/>
    <n v="3"/>
    <n v="0"/>
    <s v="EPQ21"/>
    <n v="990"/>
    <n v="0"/>
    <s v="ร้านที่1"/>
    <s v="ร***ลอดช่องวัดเจษ"/>
    <s v="กรุงเทพฯ"/>
    <s v="-"/>
    <s v=""/>
    <s v="02/01/2025 19:03"/>
    <s v="-"/>
    <s v="J&amp;T COD"/>
    <s v="Tiktok"/>
    <s v="จ่ายทีหลัง / COD"/>
    <s v=""/>
    <s v="754210757580"/>
    <s v="02/01/2025 19:03"/>
  </r>
  <r>
    <x v="3"/>
    <x v="3"/>
    <n v="100"/>
    <n v="1"/>
    <n v="0"/>
    <s v="EPQ19"/>
    <n v="100"/>
    <n v="0"/>
    <s v="ร้านที่4"/>
    <s v="ส***ยเพ็ชร ไ***รง"/>
    <s v="พิจิตร"/>
    <s v="-"/>
    <s v=""/>
    <s v="02/01/2025 19:01"/>
    <s v="-"/>
    <s v="Flash Express Thailand COD"/>
    <s v="Tiktok"/>
    <s v="จ่ายทีหลัง / COD"/>
    <s v=""/>
    <s v="THT62011DS54M3Z"/>
    <s v="02/01/2025 19:01"/>
  </r>
  <r>
    <x v="0"/>
    <x v="0"/>
    <n v="100"/>
    <n v="1"/>
    <n v="0"/>
    <s v="EPQ18"/>
    <n v="100"/>
    <n v="0"/>
    <s v="ร้านที่2"/>
    <s v="น***ิรืนุช น***าราม"/>
    <s v="เทศบาลนครพิษณุโลก"/>
    <s v="-"/>
    <s v=""/>
    <s v="02/01/2025 19:01"/>
    <s v="-"/>
    <s v="J&amp;T Express"/>
    <s v="Tiktok"/>
    <s v="tiktok"/>
    <s v=""/>
    <s v="754225113655"/>
    <s v="02/01/2025 19:00"/>
  </r>
  <r>
    <x v="9"/>
    <x v="4"/>
    <n v="100"/>
    <n v="1"/>
    <n v="0"/>
    <s v="EPQ17"/>
    <n v="200"/>
    <n v="0"/>
    <s v="ร้านที่1"/>
    <s v="ส***ดา ป***วะเท"/>
    <s v="ขอนแก่น"/>
    <s v="-"/>
    <s v=""/>
    <s v="02/01/2025 18:58"/>
    <s v="-"/>
    <s v="J&amp;T COD"/>
    <s v="Tiktok"/>
    <s v="จ่ายทีหลัง / COD"/>
    <s v=""/>
    <s v="754241512625"/>
    <s v="02/01/2025 18:58"/>
  </r>
  <r>
    <x v="4"/>
    <x v="4"/>
    <n v="100"/>
    <n v="1"/>
    <n v="0"/>
    <s v="EPQ17"/>
    <n v="200"/>
    <n v="0"/>
    <s v="ร้านที่1"/>
    <s v="ส***ดา ป***วะเท"/>
    <s v="ขอนแก่น"/>
    <s v="-"/>
    <s v=""/>
    <s v="02/01/2025 18:58"/>
    <s v="-"/>
    <s v="J&amp;T COD"/>
    <s v="Tiktok"/>
    <s v="จ่ายทีหลัง / COD"/>
    <s v=""/>
    <s v="754241512625"/>
    <s v="02/01/2025 18:58"/>
  </r>
  <r>
    <x v="0"/>
    <x v="0"/>
    <n v="100"/>
    <n v="1"/>
    <n v="0"/>
    <s v="EPQ16"/>
    <n v="100"/>
    <n v="0"/>
    <s v="ร้านที่4"/>
    <s v="N**"/>
    <s v="พระนครศรีอยุธยา"/>
    <s v="-"/>
    <s v=""/>
    <s v="02/01/2025 18:58"/>
    <s v="-"/>
    <s v="Flash Express Thailand COD"/>
    <s v="Tiktok"/>
    <s v="จ่ายทีหลัง / COD"/>
    <s v="ขอเป็นรสวนิลาทั้ง 3 กล่องเลยนะค่ะ"/>
    <s v="THT05011DS7J23Z"/>
    <s v="02/01/2025 18:58"/>
  </r>
  <r>
    <x v="6"/>
    <x v="6"/>
    <n v="250"/>
    <n v="1"/>
    <n v="0"/>
    <s v="EPQ15"/>
    <n v="250"/>
    <n v="0"/>
    <s v="ร้านที่1"/>
    <s v="แ***"/>
    <s v="ลพบุรี"/>
    <s v="-"/>
    <s v=""/>
    <s v="02/01/2025 18:58"/>
    <s v="-"/>
    <s v="J&amp;T Express"/>
    <s v="Tiktok"/>
    <s v="tiktok"/>
    <s v=""/>
    <s v="754204567594"/>
    <s v="02/01/2025 18:58"/>
  </r>
  <r>
    <x v="1"/>
    <x v="1"/>
    <n v="200"/>
    <n v="1"/>
    <n v="0"/>
    <s v="EPQ14"/>
    <n v="200"/>
    <n v="0"/>
    <s v="ร้านที่1"/>
    <s v="ส***ญญา  เ***องห่อ"/>
    <s v="สมุทรปราการ"/>
    <s v="-"/>
    <s v=""/>
    <s v="02/01/2025 18:56"/>
    <s v="-"/>
    <s v="J&amp;T COD"/>
    <s v="Tiktok"/>
    <s v="จ่ายทีหลัง / COD"/>
    <s v=""/>
    <s v="754213400695"/>
    <s v="02/01/2025 18:56"/>
  </r>
  <r>
    <x v="0"/>
    <x v="0"/>
    <n v="100"/>
    <n v="1"/>
    <n v="0"/>
    <s v="EPQ13"/>
    <n v="106"/>
    <n v="6"/>
    <s v="ร้านที่1"/>
    <s v="ล***ยี  อ***ออฟฟิศ ป***ปั้มใหญ่หลังที่เติมลมรถ"/>
    <s v="ชัยภูมิ"/>
    <s v="-"/>
    <s v=""/>
    <s v="02/01/2025 18:55"/>
    <s v="-"/>
    <s v="J&amp;T Express"/>
    <s v="Tiktok"/>
    <s v="tiktok"/>
    <s v=""/>
    <s v="754213420612"/>
    <s v="02/01/2025 18:55"/>
  </r>
  <r>
    <x v="33"/>
    <x v="43"/>
    <n v="330"/>
    <n v="1"/>
    <n v="0"/>
    <s v="EPQ11"/>
    <n v="330"/>
    <n v="0"/>
    <s v="ร้านที่4"/>
    <s v="น***กรียงศักดิ์ ต***ู"/>
    <s v="ขอนแก่น"/>
    <s v="-"/>
    <s v=""/>
    <s v="02/01/2025 18:52"/>
    <s v="-"/>
    <s v="Flash Express Thailand COD"/>
    <s v="Tiktok"/>
    <s v="จ่ายทีหลัง / COD"/>
    <s v=""/>
    <s v="THT37191DS3JB1Z"/>
    <s v="02/01/2025 18:53"/>
  </r>
  <r>
    <x v="2"/>
    <x v="82"/>
    <n v="100"/>
    <n v="1"/>
    <n v="0"/>
    <s v="EPQ10"/>
    <n v="100"/>
    <n v="0"/>
    <s v="ร้านที่4"/>
    <s v="เ***"/>
    <s v="พิษณุโลก"/>
    <s v="-"/>
    <s v=""/>
    <s v="02/01/2025 18:48"/>
    <s v="-"/>
    <s v="Flash Express Thailand COD"/>
    <s v="Tiktok"/>
    <s v="จ่ายทีหลัง / COD"/>
    <s v=""/>
    <s v="THT61011DS72W1Z"/>
    <s v="02/01/2025 18:48"/>
  </r>
  <r>
    <x v="4"/>
    <x v="4"/>
    <n v="100"/>
    <n v="1"/>
    <n v="0"/>
    <s v="EPQ9"/>
    <n v="106"/>
    <n v="6"/>
    <s v="ร้านที่1"/>
    <s v="น***าวศิริลักษณ์ พ***พิ่ม"/>
    <s v="ชลบุรี"/>
    <s v="-"/>
    <s v=""/>
    <s v="02/01/2025 18:47"/>
    <s v="-"/>
    <s v="J&amp;T COD"/>
    <s v="Tiktok"/>
    <s v="จ่ายทีหลัง / COD"/>
    <s v=""/>
    <s v="754252619654"/>
    <s v="02/01/2025 18:47"/>
  </r>
  <r>
    <x v="1"/>
    <x v="1"/>
    <n v="200"/>
    <n v="1"/>
    <n v="0"/>
    <s v="EPQ8"/>
    <n v="200"/>
    <n v="0"/>
    <s v="ร้านที่2"/>
    <s v="น***สร พ***อง"/>
    <s v="นนทบุรี"/>
    <s v="-"/>
    <s v=""/>
    <s v="02/01/2025 18:47"/>
    <s v="-"/>
    <s v="J&amp;T Express"/>
    <s v="Tiktok"/>
    <s v="tiktok"/>
    <s v=""/>
    <s v="754293528660"/>
    <s v="02/01/2025 18:47"/>
  </r>
  <r>
    <x v="5"/>
    <x v="5"/>
    <n v="350"/>
    <n v="1"/>
    <n v="0"/>
    <s v="EPQ7"/>
    <n v="350"/>
    <n v="0"/>
    <s v="ร้านที่4"/>
    <s v="ส***ลี เ***กลาง"/>
    <s v="กรุงเทพมหานคร"/>
    <s v="-"/>
    <s v=""/>
    <s v="02/01/2025 18:47"/>
    <s v="-"/>
    <s v="Flash Express Thailand COD"/>
    <s v="Tiktok"/>
    <s v="จ่ายทีหลัง / COD"/>
    <s v=""/>
    <s v="THT01031DS0ZG5Z"/>
    <s v="02/01/2025 18:47"/>
  </r>
  <r>
    <x v="1"/>
    <x v="1"/>
    <n v="200"/>
    <n v="1"/>
    <n v="0"/>
    <s v="EPQ6"/>
    <n v="200"/>
    <n v="0"/>
    <s v="ร้านที่1"/>
    <s v="ธ***์นภัส  ส***ัฒนศิริสุข"/>
    <s v="สมุทรสาคร"/>
    <s v="-"/>
    <s v=""/>
    <s v="02/01/2025 18:47"/>
    <s v="-"/>
    <s v="J&amp;T COD"/>
    <s v="Tiktok"/>
    <s v="จ่ายทีหลัง / COD"/>
    <s v=""/>
    <s v="754237928673"/>
    <s v="02/01/2025 18:47"/>
  </r>
  <r>
    <x v="0"/>
    <x v="0"/>
    <n v="100"/>
    <n v="1"/>
    <n v="0"/>
    <s v="EPQ5"/>
    <n v="100"/>
    <n v="0"/>
    <s v="ร้านที่1"/>
    <s v="ป* น***้ว"/>
    <s v="นครปฐม"/>
    <s v="-"/>
    <s v=""/>
    <s v="02/01/2025 18:46"/>
    <s v="-"/>
    <s v="J&amp;T COD"/>
    <s v="Tiktok"/>
    <s v="จ่ายทีหลัง / COD"/>
    <s v=""/>
    <s v="754276626611"/>
    <s v="02/01/2025 18:46"/>
  </r>
  <r>
    <x v="0"/>
    <x v="0"/>
    <n v="100"/>
    <n v="1"/>
    <n v="0"/>
    <s v="EPQ4"/>
    <n v="106"/>
    <n v="6"/>
    <s v="ร้านที่1"/>
    <s v="ช***กร"/>
    <s v="พัทลุง"/>
    <s v="-"/>
    <s v=""/>
    <s v="02/01/2025 18:44"/>
    <s v="-"/>
    <s v="J&amp;T COD"/>
    <s v="Tiktok"/>
    <s v="จ่ายทีหลัง / COD"/>
    <s v=""/>
    <s v="754263914655"/>
    <s v="02/01/2025 18:44"/>
  </r>
  <r>
    <x v="10"/>
    <x v="10"/>
    <n v="200"/>
    <n v="1"/>
    <n v="0"/>
    <s v="EPQ3"/>
    <n v="200"/>
    <n v="0"/>
    <s v="ร้านที่2"/>
    <s v="ส***รณี แ***วาที"/>
    <s v="พระนครศรีอยุธยา"/>
    <s v="-"/>
    <s v=""/>
    <s v="02/01/2025 18:43"/>
    <s v="-"/>
    <s v="J&amp;T Express"/>
    <s v="Tiktok"/>
    <s v="tiktok"/>
    <s v=""/>
    <s v="754253626674"/>
    <s v="02/01/2025 18:43"/>
  </r>
  <r>
    <x v="1"/>
    <x v="1"/>
    <n v="200"/>
    <n v="1"/>
    <n v="0"/>
    <s v="EPQ2"/>
    <n v="200"/>
    <n v="0"/>
    <s v="ร้านที่1"/>
    <s v="อ***ร จ***ร์สืบแถว"/>
    <s v="กรุงเทพฯ"/>
    <s v="-"/>
    <s v=""/>
    <s v="02/01/2025 18:43"/>
    <s v="-"/>
    <s v="J&amp;T Express"/>
    <s v="Tiktok"/>
    <s v="tiktok"/>
    <s v=""/>
    <s v="754297208626"/>
    <s v="02/01/2025 18:43"/>
  </r>
  <r>
    <x v="0"/>
    <x v="0"/>
    <n v="100"/>
    <n v="2"/>
    <n v="0"/>
    <s v="EPQ1"/>
    <n v="206"/>
    <n v="6"/>
    <s v="ร้านที่1"/>
    <s v="จ***ชญา  ม***ัตน์"/>
    <s v="นครพนม"/>
    <s v="-"/>
    <s v=""/>
    <s v="02/01/2025 18:40"/>
    <s v="-"/>
    <s v="J&amp;T COD"/>
    <s v="Tiktok"/>
    <s v="จ่ายทีหลัง / COD"/>
    <s v=""/>
    <s v="754215883514"/>
    <s v="02/01/2025 18:40"/>
  </r>
  <r>
    <x v="0"/>
    <x v="0"/>
    <n v="100"/>
    <n v="1"/>
    <n v="0"/>
    <s v="EPQ0"/>
    <n v="106"/>
    <n v="6"/>
    <s v="ร้านที่1"/>
    <s v="อ***ย ซ***งิน"/>
    <s v="เชียงใหม่"/>
    <s v="-"/>
    <s v=""/>
    <s v="02/01/2025 18:39"/>
    <s v="-"/>
    <s v="J&amp;T COD"/>
    <s v="Tiktok"/>
    <s v="จ่ายทีหลัง / COD"/>
    <s v=""/>
    <s v="754222401693"/>
    <s v="02/01/2025 18:39"/>
  </r>
  <r>
    <x v="19"/>
    <x v="19"/>
    <n v="197"/>
    <n v="1"/>
    <n v="0"/>
    <s v="EPP99"/>
    <n v="226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01/2025 18:39"/>
    <s v="-"/>
    <s v="Flash Express"/>
    <s v="Shopee"/>
    <s v="shopee"/>
    <s v=""/>
    <s v="TH14016ND4WM7I"/>
    <s v="02/01/2025 18:39"/>
  </r>
  <r>
    <x v="5"/>
    <x v="5"/>
    <n v="330"/>
    <n v="1"/>
    <n v="0"/>
    <s v="EPP98"/>
    <n v="330"/>
    <n v="0"/>
    <s v="ร้านที่1"/>
    <s v="ภ***ินทร์ พ***าวัน"/>
    <s v="เลย"/>
    <s v="-"/>
    <s v=""/>
    <s v="02/01/2025 18:38"/>
    <s v="-"/>
    <s v="J&amp;T COD"/>
    <s v="Tiktok"/>
    <s v="จ่ายทีหลัง / COD"/>
    <s v="เอาแค่รสเนยนมรสเดียว"/>
    <s v="754260589515"/>
    <s v="02/01/2025 18:39"/>
  </r>
  <r>
    <x v="0"/>
    <x v="0"/>
    <n v="100"/>
    <n v="1"/>
    <n v="0"/>
    <s v="EPP97"/>
    <n v="106"/>
    <n v="6"/>
    <s v="ร้านที่1"/>
    <s v="ก***ปเกียรติ   ด***รือง"/>
    <s v="เชียงใหม่"/>
    <s v="-"/>
    <s v=""/>
    <s v="02/01/2025 18:38"/>
    <s v="-"/>
    <s v="J&amp;T COD"/>
    <s v="Tiktok"/>
    <s v="จ่ายทีหลัง / COD"/>
    <s v=""/>
    <s v="754231108621"/>
    <s v="02/01/2025 18:38"/>
  </r>
  <r>
    <x v="19"/>
    <x v="19"/>
    <n v="197"/>
    <n v="1"/>
    <n v="0"/>
    <s v="EPP96"/>
    <n v="226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2/01/2025 18:38"/>
    <s v="-"/>
    <s v="Flash Express"/>
    <s v="Shopee"/>
    <s v="shopee"/>
    <s v=""/>
    <s v="TH14016ND4RW1I"/>
    <s v="02/01/2025 18:38"/>
  </r>
  <r>
    <x v="9"/>
    <x v="4"/>
    <n v="100"/>
    <n v="2"/>
    <n v="0"/>
    <s v="EPP95"/>
    <n v="206"/>
    <n v="6"/>
    <s v="ร้านที่1"/>
    <s v="ว***รา ด***"/>
    <s v="ชุมพร"/>
    <s v="-"/>
    <s v=""/>
    <s v="02/01/2025 18:38"/>
    <s v="-"/>
    <s v="J&amp;T COD"/>
    <s v="Tiktok"/>
    <s v="จ่ายทีหลัง / COD"/>
    <s v=""/>
    <s v="754295669573"/>
    <s v="02/01/2025 18:38"/>
  </r>
  <r>
    <x v="0"/>
    <x v="0"/>
    <n v="100"/>
    <n v="2"/>
    <n v="0"/>
    <s v="EPP94"/>
    <n v="300"/>
    <n v="0"/>
    <s v="ร้านที่2"/>
    <s v="น***ศศินา ก***อก"/>
    <s v="เพชรบูรณ์"/>
    <s v="-"/>
    <s v=""/>
    <s v="02/01/2025 18:37"/>
    <s v="-"/>
    <s v="J&amp;T COD"/>
    <s v="Tiktok"/>
    <s v="จ่ายทีหลัง / COD"/>
    <s v=""/>
    <s v="754220867573"/>
    <s v="02/01/2025 18:38"/>
  </r>
  <r>
    <x v="4"/>
    <x v="4"/>
    <n v="100"/>
    <n v="1"/>
    <n v="0"/>
    <s v="EPP94"/>
    <n v="300"/>
    <n v="0"/>
    <s v="ร้านที่2"/>
    <s v="น***ศศินา ก***อก"/>
    <s v="เพชรบูรณ์"/>
    <s v="-"/>
    <s v=""/>
    <s v="02/01/2025 18:37"/>
    <s v="-"/>
    <s v="J&amp;T COD"/>
    <s v="Tiktok"/>
    <s v="จ่ายทีหลัง / COD"/>
    <s v=""/>
    <s v="754220867573"/>
    <s v="02/01/2025 18:38"/>
  </r>
  <r>
    <x v="0"/>
    <x v="0"/>
    <n v="100"/>
    <n v="3"/>
    <n v="0"/>
    <s v="EPP93"/>
    <n v="300"/>
    <n v="0"/>
    <s v="ร้านที่2"/>
    <s v="ต***ตา ป***พร T*"/>
    <s v="พิษณุโลก"/>
    <s v="-"/>
    <s v=""/>
    <s v="02/01/2025 18:37"/>
    <s v="-"/>
    <s v="J&amp;T COD"/>
    <s v="Tiktok"/>
    <s v="จ่ายทีหลัง / COD"/>
    <s v=""/>
    <s v="754272712653"/>
    <s v="02/01/2025 18:37"/>
  </r>
  <r>
    <x v="1"/>
    <x v="1"/>
    <n v="200"/>
    <n v="1"/>
    <n v="0"/>
    <s v="EPP92"/>
    <n v="200"/>
    <n v="0"/>
    <s v="ร้านที่2"/>
    <s v="ศ***ุดา พ***ู"/>
    <s v="ชลบุรี"/>
    <s v="-"/>
    <s v=""/>
    <s v="02/01/2025 18:37"/>
    <s v="-"/>
    <s v="J&amp;T COD"/>
    <s v="Tiktok"/>
    <s v="จ่ายทีหลัง / COD"/>
    <s v=""/>
    <s v="754291026694"/>
    <s v="02/01/2025 18:37"/>
  </r>
  <r>
    <x v="0"/>
    <x v="0"/>
    <n v="100"/>
    <n v="1"/>
    <n v="0"/>
    <s v="EPP91"/>
    <n v="100"/>
    <n v="0"/>
    <s v="ร้านที่4"/>
    <s v="พ**"/>
    <s v="นครปฐม"/>
    <s v="-"/>
    <s v=""/>
    <s v="02/01/2025 18:37"/>
    <s v="-"/>
    <s v="Flash Express Thailand COD"/>
    <s v="Tiktok"/>
    <s v="จ่ายทีหลัง / COD"/>
    <s v=""/>
    <s v="THT15031DSM160Z"/>
    <s v="02/01/2025 18:37"/>
  </r>
  <r>
    <x v="9"/>
    <x v="4"/>
    <n v="100"/>
    <n v="1"/>
    <n v="0"/>
    <s v="EPP88"/>
    <n v="200"/>
    <n v="0"/>
    <s v="ร้านที่2"/>
    <s v="ศ***านต์ จ***ร์เขียว"/>
    <s v="ระยอง"/>
    <s v="-"/>
    <s v=""/>
    <s v="02/01/2025 18:32"/>
    <s v="-"/>
    <s v="J&amp;T Express"/>
    <s v="Tiktok"/>
    <s v="tiktok"/>
    <s v=""/>
    <s v="754279723610"/>
    <s v="02/01/2025 18:31"/>
  </r>
  <r>
    <x v="4"/>
    <x v="4"/>
    <n v="100"/>
    <n v="1"/>
    <n v="0"/>
    <s v="EPP88"/>
    <n v="200"/>
    <n v="0"/>
    <s v="ร้านที่2"/>
    <s v="ศ***านต์ จ***ร์เขียว"/>
    <s v="ระยอง"/>
    <s v="-"/>
    <s v=""/>
    <s v="02/01/2025 18:32"/>
    <s v="-"/>
    <s v="J&amp;T Express"/>
    <s v="Tiktok"/>
    <s v="tiktok"/>
    <s v=""/>
    <s v="754279723610"/>
    <s v="02/01/2025 18:31"/>
  </r>
  <r>
    <x v="1"/>
    <x v="1"/>
    <n v="200"/>
    <n v="1"/>
    <n v="0"/>
    <s v="EPP86"/>
    <n v="300"/>
    <n v="0"/>
    <s v="ร้านที่1"/>
    <s v="ค***ดือน แ*** ซ***ใส้"/>
    <s v="ปทุมธานี"/>
    <s v="-"/>
    <s v=""/>
    <s v="02/01/2025 18:28"/>
    <s v="-"/>
    <s v="J&amp;T Express"/>
    <s v="Tiktok"/>
    <s v="tiktok"/>
    <s v=""/>
    <s v="754240041601"/>
    <s v="02/01/2025 18:28"/>
  </r>
  <r>
    <x v="4"/>
    <x v="4"/>
    <n v="100"/>
    <n v="1"/>
    <n v="0"/>
    <s v="EPP86"/>
    <n v="300"/>
    <n v="0"/>
    <s v="ร้านที่1"/>
    <s v="ค***ดือน แ*** ซ***ใส้"/>
    <s v="ปทุมธานี"/>
    <s v="-"/>
    <s v=""/>
    <s v="02/01/2025 18:28"/>
    <s v="-"/>
    <s v="J&amp;T Express"/>
    <s v="Tiktok"/>
    <s v="tiktok"/>
    <s v=""/>
    <s v="754240041601"/>
    <s v="02/01/2025 18:28"/>
  </r>
  <r>
    <x v="4"/>
    <x v="4"/>
    <n v="100"/>
    <n v="1"/>
    <n v="0"/>
    <s v="EPP85"/>
    <n v="106"/>
    <n v="6"/>
    <s v="ร้านที่2"/>
    <s v="ค***ึรพรรณอาจวงษา"/>
    <s v="สมุทรปราการ"/>
    <s v="-"/>
    <s v=""/>
    <s v="02/01/2025 18:27"/>
    <s v="-"/>
    <s v="J&amp;T Express"/>
    <s v="Tiktok"/>
    <s v="tiktok"/>
    <s v=""/>
    <s v="754258217650"/>
    <s v="02/01/2025 18:26"/>
  </r>
  <r>
    <x v="5"/>
    <x v="5"/>
    <n v="330"/>
    <n v="1"/>
    <n v="0"/>
    <s v="EPP84"/>
    <n v="330"/>
    <n v="0"/>
    <s v="ร้านที่1"/>
    <s v="น***อกราช ช***ราษฎร์"/>
    <s v="บุรีรัมย์"/>
    <s v="-"/>
    <s v=""/>
    <s v="02/01/2025 18:26"/>
    <s v="-"/>
    <s v="J&amp;T Express"/>
    <s v="Tiktok"/>
    <s v="tiktok"/>
    <s v=""/>
    <s v="754236786553"/>
    <s v="02/01/2025 18:25"/>
  </r>
  <r>
    <x v="0"/>
    <x v="0"/>
    <n v="100"/>
    <n v="1"/>
    <n v="0"/>
    <s v="EPP83"/>
    <n v="106"/>
    <n v="6"/>
    <s v="ร้านที่2"/>
    <s v="เ***ไพลิน  พ***้อย"/>
    <s v="ภูเก็ต"/>
    <s v="-"/>
    <s v=""/>
    <s v="02/01/2025 18:25"/>
    <s v="-"/>
    <s v="J&amp;T COD"/>
    <s v="Tiktok"/>
    <s v="จ่ายทีหลัง / COD"/>
    <s v=""/>
    <s v="754238905615"/>
    <s v="02/01/2025 18:25"/>
  </r>
  <r>
    <x v="3"/>
    <x v="3"/>
    <n v="100"/>
    <n v="1"/>
    <n v="0"/>
    <s v="EPP82"/>
    <n v="100"/>
    <n v="0"/>
    <s v="ร้านที่4"/>
    <s v="น** อ***ิทธิ์  เ***ยมสุดใจ"/>
    <s v="สระบุรี"/>
    <s v="-"/>
    <s v=""/>
    <s v="02/01/2025 18:25"/>
    <s v="-"/>
    <s v="Flash Express Thailand COD"/>
    <s v="Tiktok"/>
    <s v="จ่ายทีหลัง / COD"/>
    <s v=""/>
    <s v="THT10021DSJ5A0Z"/>
    <s v="02/01/2025 18:25"/>
  </r>
  <r>
    <x v="0"/>
    <x v="0"/>
    <n v="100"/>
    <n v="1"/>
    <n v="0"/>
    <s v="EPP81"/>
    <n v="106"/>
    <n v="6"/>
    <s v="ร้านที่2"/>
    <s v="พ***ี  แ***งาม"/>
    <s v="อุบลราชธานี"/>
    <s v="-"/>
    <s v=""/>
    <s v="02/01/2025 18:21"/>
    <s v="-"/>
    <s v="J&amp;T Express"/>
    <s v="Tiktok"/>
    <s v="tiktok"/>
    <s v=""/>
    <s v="754207501611"/>
    <s v="02/01/2025 18:21"/>
  </r>
  <r>
    <x v="0"/>
    <x v="0"/>
    <n v="100"/>
    <n v="1"/>
    <n v="0"/>
    <s v="EPP80"/>
    <n v="106"/>
    <n v="6"/>
    <s v="ร้านที่1"/>
    <s v="อ***ินทร์  พ***ลขาว"/>
    <s v="กรุงเทพมหานคร"/>
    <s v="-"/>
    <s v=""/>
    <s v="02/01/2025 18:19"/>
    <s v="-"/>
    <s v="J&amp;T COD"/>
    <s v="Tiktok"/>
    <s v="จ่ายทีหลัง / COD"/>
    <s v=""/>
    <s v="754253100624"/>
    <s v="02/01/2025 18:20"/>
  </r>
  <r>
    <x v="0"/>
    <x v="0"/>
    <n v="100"/>
    <n v="2"/>
    <n v="0"/>
    <s v="EPP79"/>
    <n v="200"/>
    <n v="0"/>
    <s v="ร้านที่1"/>
    <s v="น***ราวุฒิ  ช***ญ"/>
    <s v="อ่างทอง"/>
    <s v="-"/>
    <s v=""/>
    <s v="02/01/2025 18:14"/>
    <s v="-"/>
    <s v="J&amp;T COD"/>
    <s v="Tiktok"/>
    <s v="จ่ายทีหลัง / COD"/>
    <s v=""/>
    <s v="754233889522"/>
    <s v="02/01/2025 18:15"/>
  </r>
  <r>
    <x v="6"/>
    <x v="6"/>
    <n v="199"/>
    <n v="1"/>
    <n v="0"/>
    <s v="EPP78"/>
    <n v="199"/>
    <n v="0"/>
    <s v="ร้านที่1"/>
    <s v="ช******)"/>
    <s v="******มาศ อำเภอลับแล ตำบลแม่พูล อำเภอลับแล จังหวัดอุตรดิตถ์ 53130"/>
    <s v="53130"/>
    <s v="78"/>
    <s v="02/01/2025 18:44"/>
    <s v="-"/>
    <s v="SPX Express"/>
    <s v="Shopee"/>
    <s v="shopee"/>
    <s v=""/>
    <s v="TH256301711751O"/>
    <s v="02/01/2025 18:14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3"/>
    <x v="8"/>
    <n v="99.75"/>
    <n v="1"/>
    <n v="0"/>
    <s v="EPP76"/>
    <n v="304.25"/>
    <n v="5"/>
    <s v="ร้านที่6"/>
    <s v="พรพรรณ น."/>
    <s v="324/27 ม.7 ตำบลพลูตาหลวง · พลูตาหลวง/ Phlu Ta Luang_x000a__x000a_สัตหีบ/ Sattahipชลบุรี/ Chonburi_x000a_20180"/>
    <s v="20180"/>
    <s v="660843542486"/>
    <s v="02/01/2025 18:13"/>
    <s v="-"/>
    <s v="Kerry_dropoff"/>
    <s v="Lazada"/>
    <s v="lazada"/>
    <s v=""/>
    <s v="LEXPU0441116224"/>
    <s v="02/01/2025 18:11"/>
  </r>
  <r>
    <x v="0"/>
    <x v="0"/>
    <n v="100"/>
    <n v="1"/>
    <n v="0"/>
    <s v="EPP75"/>
    <n v="106"/>
    <n v="6"/>
    <s v="ร้านที่1"/>
    <s v="M**"/>
    <s v="เชียงใหม่"/>
    <s v="-"/>
    <s v=""/>
    <s v="02/01/2025 18:09"/>
    <s v="-"/>
    <s v="J&amp;T COD"/>
    <s v="Tiktok"/>
    <s v="จ่ายทีหลัง / COD"/>
    <s v=""/>
    <s v="754216704614"/>
    <s v="02/01/2025 18:11"/>
  </r>
  <r>
    <x v="0"/>
    <x v="0"/>
    <n v="100"/>
    <n v="1"/>
    <n v="0"/>
    <s v="EPP72"/>
    <n v="100"/>
    <n v="0"/>
    <s v="ร้านที่1"/>
    <s v="แ***ค์"/>
    <s v="ลพบุรี"/>
    <s v="-"/>
    <s v=""/>
    <s v="02/01/2025 18:06"/>
    <s v="-"/>
    <s v="J&amp;T COD"/>
    <s v="Tiktok"/>
    <s v="จ่ายทีหลัง / COD"/>
    <s v=""/>
    <s v="754262403683"/>
    <s v="02/01/2025 18:08"/>
  </r>
  <r>
    <x v="0"/>
    <x v="0"/>
    <n v="100"/>
    <n v="1"/>
    <n v="0"/>
    <s v="EPP71"/>
    <n v="100"/>
    <n v="0"/>
    <s v="ร้านที่2"/>
    <s v="ก***ิพศ จ***ร์ศรี"/>
    <s v="กำแพงเพชร"/>
    <s v="-"/>
    <s v=""/>
    <s v="02/01/2025 18:01"/>
    <s v="-"/>
    <s v="J&amp;T COD"/>
    <s v="Tiktok"/>
    <s v="จ่ายทีหลัง / COD"/>
    <s v=""/>
    <s v="754283104621"/>
    <s v="02/01/2025 18:01"/>
  </r>
  <r>
    <x v="0"/>
    <x v="0"/>
    <n v="100"/>
    <n v="1"/>
    <n v="0"/>
    <s v="EPP70"/>
    <n v="106"/>
    <n v="6"/>
    <s v="ร้านที่1"/>
    <s v="ส***ตา ก***ยาดี"/>
    <s v="กรุงเทพฯ"/>
    <s v="-"/>
    <s v=""/>
    <s v="02/01/2025 18:01"/>
    <s v="-"/>
    <s v="J&amp;T COD"/>
    <s v="Tiktok"/>
    <s v="จ่ายทีหลัง / COD"/>
    <s v=""/>
    <s v="754210036602"/>
    <s v="02/01/2025 18:01"/>
  </r>
  <r>
    <x v="10"/>
    <x v="10"/>
    <n v="200"/>
    <n v="1"/>
    <n v="0"/>
    <s v="EPP69"/>
    <n v="200"/>
    <n v="0"/>
    <s v="ร้านที่4"/>
    <s v="ส***ตร ส***ิงห์"/>
    <s v="สกลนคร"/>
    <s v="-"/>
    <s v=""/>
    <s v="02/01/2025 18:00"/>
    <s v="-"/>
    <s v="Flash Express Thailand"/>
    <s v="Tiktok"/>
    <s v="tiktok"/>
    <s v=""/>
    <s v="THT44121DS8CT5Z"/>
    <s v="02/01/2025 17:59"/>
  </r>
  <r>
    <x v="33"/>
    <x v="43"/>
    <n v="330"/>
    <n v="1"/>
    <n v="0"/>
    <s v="EPP67"/>
    <n v="330"/>
    <n v="0"/>
    <s v="ร้านที่2"/>
    <s v="ว***าภรณ์ ค***ม"/>
    <s v="อ่างทอง"/>
    <s v="-"/>
    <s v=""/>
    <s v="02/01/2025 17:57"/>
    <s v="-"/>
    <s v="J&amp;T COD"/>
    <s v="Tiktok"/>
    <s v="จ่ายทีหลัง / COD"/>
    <s v=""/>
    <s v="754259767516"/>
    <s v="02/01/2025 17:57"/>
  </r>
  <r>
    <x v="0"/>
    <x v="0"/>
    <n v="100"/>
    <n v="1"/>
    <n v="0"/>
    <s v="EPP66"/>
    <n v="106"/>
    <n v="6"/>
    <s v="ร้านที่2"/>
    <s v="พ***พันธ์ ห***โหล่"/>
    <s v="ร้อยเอ็ด"/>
    <s v="-"/>
    <s v=""/>
    <s v="02/01/2025 17:57"/>
    <s v="-"/>
    <s v="J&amp;T COD"/>
    <s v="Tiktok"/>
    <s v="จ่ายทีหลัง / COD"/>
    <s v=""/>
    <s v="754291027641"/>
    <s v="02/01/2025 17:57"/>
  </r>
  <r>
    <x v="0"/>
    <x v="0"/>
    <n v="100"/>
    <n v="1"/>
    <n v="0"/>
    <s v="EPP65"/>
    <n v="106"/>
    <n v="6"/>
    <s v="ร้านที่2"/>
    <s v="ว***"/>
    <s v="กรุงเทพฯ"/>
    <s v="-"/>
    <s v=""/>
    <s v="02/01/2025 17:56"/>
    <s v="-"/>
    <s v="J&amp;T COD"/>
    <s v="Tiktok"/>
    <s v="จ่ายทีหลัง / COD"/>
    <s v=""/>
    <s v="754234237606"/>
    <s v="02/01/2025 17:57"/>
  </r>
  <r>
    <x v="0"/>
    <x v="0"/>
    <n v="100"/>
    <n v="1"/>
    <n v="0"/>
    <s v="EPP63"/>
    <n v="106"/>
    <n v="6"/>
    <s v="ร้านที่2"/>
    <s v="ร***ี"/>
    <s v="เชียงราย"/>
    <s v="-"/>
    <s v=""/>
    <s v="02/01/2025 17:55"/>
    <s v="-"/>
    <s v="J&amp;T COD"/>
    <s v="Tiktok"/>
    <s v="จ่ายทีหลัง / COD"/>
    <s v=""/>
    <s v="754244830603"/>
    <s v="02/01/2025 17:55"/>
  </r>
  <r>
    <x v="0"/>
    <x v="0"/>
    <n v="100"/>
    <n v="1"/>
    <n v="0"/>
    <s v="EPP62"/>
    <n v="106"/>
    <n v="6"/>
    <s v="ร้านที่4"/>
    <s v="ท***าพร ส***รณศรี"/>
    <s v="ปทุมธานี"/>
    <s v="-"/>
    <s v=""/>
    <s v="02/01/2025 17:54"/>
    <s v="-"/>
    <s v="Flash Express Thailand COD"/>
    <s v="Tiktok"/>
    <s v="จ่ายทีหลัง / COD"/>
    <s v=""/>
    <s v="THT04031DSXK89Z"/>
    <s v="02/01/2025 17:54"/>
  </r>
  <r>
    <x v="0"/>
    <x v="0"/>
    <n v="100"/>
    <n v="1"/>
    <n v="0"/>
    <s v="EPP61"/>
    <n v="100"/>
    <n v="0"/>
    <s v="ร้านที่1"/>
    <s v="ร***าวรรณ ท***หลวง"/>
    <s v="สระบุรี"/>
    <s v="-"/>
    <s v=""/>
    <s v="02/01/2025 17:49"/>
    <s v="-"/>
    <s v="J&amp;T COD"/>
    <s v="Tiktok"/>
    <s v="จ่ายทีหลัง / COD"/>
    <s v=""/>
    <s v="754251728672"/>
    <s v="02/01/2025 17:49"/>
  </r>
  <r>
    <x v="5"/>
    <x v="5"/>
    <n v="350"/>
    <n v="1"/>
    <n v="0"/>
    <s v="EPP60"/>
    <n v="350"/>
    <n v="0"/>
    <s v="ร้านที่4"/>
    <s v="อ***เดช ส***โศภา"/>
    <s v="กาญจนบุรี"/>
    <s v="-"/>
    <s v=""/>
    <s v="02/01/2025 17:49"/>
    <s v="-"/>
    <s v="Flash Express Thailand"/>
    <s v="Tiktok"/>
    <s v="tiktok"/>
    <s v=""/>
    <s v="THT13111DSSTX8Z"/>
    <s v="02/01/2025 17:49"/>
  </r>
  <r>
    <x v="19"/>
    <x v="19"/>
    <n v="199"/>
    <n v="1"/>
    <n v="0"/>
    <s v="EPP59"/>
    <n v="234"/>
    <n v="35"/>
    <s v="ร้านที่1"/>
    <s v="น******า"/>
    <s v="******ิญ. แขวงหนองแขม เขตหนองแขม กรุงเทพมหานคร 10160 แขวงหนองแขม เขตหนองแขม จังหวัดกรุงเทพมหานคร 10160"/>
    <s v="10160"/>
    <s v="41"/>
    <s v="02/01/2025 18:19"/>
    <s v="-"/>
    <s v="SPX Express"/>
    <s v="Shopee"/>
    <s v="shopee"/>
    <s v=""/>
    <s v="TH2572209723058"/>
    <s v="02/01/2025 17:49"/>
  </r>
  <r>
    <x v="0"/>
    <x v="0"/>
    <n v="100"/>
    <n v="1"/>
    <n v="0"/>
    <s v="EPP58"/>
    <n v="106"/>
    <n v="6"/>
    <s v="ร้านที่2"/>
    <s v="ค** ส***า"/>
    <s v="เพชรบุรี"/>
    <s v="-"/>
    <s v=""/>
    <s v="02/01/2025 17:45"/>
    <s v="-"/>
    <s v="J&amp;T COD"/>
    <s v="Tiktok"/>
    <s v="จ่ายทีหลัง / COD"/>
    <s v=""/>
    <s v="754236230602"/>
    <s v="02/01/2025 17:45"/>
  </r>
  <r>
    <x v="5"/>
    <x v="5"/>
    <n v="350"/>
    <n v="2"/>
    <n v="0"/>
    <s v="EPP57"/>
    <n v="700"/>
    <n v="0"/>
    <s v="ร้านที่4"/>
    <s v="น***รินทร์  ห***ทุกข์"/>
    <s v="ลพบุรี"/>
    <s v="-"/>
    <s v=""/>
    <s v="02/01/2025 17:44"/>
    <s v="-"/>
    <s v="Flash Express Thailand COD"/>
    <s v="Tiktok"/>
    <s v="จ่ายทีหลัง / COD"/>
    <s v=""/>
    <s v="THT07061DS9CF1Z"/>
    <s v="02/01/2025 17:45"/>
  </r>
  <r>
    <x v="4"/>
    <x v="4"/>
    <n v="100"/>
    <n v="1"/>
    <n v="0"/>
    <s v="EPP56"/>
    <n v="200"/>
    <n v="0"/>
    <s v="ร้านที่1"/>
    <s v="ซ***หม่"/>
    <s v="สุพรรณบุรี"/>
    <s v="-"/>
    <s v=""/>
    <s v="02/01/2025 17:42"/>
    <s v="-"/>
    <s v="J&amp;T COD"/>
    <s v="Tiktok"/>
    <s v="จ่ายทีหลัง / COD"/>
    <s v=""/>
    <s v="754230723610"/>
    <s v="02/01/2025 17:42"/>
  </r>
  <r>
    <x v="9"/>
    <x v="4"/>
    <n v="100"/>
    <n v="1"/>
    <n v="0"/>
    <s v="EPP56"/>
    <n v="200"/>
    <n v="0"/>
    <s v="ร้านที่1"/>
    <s v="ซ***หม่"/>
    <s v="สุพรรณบุรี"/>
    <s v="-"/>
    <s v=""/>
    <s v="02/01/2025 17:42"/>
    <s v="-"/>
    <s v="J&amp;T COD"/>
    <s v="Tiktok"/>
    <s v="จ่ายทีหลัง / COD"/>
    <s v=""/>
    <s v="754230723610"/>
    <s v="02/01/2025 17:42"/>
  </r>
  <r>
    <x v="0"/>
    <x v="0"/>
    <n v="100"/>
    <n v="1"/>
    <n v="0"/>
    <s v="EPP55"/>
    <n v="106"/>
    <n v="6"/>
    <s v="ร้านที่1"/>
    <s v="ธ** ว***ิชย์"/>
    <s v="กรุงเทพฯ"/>
    <s v="-"/>
    <s v=""/>
    <s v="02/01/2025 17:41"/>
    <s v="-"/>
    <s v="J&amp;T COD"/>
    <s v="Tiktok"/>
    <s v="จ่ายทีหลัง / COD"/>
    <s v=""/>
    <s v="754269593593"/>
    <s v="02/01/2025 17:41"/>
  </r>
  <r>
    <x v="0"/>
    <x v="0"/>
    <n v="100"/>
    <n v="2"/>
    <n v="0"/>
    <s v="EPP52"/>
    <n v="206"/>
    <n v="6"/>
    <s v="ร้านที่1"/>
    <s v="K* ป***"/>
    <s v="มหาสารคาม"/>
    <s v="-"/>
    <s v=""/>
    <s v="02/01/2025 17:41"/>
    <s v="-"/>
    <s v="J&amp;T Express"/>
    <s v="Tiktok"/>
    <s v="tiktok"/>
    <s v=""/>
    <s v="754212486521"/>
    <s v="02/01/2025 17:41"/>
  </r>
  <r>
    <x v="19"/>
    <x v="83"/>
    <n v="187.5"/>
    <n v="1"/>
    <n v="0"/>
    <s v="EPP51"/>
    <n v="211.5"/>
    <n v="24"/>
    <s v="ร้านที่1"/>
    <s v="ณัฐทิพา เพียรธรรม"/>
    <s v="บจก. ไทยนามพลาสติกส์ 40 ม.7 ถ.เพชรเกษม · อ้อมน้อย/ Om Noi_x000a__x000a_กระทุ่มแบน/ Krathum Baenสมุทรสาคร/ Samut Sakhon_x000a_74130"/>
    <s v="74130"/>
    <s v="660641946391"/>
    <s v="02/01/2025 17:40"/>
    <s v="-"/>
    <s v="Kerry_dropoff"/>
    <s v="Lazada"/>
    <s v="lazada"/>
    <s v=""/>
    <s v="LEXPU0441078022"/>
    <s v="02/01/2025 17:40"/>
  </r>
  <r>
    <x v="0"/>
    <x v="0"/>
    <n v="100"/>
    <n v="1"/>
    <n v="0"/>
    <s v="EPP49"/>
    <n v="106"/>
    <n v="6"/>
    <s v="ร้านที่1"/>
    <s v="ห***ย อ***และมูล"/>
    <s v="กรุงเทพฯ"/>
    <s v="-"/>
    <s v=""/>
    <s v="02/01/2025 17:38"/>
    <s v="-"/>
    <s v="J&amp;T COD"/>
    <s v="Tiktok"/>
    <s v="จ่ายทีหลัง / COD"/>
    <s v=""/>
    <s v="754259007681"/>
    <s v="02/01/2025 17:38"/>
  </r>
  <r>
    <x v="3"/>
    <x v="8"/>
    <n v="83"/>
    <n v="1"/>
    <n v="0"/>
    <s v="EPP48"/>
    <n v="83"/>
    <n v="0"/>
    <s v="ร้านที่6"/>
    <s v="ขวัญใจ หนูสาลี"/>
    <s v="34/1 หมู่5 ต.ห้วยทราย อ.หนองแ · ห้วยทราย/ Huai Sai_x000a__x000a_หนองแค/ Nong Khaeสระบุรี/ Saraburi_x000a_18230"/>
    <s v="18230"/>
    <s v="660656943197"/>
    <s v="02/01/2025 17:34"/>
    <s v="-"/>
    <s v="Kerry_dropoff"/>
    <s v="Lazada"/>
    <s v="lazada"/>
    <s v=""/>
    <s v="LEXPU0441118678"/>
    <s v="02/01/2025 17:34"/>
  </r>
  <r>
    <x v="0"/>
    <x v="0"/>
    <n v="100"/>
    <n v="1"/>
    <n v="0"/>
    <s v="EPP47"/>
    <n v="106"/>
    <n v="6"/>
    <s v="ร้านที่2"/>
    <s v="อ***นา ช***ค์"/>
    <s v="พัทลุง"/>
    <s v="-"/>
    <s v=""/>
    <s v="02/01/2025 17:34"/>
    <s v="-"/>
    <s v="J&amp;T COD"/>
    <s v="Tiktok"/>
    <s v="จ่ายทีหลัง / COD"/>
    <s v=""/>
    <s v="754299833663"/>
    <s v="02/01/2025 17:34"/>
  </r>
  <r>
    <x v="0"/>
    <x v="0"/>
    <n v="100"/>
    <n v="2"/>
    <n v="0"/>
    <s v="EPP45"/>
    <n v="200"/>
    <n v="0"/>
    <s v="ร้านที่4"/>
    <s v="ช***นก ไ***ิ่นน้อย"/>
    <s v="เทศบาลนครนครปฐม"/>
    <s v="-"/>
    <s v=""/>
    <s v="02/01/2025 17:26"/>
    <s v="-"/>
    <s v="Flash Express Thailand"/>
    <s v="Tiktok"/>
    <s v="tiktok"/>
    <s v=""/>
    <s v="THT15051DS5QC3Z"/>
    <s v="02/01/2025 17:25"/>
  </r>
  <r>
    <x v="10"/>
    <x v="10"/>
    <n v="200"/>
    <n v="1"/>
    <n v="0"/>
    <s v="EPP44"/>
    <n v="200"/>
    <n v="0"/>
    <s v="ร้านที่4"/>
    <s v="จ***า"/>
    <s v="นครสวรรค์"/>
    <s v="-"/>
    <s v=""/>
    <s v="02/01/2025 17:24"/>
    <s v="-"/>
    <s v="Flash Express Thailand COD"/>
    <s v="Tiktok"/>
    <s v="จ่ายทีหลัง / COD"/>
    <s v=""/>
    <s v="THT56061DT50J8Z"/>
    <s v="02/01/2025 17:24"/>
  </r>
  <r>
    <x v="1"/>
    <x v="1"/>
    <n v="200"/>
    <n v="1"/>
    <n v="0"/>
    <s v="EPP43"/>
    <n v="200"/>
    <n v="0"/>
    <s v="ร้านที่1"/>
    <s v="น***รัตนา  เ***ยงพูนวงค์"/>
    <s v="สกลนคร"/>
    <s v="-"/>
    <s v=""/>
    <s v="02/01/2025 17:23"/>
    <s v="-"/>
    <s v="J&amp;T COD"/>
    <s v="Tiktok"/>
    <s v="จ่ายทีหลัง / COD"/>
    <s v=""/>
    <s v="754201721663"/>
    <s v="02/01/2025 17:23"/>
  </r>
  <r>
    <x v="0"/>
    <x v="0"/>
    <n v="100"/>
    <n v="1"/>
    <n v="0"/>
    <s v="EPP40"/>
    <n v="106"/>
    <n v="6"/>
    <s v="ร้านที่1"/>
    <s v="เ***อนเรียก เ***ยโป้"/>
    <s v="นครราชสีมา"/>
    <s v="-"/>
    <s v=""/>
    <s v="02/01/2025 17:18"/>
    <s v="-"/>
    <s v="J&amp;T COD"/>
    <s v="Tiktok"/>
    <s v="จ่ายทีหลัง / COD"/>
    <s v=""/>
    <s v="754235806671"/>
    <s v="02/01/2025 17:18"/>
  </r>
  <r>
    <x v="3"/>
    <x v="3"/>
    <n v="100"/>
    <n v="1"/>
    <n v="0"/>
    <s v="EPP38"/>
    <n v="106"/>
    <n v="6"/>
    <s v="ร้านที่2"/>
    <s v="ก***นา ป***วิสุทธิกุล"/>
    <s v="กรุงเทพฯ"/>
    <s v="-"/>
    <s v=""/>
    <s v="02/01/2025 17:16"/>
    <s v="-"/>
    <s v="J&amp;T Express"/>
    <s v="Tiktok"/>
    <s v="tiktok"/>
    <s v=""/>
    <s v="754202776574"/>
    <s v="02/01/2025 17:15"/>
  </r>
  <r>
    <x v="0"/>
    <x v="0"/>
    <n v="100"/>
    <n v="1"/>
    <n v="0"/>
    <s v="EPP36"/>
    <n v="100"/>
    <n v="0"/>
    <s v="ร้านที่2"/>
    <s v="ภ***าพร  น***้อม"/>
    <s v="เพชรบูรณ์"/>
    <s v="-"/>
    <s v=""/>
    <s v="02/01/2025 17:12"/>
    <s v="-"/>
    <s v="J&amp;T COD"/>
    <s v="Tiktok"/>
    <s v="จ่ายทีหลัง / COD"/>
    <s v=""/>
    <s v="754208902602"/>
    <s v="02/01/2025 17:12"/>
  </r>
  <r>
    <x v="0"/>
    <x v="0"/>
    <n v="100"/>
    <n v="4"/>
    <n v="0"/>
    <s v="EPP34"/>
    <n v="400"/>
    <n v="0"/>
    <s v="ร้านที่4"/>
    <s v="พ***ัย ท***"/>
    <s v="อุบลราชธานี"/>
    <s v="-"/>
    <s v=""/>
    <s v="02/01/2025 17:10"/>
    <s v="-"/>
    <s v="Flash Express Thailand COD"/>
    <s v="Tiktok"/>
    <s v="จ่ายทีหลัง / COD"/>
    <s v=""/>
    <s v="THT31031DS6PU3Z"/>
    <s v="02/01/2025 17:11"/>
  </r>
  <r>
    <x v="1"/>
    <x v="1"/>
    <n v="200"/>
    <n v="1"/>
    <n v="0"/>
    <s v="EPP33"/>
    <n v="200"/>
    <n v="0"/>
    <s v="ร้านที่2"/>
    <s v="ศ***ลักษณ์ ศ***สน่ห์"/>
    <s v="นครปฐม"/>
    <s v="-"/>
    <s v=""/>
    <s v="02/01/2025 17:11"/>
    <s v="-"/>
    <s v="J&amp;T Express"/>
    <s v="Tiktok"/>
    <s v="tiktok"/>
    <s v=""/>
    <s v="754295121672"/>
    <s v="02/01/2025 17:11"/>
  </r>
  <r>
    <x v="0"/>
    <x v="0"/>
    <n v="100"/>
    <n v="2"/>
    <n v="0"/>
    <s v="EPP32"/>
    <n v="200"/>
    <n v="0"/>
    <s v="ร้านที่4"/>
    <s v="ส***รัตน์ ด***าจันทร์"/>
    <s v="กระบี่"/>
    <s v="-"/>
    <s v=""/>
    <s v="02/01/2025 17:09"/>
    <s v="-"/>
    <s v="Flash Express Thailand COD"/>
    <s v="Tiktok"/>
    <s v="จ่ายทีหลัง / COD"/>
    <s v=""/>
    <s v="THT65061DSKK72Z"/>
    <s v="02/01/2025 17:09"/>
  </r>
  <r>
    <x v="13"/>
    <x v="13"/>
    <n v="230"/>
    <n v="1"/>
    <n v="0"/>
    <s v="EPP31"/>
    <n v="259"/>
    <n v="29"/>
    <s v="ร้านที่2"/>
    <s v="ป******ม"/>
    <s v="******เพรียว, อำเภอเมืองสระบุรี (ซอยตรงข้ามศูนย์แพทย์) (ใส่ไว้ในกล่องหน้าบ้าน) ตำบลปากเพรียว อำเภอเมืองสระบุรี จังหวัดสระบุรี 18000"/>
    <s v="18000"/>
    <s v="70"/>
    <s v="02/01/2025 17:08"/>
    <s v="-"/>
    <s v="Flash Express"/>
    <s v="Shopee"/>
    <s v="shopee"/>
    <s v=""/>
    <s v="TH10016NE5ZY5A"/>
    <s v="02/01/2025 17:07"/>
  </r>
  <r>
    <x v="0"/>
    <x v="0"/>
    <n v="100"/>
    <n v="1"/>
    <n v="0"/>
    <s v="EPP30"/>
    <n v="106"/>
    <n v="6"/>
    <s v="ร้านที่1"/>
    <s v="อ***อม๊ะ ว***"/>
    <s v="ปัตตานี"/>
    <s v="-"/>
    <s v=""/>
    <s v="02/01/2025 17:07"/>
    <s v="-"/>
    <s v="J&amp;T COD"/>
    <s v="Tiktok"/>
    <s v="จ่ายทีหลัง / COD"/>
    <s v=""/>
    <s v="754227208674"/>
    <s v="02/01/2025 17:07"/>
  </r>
  <r>
    <x v="0"/>
    <x v="0"/>
    <n v="100"/>
    <n v="1"/>
    <n v="0"/>
    <s v="EPP29"/>
    <n v="129"/>
    <n v="29"/>
    <s v="ร้านที่1"/>
    <s v="น***พร  เ***งความดี"/>
    <s v="เพชรบูรณ์"/>
    <s v="-"/>
    <s v=""/>
    <s v="02/01/2025 17:05"/>
    <s v="-"/>
    <s v="J&amp;T COD"/>
    <s v="Tiktok"/>
    <s v="จ่ายทีหลัง / COD"/>
    <s v=""/>
    <s v="754210702615"/>
    <s v="02/01/2025 17:05"/>
  </r>
  <r>
    <x v="19"/>
    <x v="19"/>
    <n v="199"/>
    <n v="1"/>
    <n v="0"/>
    <s v="EPP28"/>
    <n v="199"/>
    <n v="0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4"/>
    <s v="-"/>
    <s v="SPX Express"/>
    <s v="Shopee"/>
    <s v="shopee"/>
    <s v=""/>
    <s v="TH255141942992W"/>
    <s v="02/01/2025 17:04"/>
  </r>
  <r>
    <x v="19"/>
    <x v="19"/>
    <n v="199"/>
    <n v="1"/>
    <n v="0"/>
    <s v="EPP25"/>
    <n v="199"/>
    <n v="0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3"/>
    <s v="-"/>
    <s v="SPX Express"/>
    <s v="Shopee"/>
    <s v="shopee"/>
    <s v=""/>
    <s v="TH2537855618220"/>
    <s v="02/01/2025 17:03"/>
  </r>
  <r>
    <x v="3"/>
    <x v="3"/>
    <n v="100"/>
    <n v="1"/>
    <n v="0"/>
    <s v="EPP24"/>
    <n v="327"/>
    <n v="35"/>
    <s v="ร้านที่2"/>
    <s v="ธ******์"/>
    <s v="******์ทาวน์ ตำบลบางเพรียง ตำบลบางเพรียง อำเภอบางบ่อ จังหวัดสมุทรปราการ 10560"/>
    <s v="10560"/>
    <s v="05"/>
    <s v="02/01/2025 17:33"/>
    <s v="-"/>
    <s v="Flash Express"/>
    <s v="Shopee"/>
    <s v="shopee"/>
    <s v=""/>
    <s v="TH02026ND5P35D"/>
    <s v="02/01/2025 17:03"/>
  </r>
  <r>
    <x v="19"/>
    <x v="19"/>
    <n v="197"/>
    <n v="1"/>
    <n v="0"/>
    <s v="EPP24"/>
    <n v="327"/>
    <n v="35"/>
    <s v="ร้านที่2"/>
    <s v="ธ******์"/>
    <s v="******์ทาวน์ ตำบลบางเพรียง ตำบลบางเพรียง อำเภอบางบ่อ จังหวัดสมุทรปราการ 10560"/>
    <s v="10560"/>
    <s v="05"/>
    <s v="02/01/2025 17:33"/>
    <s v="-"/>
    <s v="Flash Express"/>
    <s v="Shopee"/>
    <s v="shopee"/>
    <s v=""/>
    <s v="TH02026ND5P35D"/>
    <s v="02/01/2025 17:03"/>
  </r>
  <r>
    <x v="1"/>
    <x v="1"/>
    <n v="200"/>
    <n v="1"/>
    <n v="0"/>
    <s v="EPP22"/>
    <n v="200"/>
    <n v="0"/>
    <s v="ร้านที่1"/>
    <s v="อ***รา  ผ***"/>
    <s v="กรุงเทพฯ"/>
    <s v="-"/>
    <s v=""/>
    <s v="02/01/2025 17:03"/>
    <s v="-"/>
    <s v="J&amp;T Express"/>
    <s v="Tiktok"/>
    <s v="tiktok"/>
    <s v=""/>
    <s v="754206209632"/>
    <s v="02/01/2025 17:02"/>
  </r>
  <r>
    <x v="0"/>
    <x v="0"/>
    <n v="100"/>
    <n v="1"/>
    <n v="0"/>
    <s v="EPP20"/>
    <n v="106"/>
    <n v="6"/>
    <s v="ร้านที่1"/>
    <s v="ส***ิดา ก***อินทร์"/>
    <s v="สุรินทร์"/>
    <s v="-"/>
    <s v=""/>
    <s v="02/01/2025 17:01"/>
    <s v="-"/>
    <s v="J&amp;T COD"/>
    <s v="Tiktok"/>
    <s v="จ่ายทีหลัง / COD"/>
    <s v=""/>
    <s v="754299105615"/>
    <s v="02/01/2025 17:01"/>
  </r>
  <r>
    <x v="19"/>
    <x v="19"/>
    <n v="199"/>
    <n v="1"/>
    <n v="0"/>
    <s v="EPP19"/>
    <n v="244"/>
    <n v="45"/>
    <s v="ร้านที่1"/>
    <s v="ส******ม"/>
    <s v="******ำบลตาสิทธิ์ อำเภอปลวกแดง ระยอง 21140 ประเทศไทย ตำบลตาสิทธิ์ อำเภอปลวกแดง จังหวัดระยอง 21140"/>
    <s v="21140"/>
    <s v="56"/>
    <s v="02/01/2025 17:31"/>
    <s v="-"/>
    <s v="SPX Express"/>
    <s v="Shopee"/>
    <s v="shopee"/>
    <s v=""/>
    <s v="TH257011675634Z"/>
    <s v="02/01/2025 17:01"/>
  </r>
  <r>
    <x v="0"/>
    <x v="0"/>
    <n v="100"/>
    <n v="1"/>
    <n v="0"/>
    <s v="EPP18"/>
    <n v="106"/>
    <n v="6"/>
    <s v="ร้านที่2"/>
    <s v="ป**"/>
    <s v="นครราชสีมา"/>
    <s v="-"/>
    <s v=""/>
    <s v="02/01/2025 17:00"/>
    <s v="-"/>
    <s v="J&amp;T COD"/>
    <s v="Tiktok"/>
    <s v="จ่ายทีหลัง / COD"/>
    <s v=""/>
    <s v="754228804674"/>
    <s v="02/01/2025 17:00"/>
  </r>
  <r>
    <x v="1"/>
    <x v="1"/>
    <n v="200"/>
    <n v="1"/>
    <n v="0"/>
    <s v="EPP17"/>
    <n v="200"/>
    <n v="0"/>
    <s v="ร้านที่1"/>
    <s v="น***ันทกา  พ***ราช"/>
    <s v="กรุงเทพฯ"/>
    <s v="-"/>
    <s v=""/>
    <s v="02/01/2025 16:59"/>
    <s v="-"/>
    <s v="J&amp;T COD"/>
    <s v="Tiktok"/>
    <s v="จ่ายทีหลัง / COD"/>
    <s v=""/>
    <s v="754235403681"/>
    <s v="02/01/2025 16:59"/>
  </r>
  <r>
    <x v="10"/>
    <x v="10"/>
    <n v="200"/>
    <n v="1"/>
    <n v="0"/>
    <s v="EPP16"/>
    <n v="200"/>
    <n v="0"/>
    <s v="ร้านที่1"/>
    <s v="น***ปุ่นมีกิจ"/>
    <s v="สมุทรปราการ"/>
    <s v="-"/>
    <s v=""/>
    <s v="02/01/2025 16:59"/>
    <s v="-"/>
    <s v="Flash Express Thailand COD"/>
    <s v="Tiktok"/>
    <s v="จ่ายทีหลัง / COD"/>
    <s v=""/>
    <s v="THT02011DSNN90Z"/>
    <s v="02/01/2025 16:59"/>
  </r>
  <r>
    <x v="0"/>
    <x v="0"/>
    <n v="100"/>
    <n v="1"/>
    <n v="0"/>
    <s v="EPP13"/>
    <n v="106"/>
    <n v="6"/>
    <s v="ร้านที่2"/>
    <s v="p***da"/>
    <s v="นนทบุรี"/>
    <s v="-"/>
    <s v=""/>
    <s v="02/01/2025 16:59"/>
    <s v="-"/>
    <s v="J&amp;T Express"/>
    <s v="Tiktok"/>
    <s v="tiktok"/>
    <s v=""/>
    <s v="754281831660"/>
    <s v="02/01/2025 16:58"/>
  </r>
  <r>
    <x v="0"/>
    <x v="0"/>
    <n v="100"/>
    <n v="1"/>
    <n v="0"/>
    <s v="EPP11"/>
    <n v="100"/>
    <n v="0"/>
    <s v="ร้านที่1"/>
    <s v="น***้าง ด***ภูมิ"/>
    <s v="สระบุรี"/>
    <s v="-"/>
    <s v=""/>
    <s v="02/01/2025 16:57"/>
    <s v="-"/>
    <s v="J&amp;T COD"/>
    <s v="Tiktok"/>
    <s v="จ่ายทีหลัง / COD"/>
    <s v=""/>
    <s v="754239830665"/>
    <s v="02/01/2025 16:57"/>
  </r>
  <r>
    <x v="0"/>
    <x v="0"/>
    <n v="100"/>
    <n v="1"/>
    <n v="0"/>
    <s v="EPP10"/>
    <n v="200"/>
    <n v="0"/>
    <s v="ร้านที่4"/>
    <s v="ว***รณ์ ค***ัตถุ"/>
    <s v="ชลบุรี"/>
    <s v="-"/>
    <s v=""/>
    <s v="02/01/2025 16:57"/>
    <s v="-"/>
    <s v="Flash Express Thailand"/>
    <s v="Tiktok"/>
    <s v="tiktok"/>
    <s v=""/>
    <s v="THT20041DRTJ83Z"/>
    <s v="02/01/2025 16:56"/>
  </r>
  <r>
    <x v="3"/>
    <x v="3"/>
    <n v="100"/>
    <n v="1"/>
    <n v="0"/>
    <s v="EPP10"/>
    <n v="200"/>
    <n v="0"/>
    <s v="ร้านที่4"/>
    <s v="ว***รณ์ ค***ัตถุ"/>
    <s v="ชลบุรี"/>
    <s v="-"/>
    <s v=""/>
    <s v="02/01/2025 16:57"/>
    <s v="-"/>
    <s v="Flash Express Thailand"/>
    <s v="Tiktok"/>
    <s v="tiktok"/>
    <s v=""/>
    <s v="THT20041DRTJ83Z"/>
    <s v="02/01/2025 16:56"/>
  </r>
  <r>
    <x v="1"/>
    <x v="1"/>
    <n v="200"/>
    <n v="1"/>
    <n v="0"/>
    <s v="EPP8"/>
    <n v="200"/>
    <n v="0"/>
    <s v="ร้านที่1"/>
    <s v="K*** H*** M*"/>
    <s v="Bangkok"/>
    <s v="-"/>
    <s v=""/>
    <s v="02/01/2025 16:54"/>
    <s v="-"/>
    <s v="J&amp;T COD"/>
    <s v="Tiktok"/>
    <s v="จ่ายทีหลัง / COD"/>
    <s v=""/>
    <s v="754292924685"/>
    <s v="02/01/2025 16:54"/>
  </r>
  <r>
    <x v="1"/>
    <x v="1"/>
    <n v="200"/>
    <n v="1"/>
    <n v="0"/>
    <s v="EPP7"/>
    <n v="200"/>
    <n v="0"/>
    <s v="ร้านที่2"/>
    <s v="ป***ภา บ***้อม"/>
    <s v="นนทบุรี"/>
    <s v="-"/>
    <s v=""/>
    <s v="02/01/2025 16:54"/>
    <s v="-"/>
    <s v="J&amp;T Express"/>
    <s v="Tiktok"/>
    <s v="tiktok"/>
    <s v=""/>
    <s v="754260121683"/>
    <s v="02/01/2025 16:53"/>
  </r>
  <r>
    <x v="10"/>
    <x v="10"/>
    <n v="200"/>
    <n v="1"/>
    <n v="0"/>
    <s v="EPP6"/>
    <n v="200"/>
    <n v="0"/>
    <s v="ร้านที่4"/>
    <s v="อ***ย์หลักสอง"/>
    <s v="สมุทรสาคร"/>
    <s v="-"/>
    <s v=""/>
    <s v="02/01/2025 16:53"/>
    <s v="-"/>
    <s v="Flash Express Thailand COD"/>
    <s v="Tiktok"/>
    <s v="จ่ายทีหลัง / COD"/>
    <s v=""/>
    <s v="THT16031DS8HR5Z"/>
    <s v="02/01/2025 16:53"/>
  </r>
  <r>
    <x v="5"/>
    <x v="5"/>
    <n v="330"/>
    <n v="1"/>
    <n v="0"/>
    <s v="EPP5"/>
    <n v="330"/>
    <n v="0"/>
    <s v="ร้านที่2"/>
    <s v="น***ัตน์ เ***ร์รัตน์"/>
    <s v="นครศรีธรรมราช"/>
    <s v="-"/>
    <s v=""/>
    <s v="02/01/2025 16:52"/>
    <s v="-"/>
    <s v="J&amp;T COD"/>
    <s v="Tiktok"/>
    <s v="จ่ายทีหลัง / COD"/>
    <s v=""/>
    <s v="754244880583"/>
    <s v="02/01/2025 16:52"/>
  </r>
  <r>
    <x v="0"/>
    <x v="0"/>
    <n v="100"/>
    <n v="1"/>
    <n v="0"/>
    <s v="EPP4"/>
    <n v="106"/>
    <n v="6"/>
    <s v="ร้านที่1"/>
    <s v="ส***สา ช***บรรจง"/>
    <s v="กรุงเทพมหานคร"/>
    <s v="-"/>
    <s v=""/>
    <s v="02/01/2025 16:52"/>
    <s v="-"/>
    <s v="J&amp;T COD"/>
    <s v="Tiktok"/>
    <s v="จ่ายทีหลัง / COD"/>
    <s v=""/>
    <s v="754257405683"/>
    <s v="02/01/2025 16:52"/>
  </r>
  <r>
    <x v="1"/>
    <x v="1"/>
    <n v="200"/>
    <n v="1"/>
    <n v="0"/>
    <s v="EPP3"/>
    <n v="200"/>
    <n v="0"/>
    <s v="ร้านที่1"/>
    <s v="จ***า"/>
    <s v="นครสวรรค์"/>
    <s v="-"/>
    <s v=""/>
    <s v="02/01/2025 16:50"/>
    <s v="-"/>
    <s v="J&amp;T COD"/>
    <s v="Tiktok"/>
    <s v="จ่ายทีหลัง / COD"/>
    <s v=""/>
    <s v="754214607635"/>
    <s v="02/01/2025 16:50"/>
  </r>
  <r>
    <x v="4"/>
    <x v="4"/>
    <n v="100"/>
    <n v="1"/>
    <n v="0"/>
    <s v="EPP2"/>
    <n v="100"/>
    <n v="0"/>
    <s v="ร้านที่1"/>
    <s v="ท***พร ส***ิตร"/>
    <s v="พระนครศรีอยุธยา"/>
    <s v="-"/>
    <s v=""/>
    <s v="02/01/2025 16:48"/>
    <s v="-"/>
    <s v="J&amp;T COD"/>
    <s v="Tiktok"/>
    <s v="จ่ายทีหลัง / COD"/>
    <s v=""/>
    <s v="754250414665"/>
    <s v="02/01/2025 16:48"/>
  </r>
  <r>
    <x v="10"/>
    <x v="10"/>
    <n v="200"/>
    <n v="1"/>
    <n v="0"/>
    <s v="EPP1"/>
    <n v="200"/>
    <n v="0"/>
    <s v="ร้านที่1"/>
    <s v="จ***ววรรธน์  ช***กิตติเมธ"/>
    <s v="ชัยภูมิ"/>
    <s v="-"/>
    <s v=""/>
    <s v="02/01/2025 16:46"/>
    <s v="-"/>
    <s v="J&amp;T COD"/>
    <s v="Tiktok"/>
    <s v="จ่ายทีหลัง / COD"/>
    <s v=""/>
    <s v="754270213686"/>
    <s v="02/01/2025 16:46"/>
  </r>
  <r>
    <x v="19"/>
    <x v="19"/>
    <n v="197"/>
    <n v="1"/>
    <n v="0"/>
    <s v="EPP0"/>
    <n v="197"/>
    <n v="0"/>
    <s v="ร้านที่2"/>
    <s v="พ******า"/>
    <s v="****** 105 เขตบางนา แขวงบางนา กรุงเทพฯ 10260 แขวงบางนาใต้ เขตบางนา จังหวัดกรุงเทพมหานคร 10260"/>
    <s v="10260"/>
    <s v="78"/>
    <s v="02/01/2025 16:46"/>
    <s v="-"/>
    <s v="SPX Express"/>
    <s v="Shopee"/>
    <s v="shopee"/>
    <s v=""/>
    <s v="TH256477862539M"/>
    <s v="02/01/2025 16:43"/>
  </r>
  <r>
    <x v="19"/>
    <x v="19"/>
    <n v="197"/>
    <n v="1"/>
    <n v="0"/>
    <s v="EPO99"/>
    <n v="322"/>
    <n v="35"/>
    <s v="ร้านที่2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02/01/2025 16:34"/>
    <s v="-"/>
    <s v="Flash Express"/>
    <s v="Shopee"/>
    <s v="shopee"/>
    <s v=""/>
    <s v="TH01396ND4CK4E0"/>
    <s v="02/01/2025 16:34"/>
  </r>
  <r>
    <x v="3"/>
    <x v="8"/>
    <n v="102.07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3"/>
    <x v="8"/>
    <n v="102.06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3"/>
    <x v="8"/>
    <n v="102.07"/>
    <n v="1"/>
    <n v="0"/>
    <s v="EPO98"/>
    <n v="306.2"/>
    <n v="0"/>
    <s v="ร้านที่6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2/01/2025 16:33"/>
    <s v="-"/>
    <s v="Kerry_dropoff"/>
    <s v="Lazada"/>
    <s v="lazada"/>
    <s v=""/>
    <s v="LEXPU0441116796"/>
    <s v="02/01/2025 16:33"/>
  </r>
  <r>
    <x v="1"/>
    <x v="1"/>
    <n v="200"/>
    <n v="1"/>
    <n v="0"/>
    <s v="EPO97"/>
    <n v="200"/>
    <n v="0"/>
    <s v="ร้านที่2"/>
    <s v="ว***ช ส***ระกูล"/>
    <s v="นครราชสีมา"/>
    <s v="-"/>
    <s v=""/>
    <s v="02/01/2025 16:31"/>
    <s v="-"/>
    <s v="J&amp;T COD"/>
    <s v="Tiktok"/>
    <s v="จ่ายทีหลัง / COD"/>
    <s v=""/>
    <s v="754240436644"/>
    <s v="02/01/2025 16:31"/>
  </r>
  <r>
    <x v="19"/>
    <x v="19"/>
    <n v="197"/>
    <n v="1"/>
    <n v="0"/>
    <s v="EPO96"/>
    <n v="242"/>
    <n v="45"/>
    <s v="ร้านที่2"/>
    <s v="ช******า"/>
    <s v="******ามอินทรา. คู้บอน แขวงท่าแร้ง เขตบางเขน จังหวัดกรุงเทพมหานคร 10220"/>
    <s v="10220"/>
    <s v="90"/>
    <s v="02/01/2025 17:00"/>
    <s v="-"/>
    <s v="SPX Express"/>
    <s v="Shopee"/>
    <s v="shopee"/>
    <s v=""/>
    <s v="TH252266902171W"/>
    <s v="02/01/2025 16:30"/>
  </r>
  <r>
    <x v="3"/>
    <x v="3"/>
    <n v="100"/>
    <n v="4"/>
    <n v="0"/>
    <s v="EPO95"/>
    <n v="400"/>
    <n v="0"/>
    <s v="ร้านที่2"/>
    <s v="ช******ข"/>
    <s v="******ลพระยาบันลือ อำเภอลาดบัวหลวง จังหวัดพระนครศรีอยุธยา 13230"/>
    <s v="13230"/>
    <s v="51"/>
    <s v="02/01/2025 16:27"/>
    <s v="-"/>
    <s v="SPX Express"/>
    <s v="Shopee"/>
    <s v="shopee"/>
    <s v=""/>
    <s v="TH252570491738X"/>
    <s v="02/01/2025 16:27"/>
  </r>
  <r>
    <x v="1"/>
    <x v="1"/>
    <n v="200"/>
    <n v="1"/>
    <n v="0"/>
    <s v="EPO94"/>
    <n v="200"/>
    <n v="0"/>
    <s v="ร้านที่1"/>
    <s v="ข***วัญ"/>
    <s v="สุราษฎร์ธานี"/>
    <s v="-"/>
    <s v=""/>
    <s v="02/01/2025 16:19"/>
    <s v="-"/>
    <s v="J&amp;T COD"/>
    <s v="Tiktok"/>
    <s v="จ่ายทีหลัง / COD"/>
    <s v=""/>
    <s v="754221600635"/>
    <s v="02/01/2025 16:19"/>
  </r>
  <r>
    <x v="3"/>
    <x v="3"/>
    <n v="100"/>
    <n v="2"/>
    <n v="0"/>
    <s v="EPO93"/>
    <n v="200"/>
    <n v="0"/>
    <s v="ร้านที่4"/>
    <s v="ธ***"/>
    <s v="อุทัยธานี"/>
    <s v="-"/>
    <s v=""/>
    <s v="02/01/2025 16:17"/>
    <s v="-"/>
    <s v="Flash Express Thailand"/>
    <s v="Tiktok"/>
    <s v="tiktok"/>
    <s v=""/>
    <s v="THT57011DS4XS9Z"/>
    <s v="02/01/2025 16:17"/>
  </r>
  <r>
    <x v="18"/>
    <x v="18"/>
    <n v="139.5"/>
    <n v="1"/>
    <n v="0"/>
    <s v="EPO92"/>
    <n v="182.28"/>
    <n v="0"/>
    <s v="ร้านที่1"/>
    <s v="อังคณา แก้วประเสริฐ ทราย"/>
    <s v="41/1หมู่9  ต.เกรียงไกร_x000a__x000a_เมืองนครสวรรค์/ Mueang Nakhon Sawanนครสวรรค์/ Nakhon Sawan_x000a_60000"/>
    <s v="60000"/>
    <s v="660632685073"/>
    <s v="02/01/2025 16:16"/>
    <s v="-"/>
    <s v="Kerry_dropoff"/>
    <s v="Lazada"/>
    <s v="lazada"/>
    <s v=""/>
    <s v="LEXPU0441109875"/>
    <s v="02/01/2025 16:16"/>
  </r>
  <r>
    <x v="3"/>
    <x v="8"/>
    <n v="45"/>
    <n v="1"/>
    <n v="0"/>
    <s v="EPO91"/>
    <n v="45"/>
    <n v="0"/>
    <s v="ร้านที่6"/>
    <s v="กชกร โลซา"/>
    <s v="บ้านนางแตน 55 ซอย10(หลังสุดท้าย)  · ท่าผา/ Tha Pha_x000a__x000a_เกาะคา/ Ko Khaลำปาง/ Lampang_x000a_52130"/>
    <s v="52130"/>
    <s v="660983535235"/>
    <s v="02/01/2025 16:14"/>
    <s v="-"/>
    <s v="Kerry_dropoff"/>
    <s v="Lazada"/>
    <s v="lazada"/>
    <s v=""/>
    <s v="LEXPU0441118287"/>
    <s v="02/01/2025 16:14"/>
  </r>
  <r>
    <x v="1"/>
    <x v="1"/>
    <n v="200"/>
    <n v="1"/>
    <n v="0"/>
    <s v="EPO90"/>
    <n v="200"/>
    <n v="0"/>
    <s v="ร้านที่1"/>
    <s v="ก***รรณ. เ***"/>
    <s v="นราธิวาส"/>
    <s v="-"/>
    <s v=""/>
    <s v="02/01/2025 16:09"/>
    <s v="-"/>
    <s v="J&amp;T COD"/>
    <s v="Tiktok"/>
    <s v="จ่ายทีหลัง / COD"/>
    <s v=""/>
    <s v="754211036655"/>
    <s v="02/01/2025 16:09"/>
  </r>
  <r>
    <x v="1"/>
    <x v="1"/>
    <n v="200"/>
    <n v="1"/>
    <n v="0"/>
    <s v="EPO89"/>
    <n v="200"/>
    <n v="0"/>
    <s v="ร้านที่1"/>
    <s v="น***ิชิต  อ***ระเสริฐ"/>
    <s v="อุดรธานี"/>
    <s v="-"/>
    <s v=""/>
    <s v="02/01/2025 16:06"/>
    <s v="-"/>
    <s v="J&amp;T COD"/>
    <s v="Tiktok"/>
    <s v="จ่ายทีหลัง / COD"/>
    <s v=""/>
    <s v="754210526683"/>
    <s v="02/01/2025 16:07"/>
  </r>
  <r>
    <x v="1"/>
    <x v="1"/>
    <n v="200"/>
    <n v="1"/>
    <n v="0"/>
    <s v="EPO88"/>
    <n v="200"/>
    <n v="0"/>
    <s v="ร้านที่1"/>
    <s v="ส***ี  ส***์ทองเศษ"/>
    <s v="ร้อยเอ็ด"/>
    <s v="-"/>
    <s v=""/>
    <s v="02/01/2025 16:05"/>
    <s v="-"/>
    <s v="J&amp;T COD"/>
    <s v="Tiktok"/>
    <s v="จ่ายทีหลัง / COD"/>
    <s v=""/>
    <s v="754232039621"/>
    <s v="02/01/2025 16:06"/>
  </r>
  <r>
    <x v="10"/>
    <x v="10"/>
    <n v="200"/>
    <n v="1"/>
    <n v="0"/>
    <s v="EPO87"/>
    <n v="200"/>
    <n v="0"/>
    <s v="ร้านที่1"/>
    <s v="เ***นี  ป***ั้น"/>
    <s v="ตาก"/>
    <s v="-"/>
    <s v=""/>
    <s v="02/01/2025 15:56"/>
    <s v="-"/>
    <s v="J&amp;T COD"/>
    <s v="Tiktok"/>
    <s v="จ่ายทีหลัง / COD"/>
    <s v=""/>
    <s v="754255610684"/>
    <s v="02/01/2025 15:57"/>
  </r>
  <r>
    <x v="1"/>
    <x v="1"/>
    <n v="200"/>
    <n v="1"/>
    <n v="0"/>
    <s v="EPO84"/>
    <n v="200"/>
    <n v="0"/>
    <s v="ร้านที่1"/>
    <s v="ศ***พร ท***ดง"/>
    <s v="เพชรบูรณ์"/>
    <s v="-"/>
    <s v=""/>
    <s v="02/01/2025 15:49"/>
    <s v="-"/>
    <s v="J&amp;T COD"/>
    <s v="Tiktok"/>
    <s v="จ่ายทีหลัง / COD"/>
    <s v=""/>
    <s v="754260528652"/>
    <s v="02/01/2025 15:49"/>
  </r>
  <r>
    <x v="3"/>
    <x v="8"/>
    <n v="84"/>
    <n v="1"/>
    <n v="0"/>
    <s v="EPO82"/>
    <n v="173"/>
    <n v="5"/>
    <s v="ร้านที่6"/>
    <s v="ปนัดดา ธนานันท์"/>
    <s v="111/228 ม.เปี่ยมสุข_x000a__x000a_เมืองปทุมธานี/ Mueang Pathum Thaniปทุมธานี/ Pathum Thani_x000a_12000"/>
    <s v="12000"/>
    <s v="660988913716"/>
    <s v="02/01/2025 15:46"/>
    <s v="-"/>
    <s v="Kerry_dropoff"/>
    <s v="Lazada"/>
    <s v="lazada"/>
    <s v=""/>
    <s v="LEXPU0441106482"/>
    <s v="02/01/2025 15:46"/>
  </r>
  <r>
    <x v="3"/>
    <x v="8"/>
    <n v="84"/>
    <n v="1"/>
    <n v="0"/>
    <s v="EPO82"/>
    <n v="173"/>
    <n v="5"/>
    <s v="ร้านที่6"/>
    <s v="ปนัดดา ธนานันท์"/>
    <s v="111/228 ม.เปี่ยมสุข_x000a__x000a_เมืองปทุมธานี/ Mueang Pathum Thaniปทุมธานี/ Pathum Thani_x000a_12000"/>
    <s v="12000"/>
    <s v="660988913716"/>
    <s v="02/01/2025 15:46"/>
    <s v="-"/>
    <s v="Kerry_dropoff"/>
    <s v="Lazada"/>
    <s v="lazada"/>
    <s v=""/>
    <s v="LEXPU0441106482"/>
    <s v="02/01/2025 15:46"/>
  </r>
  <r>
    <x v="1"/>
    <x v="1"/>
    <n v="200"/>
    <n v="1"/>
    <n v="0"/>
    <s v="EPO81"/>
    <n v="200"/>
    <n v="0"/>
    <s v="ร้านที่2"/>
    <s v="ป***า น***ัด"/>
    <s v="สุโขทัย"/>
    <s v="-"/>
    <s v=""/>
    <s v="02/01/2025 15:36"/>
    <s v="-"/>
    <s v="J&amp;T COD"/>
    <s v="Tiktok"/>
    <s v="จ่ายทีหลัง / COD"/>
    <s v=""/>
    <s v="754247002666"/>
    <s v="02/01/2025 15:36"/>
  </r>
  <r>
    <x v="9"/>
    <x v="4"/>
    <n v="100"/>
    <n v="1"/>
    <n v="0"/>
    <s v="EPO80"/>
    <n v="200"/>
    <n v="0"/>
    <s v="ร้านที่1"/>
    <s v="น** ข***นภา อ***จริญ"/>
    <s v="สระบุรี"/>
    <s v="-"/>
    <s v=""/>
    <s v="02/01/2025 15:33"/>
    <s v="-"/>
    <s v="J&amp;T COD"/>
    <s v="Tiktok"/>
    <s v="จ่ายทีหลัง / COD"/>
    <s v=""/>
    <s v="754213610684"/>
    <s v="02/01/2025 15:33"/>
  </r>
  <r>
    <x v="4"/>
    <x v="4"/>
    <n v="100"/>
    <n v="1"/>
    <n v="0"/>
    <s v="EPO80"/>
    <n v="200"/>
    <n v="0"/>
    <s v="ร้านที่1"/>
    <s v="น** ข***นภา อ***จริญ"/>
    <s v="สระบุรี"/>
    <s v="-"/>
    <s v=""/>
    <s v="02/01/2025 15:33"/>
    <s v="-"/>
    <s v="J&amp;T COD"/>
    <s v="Tiktok"/>
    <s v="จ่ายทีหลัง / COD"/>
    <s v=""/>
    <s v="754213610684"/>
    <s v="02/01/2025 15:33"/>
  </r>
  <r>
    <x v="1"/>
    <x v="1"/>
    <n v="200"/>
    <n v="1"/>
    <n v="0"/>
    <s v="EPO79"/>
    <n v="200"/>
    <n v="0"/>
    <s v="ร้านที่1"/>
    <s v="จ***มาศ"/>
    <s v="ชลบุรี"/>
    <s v="-"/>
    <s v=""/>
    <s v="02/01/2025 15:29"/>
    <s v="-"/>
    <s v="J&amp;T Express"/>
    <s v="Tiktok"/>
    <s v="tiktok"/>
    <s v=""/>
    <s v="754284602621"/>
    <s v="02/01/2025 15:29"/>
  </r>
  <r>
    <x v="5"/>
    <x v="5"/>
    <n v="330"/>
    <n v="1"/>
    <n v="0"/>
    <s v="EPO78"/>
    <n v="430"/>
    <n v="0"/>
    <s v="ร้านที่1"/>
    <s v="ส***ง ร***อก"/>
    <s v="นครปฐม"/>
    <s v="-"/>
    <s v=""/>
    <s v="02/01/2025 15:27"/>
    <s v="-"/>
    <s v="J&amp;T Express"/>
    <s v="Tiktok"/>
    <s v="tiktok"/>
    <s v=""/>
    <s v="754269974570"/>
    <s v="02/01/2025 15:26"/>
  </r>
  <r>
    <x v="3"/>
    <x v="3"/>
    <n v="100"/>
    <n v="1"/>
    <n v="0"/>
    <s v="EPO78"/>
    <n v="430"/>
    <n v="0"/>
    <s v="ร้านที่1"/>
    <s v="ส***ง ร***อก"/>
    <s v="นครปฐม"/>
    <s v="-"/>
    <s v=""/>
    <s v="02/01/2025 15:27"/>
    <s v="-"/>
    <s v="J&amp;T Express"/>
    <s v="Tiktok"/>
    <s v="tiktok"/>
    <s v=""/>
    <s v="754269974570"/>
    <s v="02/01/2025 15:26"/>
  </r>
  <r>
    <x v="3"/>
    <x v="3"/>
    <n v="100"/>
    <n v="3"/>
    <n v="0"/>
    <s v="EPO77"/>
    <n v="340"/>
    <n v="45"/>
    <s v="ร้านที่2"/>
    <s v="แ*น"/>
    <s v="******ขวงบางบำหรุ เขตบางพลัด จังหวัดกรุงเทพมหานคร 10700"/>
    <s v="10700"/>
    <s v="00"/>
    <s v="02/01/2025 15:55"/>
    <s v="-"/>
    <s v="SPX Express"/>
    <s v="Shopee"/>
    <s v="shopee"/>
    <s v=""/>
    <s v="TH2521410000512"/>
    <s v="02/01/2025 15:25"/>
  </r>
  <r>
    <x v="9"/>
    <x v="4"/>
    <n v="100"/>
    <n v="1"/>
    <n v="0"/>
    <s v="EPO76"/>
    <n v="100"/>
    <n v="0"/>
    <s v="ร้านที่1"/>
    <s v="ว***พ็ญ ก***นหอม"/>
    <s v="ลพบุรี"/>
    <s v="-"/>
    <s v=""/>
    <s v="02/01/2025 15:24"/>
    <s v="-"/>
    <s v="J&amp;T COD"/>
    <s v="Tiktok"/>
    <s v="จ่ายทีหลัง / COD"/>
    <s v=""/>
    <s v="754234160503"/>
    <s v="02/01/2025 15:25"/>
  </r>
  <r>
    <x v="1"/>
    <x v="1"/>
    <n v="200"/>
    <n v="1"/>
    <n v="0"/>
    <s v="EPO74"/>
    <n v="200"/>
    <n v="0"/>
    <s v="ร้านที่2"/>
    <s v="น***วาน"/>
    <s v="ขอนแก่น"/>
    <s v="-"/>
    <s v=""/>
    <s v="02/01/2025 15:24"/>
    <s v="-"/>
    <s v="J&amp;T COD"/>
    <s v="Tiktok"/>
    <s v="จ่ายทีหลัง / COD"/>
    <s v=""/>
    <s v="754253526644"/>
    <s v="02/01/2025 15:24"/>
  </r>
  <r>
    <x v="5"/>
    <x v="5"/>
    <n v="330"/>
    <n v="1"/>
    <n v="0"/>
    <s v="EPO73"/>
    <n v="330"/>
    <n v="0"/>
    <s v="ร้านที่2"/>
    <s v="แ***ียา ศ***รโรจน์"/>
    <s v="เทศบาลนครนครศรีธรรมราช"/>
    <s v="-"/>
    <s v=""/>
    <s v="02/01/2025 15:23"/>
    <s v="-"/>
    <s v="J&amp;T COD"/>
    <s v="Tiktok"/>
    <s v="จ่ายทีหลัง / COD"/>
    <s v=""/>
    <s v="754221082576"/>
    <s v="02/01/2025 15:23"/>
  </r>
  <r>
    <x v="3"/>
    <x v="3"/>
    <n v="100"/>
    <n v="1"/>
    <n v="0"/>
    <s v="EPO71"/>
    <n v="106"/>
    <n v="6"/>
    <s v="ร้านที่4"/>
    <s v="ป***ีณา จ***ดีสกุล"/>
    <s v="กรุงเทพฯ"/>
    <s v="-"/>
    <s v=""/>
    <s v="02/01/2025 15:21"/>
    <s v="-"/>
    <s v="Flash Express Thailand"/>
    <s v="Tiktok"/>
    <s v="tiktok"/>
    <s v=""/>
    <s v="THT01141DS57U5Z"/>
    <s v="02/01/2025 15:21"/>
  </r>
  <r>
    <x v="1"/>
    <x v="1"/>
    <n v="200"/>
    <n v="1"/>
    <n v="0"/>
    <s v="EPO69"/>
    <n v="400"/>
    <n v="0"/>
    <s v="ร้านที่2"/>
    <s v="อ***มา ผ***กิจ"/>
    <s v="นครศรีธรรมราช"/>
    <s v="-"/>
    <s v=""/>
    <s v="02/01/2025 15:18"/>
    <s v="-"/>
    <s v="J&amp;T COD"/>
    <s v="Tiktok"/>
    <s v="จ่ายทีหลัง / COD"/>
    <s v=""/>
    <s v="754293244600"/>
    <s v="02/01/2025 15:18"/>
  </r>
  <r>
    <x v="10"/>
    <x v="10"/>
    <n v="200"/>
    <n v="1"/>
    <n v="0"/>
    <s v="EPO69"/>
    <n v="400"/>
    <n v="0"/>
    <s v="ร้านที่2"/>
    <s v="อ***มา ผ***กิจ"/>
    <s v="นครศรีธรรมราช"/>
    <s v="-"/>
    <s v=""/>
    <s v="02/01/2025 15:18"/>
    <s v="-"/>
    <s v="J&amp;T COD"/>
    <s v="Tiktok"/>
    <s v="จ่ายทีหลัง / COD"/>
    <s v=""/>
    <s v="754293244600"/>
    <s v="02/01/2025 15:18"/>
  </r>
  <r>
    <x v="10"/>
    <x v="10"/>
    <n v="200"/>
    <n v="1"/>
    <n v="0"/>
    <s v="EPO68"/>
    <n v="200"/>
    <n v="0"/>
    <s v="ร้านที่2"/>
    <s v="ส***ลิน  เ***กรรจ์"/>
    <s v="สมุทรสงคราม"/>
    <s v="-"/>
    <s v=""/>
    <s v="02/01/2025 15:17"/>
    <s v="-"/>
    <s v="J&amp;T Express"/>
    <s v="Tiktok"/>
    <s v="tiktok"/>
    <s v=""/>
    <s v="754250420674"/>
    <s v="02/01/2025 15:17"/>
  </r>
  <r>
    <x v="1"/>
    <x v="1"/>
    <n v="200"/>
    <n v="1"/>
    <n v="0"/>
    <s v="EPO67"/>
    <n v="200"/>
    <n v="0"/>
    <s v="ร้านที่1"/>
    <s v="ป***ฉัตร  บ***อด"/>
    <s v="นครสวรรค์"/>
    <s v="-"/>
    <s v=""/>
    <s v="02/01/2025 15:16"/>
    <s v="-"/>
    <s v="J&amp;T COD"/>
    <s v="Tiktok"/>
    <s v="จ่ายทีหลัง / COD"/>
    <s v=""/>
    <s v="754233607676"/>
    <s v="02/01/2025 15:16"/>
  </r>
  <r>
    <x v="4"/>
    <x v="4"/>
    <n v="100"/>
    <n v="1"/>
    <n v="0"/>
    <s v="EPO65"/>
    <n v="200"/>
    <n v="0"/>
    <s v="ร้านที่1"/>
    <s v="ป***า ว***กันหา"/>
    <s v="ปทุมธานี"/>
    <s v="-"/>
    <s v=""/>
    <s v="02/01/2025 15:12"/>
    <s v="-"/>
    <s v="J&amp;T Express"/>
    <s v="Tiktok"/>
    <s v="tiktok"/>
    <s v=""/>
    <s v="754218712612"/>
    <s v="02/01/2025 15:11"/>
  </r>
  <r>
    <x v="9"/>
    <x v="4"/>
    <n v="100"/>
    <n v="1"/>
    <n v="0"/>
    <s v="EPO65"/>
    <n v="200"/>
    <n v="0"/>
    <s v="ร้านที่1"/>
    <s v="ป***า ว***กันหา"/>
    <s v="ปทุมธานี"/>
    <s v="-"/>
    <s v=""/>
    <s v="02/01/2025 15:12"/>
    <s v="-"/>
    <s v="J&amp;T Express"/>
    <s v="Tiktok"/>
    <s v="tiktok"/>
    <s v=""/>
    <s v="754218712612"/>
    <s v="02/01/2025 15:11"/>
  </r>
  <r>
    <x v="29"/>
    <x v="36"/>
    <n v="330"/>
    <n v="1"/>
    <n v="0"/>
    <s v="EPO64"/>
    <n v="330"/>
    <n v="0"/>
    <s v="ร้านที่1"/>
    <s v="ศ***ลักษณ์  ม***าษา"/>
    <s v="ฉะเชิงเทรา"/>
    <s v="-"/>
    <s v=""/>
    <s v="02/01/2025 15:11"/>
    <s v="-"/>
    <s v="J&amp;T COD"/>
    <s v="Tiktok"/>
    <s v="จ่ายทีหลัง / COD"/>
    <s v=""/>
    <s v="754286713670"/>
    <s v="02/01/2025 15:11"/>
  </r>
  <r>
    <x v="5"/>
    <x v="5"/>
    <n v="350"/>
    <n v="1"/>
    <n v="0"/>
    <s v="EPO63"/>
    <n v="350"/>
    <n v="0"/>
    <s v="ร้านที่4"/>
    <s v="พ***าวไลแพทย์เพียร"/>
    <s v="สมุทรปราการ"/>
    <s v="-"/>
    <s v=""/>
    <s v="02/01/2025 15:06"/>
    <s v="-"/>
    <s v="Flash Express Thailand"/>
    <s v="Tiktok"/>
    <s v="tiktok"/>
    <s v=""/>
    <s v="THT02031DSHV42Z"/>
    <s v="02/01/2025 15:06"/>
  </r>
  <r>
    <x v="3"/>
    <x v="3"/>
    <n v="100"/>
    <n v="3"/>
    <n v="0"/>
    <s v="EPO62"/>
    <n v="300"/>
    <n v="0"/>
    <s v="ร้านที่4"/>
    <s v="ร***กอกายก๋วยเตี๋ยวไก่มะระ"/>
    <s v="นครปฐม"/>
    <s v="-"/>
    <s v=""/>
    <s v="02/01/2025 15:01"/>
    <s v="-"/>
    <s v="Flash Express Thailand COD"/>
    <s v="Tiktok"/>
    <s v="จ่ายทีหลัง / COD"/>
    <s v=""/>
    <s v="THT15061DS0NG9Z"/>
    <s v="02/01/2025 15:02"/>
  </r>
  <r>
    <x v="5"/>
    <x v="5"/>
    <n v="330"/>
    <n v="1"/>
    <n v="0"/>
    <s v="EPO61"/>
    <n v="330"/>
    <n v="0"/>
    <s v="ร้านที่1"/>
    <s v="เ***ญา แ***เกาะสะบ้า"/>
    <s v="สงขลา"/>
    <s v="-"/>
    <s v=""/>
    <s v="02/01/2025 14:58"/>
    <s v="-"/>
    <s v="J&amp;T COD"/>
    <s v="Tiktok"/>
    <s v="จ่ายทีหลัง / COD"/>
    <s v="ไม่เอากาแฟนะคะเเจกเด็กๆ"/>
    <s v="754290780504"/>
    <s v="02/01/2025 14:59"/>
  </r>
  <r>
    <x v="3"/>
    <x v="3"/>
    <n v="100"/>
    <n v="1"/>
    <n v="0"/>
    <s v="EPO60"/>
    <n v="106"/>
    <n v="6"/>
    <s v="ร้านที่4"/>
    <s v="น***ทองดี อ***สง"/>
    <s v="ปราจีนบุรี"/>
    <s v="-"/>
    <s v=""/>
    <s v="02/01/2025 14:57"/>
    <s v="-"/>
    <s v="Flash Express Thailand COD"/>
    <s v="Tiktok"/>
    <s v="จ่ายทีหลัง / COD"/>
    <s v=""/>
    <s v="THT25021DS52Q9Z"/>
    <s v="02/01/2025 14:57"/>
  </r>
  <r>
    <x v="1"/>
    <x v="1"/>
    <n v="200"/>
    <n v="1"/>
    <n v="0"/>
    <s v="EPO57"/>
    <n v="200"/>
    <n v="0"/>
    <s v="ร้านที่1"/>
    <s v="ธ***า   ท***ินิจ"/>
    <s v="อุบลราชธานี"/>
    <s v="-"/>
    <s v=""/>
    <s v="02/01/2025 14:56"/>
    <s v="-"/>
    <s v="J&amp;T COD"/>
    <s v="Tiktok"/>
    <s v="จ่ายทีหลัง / COD"/>
    <s v=""/>
    <s v="754223332623"/>
    <s v="02/01/2025 14:56"/>
  </r>
  <r>
    <x v="5"/>
    <x v="5"/>
    <n v="350"/>
    <n v="1"/>
    <n v="0"/>
    <s v="EPO55"/>
    <n v="350"/>
    <n v="0"/>
    <s v="ร้านที่4"/>
    <s v="ม*** ผ***ข"/>
    <s v="นครนายก"/>
    <s v="-"/>
    <s v=""/>
    <s v="02/01/2025 14:49"/>
    <s v="-"/>
    <s v="Flash Express Thailand COD"/>
    <s v="Tiktok"/>
    <s v="จ่ายทีหลัง / COD"/>
    <s v=""/>
    <s v="THT11011DS59D5Z"/>
    <s v="02/01/2025 14:50"/>
  </r>
  <r>
    <x v="10"/>
    <x v="10"/>
    <n v="200"/>
    <n v="1"/>
    <n v="0"/>
    <s v="EPO54"/>
    <n v="200"/>
    <n v="0"/>
    <s v="ร้านที่2"/>
    <s v="น***าวอัจฉราภรณ์ พ***าโส"/>
    <s v="มหาสารคาม"/>
    <s v="-"/>
    <s v=""/>
    <s v="02/01/2025 14:48"/>
    <s v="-"/>
    <s v="J&amp;T COD"/>
    <s v="Tiktok"/>
    <s v="จ่ายทีหลัง / COD"/>
    <s v=""/>
    <s v="754236820680"/>
    <s v="02/01/2025 14:48"/>
  </r>
  <r>
    <x v="4"/>
    <x v="4"/>
    <n v="100"/>
    <n v="1"/>
    <n v="0"/>
    <s v="EPO53"/>
    <n v="100"/>
    <n v="0"/>
    <s v="ร้านที่4"/>
    <s v="ม***นอย"/>
    <s v="ลพบุรี"/>
    <s v="-"/>
    <s v=""/>
    <s v="02/01/2025 14:44"/>
    <s v="-"/>
    <s v="Flash Express Thailand COD"/>
    <s v="Tiktok"/>
    <s v="จ่ายทีหลัง / COD"/>
    <s v=""/>
    <s v="THT07011DS8260Z"/>
    <s v="02/01/2025 14:44"/>
  </r>
  <r>
    <x v="4"/>
    <x v="4"/>
    <n v="100"/>
    <n v="2"/>
    <n v="0"/>
    <s v="EPO52"/>
    <n v="200"/>
    <n v="0"/>
    <s v="ร้านที่1"/>
    <s v="แ**"/>
    <s v="กรุงเทพฯ"/>
    <s v="-"/>
    <s v=""/>
    <s v="02/01/2025 14:43"/>
    <s v="-"/>
    <s v="J&amp;T COD"/>
    <s v="Tiktok"/>
    <s v="จ่ายทีหลัง / COD"/>
    <s v=""/>
    <s v="754291211656"/>
    <s v="02/01/2025 14:43"/>
  </r>
  <r>
    <x v="5"/>
    <x v="5"/>
    <n v="350"/>
    <n v="1"/>
    <n v="0"/>
    <s v="EPO51"/>
    <n v="680"/>
    <n v="0"/>
    <s v="ร้านที่4"/>
    <s v="ป***ากานต์"/>
    <s v="นนทบุรี"/>
    <s v="-"/>
    <s v=""/>
    <s v="02/01/2025 14:43"/>
    <s v="-"/>
    <s v="Flash Express Thailand COD"/>
    <s v="Tiktok"/>
    <s v="จ่ายทีหลัง / COD"/>
    <s v=""/>
    <s v="THT03021DRTQS5Z"/>
    <s v="02/01/2025 14:43"/>
  </r>
  <r>
    <x v="29"/>
    <x v="36"/>
    <n v="330"/>
    <n v="1"/>
    <n v="0"/>
    <s v="EPO51"/>
    <n v="680"/>
    <n v="0"/>
    <s v="ร้านที่4"/>
    <s v="ป***ากานต์"/>
    <s v="นนทบุรี"/>
    <s v="-"/>
    <s v=""/>
    <s v="02/01/2025 14:43"/>
    <s v="-"/>
    <s v="Flash Express Thailand COD"/>
    <s v="Tiktok"/>
    <s v="จ่ายทีหลัง / COD"/>
    <s v=""/>
    <s v="THT03021DRTQS5Z"/>
    <s v="02/01/2025 14:43"/>
  </r>
  <r>
    <x v="4"/>
    <x v="4"/>
    <n v="100"/>
    <n v="2"/>
    <n v="0"/>
    <s v="EPO50"/>
    <n v="200"/>
    <n v="0"/>
    <s v="ร้านที่2"/>
    <s v="ส***ิดา ฉ***ทอง"/>
    <s v="ราชบุรี"/>
    <s v="-"/>
    <s v=""/>
    <s v="02/01/2025 14:43"/>
    <s v="-"/>
    <s v="J&amp;T COD"/>
    <s v="Tiktok"/>
    <s v="จ่ายทีหลัง / COD"/>
    <s v=""/>
    <s v="754222904680"/>
    <s v="02/01/2025 14:43"/>
  </r>
  <r>
    <x v="33"/>
    <x v="43"/>
    <n v="330"/>
    <n v="1"/>
    <n v="0"/>
    <s v="EPO49"/>
    <n v="330"/>
    <n v="0"/>
    <s v="ร้านที่1"/>
    <s v="ข***ิยา ไ***ษา"/>
    <s v="นนทบุรี"/>
    <s v="-"/>
    <s v=""/>
    <s v="02/01/2025 14:42"/>
    <s v="-"/>
    <s v="J&amp;T COD"/>
    <s v="Tiktok"/>
    <s v="จ่ายทีหลัง / COD"/>
    <s v=""/>
    <s v="754287162506"/>
    <s v="02/01/2025 14:43"/>
  </r>
  <r>
    <x v="29"/>
    <x v="36"/>
    <n v="330"/>
    <n v="1"/>
    <n v="0"/>
    <s v="EPO48"/>
    <n v="330"/>
    <n v="0"/>
    <s v="ร้านที่4"/>
    <s v="ป***อนด์"/>
    <s v="สุพรรณบุรี"/>
    <s v="-"/>
    <s v=""/>
    <s v="02/01/2025 14:41"/>
    <s v="-"/>
    <s v="Flash Express Thailand COD"/>
    <s v="Tiktok"/>
    <s v="จ่ายทีหลัง / COD"/>
    <s v=""/>
    <s v="THT14051DS9DU0Z"/>
    <s v="02/01/2025 14:41"/>
  </r>
  <r>
    <x v="1"/>
    <x v="1"/>
    <n v="200"/>
    <n v="1"/>
    <n v="0"/>
    <s v="EPO47"/>
    <n v="200"/>
    <n v="0"/>
    <s v="ร้านที่2"/>
    <s v="เ*** จ***งพันธ์"/>
    <s v="ศรีสะเกษ"/>
    <s v="-"/>
    <s v=""/>
    <s v="02/01/2025 14:39"/>
    <s v="-"/>
    <s v="J&amp;T COD"/>
    <s v="Tiktok"/>
    <s v="จ่ายทีหลัง / COD"/>
    <s v=""/>
    <s v="754268233681"/>
    <s v="02/01/2025 14:40"/>
  </r>
  <r>
    <x v="19"/>
    <x v="19"/>
    <n v="197"/>
    <n v="1"/>
    <n v="0"/>
    <s v="EPO46"/>
    <n v="197"/>
    <n v="0"/>
    <s v="ร้านที่2"/>
    <s v="จ******อ"/>
    <s v="****** จ.สุราษฎร์ธานี ตำบลสองแพรก อำเภอชัยบุรี จังหวัดสุราษฎร์ธานี 84350"/>
    <s v="84350"/>
    <s v="51"/>
    <s v="02/01/2025 15:06"/>
    <s v="-"/>
    <s v="Flash Express"/>
    <s v="Shopee"/>
    <s v="shopee"/>
    <s v=""/>
    <s v="TH68186ND4FY4A"/>
    <s v="02/01/2025 14:38"/>
  </r>
  <r>
    <x v="10"/>
    <x v="10"/>
    <n v="200"/>
    <n v="1"/>
    <n v="0"/>
    <s v="EPO45"/>
    <n v="200"/>
    <n v="0"/>
    <s v="ร้านที่4"/>
    <s v="จ***รา  ใ***่น"/>
    <s v="อ่างทอง"/>
    <s v="-"/>
    <s v=""/>
    <s v="02/01/2025 14:36"/>
    <s v="-"/>
    <s v="Flash Express Thailand"/>
    <s v="Tiktok"/>
    <s v="tiktok"/>
    <s v=""/>
    <s v="THT06011DSN5P9Z"/>
    <s v="02/01/2025 14:38"/>
  </r>
  <r>
    <x v="3"/>
    <x v="3"/>
    <n v="100"/>
    <n v="2"/>
    <n v="0"/>
    <s v="EPO43"/>
    <n v="245"/>
    <n v="45"/>
    <s v="ร้านที่2"/>
    <s v="ณ******ฐ"/>
    <s v="******บลบ่อแดง อำเภอสทิงพระ จังหวัดสงขลา 90190"/>
    <s v="90190"/>
    <s v="96"/>
    <s v="02/01/2025 15:00"/>
    <s v="-"/>
    <s v="SPX Express"/>
    <s v="Shopee"/>
    <s v="shopee"/>
    <s v=""/>
    <s v="TH2581030391663"/>
    <s v="02/01/2025 14:36"/>
  </r>
  <r>
    <x v="1"/>
    <x v="1"/>
    <n v="217.5"/>
    <n v="1"/>
    <n v="0"/>
    <s v="EPO42"/>
    <n v="262.5"/>
    <n v="45"/>
    <s v="ร้านที่1"/>
    <s v="นาง จำเรียง ภู่ตัน"/>
    <s v="129/1 ม.13 ถ. คลองชลประทาน ต.สุเทพ_x000a__x000a_เมืองเชียงใหม่/ Mueang Chiang Maiเชียงใหม่/ Chiang Mai_x000a_50200"/>
    <s v="50200"/>
    <s v="660894292399"/>
    <s v="02/01/2025 14:32"/>
    <s v="-"/>
    <s v="Kerry_dropoff"/>
    <s v="Lazada"/>
    <s v="lazada"/>
    <s v=""/>
    <s v="LEXPU0441106194"/>
    <s v="02/01/2025 14:32"/>
  </r>
  <r>
    <x v="13"/>
    <x v="13"/>
    <n v="199"/>
    <n v="1"/>
    <n v="0"/>
    <s v="EPO41"/>
    <n v="244"/>
    <n v="45"/>
    <s v="ร้านที่2"/>
    <s v="ร******ฐ"/>
    <s v="******านี 37 (สุขี1) แยก 1/13 ต.บางพูน ตำบลบางพูน อำเภอเมืองปทุมธานี จังหวัดปทุมธานี 12000"/>
    <s v="12000"/>
    <s v="66"/>
    <s v="02/01/2025 14:26"/>
    <s v="-"/>
    <s v="SPX Express"/>
    <s v="Shopee"/>
    <s v="shopee"/>
    <s v=""/>
    <s v="TH253824507081H"/>
    <s v="02/01/2025 14:26"/>
  </r>
  <r>
    <x v="3"/>
    <x v="3"/>
    <n v="100"/>
    <n v="3"/>
    <n v="0"/>
    <s v="EPO40"/>
    <n v="340"/>
    <n v="45"/>
    <s v="ร้านที่2"/>
    <s v="แ*น"/>
    <s v="******งบำหรุ, เขตบางพลัด แขวงบางบำหรุ เขตบางพลัด จังหวัดกรุงเทพมหานคร 10700"/>
    <s v="10700"/>
    <s v="00"/>
    <s v="02/01/2025 14:48"/>
    <s v="-"/>
    <s v="SPX Express"/>
    <s v="Shopee"/>
    <s v="shopee"/>
    <s v=""/>
    <s v="TH2549614820772"/>
    <s v="02/01/2025 14:26"/>
  </r>
  <r>
    <x v="6"/>
    <x v="6"/>
    <n v="199"/>
    <n v="1"/>
    <n v="0"/>
    <s v="EPO39"/>
    <n v="228"/>
    <n v="29"/>
    <s v="ร้านที่2"/>
    <s v="ศ******ม"/>
    <s v="******มคลอง ตำบลอำแพง ตำบลอำแพง อำเภอบ้านแพ้ว จังหวัดสมุทรสาคร 74120"/>
    <s v="74120"/>
    <s v="04"/>
    <s v="02/01/2025 14:53"/>
    <s v="-"/>
    <s v="SPX Express"/>
    <s v="Shopee"/>
    <s v="shopee"/>
    <s v=""/>
    <s v="TH251766522029D"/>
    <s v="02/01/2025 14:26"/>
  </r>
  <r>
    <x v="5"/>
    <x v="5"/>
    <n v="350"/>
    <n v="1"/>
    <n v="0"/>
    <s v="EPO38"/>
    <n v="350"/>
    <n v="0"/>
    <s v="ร้านที่4"/>
    <s v="ญ***ัทร  ห***ก้วสาย"/>
    <s v="ลำปาง"/>
    <s v="-"/>
    <s v=""/>
    <s v="02/01/2025 14:10"/>
    <s v="-"/>
    <s v="Flash Express Thailand COD"/>
    <s v="Tiktok"/>
    <s v="จ่ายทีหลัง / COD"/>
    <s v=""/>
    <s v="THT49021DS3FD3Z"/>
    <s v="02/01/2025 14:20"/>
  </r>
  <r>
    <x v="10"/>
    <x v="10"/>
    <n v="200"/>
    <n v="1"/>
    <n v="0"/>
    <s v="EPO37"/>
    <n v="200"/>
    <n v="0"/>
    <s v="ร้านที่4"/>
    <s v="ก***ดี แ***คตร"/>
    <s v="ลพบุรี"/>
    <s v="-"/>
    <s v=""/>
    <s v="02/01/2025 14:12"/>
    <s v="-"/>
    <s v="Flash Express Thailand COD"/>
    <s v="Tiktok"/>
    <s v="จ่ายทีหลัง / COD"/>
    <s v=""/>
    <s v="THT07011DSNC15Z"/>
    <s v="02/01/2025 14:20"/>
  </r>
  <r>
    <x v="9"/>
    <x v="4"/>
    <n v="100"/>
    <n v="1"/>
    <n v="0"/>
    <s v="EPO36"/>
    <n v="100"/>
    <n v="0"/>
    <s v="ร้านที่4"/>
    <s v="อ***ต์ ม***ิง"/>
    <s v="เพชรบูรณ์"/>
    <s v="-"/>
    <s v=""/>
    <s v="02/01/2025 14:19"/>
    <s v="-"/>
    <s v="Flash Express Thailand COD"/>
    <s v="Tiktok"/>
    <s v="จ่ายทีหลัง / COD"/>
    <s v=""/>
    <s v="THT63111DS3TA5Z"/>
    <s v="02/01/2025 14:20"/>
  </r>
  <r>
    <x v="4"/>
    <x v="4"/>
    <n v="100"/>
    <n v="1"/>
    <n v="0"/>
    <s v="EPO34"/>
    <n v="106"/>
    <n v="6"/>
    <s v="ร้านที่2"/>
    <s v="ช***เต้"/>
    <s v="บุรีรัมย์"/>
    <s v="-"/>
    <s v=""/>
    <s v="02/01/2025 14:15"/>
    <s v="-"/>
    <s v="J&amp;T COD"/>
    <s v="Tiktok"/>
    <s v="จ่ายทีหลัง / COD"/>
    <s v=""/>
    <s v="754220018650"/>
    <s v="02/01/2025 14:17"/>
  </r>
  <r>
    <x v="10"/>
    <x v="10"/>
    <n v="200"/>
    <n v="1"/>
    <n v="0"/>
    <s v="EPO33"/>
    <n v="200"/>
    <n v="0"/>
    <s v="ร้านที่2"/>
    <s v="ส***ตรา พ***สารวงค์"/>
    <s v="บึงกาฬ"/>
    <s v="-"/>
    <s v=""/>
    <s v="02/01/2025 14:15"/>
    <s v="-"/>
    <s v="J&amp;T COD"/>
    <s v="Tiktok"/>
    <s v="จ่ายทีหลัง / COD"/>
    <s v=""/>
    <s v="754285122603"/>
    <s v="02/01/2025 14:17"/>
  </r>
  <r>
    <x v="3"/>
    <x v="8"/>
    <n v="84"/>
    <n v="1"/>
    <n v="0"/>
    <s v="EPO32"/>
    <n v="89"/>
    <n v="5"/>
    <s v="ร้านที่6"/>
    <s v="สมศรี คล้ายศิริ"/>
    <s v="209/85 ม.3 ต.บางปูใหม่_x000a__x000a_เมืองสมุทรปราการ/ Mueang Samut Prakanสมุทรปราการ/ Samut Prakan_x000a_10280"/>
    <s v="10280"/>
    <s v="660622731871"/>
    <s v="02/01/2025 14:11"/>
    <s v="-"/>
    <s v="Kerry_dropoff"/>
    <s v="Lazada"/>
    <s v="lazada"/>
    <s v=""/>
    <s v="LEXPU0441097945"/>
    <s v="02/01/2025 14:11"/>
  </r>
  <r>
    <x v="10"/>
    <x v="10"/>
    <n v="200"/>
    <n v="1"/>
    <n v="0"/>
    <s v="EPO31"/>
    <n v="229"/>
    <n v="29"/>
    <s v="ร้านที่1"/>
    <s v="K***ลทิพย์ แ***เรือง  "/>
    <s v="สุพรรณบุรี"/>
    <s v="-"/>
    <s v=""/>
    <s v="02/01/2025 14:06"/>
    <s v="-"/>
    <s v="J&amp;T COD"/>
    <s v="Tiktok"/>
    <s v="จ่ายทีหลัง / COD"/>
    <s v=""/>
    <s v="754214123600"/>
    <s v="02/01/2025 14:08"/>
  </r>
  <r>
    <x v="1"/>
    <x v="1"/>
    <n v="200"/>
    <n v="1"/>
    <n v="0"/>
    <s v="EPO30"/>
    <n v="200"/>
    <n v="0"/>
    <s v="ร้านที่1"/>
    <s v="ม***  ร***าม"/>
    <s v="สระบุรี"/>
    <s v="-"/>
    <s v=""/>
    <s v="02/01/2025 14:07"/>
    <s v="-"/>
    <s v="J&amp;T COD"/>
    <s v="Tiktok"/>
    <s v="จ่ายทีหลัง / COD"/>
    <s v=""/>
    <s v="754232237695"/>
    <s v="02/01/2025 14:08"/>
  </r>
  <r>
    <x v="3"/>
    <x v="3"/>
    <n v="94.5"/>
    <n v="1"/>
    <n v="0"/>
    <s v="EPO29"/>
    <n v="99.5"/>
    <n v="5"/>
    <s v="ร้านที่1"/>
    <s v="สมศรี คล้ายศิริ"/>
    <s v="209/85 ม.3 ต.บางปูใหม่_x000a__x000a_เมืองสมุทรปราการ/ Mueang Samut Prakanสมุทรปราการ/ Samut Prakan_x000a_10280"/>
    <s v="10280"/>
    <s v="660622731871"/>
    <s v="02/01/2025 14:01"/>
    <s v="-"/>
    <s v="Kerry_dropoff"/>
    <s v="Lazada"/>
    <s v="lazada"/>
    <s v=""/>
    <s v="LEXPU0441098352"/>
    <s v="02/01/2025 14:01"/>
  </r>
  <r>
    <x v="3"/>
    <x v="8"/>
    <n v="84"/>
    <n v="1"/>
    <n v="0"/>
    <s v="EPO28"/>
    <n v="173"/>
    <n v="5"/>
    <s v="ร้านที่6"/>
    <s v="ประทาน นิลบดี"/>
    <s v="84หมู่6 · เตาปูน/ Tao Pun_x000a__x000a_โพธาราม/ Photharamราชบุรี/ Ratchaburi_x000a_70120"/>
    <s v="70120"/>
    <s v="660899845222"/>
    <s v="02/01/2025 14:11"/>
    <s v="-"/>
    <s v="Kerry_dropoff"/>
    <s v="Lazada"/>
    <s v="lazada"/>
    <s v=""/>
    <s v="LEXPU0441106939"/>
    <s v="02/01/2025 13:59"/>
  </r>
  <r>
    <x v="3"/>
    <x v="8"/>
    <n v="84"/>
    <n v="1"/>
    <n v="0"/>
    <s v="EPO28"/>
    <n v="173"/>
    <n v="5"/>
    <s v="ร้านที่6"/>
    <s v="ประทาน นิลบดี"/>
    <s v="84หมู่6 · เตาปูน/ Tao Pun_x000a__x000a_โพธาราม/ Photharamราชบุรี/ Ratchaburi_x000a_70120"/>
    <s v="70120"/>
    <s v="660899845222"/>
    <s v="02/01/2025 14:11"/>
    <s v="-"/>
    <s v="Kerry_dropoff"/>
    <s v="Lazada"/>
    <s v="lazada"/>
    <s v=""/>
    <s v="LEXPU0441106939"/>
    <s v="02/01/2025 13:59"/>
  </r>
  <r>
    <x v="13"/>
    <x v="13"/>
    <n v="199"/>
    <n v="1"/>
    <n v="0"/>
    <s v="EPO27"/>
    <n v="235"/>
    <n v="41"/>
    <s v="ร้านที่2"/>
    <s v="น******น"/>
    <s v="******้อยฟ้า, อำเภอโพธาราม ตำบลสร้อยฟ้า อำเภอโพธาราม จังหวัดราชบุรี 70120"/>
    <s v="70120"/>
    <s v="48"/>
    <s v="02/01/2025 14:00"/>
    <s v="-"/>
    <s v="SPX Express"/>
    <s v="Shopee"/>
    <s v="shopee"/>
    <s v=""/>
    <s v="TH2572473752727"/>
    <s v="02/01/2025 13:59"/>
  </r>
  <r>
    <x v="3"/>
    <x v="3"/>
    <n v="100"/>
    <n v="1"/>
    <n v="0"/>
    <s v="EPO26"/>
    <n v="106"/>
    <n v="6"/>
    <s v="ร้านที่4"/>
    <s v="ช***า ห***นรักษ์"/>
    <s v="นครศรีธรรมราช"/>
    <s v="-"/>
    <s v=""/>
    <s v="02/01/2025 13:53"/>
    <s v="-"/>
    <s v="Flash Express Thailand COD"/>
    <s v="Tiktok"/>
    <s v="จ่ายทีหลัง / COD"/>
    <s v=""/>
    <s v="THT64211DSHX62Z"/>
    <s v="02/01/2025 13:53"/>
  </r>
  <r>
    <x v="3"/>
    <x v="3"/>
    <n v="100"/>
    <n v="1"/>
    <n v="0"/>
    <s v="EPO25"/>
    <n v="129"/>
    <n v="29"/>
    <s v="ร้านที่2"/>
    <s v="ธ******ี"/>
    <s v="******กรอก ตำบลสระกะเทียม อำเภอเมืองนครปฐม จังหวัดนครปฐม 73000"/>
    <s v="73000"/>
    <s v="41"/>
    <s v="02/01/2025 13:52"/>
    <s v="-"/>
    <s v="SPX Express"/>
    <s v="Shopee"/>
    <s v="shopee"/>
    <s v=""/>
    <s v="TH2534316031228"/>
    <s v="02/01/2025 13:52"/>
  </r>
  <r>
    <x v="33"/>
    <x v="43"/>
    <n v="330"/>
    <n v="1"/>
    <n v="0"/>
    <s v="EPO24"/>
    <n v="330"/>
    <n v="0"/>
    <s v="ร้านที่4"/>
    <s v="ว***คณา"/>
    <s v="พิษณุโลก"/>
    <s v="-"/>
    <s v=""/>
    <s v="02/01/2025 13:51"/>
    <s v="-"/>
    <s v="Flash Express Thailand COD"/>
    <s v="Tiktok"/>
    <s v="จ่ายทีหลัง / COD"/>
    <s v=""/>
    <s v="THT61081DSJVF4Z"/>
    <s v="02/01/2025 13:51"/>
  </r>
  <r>
    <x v="3"/>
    <x v="3"/>
    <n v="100"/>
    <n v="1"/>
    <n v="0"/>
    <s v="EPO23"/>
    <n v="200"/>
    <n v="0"/>
    <s v="ร้านที่1"/>
    <s v="จ***ชยา เ***พร้อม"/>
    <s v="สงขลา"/>
    <s v="-"/>
    <s v=""/>
    <s v="02/01/2025 13:49"/>
    <s v="-"/>
    <s v="J&amp;T COD"/>
    <s v="Tiktok"/>
    <s v="จ่ายทีหลัง / COD"/>
    <s v=""/>
    <s v="754274237695"/>
    <s v="02/01/2025 13:49"/>
  </r>
  <r>
    <x v="4"/>
    <x v="4"/>
    <n v="100"/>
    <n v="1"/>
    <n v="0"/>
    <s v="EPO23"/>
    <n v="200"/>
    <n v="0"/>
    <s v="ร้านที่1"/>
    <s v="จ***ชยา เ***พร้อม"/>
    <s v="สงขลา"/>
    <s v="-"/>
    <s v=""/>
    <s v="02/01/2025 13:49"/>
    <s v="-"/>
    <s v="J&amp;T COD"/>
    <s v="Tiktok"/>
    <s v="จ่ายทีหลัง / COD"/>
    <s v=""/>
    <s v="754274237695"/>
    <s v="02/01/2025 13:49"/>
  </r>
  <r>
    <x v="5"/>
    <x v="5"/>
    <n v="330"/>
    <n v="1"/>
    <n v="0"/>
    <s v="EPO22"/>
    <n v="330"/>
    <n v="0"/>
    <s v="ร้านที่1"/>
    <s v="ว***วรรณ  ส***ำ"/>
    <s v="หนองบัวลำภู"/>
    <s v="-"/>
    <s v=""/>
    <s v="02/01/2025 13:49"/>
    <s v="-"/>
    <s v="J&amp;T COD"/>
    <s v="Tiktok"/>
    <s v="จ่ายทีหลัง / COD"/>
    <s v=""/>
    <s v="754238187566"/>
    <s v="02/01/2025 13:49"/>
  </r>
  <r>
    <x v="19"/>
    <x v="19"/>
    <n v="120"/>
    <n v="4"/>
    <n v="0"/>
    <s v="EPO21"/>
    <n v="525"/>
    <n v="45"/>
    <s v="ร้านที่3"/>
    <s v="พ******ฐ"/>
    <s v="******านบึง, อำเภอบ้านคา ตำบลบ้านบึง อำเภอบ้านคา จังหวัดราชบุรี 70180"/>
    <s v="70180"/>
    <s v="33"/>
    <s v="02/01/2025 14:30"/>
    <s v="-"/>
    <s v="Flash Express"/>
    <s v="Shopee"/>
    <s v="shopee"/>
    <s v=""/>
    <s v="TH12096ND3ZN2B"/>
    <s v="02/01/2025 13:47"/>
  </r>
  <r>
    <x v="10"/>
    <x v="10"/>
    <n v="200"/>
    <n v="1"/>
    <n v="0"/>
    <s v="EPO20"/>
    <n v="200"/>
    <n v="0"/>
    <s v="ร้านที่4"/>
    <s v="น*** ศ***งษา"/>
    <s v="นครราชสีมา"/>
    <s v="-"/>
    <s v=""/>
    <s v="02/01/2025 13:44"/>
    <s v="-"/>
    <s v="Flash Express Thailand"/>
    <s v="Tiktok"/>
    <s v="tiktok"/>
    <s v=""/>
    <s v="THT27141DSNDZ3Z"/>
    <s v="02/01/2025 13:44"/>
  </r>
  <r>
    <x v="1"/>
    <x v="1"/>
    <n v="200"/>
    <n v="1"/>
    <n v="0"/>
    <s v="EPO19"/>
    <n v="200"/>
    <n v="0"/>
    <s v="ร้านที่1"/>
    <s v="จ*** ธ***ะอา"/>
    <s v="ปทุมธานี"/>
    <s v="-"/>
    <s v=""/>
    <s v="02/01/2025 13:42"/>
    <s v="-"/>
    <s v="J&amp;T Express"/>
    <s v="Tiktok"/>
    <s v="tiktok"/>
    <s v=""/>
    <s v="754234735623"/>
    <s v="02/01/2025 13:42"/>
  </r>
  <r>
    <x v="3"/>
    <x v="3"/>
    <n v="100"/>
    <n v="1"/>
    <n v="0"/>
    <s v="EPO17"/>
    <n v="107"/>
    <n v="7"/>
    <s v="ร้านที่2"/>
    <s v="น******ล"/>
    <s v="******               ถนน:บ้านกล้วยไทรน้อย  จ.นนทบุรี ตำบลคลองขวาง อำเภอไทรน้อย จังหวัดนนทบุรี 11150"/>
    <s v="11150"/>
    <s v="95"/>
    <s v="02/01/2025 13:42"/>
    <s v="-"/>
    <s v="Flash Express"/>
    <s v="Shopee"/>
    <s v="shopee"/>
    <s v=""/>
    <s v="TH03056ND3P06F"/>
    <s v="02/01/2025 13:41"/>
  </r>
  <r>
    <x v="29"/>
    <x v="36"/>
    <n v="330"/>
    <n v="1"/>
    <n v="0"/>
    <s v="EPO13"/>
    <n v="330"/>
    <n v="0"/>
    <s v="ร้านที่2"/>
    <s v="ส***ตรา ค***่น"/>
    <s v="นครราชสีมา"/>
    <s v="-"/>
    <s v=""/>
    <s v="02/01/2025 13:33"/>
    <s v="-"/>
    <s v="J&amp;T COD"/>
    <s v="Tiktok"/>
    <s v="จ่ายทีหลัง / COD"/>
    <s v=""/>
    <s v="754201519676"/>
    <s v="02/01/2025 13:33"/>
  </r>
  <r>
    <x v="3"/>
    <x v="3"/>
    <n v="100"/>
    <n v="1"/>
    <n v="0"/>
    <s v="EPO12"/>
    <n v="106"/>
    <n v="6"/>
    <s v="ร้านที่2"/>
    <s v="ก***ุกออมสิน"/>
    <s v="ขอนแก่น"/>
    <s v="-"/>
    <s v=""/>
    <s v="02/01/2025 13:28"/>
    <s v="-"/>
    <s v="J&amp;T COD"/>
    <s v="Tiktok"/>
    <s v="จ่ายทีหลัง / COD"/>
    <s v="ฝอยทอง1 มะพร้าว1 เนยนม1"/>
    <s v="754281284540"/>
    <s v="02/01/2025 13:28"/>
  </r>
  <r>
    <x v="59"/>
    <x v="84"/>
    <n v="100"/>
    <n v="1"/>
    <n v="0"/>
    <s v="EPO11"/>
    <n v="150"/>
    <n v="0"/>
    <s v="ร้านที่2"/>
    <s v="F**"/>
    <s v="มหาสารคาม"/>
    <s v="-"/>
    <s v=""/>
    <s v="02/01/2025 13:27"/>
    <s v="-"/>
    <s v="J&amp;T Express"/>
    <s v="Tiktok"/>
    <s v="tiktok"/>
    <s v=""/>
    <s v="754237808693"/>
    <s v="02/01/2025 13:27"/>
  </r>
  <r>
    <x v="19"/>
    <x v="19"/>
    <n v="197"/>
    <n v="1"/>
    <n v="0"/>
    <s v="EPO10"/>
    <n v="242"/>
    <n v="45"/>
    <s v="ร้านที่2"/>
    <s v="น******า"/>
    <s v="******เพอร์เฟค พีค, ตำบล เหมือง, อำเภอเมืองชลบุรี ตำบลเหมือง อำเภอเมืองชลบุรี จังหวัดชลบุรี 20130"/>
    <s v="20130"/>
    <s v="89"/>
    <s v="02/01/2025 13:24"/>
    <s v="-"/>
    <s v="SPX Express"/>
    <s v="Shopee"/>
    <s v="shopee"/>
    <s v=""/>
    <s v="TH258831486962Z"/>
    <s v="02/01/2025 13:24"/>
  </r>
  <r>
    <x v="59"/>
    <x v="84"/>
    <n v="100"/>
    <n v="1"/>
    <n v="0"/>
    <s v="EPO9"/>
    <n v="125"/>
    <n v="25"/>
    <s v="ร้านที่1"/>
    <s v="ม***มายด์ จ***น"/>
    <s v="ชลบุรี"/>
    <s v="-"/>
    <s v=""/>
    <s v="02/01/2025 13:22"/>
    <s v="-"/>
    <s v="J&amp;T COD"/>
    <s v="Tiktok"/>
    <s v="จ่ายทีหลัง / COD"/>
    <s v=""/>
    <s v="754205405693"/>
    <s v="02/01/2025 13:23"/>
  </r>
  <r>
    <x v="5"/>
    <x v="5"/>
    <n v="330"/>
    <n v="1"/>
    <n v="0"/>
    <s v="EPO7"/>
    <n v="330"/>
    <n v="0"/>
    <s v="ร้านที่1"/>
    <s v="ส***รณี ณ บ***้าง"/>
    <s v="สมุทรสงคราม"/>
    <s v="-"/>
    <s v=""/>
    <s v="02/01/2025 13:19"/>
    <s v="-"/>
    <s v="J&amp;T COD"/>
    <s v="Tiktok"/>
    <s v="จ่ายทีหลัง / COD"/>
    <s v=""/>
    <s v="754292697535"/>
    <s v="02/01/2025 13:19"/>
  </r>
  <r>
    <x v="7"/>
    <x v="7"/>
    <n v="20"/>
    <n v="1"/>
    <n v="0"/>
    <s v="EPO6"/>
    <n v="20"/>
    <n v="0"/>
    <s v="ร้านที่1"/>
    <s v="เอ็มกน"/>
    <s v="74 หมู่9  เอ็ม · ยางช้าย/ Yang Sai_x000a__x000a_โพธิ์ทอง/ Pho Thongอ่างทอง/ Ang Thong_x000a_14120"/>
    <s v="14120"/>
    <s v="660987376645"/>
    <s v="02/01/2025 13:17"/>
    <s v="-"/>
    <s v="Kerry_dropoff"/>
    <s v="Lazada"/>
    <s v="lazada"/>
    <s v=""/>
    <s v="LEXPU0441100656"/>
    <s v="02/01/2025 13:16"/>
  </r>
  <r>
    <x v="4"/>
    <x v="4"/>
    <n v="100"/>
    <n v="1"/>
    <n v="0"/>
    <s v="EPO4"/>
    <n v="100"/>
    <n v="0"/>
    <s v="ร้านที่1"/>
    <s v="ศ***ิชญ์ ว***ลสมพงษ์"/>
    <s v="นครปฐม"/>
    <s v="-"/>
    <s v=""/>
    <s v="02/01/2025 13:10"/>
    <s v="-"/>
    <s v="J&amp;T Express"/>
    <s v="Tiktok"/>
    <s v="tiktok"/>
    <s v=""/>
    <s v="754258417640"/>
    <s v="02/01/2025 13:10"/>
  </r>
  <r>
    <x v="29"/>
    <x v="36"/>
    <n v="330"/>
    <n v="5"/>
    <n v="0"/>
    <s v="EPO3"/>
    <n v="1650"/>
    <n v="0"/>
    <s v="ร้านที่1"/>
    <s v="ฐ***มา ร***รัตนพงษ์พร"/>
    <s v="สมุทรสาคร"/>
    <s v="-"/>
    <s v=""/>
    <s v="02/01/2025 13:04"/>
    <s v="-"/>
    <s v="J&amp;T Express"/>
    <s v="Tiktok"/>
    <s v="tiktok"/>
    <s v=""/>
    <s v="754247314671"/>
    <s v="02/01/2025 13:04"/>
  </r>
  <r>
    <x v="24"/>
    <x v="26"/>
    <n v="673.62"/>
    <n v="1"/>
    <n v="0"/>
    <s v="EPO2"/>
    <n v="1186.7"/>
    <n v="64"/>
    <s v="ร้านที่9"/>
    <s v="สุนิสา"/>
    <s v="ถ.พหลโยธิน ห.จ.ก วงกลมอิฐบล๊อก เลขที่9  โทร 036-340-431,036-340-433 · ห้วยบง/ Huai Bong_x000a__x000a_เฉลิมพระเกียรติ/ Chaloem Phra Kiatสระบุรี/ Saraburi_x000a_18000"/>
    <s v="18000"/>
    <s v="660816345288"/>
    <s v="02/01/2025 13:05"/>
    <s v="-"/>
    <s v="Kerry_dropoff"/>
    <s v="Lazada"/>
    <s v="lazada"/>
    <s v=""/>
    <s v="TH10016NBXQ91A"/>
    <s v="02/01/2025 13:03"/>
  </r>
  <r>
    <x v="1"/>
    <x v="1"/>
    <n v="200"/>
    <n v="1"/>
    <n v="0"/>
    <s v="EPO0"/>
    <n v="200"/>
    <n v="0"/>
    <s v="ร้านที่1"/>
    <s v="ส***ศ อ***ลอง"/>
    <s v="ชลบุรี"/>
    <s v="-"/>
    <s v=""/>
    <s v="02/01/2025 13:01"/>
    <s v="-"/>
    <s v="J&amp;T Express"/>
    <s v="Tiktok"/>
    <s v="tiktok"/>
    <s v=""/>
    <s v="754287904602"/>
    <s v="02/01/2025 13:00"/>
  </r>
  <r>
    <x v="1"/>
    <x v="1"/>
    <n v="200"/>
    <n v="1"/>
    <n v="0"/>
    <s v="EPN99"/>
    <n v="200"/>
    <n v="0"/>
    <s v="ร้านที่1"/>
    <s v="ห***ย ศ***ิมล"/>
    <s v="นครปฐม"/>
    <s v="-"/>
    <s v=""/>
    <s v="02/01/2025 12:59"/>
    <s v="-"/>
    <s v="J&amp;T COD"/>
    <s v="Tiktok"/>
    <s v="จ่ายทีหลัง / COD"/>
    <s v=""/>
    <s v="754243594576"/>
    <s v="02/01/2025 12:59"/>
  </r>
  <r>
    <x v="1"/>
    <x v="1"/>
    <n v="200"/>
    <n v="1"/>
    <n v="0"/>
    <s v="EPN98"/>
    <n v="200"/>
    <n v="0"/>
    <s v="ร้านที่1"/>
    <s v="ข***เรือน ส***ยธา"/>
    <s v="ประจวบคีรีขันธ์"/>
    <s v="-"/>
    <s v=""/>
    <s v="02/01/2025 12:55"/>
    <s v="-"/>
    <s v="J&amp;T COD"/>
    <s v="Tiktok"/>
    <s v="จ่ายทีหลัง / COD"/>
    <s v=""/>
    <s v="754296705621"/>
    <s v="02/01/2025 12:55"/>
  </r>
  <r>
    <x v="6"/>
    <x v="6"/>
    <n v="199"/>
    <n v="1"/>
    <n v="0"/>
    <s v="EPN97"/>
    <n v="263"/>
    <n v="64"/>
    <s v="ร้านที่1"/>
    <s v="เ******ะ"/>
    <s v="******้ว อ.สีคิ้ว จ.นครราชสีมา 30140 ตำบลสีคิ้ว อำเภอสีคิ้ว จังหวัดนครราชสีมา 30140"/>
    <s v="30140"/>
    <s v="82"/>
    <s v="02/01/2025 12:55"/>
    <s v="-"/>
    <s v="SPX Express"/>
    <s v="Shopee"/>
    <s v="shopee"/>
    <s v=""/>
    <s v="TH252262632543Y"/>
    <s v="02/01/2025 12:55"/>
  </r>
  <r>
    <x v="3"/>
    <x v="8"/>
    <n v="99.75"/>
    <n v="1"/>
    <n v="0"/>
    <s v="EPN96"/>
    <n v="104.75"/>
    <n v="5"/>
    <s v="ร้านที่6"/>
    <s v="สิริวรรณะพร สร้อยทอง"/>
    <s v="51/58 หมู่ 4 ซอย คลองหลวง23 ถนน พหลโยธิน ตำบล คลองหนึ่ง_x000a__x000a_คลองหลวง/ Khlong Luangปทุมธานี/ Pathum Thani_x000a_12120"/>
    <s v="12120"/>
    <s v="660868999505"/>
    <s v="02/01/2025 12:49"/>
    <s v="-"/>
    <s v="Kerry_dropoff"/>
    <s v="Lazada"/>
    <s v="lazada"/>
    <s v=""/>
    <s v="LEXPU0441099115"/>
    <s v="02/01/2025 12:48"/>
  </r>
  <r>
    <x v="10"/>
    <x v="10"/>
    <n v="200"/>
    <n v="1"/>
    <n v="0"/>
    <s v="EPN94"/>
    <n v="200"/>
    <n v="0"/>
    <s v="ร้านที่1"/>
    <s v="พ*** ส***"/>
    <s v="ภูเก็ต"/>
    <s v="-"/>
    <s v=""/>
    <s v="02/01/2025 12:45"/>
    <s v="-"/>
    <s v="J&amp;T COD"/>
    <s v="Tiktok"/>
    <s v="จ่ายทีหลัง / COD"/>
    <s v=""/>
    <s v="754223927623"/>
    <s v="02/01/2025 12:45"/>
  </r>
  <r>
    <x v="1"/>
    <x v="1"/>
    <n v="200"/>
    <n v="2"/>
    <n v="0"/>
    <s v="EPN93"/>
    <n v="400"/>
    <n v="0"/>
    <s v="ร้านที่2"/>
    <s v="น***ลียบ. ใ***นต๊ะ"/>
    <s v="ลำปาง"/>
    <s v="-"/>
    <s v=""/>
    <s v="02/01/2025 12:44"/>
    <s v="-"/>
    <s v="J&amp;T Express"/>
    <s v="Tiktok"/>
    <s v="tiktok"/>
    <s v=""/>
    <s v="754207286560"/>
    <s v="02/01/2025 12:44"/>
  </r>
  <r>
    <x v="10"/>
    <x v="10"/>
    <n v="200"/>
    <n v="1"/>
    <n v="0"/>
    <s v="EPN92"/>
    <n v="200"/>
    <n v="0"/>
    <s v="ร้านที่1"/>
    <s v="ช***ญา เ***เนอร"/>
    <s v="ชลบุรี"/>
    <s v="-"/>
    <s v=""/>
    <s v="02/01/2025 12:41"/>
    <s v="-"/>
    <s v="J&amp;T COD"/>
    <s v="Tiktok"/>
    <s v="จ่ายทีหลัง / COD"/>
    <s v=""/>
    <s v="754232522621"/>
    <s v="02/01/2025 12:41"/>
  </r>
  <r>
    <x v="19"/>
    <x v="19"/>
    <n v="199"/>
    <n v="3"/>
    <n v="0"/>
    <s v="EPN91"/>
    <n v="676"/>
    <n v="79"/>
    <s v="ร้านที่1"/>
    <s v="จ******์"/>
    <s v="******ลำนารายณ์ อ.ชัยบาดาล จ.ลพบุรี ตำบลลำนารายณ์ อำเภอชัยบาดาล จังหวัดลพบุรี 15130"/>
    <s v="15130"/>
    <s v="18"/>
    <s v="02/01/2025 13:11"/>
    <s v="-"/>
    <s v="SPX Express"/>
    <s v="Shopee"/>
    <s v="shopee"/>
    <s v=""/>
    <s v="TH256157350959N"/>
    <s v="02/01/2025 12:41"/>
  </r>
  <r>
    <x v="1"/>
    <x v="1"/>
    <n v="200"/>
    <n v="1"/>
    <n v="0"/>
    <s v="EPN89"/>
    <n v="200"/>
    <n v="0"/>
    <s v="ร้านที่1"/>
    <s v="บ***ม  เ***อง"/>
    <s v="กาญจนบุรี"/>
    <s v="-"/>
    <s v=""/>
    <s v="02/01/2025 12:39"/>
    <s v="-"/>
    <s v="J&amp;T COD"/>
    <s v="Tiktok"/>
    <s v="จ่ายทีหลัง / COD"/>
    <s v=""/>
    <s v="754234631695"/>
    <s v="02/01/2025 12:39"/>
  </r>
  <r>
    <x v="10"/>
    <x v="10"/>
    <n v="200"/>
    <n v="2"/>
    <n v="0"/>
    <s v="EPN88"/>
    <n v="400"/>
    <n v="0"/>
    <s v="ร้านที่2"/>
    <s v="ม***นันท์ เ***อง"/>
    <s v="กรุงเทพฯ"/>
    <s v="-"/>
    <s v=""/>
    <s v="02/01/2025 12:33"/>
    <s v="-"/>
    <s v="J&amp;T COD"/>
    <s v="Tiktok"/>
    <s v="จ่ายทีหลัง / COD"/>
    <s v=""/>
    <s v="754271625660"/>
    <s v="02/01/2025 12:33"/>
  </r>
  <r>
    <x v="0"/>
    <x v="0"/>
    <n v="100"/>
    <n v="1"/>
    <n v="0"/>
    <s v="EPN87"/>
    <n v="106"/>
    <n v="6"/>
    <s v="ร้านที่4"/>
    <s v="น** ว***า ณ ส***า"/>
    <s v="พัทลุง"/>
    <s v="-"/>
    <s v=""/>
    <s v="02/01/2025 12:30"/>
    <s v="-"/>
    <s v="Flash Express Thailand COD"/>
    <s v="Tiktok"/>
    <s v="จ่ายทีหลัง / COD"/>
    <s v=""/>
    <s v="THT74031DS7E47Z"/>
    <s v="02/01/2025 12:30"/>
  </r>
  <r>
    <x v="33"/>
    <x v="43"/>
    <n v="330"/>
    <n v="2"/>
    <n v="0"/>
    <s v="EPN85"/>
    <n v="990"/>
    <n v="0"/>
    <s v="ร้านที่1"/>
    <s v="โ***ดา"/>
    <s v="พระนครศรีอยุธยา"/>
    <s v="-"/>
    <s v=""/>
    <s v="02/01/2025 12:27"/>
    <s v="-"/>
    <s v="J&amp;T COD"/>
    <s v="Tiktok"/>
    <s v="จ่ายทีหลัง / COD"/>
    <s v=""/>
    <s v="754207591572"/>
    <s v="02/01/2025 12:27"/>
  </r>
  <r>
    <x v="5"/>
    <x v="5"/>
    <n v="330"/>
    <n v="1"/>
    <n v="0"/>
    <s v="EPN85"/>
    <n v="990"/>
    <n v="0"/>
    <s v="ร้านที่1"/>
    <s v="โ***ดา"/>
    <s v="พระนครศรีอยุธยา"/>
    <s v="-"/>
    <s v=""/>
    <s v="02/01/2025 12:27"/>
    <s v="-"/>
    <s v="J&amp;T COD"/>
    <s v="Tiktok"/>
    <s v="จ่ายทีหลัง / COD"/>
    <s v=""/>
    <s v="754207591572"/>
    <s v="02/01/2025 12:27"/>
  </r>
  <r>
    <x v="3"/>
    <x v="8"/>
    <n v="105"/>
    <n v="1"/>
    <n v="0"/>
    <s v="EPN81"/>
    <n v="110"/>
    <n v="5"/>
    <s v="ร้านที่6"/>
    <s v="ทิตติยา"/>
    <s v="บ้านหนองเทา · ท่ามะพลา/ Tha Maphla_x000a__x000a_หลังสวน/ Lang Suanชุมพร/ Chumphon_x000a_86110"/>
    <s v="86110"/>
    <s v="660641308716"/>
    <s v="02/01/2025 12:24"/>
    <s v="-"/>
    <s v="Kerry_dropoff"/>
    <s v="Lazada"/>
    <s v="lazada"/>
    <s v=""/>
    <s v="TH70046NC6C67C"/>
    <s v="02/01/2025 12:24"/>
  </r>
  <r>
    <x v="4"/>
    <x v="4"/>
    <n v="150"/>
    <n v="2"/>
    <n v="0"/>
    <s v="EPN80"/>
    <n v="335"/>
    <n v="35"/>
    <s v="ร้านที่1"/>
    <s v="น******ง"/>
    <s v="******ที่ 1 ซ.เรวดี17 ตำบลตลาดขวัญ อำเภอเมืองนนทบุรี จังหวัดนนทบุรี 11000"/>
    <s v="11000"/>
    <s v="06"/>
    <s v="02/01/2025 12:24"/>
    <s v="-"/>
    <s v="Flash Express"/>
    <s v="Shopee"/>
    <s v="shopee"/>
    <s v=""/>
    <s v="TH03016ND16Y7B1"/>
    <s v="02/01/2025 12:23"/>
  </r>
  <r>
    <x v="19"/>
    <x v="19"/>
    <n v="199"/>
    <n v="2"/>
    <n v="0"/>
    <s v="EPN79"/>
    <n v="462"/>
    <n v="64"/>
    <s v="ร้านที่1"/>
    <s v="อ******ง"/>
    <s v="******.กาญจนบุรี 71120 ตำบลพงตึก อำเภอท่ามะกา จังหวัดกาญจนบุรี 71120"/>
    <s v="71120"/>
    <s v="42"/>
    <s v="02/01/2025 12:25"/>
    <s v="-"/>
    <s v="SPX Express"/>
    <s v="Shopee"/>
    <s v="shopee"/>
    <s v=""/>
    <s v="TH259074083009N"/>
    <s v="02/01/2025 12:23"/>
  </r>
  <r>
    <x v="10"/>
    <x v="10"/>
    <n v="200"/>
    <n v="1"/>
    <n v="0"/>
    <s v="EPN77"/>
    <n v="200"/>
    <n v="0"/>
    <s v="ร้านที่2"/>
    <s v="พ***ัส ป***โรค"/>
    <s v="ตรัง"/>
    <s v="-"/>
    <s v=""/>
    <s v="02/01/2025 12:22"/>
    <s v="-"/>
    <s v="J&amp;T COD"/>
    <s v="Tiktok"/>
    <s v="จ่ายทีหลัง / COD"/>
    <s v=""/>
    <s v="754277625684"/>
    <s v="02/01/2025 12:23"/>
  </r>
  <r>
    <x v="2"/>
    <x v="82"/>
    <n v="100"/>
    <n v="1"/>
    <n v="0"/>
    <s v="EPN76"/>
    <n v="106"/>
    <n v="6"/>
    <s v="ร้านที่4"/>
    <s v="พ***  ไ***้อย"/>
    <s v="สงขลา"/>
    <s v="-"/>
    <s v=""/>
    <s v="02/01/2025 12:22"/>
    <s v="-"/>
    <s v="Flash Express Thailand COD"/>
    <s v="Tiktok"/>
    <s v="จ่ายทีหลัง / COD"/>
    <s v=""/>
    <s v="THT71111DS7C93Z"/>
    <s v="02/01/2025 12:22"/>
  </r>
  <r>
    <x v="1"/>
    <x v="1"/>
    <n v="200"/>
    <n v="1"/>
    <n v="0"/>
    <s v="EPN75"/>
    <n v="200"/>
    <n v="0"/>
    <s v="ร้านที่1"/>
    <s v="อ***ชะฮ์ โ***ร"/>
    <s v="เชียงราย"/>
    <s v="-"/>
    <s v=""/>
    <s v="02/01/2025 12:22"/>
    <s v="-"/>
    <s v="J&amp;T COD"/>
    <s v="Tiktok"/>
    <s v="จ่ายทีหลัง / COD"/>
    <s v=""/>
    <s v="754269535622"/>
    <s v="02/01/2025 12:22"/>
  </r>
  <r>
    <x v="10"/>
    <x v="10"/>
    <n v="200"/>
    <n v="1"/>
    <n v="0"/>
    <s v="EPN74"/>
    <n v="200"/>
    <n v="0"/>
    <s v="ร้านที่4"/>
    <s v="ว***ษฐา แ***ใส"/>
    <s v="เทศบาลนครสุราษฎร์ธานี"/>
    <s v="-"/>
    <s v=""/>
    <s v="02/01/2025 12:22"/>
    <s v="-"/>
    <s v="Flash Express Thailand COD"/>
    <s v="Tiktok"/>
    <s v="จ่ายทีหลัง / COD"/>
    <s v=""/>
    <s v="THT68041DT1S18Z"/>
    <s v="02/01/2025 12:22"/>
  </r>
  <r>
    <x v="4"/>
    <x v="4"/>
    <n v="100"/>
    <n v="1"/>
    <n v="0"/>
    <s v="EPN71"/>
    <n v="106"/>
    <n v="6"/>
    <s v="ร้านที่2"/>
    <s v="ส***รณเพ็ญ พ***ศร"/>
    <s v="เทศบาลนครสุราษฎร์ธานี"/>
    <s v="-"/>
    <s v=""/>
    <s v="02/01/2025 12:19"/>
    <s v="-"/>
    <s v="J&amp;T COD"/>
    <s v="Tiktok"/>
    <s v="จ่ายทีหลัง / COD"/>
    <s v=""/>
    <s v="754290507681"/>
    <s v="02/01/2025 12:19"/>
  </r>
  <r>
    <x v="3"/>
    <x v="8"/>
    <n v="81.97"/>
    <n v="1"/>
    <n v="0"/>
    <s v="EPN70"/>
    <n v="86.97"/>
    <n v="5"/>
    <s v="ร้านที่6"/>
    <s v="กมลวรรณ สกุลชาติ"/>
    <s v="66/45 หมู่ 4 ซอยนารถสุนทร 8 ต.บางเมืองใหม่_x000a__x000a_เมืองสมุทรปราการ/ Mueang Samut Prakanสมุทรปราการ/ Samut Prakan_x000a_10270"/>
    <s v="10270"/>
    <s v="660859222249"/>
    <s v="02/01/2025 12:17"/>
    <s v="-"/>
    <s v="Kerry_dropoff"/>
    <s v="Lazada"/>
    <s v="lazada"/>
    <s v=""/>
    <s v="LEXPU0441120428"/>
    <s v="02/01/2025 12:17"/>
  </r>
  <r>
    <x v="1"/>
    <x v="1"/>
    <n v="200"/>
    <n v="1"/>
    <n v="0"/>
    <s v="EPN67"/>
    <n v="200"/>
    <n v="0"/>
    <s v="ร้านที่1"/>
    <s v="ฐ***รัตน์  ส***ธิ์ใหม่ ย***"/>
    <s v="สมุทรปราการ"/>
    <s v="-"/>
    <s v=""/>
    <s v="02/01/2025 12:09"/>
    <s v="-"/>
    <s v="J&amp;T Express"/>
    <s v="Tiktok"/>
    <s v="tiktok"/>
    <s v=""/>
    <s v="754219231684"/>
    <s v="02/01/2025 12:07"/>
  </r>
  <r>
    <x v="5"/>
    <x v="5"/>
    <n v="350"/>
    <n v="1"/>
    <n v="0"/>
    <s v="EPN66"/>
    <n v="395"/>
    <n v="45"/>
    <s v="ร้านที่4"/>
    <s v="ช***านิษฐ์ จ***ร์เที่ยง"/>
    <s v="ปทุมธานี"/>
    <s v="-"/>
    <s v=""/>
    <s v="02/01/2025 12:05"/>
    <s v="-"/>
    <s v="Flash Express Thailand"/>
    <s v="Tiktok"/>
    <s v="tiktok"/>
    <s v=""/>
    <s v="THT04031DS3G49Z"/>
    <s v="02/01/2025 12:05"/>
  </r>
  <r>
    <x v="3"/>
    <x v="3"/>
    <n v="100"/>
    <n v="1"/>
    <n v="0"/>
    <s v="EPN65"/>
    <n v="103"/>
    <n v="3"/>
    <s v="ร้านที่2"/>
    <s v="อ******ุ"/>
    <s v="******กาะสะบ้า อำเภอเทพา จังหวัดสงขลา 90150"/>
    <s v="90150"/>
    <s v="56"/>
    <s v="02/01/2025 12:35"/>
    <s v="-"/>
    <s v="SPX Express"/>
    <s v="Shopee"/>
    <s v="shopee"/>
    <s v=""/>
    <s v="TH2509209974036"/>
    <s v="02/01/2025 12:05"/>
  </r>
  <r>
    <x v="60"/>
    <x v="85"/>
    <n v="395"/>
    <n v="1"/>
    <n v="0"/>
    <s v="EPN64"/>
    <n v="440"/>
    <n v="45"/>
    <s v="ร้านที่1"/>
    <s v="ป******ง"/>
    <s v="******้านสองชั้นหลังที่4) ตำบลบานา อำเภอเมืองปัตตานี จังหวัดปัตตานี 94000"/>
    <s v="94000"/>
    <s v="17"/>
    <s v="02/01/2025 12:04"/>
    <s v="-"/>
    <s v="SPX Express"/>
    <s v="Shopee"/>
    <s v="shopee"/>
    <s v=""/>
    <s v="TH253908666124Q"/>
    <s v="02/01/2025 12:04"/>
  </r>
  <r>
    <x v="5"/>
    <x v="5"/>
    <n v="350"/>
    <n v="1"/>
    <n v="0"/>
    <s v="EPN63"/>
    <n v="350"/>
    <n v="0"/>
    <s v="ร้านที่4"/>
    <s v="ม***นันท์"/>
    <s v="สมุทรปราการ"/>
    <s v="-"/>
    <s v=""/>
    <s v="02/01/2025 12:03"/>
    <s v="-"/>
    <s v="Flash Express Thailand COD"/>
    <s v="Tiktok"/>
    <s v="จ่ายทีหลัง / COD"/>
    <s v=""/>
    <s v="THT02041DS3KQ7Z"/>
    <s v="02/01/2025 12:03"/>
  </r>
  <r>
    <x v="16"/>
    <x v="37"/>
    <n v="207.5"/>
    <n v="1"/>
    <n v="0"/>
    <s v="EPN62"/>
    <n v="454"/>
    <n v="39"/>
    <s v="ร้านที่1"/>
    <s v="มยุรา  แสนเดช"/>
    <s v="73 หมู่ 14 ต.หนองไทร_x000a__x000a_นางรอง/ Nang Rongบุรีรัมย์/ Buriram_x000a_31110"/>
    <s v="31110"/>
    <s v="660823784138"/>
    <s v="02/01/2025 12:01"/>
    <s v="-"/>
    <s v="Kerry_dropoff"/>
    <s v="Lazada"/>
    <s v="lazada"/>
    <s v=""/>
    <s v="TH28046NBSYQ3G"/>
    <s v="02/01/2025 12:01"/>
  </r>
  <r>
    <x v="13"/>
    <x v="61"/>
    <n v="207.5"/>
    <n v="1"/>
    <n v="0"/>
    <s v="EPN62"/>
    <n v="454"/>
    <n v="39"/>
    <s v="ร้านที่1"/>
    <s v="มยุรา  แสนเดช"/>
    <s v="73 หมู่ 14 ต.หนองไทร_x000a__x000a_นางรอง/ Nang Rongบุรีรัมย์/ Buriram_x000a_31110"/>
    <s v="31110"/>
    <s v="660823784138"/>
    <s v="02/01/2025 12:01"/>
    <s v="-"/>
    <s v="Kerry_dropoff"/>
    <s v="Lazada"/>
    <s v="lazada"/>
    <s v=""/>
    <s v="TH28046NBSYQ3G"/>
    <s v="02/01/2025 12:01"/>
  </r>
  <r>
    <x v="10"/>
    <x v="10"/>
    <n v="200"/>
    <n v="1"/>
    <n v="0"/>
    <s v="EPN61"/>
    <n v="200"/>
    <n v="0"/>
    <s v="ร้านที่1"/>
    <s v="เ***วรรณ ไ***กิด"/>
    <s v="สุราษฎร์ธานี"/>
    <s v="-"/>
    <s v=""/>
    <s v="02/01/2025 11:59"/>
    <s v="-"/>
    <s v="J&amp;T COD"/>
    <s v="Tiktok"/>
    <s v="จ่ายทีหลัง / COD"/>
    <s v=""/>
    <s v="754296227683"/>
    <s v="02/01/2025 11:59"/>
  </r>
  <r>
    <x v="33"/>
    <x v="43"/>
    <n v="330"/>
    <n v="1"/>
    <n v="0"/>
    <s v="EPN60"/>
    <n v="330"/>
    <n v="0"/>
    <s v="ร้านที่4"/>
    <s v="K* R***"/>
    <s v="Surat Thani"/>
    <s v="-"/>
    <s v=""/>
    <s v="02/01/2025 11:58"/>
    <s v="-"/>
    <s v="Flash Express Thailand"/>
    <s v="Tiktok"/>
    <s v="tiktok"/>
    <s v=""/>
    <s v="THT68141DSGHP2Z"/>
    <s v="02/01/2025 11:57"/>
  </r>
  <r>
    <x v="19"/>
    <x v="19"/>
    <n v="199"/>
    <n v="1"/>
    <n v="0"/>
    <s v="EPN59"/>
    <n v="240"/>
    <n v="41"/>
    <s v="ร้านที่1"/>
    <s v="เ******​"/>
    <s v="******รณ์ไก่ชน) ต.กุดไส้จ่อ ตำบลกุดใส้จ่อ อำเภอกันทรวิชัย จังหวัดมหาสารคาม 44150"/>
    <s v="44150"/>
    <s v="18"/>
    <s v="02/01/2025 12:25"/>
    <s v="-"/>
    <s v="SPX Express"/>
    <s v="Shopee"/>
    <s v="shopee"/>
    <s v=""/>
    <s v="TH2568059479362"/>
    <s v="02/01/2025 11:55"/>
  </r>
  <r>
    <x v="5"/>
    <x v="5"/>
    <n v="330"/>
    <n v="1"/>
    <n v="0"/>
    <s v="EPN58"/>
    <n v="330"/>
    <n v="0"/>
    <s v="ร้านที่1"/>
    <s v="น***ยา ด***ก้ว"/>
    <s v="สุพรรณบุรี"/>
    <s v="-"/>
    <s v=""/>
    <s v="02/01/2025 11:54"/>
    <s v="-"/>
    <s v="J&amp;T COD"/>
    <s v="Tiktok"/>
    <s v="จ่ายทีหลัง / COD"/>
    <s v="ขอรสกาแฟ6กล่องค่ะ"/>
    <s v="754222588501"/>
    <s v="02/01/2025 11:54"/>
  </r>
  <r>
    <x v="5"/>
    <x v="5"/>
    <n v="330"/>
    <n v="1"/>
    <n v="0"/>
    <s v="EPN57"/>
    <n v="330"/>
    <n v="0"/>
    <s v="ร้านที่1"/>
    <s v="ก***ัย ห***ทศ"/>
    <s v="ฉะเชิงเทรา"/>
    <s v="-"/>
    <s v=""/>
    <s v="02/01/2025 11:54"/>
    <s v="-"/>
    <s v="J&amp;T Express"/>
    <s v="Tiktok"/>
    <s v="tiktok"/>
    <s v=""/>
    <s v="754206980575"/>
    <s v="02/01/2025 11:52"/>
  </r>
  <r>
    <x v="1"/>
    <x v="1"/>
    <n v="200"/>
    <n v="1"/>
    <n v="0"/>
    <s v="EPN56"/>
    <n v="200"/>
    <n v="0"/>
    <s v="ร้านที่1"/>
    <s v="ไ***"/>
    <s v="ประจวบคีรีขันธ์"/>
    <s v="-"/>
    <s v=""/>
    <s v="02/01/2025 11:48"/>
    <s v="-"/>
    <s v="J&amp;T COD"/>
    <s v="Tiktok"/>
    <s v="จ่ายทีหลัง / COD"/>
    <s v=""/>
    <s v="754268437694"/>
    <s v="02/01/2025 11:48"/>
  </r>
  <r>
    <x v="19"/>
    <x v="19"/>
    <n v="199"/>
    <n v="2"/>
    <n v="0"/>
    <s v="EPN55"/>
    <n v="462"/>
    <n v="64"/>
    <s v="ร้านที่1"/>
    <s v="S******E"/>
    <s v="******ัวนครินทร์, ต.บางแก้ว, อำเภอบางพลี ตำบลบางแก้ว อำเภอบางพลี จังหวัดสมุทรปราการ 10540"/>
    <s v="10540"/>
    <s v="21"/>
    <s v="02/01/2025 11:47"/>
    <s v="-"/>
    <s v="SPX Express"/>
    <s v="Shopee"/>
    <s v="shopee"/>
    <s v=""/>
    <s v="TH2533737237340"/>
    <s v="02/01/2025 11:45"/>
  </r>
  <r>
    <x v="1"/>
    <x v="1"/>
    <n v="200"/>
    <n v="1"/>
    <n v="0"/>
    <s v="EPN54"/>
    <n v="200"/>
    <n v="0"/>
    <s v="ร้านที่1"/>
    <s v="ส***ญญา ค***"/>
    <s v="เพชรบูรณ์"/>
    <s v="-"/>
    <s v=""/>
    <s v="02/01/2025 11:42"/>
    <s v="-"/>
    <s v="J&amp;T COD"/>
    <s v="Tiktok"/>
    <s v="จ่ายทีหลัง / COD"/>
    <s v=""/>
    <s v="754221642602"/>
    <s v="02/01/2025 11:42"/>
  </r>
  <r>
    <x v="3"/>
    <x v="3"/>
    <n v="100"/>
    <n v="2"/>
    <n v="0"/>
    <s v="EPN51"/>
    <n v="200"/>
    <n v="0"/>
    <s v="ร้านที่4"/>
    <s v="ก***า ย***านนท์"/>
    <s v="เทศบาลนครนครราชสีมา"/>
    <s v="-"/>
    <s v=""/>
    <s v="02/01/2025 11:41"/>
    <s v="-"/>
    <s v="Flash Express Thailand COD"/>
    <s v="Tiktok"/>
    <s v="จ่ายทีหลัง / COD"/>
    <s v=""/>
    <s v="THT27101DS5AM5Z"/>
    <s v="02/01/2025 11:41"/>
  </r>
  <r>
    <x v="5"/>
    <x v="5"/>
    <n v="350"/>
    <n v="1"/>
    <n v="0"/>
    <s v="EPN50"/>
    <n v="350"/>
    <n v="0"/>
    <s v="ร้านที่4"/>
    <s v="o***gekajitrit"/>
    <s v="สกลนคร"/>
    <s v="-"/>
    <s v=""/>
    <s v="02/01/2025 11:38"/>
    <s v="-"/>
    <s v="Flash Express Thailand"/>
    <s v="Tiktok"/>
    <s v="tiktok"/>
    <s v=""/>
    <s v="THT44011DSGNU6Z"/>
    <s v="02/01/2025 11:38"/>
  </r>
  <r>
    <x v="9"/>
    <x v="4"/>
    <n v="100"/>
    <n v="1"/>
    <n v="0"/>
    <s v="EPN49"/>
    <n v="200"/>
    <n v="0"/>
    <s v="ร้านที่1"/>
    <s v="แ***าว แ***อง"/>
    <s v="นครสวรรค์"/>
    <s v="-"/>
    <s v=""/>
    <s v="02/01/2025 11:36"/>
    <s v="-"/>
    <s v="J&amp;T COD"/>
    <s v="Tiktok"/>
    <s v="จ่ายทีหลัง / COD"/>
    <s v=""/>
    <s v="754276218625"/>
    <s v="02/01/2025 11:36"/>
  </r>
  <r>
    <x v="4"/>
    <x v="4"/>
    <n v="100"/>
    <n v="1"/>
    <n v="0"/>
    <s v="EPN49"/>
    <n v="200"/>
    <n v="0"/>
    <s v="ร้านที่1"/>
    <s v="แ***าว แ***อง"/>
    <s v="นครสวรรค์"/>
    <s v="-"/>
    <s v=""/>
    <s v="02/01/2025 11:36"/>
    <s v="-"/>
    <s v="J&amp;T COD"/>
    <s v="Tiktok"/>
    <s v="จ่ายทีหลัง / COD"/>
    <s v=""/>
    <s v="754276218625"/>
    <s v="02/01/2025 11:36"/>
  </r>
  <r>
    <x v="33"/>
    <x v="43"/>
    <n v="330"/>
    <n v="1"/>
    <n v="0"/>
    <s v="EPN48"/>
    <n v="580"/>
    <n v="0"/>
    <s v="ร้านที่4"/>
    <s v="พ***์ฉวี  ส***ลิศ"/>
    <s v="สมุทรปราการ"/>
    <s v="-"/>
    <s v=""/>
    <s v="02/01/2025 11:35"/>
    <s v="-"/>
    <s v="Flash Express Thailand COD"/>
    <s v="Tiktok"/>
    <s v="จ่ายทีหลัง / COD"/>
    <s v=""/>
    <s v="THT02011DS6J09Z"/>
    <s v="02/01/2025 11:35"/>
  </r>
  <r>
    <x v="19"/>
    <x v="19"/>
    <n v="250"/>
    <n v="1"/>
    <n v="0"/>
    <s v="EPN48"/>
    <n v="580"/>
    <n v="0"/>
    <s v="ร้านที่4"/>
    <s v="พ***์ฉวี  ส***ลิศ"/>
    <s v="สมุทรปราการ"/>
    <s v="-"/>
    <s v=""/>
    <s v="02/01/2025 11:35"/>
    <s v="-"/>
    <s v="Flash Express Thailand COD"/>
    <s v="Tiktok"/>
    <s v="จ่ายทีหลัง / COD"/>
    <s v=""/>
    <s v="THT02011DS6J09Z"/>
    <s v="02/01/2025 11:35"/>
  </r>
  <r>
    <x v="10"/>
    <x v="10"/>
    <n v="200"/>
    <n v="1"/>
    <n v="0"/>
    <s v="EPN46"/>
    <n v="200"/>
    <n v="0"/>
    <s v="ร้านที่1"/>
    <s v="ด***ร เ***ปั้น"/>
    <s v="ปทุมธานี"/>
    <s v="-"/>
    <s v=""/>
    <s v="02/01/2025 11:37"/>
    <s v="-"/>
    <s v="J&amp;T Express"/>
    <s v="Tiktok"/>
    <s v="tiktok"/>
    <s v=""/>
    <s v="754215216624"/>
    <s v="02/01/2025 11:33"/>
  </r>
  <r>
    <x v="1"/>
    <x v="1"/>
    <n v="200"/>
    <n v="2"/>
    <n v="0"/>
    <s v="EPN45"/>
    <n v="400"/>
    <n v="0"/>
    <s v="ร้านที่1"/>
    <s v="จ***ณี พ***์ปัญญา"/>
    <s v="ตาก"/>
    <s v="-"/>
    <s v=""/>
    <s v="02/01/2025 11:30"/>
    <s v="-"/>
    <s v="J&amp;T COD"/>
    <s v="Tiktok"/>
    <s v="จ่ายทีหลัง / COD"/>
    <s v=""/>
    <s v="754227976585"/>
    <s v="02/01/2025 11:31"/>
  </r>
  <r>
    <x v="16"/>
    <x v="16"/>
    <n v="250"/>
    <n v="1"/>
    <n v="0"/>
    <s v="EPN44"/>
    <n v="250"/>
    <n v="0"/>
    <s v="ร้านที่4"/>
    <s v="จ***รัตน์ ช***ชา"/>
    <s v="กระบี่"/>
    <s v="-"/>
    <s v=""/>
    <s v="02/01/2025 11:30"/>
    <s v="-"/>
    <s v="Flash Express Thailand COD"/>
    <s v="Tiktok"/>
    <s v="จ่ายทีหลัง / COD"/>
    <s v=""/>
    <s v="THT65061DRT2K1Z"/>
    <s v="02/01/2025 11:30"/>
  </r>
  <r>
    <x v="3"/>
    <x v="8"/>
    <n v="89.75"/>
    <n v="1"/>
    <n v="0"/>
    <s v="EPN43"/>
    <n v="89.75"/>
    <n v="0"/>
    <s v="ร้านที่6"/>
    <s v="สุพิชฌาพร​ หัวใจฉ่ำ"/>
    <s v="60/5หมู่5  ต.นครปฐม_x000a__x000a_เมืองนครปฐม/ Mueang Nakhon Pathomนครปฐม/ Nakhon Pathom_x000a_73000"/>
    <s v="73000"/>
    <s v="660875292245"/>
    <s v="02/01/2025 11:26"/>
    <s v="-"/>
    <s v="Kerry_dropoff"/>
    <s v="Lazada"/>
    <s v="lazada"/>
    <s v=""/>
    <s v="LEXPU0441098335"/>
    <s v="02/01/2025 11:26"/>
  </r>
  <r>
    <x v="1"/>
    <x v="1"/>
    <n v="200"/>
    <n v="1"/>
    <n v="0"/>
    <s v="EPN42"/>
    <n v="200"/>
    <n v="0"/>
    <s v="ร้านที่1"/>
    <s v="พ***า  ค***ุล"/>
    <s v="ระยอง"/>
    <s v="-"/>
    <s v=""/>
    <s v="02/01/2025 11:21"/>
    <s v="-"/>
    <s v="J&amp;T Express"/>
    <s v="Tiktok"/>
    <s v="tiktok"/>
    <s v=""/>
    <s v="754230233691"/>
    <s v="02/01/2025 11:21"/>
  </r>
  <r>
    <x v="3"/>
    <x v="3"/>
    <n v="100"/>
    <n v="1"/>
    <n v="0"/>
    <s v="EPN40"/>
    <n v="100"/>
    <n v="0"/>
    <s v="ร้านที่2"/>
    <s v="ภ******)"/>
    <s v="******มู่ที่ 5, ถนน พหลโยธิน, ตำบลบ้านกล้วย อำเภอเมืองชัยนาท จังหวัดชัยนาท 17000"/>
    <s v="17000"/>
    <s v="28"/>
    <s v="02/01/2025 11:18"/>
    <s v="-"/>
    <s v="SPX Express"/>
    <s v="Shopee"/>
    <s v="shopee"/>
    <s v=""/>
    <s v="TH258331572949Z"/>
    <s v="02/01/2025 11:17"/>
  </r>
  <r>
    <x v="3"/>
    <x v="3"/>
    <n v="100"/>
    <n v="3"/>
    <n v="0"/>
    <s v="EPN36"/>
    <n v="329"/>
    <n v="29"/>
    <s v="ร้านที่2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02/01/2025 11:43"/>
    <s v="-"/>
    <s v="SPX Express"/>
    <s v="Shopee"/>
    <s v="shopee"/>
    <s v=""/>
    <s v="TH253131117131H"/>
    <s v="02/01/2025 11:13"/>
  </r>
  <r>
    <x v="24"/>
    <x v="32"/>
    <n v="424"/>
    <n v="1"/>
    <n v="0"/>
    <s v="EPN35"/>
    <n v="872"/>
    <n v="24"/>
    <s v="ร้านที่6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2/01/2025 11:13"/>
    <s v="-"/>
    <s v="Kerry_dropoff"/>
    <s v="Lazada"/>
    <s v="lazada"/>
    <s v=""/>
    <s v="LEXPU0441073147"/>
    <s v="02/01/2025 11:13"/>
  </r>
  <r>
    <x v="24"/>
    <x v="32"/>
    <n v="424"/>
    <n v="1"/>
    <n v="0"/>
    <s v="EPN35"/>
    <n v="872"/>
    <n v="24"/>
    <s v="ร้านที่6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2/01/2025 11:13"/>
    <s v="-"/>
    <s v="Kerry_dropoff"/>
    <s v="Lazada"/>
    <s v="lazada"/>
    <s v=""/>
    <s v="LEXPU0441073147"/>
    <s v="02/01/2025 11:13"/>
  </r>
  <r>
    <x v="9"/>
    <x v="4"/>
    <n v="100"/>
    <n v="1"/>
    <n v="0"/>
    <s v="EPN30"/>
    <n v="106"/>
    <n v="6"/>
    <s v="ร้านที่1"/>
    <s v="จ***พร บ***่ง"/>
    <s v="นครศรีธรรมราช"/>
    <s v="-"/>
    <s v=""/>
    <s v="02/01/2025 11:04"/>
    <s v="-"/>
    <s v="J&amp;T COD"/>
    <s v="Tiktok"/>
    <s v="จ่ายทีหลัง / COD"/>
    <s v=""/>
    <s v="754262869570"/>
    <s v="02/01/2025 11:04"/>
  </r>
  <r>
    <x v="10"/>
    <x v="10"/>
    <n v="200"/>
    <n v="1"/>
    <n v="0"/>
    <s v="EPN29"/>
    <n v="200"/>
    <n v="0"/>
    <s v="ร้านที่1"/>
    <s v="ม***ี จ***ีเชาว์"/>
    <s v="ปทุมธานี"/>
    <s v="-"/>
    <s v=""/>
    <s v="02/01/2025 11:01"/>
    <s v="-"/>
    <s v="J&amp;T COD"/>
    <s v="Tiktok"/>
    <s v="จ่ายทีหลัง / COD"/>
    <s v=""/>
    <s v="754272816625"/>
    <s v="02/01/2025 11:01"/>
  </r>
  <r>
    <x v="1"/>
    <x v="1"/>
    <n v="200"/>
    <n v="1"/>
    <n v="0"/>
    <s v="EPN28"/>
    <n v="200"/>
    <n v="0"/>
    <s v="ร้านที่1"/>
    <s v="ส***พร  เ***ี"/>
    <s v="ขอนแก่น"/>
    <s v="-"/>
    <s v=""/>
    <s v="02/01/2025 11:01"/>
    <s v="-"/>
    <s v="J&amp;T COD"/>
    <s v="Tiktok"/>
    <s v="จ่ายทีหลัง / COD"/>
    <s v=""/>
    <s v="754283036695"/>
    <s v="02/01/2025 11:01"/>
  </r>
  <r>
    <x v="29"/>
    <x v="36"/>
    <n v="330"/>
    <n v="2"/>
    <n v="0"/>
    <s v="EPN27"/>
    <n v="660"/>
    <n v="0"/>
    <s v="ร้านที่4"/>
    <s v="ร***ลอดช่องวัดเจษ"/>
    <s v="กรุงเทพฯ"/>
    <s v="-"/>
    <s v=""/>
    <s v="02/01/2025 11:01"/>
    <s v="-"/>
    <s v="Flash Express Thailand COD"/>
    <s v="Tiktok"/>
    <s v="จ่ายทีหลัง / COD"/>
    <s v=""/>
    <s v="THT01111DRW101Z"/>
    <s v="02/01/2025 11:01"/>
  </r>
  <r>
    <x v="0"/>
    <x v="0"/>
    <n v="100"/>
    <n v="2"/>
    <n v="0"/>
    <s v="EPN24"/>
    <n v="206"/>
    <n v="6"/>
    <s v="ร้านที่4"/>
    <s v="เ***   จ***ทอง"/>
    <s v="ฉะเชิงเทรา"/>
    <s v="-"/>
    <s v=""/>
    <s v="02/01/2025 10:53"/>
    <s v="-"/>
    <s v="Flash Express Thailand COD"/>
    <s v="Tiktok"/>
    <s v="จ่ายทีหลัง / COD"/>
    <s v=""/>
    <s v="THT24041DSKH84Z"/>
    <s v="02/01/2025 10:53"/>
  </r>
  <r>
    <x v="0"/>
    <x v="0"/>
    <n v="100"/>
    <n v="1"/>
    <n v="0"/>
    <s v="EPN23"/>
    <n v="100"/>
    <n v="0"/>
    <s v="ร้านที่4"/>
    <s v="พ***ินทร์ ว***นิล"/>
    <s v="สุพรรณบุรี"/>
    <s v="-"/>
    <s v=""/>
    <s v="02/01/2025 10:52"/>
    <s v="-"/>
    <s v="Flash Express Thailand COD"/>
    <s v="Tiktok"/>
    <s v="จ่ายทีหลัง / COD"/>
    <s v=""/>
    <s v="THT14021DS7B55Z"/>
    <s v="02/01/2025 10:52"/>
  </r>
  <r>
    <x v="0"/>
    <x v="0"/>
    <n v="100"/>
    <n v="2"/>
    <n v="0"/>
    <s v="EPN22"/>
    <n v="200"/>
    <n v="0"/>
    <s v="ร้านที่4"/>
    <s v="ป***ญา  แ***พยัคฆ์"/>
    <s v="อุทัยธานี"/>
    <s v="-"/>
    <s v=""/>
    <s v="02/01/2025 10:50"/>
    <s v="-"/>
    <s v="Flash Express Thailand"/>
    <s v="Tiktok"/>
    <s v="tiktok"/>
    <s v=""/>
    <s v="THT57081DSJYG6Z"/>
    <s v="02/01/2025 10:50"/>
  </r>
  <r>
    <x v="0"/>
    <x v="0"/>
    <n v="100"/>
    <n v="1"/>
    <n v="0"/>
    <s v="EPN21"/>
    <n v="106"/>
    <n v="6"/>
    <s v="ร้านที่2"/>
    <s v="ก***"/>
    <s v="บุรีรัมย์"/>
    <s v="-"/>
    <s v=""/>
    <s v="02/01/2025 10:49"/>
    <s v="-"/>
    <s v="J&amp;T COD"/>
    <s v="Tiktok"/>
    <s v="จ่ายทีหลัง / COD"/>
    <s v=""/>
    <s v="754261031510"/>
    <s v="02/01/2025 10:50"/>
  </r>
  <r>
    <x v="0"/>
    <x v="0"/>
    <n v="100"/>
    <n v="1"/>
    <n v="0"/>
    <s v="EPN18"/>
    <n v="100"/>
    <n v="0"/>
    <s v="ร้านที่1"/>
    <s v="เ***ิน"/>
    <s v="สระบุรี"/>
    <s v="-"/>
    <s v=""/>
    <s v="02/01/2025 10:48"/>
    <s v="-"/>
    <s v="J&amp;T COD"/>
    <s v="Tiktok"/>
    <s v="จ่ายทีหลัง / COD"/>
    <s v=""/>
    <s v="754259326531"/>
    <s v="02/01/2025 10:48"/>
  </r>
  <r>
    <x v="10"/>
    <x v="10"/>
    <n v="200"/>
    <n v="1"/>
    <n v="0"/>
    <s v="EPN17"/>
    <n v="200"/>
    <n v="0"/>
    <s v="ร้านที่1"/>
    <s v="จ***วดี  เ***จันทร์"/>
    <s v="ภูเก็ต"/>
    <s v="-"/>
    <s v=""/>
    <s v="02/01/2025 10:47"/>
    <s v="-"/>
    <s v="J&amp;T COD"/>
    <s v="Tiktok"/>
    <s v="จ่ายทีหลัง / COD"/>
    <s v=""/>
    <s v="754258618610"/>
    <s v="02/01/2025 10:47"/>
  </r>
  <r>
    <x v="0"/>
    <x v="0"/>
    <n v="100"/>
    <n v="2"/>
    <n v="0"/>
    <s v="EPN16"/>
    <n v="200"/>
    <n v="0"/>
    <s v="ร้านที่4"/>
    <s v="โ** บ***ย่าง20"/>
    <s v="สุพรรณบุรี"/>
    <s v="-"/>
    <s v=""/>
    <s v="02/01/2025 10:44"/>
    <s v="-"/>
    <s v="Flash Express Thailand COD"/>
    <s v="Tiktok"/>
    <s v="จ่ายทีหลัง / COD"/>
    <s v=""/>
    <s v="THT14071DSJQ22Z"/>
    <s v="02/01/2025 10:44"/>
  </r>
  <r>
    <x v="33"/>
    <x v="43"/>
    <n v="330"/>
    <n v="1"/>
    <n v="0"/>
    <s v="EPN14"/>
    <n v="330"/>
    <n v="0"/>
    <s v="ร้านที่4"/>
    <s v="น***าวประภาศรี ค***อน ว***ทศ "/>
    <s v="นครปฐม"/>
    <s v="-"/>
    <s v=""/>
    <s v="02/01/2025 10:38"/>
    <s v="-"/>
    <s v="Flash Express Thailand COD"/>
    <s v="Tiktok"/>
    <s v="จ่ายทีหลัง / COD"/>
    <s v="ขอถุงเล็ก 10 ใบ ใส่แจกปีใหม่ให้คณะครู ขอบคุณคร่า🙏🥰"/>
    <s v="THT15041DSGXQ0Z"/>
    <s v="02/01/2025 10:38"/>
  </r>
  <r>
    <x v="5"/>
    <x v="5"/>
    <n v="350"/>
    <n v="1"/>
    <n v="0"/>
    <s v="EPN13"/>
    <n v="350"/>
    <n v="0"/>
    <s v="ร้านที่4"/>
    <s v="ส***รัตน์ พ***์เทียม"/>
    <s v="ปทุมธานี"/>
    <s v="-"/>
    <s v=""/>
    <s v="02/01/2025 10:37"/>
    <s v="-"/>
    <s v="Flash Express Thailand COD"/>
    <s v="Tiktok"/>
    <s v="จ่ายทีหลัง / COD"/>
    <s v=""/>
    <s v="THT04021DSHFM8Z"/>
    <s v="02/01/2025 10:37"/>
  </r>
  <r>
    <x v="15"/>
    <x v="15"/>
    <n v="200"/>
    <n v="1"/>
    <n v="0"/>
    <s v="EPN12"/>
    <n v="200"/>
    <n v="0"/>
    <s v="ร้านที่1"/>
    <s v="น***จิรารัตน์ เ***โคกกรวด"/>
    <s v="เทศบาลนครนครราชสีมา"/>
    <s v="-"/>
    <s v=""/>
    <s v="02/01/2025 10:36"/>
    <s v="-"/>
    <s v="J&amp;T Express"/>
    <s v="Tiktok"/>
    <s v="tiktok"/>
    <s v=""/>
    <s v="754208636510"/>
    <s v="02/01/2025 10:35"/>
  </r>
  <r>
    <x v="3"/>
    <x v="3"/>
    <n v="100"/>
    <n v="1"/>
    <n v="0"/>
    <s v="EPN11"/>
    <n v="106"/>
    <n v="6"/>
    <s v="ร้านที่4"/>
    <s v="ว***า  ผ***มณี"/>
    <s v="ปทุมธานี"/>
    <s v="-"/>
    <s v=""/>
    <s v="02/01/2025 10:34"/>
    <s v="-"/>
    <s v="Flash Express Thailand COD"/>
    <s v="Tiktok"/>
    <s v="จ่ายทีหลัง / COD"/>
    <s v=""/>
    <s v="THT04061DS5C05Z"/>
    <s v="02/01/2025 10:34"/>
  </r>
  <r>
    <x v="4"/>
    <x v="4"/>
    <n v="100"/>
    <n v="2"/>
    <n v="0"/>
    <s v="EPN10"/>
    <n v="398"/>
    <n v="0"/>
    <s v="ร้านที่4"/>
    <s v="ป***ารัตน์ โ***์เจริญ"/>
    <s v="ปทุมธานี"/>
    <s v="-"/>
    <s v=""/>
    <s v="02/01/2025 10:32"/>
    <s v="-"/>
    <s v="Flash Express Thailand"/>
    <s v="Tiktok"/>
    <s v="tiktok"/>
    <s v=""/>
    <s v="THT04011DS5560Z"/>
    <s v="02/01/2025 10:32"/>
  </r>
  <r>
    <x v="5"/>
    <x v="5"/>
    <n v="350"/>
    <n v="1"/>
    <n v="0"/>
    <s v="EPN9"/>
    <n v="350"/>
    <n v="0"/>
    <s v="ร้านที่4"/>
    <s v="ธ***ัย จ***า"/>
    <s v="ระยอง"/>
    <s v="-"/>
    <s v=""/>
    <s v="02/01/2025 10:31"/>
    <s v="-"/>
    <s v="Flash Express Thailand"/>
    <s v="Tiktok"/>
    <s v="tiktok"/>
    <s v=""/>
    <s v="THT21061DS4RH3Z"/>
    <s v="02/01/2025 10:31"/>
  </r>
  <r>
    <x v="3"/>
    <x v="3"/>
    <n v="100"/>
    <n v="2"/>
    <n v="0"/>
    <s v="EPN8"/>
    <n v="200"/>
    <n v="0"/>
    <s v="ร้านที่2"/>
    <s v="ภ******)"/>
    <s v="******มู่ที่ 5, ถนน พหลโยธิน, ตำบลบ้านกล้วย อำเภอเมืองชัยนาท จังหวัดชัยนาท 17000"/>
    <s v="17000"/>
    <s v="28"/>
    <s v="02/01/2025 10:29"/>
    <s v="-"/>
    <s v="SPX Express"/>
    <s v="Shopee"/>
    <s v="shopee"/>
    <s v=""/>
    <s v="TH2572575572779"/>
    <s v="02/01/2025 10:29"/>
  </r>
  <r>
    <x v="0"/>
    <x v="0"/>
    <n v="100"/>
    <n v="1"/>
    <n v="0"/>
    <s v="EPN7"/>
    <n v="100"/>
    <n v="0"/>
    <s v="ร้านที่2"/>
    <s v="เ***ี่"/>
    <s v="Nakhon Pathom"/>
    <s v="-"/>
    <s v=""/>
    <s v="02/01/2025 10:28"/>
    <s v="-"/>
    <s v="J&amp;T COD"/>
    <s v="Tiktok"/>
    <s v="จ่ายทีหลัง / COD"/>
    <s v=""/>
    <s v="754265635502"/>
    <s v="02/01/2025 10:28"/>
  </r>
  <r>
    <x v="3"/>
    <x v="3"/>
    <n v="138"/>
    <n v="1"/>
    <n v="0"/>
    <s v="EPN6"/>
    <n v="143"/>
    <n v="5"/>
    <s v="ร้านที่1"/>
    <s v="พุนิวัฒน์ ประภาลิมรังสี"/>
    <s v="99/23 ม.1 ต.กุยบุรี · กุยบุรี/ Kui Buri_x000a__x000a_กุยบุรี/ Kui Buriประจวบคีรีขันธ์/ Prachuap Khiri Khan_x000a_77150"/>
    <s v="77150"/>
    <s v="660925685314"/>
    <s v="02/01/2025 10:28"/>
    <s v="-"/>
    <s v="Kerry_dropoff"/>
    <s v="Lazada"/>
    <s v="lazada"/>
    <s v=""/>
    <s v="TH19026NC5WW1A"/>
    <s v="02/01/2025 10:28"/>
  </r>
  <r>
    <x v="0"/>
    <x v="0"/>
    <n v="100"/>
    <n v="1"/>
    <n v="0"/>
    <s v="EPN5"/>
    <n v="106"/>
    <n v="6"/>
    <s v="ร้านที่1"/>
    <s v="ฉ***น  โ***พร"/>
    <s v="ฉะเชิงเทรา"/>
    <s v="-"/>
    <s v=""/>
    <s v="02/01/2025 10:28"/>
    <s v="-"/>
    <s v="J&amp;T Express"/>
    <s v="Tiktok"/>
    <s v="tiktok"/>
    <s v=""/>
    <s v="754292035501"/>
    <s v="02/01/2025 10:27"/>
  </r>
  <r>
    <x v="10"/>
    <x v="10"/>
    <n v="200"/>
    <n v="1"/>
    <n v="0"/>
    <s v="EPN4"/>
    <n v="200"/>
    <n v="0"/>
    <s v="ร้านที่1"/>
    <s v="ม***ี จ***ีเชาว์"/>
    <s v="ปทุมธานี"/>
    <s v="-"/>
    <s v=""/>
    <s v="02/01/2025 10:27"/>
    <s v="-"/>
    <s v="J&amp;T COD"/>
    <s v="Tiktok"/>
    <s v="จ่ายทีหลัง / COD"/>
    <s v=""/>
    <s v="754299503646"/>
    <s v="02/01/2025 10:27"/>
  </r>
  <r>
    <x v="0"/>
    <x v="0"/>
    <n v="100"/>
    <n v="2"/>
    <n v="0"/>
    <s v="EPN1"/>
    <n v="200"/>
    <n v="0"/>
    <s v="ร้านที่1"/>
    <s v="จ***ูญ ส***ดี บ***ุ้ง"/>
    <s v="เพชรบุรี"/>
    <s v="-"/>
    <s v=""/>
    <s v="02/01/2025 10:25"/>
    <s v="-"/>
    <s v="J&amp;T COD"/>
    <s v="Tiktok"/>
    <s v="จ่ายทีหลัง / COD"/>
    <s v=""/>
    <s v="754266836514"/>
    <s v="02/01/2025 10:25"/>
  </r>
  <r>
    <x v="19"/>
    <x v="19"/>
    <n v="197"/>
    <n v="1"/>
    <n v="0"/>
    <s v="EPN0"/>
    <n v="242"/>
    <n v="45"/>
    <s v="ร้านที่2"/>
    <s v="ม******า"/>
    <s v="******5 ต.เหมือง ตำบลเหมือง อำเภอเมืองชลบุรี จังหวัดชลบุรี 20130"/>
    <s v="20130"/>
    <s v="60"/>
    <s v="02/01/2025 10:24"/>
    <s v="-"/>
    <s v="SPX Express"/>
    <s v="Shopee"/>
    <s v="shopee"/>
    <s v=""/>
    <s v="TH253014566538F"/>
    <s v="02/01/2025 10:23"/>
  </r>
  <r>
    <x v="33"/>
    <x v="43"/>
    <n v="330"/>
    <n v="1"/>
    <n v="0"/>
    <s v="EPM99"/>
    <n v="660"/>
    <n v="0"/>
    <s v="ร้านที่2"/>
    <s v="ส***ตรี พ***ง"/>
    <s v="สงขลา"/>
    <s v="-"/>
    <s v=""/>
    <s v="02/01/2025 10:22"/>
    <s v="-"/>
    <s v="J&amp;T COD"/>
    <s v="Tiktok"/>
    <s v="จ่ายทีหลัง / COD"/>
    <s v=""/>
    <s v="754215998561"/>
    <s v="02/01/2025 10:22"/>
  </r>
  <r>
    <x v="5"/>
    <x v="5"/>
    <n v="330"/>
    <n v="1"/>
    <n v="0"/>
    <s v="EPM99"/>
    <n v="660"/>
    <n v="0"/>
    <s v="ร้านที่2"/>
    <s v="ส***ตรี พ***ง"/>
    <s v="สงขลา"/>
    <s v="-"/>
    <s v=""/>
    <s v="02/01/2025 10:22"/>
    <s v="-"/>
    <s v="J&amp;T COD"/>
    <s v="Tiktok"/>
    <s v="จ่ายทีหลัง / COD"/>
    <s v=""/>
    <s v="754215998561"/>
    <s v="02/01/2025 10:22"/>
  </r>
  <r>
    <x v="0"/>
    <x v="0"/>
    <n v="100"/>
    <n v="1"/>
    <n v="0"/>
    <s v="EPM97"/>
    <n v="106"/>
    <n v="6"/>
    <s v="ร้านที่1"/>
    <s v="ส***วดี ศ***ันทร์"/>
    <s v="กระบี่"/>
    <s v="-"/>
    <s v=""/>
    <s v="02/01/2025 10:19"/>
    <s v="-"/>
    <s v="J&amp;T COD"/>
    <s v="Tiktok"/>
    <s v="จ่ายทีหลัง / COD"/>
    <s v=""/>
    <s v="754223883512"/>
    <s v="02/01/2025 10:19"/>
  </r>
  <r>
    <x v="41"/>
    <x v="86"/>
    <n v="560"/>
    <n v="1"/>
    <n v="0"/>
    <s v="EPM96"/>
    <n v="589"/>
    <n v="29"/>
    <s v="ร้านที่1"/>
    <s v="เ******ิ"/>
    <s v="******ย, อำเภออู่ทอง ตำบลพลับพลาไชย อำเภออู่ทอง จังหวัดสุพรรณบุรี 72160"/>
    <s v="72160"/>
    <s v="99"/>
    <s v="02/01/2025 10:19"/>
    <s v="-"/>
    <s v="SPX Express"/>
    <s v="Shopee"/>
    <s v="shopee"/>
    <s v=""/>
    <s v="TH258686655908G"/>
    <s v="02/01/2025 10:19"/>
  </r>
  <r>
    <x v="1"/>
    <x v="1"/>
    <n v="200"/>
    <n v="1"/>
    <n v="0"/>
    <s v="EPM94"/>
    <n v="200"/>
    <n v="0"/>
    <s v="ร้านที่2"/>
    <s v="ด***ณี"/>
    <s v="สมุทรสาคร"/>
    <s v="-"/>
    <s v=""/>
    <s v="02/01/2025 10:19"/>
    <s v="-"/>
    <s v="J&amp;T COD"/>
    <s v="Tiktok"/>
    <s v="จ่ายทีหลัง / COD"/>
    <s v=""/>
    <s v="754238200634"/>
    <s v="02/01/2025 10:19"/>
  </r>
  <r>
    <x v="16"/>
    <x v="37"/>
    <n v="162.5"/>
    <n v="1"/>
    <n v="0"/>
    <s v="EPM93"/>
    <n v="364"/>
    <n v="39"/>
    <s v="ร้านที่1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2/01/2025 15:35"/>
    <s v="-"/>
    <s v="Kerry_dropoff"/>
    <s v="Lazada"/>
    <s v="lazada"/>
    <s v=""/>
    <s v="LEXPU0441087295"/>
    <s v="02/01/2025 10:18"/>
  </r>
  <r>
    <x v="16"/>
    <x v="37"/>
    <n v="162.5"/>
    <n v="1"/>
    <n v="0"/>
    <s v="EPM93"/>
    <n v="364"/>
    <n v="39"/>
    <s v="ร้านที่1"/>
    <s v="ติ๊ก"/>
    <s v="หทัยราษฎร์ 39 29/193 ม.เค.ซี.1 ซอย 4_x000a__x000a_คลองสามวา/ Klong Sam Waกรุงเทพมหานคร/ Bangkok_x000a_10510"/>
    <s v="10510"/>
    <s v="660834049452"/>
    <s v="02/01/2025 15:35"/>
    <s v="-"/>
    <s v="Kerry_dropoff"/>
    <s v="Lazada"/>
    <s v="lazada"/>
    <s v=""/>
    <s v="LEXPU0441087295"/>
    <s v="02/01/2025 10:18"/>
  </r>
  <r>
    <x v="1"/>
    <x v="1"/>
    <n v="200"/>
    <n v="1"/>
    <n v="0"/>
    <s v="EPM91"/>
    <n v="200"/>
    <n v="0"/>
    <s v="ร้านที่1"/>
    <s v="จ***ันท์ ป***จริญ"/>
    <s v="นครปฐม"/>
    <s v="-"/>
    <s v=""/>
    <s v="02/01/2025 10:16"/>
    <s v="-"/>
    <s v="J&amp;T COD"/>
    <s v="Tiktok"/>
    <s v="จ่ายทีหลัง / COD"/>
    <s v=""/>
    <s v="754282190561"/>
    <s v="02/01/2025 10:16"/>
  </r>
  <r>
    <x v="3"/>
    <x v="3"/>
    <n v="150"/>
    <n v="1"/>
    <n v="0"/>
    <s v="EPM89"/>
    <n v="179"/>
    <n v="29"/>
    <s v="ร้านที่1"/>
    <s v="ป******ม"/>
    <s v="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"/>
    <s v="17000"/>
    <s v="10"/>
    <s v="02/01/2025 10:16"/>
    <s v="-"/>
    <s v="SPX Express"/>
    <s v="Shopee"/>
    <s v="shopee"/>
    <s v=""/>
    <s v="TH2596908977601"/>
    <s v="02/01/2025 10:16"/>
  </r>
  <r>
    <x v="0"/>
    <x v="0"/>
    <n v="100"/>
    <n v="1"/>
    <n v="0"/>
    <s v="EPM88"/>
    <n v="106"/>
    <n v="6"/>
    <s v="ร้านที่1"/>
    <s v="น***วัย  น***ะกูล"/>
    <s v="เชียงราย"/>
    <s v="-"/>
    <s v=""/>
    <s v="02/01/2025 10:15"/>
    <s v="-"/>
    <s v="J&amp;T COD"/>
    <s v="Tiktok"/>
    <s v="จ่ายทีหลัง / COD"/>
    <s v=""/>
    <s v="754245810603"/>
    <s v="02/01/2025 10:15"/>
  </r>
  <r>
    <x v="0"/>
    <x v="0"/>
    <n v="100"/>
    <n v="1"/>
    <n v="0"/>
    <s v="EPM86"/>
    <n v="106"/>
    <n v="6"/>
    <s v="ร้านที่4"/>
    <s v="น***นดร ส***ร"/>
    <s v="ปราจีนบุรี"/>
    <s v="-"/>
    <s v=""/>
    <s v="02/01/2025 10:11"/>
    <s v="-"/>
    <s v="Flash Express Thailand COD"/>
    <s v="Tiktok"/>
    <s v="จ่ายทีหลัง / COD"/>
    <s v=""/>
    <s v="THT25041DSM8P4Z"/>
    <s v="02/01/2025 10:12"/>
  </r>
  <r>
    <x v="0"/>
    <x v="0"/>
    <n v="100"/>
    <n v="1"/>
    <n v="0"/>
    <s v="EPM85"/>
    <n v="106"/>
    <n v="6"/>
    <s v="ร้านที่1"/>
    <s v="ณ***ฤตา แ***วชู"/>
    <s v="สุราษฎร์ธานี"/>
    <s v="-"/>
    <s v=""/>
    <s v="02/01/2025 10:09"/>
    <s v="-"/>
    <s v="J&amp;T Express"/>
    <s v="Tiktok"/>
    <s v="tiktok"/>
    <s v=""/>
    <s v="754219203651"/>
    <s v="02/01/2025 10:11"/>
  </r>
  <r>
    <x v="0"/>
    <x v="0"/>
    <n v="100"/>
    <n v="1"/>
    <n v="0"/>
    <s v="EPM81"/>
    <n v="106"/>
    <n v="6"/>
    <s v="ร้านที่1"/>
    <s v="เ***ลักษณ์​ ส***ิธรรม"/>
    <s v="ประจวบคีรีขันธ์"/>
    <s v="-"/>
    <s v=""/>
    <s v="02/01/2025 10:05"/>
    <s v="-"/>
    <s v="J&amp;T COD"/>
    <s v="Tiktok"/>
    <s v="จ่ายทีหลัง / COD"/>
    <s v=""/>
    <s v="754293395590"/>
    <s v="02/01/2025 10:07"/>
  </r>
  <r>
    <x v="0"/>
    <x v="0"/>
    <n v="100"/>
    <n v="1"/>
    <n v="0"/>
    <s v="EPM80"/>
    <n v="106"/>
    <n v="6"/>
    <s v="ร้านที่1"/>
    <s v="จ***วรรณ ศ***ิชัย"/>
    <s v="นครศรีธรรมราช"/>
    <s v="-"/>
    <s v=""/>
    <s v="02/01/2025 10:05"/>
    <s v="-"/>
    <s v="J&amp;T Express"/>
    <s v="Tiktok"/>
    <s v="tiktok"/>
    <s v=""/>
    <s v="754246990593"/>
    <s v="02/01/2025 10:06"/>
  </r>
  <r>
    <x v="19"/>
    <x v="34"/>
    <n v="10.1"/>
    <n v="1"/>
    <n v="0"/>
    <s v="EPM79"/>
    <n v="19.850000000000001"/>
    <n v="5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2/01/2025 10:05"/>
    <s v="-"/>
    <s v="Kerry_dropoff"/>
    <s v="Lazada"/>
    <s v="lazada"/>
    <s v=""/>
    <s v="LEXDO0123663991"/>
    <s v="02/01/2025 10:05"/>
  </r>
  <r>
    <x v="0"/>
    <x v="0"/>
    <n v="100"/>
    <n v="1"/>
    <n v="0"/>
    <s v="EPM78"/>
    <n v="106"/>
    <n v="6"/>
    <s v="ร้านที่1"/>
    <s v="ช***"/>
    <s v="นนทบุรี"/>
    <s v="-"/>
    <s v=""/>
    <s v="02/01/2025 10:03"/>
    <s v="-"/>
    <s v="J&amp;T COD"/>
    <s v="Tiktok"/>
    <s v="จ่ายทีหลัง / COD"/>
    <s v=""/>
    <s v="754222809675"/>
    <s v="02/01/2025 10:03"/>
  </r>
  <r>
    <x v="0"/>
    <x v="0"/>
    <n v="100"/>
    <n v="1"/>
    <n v="0"/>
    <s v="EPM77"/>
    <n v="106"/>
    <n v="6"/>
    <s v="ร้านที่4"/>
    <s v="อ***รัตน์"/>
    <s v="สมุทรปราการ"/>
    <s v="-"/>
    <s v=""/>
    <s v="02/01/2025 09:59"/>
    <s v="-"/>
    <s v="Flash Express Thailand"/>
    <s v="Tiktok"/>
    <s v="tiktok"/>
    <s v=""/>
    <s v="THT02011DS7889Z"/>
    <s v="02/01/2025 09:58"/>
  </r>
  <r>
    <x v="9"/>
    <x v="4"/>
    <n v="100"/>
    <n v="1"/>
    <n v="0"/>
    <s v="EPM76"/>
    <n v="106"/>
    <n v="6"/>
    <s v="ร้านที่1"/>
    <s v="แ***ี่ พ***พย์ ด***ก"/>
    <s v="สมุทรปราการ"/>
    <s v="-"/>
    <s v=""/>
    <s v="02/01/2025 09:57"/>
    <s v="-"/>
    <s v="J&amp;T COD"/>
    <s v="Tiktok"/>
    <s v="จ่ายทีหลัง / COD"/>
    <s v=""/>
    <s v="754258569503"/>
    <s v="02/01/2025 09:57"/>
  </r>
  <r>
    <x v="29"/>
    <x v="36"/>
    <n v="330"/>
    <n v="1"/>
    <n v="0"/>
    <s v="EPM75"/>
    <n v="330"/>
    <n v="0"/>
    <s v="ร้านที่1"/>
    <s v="น***าวจีรวรรณ บ***าม"/>
    <s v="ประจวบคีรีขันธ์"/>
    <s v="-"/>
    <s v=""/>
    <s v="02/01/2025 09:54"/>
    <s v="-"/>
    <s v="J&amp;T COD"/>
    <s v="Tiktok"/>
    <s v="จ่ายทีหลัง / COD"/>
    <s v=""/>
    <s v="754222712670"/>
    <s v="02/01/2025 09:54"/>
  </r>
  <r>
    <x v="10"/>
    <x v="10"/>
    <n v="200"/>
    <n v="1"/>
    <n v="0"/>
    <s v="EPM74"/>
    <n v="200"/>
    <n v="0"/>
    <s v="ร้านที่2"/>
    <s v="อ*** ช***นุช"/>
    <s v="ฉะเชิงเทรา"/>
    <s v="-"/>
    <s v=""/>
    <s v="02/01/2025 09:49"/>
    <s v="-"/>
    <s v="J&amp;T COD"/>
    <s v="Tiktok"/>
    <s v="จ่ายทีหลัง / COD"/>
    <s v=""/>
    <s v="754272324606"/>
    <s v="02/01/2025 09:49"/>
  </r>
  <r>
    <x v="0"/>
    <x v="0"/>
    <n v="100"/>
    <n v="1"/>
    <n v="0"/>
    <s v="EPM71"/>
    <n v="430"/>
    <n v="0"/>
    <s v="ร้านที่1"/>
    <s v="ท***น จ***จริญ"/>
    <s v="กรุงเทพมหานคร"/>
    <s v="-"/>
    <s v=""/>
    <s v="02/01/2025 09:42"/>
    <s v="-"/>
    <s v="J&amp;T Express"/>
    <s v="Tiktok"/>
    <s v="tiktok"/>
    <s v=""/>
    <s v="754286990575"/>
    <s v="02/01/2025 09:42"/>
  </r>
  <r>
    <x v="5"/>
    <x v="5"/>
    <n v="330"/>
    <n v="1"/>
    <n v="0"/>
    <s v="EPM71"/>
    <n v="430"/>
    <n v="0"/>
    <s v="ร้านที่1"/>
    <s v="ท***น จ***จริญ"/>
    <s v="กรุงเทพมหานคร"/>
    <s v="-"/>
    <s v=""/>
    <s v="02/01/2025 09:42"/>
    <s v="-"/>
    <s v="J&amp;T Express"/>
    <s v="Tiktok"/>
    <s v="tiktok"/>
    <s v=""/>
    <s v="754286990575"/>
    <s v="02/01/2025 09:42"/>
  </r>
  <r>
    <x v="3"/>
    <x v="8"/>
    <n v="99.75"/>
    <n v="1"/>
    <n v="0"/>
    <s v="EPM70"/>
    <n v="104.75"/>
    <n v="5"/>
    <s v="ร้านที่6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02/01/2025 09:41"/>
    <s v="-"/>
    <s v="Kerry_dropoff"/>
    <s v="Lazada"/>
    <s v="lazada"/>
    <s v=""/>
    <s v="LEXPU0441118992"/>
    <s v="02/01/2025 09:41"/>
  </r>
  <r>
    <x v="1"/>
    <x v="1"/>
    <n v="200"/>
    <n v="1"/>
    <n v="0"/>
    <s v="EPM68"/>
    <n v="200"/>
    <n v="0"/>
    <s v="ร้านที่1"/>
    <s v="k***ะทีป จ***ร์ใหม่"/>
    <s v="นครศรีธรรมราช"/>
    <s v="-"/>
    <s v=""/>
    <s v="02/01/2025 09:39"/>
    <s v="-"/>
    <s v="J&amp;T Express"/>
    <s v="Tiktok"/>
    <s v="tiktok"/>
    <s v=""/>
    <s v="754201393573"/>
    <s v="02/01/2025 09:38"/>
  </r>
  <r>
    <x v="0"/>
    <x v="0"/>
    <n v="100"/>
    <n v="1"/>
    <n v="0"/>
    <s v="EPM67"/>
    <n v="106"/>
    <n v="6"/>
    <s v="ร้านที่1"/>
    <s v="น*** เ***า​  ป***า"/>
    <s v="สมุทรปราการ"/>
    <s v="-"/>
    <s v=""/>
    <s v="02/01/2025 09:37"/>
    <s v="-"/>
    <s v="J&amp;T COD"/>
    <s v="Tiktok"/>
    <s v="จ่ายทีหลัง / COD"/>
    <s v=""/>
    <s v="754213528681"/>
    <s v="02/01/2025 09:38"/>
  </r>
  <r>
    <x v="10"/>
    <x v="10"/>
    <n v="200"/>
    <n v="1"/>
    <n v="0"/>
    <s v="EPM66"/>
    <n v="200"/>
    <n v="0"/>
    <s v="ร้านที่1"/>
    <s v="ด**"/>
    <s v="สมุทรสาคร"/>
    <s v="-"/>
    <s v=""/>
    <s v="02/01/2025 09:35"/>
    <s v="-"/>
    <s v="J&amp;T COD"/>
    <s v="Tiktok"/>
    <s v="จ่ายทีหลัง / COD"/>
    <s v=""/>
    <s v="754288927615"/>
    <s v="02/01/2025 09:35"/>
  </r>
  <r>
    <x v="1"/>
    <x v="1"/>
    <n v="200"/>
    <n v="1"/>
    <n v="0"/>
    <s v="EPM65"/>
    <n v="200"/>
    <n v="0"/>
    <s v="ร้านที่1"/>
    <s v="อ***"/>
    <s v="สมุทรสาคร"/>
    <s v="-"/>
    <s v=""/>
    <s v="02/01/2025 09:34"/>
    <s v="-"/>
    <s v="J&amp;T COD"/>
    <s v="Tiktok"/>
    <s v="จ่ายทีหลัง / COD"/>
    <s v=""/>
    <s v="754283926675"/>
    <s v="02/01/2025 09:34"/>
  </r>
  <r>
    <x v="0"/>
    <x v="0"/>
    <n v="100"/>
    <n v="1"/>
    <n v="0"/>
    <s v="EPM64"/>
    <n v="106"/>
    <n v="6"/>
    <s v="ร้านที่1"/>
    <s v="ค***น โ***รลึก"/>
    <s v="สกลนคร"/>
    <s v="-"/>
    <s v=""/>
    <s v="02/01/2025 09:32"/>
    <s v="-"/>
    <s v="J&amp;T COD"/>
    <s v="Tiktok"/>
    <s v="จ่ายทีหลัง / COD"/>
    <s v=""/>
    <s v="754294126681"/>
    <s v="02/01/2025 09:32"/>
  </r>
  <r>
    <x v="1"/>
    <x v="1"/>
    <n v="200"/>
    <n v="1"/>
    <n v="0"/>
    <s v="EPM63"/>
    <n v="200"/>
    <n v="0"/>
    <s v="ร้านที่2"/>
    <s v="p***haleeseevijai"/>
    <s v="กรุงเทพฯ"/>
    <s v="-"/>
    <s v=""/>
    <s v="02/01/2025 09:31"/>
    <s v="-"/>
    <s v="J&amp;T COD"/>
    <s v="Tiktok"/>
    <s v="จ่ายทีหลัง / COD"/>
    <s v=""/>
    <s v="754285536620"/>
    <s v="02/01/2025 09:31"/>
  </r>
  <r>
    <x v="0"/>
    <x v="0"/>
    <n v="100"/>
    <n v="2"/>
    <n v="0"/>
    <s v="EPM62"/>
    <n v="200"/>
    <n v="0"/>
    <s v="ร้านที่1"/>
    <s v="อ*** พ***พวง แ***"/>
    <s v="ฉะเชิงเทรา"/>
    <s v="-"/>
    <s v=""/>
    <s v="02/01/2025 09:31"/>
    <s v="-"/>
    <s v="J&amp;T COD"/>
    <s v="Tiktok"/>
    <s v="จ่ายทีหลัง / COD"/>
    <s v=""/>
    <s v="754276488512"/>
    <s v="02/01/2025 09:31"/>
  </r>
  <r>
    <x v="29"/>
    <x v="36"/>
    <n v="330"/>
    <n v="1"/>
    <n v="0"/>
    <s v="EPM61"/>
    <n v="330"/>
    <n v="0"/>
    <s v="ร้านที่1"/>
    <s v="น***าวจีรวรรณ บ***าม"/>
    <s v="ประจวบคีรีขันธ์"/>
    <s v="-"/>
    <s v=""/>
    <s v="02/01/2025 09:30"/>
    <s v="-"/>
    <s v="J&amp;T COD"/>
    <s v="Tiktok"/>
    <s v="จ่ายทีหลัง / COD"/>
    <s v=""/>
    <s v="754244314670"/>
    <s v="02/01/2025 09:31"/>
  </r>
  <r>
    <x v="0"/>
    <x v="0"/>
    <n v="100"/>
    <n v="2"/>
    <n v="0"/>
    <s v="EPM59"/>
    <n v="200"/>
    <n v="0"/>
    <s v="ร้านที่4"/>
    <s v="ส***รณี"/>
    <s v="เลย"/>
    <s v="-"/>
    <s v=""/>
    <s v="02/01/2025 09:28"/>
    <s v="-"/>
    <s v="Flash Express Thailand COD"/>
    <s v="Tiktok"/>
    <s v="จ่ายทีหลัง / COD"/>
    <s v=""/>
    <s v="THT39051DS5VJ9Z"/>
    <s v="02/01/2025 09:28"/>
  </r>
  <r>
    <x v="0"/>
    <x v="0"/>
    <n v="100"/>
    <n v="1"/>
    <n v="0"/>
    <s v="EPM58"/>
    <n v="129"/>
    <n v="29"/>
    <s v="ร้านที่1"/>
    <s v="อ***ี ค***ล"/>
    <s v="พิจิตร"/>
    <s v="-"/>
    <s v=""/>
    <s v="02/01/2025 09:26"/>
    <s v="-"/>
    <s v="J&amp;T Express"/>
    <s v="Tiktok"/>
    <s v="tiktok"/>
    <s v=""/>
    <s v="754241406660"/>
    <s v="02/01/2025 09:27"/>
  </r>
  <r>
    <x v="9"/>
    <x v="4"/>
    <n v="100"/>
    <n v="3"/>
    <n v="0"/>
    <s v="EPM57"/>
    <n v="300"/>
    <n v="0"/>
    <s v="ร้านที่1"/>
    <s v="ก*** เ***เพชร์"/>
    <s v="สุพรรณบุรี"/>
    <s v="-"/>
    <s v=""/>
    <s v="02/01/2025 09:24"/>
    <s v="-"/>
    <s v="J&amp;T COD"/>
    <s v="Tiktok"/>
    <s v="จ่ายทีหลัง / COD"/>
    <s v=""/>
    <s v="754252564516"/>
    <s v="02/01/2025 09:25"/>
  </r>
  <r>
    <x v="5"/>
    <x v="5"/>
    <n v="330"/>
    <n v="1"/>
    <n v="0"/>
    <s v="EPM56"/>
    <n v="330"/>
    <n v="0"/>
    <s v="ร้านที่4"/>
    <s v="P a p l e"/>
    <s v="นครศรีธรรมราช"/>
    <s v="-"/>
    <s v=""/>
    <s v="02/01/2025 09:24"/>
    <s v="-"/>
    <s v="Flash Express Thailand COD"/>
    <s v="Tiktok"/>
    <s v="จ่ายทีหลัง / COD"/>
    <s v=""/>
    <s v="THT64011DSHJD2Z"/>
    <s v="02/01/2025 09:25"/>
  </r>
  <r>
    <x v="5"/>
    <x v="5"/>
    <n v="330"/>
    <n v="1"/>
    <n v="0"/>
    <s v="EPM55"/>
    <n v="330"/>
    <n v="0"/>
    <s v="ร้านที่2"/>
    <s v="ป***านุช ค***ะ"/>
    <s v="กาญจนบุรี"/>
    <s v="-"/>
    <s v=""/>
    <s v="02/01/2025 09:21"/>
    <s v="-"/>
    <s v="J&amp;T COD"/>
    <s v="Tiktok"/>
    <s v="จ่ายทีหลัง / COD"/>
    <s v=""/>
    <s v="754243894541"/>
    <s v="02/01/2025 09:21"/>
  </r>
  <r>
    <x v="3"/>
    <x v="8"/>
    <n v="84"/>
    <n v="1"/>
    <n v="0"/>
    <s v="EPM54"/>
    <n v="89"/>
    <n v="5"/>
    <s v="ร้านที่6"/>
    <s v="จุ่ย อังสนา"/>
    <s v="360/1หมู่6ซอยบ้านน้อบพัฒนา(ต,สีคิ้ว)(อ,สีคิ้ว)(จ,นคราสีมา30140 บ้าน_x000a__x000a_สีคิ้ว/ Sikhioนครราชสีมา/ Nakhon Ratchasima_x000a_30140"/>
    <s v="30140"/>
    <s v="660610143939"/>
    <s v="02/01/2025 09:20"/>
    <s v="-"/>
    <s v="Kerry_dropoff"/>
    <s v="Lazada"/>
    <s v="lazada"/>
    <s v=""/>
    <s v="LEXPU0441118262"/>
    <s v="02/01/2025 09:20"/>
  </r>
  <r>
    <x v="5"/>
    <x v="5"/>
    <n v="330"/>
    <n v="1"/>
    <n v="0"/>
    <s v="EPM53"/>
    <n v="330"/>
    <n v="0"/>
    <s v="ร้านที่4"/>
    <s v="ศ***พร"/>
    <s v="นครปฐม"/>
    <s v="-"/>
    <s v=""/>
    <s v="02/01/2025 09:20"/>
    <s v="-"/>
    <s v="Flash Express Thailand"/>
    <s v="Tiktok"/>
    <s v="tiktok"/>
    <s v=""/>
    <s v="THT15071DSHKR6Z"/>
    <s v="02/01/2025 09:19"/>
  </r>
  <r>
    <x v="10"/>
    <x v="10"/>
    <n v="200"/>
    <n v="1"/>
    <n v="0"/>
    <s v="EPM52"/>
    <n v="200"/>
    <n v="0"/>
    <s v="ร้านที่1"/>
    <s v="จ***คนึง  บ***ง"/>
    <s v="แพร่"/>
    <s v="-"/>
    <s v=""/>
    <s v="02/01/2025 09:18"/>
    <s v="-"/>
    <s v="J&amp;T COD"/>
    <s v="Tiktok"/>
    <s v="จ่ายทีหลัง / COD"/>
    <s v=""/>
    <s v="754213019626"/>
    <s v="02/01/2025 09:19"/>
  </r>
  <r>
    <x v="0"/>
    <x v="0"/>
    <n v="100"/>
    <n v="1"/>
    <n v="0"/>
    <s v="EPM51"/>
    <n v="106"/>
    <n v="6"/>
    <s v="ร้านที่4"/>
    <s v="K***ฐพล ท***าย"/>
    <s v="กาญจนบุรี"/>
    <s v="-"/>
    <s v=""/>
    <s v="02/01/2025 09:18"/>
    <s v="-"/>
    <s v="Flash Express Thailand COD"/>
    <s v="Tiktok"/>
    <s v="จ่ายทีหลัง / COD"/>
    <s v=""/>
    <s v="THT13041DSMH12Z"/>
    <s v="02/01/2025 09:18"/>
  </r>
  <r>
    <x v="5"/>
    <x v="5"/>
    <n v="330"/>
    <n v="1"/>
    <n v="0"/>
    <s v="EPM50"/>
    <n v="330"/>
    <n v="0"/>
    <s v="ร้านที่4"/>
    <s v="ช***ชา อ***ันทึก"/>
    <s v="นครราชสีมา"/>
    <s v="-"/>
    <s v=""/>
    <s v="02/01/2025 09:18"/>
    <s v="-"/>
    <s v="Flash Express Thailand COD"/>
    <s v="Tiktok"/>
    <s v="จ่ายทีหลัง / COD"/>
    <s v=""/>
    <s v="THT27201DS4E01Z"/>
    <s v="02/01/2025 09:18"/>
  </r>
  <r>
    <x v="9"/>
    <x v="4"/>
    <n v="100"/>
    <n v="3"/>
    <n v="0"/>
    <s v="EPM49"/>
    <n v="300"/>
    <n v="0"/>
    <s v="ร้านที่2"/>
    <s v="ฐ***มา ถ***วัฒนากูล"/>
    <s v="กาญจนบุรี"/>
    <s v="-"/>
    <s v=""/>
    <s v="02/01/2025 09:15"/>
    <s v="-"/>
    <s v="J&amp;T COD"/>
    <s v="Tiktok"/>
    <s v="จ่ายทีหลัง / COD"/>
    <s v=""/>
    <s v="754258161510"/>
    <s v="02/01/2025 09:15"/>
  </r>
  <r>
    <x v="4"/>
    <x v="4"/>
    <n v="150"/>
    <n v="2"/>
    <n v="0"/>
    <s v="EPM48"/>
    <n v="678"/>
    <n v="58"/>
    <s v="ร้านที่1"/>
    <s v="ภ******้"/>
    <s v="******ปลวกแดง อ.ปลวกแดง จ.ระยอง 21140 ตำบลปลวกแดง อำเภอปลวกแดง จังหวัดระยอง 21140"/>
    <s v="21140"/>
    <s v="11"/>
    <s v="02/01/2025 09:14"/>
    <s v="-"/>
    <s v="SPX Express"/>
    <s v="Shopee"/>
    <s v="shopee"/>
    <s v=""/>
    <s v="TH252607591225M"/>
    <s v="02/01/2025 09:13"/>
  </r>
  <r>
    <x v="12"/>
    <x v="12"/>
    <n v="160"/>
    <n v="2"/>
    <n v="0"/>
    <s v="EPM48"/>
    <n v="678"/>
    <n v="58"/>
    <s v="ร้านที่1"/>
    <s v="ภ******้"/>
    <s v="******ปลวกแดง อ.ปลวกแดง จ.ระยอง 21140 ตำบลปลวกแดง อำเภอปลวกแดง จังหวัดระยอง 21140"/>
    <s v="21140"/>
    <s v="11"/>
    <s v="02/01/2025 09:14"/>
    <s v="-"/>
    <s v="SPX Express"/>
    <s v="Shopee"/>
    <s v="shopee"/>
    <s v=""/>
    <s v="TH252607591225M"/>
    <s v="02/01/2025 09:13"/>
  </r>
  <r>
    <x v="19"/>
    <x v="19"/>
    <n v="197"/>
    <n v="2"/>
    <n v="0"/>
    <s v="EPM47"/>
    <n v="442"/>
    <n v="48"/>
    <s v="ร้านที่2"/>
    <s v="C*t"/>
    <s v="******รถไฟสายใต้ บางซื่อ เขตบางซื่อ แขวงบางซื่อ เขตบางซื่อ จังหวัดกรุงเทพมหานคร 10800"/>
    <s v="10800"/>
    <s v="22"/>
    <s v="02/01/2025 09:14"/>
    <s v="-"/>
    <s v="SPX Express"/>
    <s v="Shopee"/>
    <s v="shopee"/>
    <s v=""/>
    <s v="TH255403218204U"/>
    <s v="02/01/2025 09:13"/>
  </r>
  <r>
    <x v="19"/>
    <x v="19"/>
    <n v="197"/>
    <n v="2"/>
    <n v="0"/>
    <s v="EPM46"/>
    <n v="442"/>
    <n v="48"/>
    <s v="ร้านที่2"/>
    <s v="C*t"/>
    <s v="******รถไฟสายใต้ บางซื่อ เขตบางซื่อ แขวงบางซื่อ เขตบางซื่อ จังหวัดกรุงเทพมหานคร 10800"/>
    <s v="10800"/>
    <s v="22"/>
    <s v="02/01/2025 09:14"/>
    <s v="-"/>
    <s v="SPX Express"/>
    <s v="Shopee"/>
    <s v="shopee"/>
    <s v=""/>
    <s v="TH2587453206719"/>
    <s v="02/01/2025 09:12"/>
  </r>
  <r>
    <x v="5"/>
    <x v="5"/>
    <n v="350"/>
    <n v="1"/>
    <n v="0"/>
    <s v="EPM45"/>
    <n v="350"/>
    <n v="0"/>
    <s v="ร้านที่4"/>
    <s v="ก***์ธีรา ป***อบกิจ"/>
    <s v="ยโสธร"/>
    <s v="-"/>
    <s v=""/>
    <s v="02/01/2025 09:08"/>
    <s v="-"/>
    <s v="Flash Express Thailand COD"/>
    <s v="Tiktok"/>
    <s v="จ่ายทีหลัง / COD"/>
    <s v=""/>
    <s v="THT32021DS4HQ5Z"/>
    <s v="02/01/2025 09:10"/>
  </r>
  <r>
    <x v="10"/>
    <x v="10"/>
    <n v="200"/>
    <n v="2"/>
    <n v="0"/>
    <s v="EPM44"/>
    <n v="400"/>
    <n v="0"/>
    <s v="ร้านที่4"/>
    <s v="ว***า ต***มาก"/>
    <s v="ชลบุรี"/>
    <s v="-"/>
    <s v=""/>
    <s v="02/01/2025 09:05"/>
    <s v="-"/>
    <s v="Flash Express Thailand COD"/>
    <s v="Tiktok"/>
    <s v="จ่ายทีหลัง / COD"/>
    <s v=""/>
    <s v="THT20111DT12Q6Z"/>
    <s v="02/01/2025 09:06"/>
  </r>
  <r>
    <x v="0"/>
    <x v="0"/>
    <n v="100"/>
    <n v="1"/>
    <n v="0"/>
    <s v="EPM42"/>
    <n v="106"/>
    <n v="6"/>
    <s v="ร้านที่1"/>
    <s v="ม***เต๊าะ ด***็ง"/>
    <s v="สงขลา"/>
    <s v="-"/>
    <s v=""/>
    <s v="02/01/2025 09:04"/>
    <s v="-"/>
    <s v="J&amp;T COD"/>
    <s v="Tiktok"/>
    <s v="จ่ายทีหลัง / COD"/>
    <s v=""/>
    <s v="754270807662"/>
    <s v="02/01/2025 09:04"/>
  </r>
  <r>
    <x v="1"/>
    <x v="1"/>
    <n v="200"/>
    <n v="1"/>
    <n v="0"/>
    <s v="EPM40"/>
    <n v="200"/>
    <n v="0"/>
    <s v="ร้านที่1"/>
    <s v="ค***ัญนรา  ซ***ตย์"/>
    <s v="กรุงเทพฯ"/>
    <s v="-"/>
    <s v=""/>
    <s v="02/01/2025 09:02"/>
    <s v="-"/>
    <s v="J&amp;T COD"/>
    <s v="Tiktok"/>
    <s v="จ่ายทีหลัง / COD"/>
    <s v="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"/>
    <s v="754245773573"/>
    <s v="02/01/2025 09:02"/>
  </r>
  <r>
    <x v="10"/>
    <x v="10"/>
    <n v="200"/>
    <n v="2"/>
    <n v="0"/>
    <s v="EPM37"/>
    <n v="400"/>
    <n v="0"/>
    <s v="ร้านที่2"/>
    <s v="อ***รา อ***าทิน"/>
    <s v="พระนครศรีอยุธยา"/>
    <s v="-"/>
    <s v=""/>
    <s v="02/01/2025 08:57"/>
    <s v="-"/>
    <s v="J&amp;T Express"/>
    <s v="Tiktok"/>
    <s v="tiktok"/>
    <s v=""/>
    <s v="754297104643"/>
    <s v="02/01/2025 08:57"/>
  </r>
  <r>
    <x v="2"/>
    <x v="2"/>
    <n v="90.95"/>
    <n v="1"/>
    <n v="0"/>
    <s v="EPM36"/>
    <n v="95.95"/>
    <n v="5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2/01/2025 08:56"/>
    <s v="-"/>
    <s v="Kerry_dropoff"/>
    <s v="Lazada"/>
    <s v="lazada"/>
    <s v=""/>
    <s v="LEXPU0441109381"/>
    <s v="02/01/2025 08:56"/>
  </r>
  <r>
    <x v="1"/>
    <x v="1"/>
    <n v="200"/>
    <n v="1"/>
    <n v="0"/>
    <s v="EPM35"/>
    <n v="200"/>
    <n v="0"/>
    <s v="ร้านที่1"/>
    <s v="ฐ***พร แ***นู"/>
    <s v="เทศบาลนครนครปฐม"/>
    <s v="-"/>
    <s v=""/>
    <s v="02/01/2025 08:56"/>
    <s v="-"/>
    <s v="J&amp;T COD"/>
    <s v="Tiktok"/>
    <s v="จ่ายทีหลัง / COD"/>
    <s v=""/>
    <s v="754296838691"/>
    <s v="02/01/2025 08:56"/>
  </r>
  <r>
    <x v="4"/>
    <x v="4"/>
    <n v="100"/>
    <n v="1"/>
    <n v="0"/>
    <s v="EPM34"/>
    <n v="106"/>
    <n v="6"/>
    <s v="ร้านที่4"/>
    <s v="ก***ร์"/>
    <s v="ฉะเชิงเทรา"/>
    <s v="-"/>
    <s v=""/>
    <s v="02/01/2025 08:55"/>
    <s v="-"/>
    <s v="Flash Express Thailand"/>
    <s v="Tiktok"/>
    <s v="tiktok"/>
    <s v=""/>
    <s v="THT24011DS8508Z"/>
    <s v="02/01/2025 08:55"/>
  </r>
  <r>
    <x v="24"/>
    <x v="76"/>
    <n v="739.4"/>
    <n v="1"/>
    <n v="0"/>
    <s v="EPM33"/>
    <n v="778.4"/>
    <n v="39"/>
    <s v="ร้านที่1"/>
    <s v="สุวรรณี  ธนะนิเวศน์"/>
    <s v="153/273ถนนประชาอุทิศ89/1 · ทุ่งครุ/ Thung Khru_x000a__x000a_ทุ่งครุ/ Thung Khruกรุงเทพมหานคร/ Bangkok_x000a_10140"/>
    <s v="10140"/>
    <s v="660865702067"/>
    <s v="02/01/2025 08:54"/>
    <s v="-"/>
    <s v="Kerry_dropoff"/>
    <s v="Lazada"/>
    <s v="lazada"/>
    <s v=""/>
    <s v="LEXPU0441078622"/>
    <s v="02/01/2025 08:54"/>
  </r>
  <r>
    <x v="0"/>
    <x v="0"/>
    <n v="100"/>
    <n v="2"/>
    <n v="0"/>
    <s v="EPM32"/>
    <n v="200"/>
    <n v="0"/>
    <s v="ร้านที่4"/>
    <s v="ส***ี เ***ูล"/>
    <s v="กาญจนบุรี"/>
    <s v="-"/>
    <s v=""/>
    <s v="02/01/2025 08:53"/>
    <s v="-"/>
    <s v="Flash Express Thailand COD"/>
    <s v="Tiktok"/>
    <s v="จ่ายทีหลัง / COD"/>
    <s v=""/>
    <s v="THT13131DS5TA3Z"/>
    <s v="02/01/2025 08:53"/>
  </r>
  <r>
    <x v="22"/>
    <x v="22"/>
    <n v="130"/>
    <n v="1"/>
    <n v="0"/>
    <s v="EPM31"/>
    <n v="544"/>
    <n v="79"/>
    <s v="ร้านที่1"/>
    <s v="ภ******ย"/>
    <s v="****** #บ้านทุ่งทอง ตำบลลาดบัวขาว อำเภอบ้านโป่ง จังหวัดราชบุรี 70110"/>
    <s v="70110"/>
    <s v="66"/>
    <s v="02/01/2025 08:53"/>
    <s v="-"/>
    <s v="SPX Express"/>
    <s v="Shopee"/>
    <s v="shopee"/>
    <s v=""/>
    <s v="TH257587284910U"/>
    <s v="02/01/2025 08:52"/>
  </r>
  <r>
    <x v="24"/>
    <x v="26"/>
    <n v="739.2"/>
    <n v="1"/>
    <n v="0"/>
    <s v="EPM29"/>
    <n v="803.2"/>
    <n v="64"/>
    <s v="ร้านที่9"/>
    <s v="สุวรรณี  ธนะนิเวศน์"/>
    <s v="153/273ถนนประชาอุทิศ89/1 · ทุ่งครุ/ Thung Khru_x000a__x000a_ทุ่งครุ/ Thung Khruกรุงเทพมหานคร/ Bangkok_x000a_10140"/>
    <s v="10140"/>
    <s v="660865702067"/>
    <s v="02/01/2025 08:47"/>
    <s v="-"/>
    <s v="Kerry_dropoff"/>
    <s v="Lazada"/>
    <s v="lazada"/>
    <s v=""/>
    <s v="LEXDO0123653550"/>
    <s v="02/01/2025 08:47"/>
  </r>
  <r>
    <x v="1"/>
    <x v="1"/>
    <n v="200"/>
    <n v="1"/>
    <n v="0"/>
    <s v="EPM27"/>
    <n v="200"/>
    <n v="0"/>
    <s v="ร้านที่2"/>
    <s v="ย***น  เ***เพชร"/>
    <s v="เพชรบุรี"/>
    <s v="-"/>
    <s v=""/>
    <s v="02/01/2025 08:44"/>
    <s v="-"/>
    <s v="J&amp;T COD"/>
    <s v="Tiktok"/>
    <s v="จ่ายทีหลัง / COD"/>
    <s v=""/>
    <s v="754272334631"/>
    <s v="02/01/2025 08:44"/>
  </r>
  <r>
    <x v="3"/>
    <x v="3"/>
    <n v="100"/>
    <n v="2"/>
    <n v="0"/>
    <s v="EPM25"/>
    <n v="200"/>
    <n v="0"/>
    <s v="ร้านที่2"/>
    <s v="ส******)"/>
    <s v="******นา, อำเภอศรีประจันต์ ตำบลปลายนา อำเภอศรีประจันต์ จังหวัดสุพรรณบุรี 72140"/>
    <s v="72140"/>
    <s v="99"/>
    <s v="02/01/2025 08:48"/>
    <s v="-"/>
    <s v="SPX Express"/>
    <s v="Shopee"/>
    <s v="shopee"/>
    <s v=""/>
    <s v="TH252608856772C"/>
    <s v="02/01/2025 08:42"/>
  </r>
  <r>
    <x v="10"/>
    <x v="10"/>
    <n v="200"/>
    <n v="1"/>
    <n v="0"/>
    <s v="EPM21"/>
    <n v="200"/>
    <n v="0"/>
    <s v="ร้านที่1"/>
    <s v="ภ***นันท์ อ***จิราพงศ์"/>
    <s v="นครปฐม"/>
    <s v="-"/>
    <s v=""/>
    <s v="02/01/2025 08:33"/>
    <s v="-"/>
    <s v="J&amp;T COD"/>
    <s v="Tiktok"/>
    <s v="จ่ายทีหลัง / COD"/>
    <s v=""/>
    <s v="754231013620"/>
    <s v="02/01/2025 08:33"/>
  </r>
  <r>
    <x v="3"/>
    <x v="3"/>
    <n v="150"/>
    <n v="3"/>
    <n v="0"/>
    <s v="EPM19"/>
    <n v="485"/>
    <n v="35"/>
    <s v="ร้านที่1"/>
    <s v="แ*น"/>
    <s v="****** ต.ท้ายบ้านใหม่ ตำบลท้ายบ้านใหม่ อำเภอเมืองสมุทรปราการ จังหวัดสมุทรปราการ 10280"/>
    <s v="10280"/>
    <s v="59"/>
    <s v="02/01/2025 08:32"/>
    <s v="-"/>
    <s v="SPX Express"/>
    <s v="Shopee"/>
    <s v="shopee"/>
    <s v=""/>
    <s v="TH2546289442873"/>
    <s v="02/01/2025 08:32"/>
  </r>
  <r>
    <x v="3"/>
    <x v="3"/>
    <n v="100"/>
    <n v="2"/>
    <n v="0"/>
    <s v="EPM18"/>
    <n v="200"/>
    <n v="0"/>
    <s v="ร้านที่4"/>
    <s v="โ***มา   พ***จจติตร"/>
    <s v="พระนครศรีอยุธยา"/>
    <s v="-"/>
    <s v=""/>
    <s v="02/01/2025 08:29"/>
    <s v="-"/>
    <s v="Flash Express Thailand COD"/>
    <s v="Tiktok"/>
    <s v="จ่ายทีหลัง / COD"/>
    <s v=""/>
    <s v="THT05021DSHN26Z"/>
    <s v="02/01/2025 08:29"/>
  </r>
  <r>
    <x v="1"/>
    <x v="1"/>
    <n v="200"/>
    <n v="1"/>
    <n v="0"/>
    <s v="EPM17"/>
    <n v="200"/>
    <n v="0"/>
    <s v="ร้านที่2"/>
    <s v="น***ล้า เ***ศักดิ์"/>
    <s v="เทศบาลนครนครปฐม"/>
    <s v="-"/>
    <s v=""/>
    <s v="02/01/2025 08:26"/>
    <s v="-"/>
    <s v="J&amp;T COD"/>
    <s v="Tiktok"/>
    <s v="จ่ายทีหลัง / COD"/>
    <s v=""/>
    <s v="754269006632"/>
    <s v="02/01/2025 08:26"/>
  </r>
  <r>
    <x v="0"/>
    <x v="0"/>
    <n v="100"/>
    <n v="1"/>
    <n v="0"/>
    <s v="EPM14"/>
    <n v="200"/>
    <n v="0"/>
    <s v="ร้านที่4"/>
    <s v="จ***พร"/>
    <s v="อำนาจเจริญ"/>
    <s v="-"/>
    <s v=""/>
    <s v="02/01/2025 08:21"/>
    <s v="-"/>
    <s v="Flash Express Thailand"/>
    <s v="Tiktok"/>
    <s v="tiktok"/>
    <s v=""/>
    <s v="THT34011DRTEP5Z"/>
    <s v="02/01/2025 08:21"/>
  </r>
  <r>
    <x v="3"/>
    <x v="3"/>
    <n v="100"/>
    <n v="1"/>
    <n v="0"/>
    <s v="EPM14"/>
    <n v="200"/>
    <n v="0"/>
    <s v="ร้านที่4"/>
    <s v="จ***พร"/>
    <s v="อำนาจเจริญ"/>
    <s v="-"/>
    <s v=""/>
    <s v="02/01/2025 08:21"/>
    <s v="-"/>
    <s v="Flash Express Thailand"/>
    <s v="Tiktok"/>
    <s v="tiktok"/>
    <s v=""/>
    <s v="THT34011DRTEP5Z"/>
    <s v="02/01/2025 08:21"/>
  </r>
  <r>
    <x v="0"/>
    <x v="0"/>
    <n v="100"/>
    <n v="1"/>
    <n v="0"/>
    <s v="EPM13"/>
    <n v="106"/>
    <n v="6"/>
    <s v="ร้านที่1"/>
    <s v="ร***ฟ้า ส***ำ"/>
    <s v="อุดรธานี"/>
    <s v="-"/>
    <s v=""/>
    <s v="02/01/2025 08:19"/>
    <s v="-"/>
    <s v="J&amp;T COD"/>
    <s v="Tiktok"/>
    <s v="จ่ายทีหลัง / COD"/>
    <s v=""/>
    <s v="754240424626"/>
    <s v="02/01/2025 08:19"/>
  </r>
  <r>
    <x v="19"/>
    <x v="19"/>
    <n v="197"/>
    <n v="3"/>
    <n v="0"/>
    <s v="EPM12"/>
    <n v="655"/>
    <n v="64"/>
    <s v="ร้านที่2"/>
    <s v="อ******ก"/>
    <s v="******งหันลมเขาค้อ หมู่7 ตำบลทุ่งสมอ อำเภอเขาค้อ จังหวัดเพชรบูรณ์ 67270"/>
    <s v="67270"/>
    <s v="82"/>
    <s v="02/01/2025 08:19"/>
    <s v="-"/>
    <s v="SPX Express"/>
    <s v="Shopee"/>
    <s v="shopee"/>
    <s v=""/>
    <s v="TH251192070708P"/>
    <s v="02/01/2025 08:19"/>
  </r>
  <r>
    <x v="0"/>
    <x v="0"/>
    <n v="100"/>
    <n v="1"/>
    <n v="0"/>
    <s v="EPM11"/>
    <n v="200"/>
    <n v="0"/>
    <s v="ร้านที่4"/>
    <s v="ค***พ้นท์"/>
    <s v="พิจิตร"/>
    <s v="-"/>
    <s v=""/>
    <s v="02/01/2025 08:17"/>
    <s v="-"/>
    <s v="Flash Express Thailand"/>
    <s v="Tiktok"/>
    <s v="tiktok"/>
    <s v=""/>
    <s v="THT62061DS6D27Z"/>
    <s v="02/01/2025 08:17"/>
  </r>
  <r>
    <x v="9"/>
    <x v="4"/>
    <n v="100"/>
    <n v="1"/>
    <n v="0"/>
    <s v="EPM11"/>
    <n v="200"/>
    <n v="0"/>
    <s v="ร้านที่4"/>
    <s v="ค***พ้นท์"/>
    <s v="พิจิตร"/>
    <s v="-"/>
    <s v=""/>
    <s v="02/01/2025 08:17"/>
    <s v="-"/>
    <s v="Flash Express Thailand"/>
    <s v="Tiktok"/>
    <s v="tiktok"/>
    <s v=""/>
    <s v="THT62061DS6D27Z"/>
    <s v="02/01/2025 08:17"/>
  </r>
  <r>
    <x v="0"/>
    <x v="0"/>
    <n v="100"/>
    <n v="1"/>
    <n v="0"/>
    <s v="EPM10"/>
    <n v="106"/>
    <n v="6"/>
    <s v="ร้านที่4"/>
    <s v="พ***าภรณ์ น***ผล"/>
    <s v="ประจวบคีรีขันธ์"/>
    <s v="-"/>
    <s v=""/>
    <s v="02/01/2025 08:16"/>
    <s v="-"/>
    <s v="Flash Express Thailand COD"/>
    <s v="Tiktok"/>
    <s v="จ่ายทีหลัง / COD"/>
    <s v=""/>
    <s v="THT19081DS71P7Z"/>
    <s v="02/01/2025 08:16"/>
  </r>
  <r>
    <x v="2"/>
    <x v="82"/>
    <n v="100"/>
    <n v="1"/>
    <n v="0"/>
    <s v="EPM8"/>
    <n v="145"/>
    <n v="45"/>
    <s v="ร้านที่4"/>
    <s v="ค***สง -***"/>
    <s v="Chiang Mai"/>
    <s v="-"/>
    <s v=""/>
    <s v="02/01/2025 08:15"/>
    <s v="-"/>
    <s v="Flash Express Thailand COD"/>
    <s v="Tiktok"/>
    <s v="จ่ายทีหลัง / COD"/>
    <s v=""/>
    <s v="THT47131DS70K9Z"/>
    <s v="02/01/2025 08:15"/>
  </r>
  <r>
    <x v="9"/>
    <x v="4"/>
    <n v="100"/>
    <n v="3"/>
    <n v="0"/>
    <s v="EPM6"/>
    <n v="300"/>
    <n v="0"/>
    <s v="ร้านที่4"/>
    <s v="น***ัฒน์  ท***ิกุล"/>
    <s v="เทศบาลนครลำปาง"/>
    <s v="-"/>
    <s v=""/>
    <s v="02/01/2025 08:12"/>
    <s v="-"/>
    <s v="Flash Express Thailand COD"/>
    <s v="Tiktok"/>
    <s v="จ่ายทีหลัง / COD"/>
    <s v=""/>
    <s v="THT49021DSJ7E2Z"/>
    <s v="02/01/2025 08:12"/>
  </r>
  <r>
    <x v="3"/>
    <x v="3"/>
    <n v="100"/>
    <n v="1"/>
    <n v="0"/>
    <s v="EPM4"/>
    <n v="107"/>
    <n v="7"/>
    <s v="ร้านที่2"/>
    <s v="ว******ว"/>
    <s v="******ลนาเหรง อำเภอนบพิตำ จังหวัดนครศรีธรรมราช 80160"/>
    <s v="80160"/>
    <s v="38"/>
    <s v="02/01/2025 08:41"/>
    <s v="-"/>
    <s v="SPX Express"/>
    <s v="Shopee"/>
    <s v="shopee"/>
    <s v=""/>
    <s v="TH250188715061X"/>
    <s v="02/01/2025 08:11"/>
  </r>
  <r>
    <x v="9"/>
    <x v="4"/>
    <n v="150"/>
    <n v="2"/>
    <n v="0"/>
    <s v="EPM3"/>
    <n v="773"/>
    <n v="75"/>
    <s v="ร้านที่1"/>
    <s v="ม******ี"/>
    <s v="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"/>
    <s v="50300"/>
    <s v="39"/>
    <s v="02/01/2025 08:10"/>
    <s v="-"/>
    <s v="SPX Express"/>
    <s v="Shopee"/>
    <s v="shopee"/>
    <s v=""/>
    <s v="TH2566653194433"/>
    <s v="02/01/2025 08:10"/>
  </r>
  <r>
    <x v="19"/>
    <x v="19"/>
    <n v="199"/>
    <n v="2"/>
    <n v="0"/>
    <s v="EPM3"/>
    <n v="773"/>
    <n v="75"/>
    <s v="ร้านที่1"/>
    <s v="ม******ี"/>
    <s v="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"/>
    <s v="50300"/>
    <s v="39"/>
    <s v="02/01/2025 08:10"/>
    <s v="-"/>
    <s v="SPX Express"/>
    <s v="Shopee"/>
    <s v="shopee"/>
    <s v=""/>
    <s v="TH2566653194433"/>
    <s v="02/01/2025 08:10"/>
  </r>
  <r>
    <x v="4"/>
    <x v="4"/>
    <n v="150"/>
    <n v="3"/>
    <n v="0"/>
    <s v="EPM1"/>
    <n v="923"/>
    <n v="75"/>
    <s v="ร้านที่1"/>
    <s v="ส******ย"/>
    <s v="******.โบสถ์ ตำบลโบสถ์ อำเภอพิมาย จังหวัดนครราชสีมา 30110"/>
    <s v="30110"/>
    <s v="87"/>
    <s v="02/01/2025 08:08"/>
    <s v="-"/>
    <s v="SPX Express"/>
    <s v="Shopee"/>
    <s v="shopee"/>
    <s v=""/>
    <s v="TH259102398541A"/>
    <s v="02/01/2025 08:08"/>
  </r>
  <r>
    <x v="19"/>
    <x v="19"/>
    <n v="199"/>
    <n v="2"/>
    <n v="0"/>
    <s v="EPM1"/>
    <n v="923"/>
    <n v="75"/>
    <s v="ร้านที่1"/>
    <s v="ส******ย"/>
    <s v="******.โบสถ์ ตำบลโบสถ์ อำเภอพิมาย จังหวัดนครราชสีมา 30110"/>
    <s v="30110"/>
    <s v="87"/>
    <s v="02/01/2025 08:08"/>
    <s v="-"/>
    <s v="SPX Express"/>
    <s v="Shopee"/>
    <s v="shopee"/>
    <s v=""/>
    <s v="TH259102398541A"/>
    <s v="02/01/2025 08:08"/>
  </r>
  <r>
    <x v="4"/>
    <x v="4"/>
    <n v="100"/>
    <n v="2"/>
    <n v="0"/>
    <s v="EPL97"/>
    <n v="206"/>
    <n v="6"/>
    <s v="ร้านที่4"/>
    <s v="ว***สรร ส***ง"/>
    <s v="Bangkok"/>
    <s v="-"/>
    <s v=""/>
    <s v="02/01/2025 08:04"/>
    <s v="-"/>
    <s v="Flash Express Thailand"/>
    <s v="Tiktok"/>
    <s v="tiktok"/>
    <s v=""/>
    <s v="THT01301DRWME7Z"/>
    <s v="02/01/2025 08:04"/>
  </r>
  <r>
    <x v="35"/>
    <x v="46"/>
    <n v="100"/>
    <n v="2"/>
    <n v="0"/>
    <s v="EPL96"/>
    <n v="200"/>
    <n v="0"/>
    <s v="ร้านที่1"/>
    <s v="ภ***ล ป***มวงษ์"/>
    <s v="จันทบุรี"/>
    <s v="-"/>
    <s v=""/>
    <s v="02/01/2025 08:01"/>
    <s v="-"/>
    <s v="J&amp;T Express"/>
    <s v="Tiktok"/>
    <s v="tiktok"/>
    <s v=""/>
    <s v="754236005692"/>
    <s v="02/01/2025 08:01"/>
  </r>
  <r>
    <x v="59"/>
    <x v="84"/>
    <n v="100"/>
    <n v="1"/>
    <n v="0"/>
    <s v="EPL95"/>
    <n v="125"/>
    <n v="25"/>
    <s v="ร้านที่1"/>
    <s v="ด***นก ต***พันธ์"/>
    <s v="นครปฐม"/>
    <s v="-"/>
    <s v=""/>
    <s v="02/01/2025 08:00"/>
    <s v="-"/>
    <s v="J&amp;T COD"/>
    <s v="Tiktok"/>
    <s v="จ่ายทีหลัง / COD"/>
    <s v=""/>
    <s v="754244009691"/>
    <s v="02/01/2025 08:01"/>
  </r>
  <r>
    <x v="17"/>
    <x v="17"/>
    <n v="800"/>
    <n v="1"/>
    <n v="0"/>
    <s v="EPL94"/>
    <n v="800"/>
    <n v="0"/>
    <s v="ร้านที่4"/>
    <s v="ก***า ศ***ะนัน"/>
    <s v="กรุงเทพฯ"/>
    <s v="-"/>
    <s v=""/>
    <s v="02/01/2025 07:59"/>
    <s v="-"/>
    <s v="Flash Express Thailand COD"/>
    <s v="Tiktok"/>
    <s v="จ่ายทีหลัง / COD"/>
    <s v=""/>
    <s v="THT01231DS5FY8Z"/>
    <s v="02/01/2025 07:59"/>
  </r>
  <r>
    <x v="0"/>
    <x v="0"/>
    <n v="100"/>
    <n v="1"/>
    <n v="0"/>
    <s v="EPL92"/>
    <n v="199"/>
    <n v="0"/>
    <s v="ร้านที่4"/>
    <s v="ก***า ท***ามดี"/>
    <s v="พระนครศรีอยุธยา"/>
    <s v="-"/>
    <s v=""/>
    <s v="02/01/2025 07:58"/>
    <s v="-"/>
    <s v="Flash Express Thailand COD"/>
    <s v="Tiktok"/>
    <s v="จ่ายทีหลัง / COD"/>
    <s v=""/>
    <s v="THT05061DRTBJ3Z"/>
    <s v="02/01/2025 07:59"/>
  </r>
  <r>
    <x v="9"/>
    <x v="4"/>
    <n v="100"/>
    <n v="2"/>
    <n v="0"/>
    <s v="EPL91"/>
    <n v="364"/>
    <n v="64"/>
    <s v="ร้านที่1"/>
    <s v="น**  ส***นทา  น***ศ"/>
    <s v="สมุทรปราการ"/>
    <s v="-"/>
    <s v=""/>
    <s v="02/01/2025 07:58"/>
    <s v="-"/>
    <s v="J&amp;T Express"/>
    <s v="Tiktok"/>
    <s v="tiktok"/>
    <s v=""/>
    <s v="754249128603"/>
    <s v="02/01/2025 07:57"/>
  </r>
  <r>
    <x v="4"/>
    <x v="4"/>
    <n v="100"/>
    <n v="1"/>
    <n v="0"/>
    <s v="EPL91"/>
    <n v="364"/>
    <n v="64"/>
    <s v="ร้านที่1"/>
    <s v="น**  ส***นทา  น***ศ"/>
    <s v="สมุทรปราการ"/>
    <s v="-"/>
    <s v=""/>
    <s v="02/01/2025 07:58"/>
    <s v="-"/>
    <s v="J&amp;T Express"/>
    <s v="Tiktok"/>
    <s v="tiktok"/>
    <s v=""/>
    <s v="754249128603"/>
    <s v="02/01/2025 07:57"/>
  </r>
  <r>
    <x v="33"/>
    <x v="43"/>
    <n v="330"/>
    <n v="1"/>
    <n v="0"/>
    <s v="EPL88"/>
    <n v="450"/>
    <n v="0"/>
    <s v="ร้านที่4"/>
    <s v="พ***ิจ"/>
    <s v="กรุงเทพมหานคร"/>
    <s v="-"/>
    <s v=""/>
    <s v="02/01/2025 07:52"/>
    <s v="-"/>
    <s v="Flash Express Thailand COD"/>
    <s v="Tiktok"/>
    <s v="จ่ายทีหลัง / COD"/>
    <s v=""/>
    <s v="THT01431DS6EJ7Z"/>
    <s v="02/01/2025 07:52"/>
  </r>
  <r>
    <x v="61"/>
    <x v="87"/>
    <n v="120"/>
    <n v="1"/>
    <n v="0"/>
    <s v="EPL88"/>
    <n v="450"/>
    <n v="0"/>
    <s v="ร้านที่4"/>
    <s v="พ***ิจ"/>
    <s v="กรุงเทพมหานคร"/>
    <s v="-"/>
    <s v=""/>
    <s v="02/01/2025 07:52"/>
    <s v="-"/>
    <s v="Flash Express Thailand COD"/>
    <s v="Tiktok"/>
    <s v="จ่ายทีหลัง / COD"/>
    <s v=""/>
    <s v="THT01431DS6EJ7Z"/>
    <s v="02/01/2025 07:52"/>
  </r>
  <r>
    <x v="5"/>
    <x v="5"/>
    <n v="350"/>
    <n v="1"/>
    <n v="0"/>
    <s v="EPL86"/>
    <n v="350"/>
    <n v="0"/>
    <s v="ร้านที่4"/>
    <s v="น***าวพรกนก  ข***ทัศน์"/>
    <s v="ร้อยเอ็ด"/>
    <s v="-"/>
    <s v=""/>
    <s v="02/01/2025 07:51"/>
    <s v="-"/>
    <s v="Flash Express Thailand COD"/>
    <s v="Tiktok"/>
    <s v="จ่ายทีหลัง / COD"/>
    <s v=""/>
    <s v="THT42011DS4KQ7Z"/>
    <s v="02/01/2025 07:51"/>
  </r>
  <r>
    <x v="1"/>
    <x v="1"/>
    <n v="200"/>
    <n v="1"/>
    <n v="0"/>
    <s v="EPL84"/>
    <n v="200"/>
    <n v="0"/>
    <s v="ร้านที่1"/>
    <s v="พ***ินทร์ ก***จริญ"/>
    <s v="ปราจีนบุรี"/>
    <s v="-"/>
    <s v=""/>
    <s v="02/01/2025 07:51"/>
    <s v="-"/>
    <s v="J&amp;T Express"/>
    <s v="Tiktok"/>
    <s v="tiktok"/>
    <s v=""/>
    <s v="754249321604"/>
    <s v="02/01/2025 07:49"/>
  </r>
  <r>
    <x v="5"/>
    <x v="5"/>
    <n v="350"/>
    <n v="1"/>
    <n v="0"/>
    <s v="EPL82"/>
    <n v="350"/>
    <n v="0"/>
    <s v="ร้านที่4"/>
    <s v="ต*** ต***"/>
    <s v="กรุงเทพฯ"/>
    <s v="-"/>
    <s v=""/>
    <s v="02/01/2025 07:44"/>
    <s v="-"/>
    <s v="Flash Express Thailand COD"/>
    <s v="Tiktok"/>
    <s v="จ่ายทีหลัง / COD"/>
    <s v=""/>
    <s v="THT01211DS4MH1Z"/>
    <s v="02/01/2025 07:44"/>
  </r>
  <r>
    <x v="4"/>
    <x v="4"/>
    <n v="100"/>
    <n v="1"/>
    <n v="0"/>
    <s v="EPL80"/>
    <n v="100"/>
    <n v="0"/>
    <s v="ร้านที่1"/>
    <s v="ส***ดา ส***บุญชู"/>
    <s v="สมุทรสาคร"/>
    <s v="-"/>
    <s v=""/>
    <s v="02/01/2025 07:33"/>
    <s v="-"/>
    <s v="J&amp;T COD"/>
    <s v="Tiktok"/>
    <s v="จ่ายทีหลัง / COD"/>
    <s v=""/>
    <s v="754288700675"/>
    <s v="02/01/2025 07:33"/>
  </r>
  <r>
    <x v="1"/>
    <x v="1"/>
    <n v="200"/>
    <n v="1"/>
    <n v="0"/>
    <s v="EPL79"/>
    <n v="200"/>
    <n v="0"/>
    <s v="ร้านที่2"/>
    <s v="ด***จ ด***ิม"/>
    <s v="เทศบาลเมืองบุรีรัมย์"/>
    <s v="-"/>
    <s v=""/>
    <s v="02/01/2025 07:32"/>
    <s v="-"/>
    <s v="J&amp;T COD"/>
    <s v="Tiktok"/>
    <s v="จ่ายทีหลัง / COD"/>
    <s v=""/>
    <s v="754274033612"/>
    <s v="02/01/2025 07:33"/>
  </r>
  <r>
    <x v="0"/>
    <x v="0"/>
    <n v="100"/>
    <n v="1"/>
    <n v="0"/>
    <s v="EPL77"/>
    <n v="100"/>
    <n v="0"/>
    <s v="ร้านที่2"/>
    <s v="ส*** ห***จันทร์"/>
    <s v="สระบุรี"/>
    <s v="-"/>
    <s v=""/>
    <s v="02/01/2025 07:31"/>
    <s v="-"/>
    <s v="J&amp;T Express"/>
    <s v="Tiktok"/>
    <s v="tiktok"/>
    <s v=""/>
    <s v="754278027602"/>
    <s v="02/01/2025 07:31"/>
  </r>
  <r>
    <x v="18"/>
    <x v="18"/>
    <n v="139.5"/>
    <n v="1"/>
    <n v="0"/>
    <s v="EPL76"/>
    <n v="144.5"/>
    <n v="5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02/01/2025 07:30"/>
    <s v="-"/>
    <s v="Kerry_dropoff"/>
    <s v="Lazada"/>
    <s v="lazada"/>
    <s v=""/>
    <s v="LEXPU0441088729"/>
    <s v="02/01/2025 07:30"/>
  </r>
  <r>
    <x v="32"/>
    <x v="47"/>
    <n v="152.15"/>
    <n v="1"/>
    <n v="0"/>
    <s v="EPL75"/>
    <n v="157.15"/>
    <n v="5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2/01/2025 07:29"/>
    <s v="-"/>
    <s v="Kerry_dropoff"/>
    <s v="Lazada"/>
    <s v="lazada"/>
    <s v=""/>
    <s v="LEXPU0441071979"/>
    <s v="02/01/2025 07:29"/>
  </r>
  <r>
    <x v="33"/>
    <x v="43"/>
    <n v="330"/>
    <n v="1"/>
    <n v="0"/>
    <s v="EPL72"/>
    <n v="330"/>
    <n v="0"/>
    <s v="ร้านที่4"/>
    <s v="ก***า ศ***ะนัน"/>
    <s v="กรุงเทพฯ"/>
    <s v="-"/>
    <s v=""/>
    <s v="02/01/2025 07:21"/>
    <s v="-"/>
    <s v="Flash Express Thailand COD"/>
    <s v="Tiktok"/>
    <s v="จ่ายทีหลัง / COD"/>
    <s v=""/>
    <s v="THT01231DS3BQ7Z"/>
    <s v="02/01/2025 07:23"/>
  </r>
  <r>
    <x v="33"/>
    <x v="43"/>
    <n v="330"/>
    <n v="2"/>
    <n v="0"/>
    <s v="EPL71"/>
    <n v="660"/>
    <n v="0"/>
    <s v="ร้านที่4"/>
    <s v="ข***ชนก  เ***ันฑ์"/>
    <s v="กำแพงเพชร"/>
    <s v="-"/>
    <s v=""/>
    <s v="02/01/2025 07:20"/>
    <s v="-"/>
    <s v="Flash Express Thailand COD"/>
    <s v="Tiktok"/>
    <s v="จ่ายทีหลัง / COD"/>
    <s v=""/>
    <s v="THT58041DS4BZ3Z"/>
    <s v="02/01/2025 07:23"/>
  </r>
  <r>
    <x v="5"/>
    <x v="5"/>
    <n v="350"/>
    <n v="1"/>
    <n v="0"/>
    <s v="EPL68"/>
    <n v="350"/>
    <n v="0"/>
    <s v="ร้านที่4"/>
    <s v="ช***พร"/>
    <s v="ระยอง"/>
    <s v="-"/>
    <s v=""/>
    <s v="02/01/2025 07:17"/>
    <s v="-"/>
    <s v="Flash Express Thailand COD"/>
    <s v="Tiktok"/>
    <s v="จ่ายทีหลัง / COD"/>
    <s v=""/>
    <s v="THT21011DS1FZ3Z"/>
    <s v="02/01/2025 07:17"/>
  </r>
  <r>
    <x v="19"/>
    <x v="19"/>
    <n v="197"/>
    <n v="2"/>
    <n v="0"/>
    <s v="EPL66"/>
    <n v="447"/>
    <n v="58"/>
    <s v="ร้านที่2"/>
    <s v="ส******ณ"/>
    <s v="******าชธานี 34000 ตำบลหนองบ่อ อำเภอเมืองอุบลราชธานี จังหวัดอุบลราชธานี 34000"/>
    <s v="34000"/>
    <s v="59"/>
    <s v="02/01/2025 06:48"/>
    <s v="-"/>
    <s v="Flash Express"/>
    <s v="Shopee"/>
    <s v="shopee"/>
    <s v=""/>
    <s v="TH31016N6Z1T1G"/>
    <s v="02/01/2025 06:48"/>
  </r>
  <r>
    <x v="3"/>
    <x v="3"/>
    <n v="100"/>
    <n v="1"/>
    <n v="0"/>
    <s v="EPL64"/>
    <n v="106"/>
    <n v="6"/>
    <s v="ร้านที่1"/>
    <s v="ศ***ุทธ  จ***พงษ์"/>
    <s v="เทศบาลเมืองยโสธร"/>
    <s v="-"/>
    <s v=""/>
    <s v="02/01/2025 06:41"/>
    <s v="-"/>
    <s v="J&amp;T Express"/>
    <s v="Tiktok"/>
    <s v="tiktok"/>
    <s v=""/>
    <s v="754289736340"/>
    <s v="02/01/2025 06:41"/>
  </r>
  <r>
    <x v="10"/>
    <x v="10"/>
    <n v="200"/>
    <n v="1"/>
    <n v="0"/>
    <s v="EPL63"/>
    <n v="200"/>
    <n v="0"/>
    <s v="ร้านที่1"/>
    <s v="ช***า"/>
    <s v="พระนครศรีอยุธยา"/>
    <s v="-"/>
    <s v=""/>
    <s v="02/01/2025 06:32"/>
    <s v="-"/>
    <s v="J&amp;T COD"/>
    <s v="Tiktok"/>
    <s v="จ่ายทีหลัง / COD"/>
    <s v=""/>
    <s v="754283632373"/>
    <s v="02/01/2025 06:32"/>
  </r>
  <r>
    <x v="50"/>
    <x v="88"/>
    <n v="700"/>
    <n v="1"/>
    <n v="0"/>
    <s v="EPL61"/>
    <n v="741"/>
    <n v="41"/>
    <s v="ร้านที่1"/>
    <s v="ป******์"/>
    <s v="******วลโกร, เลขที่ 78/1, หมู่ที่ 5 ตำบลบางสมัคร อำเภอบางปะกง จังหวัดฉะเชิงเทรา 24180"/>
    <s v="24180"/>
    <s v="91"/>
    <s v="02/01/2025 06:22"/>
    <s v="-"/>
    <s v="SPX Express"/>
    <s v="Shopee"/>
    <s v="shopee"/>
    <s v=""/>
    <s v="TH256955344883S"/>
    <s v="02/01/2025 06:21"/>
  </r>
  <r>
    <x v="10"/>
    <x v="10"/>
    <n v="200"/>
    <n v="1"/>
    <n v="0"/>
    <s v="EPL60"/>
    <n v="200"/>
    <n v="0"/>
    <s v="ร้านที่1"/>
    <s v="ก***นี ร***ิติวิริยะ"/>
    <s v="แพร่"/>
    <s v="-"/>
    <s v=""/>
    <s v="02/01/2025 06:21"/>
    <s v="-"/>
    <s v="J&amp;T Express"/>
    <s v="Tiktok"/>
    <s v="tiktok"/>
    <s v=""/>
    <s v="754293635373"/>
    <s v="02/01/2025 06:21"/>
  </r>
  <r>
    <x v="5"/>
    <x v="5"/>
    <n v="350"/>
    <n v="1"/>
    <n v="0"/>
    <s v="EPL59"/>
    <n v="350"/>
    <n v="0"/>
    <s v="ร้านที่4"/>
    <s v="น** อ***มา  แ***ขาว"/>
    <s v="เทศบาลนครสุราษฎร์ธานี"/>
    <s v="-"/>
    <s v=""/>
    <s v="02/01/2025 06:09"/>
    <s v="-"/>
    <s v="Flash Express Thailand COD"/>
    <s v="Tiktok"/>
    <s v="จ่ายทีหลัง / COD"/>
    <s v=""/>
    <s v="THT68031DPEQJ8Z"/>
    <s v="02/01/2025 06:09"/>
  </r>
  <r>
    <x v="10"/>
    <x v="10"/>
    <n v="200"/>
    <n v="1"/>
    <n v="0"/>
    <s v="EPL57"/>
    <n v="200"/>
    <n v="0"/>
    <s v="ร้านที่1"/>
    <s v="อ***ยา เ***สะและ"/>
    <s v="กรุงเทพฯ"/>
    <s v="-"/>
    <s v=""/>
    <s v="02/01/2025 06:06"/>
    <s v="-"/>
    <s v="J&amp;T COD"/>
    <s v="Tiktok"/>
    <s v="จ่ายทีหลัง / COD"/>
    <s v=""/>
    <s v="754270939306"/>
    <s v="02/01/2025 06:06"/>
  </r>
  <r>
    <x v="1"/>
    <x v="1"/>
    <n v="200"/>
    <n v="1"/>
    <n v="0"/>
    <s v="EPL55"/>
    <n v="200"/>
    <n v="0"/>
    <s v="ร้านที่1"/>
    <s v="ก***ินันท์ ช***ฒน์กุลภัค"/>
    <s v="นนทบุรี"/>
    <s v="-"/>
    <s v=""/>
    <s v="02/01/2025 05:51"/>
    <s v="-"/>
    <s v="J&amp;T COD"/>
    <s v="Tiktok"/>
    <s v="จ่ายทีหลัง / COD"/>
    <s v=""/>
    <s v="754220608341"/>
    <s v="02/01/2025 05:51"/>
  </r>
  <r>
    <x v="18"/>
    <x v="18"/>
    <n v="117.04"/>
    <n v="1"/>
    <n v="0"/>
    <s v="EPL54"/>
    <n v="239.08"/>
    <n v="5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2/01/2025 05:24"/>
    <s v="-"/>
    <s v="Kerry_dropoff"/>
    <s v="Lazada"/>
    <s v="lazada"/>
    <s v=""/>
    <s v="LEXPU0440649370"/>
    <s v="02/01/2025 05:24"/>
  </r>
  <r>
    <x v="18"/>
    <x v="18"/>
    <n v="117.04"/>
    <n v="1"/>
    <n v="0"/>
    <s v="EPL54"/>
    <n v="239.08"/>
    <n v="5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2/01/2025 05:24"/>
    <s v="-"/>
    <s v="Kerry_dropoff"/>
    <s v="Lazada"/>
    <s v="lazada"/>
    <s v=""/>
    <s v="LEXPU0440649370"/>
    <s v="02/01/2025 05:24"/>
  </r>
  <r>
    <x v="14"/>
    <x v="14"/>
    <n v="74.400000000000006"/>
    <n v="1"/>
    <n v="0"/>
    <s v="EPL53"/>
    <n v="98.4"/>
    <n v="24"/>
    <s v="ร้านที่1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02/01/2025 05:16"/>
    <s v="-"/>
    <s v="Kerry_dropoff"/>
    <s v="Lazada"/>
    <s v="lazada"/>
    <s v=""/>
    <s v="TH27106N68U20A"/>
    <s v="02/01/2025 05:15"/>
  </r>
  <r>
    <x v="3"/>
    <x v="8"/>
    <n v="105"/>
    <n v="1"/>
    <n v="0"/>
    <s v="EPL52"/>
    <n v="110"/>
    <n v="5"/>
    <s v="ร้านที่6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02/01/2025 05:03"/>
    <s v="-"/>
    <s v="Kerry_dropoff"/>
    <s v="Lazada"/>
    <s v="lazada"/>
    <s v=""/>
    <s v="TH27106N6A4Z9A"/>
    <s v="02/01/2025 05:02"/>
  </r>
  <r>
    <x v="9"/>
    <x v="4"/>
    <n v="100"/>
    <n v="2"/>
    <n v="0"/>
    <s v="EPL51"/>
    <n v="200"/>
    <n v="0"/>
    <s v="ร้านที่1"/>
    <s v="พ***ก๋ บ***เคราฤาษี"/>
    <s v="นครศรีธรรมราช"/>
    <s v="-"/>
    <s v=""/>
    <s v="02/01/2025 04:52"/>
    <s v="-"/>
    <s v="J&amp;T COD"/>
    <s v="Tiktok"/>
    <s v="จ่ายทีหลัง / COD"/>
    <s v=""/>
    <s v="754249876203"/>
    <s v="02/01/2025 04:52"/>
  </r>
  <r>
    <x v="19"/>
    <x v="19"/>
    <n v="199"/>
    <n v="2"/>
    <n v="0"/>
    <s v="EPL50"/>
    <n v="398"/>
    <n v="0"/>
    <s v="ร้านที่1"/>
    <s v="ศ******)"/>
    <s v="******เชียงใหม่-ลำพูน, ตำบล สารภี ตำบลสารภี อำเภอสารภี จังหวัดเชียงใหม่ 50140"/>
    <s v="50140"/>
    <s v="91"/>
    <s v="02/01/2025 04:42"/>
    <s v="-"/>
    <s v="Flash Express"/>
    <s v="Shopee"/>
    <s v="shopee"/>
    <s v=""/>
    <s v="TH47196N6Z893B"/>
    <s v="02/01/2025 04:42"/>
  </r>
  <r>
    <x v="24"/>
    <x v="76"/>
    <n v="510"/>
    <n v="1"/>
    <n v="0"/>
    <s v="EPL48"/>
    <n v="589"/>
    <n v="79"/>
    <s v="ร้านที่1"/>
    <s v="กชณัช ทองคำพงษ์"/>
    <s v="456/36 ม.10 ต.ทุ่งสุขลา_x000a__x000a_ศรีราชา/ Si Rachaชลบุรี/ Chonburi_x000a_20230"/>
    <s v="20230"/>
    <s v="660661247886"/>
    <s v="02/01/2025 04:39"/>
    <s v="-"/>
    <s v="Kerry_dropoff"/>
    <s v="Lazada"/>
    <s v="lazada"/>
    <s v=""/>
    <s v="LEXPU0440643922"/>
    <s v="02/01/2025 04:39"/>
  </r>
  <r>
    <x v="19"/>
    <x v="19"/>
    <n v="199"/>
    <n v="3"/>
    <n v="0"/>
    <s v="EPL47"/>
    <n v="672"/>
    <n v="75"/>
    <s v="ร้านที่1"/>
    <s v="ค******​"/>
    <s v="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"/>
    <s v="80000"/>
    <s v="31"/>
    <s v="02/01/2025 04:26"/>
    <s v="-"/>
    <s v="SPX Express"/>
    <s v="Shopee"/>
    <s v="shopee"/>
    <s v=""/>
    <s v="TH255912801473K"/>
    <s v="02/01/2025 04:26"/>
  </r>
  <r>
    <x v="19"/>
    <x v="19"/>
    <n v="199"/>
    <n v="2"/>
    <n v="0"/>
    <s v="EPL46"/>
    <n v="433"/>
    <n v="35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4:42"/>
    <s v="-"/>
    <s v="SPX Express"/>
    <s v="Shopee"/>
    <s v="shopee"/>
    <s v=""/>
    <s v="TH259879711404N"/>
    <s v="02/01/2025 04:09"/>
  </r>
  <r>
    <x v="1"/>
    <x v="1"/>
    <n v="200"/>
    <n v="1"/>
    <n v="0"/>
    <s v="EPL45"/>
    <n v="200"/>
    <n v="0"/>
    <s v="ร้านที่1"/>
    <s v="ศ***วรรณ แ***อู๋"/>
    <s v="กรุงเทพมหานคร"/>
    <s v="-"/>
    <s v=""/>
    <s v="02/01/2025 03:31"/>
    <s v="-"/>
    <s v="J&amp;T COD"/>
    <s v="Tiktok"/>
    <s v="จ่ายทีหลัง / COD"/>
    <s v=""/>
    <s v="754276204345"/>
    <s v="02/01/2025 03:31"/>
  </r>
  <r>
    <x v="19"/>
    <x v="19"/>
    <n v="199"/>
    <n v="1"/>
    <n v="0"/>
    <s v="EPL44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3:57"/>
    <s v="-"/>
    <s v="SPX Express"/>
    <s v="Shopee"/>
    <s v="shopee"/>
    <s v=""/>
    <s v="TH2526027806535"/>
    <s v="02/01/2025 03:27"/>
  </r>
  <r>
    <x v="19"/>
    <x v="19"/>
    <n v="199"/>
    <n v="1"/>
    <n v="0"/>
    <s v="EPL43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5 03:56"/>
    <s v="-"/>
    <s v="SPX Express"/>
    <s v="Shopee"/>
    <s v="shopee"/>
    <s v=""/>
    <s v="TH259612076342U"/>
    <s v="02/01/2025 03:26"/>
  </r>
  <r>
    <x v="4"/>
    <x v="4"/>
    <n v="100"/>
    <n v="2"/>
    <n v="0"/>
    <s v="EPL42"/>
    <n v="200"/>
    <n v="0"/>
    <s v="ร้านที่1"/>
    <s v="เ***า      น***ัด"/>
    <s v="ลพบุรี"/>
    <s v="-"/>
    <s v=""/>
    <s v="02/01/2025 03:13"/>
    <s v="-"/>
    <s v="J&amp;T Express"/>
    <s v="Tiktok"/>
    <s v="tiktok"/>
    <s v=""/>
    <s v="754256208300"/>
    <s v="02/01/2025 03:13"/>
  </r>
  <r>
    <x v="9"/>
    <x v="4"/>
    <n v="141"/>
    <n v="1"/>
    <n v="0"/>
    <s v="EPL41"/>
    <n v="333.5"/>
    <n v="5"/>
    <s v="ร้านที่1"/>
    <s v="นางสาวโศรยา โสต้อง"/>
    <s v="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_x000a__x000a_เมืองกระบี่/ Mueang Krabiกระบี่/ Krabi_x000a_81000"/>
    <s v="81000"/>
    <s v="660957649123"/>
    <s v="02/01/2025 02:40"/>
    <s v="-"/>
    <s v="Kerry_dropoff"/>
    <s v="Lazada"/>
    <s v="lazada"/>
    <s v=""/>
    <s v="LEXPU0440647638"/>
    <s v="02/01/2025 02:40"/>
  </r>
  <r>
    <x v="3"/>
    <x v="3"/>
    <n v="141.5"/>
    <n v="1"/>
    <n v="0"/>
    <s v="EPL41"/>
    <n v="333.5"/>
    <n v="5"/>
    <s v="ร้านที่1"/>
    <s v="นางสาวโศรยา โสต้อง"/>
    <s v="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_x000a__x000a_เมืองกระบี่/ Mueang Krabiกระบี่/ Krabi_x000a_81000"/>
    <s v="81000"/>
    <s v="660957649123"/>
    <s v="02/01/2025 02:40"/>
    <s v="-"/>
    <s v="Kerry_dropoff"/>
    <s v="Lazada"/>
    <s v="lazada"/>
    <s v=""/>
    <s v="LEXPU0440647638"/>
    <s v="02/01/2025 02:40"/>
  </r>
  <r>
    <x v="7"/>
    <x v="7"/>
    <n v="71.78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24"/>
    <x v="76"/>
    <n v="672.9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34"/>
    <x v="45"/>
    <n v="403.7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34"/>
    <x v="45"/>
    <n v="403.79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"/>
    <x v="1"/>
    <n v="224.32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"/>
    <x v="1"/>
    <n v="224.33"/>
    <n v="1"/>
    <n v="0"/>
    <s v="EPL40"/>
    <n v="2095"/>
    <n v="9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2/01/2025 02:37"/>
    <s v="-"/>
    <s v="Kerry_dropoff"/>
    <s v="Lazada"/>
    <s v="lazada"/>
    <s v=""/>
    <s v="LEXPU0440637941"/>
    <s v="02/01/2025 02:37"/>
  </r>
  <r>
    <x v="13"/>
    <x v="30"/>
    <n v="173.25"/>
    <n v="1"/>
    <n v="0"/>
    <s v="EPL39"/>
    <n v="178.25"/>
    <n v="5"/>
    <s v="ร้านที่9"/>
    <s v="อารี ชัยประเสริฐสิทธิ"/>
    <s v="607/295 ลุมพินี สุขุมวิท77 ถนนอ่อนนุช แขวงอ่อนนุช เขตสวนหลวง_x000a__x000a_สวนหลวง/ Suan Luangกรุงเทพมหานคร/ Bangkok_x000a_10250"/>
    <s v="10250"/>
    <s v="660837742823"/>
    <s v="02/01/2025 02:23"/>
    <s v="-"/>
    <s v="Kerry_dropoff"/>
    <s v="Lazada"/>
    <s v="lazada"/>
    <s v=""/>
    <s v="LEXDO0123547914"/>
    <s v="02/01/2025 02:23"/>
  </r>
  <r>
    <x v="1"/>
    <x v="1"/>
    <n v="200"/>
    <n v="1"/>
    <n v="0"/>
    <s v="EPL38"/>
    <n v="200"/>
    <n v="0"/>
    <s v="ร้านที่1"/>
    <s v="ศ***วิมลรัตน์  อ***รงค์"/>
    <s v="นครศรีธรรมราช"/>
    <s v="-"/>
    <s v=""/>
    <s v="02/01/2025 02:01"/>
    <s v="-"/>
    <s v="J&amp;T COD"/>
    <s v="Tiktok"/>
    <s v="จ่ายทีหลัง / COD"/>
    <s v=""/>
    <s v="754249418300"/>
    <s v="02/01/2025 02:10"/>
  </r>
  <r>
    <x v="4"/>
    <x v="4"/>
    <n v="100"/>
    <n v="2"/>
    <n v="0"/>
    <s v="EPL37"/>
    <n v="229"/>
    <n v="29"/>
    <s v="ร้านที่1"/>
    <s v="น***ี ข***กดี"/>
    <s v="นครปฐม"/>
    <s v="-"/>
    <s v=""/>
    <s v="02/01/2025 02:09"/>
    <s v="-"/>
    <s v="J&amp;T Express"/>
    <s v="Tiktok"/>
    <s v="tiktok"/>
    <s v=""/>
    <s v="754235004305"/>
    <s v="02/01/2025 02:10"/>
  </r>
  <r>
    <x v="10"/>
    <x v="10"/>
    <n v="200"/>
    <n v="1"/>
    <n v="0"/>
    <s v="EPL36"/>
    <n v="200"/>
    <n v="0"/>
    <s v="ร้านที่1"/>
    <s v="น***สน จ***ร์ดา"/>
    <s v="สุรินทร์"/>
    <s v="-"/>
    <s v=""/>
    <s v="02/01/2025 01:14"/>
    <s v="-"/>
    <s v="J&amp;T Express"/>
    <s v="Tiktok"/>
    <s v="tiktok"/>
    <s v=""/>
    <s v="754289732302"/>
    <s v="02/01/2025 01:39"/>
  </r>
  <r>
    <x v="10"/>
    <x v="10"/>
    <n v="200"/>
    <n v="1"/>
    <n v="0"/>
    <s v="EPL35"/>
    <n v="200"/>
    <n v="0"/>
    <s v="ร้านที่1"/>
    <s v="น** โ*** โ***หญ่ น***นุ๊ก"/>
    <s v="พังงา"/>
    <s v="-"/>
    <s v=""/>
    <s v="02/01/2025 01:37"/>
    <s v="-"/>
    <s v="J&amp;T Express"/>
    <s v="Tiktok"/>
    <s v="tiktok"/>
    <s v="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"/>
    <s v="754272437365"/>
    <s v="02/01/2025 01:39"/>
  </r>
  <r>
    <x v="1"/>
    <x v="1"/>
    <n v="200"/>
    <n v="1"/>
    <n v="0"/>
    <s v="EPL34"/>
    <n v="200"/>
    <n v="0"/>
    <s v="ร้านที่1"/>
    <s v="แ***ไพริน บ***าน"/>
    <s v="เทศบาลเมืองมุกดาหาร"/>
    <s v="-"/>
    <s v=""/>
    <s v="02/01/2025 01:38"/>
    <s v="-"/>
    <s v="Flash Express Thailand COD"/>
    <s v="Tiktok"/>
    <s v="จ่ายทีหลัง / COD"/>
    <s v=""/>
    <s v="THT46011DPBQD2Z"/>
    <s v="02/01/2025 01:39"/>
  </r>
  <r>
    <x v="6"/>
    <x v="6"/>
    <n v="199"/>
    <n v="2"/>
    <n v="0"/>
    <s v="EPL33"/>
    <n v="1070"/>
    <n v="75"/>
    <s v="ร้านที่1"/>
    <s v="(******."/>
    <s v="******กษ์, อำเภอองครักษ์ ตำบลองครักษ์ อำเภอองครักษ์ จังหวัดนครนายก 26120"/>
    <s v="26120"/>
    <s v="18"/>
    <s v="02/01/2025 02:08"/>
    <s v="-"/>
    <s v="SPX Express"/>
    <s v="Shopee"/>
    <s v="shopee"/>
    <s v=""/>
    <s v="TH2588279423427"/>
    <s v="02/01/2025 01:18"/>
  </r>
  <r>
    <x v="19"/>
    <x v="19"/>
    <n v="199"/>
    <n v="3"/>
    <n v="0"/>
    <s v="EPL33"/>
    <n v="1070"/>
    <n v="75"/>
    <s v="ร้านที่1"/>
    <s v="(******."/>
    <s v="******กษ์, อำเภอองครักษ์ ตำบลองครักษ์ อำเภอองครักษ์ จังหวัดนครนายก 26120"/>
    <s v="26120"/>
    <s v="18"/>
    <s v="02/01/2025 02:08"/>
    <s v="-"/>
    <s v="SPX Express"/>
    <s v="Shopee"/>
    <s v="shopee"/>
    <s v=""/>
    <s v="TH2588279423427"/>
    <s v="02/01/2025 01:18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5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5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3"/>
    <x v="61"/>
    <n v="232.86"/>
    <n v="1"/>
    <n v="0"/>
    <s v="EPL32"/>
    <n v="1724"/>
    <n v="94"/>
    <s v="ร้านที่1"/>
    <s v="คุณ ปวีณา พรหมหิตาทร"/>
    <s v="หมู่บ้านธีรายา2 บ้านเลขที่98/53 ม.1 ต.ตลิ่งงาม อ.เกาะสมุย จ.สุราษฎร์ธานี_x000a__x000a_เกาะสมุย/ Ko Samuiสุราษฎร์ธานี/ Surat Thani_x000a_84140"/>
    <s v="84140"/>
    <s v="660860291036"/>
    <s v="02/01/2025 00:54"/>
    <s v="-"/>
    <s v="Kerry_dropoff"/>
    <s v="Lazada"/>
    <s v="lazada"/>
    <s v=""/>
    <s v="TH68046N6GWN8C"/>
    <s v="02/01/2025 00:54"/>
  </r>
  <r>
    <x v="1"/>
    <x v="1"/>
    <n v="200"/>
    <n v="1"/>
    <n v="0"/>
    <s v="EPL30"/>
    <n v="200"/>
    <n v="0"/>
    <s v="ร้านที่1"/>
    <s v="ล***น ว***าหาร"/>
    <s v="เทศบาลเมืองบุรีรัมย์"/>
    <s v="-"/>
    <s v=""/>
    <s v="02/01/2025 00:48"/>
    <s v="-"/>
    <s v="J&amp;T Express"/>
    <s v="Tiktok"/>
    <s v="tiktok"/>
    <s v=""/>
    <s v="754201014313"/>
    <s v="02/01/2025 00:48"/>
  </r>
  <r>
    <x v="35"/>
    <x v="46"/>
    <n v="100"/>
    <n v="1"/>
    <n v="0"/>
    <s v="EPL27"/>
    <n v="125"/>
    <n v="25"/>
    <s v="ร้านที่1"/>
    <s v="น***ร ว***หิรัญ"/>
    <s v="สระบุรี"/>
    <s v="-"/>
    <s v=""/>
    <s v="02/01/2025 00:32"/>
    <s v="-"/>
    <s v="J&amp;T Express"/>
    <s v="Tiktok"/>
    <s v="tiktok"/>
    <s v=""/>
    <s v="754212294220"/>
    <s v="02/01/2025 00:37"/>
  </r>
  <r>
    <x v="10"/>
    <x v="10"/>
    <n v="200"/>
    <n v="2"/>
    <n v="0"/>
    <s v="EPL26"/>
    <n v="400"/>
    <n v="0"/>
    <s v="ร้านที่4"/>
    <s v="ว***พร เ***นนรากุล"/>
    <s v="ลพบุรี"/>
    <s v="-"/>
    <s v=""/>
    <s v="02/01/2025 00:31"/>
    <s v="-"/>
    <s v="Flash Express Thailand"/>
    <s v="Tiktok"/>
    <s v="tiktok"/>
    <s v=""/>
    <s v="THT07041DP2J94Z"/>
    <s v="02/01/2025 00:33"/>
  </r>
  <r>
    <x v="3"/>
    <x v="3"/>
    <n v="150"/>
    <n v="1"/>
    <n v="0"/>
    <s v="EPL25"/>
    <n v="325"/>
    <n v="35"/>
    <s v="ร้านที่1"/>
    <s v="ธ******ท"/>
    <s v="******ยรามคำแหง 24/3 แขวงหัวหมาก เขตบางกะปิ จังหวัดกรุงเทพมหานคร 10240"/>
    <s v="10240"/>
    <s v="65"/>
    <s v="02/01/2025 00:32"/>
    <s v="-"/>
    <s v="SPX Express"/>
    <s v="Shopee"/>
    <s v="shopee"/>
    <s v=""/>
    <s v="TH250285152407W"/>
    <s v="02/01/2025 00:33"/>
  </r>
  <r>
    <x v="18"/>
    <x v="39"/>
    <n v="140"/>
    <n v="1"/>
    <n v="0"/>
    <s v="EPL25"/>
    <n v="325"/>
    <n v="35"/>
    <s v="ร้านที่1"/>
    <s v="ธ******ท"/>
    <s v="******ยรามคำแหง 24/3 แขวงหัวหมาก เขตบางกะปิ จังหวัดกรุงเทพมหานคร 10240"/>
    <s v="10240"/>
    <s v="65"/>
    <s v="02/01/2025 00:32"/>
    <s v="-"/>
    <s v="SPX Express"/>
    <s v="Shopee"/>
    <s v="shopee"/>
    <s v=""/>
    <s v="TH250285152407W"/>
    <s v="02/01/2025 00:32"/>
  </r>
  <r>
    <x v="9"/>
    <x v="4"/>
    <n v="100"/>
    <n v="4"/>
    <n v="0"/>
    <s v="EPL23"/>
    <n v="400"/>
    <n v="0"/>
    <s v="ร้านที่2"/>
    <s v="w***aya"/>
    <s v="กระบี่"/>
    <s v="-"/>
    <s v=""/>
    <s v="02/01/2025 00:08"/>
    <s v="-"/>
    <s v="J&amp;T COD"/>
    <s v="Tiktok"/>
    <s v="จ่ายทีหลัง / COD"/>
    <s v=""/>
    <s v="754289659281"/>
    <s v="02/01/2025 00:28"/>
  </r>
  <r>
    <x v="5"/>
    <x v="5"/>
    <n v="330"/>
    <n v="1"/>
    <n v="0"/>
    <s v="EPL22"/>
    <n v="330"/>
    <n v="0"/>
    <s v="ร้านที่2"/>
    <s v="อ***รัตน์ ศ***ำปา"/>
    <s v="เลย"/>
    <s v="-"/>
    <s v=""/>
    <s v="02/01/2025 00:13"/>
    <s v="-"/>
    <s v="J&amp;T COD"/>
    <s v="Tiktok"/>
    <s v="จ่ายทีหลัง / COD"/>
    <s v=""/>
    <s v="754273584256"/>
    <s v="02/01/2025 00:28"/>
  </r>
  <r>
    <x v="3"/>
    <x v="3"/>
    <n v="100"/>
    <n v="1"/>
    <n v="0"/>
    <s v="EPL21"/>
    <n v="100"/>
    <n v="0"/>
    <s v="ร้านที่2"/>
    <s v="ศ***วรรณ ว***พฤกษ์"/>
    <s v="เทศบาลนครนครสวรรค์"/>
    <s v="-"/>
    <s v=""/>
    <s v="01/01/2025 23:59"/>
    <s v="-"/>
    <s v="J&amp;T COD"/>
    <s v="Tiktok"/>
    <s v="จ่ายทีหลัง / COD"/>
    <s v=""/>
    <s v="754203846325"/>
    <s v="01/01/2025 23:59"/>
  </r>
  <r>
    <x v="9"/>
    <x v="4"/>
    <n v="100"/>
    <n v="4"/>
    <n v="0"/>
    <s v="EPL20"/>
    <n v="400"/>
    <n v="0"/>
    <s v="ร้านที่1"/>
    <s v="ร***านต์  ส***า"/>
    <s v="เทศบาลนครนครปฐม"/>
    <s v="-"/>
    <s v=""/>
    <s v="01/01/2025 23:48"/>
    <s v="-"/>
    <s v="J&amp;T COD"/>
    <s v="Tiktok"/>
    <s v="จ่ายทีหลัง / COD"/>
    <s v=""/>
    <s v="754245258292"/>
    <s v="01/01/2025 23:48"/>
  </r>
  <r>
    <x v="4"/>
    <x v="4"/>
    <n v="100"/>
    <n v="3"/>
    <n v="0"/>
    <s v="EPL19"/>
    <n v="300"/>
    <n v="0"/>
    <s v="ร้านที่2"/>
    <s v="อ***ตญา พ***ร"/>
    <s v="ศรีสะเกษ"/>
    <s v="-"/>
    <s v=""/>
    <s v="01/01/2025 23:49"/>
    <s v="-"/>
    <s v="J&amp;T Express"/>
    <s v="Tiktok"/>
    <s v="tiktok"/>
    <s v=""/>
    <s v="754219995200"/>
    <s v="01/01/2025 23:48"/>
  </r>
  <r>
    <x v="1"/>
    <x v="1"/>
    <n v="200"/>
    <n v="1"/>
    <n v="0"/>
    <s v="EPL18"/>
    <n v="200"/>
    <n v="0"/>
    <s v="ร้านที่1"/>
    <s v="พ***ตรา"/>
    <s v="นครสวรรค์"/>
    <s v="-"/>
    <s v=""/>
    <s v="01/01/2025 23:47"/>
    <s v="-"/>
    <s v="J&amp;T COD"/>
    <s v="Tiktok"/>
    <s v="จ่ายทีหลัง / COD"/>
    <s v=""/>
    <s v="754272049344"/>
    <s v="01/01/2025 23:47"/>
  </r>
  <r>
    <x v="33"/>
    <x v="43"/>
    <n v="330"/>
    <n v="1"/>
    <n v="0"/>
    <s v="EPL17"/>
    <n v="330"/>
    <n v="0"/>
    <s v="ร้านที่4"/>
    <s v="อ** อ***ิตา"/>
    <s v="แพร่"/>
    <s v="-"/>
    <s v=""/>
    <s v="01/01/2025 23:45"/>
    <s v="-"/>
    <s v="Flash Express Thailand COD"/>
    <s v="Tiktok"/>
    <s v="จ่ายทีหลัง / COD"/>
    <s v=""/>
    <s v="THT51041DNV6Y2Z"/>
    <s v="01/01/2025 23:45"/>
  </r>
  <r>
    <x v="1"/>
    <x v="1"/>
    <n v="200"/>
    <n v="1"/>
    <n v="0"/>
    <s v="EPL15"/>
    <n v="200"/>
    <n v="0"/>
    <s v="ร้านที่1"/>
    <s v="อ***ิสา ศ***อง"/>
    <s v="สุพรรณบุรี"/>
    <s v="-"/>
    <s v=""/>
    <s v="01/01/2025 23:41"/>
    <s v="-"/>
    <s v="J&amp;T COD"/>
    <s v="Tiktok"/>
    <s v="จ่ายทีหลัง / COD"/>
    <s v=""/>
    <s v="754293444343"/>
    <s v="01/01/2025 23:41"/>
  </r>
  <r>
    <x v="3"/>
    <x v="3"/>
    <n v="100"/>
    <n v="1"/>
    <n v="0"/>
    <s v="EPL14"/>
    <n v="106"/>
    <n v="6"/>
    <s v="ร้านที่1"/>
    <s v="ม***ดา"/>
    <s v="ชลบุรี"/>
    <s v="-"/>
    <s v=""/>
    <s v="01/01/2025 23:41"/>
    <s v="-"/>
    <s v="J&amp;T COD"/>
    <s v="Tiktok"/>
    <s v="จ่ายทีหลัง / COD"/>
    <s v=""/>
    <s v="754281443322"/>
    <s v="01/01/2025 23:41"/>
  </r>
  <r>
    <x v="1"/>
    <x v="1"/>
    <n v="200"/>
    <n v="1"/>
    <n v="0"/>
    <s v="EPL12"/>
    <n v="200"/>
    <n v="0"/>
    <s v="ร้านที่2"/>
    <s v="บ** ต***มฆ"/>
    <s v="ร้อยเอ็ด"/>
    <s v="-"/>
    <s v=""/>
    <s v="01/01/2025 23:38"/>
    <s v="-"/>
    <s v="J&amp;T COD"/>
    <s v="Tiktok"/>
    <s v="จ่ายทีหลัง / COD"/>
    <s v=""/>
    <s v="754296935383"/>
    <s v="01/01/2025 23:38"/>
  </r>
  <r>
    <x v="9"/>
    <x v="4"/>
    <n v="100"/>
    <n v="2"/>
    <n v="0"/>
    <s v="EPL11"/>
    <n v="200"/>
    <n v="0"/>
    <s v="ร้านที่4"/>
    <s v="ธ***ศรา ภ***ภักดี"/>
    <s v="กาญจนบุรี"/>
    <s v="-"/>
    <s v=""/>
    <s v="01/01/2025 23:35"/>
    <s v="-"/>
    <s v="Flash Express Thailand"/>
    <s v="Tiktok"/>
    <s v="tiktok"/>
    <s v=""/>
    <s v="THT13031DNPR27Z"/>
    <s v="01/01/2025 23:34"/>
  </r>
  <r>
    <x v="1"/>
    <x v="1"/>
    <n v="200"/>
    <n v="1"/>
    <n v="0"/>
    <s v="EPL9"/>
    <n v="200"/>
    <n v="0"/>
    <s v="ร้านที่2"/>
    <s v="น***ตน์ พ***รสกุล"/>
    <s v="กาญจนบุรี"/>
    <s v="-"/>
    <s v=""/>
    <s v="01/01/2025 23:19"/>
    <s v="-"/>
    <s v="J&amp;T COD"/>
    <s v="Tiktok"/>
    <s v="จ่ายทีหลัง / COD"/>
    <s v=""/>
    <s v="754214737371"/>
    <s v="01/01/2025 23:19"/>
  </r>
  <r>
    <x v="10"/>
    <x v="10"/>
    <n v="200"/>
    <n v="1"/>
    <n v="0"/>
    <s v="EPL8"/>
    <n v="200"/>
    <n v="0"/>
    <s v="ร้านที่1"/>
    <s v="น** เ***อทิพย์ ห***ไธสงค์"/>
    <s v="บุรีรัมย์"/>
    <s v="-"/>
    <s v=""/>
    <s v="01/01/2025 23:18"/>
    <s v="-"/>
    <s v="J&amp;T Express"/>
    <s v="Tiktok"/>
    <s v="tiktok"/>
    <s v=""/>
    <s v="754238036355"/>
    <s v="01/01/2025 23:15"/>
  </r>
  <r>
    <x v="3"/>
    <x v="8"/>
    <n v="84"/>
    <n v="1"/>
    <n v="0"/>
    <s v="EPL7"/>
    <n v="89"/>
    <n v="5"/>
    <s v="ร้านที่6"/>
    <s v="ฝ้าย"/>
    <s v="1/16 ม.1 ซอยเข้าบ้านข้างสนามบอลUFO345คะ บ้านกระจกบานเลื่อนสีดำจ้า · บางตะไนย์/ Bang Tanai_x000a__x000a_ปากเกร็ด/ Pak Kretนนทบุรี/ Nonthaburi_x000a_11120"/>
    <s v="11120"/>
    <s v="660961419219"/>
    <s v="01/01/2025 23:13"/>
    <s v="-"/>
    <s v="Kerry_dropoff"/>
    <s v="Lazada"/>
    <s v="lazada"/>
    <s v=""/>
    <s v="LEXPU0440634717"/>
    <s v="01/01/2025 23:13"/>
  </r>
  <r>
    <x v="3"/>
    <x v="3"/>
    <n v="100"/>
    <n v="1"/>
    <n v="0"/>
    <s v="EPL6"/>
    <n v="200"/>
    <n v="0"/>
    <s v="ร้านที่2"/>
    <s v="น***นาถ ห***น"/>
    <s v="ปราจีนบุรี"/>
    <s v="-"/>
    <s v=""/>
    <s v="01/01/2025 23:12"/>
    <s v="-"/>
    <s v="J&amp;T Express"/>
    <s v="Tiktok"/>
    <s v="tiktok"/>
    <s v=""/>
    <s v="754289042334"/>
    <s v="01/01/2025 23:12"/>
  </r>
  <r>
    <x v="9"/>
    <x v="4"/>
    <n v="100"/>
    <n v="1"/>
    <n v="0"/>
    <s v="EPL6"/>
    <n v="200"/>
    <n v="0"/>
    <s v="ร้านที่2"/>
    <s v="น***นาถ ห***น"/>
    <s v="ปราจีนบุรี"/>
    <s v="-"/>
    <s v=""/>
    <s v="01/01/2025 23:12"/>
    <s v="-"/>
    <s v="J&amp;T Express"/>
    <s v="Tiktok"/>
    <s v="tiktok"/>
    <s v=""/>
    <s v="754289042334"/>
    <s v="01/01/2025 23:12"/>
  </r>
  <r>
    <x v="1"/>
    <x v="1"/>
    <n v="200"/>
    <n v="2"/>
    <n v="0"/>
    <s v="EPL5"/>
    <n v="400"/>
    <n v="0"/>
    <s v="ร้านที่1"/>
    <s v="ว***ียร  แ***อม"/>
    <s v="กรุงเทพฯ"/>
    <s v="-"/>
    <s v=""/>
    <s v="01/01/2025 23:08"/>
    <s v="-"/>
    <s v="J&amp;T Express"/>
    <s v="Tiktok"/>
    <s v="tiktok"/>
    <s v="ขอเป็นเนยนม6/ช๊อคโกแลค6/นะค่ะ"/>
    <s v="754266133364"/>
    <s v="01/01/2025 23:08"/>
  </r>
  <r>
    <x v="1"/>
    <x v="1"/>
    <n v="200"/>
    <n v="1"/>
    <n v="0"/>
    <s v="EPL4"/>
    <n v="200"/>
    <n v="0"/>
    <s v="ร้านที่2"/>
    <s v="ป***อง เ***นพิมาย"/>
    <s v="สระบุรี"/>
    <s v="-"/>
    <s v=""/>
    <s v="01/01/2025 23:08"/>
    <s v="-"/>
    <s v="J&amp;T Express"/>
    <s v="Tiktok"/>
    <s v="tiktok"/>
    <s v=""/>
    <s v="754257049350"/>
    <s v="01/01/2025 23:06"/>
  </r>
  <r>
    <x v="10"/>
    <x v="10"/>
    <n v="200"/>
    <n v="1"/>
    <n v="0"/>
    <s v="EPL3"/>
    <n v="200"/>
    <n v="0"/>
    <s v="ร้านที่1"/>
    <s v="จ***ภรณ์  ม***ถียร"/>
    <s v="สระบุรี"/>
    <s v="-"/>
    <s v=""/>
    <s v="01/01/2025 23:05"/>
    <s v="-"/>
    <s v="J&amp;T COD"/>
    <s v="Tiktok"/>
    <s v="จ่ายทีหลัง / COD"/>
    <s v=""/>
    <s v="754246328345"/>
    <s v="01/01/2025 23:05"/>
  </r>
  <r>
    <x v="10"/>
    <x v="10"/>
    <n v="200"/>
    <n v="2"/>
    <n v="0"/>
    <s v="EPL2"/>
    <n v="400"/>
    <n v="0"/>
    <s v="ร้านที่2"/>
    <s v="ส***พ ต***ารฤทธิ์"/>
    <s v="เพชรบูรณ์"/>
    <s v="-"/>
    <s v=""/>
    <s v="01/01/2025 22:43"/>
    <s v="-"/>
    <s v="J&amp;T COD"/>
    <s v="Tiktok"/>
    <s v="จ่ายทีหลัง / COD"/>
    <s v=""/>
    <s v="754200636350"/>
    <s v="01/01/2025 22:43"/>
  </r>
  <r>
    <x v="1"/>
    <x v="1"/>
    <n v="200"/>
    <n v="1"/>
    <n v="0"/>
    <s v="EPL0"/>
    <n v="200"/>
    <n v="0"/>
    <s v="ร้านที่1"/>
    <s v="ส***ติคู่คิด"/>
    <s v="ปทุมธานี"/>
    <s v="-"/>
    <s v=""/>
    <s v="01/01/2025 22:38"/>
    <s v="-"/>
    <s v="J&amp;T COD"/>
    <s v="Tiktok"/>
    <s v="จ่ายทีหลัง / COD"/>
    <s v=""/>
    <s v="754215536373"/>
    <s v="01/01/2025 22:38"/>
  </r>
  <r>
    <x v="1"/>
    <x v="1"/>
    <n v="200"/>
    <n v="1"/>
    <n v="0"/>
    <s v="EPK99"/>
    <n v="200"/>
    <n v="0"/>
    <s v="ร้านที่1"/>
    <s v="เ***งพิง ฟ***ิน"/>
    <s v="เชียงใหม่"/>
    <s v="-"/>
    <s v=""/>
    <s v="01/01/2025 22:35"/>
    <s v="-"/>
    <s v="J&amp;T COD"/>
    <s v="Tiktok"/>
    <s v="จ่ายทีหลัง / COD"/>
    <s v=""/>
    <s v="754284245341"/>
    <s v="01/01/2025 22:35"/>
  </r>
  <r>
    <x v="9"/>
    <x v="4"/>
    <n v="100"/>
    <n v="2"/>
    <n v="0"/>
    <s v="EPK98"/>
    <n v="200"/>
    <n v="0"/>
    <s v="ร้านที่2"/>
    <s v="ช*** ส***ฒตา อ***งค์"/>
    <s v="พระนครศรีอยุธยา"/>
    <s v="-"/>
    <s v=""/>
    <s v="01/01/2025 22:34"/>
    <s v="-"/>
    <s v="J&amp;T COD"/>
    <s v="Tiktok"/>
    <s v="จ่ายทีหลัง / COD"/>
    <s v=""/>
    <s v="754237471201"/>
    <s v="01/01/2025 22:34"/>
  </r>
  <r>
    <x v="9"/>
    <x v="4"/>
    <n v="100"/>
    <n v="1"/>
    <n v="0"/>
    <s v="EPK97"/>
    <n v="106"/>
    <n v="6"/>
    <s v="ร้านที่1"/>
    <s v="อ***ลักษณ์ ใ***่อดี 1** ม** ต* น***ลง อ***อวด จ***รศรีธรรมราช 8*"/>
    <s v="นครศรีธรรมราช"/>
    <s v="-"/>
    <s v=""/>
    <s v="01/01/2025 22:34"/>
    <s v="-"/>
    <s v="J&amp;T COD"/>
    <s v="Tiktok"/>
    <s v="จ่ายทีหลัง / COD"/>
    <s v=""/>
    <s v="754260366252"/>
    <s v="01/01/2025 22:34"/>
  </r>
  <r>
    <x v="24"/>
    <x v="25"/>
    <n v="699"/>
    <n v="1"/>
    <n v="0"/>
    <s v="EPK96"/>
    <n v="734"/>
    <n v="35"/>
    <s v="ร้านที่2"/>
    <s v="น******ม"/>
    <s v="******ซอย 14 หมู่3 ตำบลบ้านใหม่ ตำบลบ้านใหม่ อำเภอเมืองปทุมธานี จังหวัดปทุมธานี 12000"/>
    <s v="12000"/>
    <s v="99"/>
    <s v="01/01/2025 22:27"/>
    <s v="-"/>
    <s v="SPX Express"/>
    <s v="Shopee"/>
    <s v="shopee"/>
    <s v=""/>
    <s v="TH2542887940401"/>
    <s v="01/01/2025 22:27"/>
  </r>
  <r>
    <x v="1"/>
    <x v="1"/>
    <n v="200"/>
    <n v="1"/>
    <n v="0"/>
    <s v="EPK95"/>
    <n v="200"/>
    <n v="0"/>
    <s v="ร้านที่1"/>
    <s v="พ** ห***"/>
    <s v="เชียงราย"/>
    <s v="-"/>
    <s v=""/>
    <s v="01/01/2025 22:25"/>
    <s v="-"/>
    <s v="J&amp;T COD"/>
    <s v="Tiktok"/>
    <s v="จ่ายทีหลัง / COD"/>
    <s v=""/>
    <s v="754244534374"/>
    <s v="01/01/2025 22:25"/>
  </r>
  <r>
    <x v="10"/>
    <x v="10"/>
    <n v="200"/>
    <n v="1"/>
    <n v="0"/>
    <s v="EPK93"/>
    <n v="200"/>
    <n v="0"/>
    <s v="ร้านที่2"/>
    <s v="ซ***์ ศ***ญญา"/>
    <s v="สุราษฎร์ธานี"/>
    <s v="-"/>
    <s v=""/>
    <s v="01/01/2025 22:20"/>
    <s v="-"/>
    <s v="J&amp;T COD"/>
    <s v="Tiktok"/>
    <s v="จ่ายทีหลัง / COD"/>
    <s v=""/>
    <s v="754246239316"/>
    <s v="01/01/2025 22:20"/>
  </r>
  <r>
    <x v="19"/>
    <x v="19"/>
    <n v="199"/>
    <n v="1"/>
    <n v="0"/>
    <s v="EPK92"/>
    <n v="199"/>
    <n v="0"/>
    <s v="ร้านที่1"/>
    <s v="ด******า"/>
    <s v="******ซอยที่ 2 ตรงสุดเจอร้านแก๊ส แล้วเลี้ยวซ้าย ตรงไปบ้านรั้วสีน้ำเงิน ฝั่งซ้าย ตำบลบางพลีใหญ่ อำเภอบางพลี จังหวัดสมุทรปราการ 10540"/>
    <s v="10540"/>
    <s v="47"/>
    <s v="01/01/2025 22:19"/>
    <s v="-"/>
    <s v="Flash Express"/>
    <s v="Shopee"/>
    <s v="shopee"/>
    <s v=""/>
    <s v="TH02036N762N6A2"/>
    <s v="01/01/2025 22:19"/>
  </r>
  <r>
    <x v="1"/>
    <x v="1"/>
    <n v="200"/>
    <n v="1"/>
    <n v="0"/>
    <s v="EPK91"/>
    <n v="200"/>
    <n v="0"/>
    <s v="ร้านที่2"/>
    <s v="ม***ี ใ***้า"/>
    <s v="ไทย, เชียงใหม่, หางดง,ไท* 50***"/>
    <s v="-"/>
    <s v=""/>
    <s v="01/01/2025 22:03"/>
    <s v="-"/>
    <s v="J&amp;T COD"/>
    <s v="Tiktok"/>
    <s v="จ่ายทีหลัง / COD"/>
    <s v=""/>
    <s v="754283131372"/>
    <s v="01/01/2025 22:03"/>
  </r>
  <r>
    <x v="10"/>
    <x v="10"/>
    <n v="200"/>
    <n v="1"/>
    <n v="0"/>
    <s v="EPK90"/>
    <n v="200"/>
    <n v="0"/>
    <s v="ร้านที่2"/>
    <s v="ส***ย์ แ***พชร"/>
    <s v="กรุงเทพมหานคร"/>
    <s v="-"/>
    <s v=""/>
    <s v="01/01/2025 22:02"/>
    <s v="-"/>
    <s v="J&amp;T Express"/>
    <s v="Tiktok"/>
    <s v="tiktok"/>
    <s v=""/>
    <s v="754257238313"/>
    <s v="01/01/2025 22:02"/>
  </r>
  <r>
    <x v="3"/>
    <x v="3"/>
    <n v="100"/>
    <n v="2"/>
    <n v="0"/>
    <s v="EPK89"/>
    <n v="200"/>
    <n v="0"/>
    <s v="ร้านที่4"/>
    <s v="ส***ตรี เ***ราม"/>
    <s v="ยโสธร"/>
    <s v="-"/>
    <s v=""/>
    <s v="01/01/2025 22:01"/>
    <s v="-"/>
    <s v="Flash Express Thailand"/>
    <s v="Tiktok"/>
    <s v="tiktok"/>
    <s v=""/>
    <s v="THT32041DPBCC2Z"/>
    <s v="01/01/2025 22:01"/>
  </r>
  <r>
    <x v="1"/>
    <x v="1"/>
    <n v="200"/>
    <n v="1"/>
    <n v="0"/>
    <s v="EPK88"/>
    <n v="200"/>
    <n v="0"/>
    <s v="ร้านที่1"/>
    <s v="เ*** ส***า"/>
    <s v="สุพรรณบุรี"/>
    <s v="-"/>
    <s v=""/>
    <s v="01/01/2025 22:00"/>
    <s v="-"/>
    <s v="J&amp;T COD"/>
    <s v="Tiktok"/>
    <s v="จ่ายทีหลัง / COD"/>
    <s v=""/>
    <s v="754293640343"/>
    <s v="01/01/2025 22:00"/>
  </r>
  <r>
    <x v="4"/>
    <x v="4"/>
    <n v="100"/>
    <n v="1"/>
    <n v="0"/>
    <s v="EPK87"/>
    <n v="298"/>
    <n v="0"/>
    <s v="ร้านที่1"/>
    <s v="ร***า"/>
    <s v="เชียงใหม่"/>
    <s v="-"/>
    <s v=""/>
    <s v="01/01/2025 21:56"/>
    <s v="-"/>
    <s v="J&amp;T Express"/>
    <s v="Tiktok"/>
    <s v="tiktok"/>
    <s v=""/>
    <s v="754242440335"/>
    <s v="01/01/2025 21:56"/>
  </r>
  <r>
    <x v="1"/>
    <x v="1"/>
    <n v="200"/>
    <n v="1"/>
    <n v="0"/>
    <s v="EPK86"/>
    <n v="200"/>
    <n v="0"/>
    <s v="ร้านที่1"/>
    <s v="น** อ***ริยา   จ***ร์ทองมล"/>
    <s v="พัทลุง"/>
    <s v="-"/>
    <s v=""/>
    <s v="01/01/2025 21:51"/>
    <s v="-"/>
    <s v="J&amp;T COD"/>
    <s v="Tiktok"/>
    <s v="จ่ายทีหลัง / COD"/>
    <s v=""/>
    <s v="754298644341"/>
    <s v="01/01/2025 21:51"/>
  </r>
  <r>
    <x v="3"/>
    <x v="3"/>
    <n v="100"/>
    <n v="1"/>
    <n v="0"/>
    <s v="EPK85"/>
    <n v="106"/>
    <n v="6"/>
    <s v="ร้านที่2"/>
    <s v="อ***า"/>
    <s v="ราชบุรี"/>
    <s v="-"/>
    <s v=""/>
    <s v="01/01/2025 21:48"/>
    <s v="-"/>
    <s v="J&amp;T COD"/>
    <s v="Tiktok"/>
    <s v="จ่ายทีหลัง / COD"/>
    <s v=""/>
    <s v="754285337341"/>
    <s v="01/01/2025 21:48"/>
  </r>
  <r>
    <x v="4"/>
    <x v="4"/>
    <n v="100"/>
    <n v="1"/>
    <n v="0"/>
    <s v="EPK84"/>
    <n v="200"/>
    <n v="0"/>
    <s v="ร้านที่1"/>
    <s v="อ***รัตน์   พ***สวัสดิ์"/>
    <s v="กรุงเทพฯ"/>
    <s v="-"/>
    <s v=""/>
    <s v="01/01/2025 21:41"/>
    <s v="-"/>
    <s v="J&amp;T COD"/>
    <s v="Tiktok"/>
    <s v="จ่ายทีหลัง / COD"/>
    <s v=""/>
    <s v="754263432311"/>
    <s v="01/01/2025 21:41"/>
  </r>
  <r>
    <x v="9"/>
    <x v="4"/>
    <n v="100"/>
    <n v="1"/>
    <n v="0"/>
    <s v="EPK84"/>
    <n v="200"/>
    <n v="0"/>
    <s v="ร้านที่1"/>
    <s v="อ***รัตน์   พ***สวัสดิ์"/>
    <s v="กรุงเทพฯ"/>
    <s v="-"/>
    <s v=""/>
    <s v="01/01/2025 21:41"/>
    <s v="-"/>
    <s v="J&amp;T COD"/>
    <s v="Tiktok"/>
    <s v="จ่ายทีหลัง / COD"/>
    <s v=""/>
    <s v="754263432311"/>
    <s v="01/01/2025 21:41"/>
  </r>
  <r>
    <x v="5"/>
    <x v="5"/>
    <n v="330"/>
    <n v="1"/>
    <n v="0"/>
    <s v="EPK83"/>
    <n v="394"/>
    <n v="64"/>
    <s v="ร้านที่1"/>
    <s v="K***ลทิพย์ แ***เรือง  "/>
    <s v="สุพรรณบุรี"/>
    <s v="-"/>
    <s v=""/>
    <s v="01/01/2025 21:41"/>
    <s v="-"/>
    <s v="J&amp;T COD"/>
    <s v="Tiktok"/>
    <s v="จ่ายทีหลัง / COD"/>
    <s v=""/>
    <s v="754222183245"/>
    <s v="01/01/2025 21:41"/>
  </r>
  <r>
    <x v="1"/>
    <x v="1"/>
    <n v="200"/>
    <n v="1"/>
    <n v="0"/>
    <s v="EPK82"/>
    <n v="200"/>
    <n v="0"/>
    <s v="ร้านที่2"/>
    <s v="ว***นา  น***ี"/>
    <s v="สุพรรณบุรี"/>
    <s v="-"/>
    <s v=""/>
    <s v="01/01/2025 21:41"/>
    <s v="-"/>
    <s v="J&amp;T COD"/>
    <s v="Tiktok"/>
    <s v="จ่ายทีหลัง / COD"/>
    <s v=""/>
    <s v="754283044340"/>
    <s v="01/01/2025 21:41"/>
  </r>
  <r>
    <x v="3"/>
    <x v="3"/>
    <n v="100"/>
    <n v="1"/>
    <n v="0"/>
    <s v="EPK80"/>
    <n v="834"/>
    <n v="35"/>
    <s v="ร้านที่2"/>
    <s v="ณ****ล"/>
    <s v="******บลบึงคอไห อำเภอลำลูกกา จังหวัดปทุมธานี 12150"/>
    <s v="12150"/>
    <s v="91"/>
    <s v="01/01/2025 21:39"/>
    <s v="-"/>
    <s v="SPX Express"/>
    <s v="Shopee"/>
    <s v="shopee"/>
    <s v=""/>
    <s v="TH2592119873387"/>
    <s v="01/01/2025 21:38"/>
  </r>
  <r>
    <x v="24"/>
    <x v="25"/>
    <n v="699"/>
    <n v="1"/>
    <n v="0"/>
    <s v="EPK80"/>
    <n v="834"/>
    <n v="35"/>
    <s v="ร้านที่2"/>
    <s v="ณ****ล"/>
    <s v="******บลบึงคอไห อำเภอลำลูกกา จังหวัดปทุมธานี 12150"/>
    <s v="12150"/>
    <s v="91"/>
    <s v="01/01/2025 21:39"/>
    <s v="-"/>
    <s v="SPX Express"/>
    <s v="Shopee"/>
    <s v="shopee"/>
    <s v=""/>
    <s v="TH2592119873387"/>
    <s v="01/01/2025 21:38"/>
  </r>
  <r>
    <x v="1"/>
    <x v="1"/>
    <n v="200"/>
    <n v="1"/>
    <n v="0"/>
    <s v="EPK78"/>
    <n v="200"/>
    <n v="0"/>
    <s v="ร้านที่2"/>
    <s v="น***า  ร***ประหาต"/>
    <s v="เทศบาลนครนครราชสีมา"/>
    <s v="-"/>
    <s v=""/>
    <s v="01/01/2025 21:35"/>
    <s v="-"/>
    <s v="J&amp;T COD"/>
    <s v="Tiktok"/>
    <s v="จ่ายทีหลัง / COD"/>
    <s v=""/>
    <s v="754253932375"/>
    <s v="01/01/2025 21:35"/>
  </r>
  <r>
    <x v="1"/>
    <x v="1"/>
    <n v="200"/>
    <n v="1"/>
    <n v="0"/>
    <s v="EPK77"/>
    <n v="200"/>
    <n v="0"/>
    <s v="ร้านที่2"/>
    <s v="d***da5n4plu"/>
    <s v="นครสวรรค์"/>
    <s v="-"/>
    <s v=""/>
    <s v="01/01/2025 21:34"/>
    <s v="-"/>
    <s v="J&amp;T Express"/>
    <s v="Tiktok"/>
    <s v="tiktok"/>
    <s v=""/>
    <s v="754261937376"/>
    <s v="01/01/2025 21:34"/>
  </r>
  <r>
    <x v="1"/>
    <x v="1"/>
    <n v="200"/>
    <n v="1"/>
    <n v="0"/>
    <s v="EPK75"/>
    <n v="200"/>
    <n v="0"/>
    <s v="ร้านที่4"/>
    <s v="น***ระทุม  แ***ปานกัน"/>
    <s v="สุพรรณบุรี"/>
    <s v="-"/>
    <s v=""/>
    <s v="01/01/2025 21:24"/>
    <s v="-"/>
    <s v="Flash Express Thailand"/>
    <s v="Tiktok"/>
    <s v="tiktok"/>
    <s v=""/>
    <s v="THT14041DPC556Z"/>
    <s v="01/01/2025 21:26"/>
  </r>
  <r>
    <x v="19"/>
    <x v="19"/>
    <n v="197"/>
    <n v="1"/>
    <n v="0"/>
    <s v="EPK74"/>
    <n v="192"/>
    <n v="0"/>
    <s v="ร้านที่2"/>
    <s v="ส******ศ"/>
    <s v="******ำบลบางซ้าย อำเภอบางซ้าย จังหวัดพระนครศรีอยุธยา 13270"/>
    <s v="13270"/>
    <s v="45"/>
    <s v="01/01/2025 21:54"/>
    <s v="-"/>
    <s v="Flash Express"/>
    <s v="Shopee"/>
    <s v="shopee"/>
    <s v=""/>
    <s v="TH05136N76GD5A"/>
    <s v="01/01/2025 21:26"/>
  </r>
  <r>
    <x v="10"/>
    <x v="10"/>
    <n v="200"/>
    <n v="1"/>
    <n v="0"/>
    <s v="EPK72"/>
    <n v="200"/>
    <n v="0"/>
    <s v="ร้านที่1"/>
    <s v="ส***รณา  โ***อง"/>
    <s v="ชัยภูมิ"/>
    <s v="-"/>
    <s v=""/>
    <s v="01/01/2025 21:21"/>
    <s v="-"/>
    <s v="J&amp;T COD"/>
    <s v="Tiktok"/>
    <s v="จ่ายทีหลัง / COD"/>
    <s v=""/>
    <s v="754292927345"/>
    <s v="01/01/2025 21:26"/>
  </r>
  <r>
    <x v="5"/>
    <x v="5"/>
    <n v="330"/>
    <n v="1"/>
    <n v="0"/>
    <s v="EPK71"/>
    <n v="330"/>
    <n v="0"/>
    <s v="ร้านที่1"/>
    <s v="น***าวขนิษฐา  ค***ยม"/>
    <s v="กาญจนบุรี"/>
    <s v="-"/>
    <s v=""/>
    <s v="01/01/2025 21:18"/>
    <s v="-"/>
    <s v="J&amp;T COD"/>
    <s v="Tiktok"/>
    <s v="จ่ายทีหลัง / COD"/>
    <s v=""/>
    <s v="754266892201"/>
    <s v="01/01/2025 21:25"/>
  </r>
  <r>
    <x v="19"/>
    <x v="19"/>
    <n v="199"/>
    <n v="1"/>
    <n v="0"/>
    <s v="EPK70"/>
    <n v="240"/>
    <n v="41"/>
    <s v="ร้านที่1"/>
    <s v="ร******ย"/>
    <s v="****** อำเภอเมืองสมุทรสงคราม ตำบลท้ายหาด อำเภอเมืองสมุทรสงคราม จังหวัดสมุทรสงคราม 75000"/>
    <s v="75000"/>
    <s v="94"/>
    <s v="01/01/2025 21:24"/>
    <s v="-"/>
    <s v="SPX Express"/>
    <s v="Shopee"/>
    <s v="shopee"/>
    <s v=""/>
    <s v="TH250197873145N"/>
    <s v="01/01/2025 21:24"/>
  </r>
  <r>
    <x v="33"/>
    <x v="43"/>
    <n v="330"/>
    <n v="1"/>
    <n v="0"/>
    <s v="EPK68"/>
    <n v="330"/>
    <n v="0"/>
    <s v="ร้านที่4"/>
    <s v="น***าวสุพัชรี โ***ัมย์"/>
    <s v="จังหวัดบุรีรัมย์"/>
    <s v="-"/>
    <s v=""/>
    <s v="01/01/2025 21:14"/>
    <s v="-"/>
    <s v="Flash Express Thailand"/>
    <s v="Tiktok"/>
    <s v="tiktok"/>
    <s v=""/>
    <s v="THT28111DNU8W2Z"/>
    <s v="01/01/2025 21:21"/>
  </r>
  <r>
    <x v="3"/>
    <x v="3"/>
    <n v="100"/>
    <n v="1"/>
    <n v="0"/>
    <s v="EPK67"/>
    <n v="106"/>
    <n v="6"/>
    <s v="ร้านที่4"/>
    <s v="เ***นเพ็ ช***ิริ"/>
    <s v="หนองบัวลำภู"/>
    <s v="-"/>
    <s v=""/>
    <s v="01/01/2025 21:06"/>
    <s v="-"/>
    <s v="Flash Express Thailand COD"/>
    <s v="Tiktok"/>
    <s v="จ่ายทีหลัง / COD"/>
    <s v=""/>
    <s v="THT36011DNZRB5Z"/>
    <s v="01/01/2025 21:19"/>
  </r>
  <r>
    <x v="10"/>
    <x v="10"/>
    <n v="200"/>
    <n v="2"/>
    <n v="0"/>
    <s v="EPK66"/>
    <n v="400"/>
    <n v="0"/>
    <s v="ร้านที่2"/>
    <s v="ค***ุฑามาศ  พ***ดา"/>
    <s v="มหาสารคาม"/>
    <s v="-"/>
    <s v=""/>
    <s v="01/01/2025 21:08"/>
    <s v="-"/>
    <s v="J&amp;T COD"/>
    <s v="Tiktok"/>
    <s v="จ่ายทีหลัง / COD"/>
    <s v=""/>
    <s v="754271835354"/>
    <s v="01/01/2025 21:17"/>
  </r>
  <r>
    <x v="0"/>
    <x v="0"/>
    <n v="100"/>
    <n v="1"/>
    <n v="0"/>
    <s v="EPK65"/>
    <n v="106"/>
    <n v="6"/>
    <s v="ร้านที่2"/>
    <s v="ป***แก้ว"/>
    <s v="กาญจนบุรี"/>
    <s v="-"/>
    <s v=""/>
    <s v="01/01/2025 21:12"/>
    <s v="-"/>
    <s v="J&amp;T Express"/>
    <s v="Tiktok"/>
    <s v="tiktok"/>
    <s v="รบกวนไม่ระบุชื่อสินค้าหน้าพัสดุนะคะ ของขวัญให้ญาติผู้ใหญ่ 3 กล่องขอไม่ซ้ำรสนะคะ🙏"/>
    <s v="754280652226"/>
    <s v="01/01/2025 21:17"/>
  </r>
  <r>
    <x v="3"/>
    <x v="3"/>
    <n v="100"/>
    <n v="1"/>
    <n v="0"/>
    <s v="EPK64"/>
    <n v="100"/>
    <n v="0"/>
    <s v="ร้านที่2"/>
    <s v="ล***า พ***ากร"/>
    <s v="นครปฐม"/>
    <s v="-"/>
    <s v=""/>
    <s v="01/01/2025 21:13"/>
    <s v="-"/>
    <s v="J&amp;T Express"/>
    <s v="Tiktok"/>
    <s v="tiktok"/>
    <s v=""/>
    <s v="754252337381"/>
    <s v="01/01/2025 21:17"/>
  </r>
  <r>
    <x v="3"/>
    <x v="3"/>
    <n v="100"/>
    <n v="2"/>
    <n v="0"/>
    <s v="EPK63"/>
    <n v="206"/>
    <n v="6"/>
    <s v="ร้านที่2"/>
    <s v="เ***ุณี ค***สนีย์"/>
    <s v="กาญจนบุรี"/>
    <s v="-"/>
    <s v=""/>
    <s v="01/01/2025 21:17"/>
    <s v="-"/>
    <s v="J&amp;T COD"/>
    <s v="Tiktok"/>
    <s v="จ่ายทีหลัง / COD"/>
    <s v=""/>
    <s v="754277697246"/>
    <s v="01/01/2025 21:17"/>
  </r>
  <r>
    <x v="1"/>
    <x v="1"/>
    <n v="200"/>
    <n v="1"/>
    <n v="0"/>
    <s v="EPK61"/>
    <n v="200"/>
    <n v="0"/>
    <s v="ร้านที่1"/>
    <s v="ค***้ำทิพย์ ช***ุวรรณ์"/>
    <s v="ชัยนาท"/>
    <s v="-"/>
    <s v=""/>
    <s v="01/01/2025 20:58"/>
    <s v="-"/>
    <s v="J&amp;T COD"/>
    <s v="Tiktok"/>
    <s v="จ่ายทีหลัง / COD"/>
    <s v=""/>
    <s v="754233339366"/>
    <s v="01/01/2025 20:58"/>
  </r>
  <r>
    <x v="9"/>
    <x v="4"/>
    <n v="100"/>
    <n v="1"/>
    <n v="0"/>
    <s v="EPK59"/>
    <n v="100"/>
    <n v="0"/>
    <s v="ร้านที่2"/>
    <s v="ม***ย"/>
    <s v="นครสวรรค์"/>
    <s v="-"/>
    <s v=""/>
    <s v="01/01/2025 20:56"/>
    <s v="-"/>
    <s v="J&amp;T Express"/>
    <s v="Tiktok"/>
    <s v="tiktok"/>
    <s v=""/>
    <s v="754218674215"/>
    <s v="01/01/2025 20:56"/>
  </r>
  <r>
    <x v="3"/>
    <x v="3"/>
    <n v="100"/>
    <n v="4"/>
    <n v="0"/>
    <s v="EPK58"/>
    <n v="448"/>
    <n v="48"/>
    <s v="ร้านที่2"/>
    <s v="ป******ว"/>
    <s v="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"/>
    <s v="10240"/>
    <s v="29"/>
    <s v="01/01/2025 20:56"/>
    <s v="-"/>
    <s v="Flash Express"/>
    <s v="Shopee"/>
    <s v="shopee"/>
    <s v=""/>
    <s v="TH01166N7SHG0B0"/>
    <s v="01/01/2025 20:55"/>
  </r>
  <r>
    <x v="1"/>
    <x v="1"/>
    <n v="200"/>
    <n v="1"/>
    <n v="0"/>
    <s v="EPK57"/>
    <n v="200"/>
    <n v="0"/>
    <s v="ร้านที่1"/>
    <s v="ต***"/>
    <s v="กรุงเทพฯ"/>
    <s v="-"/>
    <s v=""/>
    <s v="01/01/2025 20:53"/>
    <s v="-"/>
    <s v="J&amp;T COD"/>
    <s v="Tiktok"/>
    <s v="จ่ายทีหลัง / COD"/>
    <s v=""/>
    <s v="754237734364"/>
    <s v="01/01/2025 20:53"/>
  </r>
  <r>
    <x v="1"/>
    <x v="1"/>
    <n v="200"/>
    <n v="1"/>
    <n v="0"/>
    <s v="EPK56"/>
    <n v="200"/>
    <n v="0"/>
    <s v="ร้านที่2"/>
    <s v="ส***นท์  แ***ทรัพย์"/>
    <s v="ลพบุรี"/>
    <s v="-"/>
    <s v=""/>
    <s v="01/01/2025 20:52"/>
    <s v="-"/>
    <s v="J&amp;T COD"/>
    <s v="Tiktok"/>
    <s v="จ่ายทีหลัง / COD"/>
    <s v=""/>
    <s v="754229446342"/>
    <s v="01/01/2025 20:52"/>
  </r>
  <r>
    <x v="3"/>
    <x v="8"/>
    <n v="84"/>
    <n v="1"/>
    <n v="0"/>
    <s v="EPK55"/>
    <n v="84"/>
    <n v="0"/>
    <s v="ร้านที่6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1/01/2025 20:51"/>
    <s v="-"/>
    <s v="Kerry_dropoff"/>
    <s v="Lazada"/>
    <s v="lazada"/>
    <s v=""/>
    <s v="LEXPU0440633703"/>
    <s v="01/01/2025 20:51"/>
  </r>
  <r>
    <x v="5"/>
    <x v="5"/>
    <n v="350"/>
    <n v="1"/>
    <n v="0"/>
    <s v="EPK54"/>
    <n v="350"/>
    <n v="0"/>
    <s v="ร้านที่4"/>
    <s v="ม*** ร***ถิตย์"/>
    <s v="นครปฐม"/>
    <s v="-"/>
    <s v=""/>
    <s v="01/01/2025 20:48"/>
    <s v="-"/>
    <s v="Flash Express Thailand"/>
    <s v="Tiktok"/>
    <s v="tiktok"/>
    <s v=""/>
    <s v="THT15051DPF1A6Z"/>
    <s v="01/01/2025 20:48"/>
  </r>
  <r>
    <x v="1"/>
    <x v="1"/>
    <n v="200"/>
    <n v="2"/>
    <n v="0"/>
    <s v="EPK53"/>
    <n v="400"/>
    <n v="0"/>
    <s v="ร้านที่2"/>
    <s v="ร***รรณ   เ***ตระกูล"/>
    <s v="พระนครศรีอยุธยา"/>
    <s v="-"/>
    <s v=""/>
    <s v="01/01/2025 20:46"/>
    <s v="-"/>
    <s v="J&amp;T COD"/>
    <s v="Tiktok"/>
    <s v="จ่ายทีหลัง / COD"/>
    <s v=""/>
    <s v="754207843314"/>
    <s v="01/01/2025 20:46"/>
  </r>
  <r>
    <x v="1"/>
    <x v="1"/>
    <n v="200"/>
    <n v="1"/>
    <n v="0"/>
    <s v="EPK49"/>
    <n v="200"/>
    <n v="0"/>
    <s v="ร้านที่1"/>
    <s v="จ*** เ***พรม"/>
    <s v="สงขลา"/>
    <s v="-"/>
    <s v=""/>
    <s v="01/01/2025 20:38"/>
    <s v="-"/>
    <s v="J&amp;T COD"/>
    <s v="Tiktok"/>
    <s v="จ่ายทีหลัง / COD"/>
    <s v=""/>
    <s v="754298339351"/>
    <s v="01/01/2025 20:38"/>
  </r>
  <r>
    <x v="1"/>
    <x v="1"/>
    <n v="200"/>
    <n v="1"/>
    <n v="0"/>
    <s v="EPK48"/>
    <n v="200"/>
    <n v="0"/>
    <s v="ร้านที่4"/>
    <s v="แ** อ***รัตน์"/>
    <s v="สระแก้ว"/>
    <s v="-"/>
    <s v=""/>
    <s v="01/01/2025 20:33"/>
    <s v="-"/>
    <s v="Flash Express Thailand"/>
    <s v="Tiktok"/>
    <s v="tiktok"/>
    <s v=""/>
    <s v="THT26051DP1G11Z"/>
    <s v="01/01/2025 20:33"/>
  </r>
  <r>
    <x v="3"/>
    <x v="3"/>
    <n v="100"/>
    <n v="1"/>
    <n v="0"/>
    <s v="EPK46"/>
    <n v="106"/>
    <n v="6"/>
    <s v="ร้านที่1"/>
    <s v="เ***ห์ จ***"/>
    <s v="นครศรีธรรมราช"/>
    <s v="-"/>
    <s v=""/>
    <s v="01/01/2025 20:31"/>
    <s v="-"/>
    <s v="J&amp;T COD"/>
    <s v="Tiktok"/>
    <s v="จ่ายทีหลัง / COD"/>
    <s v=""/>
    <s v="754276137344"/>
    <s v="01/01/2025 20:31"/>
  </r>
  <r>
    <x v="10"/>
    <x v="10"/>
    <n v="200"/>
    <n v="1"/>
    <n v="0"/>
    <s v="EPK45"/>
    <n v="200"/>
    <n v="0"/>
    <s v="ร้านที่1"/>
    <s v="น***าพงษ์คเชนทร์"/>
    <s v="เทศบาลนครนครปฐม"/>
    <s v="-"/>
    <s v=""/>
    <s v="01/01/2025 20:29"/>
    <s v="-"/>
    <s v="J&amp;T COD"/>
    <s v="Tiktok"/>
    <s v="จ่ายทีหลัง / COD"/>
    <s v=""/>
    <s v="754263232354"/>
    <s v="01/01/2025 20:29"/>
  </r>
  <r>
    <x v="3"/>
    <x v="3"/>
    <n v="100"/>
    <n v="1"/>
    <n v="0"/>
    <s v="EPK44"/>
    <n v="106"/>
    <n v="6"/>
    <s v="ร้านที่1"/>
    <s v="อ***"/>
    <s v="กรุงเทพฯ"/>
    <s v="-"/>
    <s v=""/>
    <s v="01/01/2025 20:27"/>
    <s v="-"/>
    <s v="J&amp;T COD"/>
    <s v="Tiktok"/>
    <s v="จ่ายทีหลัง / COD"/>
    <s v=""/>
    <s v="754250641325"/>
    <s v="01/01/2025 20:27"/>
  </r>
  <r>
    <x v="4"/>
    <x v="4"/>
    <n v="100"/>
    <n v="1"/>
    <n v="0"/>
    <s v="EPK43"/>
    <n v="106"/>
    <n v="6"/>
    <s v="ร้านที่1"/>
    <s v="บ**"/>
    <s v="นครราชสีมา"/>
    <s v="-"/>
    <s v=""/>
    <s v="01/01/2025 20:26"/>
    <s v="-"/>
    <s v="J&amp;T Express"/>
    <s v="Tiktok"/>
    <s v="tiktok"/>
    <s v=""/>
    <s v="754238390242"/>
    <s v="01/01/2025 20:25"/>
  </r>
  <r>
    <x v="59"/>
    <x v="84"/>
    <n v="100"/>
    <n v="1"/>
    <n v="0"/>
    <s v="EPK42"/>
    <n v="125"/>
    <n v="25"/>
    <s v="ร้านที่4"/>
    <s v="อ***ิมา เ***ยนชัยภูมิ"/>
    <s v="บุรีรัมย์"/>
    <s v="-"/>
    <s v=""/>
    <s v="01/01/2025 20:25"/>
    <s v="-"/>
    <s v="Flash Express Thailand COD"/>
    <s v="Tiktok"/>
    <s v="จ่ายทีหลัง / COD"/>
    <s v=""/>
    <s v="THT28141DP3ZS3Z"/>
    <s v="01/01/2025 20:25"/>
  </r>
  <r>
    <x v="59"/>
    <x v="84"/>
    <n v="100"/>
    <n v="2"/>
    <n v="0"/>
    <s v="EPK41"/>
    <n v="200"/>
    <n v="0"/>
    <s v="ร้านที่4"/>
    <s v="ก***ลิดา เ***รัศมี"/>
    <s v="ปทุมธานี"/>
    <s v="-"/>
    <s v=""/>
    <s v="01/01/2025 20:23"/>
    <s v="-"/>
    <s v="Flash Express Thailand COD"/>
    <s v="Tiktok"/>
    <s v="จ่ายทีหลัง / COD"/>
    <s v=""/>
    <s v="THT04031DP1JF0Z"/>
    <s v="01/01/2025 20:23"/>
  </r>
  <r>
    <x v="19"/>
    <x v="19"/>
    <n v="199"/>
    <n v="1"/>
    <n v="0"/>
    <s v="EPK40"/>
    <n v="240"/>
    <n v="41"/>
    <s v="ร้านที่1"/>
    <s v="ณ******ย"/>
    <s v="****** ตำบลบ้านฆ้อง อำเภอโพธาราม จังหวัดราชบุรี 70120"/>
    <s v="70120"/>
    <s v="36"/>
    <s v="01/01/2025 20:22"/>
    <s v="-"/>
    <s v="SPX Express"/>
    <s v="Shopee"/>
    <s v="shopee"/>
    <s v=""/>
    <s v="TH258978982524O"/>
    <s v="01/01/2025 20:22"/>
  </r>
  <r>
    <x v="19"/>
    <x v="19"/>
    <n v="197"/>
    <n v="1"/>
    <n v="0"/>
    <s v="EPK39"/>
    <n v="227"/>
    <n v="35"/>
    <s v="ร้านที่2"/>
    <s v="ก******า"/>
    <s v="******สามห่วง มีตู้น้ำเขียวหน้าบ้าน) ตำบลบางปูใหม่ อำเภอเมืองสมุทรปราการ จังหวัดสมุทรปราการ 10280"/>
    <s v="10280"/>
    <s v="30"/>
    <s v="01/01/2025 20:31"/>
    <s v="-"/>
    <s v="Flash Express"/>
    <s v="Shopee"/>
    <s v="shopee"/>
    <s v=""/>
    <s v="TH02016N76AY2E1"/>
    <s v="01/01/2025 20:19"/>
  </r>
  <r>
    <x v="19"/>
    <x v="19"/>
    <n v="250"/>
    <n v="1"/>
    <n v="0"/>
    <s v="EPK37"/>
    <n v="250"/>
    <n v="0"/>
    <s v="ร้านที่4"/>
    <s v="น***ศศิธร ว***ำ"/>
    <s v="พระนครศรีอยุธยา"/>
    <s v="-"/>
    <s v=""/>
    <s v="01/01/2025 20:15"/>
    <s v="-"/>
    <s v="Flash Express Thailand COD"/>
    <s v="Tiktok"/>
    <s v="จ่ายทีหลัง / COD"/>
    <s v=""/>
    <s v="THT05111DNPH49Z"/>
    <s v="01/01/2025 20:15"/>
  </r>
  <r>
    <x v="27"/>
    <x v="29"/>
    <n v="800"/>
    <n v="1"/>
    <n v="0"/>
    <s v="EPK36"/>
    <n v="800"/>
    <n v="0"/>
    <s v="ร้านที่2"/>
    <s v="ร***ลอดช่องวัดเจษ"/>
    <s v="กรุงเทพฯ"/>
    <s v="-"/>
    <s v=""/>
    <s v="01/01/2025 20:14"/>
    <s v="-"/>
    <s v="J&amp;T COD"/>
    <s v="Tiktok"/>
    <s v="จ่ายทีหลัง / COD"/>
    <s v=""/>
    <s v="754241753230"/>
    <s v="01/01/2025 20:14"/>
  </r>
  <r>
    <x v="19"/>
    <x v="19"/>
    <n v="199"/>
    <n v="1"/>
    <n v="0"/>
    <s v="EPK34"/>
    <n v="228"/>
    <n v="29"/>
    <s v="ร้านที่1"/>
    <s v="อ******่"/>
    <s v="******จ.สุพรรณบุรี ตำบลดอนคา อำเภออู่ทอง จังหวัดสุพรรณบุรี 72160"/>
    <s v="72160"/>
    <s v="59"/>
    <s v="01/01/2025 20:35"/>
    <s v="-"/>
    <s v="SPX Express"/>
    <s v="Shopee"/>
    <s v="shopee"/>
    <s v=""/>
    <s v="TH2560563123547"/>
    <s v="01/01/2025 20:07"/>
  </r>
  <r>
    <x v="59"/>
    <x v="84"/>
    <n v="100"/>
    <n v="1"/>
    <n v="0"/>
    <s v="EPK32"/>
    <n v="125"/>
    <n v="25"/>
    <s v="ร้านที่4"/>
    <s v="พ***ัยห์ ร***มณี"/>
    <s v="กรุงเทพฯ"/>
    <s v="-"/>
    <s v=""/>
    <s v="01/01/2025 20:05"/>
    <s v="-"/>
    <s v="Flash Express Thailand"/>
    <s v="Tiktok"/>
    <s v="tiktok"/>
    <s v=""/>
    <s v="THT01051DPFCH6Z"/>
    <s v="01/01/2025 20:05"/>
  </r>
  <r>
    <x v="19"/>
    <x v="19"/>
    <n v="199"/>
    <n v="1"/>
    <n v="0"/>
    <s v="EPK31"/>
    <n v="244"/>
    <n v="45"/>
    <s v="ร้านที่1"/>
    <s v="ป******ท"/>
    <s v="******ะเจ้านอก) ตำบลบางกะเจ้า ตำบลบางกะเจ้า อำเภอพระประแดง จังหวัดสมุทรปราการ 10130"/>
    <s v="10130"/>
    <s v="79"/>
    <s v="01/01/2025 20:31"/>
    <s v="-"/>
    <s v="SPX Express"/>
    <s v="Shopee"/>
    <s v="shopee"/>
    <s v=""/>
    <s v="TH256870939533C"/>
    <s v="01/01/2025 20:01"/>
  </r>
  <r>
    <x v="10"/>
    <x v="10"/>
    <n v="200"/>
    <n v="1"/>
    <n v="0"/>
    <s v="EPK30"/>
    <n v="200"/>
    <n v="0"/>
    <s v="ร้านที่2"/>
    <s v="เ***ศินี ท***กษร"/>
    <s v="สุพรรณบุรี"/>
    <s v="-"/>
    <s v=""/>
    <s v="01/01/2025 20:00"/>
    <s v="-"/>
    <s v="J&amp;T COD"/>
    <s v="Tiktok"/>
    <s v="จ่ายทีหลัง / COD"/>
    <s v=""/>
    <s v="754295035351"/>
    <s v="01/01/2025 20:00"/>
  </r>
  <r>
    <x v="1"/>
    <x v="1"/>
    <n v="200"/>
    <n v="1"/>
    <n v="0"/>
    <s v="EPK28"/>
    <n v="200"/>
    <n v="0"/>
    <s v="ร้านที่1"/>
    <s v="ส***น แ***ี"/>
    <s v="ชลบุรี"/>
    <s v="-"/>
    <s v=""/>
    <s v="01/01/2025 19:56"/>
    <s v="-"/>
    <s v="J&amp;T COD"/>
    <s v="Tiktok"/>
    <s v="จ่ายทีหลัง / COD"/>
    <s v=""/>
    <s v="754241096291"/>
    <s v="01/01/2025 19:57"/>
  </r>
  <r>
    <x v="10"/>
    <x v="10"/>
    <n v="200"/>
    <n v="1"/>
    <n v="0"/>
    <s v="EPK27"/>
    <n v="200"/>
    <n v="0"/>
    <s v="ร้านที่4"/>
    <s v="บ***ร.สลับศรี"/>
    <s v="กรุงเทพฯ"/>
    <s v="-"/>
    <s v=""/>
    <s v="01/01/2025 19:56"/>
    <s v="-"/>
    <s v="Flash Express Thailand COD"/>
    <s v="Tiktok"/>
    <s v="จ่ายทีหลัง / COD"/>
    <s v=""/>
    <s v="THT01491DNRQ89Z"/>
    <s v="01/01/2025 19:56"/>
  </r>
  <r>
    <x v="5"/>
    <x v="5"/>
    <n v="350"/>
    <n v="1"/>
    <n v="0"/>
    <s v="EPK26"/>
    <n v="350"/>
    <n v="0"/>
    <s v="ร้านที่4"/>
    <s v="ต***ร อ***ดี"/>
    <s v="สุพรรณบุรี"/>
    <s v="-"/>
    <s v=""/>
    <s v="01/01/2025 19:53"/>
    <s v="-"/>
    <s v="Flash Express Thailand COD"/>
    <s v="Tiktok"/>
    <s v="จ่ายทีหลัง / COD"/>
    <s v=""/>
    <s v="THT14021DPF4Y4Z"/>
    <s v="01/01/2025 19:53"/>
  </r>
  <r>
    <x v="59"/>
    <x v="84"/>
    <n v="100"/>
    <n v="1"/>
    <n v="0"/>
    <s v="EPK25"/>
    <n v="125"/>
    <n v="25"/>
    <s v="ร้านที่1"/>
    <s v="พ***อน"/>
    <s v="นครศรีธรรมราช"/>
    <s v="-"/>
    <s v=""/>
    <s v="01/01/2025 19:52"/>
    <s v="-"/>
    <s v="J&amp;T COD"/>
    <s v="Tiktok"/>
    <s v="จ่ายทีหลัง / COD"/>
    <s v=""/>
    <s v="754216687291"/>
    <s v="01/01/2025 19:52"/>
  </r>
  <r>
    <x v="59"/>
    <x v="84"/>
    <n v="100"/>
    <n v="1"/>
    <n v="0"/>
    <s v="EPK24"/>
    <n v="125"/>
    <n v="25"/>
    <s v="ร้านที่2"/>
    <s v="น***พิ่ม บ***้วม"/>
    <s v="นครสวรรค์"/>
    <s v="-"/>
    <s v=""/>
    <s v="01/01/2025 19:50"/>
    <s v="-"/>
    <s v="J&amp;T COD"/>
    <s v="Tiktok"/>
    <s v="จ่ายทีหลัง / COD"/>
    <s v=""/>
    <s v="754275985223"/>
    <s v="01/01/2025 19:51"/>
  </r>
  <r>
    <x v="59"/>
    <x v="84"/>
    <n v="100"/>
    <n v="1"/>
    <n v="0"/>
    <s v="EPK23"/>
    <n v="125"/>
    <n v="25"/>
    <s v="ร้านที่4"/>
    <s v="อ***จ ส***ศน์"/>
    <s v="ลำพูน"/>
    <s v="-"/>
    <s v=""/>
    <s v="01/01/2025 19:50"/>
    <s v="-"/>
    <s v="Flash Express Thailand"/>
    <s v="Tiktok"/>
    <s v="tiktok"/>
    <s v=""/>
    <s v="THT48061DPFEA0Z"/>
    <s v="01/01/2025 19:50"/>
  </r>
  <r>
    <x v="4"/>
    <x v="4"/>
    <n v="100"/>
    <n v="2"/>
    <n v="0"/>
    <s v="EPK22"/>
    <n v="200"/>
    <n v="0"/>
    <s v="ร้านที่2"/>
    <s v="ส***ยา      ด***ำพา"/>
    <s v="ราชบุรี"/>
    <s v="-"/>
    <s v=""/>
    <s v="01/01/2025 19:48"/>
    <s v="-"/>
    <s v="J&amp;T COD"/>
    <s v="Tiktok"/>
    <s v="จ่ายทีหลัง / COD"/>
    <s v=""/>
    <s v="754256629394"/>
    <s v="01/01/2025 19:48"/>
  </r>
  <r>
    <x v="5"/>
    <x v="5"/>
    <n v="350"/>
    <n v="1"/>
    <n v="0"/>
    <s v="EPK21"/>
    <n v="350"/>
    <n v="0"/>
    <s v="ร้านที่4"/>
    <s v="ร***ต.สถิต อ***ิ"/>
    <s v="บุรีรัมย์"/>
    <s v="-"/>
    <s v=""/>
    <s v="01/01/2025 19:45"/>
    <s v="-"/>
    <s v="Flash Express Thailand COD"/>
    <s v="Tiktok"/>
    <s v="จ่ายทีหลัง / COD"/>
    <s v=""/>
    <s v="THT28071DPF3B4Z"/>
    <s v="01/01/2025 19:45"/>
  </r>
  <r>
    <x v="9"/>
    <x v="4"/>
    <n v="120"/>
    <n v="2"/>
    <n v="0"/>
    <s v="EPK20"/>
    <n v="264"/>
    <n v="29"/>
    <s v="ร้านที่2"/>
    <s v="จ*****า"/>
    <s v="******ำไทร ตำบลลำไทร อำเภอวังน้อย จังหวัดพระนครศรีอยุธยา 13170"/>
    <s v="13170"/>
    <s v="39"/>
    <s v="01/01/2025 19:45"/>
    <s v="-"/>
    <s v="Flash Express"/>
    <s v="Shopee"/>
    <s v="shopee"/>
    <s v=""/>
    <s v="TH05116N7FHH6D"/>
    <s v="01/01/2025 19:44"/>
  </r>
  <r>
    <x v="3"/>
    <x v="8"/>
    <n v="99.75"/>
    <n v="1"/>
    <n v="0"/>
    <s v="EPK18"/>
    <n v="294.75"/>
    <n v="24"/>
    <s v="ร้านที่6"/>
    <s v="นาง เกษร บุญกุศล"/>
    <s v="76 หมุ่1 บ้านขั้นไดใหญ่  ตำบล ขั้นไดใหญ่ อ.เมือง จ.ยโสธร_x000a__x000a_เมืองยโสธร/ Mueang Yasothonยโสธร/ Yasothon_x000a_35000"/>
    <s v="35000"/>
    <s v="660807392472"/>
    <s v="01/01/2025 19:42"/>
    <s v="-"/>
    <s v="Kerry_dropoff"/>
    <s v="Lazada"/>
    <s v="lazada"/>
    <s v=""/>
    <s v="TH32016N6DDX2H"/>
    <s v="01/01/2025 19:42"/>
  </r>
  <r>
    <x v="3"/>
    <x v="8"/>
    <n v="99.75"/>
    <n v="1"/>
    <n v="0"/>
    <s v="EPK18"/>
    <n v="294.75"/>
    <n v="24"/>
    <s v="ร้านที่6"/>
    <s v="นาง เกษร บุญกุศล"/>
    <s v="76 หมุ่1 บ้านขั้นไดใหญ่  ตำบล ขั้นไดใหญ่ อ.เมือง จ.ยโสธร_x000a__x000a_เมืองยโสธร/ Mueang Yasothonยโสธร/ Yasothon_x000a_35000"/>
    <s v="35000"/>
    <s v="660807392472"/>
    <s v="01/01/2025 19:42"/>
    <s v="-"/>
    <s v="Kerry_dropoff"/>
    <s v="Lazada"/>
    <s v="lazada"/>
    <s v=""/>
    <s v="TH32016N6DDX2H"/>
    <s v="01/01/2025 19:42"/>
  </r>
  <r>
    <x v="10"/>
    <x v="10"/>
    <n v="200"/>
    <n v="1"/>
    <n v="0"/>
    <s v="EPK16"/>
    <n v="200"/>
    <n v="0"/>
    <s v="ร้านที่1"/>
    <s v="ณ***ิศา ส***ล"/>
    <s v="Bangkok"/>
    <s v="-"/>
    <s v=""/>
    <s v="01/01/2025 19:35"/>
    <s v="-"/>
    <s v="J&amp;T COD"/>
    <s v="Tiktok"/>
    <s v="จ่ายทีหลัง / COD"/>
    <s v=""/>
    <s v="754261835386"/>
    <s v="01/01/2025 19:35"/>
  </r>
  <r>
    <x v="3"/>
    <x v="8"/>
    <n v="99.75"/>
    <n v="1"/>
    <n v="0"/>
    <s v="EPK15"/>
    <n v="104.75"/>
    <n v="5"/>
    <s v="ร้านที่6"/>
    <s v="สุกัญญา สอนสำแดง"/>
    <s v="167หมู่7 · ห้วยแถลง/ Huai Thalaeng_x000a__x000a_ห้วยแถลง/ Huai Thalaengนครราชสีมา/ Nakhon Ratchasima_x000a_30240"/>
    <s v="30240"/>
    <s v="660857486659"/>
    <s v="01/01/2025 19:34"/>
    <s v="-"/>
    <s v="Kerry_dropoff"/>
    <s v="Lazada"/>
    <s v="lazada"/>
    <s v=""/>
    <s v="TH27166N6BPR2A"/>
    <s v="01/01/2025 19:34"/>
  </r>
  <r>
    <x v="1"/>
    <x v="1"/>
    <n v="200"/>
    <n v="1"/>
    <n v="0"/>
    <s v="EPK14"/>
    <n v="530"/>
    <n v="0"/>
    <s v="ร้านที่2"/>
    <s v="ห***ี เ***อชัย"/>
    <s v="เทศบาลนครอุบลราชธานี"/>
    <s v="-"/>
    <s v=""/>
    <s v="01/01/2025 19:30"/>
    <s v="-"/>
    <s v="J&amp;T COD"/>
    <s v="Tiktok"/>
    <s v="จ่ายทีหลัง / COD"/>
    <s v=""/>
    <s v="754229936386"/>
    <s v="01/01/2025 19:31"/>
  </r>
  <r>
    <x v="29"/>
    <x v="36"/>
    <n v="330"/>
    <n v="1"/>
    <n v="0"/>
    <s v="EPK14"/>
    <n v="530"/>
    <n v="0"/>
    <s v="ร้านที่2"/>
    <s v="ห***ี เ***อชัย"/>
    <s v="เทศบาลนครอุบลราชธานี"/>
    <s v="-"/>
    <s v=""/>
    <s v="01/01/2025 19:30"/>
    <s v="-"/>
    <s v="J&amp;T COD"/>
    <s v="Tiktok"/>
    <s v="จ่ายทีหลัง / COD"/>
    <s v=""/>
    <s v="754229936386"/>
    <s v="01/01/2025 19:31"/>
  </r>
  <r>
    <x v="4"/>
    <x v="4"/>
    <n v="100"/>
    <n v="1"/>
    <n v="0"/>
    <s v="EPK12"/>
    <n v="200"/>
    <n v="0"/>
    <s v="ร้านที่2"/>
    <s v="ช***์นันท์ พ***วัสดิ์"/>
    <s v="ประจวบคีรีขันธ์"/>
    <s v="-"/>
    <s v=""/>
    <s v="01/01/2025 19:28"/>
    <s v="-"/>
    <s v="J&amp;T COD"/>
    <s v="Tiktok"/>
    <s v="จ่ายทีหลัง / COD"/>
    <s v=""/>
    <s v="754202834383"/>
    <s v="01/01/2025 19:28"/>
  </r>
  <r>
    <x v="9"/>
    <x v="4"/>
    <n v="100"/>
    <n v="1"/>
    <n v="0"/>
    <s v="EPK12"/>
    <n v="200"/>
    <n v="0"/>
    <s v="ร้านที่2"/>
    <s v="ช***์นันท์ พ***วัสดิ์"/>
    <s v="ประจวบคีรีขันธ์"/>
    <s v="-"/>
    <s v=""/>
    <s v="01/01/2025 19:28"/>
    <s v="-"/>
    <s v="J&amp;T COD"/>
    <s v="Tiktok"/>
    <s v="จ่ายทีหลัง / COD"/>
    <s v=""/>
    <s v="754202834383"/>
    <s v="01/01/2025 19:28"/>
  </r>
  <r>
    <x v="59"/>
    <x v="84"/>
    <n v="100"/>
    <n v="1"/>
    <n v="0"/>
    <s v="EPK11"/>
    <n v="125"/>
    <n v="25"/>
    <s v="ร้านที่1"/>
    <s v="ส***ชัย ศ***ระโคน"/>
    <s v="ลพบุรี"/>
    <s v="-"/>
    <s v=""/>
    <s v="01/01/2025 19:28"/>
    <s v="-"/>
    <s v="J&amp;T Express"/>
    <s v="Tiktok"/>
    <s v="tiktok"/>
    <s v=""/>
    <s v="754213589264"/>
    <s v="01/01/2025 19:28"/>
  </r>
  <r>
    <x v="19"/>
    <x v="19"/>
    <n v="199"/>
    <n v="1"/>
    <n v="0"/>
    <s v="EPK10"/>
    <n v="199"/>
    <n v="0"/>
    <s v="ร้านที่1"/>
    <s v="ส******ม"/>
    <s v="******ี, ตำบลกะหรอ, อำเภอนบพิตำ ตำบลกะหรอ อำเภอนบพิตำ จังหวัดนครศรีธรรมราช 80160"/>
    <s v="80160"/>
    <s v="75"/>
    <s v="01/01/2025 19:27"/>
    <s v="-"/>
    <s v="SPX Express"/>
    <s v="Shopee"/>
    <s v="shopee"/>
    <s v=""/>
    <s v="TH252710147146Z"/>
    <s v="01/01/2025 19:26"/>
  </r>
  <r>
    <x v="33"/>
    <x v="43"/>
    <n v="330"/>
    <n v="2"/>
    <n v="0"/>
    <s v="EPK9"/>
    <n v="660"/>
    <n v="0"/>
    <s v="ร้านที่4"/>
    <s v="ภ***ร ม***ิบูรณ์"/>
    <s v="สมุทรสาคร"/>
    <s v="-"/>
    <s v=""/>
    <s v="01/01/2025 19:24"/>
    <s v="-"/>
    <s v="Flash Express Thailand COD"/>
    <s v="Tiktok"/>
    <s v="จ่ายทีหลัง / COD"/>
    <s v=""/>
    <s v="THT16011DNQ1Z1Z"/>
    <s v="01/01/2025 19:25"/>
  </r>
  <r>
    <x v="59"/>
    <x v="84"/>
    <n v="100"/>
    <n v="1"/>
    <n v="0"/>
    <s v="EPK8"/>
    <n v="125"/>
    <n v="25"/>
    <s v="ร้านที่1"/>
    <s v="จ***ิรา  ด***รี"/>
    <s v="ลพบุรี"/>
    <s v="-"/>
    <s v=""/>
    <s v="01/01/2025 19:22"/>
    <s v="-"/>
    <s v="J&amp;T COD"/>
    <s v="Tiktok"/>
    <s v="จ่ายทีหลัง / COD"/>
    <s v=""/>
    <s v="754205389254"/>
    <s v="01/01/2025 19:22"/>
  </r>
  <r>
    <x v="59"/>
    <x v="84"/>
    <n v="100"/>
    <n v="1"/>
    <n v="0"/>
    <s v="EPK7"/>
    <n v="125"/>
    <n v="25"/>
    <s v="ร้านที่1"/>
    <s v="อ***มา  ซ***น"/>
    <s v="มุกดาหาร"/>
    <s v="-"/>
    <s v=""/>
    <s v="01/01/2025 19:21"/>
    <s v="-"/>
    <s v="J&amp;T COD"/>
    <s v="Tiktok"/>
    <s v="จ่ายทีหลัง / COD"/>
    <s v=""/>
    <s v="754231385261"/>
    <s v="01/01/2025 19:22"/>
  </r>
  <r>
    <x v="29"/>
    <x v="36"/>
    <n v="330"/>
    <n v="1"/>
    <n v="0"/>
    <s v="EPK6"/>
    <n v="330"/>
    <n v="0"/>
    <s v="ร้านที่4"/>
    <s v="ร***พร แ***ันทร์"/>
    <s v="สงขลา"/>
    <s v="-"/>
    <s v=""/>
    <s v="01/01/2025 19:21"/>
    <s v="-"/>
    <s v="Flash Express Thailand"/>
    <s v="Tiktok"/>
    <s v="tiktok"/>
    <s v=""/>
    <s v="THT71111DP5E67Z"/>
    <s v="01/01/2025 19:20"/>
  </r>
  <r>
    <x v="2"/>
    <x v="2"/>
    <n v="85"/>
    <n v="1"/>
    <n v="0"/>
    <s v="EPK3"/>
    <n v="90"/>
    <n v="5"/>
    <s v="ร้านที่1"/>
    <s v="กันตณา กุดกันยา"/>
    <s v="60หมู่17 บ้านโพธิ์ทอง-หมากมาย ตำบลหนองเหล็ก · หนองเหล็ก/ Nong Lek_x000a__x000a_โกสุมพิสัย/ Kosum Phisaiมหาสารคาม/ Maha Sarakham_x000a_44140"/>
    <s v="44140"/>
    <s v="660652461961"/>
    <s v="01/01/2025 19:16"/>
    <s v="-"/>
    <s v="Kerry_dropoff"/>
    <s v="Lazada"/>
    <s v="lazada"/>
    <s v=""/>
    <s v="TH41036N6KG22G"/>
    <s v="01/01/2025 19:16"/>
  </r>
  <r>
    <x v="1"/>
    <x v="1"/>
    <n v="200"/>
    <n v="1"/>
    <n v="0"/>
    <s v="EPK2"/>
    <n v="200"/>
    <n v="0"/>
    <s v="ร้านที่1"/>
    <s v="ล***ียน ศ***ิลัย"/>
    <s v="พิษณุโลก"/>
    <s v="-"/>
    <s v=""/>
    <s v="01/01/2025 19:16"/>
    <s v="-"/>
    <s v="J&amp;T COD"/>
    <s v="Tiktok"/>
    <s v="จ่ายทีหลัง / COD"/>
    <s v=""/>
    <s v="754266109343"/>
    <s v="01/01/2025 19:16"/>
  </r>
  <r>
    <x v="5"/>
    <x v="5"/>
    <n v="350"/>
    <n v="1"/>
    <n v="0"/>
    <s v="EPK1"/>
    <n v="350"/>
    <n v="0"/>
    <s v="ร้านที่4"/>
    <s v="อ*** ย***ย็น"/>
    <s v="ปทุมธานี"/>
    <s v="-"/>
    <s v=""/>
    <s v="01/01/2025 19:14"/>
    <s v="-"/>
    <s v="Flash Express Thailand COD"/>
    <s v="Tiktok"/>
    <s v="จ่ายทีหลัง / COD"/>
    <s v=""/>
    <s v="THT04041DPGGW2Z"/>
    <s v="01/01/2025 19:14"/>
  </r>
  <r>
    <x v="33"/>
    <x v="43"/>
    <n v="330"/>
    <n v="1"/>
    <n v="0"/>
    <s v="EPK0"/>
    <n v="330"/>
    <n v="0"/>
    <s v="ร้านที่4"/>
    <s v="เ***์ส "/>
    <s v="Samut Prakan"/>
    <s v="-"/>
    <s v=""/>
    <s v="01/01/2025 19:13"/>
    <s v="-"/>
    <s v="Flash Express Thailand"/>
    <s v="Tiktok"/>
    <s v="tiktok"/>
    <s v=""/>
    <s v="THT02061DP2T11Z"/>
    <s v="01/01/2025 19:13"/>
  </r>
  <r>
    <x v="9"/>
    <x v="4"/>
    <n v="100"/>
    <n v="3"/>
    <n v="0"/>
    <s v="EPJ99"/>
    <n v="600"/>
    <n v="0"/>
    <s v="ร้านที่1"/>
    <s v="อ***า ส***พงศ์"/>
    <s v="สงขลา"/>
    <s v="-"/>
    <s v=""/>
    <s v="01/01/2025 19:12"/>
    <s v="-"/>
    <s v="J&amp;T COD"/>
    <s v="Tiktok"/>
    <s v="จ่ายทีหลัง / COD"/>
    <s v=""/>
    <s v="754240322356"/>
    <s v="01/01/2025 19:12"/>
  </r>
  <r>
    <x v="4"/>
    <x v="4"/>
    <n v="100"/>
    <n v="3"/>
    <n v="0"/>
    <s v="EPJ99"/>
    <n v="600"/>
    <n v="0"/>
    <s v="ร้านที่1"/>
    <s v="อ***า ส***พงศ์"/>
    <s v="สงขลา"/>
    <s v="-"/>
    <s v=""/>
    <s v="01/01/2025 19:12"/>
    <s v="-"/>
    <s v="J&amp;T COD"/>
    <s v="Tiktok"/>
    <s v="จ่ายทีหลัง / COD"/>
    <s v=""/>
    <s v="754240322356"/>
    <s v="01/01/2025 19:12"/>
  </r>
  <r>
    <x v="3"/>
    <x v="3"/>
    <n v="100"/>
    <n v="1"/>
    <n v="0"/>
    <s v="EPJ98"/>
    <n v="106"/>
    <n v="6"/>
    <s v="ร้านที่4"/>
    <s v="ค***ดง"/>
    <s v="ปทุมธานี"/>
    <s v="-"/>
    <s v=""/>
    <s v="02/01/2025 05:57"/>
    <s v="-"/>
    <s v="Flash Express Thailand"/>
    <s v="Tiktok"/>
    <s v="tiktok"/>
    <s v=""/>
    <s v="THT04021DNZT71Z"/>
    <s v="01/01/2025 19:11"/>
  </r>
  <r>
    <x v="1"/>
    <x v="1"/>
    <n v="200"/>
    <n v="1"/>
    <n v="0"/>
    <s v="EPJ97"/>
    <n v="200"/>
    <n v="0"/>
    <s v="ร้านที่1"/>
    <s v="ศ***ร"/>
    <s v="สระบุรี"/>
    <s v="-"/>
    <s v=""/>
    <s v="01/01/2025 19:09"/>
    <s v="-"/>
    <s v="J&amp;T COD"/>
    <s v="Tiktok"/>
    <s v="จ่ายทีหลัง / COD"/>
    <s v=""/>
    <s v="754219410313"/>
    <s v="01/01/2025 19:09"/>
  </r>
  <r>
    <x v="19"/>
    <x v="19"/>
    <n v="197"/>
    <n v="3"/>
    <n v="0"/>
    <s v="EPJ96"/>
    <n v="655"/>
    <n v="64"/>
    <s v="ร้านที่2"/>
    <s v="ส******ร"/>
    <s v="****** ตำบลไทรใหญ่ อำเภอไทรน้อย จังหวัดนนทบุรี 11150"/>
    <s v="11150"/>
    <s v="37"/>
    <s v="01/01/2025 19:08"/>
    <s v="-"/>
    <s v="Flash Express"/>
    <s v="Shopee"/>
    <s v="shopee"/>
    <s v=""/>
    <s v="TH03056N6V7M8D"/>
    <s v="01/01/2025 19:08"/>
  </r>
  <r>
    <x v="5"/>
    <x v="5"/>
    <n v="330"/>
    <n v="1"/>
    <n v="0"/>
    <s v="EPJ95"/>
    <n v="330"/>
    <n v="0"/>
    <s v="ร้านที่1"/>
    <s v="จ***ณี"/>
    <s v="ชลบุรี"/>
    <s v="-"/>
    <s v=""/>
    <s v="01/01/2025 19:08"/>
    <s v="-"/>
    <s v="J&amp;T COD"/>
    <s v="Tiktok"/>
    <s v="จ่ายทีหลัง / COD"/>
    <s v=""/>
    <s v="754257298211"/>
    <s v="01/01/2025 19:08"/>
  </r>
  <r>
    <x v="3"/>
    <x v="3"/>
    <n v="100"/>
    <n v="2"/>
    <n v="0"/>
    <s v="EPJ94"/>
    <n v="200"/>
    <n v="0"/>
    <s v="ร้านที่4"/>
    <s v="ส***ดา ค***อน"/>
    <s v="พิษณุโลก"/>
    <s v="-"/>
    <s v=""/>
    <s v="01/01/2025 19:05"/>
    <s v="-"/>
    <s v="Flash Express Thailand COD"/>
    <s v="Tiktok"/>
    <s v="จ่ายทีหลัง / COD"/>
    <s v=""/>
    <s v="THT61011DPBTT0Z"/>
    <s v="01/01/2025 19:05"/>
  </r>
  <r>
    <x v="4"/>
    <x v="4"/>
    <n v="100"/>
    <n v="1"/>
    <n v="0"/>
    <s v="EPJ93"/>
    <n v="100"/>
    <n v="0"/>
    <s v="ร้านที่2"/>
    <s v="เ***อวัลย์ บ***รือง"/>
    <s v="สระบุรี"/>
    <s v="-"/>
    <s v=""/>
    <s v="01/01/2025 19:03"/>
    <s v="-"/>
    <s v="J&amp;T COD"/>
    <s v="Tiktok"/>
    <s v="จ่ายทีหลัง / COD"/>
    <s v=""/>
    <s v="754239107366"/>
    <s v="01/01/2025 19:03"/>
  </r>
  <r>
    <x v="4"/>
    <x v="4"/>
    <n v="100"/>
    <n v="2"/>
    <n v="0"/>
    <s v="EPJ92"/>
    <n v="200"/>
    <n v="0"/>
    <s v="ร้านที่2"/>
    <s v="N***hip B***phun"/>
    <s v="ปทุมธานี"/>
    <s v="-"/>
    <s v=""/>
    <s v="01/01/2025 18:57"/>
    <s v="-"/>
    <s v="J&amp;T COD"/>
    <s v="Tiktok"/>
    <s v="จ่ายทีหลัง / COD"/>
    <s v=""/>
    <s v="754238601303"/>
    <s v="01/01/2025 18:57"/>
  </r>
  <r>
    <x v="59"/>
    <x v="84"/>
    <n v="100"/>
    <n v="1"/>
    <n v="0"/>
    <s v="EPJ91"/>
    <n v="125"/>
    <n v="25"/>
    <s v="ร้านที่2"/>
    <s v="บ***ร ข***ทอง"/>
    <s v="นครสวรรค์"/>
    <s v="-"/>
    <s v=""/>
    <s v="01/01/2025 18:57"/>
    <s v="-"/>
    <s v="J&amp;T COD"/>
    <s v="Tiktok"/>
    <s v="จ่ายทีหลัง / COD"/>
    <s v=""/>
    <s v="754230782222"/>
    <s v="01/01/2025 18:57"/>
  </r>
  <r>
    <x v="19"/>
    <x v="19"/>
    <n v="199"/>
    <n v="1"/>
    <n v="0"/>
    <s v="EPJ90"/>
    <n v="240"/>
    <n v="41"/>
    <s v="ร้านที่1"/>
    <s v="อ******์"/>
    <s v="******หมู่บ้าน บ้านท่าขอนยาง, ตำบลท่าขอนยาง, อำเภอกันทรวิชัย ตำบลท่าขอนยาง อำเภอกันทรวิชัย จังหวัดมหาสารคาม 44150"/>
    <s v="44150"/>
    <s v="09"/>
    <s v="01/01/2025 19:27"/>
    <s v="-"/>
    <s v="SPX Express"/>
    <s v="Shopee"/>
    <s v="shopee"/>
    <s v=""/>
    <s v="TH258841135717X"/>
    <s v="01/01/2025 18:57"/>
  </r>
  <r>
    <x v="9"/>
    <x v="4"/>
    <n v="100"/>
    <n v="1"/>
    <n v="0"/>
    <s v="EPJ88"/>
    <n v="100"/>
    <n v="0"/>
    <s v="ร้านที่2"/>
    <s v="จ***รัตน์ พ***เพ็ง"/>
    <s v="สมุทรสาคร"/>
    <s v="-"/>
    <s v=""/>
    <s v="01/01/2025 18:52"/>
    <s v="-"/>
    <s v="J&amp;T COD"/>
    <s v="Tiktok"/>
    <s v="จ่ายทีหลัง / COD"/>
    <s v=""/>
    <s v="754264879211"/>
    <s v="01/01/2025 18:53"/>
  </r>
  <r>
    <x v="0"/>
    <x v="0"/>
    <n v="100"/>
    <n v="1"/>
    <n v="0"/>
    <s v="EPJ87"/>
    <n v="106"/>
    <n v="6"/>
    <s v="ร้านที่1"/>
    <s v="ก*** ไ***ารัตน์"/>
    <s v="หนองคาย"/>
    <s v="-"/>
    <s v=""/>
    <s v="01/01/2025 18:51"/>
    <s v="-"/>
    <s v="J&amp;T COD"/>
    <s v="Tiktok"/>
    <s v="จ่ายทีหลัง / COD"/>
    <s v=""/>
    <s v="754237858253"/>
    <s v="01/01/2025 18:51"/>
  </r>
  <r>
    <x v="33"/>
    <x v="43"/>
    <n v="330"/>
    <n v="1"/>
    <n v="0"/>
    <s v="EPJ86"/>
    <n v="330"/>
    <n v="0"/>
    <s v="ร้านที่2"/>
    <s v="ส***ชญา ป***จ"/>
    <s v="เชียงใหม่"/>
    <s v="-"/>
    <s v=""/>
    <s v="01/01/2025 18:50"/>
    <s v="-"/>
    <s v="J&amp;T COD"/>
    <s v="Tiktok"/>
    <s v="จ่ายทีหลัง / COD"/>
    <s v=""/>
    <s v="754285953293"/>
    <s v="01/01/2025 18:50"/>
  </r>
  <r>
    <x v="1"/>
    <x v="1"/>
    <n v="200"/>
    <n v="1"/>
    <n v="0"/>
    <s v="EPJ85"/>
    <n v="200"/>
    <n v="0"/>
    <s v="ร้านที่1"/>
    <s v="ท***ีย์ จ***ร์ดวงศรี"/>
    <s v="ศรีสะเกษ"/>
    <s v="-"/>
    <s v=""/>
    <s v="01/01/2025 18:50"/>
    <s v="-"/>
    <s v="J&amp;T Express"/>
    <s v="Tiktok"/>
    <s v="tiktok"/>
    <s v=""/>
    <s v="754276104304"/>
    <s v="01/01/2025 18:49"/>
  </r>
  <r>
    <x v="4"/>
    <x v="4"/>
    <n v="100"/>
    <n v="1"/>
    <n v="0"/>
    <s v="EPJ84"/>
    <n v="106"/>
    <n v="6"/>
    <s v="ร้านที่1"/>
    <s v="ร***ฤดี ด***สุวรรณ"/>
    <s v="สุราษฎร์ธานี"/>
    <s v="-"/>
    <s v=""/>
    <s v="01/01/2025 18:46"/>
    <s v="-"/>
    <s v="J&amp;T COD"/>
    <s v="Tiktok"/>
    <s v="จ่ายทีหลัง / COD"/>
    <s v=""/>
    <s v="754253909371"/>
    <s v="01/01/2025 18:46"/>
  </r>
  <r>
    <x v="6"/>
    <x v="6"/>
    <n v="199"/>
    <n v="1"/>
    <n v="0"/>
    <s v="EPJ83"/>
    <n v="234"/>
    <n v="35"/>
    <s v="ร้านที่1"/>
    <s v="บ******ง"/>
    <s v="****** ตำบลไร่ขิง อำเภอสามพราน จังหวัดนครปฐม 73210"/>
    <s v="73210"/>
    <s v="94"/>
    <s v="01/01/2025 18:45"/>
    <s v="-"/>
    <s v="Flash Express"/>
    <s v="Shopee"/>
    <s v="shopee"/>
    <s v=""/>
    <s v="TH15066N86584H"/>
    <s v="01/01/2025 18:45"/>
  </r>
  <r>
    <x v="2"/>
    <x v="2"/>
    <n v="93.6"/>
    <n v="1"/>
    <n v="0"/>
    <s v="EPJ81"/>
    <n v="98.6"/>
    <n v="5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01/01/2025 18:42"/>
    <s v="-"/>
    <s v="Kerry_dropoff"/>
    <s v="Lazada"/>
    <s v="lazada"/>
    <s v=""/>
    <s v="LEXPU0440658932"/>
    <s v="01/01/2025 18:42"/>
  </r>
  <r>
    <x v="59"/>
    <x v="84"/>
    <n v="100"/>
    <n v="1"/>
    <n v="0"/>
    <s v="EPJ80"/>
    <n v="125"/>
    <n v="25"/>
    <s v="ร้านที่2"/>
    <s v="ธ*** เ***สินธุ์"/>
    <s v="พะเยา"/>
    <s v="-"/>
    <s v=""/>
    <s v="01/01/2025 18:41"/>
    <s v="-"/>
    <s v="J&amp;T COD"/>
    <s v="Tiktok"/>
    <s v="จ่ายทีหลัง / COD"/>
    <s v=""/>
    <s v="754229489274"/>
    <s v="01/01/2025 18:41"/>
  </r>
  <r>
    <x v="29"/>
    <x v="36"/>
    <n v="330"/>
    <n v="1"/>
    <n v="0"/>
    <s v="EPJ76"/>
    <n v="330"/>
    <n v="0"/>
    <s v="ร้านที่1"/>
    <s v="อ***ยา  ภ***ิลป์"/>
    <s v="ระยอง"/>
    <s v="-"/>
    <s v=""/>
    <s v="01/01/2025 18:30"/>
    <s v="-"/>
    <s v="J&amp;T COD"/>
    <s v="Tiktok"/>
    <s v="จ่ายทีหลัง / COD"/>
    <s v=""/>
    <s v="754221293280"/>
    <s v="01/01/2025 18:30"/>
  </r>
  <r>
    <x v="7"/>
    <x v="7"/>
    <n v="74.400000000000006"/>
    <n v="1"/>
    <n v="0"/>
    <s v="EPJ75"/>
    <n v="79.400000000000006"/>
    <n v="5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01/01/2025 18:30"/>
    <s v="-"/>
    <s v="Kerry_dropoff"/>
    <s v="Lazada"/>
    <s v="lazada"/>
    <s v=""/>
    <s v="LEXPU0440627337"/>
    <s v="01/01/2025 18:30"/>
  </r>
  <r>
    <x v="5"/>
    <x v="5"/>
    <n v="350"/>
    <n v="1"/>
    <n v="0"/>
    <s v="EPJ72"/>
    <n v="350"/>
    <n v="0"/>
    <s v="ร้านที่4"/>
    <s v="ว***พงษ์ ข***ิฉัตร"/>
    <s v="พระนครศรีอยุธยา"/>
    <s v="-"/>
    <s v=""/>
    <s v="01/01/2025 18:24"/>
    <s v="-"/>
    <s v="Flash Express Thailand COD"/>
    <s v="Tiktok"/>
    <s v="จ่ายทีหลัง / COD"/>
    <s v=""/>
    <s v="THT05141DPFG88Z"/>
    <s v="01/01/2025 18:24"/>
  </r>
  <r>
    <x v="4"/>
    <x v="4"/>
    <n v="100"/>
    <n v="1"/>
    <n v="0"/>
    <s v="EPJ70"/>
    <n v="145"/>
    <n v="45"/>
    <s v="ร้านที่4"/>
    <s v="ส***ฒ  ศ***สุข"/>
    <s v="สุรินทร์"/>
    <s v="-"/>
    <s v=""/>
    <s v="01/01/2025 18:23"/>
    <s v="-"/>
    <s v="Flash Express Thailand COD"/>
    <s v="Tiktok"/>
    <s v="จ่ายทีหลัง / COD"/>
    <s v=""/>
    <s v="THT29051DP9UF4Z"/>
    <s v="01/01/2025 18:23"/>
  </r>
  <r>
    <x v="29"/>
    <x v="36"/>
    <n v="330"/>
    <n v="1"/>
    <n v="0"/>
    <s v="EPJ69"/>
    <n v="330"/>
    <n v="0"/>
    <s v="ร้านที่4"/>
    <s v="ว***พงษ์ ข***ิฉัตร"/>
    <s v="พระนครศรีอยุธยา"/>
    <s v="-"/>
    <s v=""/>
    <s v="01/01/2025 18:22"/>
    <s v="-"/>
    <s v="Flash Express Thailand COD"/>
    <s v="Tiktok"/>
    <s v="จ่ายทีหลัง / COD"/>
    <s v=""/>
    <s v="THT05141DP5597Z"/>
    <s v="01/01/2025 18:22"/>
  </r>
  <r>
    <x v="24"/>
    <x v="25"/>
    <n v="800"/>
    <n v="1"/>
    <n v="0"/>
    <s v="EPJ67"/>
    <n v="904"/>
    <n v="104"/>
    <s v="ร้านที่1"/>
    <s v="น******์"/>
    <s v="******ขต คันนายาว กรุงเทพฯ10230 แขวงคันนายาว เขตคันนายาว จังหวัดกรุงเทพมหานคร 10230"/>
    <s v="10230"/>
    <s v="43"/>
    <s v="01/01/2025 18:20"/>
    <s v="-"/>
    <s v="SPX Express"/>
    <s v="Shopee"/>
    <s v="shopee"/>
    <s v=""/>
    <s v="TH251439878684D"/>
    <s v="01/01/2025 18:20"/>
  </r>
  <r>
    <x v="19"/>
    <x v="19"/>
    <n v="199"/>
    <n v="3"/>
    <n v="0"/>
    <s v="EPJ66"/>
    <n v="672"/>
    <n v="75"/>
    <s v="ร้านที่1"/>
    <s v="ห******ิ"/>
    <s v="******านส้อง อำเภอเวียงสระ จังหวัดสุราษฎร์ธานี 84190"/>
    <s v="84190"/>
    <s v="53"/>
    <s v="01/01/2025 18:20"/>
    <s v="-"/>
    <s v="SPX Express"/>
    <s v="Shopee"/>
    <s v="shopee"/>
    <s v=""/>
    <s v="TH2525115043883"/>
    <s v="01/01/2025 18:20"/>
  </r>
  <r>
    <x v="10"/>
    <x v="10"/>
    <n v="200"/>
    <n v="1"/>
    <n v="0"/>
    <s v="EPJ65"/>
    <n v="200"/>
    <n v="0"/>
    <s v="ร้านที่1"/>
    <s v="ม*** ศ***า"/>
    <s v="ปราจีนบุรี"/>
    <s v="-"/>
    <s v=""/>
    <s v="01/01/2025 18:20"/>
    <s v="-"/>
    <s v="J&amp;T Express"/>
    <s v="Tiktok"/>
    <s v="tiktok"/>
    <s v=""/>
    <s v="754276031386"/>
    <s v="01/01/2025 18:19"/>
  </r>
  <r>
    <x v="3"/>
    <x v="3"/>
    <n v="100"/>
    <n v="2"/>
    <n v="0"/>
    <s v="EPJ64"/>
    <n v="269"/>
    <n v="29"/>
    <s v="ร้านที่2"/>
    <s v="น******ก"/>
    <s v="******ำบลสามโก้ อำเภอสามโก้ จังหวัดอ่างทอง 14160"/>
    <s v="14160"/>
    <s v="47"/>
    <s v="01/01/2025 18:19"/>
    <s v="-"/>
    <s v="Flash Express"/>
    <s v="Shopee"/>
    <s v="shopee"/>
    <s v=""/>
    <s v="TH06076N83JS9A"/>
    <s v="01/01/2025 18:19"/>
  </r>
  <r>
    <x v="1"/>
    <x v="1"/>
    <n v="200"/>
    <n v="1"/>
    <n v="0"/>
    <s v="EPJ63"/>
    <n v="200"/>
    <n v="0"/>
    <s v="ร้านที่1"/>
    <s v="อ***รา ส***ิ์สูงเนิน"/>
    <s v="พระนครศรีอยุธยา"/>
    <s v="-"/>
    <s v=""/>
    <s v="01/01/2025 18:18"/>
    <s v="-"/>
    <s v="J&amp;T COD"/>
    <s v="Tiktok"/>
    <s v="จ่ายทีหลัง / COD"/>
    <s v=""/>
    <s v="754229403373"/>
    <s v="01/01/2025 18:18"/>
  </r>
  <r>
    <x v="16"/>
    <x v="37"/>
    <n v="238.5"/>
    <n v="1"/>
    <n v="0"/>
    <s v="EPJ62"/>
    <n v="302.5"/>
    <n v="64"/>
    <s v="ร้านที่1"/>
    <s v="ณภาภัช จีนกระจัน"/>
    <s v="บ้านเหียงงาม 199 ม.9 · หนองประดู่/ Nong Pradu_x000a__x000a_เลาขวัญ/ Lao Khwanกาญจนบุรี/ Kanchanaburi_x000a_71210"/>
    <s v="71210"/>
    <s v="660934695624"/>
    <s v="01/01/2025 18:18"/>
    <s v="-"/>
    <s v="Kerry_dropoff"/>
    <s v="Lazada"/>
    <s v="lazada"/>
    <s v=""/>
    <s v="TH13096N67N81D"/>
    <s v="01/01/2025 18:17"/>
  </r>
  <r>
    <x v="10"/>
    <x v="10"/>
    <n v="200"/>
    <n v="1"/>
    <n v="0"/>
    <s v="EPJ60"/>
    <n v="200"/>
    <n v="0"/>
    <s v="ร้านที่1"/>
    <s v="ส***ง พ***ช"/>
    <s v="สงขลา"/>
    <s v="-"/>
    <s v=""/>
    <s v="01/01/2025 18:15"/>
    <s v="-"/>
    <s v="J&amp;T COD"/>
    <s v="Tiktok"/>
    <s v="จ่ายทีหลัง / COD"/>
    <s v=""/>
    <s v="754200724340"/>
    <s v="01/01/2025 18:15"/>
  </r>
  <r>
    <x v="0"/>
    <x v="0"/>
    <n v="100"/>
    <n v="1"/>
    <n v="0"/>
    <s v="EPJ59"/>
    <n v="218"/>
    <n v="0"/>
    <s v="ร้านที่1"/>
    <s v="ส***ลี เ***ญผล"/>
    <s v="กรุงเทพฯ"/>
    <s v="-"/>
    <s v=""/>
    <s v="01/01/2025 18:17"/>
    <s v="-"/>
    <s v="J&amp;T Express"/>
    <s v="Tiktok"/>
    <s v="tiktok"/>
    <s v=""/>
    <s v="754270588201"/>
    <s v="01/01/2025 18:15"/>
  </r>
  <r>
    <x v="61"/>
    <x v="87"/>
    <n v="118"/>
    <n v="1"/>
    <n v="0"/>
    <s v="EPJ59"/>
    <n v="218"/>
    <n v="0"/>
    <s v="ร้านที่1"/>
    <s v="ส***ลี เ***ญผล"/>
    <s v="กรุงเทพฯ"/>
    <s v="-"/>
    <s v=""/>
    <s v="01/01/2025 18:17"/>
    <s v="-"/>
    <s v="J&amp;T Express"/>
    <s v="Tiktok"/>
    <s v="tiktok"/>
    <s v=""/>
    <s v="754270588201"/>
    <s v="01/01/2025 18:15"/>
  </r>
  <r>
    <x v="1"/>
    <x v="1"/>
    <n v="200"/>
    <n v="1"/>
    <n v="0"/>
    <s v="EPJ58"/>
    <n v="200"/>
    <n v="0"/>
    <s v="ร้านที่1"/>
    <s v="ส***ค์ น***ะอ"/>
    <s v="ลพบุรี"/>
    <s v="-"/>
    <s v=""/>
    <s v="01/01/2025 18:13"/>
    <s v="-"/>
    <s v="J&amp;T COD"/>
    <s v="Tiktok"/>
    <s v="จ่ายทีหลัง / COD"/>
    <s v=""/>
    <s v="754209303304"/>
    <s v="01/01/2025 18:13"/>
  </r>
  <r>
    <x v="1"/>
    <x v="1"/>
    <n v="200"/>
    <n v="1"/>
    <n v="0"/>
    <s v="EPJ57"/>
    <n v="200"/>
    <n v="0"/>
    <s v="ร้านที่2"/>
    <s v="น***าว์ ข***์ทอง"/>
    <s v="พัทลุง"/>
    <s v="-"/>
    <s v=""/>
    <s v="01/01/2025 18:11"/>
    <s v="-"/>
    <s v="J&amp;T Express"/>
    <s v="Tiktok"/>
    <s v="tiktok"/>
    <s v=""/>
    <s v="754222804381"/>
    <s v="01/01/2025 18:11"/>
  </r>
  <r>
    <x v="19"/>
    <x v="19"/>
    <n v="199"/>
    <n v="1"/>
    <n v="0"/>
    <s v="EPJ56"/>
    <n v="199"/>
    <n v="0"/>
    <s v="ร้านที่1"/>
    <s v="อ******ย"/>
    <s v="******น์, ถนน บางกรวย-ไทรน้อย, บางบัวทอง, อำเภอบางบัวทอง ตำบลบางบัวทอง อำเภอบางบัวทอง จังหวัดนนทบุรี 11110"/>
    <s v="11110"/>
    <s v="61"/>
    <s v="01/01/2025 18:10"/>
    <s v="-"/>
    <s v="SPX Express"/>
    <s v="Shopee"/>
    <s v="shopee"/>
    <s v=""/>
    <s v="TH255988213536W"/>
    <s v="01/01/2025 18:10"/>
  </r>
  <r>
    <x v="5"/>
    <x v="5"/>
    <n v="350"/>
    <n v="1"/>
    <n v="0"/>
    <s v="EPJ55"/>
    <n v="350"/>
    <n v="0"/>
    <s v="ร้านที่4"/>
    <s v="ส*** ไ***คูลเลอร์"/>
    <s v="เทศบาลนครนครราชสีมา"/>
    <s v="-"/>
    <s v=""/>
    <s v="01/01/2025 18:08"/>
    <s v="-"/>
    <s v="Flash Express Thailand COD"/>
    <s v="Tiktok"/>
    <s v="จ่ายทีหลัง / COD"/>
    <s v=""/>
    <s v="THT27101DP4KP7Z"/>
    <s v="01/01/2025 18:09"/>
  </r>
  <r>
    <x v="19"/>
    <x v="19"/>
    <n v="197"/>
    <n v="1"/>
    <n v="0"/>
    <s v="EPJ54"/>
    <n v="242"/>
    <n v="45"/>
    <s v="ร้านที่2"/>
    <s v="ส******ว"/>
    <s v="******ย์อนันต์ซิตี้, ตำบล บ้านสวน, อำเภอเมืองชลบุรี ตำบลบ้านสวน อำเภอเมืองชลบุรี จังหวัดชลบุรี 20000"/>
    <s v="20000"/>
    <s v="10"/>
    <s v="01/01/2025 18:39"/>
    <s v="-"/>
    <s v="SPX Express"/>
    <s v="Shopee"/>
    <s v="shopee"/>
    <s v=""/>
    <s v="TH2535534997743"/>
    <s v="01/01/2025 18:09"/>
  </r>
  <r>
    <x v="3"/>
    <x v="3"/>
    <n v="141"/>
    <n v="1"/>
    <n v="0"/>
    <s v="EPJ53"/>
    <n v="146"/>
    <n v="5"/>
    <s v="ร้านที่1"/>
    <s v="พรรณมัย พวงเงิน"/>
    <s v="32 ซ.นาวงประชาพัฒนา 2  ถ.นาวงประชาพัฒนา_x000a__x000a_ดอนเมือง/ Don Mueangกรุงเทพมหานคร/ Bangkok_x000a_10210"/>
    <s v="10210"/>
    <s v="660890711415"/>
    <s v="01/01/2025 18:09"/>
    <s v="-"/>
    <s v="Kerry_dropoff"/>
    <s v="Lazada"/>
    <s v="lazada"/>
    <s v=""/>
    <s v="LEXPU0440633048"/>
    <s v="01/01/2025 18:09"/>
  </r>
  <r>
    <x v="1"/>
    <x v="1"/>
    <n v="200"/>
    <n v="1"/>
    <n v="0"/>
    <s v="EPJ52"/>
    <n v="200"/>
    <n v="0"/>
    <s v="ร้านที่1"/>
    <s v="น***ิตติศักดิ์  เ***จันทร์"/>
    <s v="นครศรีธรรมราช"/>
    <s v="-"/>
    <s v=""/>
    <s v="01/01/2025 18:06"/>
    <s v="-"/>
    <s v="J&amp;T COD"/>
    <s v="Tiktok"/>
    <s v="จ่ายทีหลัง / COD"/>
    <s v=""/>
    <s v="754231200380"/>
    <s v="01/01/2025 18:07"/>
  </r>
  <r>
    <x v="9"/>
    <x v="4"/>
    <n v="100"/>
    <n v="1"/>
    <n v="0"/>
    <s v="EPJ51"/>
    <n v="106"/>
    <n v="6"/>
    <s v="ร้านที่1"/>
    <s v="ส***"/>
    <s v="กรุงเทพมหานคร"/>
    <s v="-"/>
    <s v=""/>
    <s v="01/01/2025 18:04"/>
    <s v="-"/>
    <s v="J&amp;T COD"/>
    <s v="Tiktok"/>
    <s v="จ่ายทีหลัง / COD"/>
    <s v=""/>
    <s v="754219767265"/>
    <s v="01/01/2025 18:04"/>
  </r>
  <r>
    <x v="5"/>
    <x v="5"/>
    <n v="330"/>
    <n v="2"/>
    <n v="0"/>
    <s v="EPJ50"/>
    <n v="660"/>
    <n v="0"/>
    <s v="ร้านที่1"/>
    <s v="ป***รณ์ ป***พันธ์"/>
    <s v="ฉะเชิงเทรา"/>
    <s v="-"/>
    <s v=""/>
    <s v="01/01/2025 18:04"/>
    <s v="-"/>
    <s v="J&amp;T Express"/>
    <s v="Tiktok"/>
    <s v="tiktok"/>
    <s v=""/>
    <s v="754247499272"/>
    <s v="01/01/2025 18:04"/>
  </r>
  <r>
    <x v="4"/>
    <x v="4"/>
    <n v="100"/>
    <n v="1"/>
    <n v="0"/>
    <s v="EPJ49"/>
    <n v="106"/>
    <n v="6"/>
    <s v="ร้านที่1"/>
    <s v="ส***ินนท์"/>
    <s v="พัทลุง"/>
    <s v="-"/>
    <s v=""/>
    <s v="01/01/2025 18:04"/>
    <s v="-"/>
    <s v="J&amp;T Express"/>
    <s v="Tiktok"/>
    <s v="tiktok"/>
    <s v=""/>
    <s v="754243803320"/>
    <s v="01/01/2025 18:04"/>
  </r>
  <r>
    <x v="0"/>
    <x v="0"/>
    <n v="100"/>
    <n v="1"/>
    <n v="0"/>
    <s v="EPJ47"/>
    <n v="106"/>
    <n v="6"/>
    <s v="ร้านที่1"/>
    <s v="เ***"/>
    <s v="กรุงเทพฯ"/>
    <s v="-"/>
    <s v=""/>
    <s v="01/01/2025 18:03"/>
    <s v="-"/>
    <s v="J&amp;T COD"/>
    <s v="Tiktok"/>
    <s v="จ่ายทีหลัง / COD"/>
    <s v=""/>
    <s v="754206341210"/>
    <s v="01/01/2025 18:03"/>
  </r>
  <r>
    <x v="10"/>
    <x v="10"/>
    <n v="200"/>
    <n v="1"/>
    <n v="0"/>
    <s v="EPJ46"/>
    <n v="200"/>
    <n v="0"/>
    <s v="ร้านที่1"/>
    <s v="พ***ู"/>
    <s v="สุราษฎร์ธานี"/>
    <s v="-"/>
    <s v=""/>
    <s v="01/01/2025 18:02"/>
    <s v="-"/>
    <s v="J&amp;T COD"/>
    <s v="Tiktok"/>
    <s v="จ่ายทีหลัง / COD"/>
    <s v=""/>
    <s v="754249927336"/>
    <s v="01/01/2025 18:02"/>
  </r>
  <r>
    <x v="1"/>
    <x v="1"/>
    <n v="200"/>
    <n v="1"/>
    <n v="0"/>
    <s v="EPJ45"/>
    <n v="200"/>
    <n v="0"/>
    <s v="ร้านที่2"/>
    <s v="f***g s***"/>
    <s v="ศรีสะเกษ"/>
    <s v="-"/>
    <s v=""/>
    <s v="01/01/2025 18:01"/>
    <s v="-"/>
    <s v="J&amp;T Express"/>
    <s v="Tiktok"/>
    <s v="tiktok"/>
    <s v=""/>
    <s v="754200003373"/>
    <s v="01/01/2025 18:01"/>
  </r>
  <r>
    <x v="1"/>
    <x v="1"/>
    <n v="200"/>
    <n v="1"/>
    <n v="0"/>
    <s v="EPJ44"/>
    <n v="200"/>
    <n v="0"/>
    <s v="ร้านที่4"/>
    <s v="น***ัยรัช ห***าดี"/>
    <s v="อุดรธานี"/>
    <s v="-"/>
    <s v=""/>
    <s v="01/01/2025 18:00"/>
    <s v="-"/>
    <s v="Flash Express Thailand"/>
    <s v="Tiktok"/>
    <s v="tiktok"/>
    <s v=""/>
    <s v="THT38061DPGDU8Z"/>
    <s v="01/01/2025 18:00"/>
  </r>
  <r>
    <x v="4"/>
    <x v="4"/>
    <n v="100"/>
    <n v="1"/>
    <n v="0"/>
    <s v="EPJ43"/>
    <n v="199"/>
    <n v="0"/>
    <s v="ร้านที่4"/>
    <s v="โ** ก***วิชญ์"/>
    <s v="อำเภอเมืองกาญจนบุรี"/>
    <s v="-"/>
    <s v=""/>
    <s v="01/01/2025 18:00"/>
    <s v="-"/>
    <s v="Flash Express Thailand"/>
    <s v="Tiktok"/>
    <s v="tiktok"/>
    <s v=""/>
    <s v="THT13091DPD8G8Z"/>
    <s v="01/01/2025 18:00"/>
  </r>
  <r>
    <x v="3"/>
    <x v="3"/>
    <n v="100"/>
    <n v="1"/>
    <n v="0"/>
    <s v="EPJ41"/>
    <n v="260"/>
    <n v="45"/>
    <s v="ร้านที่2"/>
    <s v="ส******น"/>
    <s v="******ซอย 44 แขวงจอมทอง แขวงจอมทอง เขตจอมทอง จังหวัดกรุงเทพมหานคร 10150"/>
    <s v="10150"/>
    <s v="99"/>
    <s v="01/01/2025 17:57"/>
    <s v="-"/>
    <s v="SPX Express"/>
    <s v="Shopee"/>
    <s v="shopee"/>
    <s v=""/>
    <s v="TH2566923184421"/>
    <s v="01/01/2025 17:57"/>
  </r>
  <r>
    <x v="9"/>
    <x v="4"/>
    <n v="120"/>
    <n v="1"/>
    <n v="0"/>
    <s v="EPJ41"/>
    <n v="260"/>
    <n v="45"/>
    <s v="ร้านที่2"/>
    <s v="ส******น"/>
    <s v="******ซอย 44 แขวงจอมทอง แขวงจอมทอง เขตจอมทอง จังหวัดกรุงเทพมหานคร 10150"/>
    <s v="10150"/>
    <s v="99"/>
    <s v="01/01/2025 17:57"/>
    <s v="-"/>
    <s v="SPX Express"/>
    <s v="Shopee"/>
    <s v="shopee"/>
    <s v=""/>
    <s v="TH2566923184421"/>
    <s v="01/01/2025 17:57"/>
  </r>
  <r>
    <x v="0"/>
    <x v="0"/>
    <n v="100"/>
    <n v="1"/>
    <n v="0"/>
    <s v="EPJ40"/>
    <n v="100"/>
    <n v="0"/>
    <s v="ร้านที่2"/>
    <s v="ร***ร แ***ปิตา"/>
    <s v="เทศบาลนครพิษณุโลก"/>
    <s v="-"/>
    <s v=""/>
    <s v="01/01/2025 17:56"/>
    <s v="-"/>
    <s v="J&amp;T Express"/>
    <s v="Tiktok"/>
    <s v="tiktok"/>
    <s v=""/>
    <s v="754268269215"/>
    <s v="01/01/2025 17:56"/>
  </r>
  <r>
    <x v="9"/>
    <x v="4"/>
    <n v="100"/>
    <n v="1"/>
    <n v="0"/>
    <s v="EPJ39"/>
    <n v="106"/>
    <n v="6"/>
    <s v="ร้านที่2"/>
    <s v="น***าวมลฤดี  ม***้ว"/>
    <s v="นครศรีธรรมราช"/>
    <s v="-"/>
    <s v=""/>
    <s v="01/01/2025 17:55"/>
    <s v="-"/>
    <s v="J&amp;T COD"/>
    <s v="Tiktok"/>
    <s v="จ่ายทีหลัง / COD"/>
    <s v=""/>
    <s v="754247762262"/>
    <s v="01/01/2025 17:56"/>
  </r>
  <r>
    <x v="1"/>
    <x v="1"/>
    <n v="200"/>
    <n v="1"/>
    <n v="0"/>
    <s v="EPJ38"/>
    <n v="200"/>
    <n v="0"/>
    <s v="ร้านที่2"/>
    <s v="ช***ิน อ***ฉิม"/>
    <s v="เพชรบุรี"/>
    <s v="-"/>
    <s v=""/>
    <s v="01/01/2025 17:54"/>
    <s v="-"/>
    <s v="J&amp;T COD"/>
    <s v="Tiktok"/>
    <s v="จ่ายทีหลัง / COD"/>
    <s v=""/>
    <s v="754202996223"/>
    <s v="01/01/2025 17:54"/>
  </r>
  <r>
    <x v="3"/>
    <x v="3"/>
    <n v="100"/>
    <n v="2"/>
    <n v="0"/>
    <s v="EPJ36"/>
    <n v="200"/>
    <n v="0"/>
    <s v="ร้านที่4"/>
    <s v="ก***ก จ***ิญโญวัฒน์"/>
    <s v="Ratchaburi"/>
    <s v="-"/>
    <s v=""/>
    <s v="01/01/2025 17:48"/>
    <s v="-"/>
    <s v="Flash Express Thailand"/>
    <s v="Tiktok"/>
    <s v="tiktok"/>
    <s v=""/>
    <s v="THT12031DP0ZX9Z"/>
    <s v="01/01/2025 17:47"/>
  </r>
  <r>
    <x v="59"/>
    <x v="84"/>
    <n v="100"/>
    <n v="1"/>
    <n v="0"/>
    <s v="EPJ35"/>
    <n v="125"/>
    <n v="25"/>
    <s v="ร้านที่1"/>
    <s v="เ***"/>
    <s v="นครราชสีมา"/>
    <s v="-"/>
    <s v=""/>
    <s v="01/01/2025 17:47"/>
    <s v="-"/>
    <s v="J&amp;T Express"/>
    <s v="Tiktok"/>
    <s v="tiktok"/>
    <s v=""/>
    <s v="754259085296"/>
    <s v="01/01/2025 17:47"/>
  </r>
  <r>
    <x v="2"/>
    <x v="2"/>
    <n v="111.6"/>
    <n v="1"/>
    <n v="0"/>
    <s v="EPJ34"/>
    <n v="116.6"/>
    <n v="5"/>
    <s v="ร้านที่1"/>
    <s v="น.ส.ปิยะวรรณ หาญยุธ"/>
    <s v="9 หมู่3 ตำบลพระธาตุ_x000a__x000a_เชียงกลาง/ Chiang Klangน่าน/ Nan_x000a_55160"/>
    <s v="55160"/>
    <s v="660636753771"/>
    <s v="01/01/2025 17:47"/>
    <s v="-"/>
    <s v="Kerry_dropoff"/>
    <s v="Lazada"/>
    <s v="lazada"/>
    <s v=""/>
    <s v="TH52096N6KW40D"/>
    <s v="01/01/2025 17:47"/>
  </r>
  <r>
    <x v="19"/>
    <x v="19"/>
    <n v="199"/>
    <n v="2"/>
    <n v="0"/>
    <s v="EPJ33"/>
    <n v="456"/>
    <n v="58"/>
    <s v="ร้านที่1"/>
    <s v="ธ******์"/>
    <s v="******ตำบลคลองเมือง อำเภอจักราช จังหวัดนครราชสีมา 30230"/>
    <s v="30230"/>
    <s v="27"/>
    <s v="01/01/2025 18:12"/>
    <s v="-"/>
    <s v="Flash Express"/>
    <s v="Shopee"/>
    <s v="shopee"/>
    <s v=""/>
    <s v="TH27066N6UW73K"/>
    <s v="01/01/2025 17:42"/>
  </r>
  <r>
    <x v="33"/>
    <x v="43"/>
    <n v="330"/>
    <n v="1"/>
    <n v="0"/>
    <s v="EPJ31"/>
    <n v="330"/>
    <n v="0"/>
    <s v="ร้านที่1"/>
    <s v="ม***ัตน์ ด***ศรี"/>
    <s v="พระนครศรีอยุธยา"/>
    <s v="-"/>
    <s v=""/>
    <s v="01/01/2025 17:36"/>
    <s v="-"/>
    <s v="J&amp;T COD"/>
    <s v="Tiktok"/>
    <s v="จ่ายทีหลัง / COD"/>
    <s v=""/>
    <s v="754287262260"/>
    <s v="01/01/2025 17:36"/>
  </r>
  <r>
    <x v="1"/>
    <x v="1"/>
    <n v="200"/>
    <n v="1"/>
    <n v="0"/>
    <s v="EPJ30"/>
    <n v="200"/>
    <n v="0"/>
    <s v="ร้านที่1"/>
    <s v="เ***ิจ เ***ยญทอง"/>
    <s v="กรุงเทพมหานคร"/>
    <s v="-"/>
    <s v=""/>
    <s v="01/01/2025 17:36"/>
    <s v="-"/>
    <s v="J&amp;T COD"/>
    <s v="Tiktok"/>
    <s v="จ่ายทีหลัง / COD"/>
    <s v=""/>
    <s v="754234696294"/>
    <s v="01/01/2025 17:36"/>
  </r>
  <r>
    <x v="62"/>
    <x v="89"/>
    <n v="120"/>
    <n v="1"/>
    <n v="0"/>
    <s v="EPJ29"/>
    <n v="318"/>
    <n v="0"/>
    <s v="ร้านที่4"/>
    <s v="ว*** บ***มือง"/>
    <s v="สุราษฎร์ธานี"/>
    <s v="-"/>
    <s v=""/>
    <s v="01/01/2025 17:33"/>
    <s v="-"/>
    <s v="Flash Express Thailand"/>
    <s v="Tiktok"/>
    <s v="tiktok"/>
    <s v=""/>
    <s v="THT68181DP0GF4Z"/>
    <s v="01/01/2025 17:32"/>
  </r>
  <r>
    <x v="59"/>
    <x v="84"/>
    <n v="100"/>
    <n v="2"/>
    <n v="0"/>
    <s v="EPJ28"/>
    <n v="200"/>
    <n v="0"/>
    <s v="ร้านที่4"/>
    <s v="ธ***ยุทธ ส***ร"/>
    <s v="อุดรธานี"/>
    <s v="-"/>
    <s v=""/>
    <s v="01/01/2025 17:31"/>
    <s v="-"/>
    <s v="Flash Express Thailand COD"/>
    <s v="Tiktok"/>
    <s v="จ่ายทีหลัง / COD"/>
    <s v=""/>
    <s v="THT38181DP1FF2Z"/>
    <s v="01/01/2025 17:31"/>
  </r>
  <r>
    <x v="1"/>
    <x v="1"/>
    <n v="200"/>
    <n v="1"/>
    <n v="0"/>
    <s v="EPJ27"/>
    <n v="200"/>
    <n v="0"/>
    <s v="ร้านที่1"/>
    <s v="ส***ี ว***ติ"/>
    <s v="กรุงเทพฯ"/>
    <s v="-"/>
    <s v=""/>
    <s v="01/01/2025 17:30"/>
    <s v="-"/>
    <s v="J&amp;T COD"/>
    <s v="Tiktok"/>
    <s v="จ่ายทีหลัง / COD"/>
    <s v=""/>
    <s v="754236404331"/>
    <s v="01/01/2025 17:30"/>
  </r>
  <r>
    <x v="2"/>
    <x v="82"/>
    <n v="100"/>
    <n v="2"/>
    <n v="0"/>
    <s v="EPJ24"/>
    <n v="200"/>
    <n v="0"/>
    <s v="ร้านที่4"/>
    <s v="แ***ัวไหล.  ม***อนแก่น"/>
    <s v="ร้อยเอ็ด"/>
    <s v="-"/>
    <s v=""/>
    <s v="01/01/2025 17:27"/>
    <s v="-"/>
    <s v="Flash Express Thailand"/>
    <s v="Tiktok"/>
    <s v="tiktok"/>
    <s v=""/>
    <s v="THT42051DNR6D9Z"/>
    <s v="01/01/2025 17:25"/>
  </r>
  <r>
    <x v="4"/>
    <x v="4"/>
    <n v="100"/>
    <n v="1"/>
    <n v="0"/>
    <s v="EPJ22"/>
    <n v="106"/>
    <n v="6"/>
    <s v="ร้านที่1"/>
    <s v="น***สรรค์ ส***ินธุ์"/>
    <s v="กรุงเทพฯ"/>
    <s v="-"/>
    <s v=""/>
    <s v="01/01/2025 17:23"/>
    <s v="-"/>
    <s v="J&amp;T COD"/>
    <s v="Tiktok"/>
    <s v="จ่ายทีหลัง / COD"/>
    <s v=""/>
    <s v="754235019344"/>
    <s v="01/01/2025 17:23"/>
  </r>
  <r>
    <x v="9"/>
    <x v="4"/>
    <n v="100"/>
    <n v="1"/>
    <n v="0"/>
    <s v="EPJ18"/>
    <n v="106"/>
    <n v="6"/>
    <s v="ร้านที่1"/>
    <s v="โ***กา แ***ทธิ์"/>
    <s v="กาฬสินธุ์"/>
    <s v="-"/>
    <s v=""/>
    <s v="01/01/2025 17:15"/>
    <s v="-"/>
    <s v="J&amp;T COD"/>
    <s v="Tiktok"/>
    <s v="จ่ายทีหลัง / COD"/>
    <s v=""/>
    <s v="754245072232"/>
    <s v="01/01/2025 17:16"/>
  </r>
  <r>
    <x v="35"/>
    <x v="46"/>
    <n v="100"/>
    <n v="1"/>
    <n v="0"/>
    <s v="EPJ13"/>
    <n v="164"/>
    <n v="64"/>
    <s v="ร้านที่2"/>
    <s v="น***วัลย์ ส***รุง"/>
    <s v="กาฬสินธุ์"/>
    <s v="-"/>
    <s v=""/>
    <s v="01/01/2025 17:04"/>
    <s v="-"/>
    <s v="J&amp;T Express"/>
    <s v="Tiktok"/>
    <s v="tiktok"/>
    <s v=""/>
    <s v="754291893224"/>
    <s v="01/01/2025 17:04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3"/>
    <x v="8"/>
    <n v="89.25"/>
    <n v="1"/>
    <n v="0"/>
    <s v="EPJ11"/>
    <n v="470.25"/>
    <n v="24"/>
    <s v="ร้านที่6"/>
    <s v="Atjana Sungwal"/>
    <s v="บจก.เจ้าพระยาอินเตอร์เทรด เลขที่23/229. หมู่8 ตำบลอ้อมใหญ่_x000a__x000a_สามพราน/ Sam Phranนครปฐม/ Nakhon Pathom_x000a_73160"/>
    <s v="73160"/>
    <s v="660895449083"/>
    <s v="01/01/2025 16:58"/>
    <s v="-"/>
    <s v="Kerry_dropoff"/>
    <s v="Lazada"/>
    <s v="lazada"/>
    <s v=""/>
    <s v="LEXPU0440643601"/>
    <s v="01/01/2025 16:58"/>
  </r>
  <r>
    <x v="1"/>
    <x v="1"/>
    <n v="200"/>
    <n v="1"/>
    <n v="0"/>
    <s v="EPJ9"/>
    <n v="200"/>
    <n v="0"/>
    <s v="ร้านที่1"/>
    <s v="น***ลสีชา"/>
    <s v="แม่ฮ่องสอน"/>
    <s v="-"/>
    <s v=""/>
    <s v="01/01/2025 16:57"/>
    <s v="-"/>
    <s v="J&amp;T Express"/>
    <s v="Tiktok"/>
    <s v="tiktok"/>
    <s v=""/>
    <s v="754227393220"/>
    <s v="01/01/2025 16:56"/>
  </r>
  <r>
    <x v="10"/>
    <x v="10"/>
    <n v="200"/>
    <n v="1"/>
    <n v="0"/>
    <s v="EPJ8"/>
    <n v="200"/>
    <n v="0"/>
    <s v="ร้านที่2"/>
    <s v="ป***อม ฟ***ันเทียะ"/>
    <s v="นครราชสีมา"/>
    <s v="-"/>
    <s v=""/>
    <s v="01/01/2025 16:56"/>
    <s v="-"/>
    <s v="J&amp;T COD"/>
    <s v="Tiktok"/>
    <s v="จ่ายทีหลัง / COD"/>
    <s v=""/>
    <s v="754256836351"/>
    <s v="01/01/2025 16:56"/>
  </r>
  <r>
    <x v="4"/>
    <x v="4"/>
    <n v="100"/>
    <n v="2"/>
    <n v="0"/>
    <s v="EPJ7"/>
    <n v="200"/>
    <n v="0"/>
    <s v="ร้านที่1"/>
    <s v="ศ*** ค***ศ์ศรี"/>
    <s v="สมุทรปราการ"/>
    <s v="-"/>
    <s v=""/>
    <s v="01/01/2025 16:55"/>
    <s v="-"/>
    <s v="J&amp;T Express"/>
    <s v="Tiktok"/>
    <s v="tiktok"/>
    <s v=""/>
    <s v="754245123343"/>
    <s v="01/01/2025 16:55"/>
  </r>
  <r>
    <x v="1"/>
    <x v="1"/>
    <n v="200"/>
    <n v="1"/>
    <n v="0"/>
    <s v="EPJ6"/>
    <n v="200"/>
    <n v="0"/>
    <s v="ร้านที่1"/>
    <s v="น***กษณ์ ส***าติ"/>
    <s v="ชลบุรี"/>
    <s v="-"/>
    <s v=""/>
    <s v="01/01/2025 16:54"/>
    <s v="-"/>
    <s v="J&amp;T Express"/>
    <s v="Tiktok"/>
    <s v="tiktok"/>
    <s v=""/>
    <s v="754250202300"/>
    <s v="01/01/2025 16:54"/>
  </r>
  <r>
    <x v="0"/>
    <x v="0"/>
    <n v="100"/>
    <n v="1"/>
    <n v="0"/>
    <s v="EPJ4"/>
    <n v="106"/>
    <n v="6"/>
    <s v="ร้านที่1"/>
    <s v="ม***ยะห์"/>
    <s v="กรุงเทพฯ"/>
    <s v="-"/>
    <s v=""/>
    <s v="01/01/2025 16:54"/>
    <s v="-"/>
    <s v="J&amp;T Express"/>
    <s v="Tiktok"/>
    <s v="tiktok"/>
    <s v=""/>
    <s v="754272756263"/>
    <s v="01/01/2025 16:54"/>
  </r>
  <r>
    <x v="3"/>
    <x v="3"/>
    <n v="100"/>
    <n v="3"/>
    <n v="0"/>
    <s v="EPJ2"/>
    <n v="345"/>
    <n v="45"/>
    <s v="ร้านที่2"/>
    <s v="แ*น"/>
    <s v="******งบำหรุ, เขตบางพลัด แขวงบางบำหรุ เขตบางพลัด จังหวัดกรุงเทพมหานคร 10700"/>
    <s v="10700"/>
    <s v="00"/>
    <s v="01/01/2025 17:22"/>
    <s v="-"/>
    <s v="SPX Express"/>
    <s v="Shopee"/>
    <s v="shopee"/>
    <s v=""/>
    <s v="TH2547230529895"/>
    <s v="01/01/2025 16:52"/>
  </r>
  <r>
    <x v="59"/>
    <x v="84"/>
    <n v="100"/>
    <n v="2"/>
    <n v="0"/>
    <s v="EPJ0"/>
    <n v="200"/>
    <n v="0"/>
    <s v="ร้านที่2"/>
    <s v="ส***ี่บ้านนนน  ป***วดี บ***นุช"/>
    <s v="กำแพงเพชร"/>
    <s v="-"/>
    <s v=""/>
    <s v="01/01/2025 16:51"/>
    <s v="-"/>
    <s v="J&amp;T Express"/>
    <s v="Tiktok"/>
    <s v="tiktok"/>
    <s v=""/>
    <s v="754229285202"/>
    <s v="01/01/2025 16:50"/>
  </r>
  <r>
    <x v="4"/>
    <x v="4"/>
    <n v="150"/>
    <n v="1"/>
    <n v="0"/>
    <s v="EPI98"/>
    <n v="179"/>
    <n v="29"/>
    <s v="ร้านที่1"/>
    <s v="ค******์"/>
    <s v="******บต. บ้านจะอยู่ตรงสายมือก่อนขึ้นสะพานไปวัดมารวิชัย ตำบลบ้านหลวง อำเภอเสนา จังหวัดพระนครศรีอยุธยา 13110"/>
    <s v="13110"/>
    <s v="43"/>
    <s v="01/01/2025 16:48"/>
    <s v="-"/>
    <s v="SPX Express"/>
    <s v="Shopee"/>
    <s v="shopee"/>
    <s v=""/>
    <s v="TH2564225297690"/>
    <s v="01/01/2025 16:43"/>
  </r>
  <r>
    <x v="3"/>
    <x v="3"/>
    <n v="100"/>
    <n v="2"/>
    <n v="0"/>
    <s v="EPI97"/>
    <n v="235"/>
    <n v="35"/>
    <s v="ร้านที่2"/>
    <s v="ร******์"/>
    <s v="******เกียรติ ๔๘ แขวงดอกไม้ แขวงดอกไม้ เขตประเวศ จังหวัดกรุงเทพมหานคร 10250"/>
    <s v="10250"/>
    <s v="00"/>
    <s v="01/01/2025 16:42"/>
    <s v="-"/>
    <s v="SPX Express"/>
    <s v="Shopee"/>
    <s v="shopee"/>
    <s v=""/>
    <s v="TH251945485676W"/>
    <s v="01/01/2025 16:41"/>
  </r>
  <r>
    <x v="4"/>
    <x v="4"/>
    <n v="100"/>
    <n v="1"/>
    <n v="0"/>
    <s v="EPI95"/>
    <n v="106"/>
    <n v="6"/>
    <s v="ร้านที่1"/>
    <s v="แ***ม"/>
    <s v="นนทบุรี"/>
    <s v="-"/>
    <s v=""/>
    <s v="01/01/2025 16:40"/>
    <s v="-"/>
    <s v="J&amp;T COD"/>
    <s v="Tiktok"/>
    <s v="จ่ายทีหลัง / COD"/>
    <s v=""/>
    <s v="754275100364"/>
    <s v="01/01/2025 16:41"/>
  </r>
  <r>
    <x v="4"/>
    <x v="4"/>
    <n v="100"/>
    <n v="1"/>
    <n v="0"/>
    <s v="EPI94"/>
    <n v="106"/>
    <n v="6"/>
    <s v="ร้านที่2"/>
    <s v="ส***ะวัน เ***ซาเบธ ร***รด์"/>
    <s v="ชลบุรี"/>
    <s v="-"/>
    <s v=""/>
    <s v="01/01/2025 16:40"/>
    <s v="-"/>
    <s v="J&amp;T COD"/>
    <s v="Tiktok"/>
    <s v="จ่ายทีหลัง / COD"/>
    <s v=""/>
    <s v="754265708361"/>
    <s v="01/01/2025 16:40"/>
  </r>
  <r>
    <x v="35"/>
    <x v="46"/>
    <n v="100"/>
    <n v="4"/>
    <n v="0"/>
    <s v="EPI93"/>
    <n v="400"/>
    <n v="0"/>
    <s v="ร้านที่1"/>
    <s v="ส***รัตน์ ว***ุกร์"/>
    <s v="กระบี่"/>
    <s v="-"/>
    <s v=""/>
    <s v="01/01/2025 16:38"/>
    <s v="-"/>
    <s v="J&amp;T COD"/>
    <s v="Tiktok"/>
    <s v="จ่ายทีหลัง / COD"/>
    <s v=""/>
    <s v="754230179231"/>
    <s v="01/01/2025 16:38"/>
  </r>
  <r>
    <x v="19"/>
    <x v="19"/>
    <n v="199"/>
    <n v="1"/>
    <n v="0"/>
    <s v="EPI92"/>
    <n v="234"/>
    <n v="35"/>
    <s v="ร้านที่1"/>
    <s v="ท******)"/>
    <s v="****** ซอย6/2 ถ.สุขสวัสดิ์ ต.ในคลองบางปลากด ตำบลในคลองบางปลากด อำเภอพระสมุทรเจดีย์ จังหวัดสมุทรปราการ 10290"/>
    <s v="10290"/>
    <s v="33"/>
    <s v="01/01/2025 16:38"/>
    <s v="-"/>
    <s v="SPX Express"/>
    <s v="Shopee"/>
    <s v="shopee"/>
    <s v=""/>
    <s v="TH2549710647372"/>
    <s v="01/01/2025 16:38"/>
  </r>
  <r>
    <x v="59"/>
    <x v="84"/>
    <n v="100"/>
    <n v="1"/>
    <n v="0"/>
    <s v="EPI91"/>
    <n v="125"/>
    <n v="25"/>
    <s v="ร้านที่2"/>
    <s v="ม*** ส***หลือ"/>
    <s v="พระนครศรีอยุธยา"/>
    <s v="-"/>
    <s v=""/>
    <s v="01/01/2025 16:38"/>
    <s v="-"/>
    <s v="J&amp;T COD"/>
    <s v="Tiktok"/>
    <s v="จ่ายทีหลัง / COD"/>
    <s v=""/>
    <s v="754250297205"/>
    <s v="01/01/2025 16:38"/>
  </r>
  <r>
    <x v="33"/>
    <x v="43"/>
    <n v="330"/>
    <n v="1"/>
    <n v="0"/>
    <s v="EPI90"/>
    <n v="330"/>
    <n v="0"/>
    <s v="ร้านที่4"/>
    <s v="ม***วัลย์  ป***สวาสดิ์"/>
    <s v="ปทุมธานี"/>
    <s v="-"/>
    <s v=""/>
    <s v="01/01/2025 16:35"/>
    <s v="-"/>
    <s v="Flash Express Thailand COD"/>
    <s v="Tiktok"/>
    <s v="จ่ายทีหลัง / COD"/>
    <s v=""/>
    <s v="THT04071DPDJN0Z"/>
    <s v="01/01/2025 16:35"/>
  </r>
  <r>
    <x v="1"/>
    <x v="1"/>
    <n v="200"/>
    <n v="1"/>
    <n v="0"/>
    <s v="EPI88"/>
    <n v="200"/>
    <n v="0"/>
    <s v="ร้านที่2"/>
    <s v="ศ***พร พ***ินทร์"/>
    <s v="นครราชสีมา"/>
    <s v="-"/>
    <s v=""/>
    <s v="01/01/2025 16:34"/>
    <s v="-"/>
    <s v="J&amp;T COD"/>
    <s v="Tiktok"/>
    <s v="จ่ายทีหลัง / COD"/>
    <s v=""/>
    <s v="754263193235"/>
    <s v="01/01/2025 16:34"/>
  </r>
  <r>
    <x v="1"/>
    <x v="1"/>
    <n v="200"/>
    <n v="1"/>
    <n v="0"/>
    <s v="EPI85"/>
    <n v="200"/>
    <n v="0"/>
    <s v="ร้านที่1"/>
    <s v="A***a P**"/>
    <s v="ศรีสะเกษ"/>
    <s v="-"/>
    <s v=""/>
    <s v="01/01/2025 16:25"/>
    <s v="-"/>
    <s v="J&amp;T COD"/>
    <s v="Tiktok"/>
    <s v="จ่ายทีหลัง / COD"/>
    <s v=""/>
    <s v="754223607340"/>
    <s v="01/01/2025 16:25"/>
  </r>
  <r>
    <x v="1"/>
    <x v="1"/>
    <n v="200"/>
    <n v="1"/>
    <n v="0"/>
    <s v="EPI84"/>
    <n v="200"/>
    <n v="0"/>
    <s v="ร้านที่2"/>
    <s v="ส***ฒ  ศ***สุข"/>
    <s v="สุรินทร์"/>
    <s v="-"/>
    <s v=""/>
    <s v="01/01/2025 16:25"/>
    <s v="-"/>
    <s v="J&amp;T COD"/>
    <s v="Tiktok"/>
    <s v="จ่ายทีหลัง / COD"/>
    <s v=""/>
    <s v="754242605340"/>
    <s v="01/01/2025 16:25"/>
  </r>
  <r>
    <x v="4"/>
    <x v="4"/>
    <n v="100"/>
    <n v="2"/>
    <n v="0"/>
    <s v="EPI83"/>
    <n v="596"/>
    <n v="0"/>
    <s v="ร้านที่4"/>
    <s v="ร***ี ส***ภาค"/>
    <s v="นครปฐม"/>
    <s v="-"/>
    <s v=""/>
    <s v="01/01/2025 16:24"/>
    <s v="-"/>
    <s v="Flash Express Thailand"/>
    <s v="Tiktok"/>
    <s v="tiktok"/>
    <s v=""/>
    <s v="THT15061DPDBZ2Z"/>
    <s v="01/01/2025 16:24"/>
  </r>
  <r>
    <x v="1"/>
    <x v="1"/>
    <n v="200"/>
    <n v="1"/>
    <n v="0"/>
    <s v="EPI82"/>
    <n v="200"/>
    <n v="0"/>
    <s v="ร้านที่1"/>
    <s v="น***พร ห***ญอร"/>
    <s v="ชัยภูมิ"/>
    <s v="-"/>
    <s v=""/>
    <s v="01/01/2025 16:23"/>
    <s v="-"/>
    <s v="J&amp;T COD"/>
    <s v="Tiktok"/>
    <s v="จ่ายทีหลัง / COD"/>
    <s v=""/>
    <s v="754261202332"/>
    <s v="01/01/2025 16:23"/>
  </r>
  <r>
    <x v="4"/>
    <x v="4"/>
    <n v="100"/>
    <n v="1"/>
    <n v="0"/>
    <s v="EPI80"/>
    <n v="100"/>
    <n v="0"/>
    <s v="ร้านที่2"/>
    <s v="ก***นา ส***ญสุโข"/>
    <s v="พิษณุโลก"/>
    <s v="-"/>
    <s v=""/>
    <s v="01/01/2025 16:19"/>
    <s v="-"/>
    <s v="J&amp;T Express"/>
    <s v="Tiktok"/>
    <s v="tiktok"/>
    <s v=""/>
    <s v="754283302360"/>
    <s v="01/01/2025 16:18"/>
  </r>
  <r>
    <x v="59"/>
    <x v="84"/>
    <n v="100"/>
    <n v="1"/>
    <n v="0"/>
    <s v="EPI79"/>
    <n v="125"/>
    <n v="25"/>
    <s v="ร้านที่1"/>
    <s v="น** อ***ักษ์ ไ***ก้ว"/>
    <s v="สงขลา"/>
    <s v="-"/>
    <s v=""/>
    <s v="01/01/2025 16:16"/>
    <s v="-"/>
    <s v="J&amp;T COD"/>
    <s v="Tiktok"/>
    <s v="จ่ายทีหลัง / COD"/>
    <s v=""/>
    <s v="754277690224"/>
    <s v="01/01/2025 16:16"/>
  </r>
  <r>
    <x v="3"/>
    <x v="3"/>
    <n v="100"/>
    <n v="3"/>
    <n v="0"/>
    <s v="EPI78"/>
    <n v="335"/>
    <n v="35"/>
    <s v="ร้านที่2"/>
    <s v="เ******ย"/>
    <s v="******ก ตำบลประชาธิปัตย์ อำเภอธัญบุรี จังหวัดปทุมธานี 12130"/>
    <s v="12130"/>
    <s v="39"/>
    <s v="01/01/2025 16:13"/>
    <s v="-"/>
    <s v="SPX Express"/>
    <s v="Shopee"/>
    <s v="shopee"/>
    <s v=""/>
    <s v="TH256389379268D"/>
    <s v="01/01/2025 16:13"/>
  </r>
  <r>
    <x v="59"/>
    <x v="84"/>
    <n v="100"/>
    <n v="1"/>
    <n v="0"/>
    <s v="EPI77"/>
    <n v="125"/>
    <n v="25"/>
    <s v="ร้านที่4"/>
    <s v="น***าวกนกวรรณ ส***ัง"/>
    <s v="เทศบาลเมืองยโสธร"/>
    <s v="-"/>
    <s v=""/>
    <s v="01/01/2025 16:13"/>
    <s v="-"/>
    <s v="Flash Express Thailand COD"/>
    <s v="Tiktok"/>
    <s v="จ่ายทีหลัง / COD"/>
    <s v=""/>
    <s v="THT32061DPEU48Z"/>
    <s v="01/01/2025 16:13"/>
  </r>
  <r>
    <x v="1"/>
    <x v="1"/>
    <n v="200"/>
    <n v="1"/>
    <n v="0"/>
    <s v="EPI76"/>
    <n v="200"/>
    <n v="0"/>
    <s v="ร้านที่1"/>
    <s v="R***lay"/>
    <s v="Tak"/>
    <s v="-"/>
    <s v=""/>
    <s v="01/01/2025 16:09"/>
    <s v="-"/>
    <s v="J&amp;T COD"/>
    <s v="Tiktok"/>
    <s v="จ่ายทีหลัง / COD"/>
    <s v=""/>
    <s v="754218990291"/>
    <s v="01/01/2025 16:09"/>
  </r>
  <r>
    <x v="3"/>
    <x v="3"/>
    <n v="100"/>
    <n v="1"/>
    <n v="0"/>
    <s v="EPI74"/>
    <n v="145"/>
    <n v="45"/>
    <s v="ร้านที่1"/>
    <s v="ส***ฒ  ศ***สุข"/>
    <s v="สุรินทร์"/>
    <s v="-"/>
    <s v=""/>
    <s v="01/01/2025 16:02"/>
    <s v="-"/>
    <s v="J&amp;T COD"/>
    <s v="Tiktok"/>
    <s v="จ่ายทีหลัง / COD"/>
    <s v=""/>
    <s v="754204134353"/>
    <s v="01/01/2025 16:02"/>
  </r>
  <r>
    <x v="10"/>
    <x v="10"/>
    <n v="200"/>
    <n v="1"/>
    <n v="0"/>
    <s v="EPI73"/>
    <n v="200"/>
    <n v="0"/>
    <s v="ร้านที่1"/>
    <s v="ฐ***มา ก***เงิน"/>
    <s v="เทศบาลนครนครสวรรค์"/>
    <s v="-"/>
    <s v=""/>
    <s v="01/01/2025 16:02"/>
    <s v="-"/>
    <s v="J&amp;T Express"/>
    <s v="Tiktok"/>
    <s v="tiktok"/>
    <s v=""/>
    <s v="754223038354"/>
    <s v="01/01/2025 16:02"/>
  </r>
  <r>
    <x v="3"/>
    <x v="3"/>
    <n v="100"/>
    <n v="1"/>
    <n v="0"/>
    <s v="EPI71"/>
    <n v="145"/>
    <n v="45"/>
    <s v="ร้านที่2"/>
    <s v="น******า"/>
    <s v="******ย9 ซอยสุดซอยมือ ตำบลในเมือง อำเภอเมืองนครราชสีมา จังหวัดนครราชสีมา 30000"/>
    <s v="30000"/>
    <s v="18"/>
    <s v="01/01/2025 16:29"/>
    <s v="-"/>
    <s v="SPX Express"/>
    <s v="Shopee"/>
    <s v="shopee"/>
    <s v=""/>
    <s v="TH252143674774F"/>
    <s v="01/01/2025 15:59"/>
  </r>
  <r>
    <x v="1"/>
    <x v="1"/>
    <n v="200"/>
    <n v="1"/>
    <n v="0"/>
    <s v="EPI70"/>
    <n v="200"/>
    <n v="0"/>
    <s v="ร้านที่1"/>
    <s v="ไ***"/>
    <s v="กรุงเทพมหานคร"/>
    <s v="-"/>
    <s v=""/>
    <s v="01/01/2025 15:58"/>
    <s v="-"/>
    <s v="J&amp;T COD"/>
    <s v="Tiktok"/>
    <s v="จ่ายทีหลัง / COD"/>
    <s v=""/>
    <s v="754280993292"/>
    <s v="01/01/2025 15:58"/>
  </r>
  <r>
    <x v="3"/>
    <x v="3"/>
    <n v="100"/>
    <n v="1"/>
    <n v="0"/>
    <s v="EPI68"/>
    <n v="297"/>
    <n v="0"/>
    <s v="ร้านที่2"/>
    <s v="ส******ม"/>
    <s v="******ระสงค์ อำเภอท่าชนะ จังหวัดสุราษฎร์ธานี 84170"/>
    <s v="84170"/>
    <s v="88"/>
    <s v="01/01/2025 15:44"/>
    <s v="-"/>
    <s v="Flash Express"/>
    <s v="Shopee"/>
    <s v="shopee"/>
    <s v=""/>
    <s v="TH68076N7ZNB7C"/>
    <s v="01/01/2025 15:44"/>
  </r>
  <r>
    <x v="19"/>
    <x v="19"/>
    <n v="197"/>
    <n v="1"/>
    <n v="0"/>
    <s v="EPI68"/>
    <n v="297"/>
    <n v="0"/>
    <s v="ร้านที่2"/>
    <s v="ส******ม"/>
    <s v="******ระสงค์ อำเภอท่าชนะ จังหวัดสุราษฎร์ธานี 84170"/>
    <s v="84170"/>
    <s v="88"/>
    <s v="01/01/2025 15:44"/>
    <s v="-"/>
    <s v="Flash Express"/>
    <s v="Shopee"/>
    <s v="shopee"/>
    <s v=""/>
    <s v="TH68076N7ZNB7C"/>
    <s v="01/01/2025 15:44"/>
  </r>
  <r>
    <x v="59"/>
    <x v="84"/>
    <n v="100"/>
    <n v="1"/>
    <n v="0"/>
    <s v="EPI66"/>
    <n v="199"/>
    <n v="0"/>
    <s v="ร้านที่4"/>
    <s v="จ*** เ***รประภากุล"/>
    <s v="กรุงเทพฯ"/>
    <s v="-"/>
    <s v=""/>
    <s v="01/01/2025 15:40"/>
    <s v="-"/>
    <s v="Flash Express Thailand"/>
    <s v="Tiktok"/>
    <s v="tiktok"/>
    <s v=""/>
    <s v="THT01161DNWMF2Z"/>
    <s v="01/01/2025 15:40"/>
  </r>
  <r>
    <x v="1"/>
    <x v="1"/>
    <n v="200"/>
    <n v="1"/>
    <n v="0"/>
    <s v="EPI65"/>
    <n v="200"/>
    <n v="0"/>
    <s v="ร้านที่1"/>
    <s v="ม***มนต์ จ***พิทักษ์เลิศ"/>
    <s v="พระนครศรีอยุธยา"/>
    <s v="-"/>
    <s v=""/>
    <s v="01/01/2025 15:38"/>
    <s v="-"/>
    <s v="J&amp;T COD"/>
    <s v="Tiktok"/>
    <s v="จ่ายทีหลัง / COD"/>
    <s v=""/>
    <s v="754261799292"/>
    <s v="01/01/2025 15:38"/>
  </r>
  <r>
    <x v="10"/>
    <x v="10"/>
    <n v="200"/>
    <n v="1"/>
    <n v="0"/>
    <s v="EPI62"/>
    <n v="200"/>
    <n v="0"/>
    <s v="ร้านที่2"/>
    <s v="ส***ฒ  ศ***สุข"/>
    <s v="สุรินทร์"/>
    <s v="-"/>
    <s v=""/>
    <s v="01/01/2025 15:32"/>
    <s v="-"/>
    <s v="J&amp;T COD"/>
    <s v="Tiktok"/>
    <s v="จ่ายทีหลัง / COD"/>
    <s v=""/>
    <s v="754290236361"/>
    <s v="01/01/2025 15:33"/>
  </r>
  <r>
    <x v="4"/>
    <x v="4"/>
    <n v="100"/>
    <n v="1"/>
    <n v="0"/>
    <s v="EPI61"/>
    <n v="151"/>
    <n v="6"/>
    <s v="ร้านที่1"/>
    <s v="พ***ินทร์ ถ***ทับไทย"/>
    <s v="กรุงเทพฯ"/>
    <s v="-"/>
    <s v=""/>
    <s v="01/01/2025 15:32"/>
    <s v="-"/>
    <s v="J&amp;T Express"/>
    <s v="Tiktok"/>
    <s v="tiktok"/>
    <s v=""/>
    <s v="754290440330"/>
    <s v="01/01/2025 15:32"/>
  </r>
  <r>
    <x v="4"/>
    <x v="4"/>
    <n v="100"/>
    <n v="1"/>
    <n v="0"/>
    <s v="EPI60"/>
    <n v="106"/>
    <n v="6"/>
    <s v="ร้านที่1"/>
    <s v="พ***า เ***รงค์"/>
    <s v="พังงา"/>
    <s v="-"/>
    <s v=""/>
    <s v="01/01/2025 15:30"/>
    <s v="-"/>
    <s v="J&amp;T COD"/>
    <s v="Tiktok"/>
    <s v="จ่ายทีหลัง / COD"/>
    <s v=""/>
    <s v="754229601322"/>
    <s v="01/01/2025 15:31"/>
  </r>
  <r>
    <x v="3"/>
    <x v="3"/>
    <n v="100"/>
    <n v="2"/>
    <n v="0"/>
    <s v="EPI59"/>
    <n v="200"/>
    <n v="0"/>
    <s v="ร้านที่4"/>
    <s v="ส***นาฎ  ส***ระเสริฐ"/>
    <s v="ลพบุรี"/>
    <s v="-"/>
    <s v=""/>
    <s v="01/01/2025 15:28"/>
    <s v="-"/>
    <s v="Flash Express Thailand"/>
    <s v="Tiktok"/>
    <s v="tiktok"/>
    <s v=""/>
    <s v="THT07011DPBV00Z"/>
    <s v="01/01/2025 15:28"/>
  </r>
  <r>
    <x v="9"/>
    <x v="4"/>
    <n v="100"/>
    <n v="1"/>
    <n v="0"/>
    <s v="EPI57"/>
    <n v="100"/>
    <n v="0"/>
    <s v="ร้านที่1"/>
    <s v="ป***ดา"/>
    <s v="ลพบุรี"/>
    <s v="-"/>
    <s v=""/>
    <s v="01/01/2025 15:22"/>
    <s v="-"/>
    <s v="J&amp;T COD"/>
    <s v="Tiktok"/>
    <s v="จ่ายทีหลัง / COD"/>
    <s v=""/>
    <s v="754248150261"/>
    <s v="01/01/2025 15:22"/>
  </r>
  <r>
    <x v="1"/>
    <x v="1"/>
    <n v="200"/>
    <n v="1"/>
    <n v="0"/>
    <s v="EPI53"/>
    <n v="200"/>
    <n v="0"/>
    <s v="ร้านที่1"/>
    <s v="ม***ียร จ***ร่อย"/>
    <s v="นครปฐม"/>
    <s v="-"/>
    <s v=""/>
    <s v="01/01/2025 15:19"/>
    <s v="-"/>
    <s v="J&amp;T COD"/>
    <s v="Tiktok"/>
    <s v="จ่ายทีหลัง / COD"/>
    <s v=""/>
    <s v="754256647340"/>
    <s v="01/01/2025 15:19"/>
  </r>
  <r>
    <x v="5"/>
    <x v="5"/>
    <n v="330"/>
    <n v="1"/>
    <n v="0"/>
    <s v="EPI52"/>
    <n v="330"/>
    <n v="0"/>
    <s v="ร้านที่2"/>
    <s v="พ***วย"/>
    <s v="ร้อยเอ็ด"/>
    <s v="-"/>
    <s v=""/>
    <s v="01/01/2025 15:19"/>
    <s v="-"/>
    <s v="J&amp;T Express"/>
    <s v="Tiktok"/>
    <s v="tiktok"/>
    <s v=""/>
    <s v="754253787243"/>
    <s v="01/01/2025 15:19"/>
  </r>
  <r>
    <x v="1"/>
    <x v="1"/>
    <n v="200"/>
    <n v="1"/>
    <n v="0"/>
    <s v="EPI51"/>
    <n v="200"/>
    <n v="0"/>
    <s v="ร้านที่1"/>
    <s v="ว***ดา ค***ครอง"/>
    <s v="สุรินทร์"/>
    <s v="-"/>
    <s v=""/>
    <s v="01/01/2025 15:18"/>
    <s v="-"/>
    <s v="J&amp;T COD"/>
    <s v="Tiktok"/>
    <s v="จ่ายทีหลัง / COD"/>
    <s v=""/>
    <s v="754287137354"/>
    <s v="01/01/2025 15:18"/>
  </r>
  <r>
    <x v="4"/>
    <x v="4"/>
    <n v="100"/>
    <n v="1"/>
    <n v="0"/>
    <s v="EPI50"/>
    <n v="106"/>
    <n v="6"/>
    <s v="ร้านที่2"/>
    <s v="เ***"/>
    <s v="นนทบุรี"/>
    <s v="-"/>
    <s v=""/>
    <s v="01/01/2025 15:17"/>
    <s v="-"/>
    <s v="J&amp;T COD"/>
    <s v="Tiktok"/>
    <s v="จ่ายทีหลัง / COD"/>
    <s v=""/>
    <s v="754265202320"/>
    <s v="01/01/2025 15:17"/>
  </r>
  <r>
    <x v="59"/>
    <x v="84"/>
    <n v="100"/>
    <n v="1"/>
    <n v="0"/>
    <s v="EPI48"/>
    <n v="200"/>
    <n v="0"/>
    <s v="ร้านที่4"/>
    <s v="น*** แ***คำพันธ์"/>
    <s v="เลย"/>
    <s v="-"/>
    <s v=""/>
    <s v="01/01/2025 15:17"/>
    <s v="-"/>
    <s v="Flash Express Thailand COD"/>
    <s v="Tiktok"/>
    <s v="จ่ายทีหลัง / COD"/>
    <s v=""/>
    <s v="THT39081DPB992Z"/>
    <s v="01/01/2025 15:17"/>
  </r>
  <r>
    <x v="3"/>
    <x v="3"/>
    <n v="100"/>
    <n v="1"/>
    <n v="0"/>
    <s v="EPI48"/>
    <n v="200"/>
    <n v="0"/>
    <s v="ร้านที่4"/>
    <s v="น*** แ***คำพันธ์"/>
    <s v="เลย"/>
    <s v="-"/>
    <s v=""/>
    <s v="01/01/2025 15:17"/>
    <s v="-"/>
    <s v="Flash Express Thailand COD"/>
    <s v="Tiktok"/>
    <s v="จ่ายทีหลัง / COD"/>
    <s v=""/>
    <s v="THT39081DPB992Z"/>
    <s v="01/01/2025 15:17"/>
  </r>
  <r>
    <x v="1"/>
    <x v="1"/>
    <n v="200"/>
    <n v="1"/>
    <n v="0"/>
    <s v="EPI46"/>
    <n v="200"/>
    <n v="0"/>
    <s v="ร้านที่1"/>
    <s v="น***ุวัฒน์  เ***นสันเทียะ"/>
    <s v="นครราชสีมา"/>
    <s v="-"/>
    <s v=""/>
    <s v="01/01/2025 15:17"/>
    <s v="-"/>
    <s v="J&amp;T Express"/>
    <s v="Tiktok"/>
    <s v="tiktok"/>
    <s v=""/>
    <s v="754208333373"/>
    <s v="01/01/2025 15:16"/>
  </r>
  <r>
    <x v="4"/>
    <x v="4"/>
    <n v="100"/>
    <n v="1"/>
    <n v="0"/>
    <s v="EPI43"/>
    <n v="200"/>
    <n v="0"/>
    <s v="ร้านที่1"/>
    <s v="จ***ภรณ์ ท***า"/>
    <s v="เลย"/>
    <s v="-"/>
    <s v=""/>
    <s v="01/01/2025 15:15"/>
    <s v="-"/>
    <s v="J&amp;T COD"/>
    <s v="Tiktok"/>
    <s v="จ่ายทีหลัง / COD"/>
    <s v=""/>
    <s v="754226326383"/>
    <s v="01/01/2025 15:15"/>
  </r>
  <r>
    <x v="9"/>
    <x v="4"/>
    <n v="100"/>
    <n v="1"/>
    <n v="0"/>
    <s v="EPI43"/>
    <n v="200"/>
    <n v="0"/>
    <s v="ร้านที่1"/>
    <s v="จ***ภรณ์ ท***า"/>
    <s v="เลย"/>
    <s v="-"/>
    <s v=""/>
    <s v="01/01/2025 15:15"/>
    <s v="-"/>
    <s v="J&amp;T COD"/>
    <s v="Tiktok"/>
    <s v="จ่ายทีหลัง / COD"/>
    <s v=""/>
    <s v="754226326383"/>
    <s v="01/01/2025 15:15"/>
  </r>
  <r>
    <x v="59"/>
    <x v="84"/>
    <n v="100"/>
    <n v="2"/>
    <n v="0"/>
    <s v="EPI41"/>
    <n v="200"/>
    <n v="0"/>
    <s v="ร้านที่1"/>
    <s v="ก***า ป***สูงเนิน"/>
    <s v="สระบุรี"/>
    <s v="-"/>
    <s v=""/>
    <s v="01/01/2025 15:13"/>
    <s v="-"/>
    <s v="J&amp;T Express"/>
    <s v="Tiktok"/>
    <s v="tiktok"/>
    <s v=""/>
    <s v="754253379246"/>
    <s v="01/01/2025 15:14"/>
  </r>
  <r>
    <x v="1"/>
    <x v="1"/>
    <n v="200"/>
    <n v="1"/>
    <n v="0"/>
    <s v="EPI40"/>
    <n v="200"/>
    <n v="0"/>
    <s v="ร้านที่1"/>
    <s v="ท***หม่ ม***าศ"/>
    <s v="เพชรบูรณ์"/>
    <s v="-"/>
    <s v=""/>
    <s v="01/01/2025 15:13"/>
    <s v="-"/>
    <s v="J&amp;T COD"/>
    <s v="Tiktok"/>
    <s v="จ่ายทีหลัง / COD"/>
    <s v=""/>
    <s v="754293800330"/>
    <s v="01/01/2025 15:13"/>
  </r>
  <r>
    <x v="10"/>
    <x v="10"/>
    <n v="200"/>
    <n v="1"/>
    <n v="0"/>
    <s v="EPI37"/>
    <n v="200"/>
    <n v="0"/>
    <s v="ร้านที่1"/>
    <s v="แ***จียง ไ***พันธ์"/>
    <s v="จังหวัดยโสธร"/>
    <s v="-"/>
    <s v=""/>
    <s v="01/01/2025 15:02"/>
    <s v="-"/>
    <s v="J&amp;T Express"/>
    <s v="Tiktok"/>
    <s v="tiktok"/>
    <s v=""/>
    <s v="754269830355"/>
    <s v="01/01/2025 15:02"/>
  </r>
  <r>
    <x v="59"/>
    <x v="84"/>
    <n v="100"/>
    <n v="1"/>
    <n v="0"/>
    <s v="EPI36"/>
    <n v="125"/>
    <n v="25"/>
    <s v="ร้านที่2"/>
    <s v="จ***บ้  แ***นาทม"/>
    <s v="ตราด"/>
    <s v="-"/>
    <s v=""/>
    <s v="01/01/2025 14:59"/>
    <s v="-"/>
    <s v="J&amp;T COD"/>
    <s v="Tiktok"/>
    <s v="จ่ายทีหลัง / COD"/>
    <s v=""/>
    <s v="754253893212"/>
    <s v="01/01/2025 15:00"/>
  </r>
  <r>
    <x v="19"/>
    <x v="19"/>
    <n v="199"/>
    <n v="1"/>
    <n v="0"/>
    <s v="EPI35"/>
    <n v="228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1/01/2025 15:28"/>
    <s v="-"/>
    <s v="SPX Express"/>
    <s v="Shopee"/>
    <s v="shopee"/>
    <s v=""/>
    <s v="TH257690003589G"/>
    <s v="01/01/2025 14:58"/>
  </r>
  <r>
    <x v="4"/>
    <x v="4"/>
    <n v="100"/>
    <n v="1"/>
    <n v="0"/>
    <s v="EPI34"/>
    <n v="106"/>
    <n v="6"/>
    <s v="ร้านที่4"/>
    <s v="ท***งค์"/>
    <s v="กรุงเทพมหานคร"/>
    <s v="-"/>
    <s v=""/>
    <s v="01/01/2025 14:55"/>
    <s v="-"/>
    <s v="Flash Express Thailand COD"/>
    <s v="Tiktok"/>
    <s v="จ่ายทีหลัง / COD"/>
    <s v=""/>
    <s v="THT01381DP9XC4Z"/>
    <s v="01/01/2025 14:55"/>
  </r>
  <r>
    <x v="4"/>
    <x v="4"/>
    <n v="100"/>
    <n v="1"/>
    <n v="0"/>
    <s v="EPI32"/>
    <n v="106"/>
    <n v="6"/>
    <s v="ร้านที่2"/>
    <s v="น***พร ส***รณจักร์"/>
    <s v="ร้อยเอ็ด"/>
    <s v="-"/>
    <s v=""/>
    <s v="01/01/2025 14:43"/>
    <s v="-"/>
    <s v="J&amp;T COD"/>
    <s v="Tiktok"/>
    <s v="จ่ายทีหลัง / COD"/>
    <s v=""/>
    <s v="754271509364"/>
    <s v="01/01/2025 14:43"/>
  </r>
  <r>
    <x v="34"/>
    <x v="69"/>
    <n v="420"/>
    <n v="1"/>
    <n v="0"/>
    <s v="EPI30"/>
    <n v="495"/>
    <n v="75"/>
    <s v="ร้านที่1"/>
    <s v="น******ด"/>
    <s v="******5, ตำบล เขาชะงุ้ม, อำเภอโพธาราม70120 ตำบลเขาชะงุ้ม อำเภอโพธาราม จังหวัดราชบุรี 70120"/>
    <s v="70120"/>
    <s v="53"/>
    <s v="01/01/2025 14:41"/>
    <s v="-"/>
    <s v="SPX Express"/>
    <s v="Shopee"/>
    <s v="shopee"/>
    <s v=""/>
    <s v="TH2569129618711"/>
    <s v="01/01/2025 14:41"/>
  </r>
  <r>
    <x v="1"/>
    <x v="1"/>
    <n v="200"/>
    <n v="2"/>
    <n v="0"/>
    <s v="EPI29"/>
    <n v="400"/>
    <n v="0"/>
    <s v="ร้านที่2"/>
    <s v="A** M**"/>
    <s v="Bangkok"/>
    <s v="-"/>
    <s v=""/>
    <s v="01/01/2025 14:40"/>
    <s v="-"/>
    <s v="J&amp;T COD"/>
    <s v="Tiktok"/>
    <s v="จ่ายทีหลัง / COD"/>
    <s v=""/>
    <s v="754266095273"/>
    <s v="01/01/2025 14:40"/>
  </r>
  <r>
    <x v="4"/>
    <x v="4"/>
    <n v="100"/>
    <n v="1"/>
    <n v="0"/>
    <s v="EPI27"/>
    <n v="106"/>
    <n v="6"/>
    <s v="ร้านที่1"/>
    <s v="ส*** บ***ัฒน์"/>
    <s v="สมุทรปราการ"/>
    <s v="-"/>
    <s v=""/>
    <s v="01/01/2025 14:38"/>
    <s v="-"/>
    <s v="J&amp;T COD"/>
    <s v="Tiktok"/>
    <s v="จ่ายทีหลัง / COD"/>
    <s v=""/>
    <s v="754250700361"/>
    <s v="01/01/2025 14:38"/>
  </r>
  <r>
    <x v="33"/>
    <x v="43"/>
    <n v="330"/>
    <n v="1"/>
    <n v="0"/>
    <s v="EPI26"/>
    <n v="660"/>
    <n v="0"/>
    <s v="ร้านที่4"/>
    <s v="พ***ีณ์ "/>
    <s v="เพชรบุรี"/>
    <s v="-"/>
    <s v=""/>
    <s v="01/01/2025 14:37"/>
    <s v="-"/>
    <s v="Flash Express Thailand COD"/>
    <s v="Tiktok"/>
    <s v="จ่ายทีหลัง / COD"/>
    <s v=""/>
    <s v="THT18021DP2AM4Z"/>
    <s v="01/01/2025 14:37"/>
  </r>
  <r>
    <x v="29"/>
    <x v="36"/>
    <n v="330"/>
    <n v="1"/>
    <n v="0"/>
    <s v="EPI26"/>
    <n v="660"/>
    <n v="0"/>
    <s v="ร้านที่4"/>
    <s v="พ***ีณ์ "/>
    <s v="เพชรบุรี"/>
    <s v="-"/>
    <s v=""/>
    <s v="01/01/2025 14:37"/>
    <s v="-"/>
    <s v="Flash Express Thailand COD"/>
    <s v="Tiktok"/>
    <s v="จ่ายทีหลัง / COD"/>
    <s v=""/>
    <s v="THT18021DP2AM4Z"/>
    <s v="01/01/2025 14:37"/>
  </r>
  <r>
    <x v="40"/>
    <x v="47"/>
    <n v="327.25"/>
    <n v="1"/>
    <n v="0"/>
    <s v="EPI24"/>
    <n v="332.25"/>
    <n v="5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01/01/2025 14:35"/>
    <s v="-"/>
    <s v="Kerry_dropoff"/>
    <s v="Lazada"/>
    <s v="lazada"/>
    <s v=""/>
    <s v="TH49026N6J113D"/>
    <s v="01/01/2025 14:35"/>
  </r>
  <r>
    <x v="1"/>
    <x v="1"/>
    <n v="200"/>
    <n v="1"/>
    <n v="0"/>
    <s v="EPI22"/>
    <n v="200"/>
    <n v="0"/>
    <s v="ร้านที่2"/>
    <s v="ย***พร ช***าลย์"/>
    <s v="เทศบาลนครนครราชสีมา"/>
    <s v="-"/>
    <s v=""/>
    <s v="01/01/2025 14:32"/>
    <s v="-"/>
    <s v="J&amp;T COD"/>
    <s v="Tiktok"/>
    <s v="จ่ายทีหลัง / COD"/>
    <s v=""/>
    <s v="754253199265"/>
    <s v="01/01/2025 14:32"/>
  </r>
  <r>
    <x v="59"/>
    <x v="84"/>
    <n v="100"/>
    <n v="1"/>
    <n v="0"/>
    <s v="EPI20"/>
    <n v="248"/>
    <n v="0"/>
    <s v="ร้านที่2"/>
    <s v="ซ***นะห์  ม***"/>
    <s v="นราธิวาส"/>
    <s v="-"/>
    <s v=""/>
    <s v="01/01/2025 14:28"/>
    <s v="-"/>
    <s v="J&amp;T COD"/>
    <s v="Tiktok"/>
    <s v="จ่ายทีหลัง / COD"/>
    <s v=""/>
    <s v="754257331380"/>
    <s v="01/01/2025 14:30"/>
  </r>
  <r>
    <x v="3"/>
    <x v="3"/>
    <n v="100"/>
    <n v="1"/>
    <n v="0"/>
    <s v="EPI20"/>
    <n v="248"/>
    <n v="0"/>
    <s v="ร้านที่2"/>
    <s v="ซ***นะห์  ม***"/>
    <s v="นราธิวาส"/>
    <s v="-"/>
    <s v=""/>
    <s v="01/01/2025 14:28"/>
    <s v="-"/>
    <s v="J&amp;T COD"/>
    <s v="Tiktok"/>
    <s v="จ่ายทีหลัง / COD"/>
    <s v=""/>
    <s v="754257331380"/>
    <s v="01/01/2025 14:30"/>
  </r>
  <r>
    <x v="3"/>
    <x v="3"/>
    <n v="100"/>
    <n v="2"/>
    <n v="0"/>
    <s v="EPI19"/>
    <n v="229"/>
    <n v="29"/>
    <s v="ร้านที่2"/>
    <s v="น******ม"/>
    <s v="******ำบลไผ่เขียว อำเภอสว่างอารมณ์ จังหวัดอุทัยธานี 61150"/>
    <s v="61150"/>
    <s v="98"/>
    <s v="01/01/2025 14:30"/>
    <s v="-"/>
    <s v="Flash Express"/>
    <s v="Shopee"/>
    <s v="shopee"/>
    <s v=""/>
    <s v="TH57036N82DY7D"/>
    <s v="01/01/2025 14:30"/>
  </r>
  <r>
    <x v="4"/>
    <x v="4"/>
    <n v="100"/>
    <n v="4"/>
    <n v="0"/>
    <s v="EPI18"/>
    <n v="900"/>
    <n v="0"/>
    <s v="ร้านที่1"/>
    <s v="ป***า"/>
    <s v="ปทุมธานี"/>
    <s v="-"/>
    <s v=""/>
    <s v="01/01/2025 14:25"/>
    <s v="-"/>
    <s v="J&amp;T COD"/>
    <s v="Tiktok"/>
    <s v="จ่ายทีหลัง / COD"/>
    <s v=""/>
    <s v="754272040314"/>
    <s v="01/01/2025 14:30"/>
  </r>
  <r>
    <x v="9"/>
    <x v="4"/>
    <n v="100"/>
    <n v="5"/>
    <n v="0"/>
    <s v="EPI18"/>
    <n v="900"/>
    <n v="0"/>
    <s v="ร้านที่1"/>
    <s v="ป***า"/>
    <s v="ปทุมธานี"/>
    <s v="-"/>
    <s v=""/>
    <s v="01/01/2025 14:25"/>
    <s v="-"/>
    <s v="J&amp;T COD"/>
    <s v="Tiktok"/>
    <s v="จ่ายทีหลัง / COD"/>
    <s v=""/>
    <s v="754272040314"/>
    <s v="01/01/2025 14:30"/>
  </r>
  <r>
    <x v="9"/>
    <x v="4"/>
    <n v="100"/>
    <n v="1"/>
    <n v="0"/>
    <s v="EPI17"/>
    <n v="106"/>
    <n v="6"/>
    <s v="ร้านที่1"/>
    <s v="ป***นุช  ย***คราม"/>
    <s v="กาญจนบุรี"/>
    <s v="-"/>
    <s v=""/>
    <s v="01/01/2025 14:22"/>
    <s v="-"/>
    <s v="J&amp;T COD"/>
    <s v="Tiktok"/>
    <s v="จ่ายทีหลัง / COD"/>
    <s v=""/>
    <s v="754230364241"/>
    <s v="01/01/2025 14:29"/>
  </r>
  <r>
    <x v="4"/>
    <x v="4"/>
    <n v="100"/>
    <n v="1"/>
    <n v="0"/>
    <s v="EPI16"/>
    <n v="100"/>
    <n v="0"/>
    <s v="ร้านที่1"/>
    <s v="ว***วรรณ ก***นหอม"/>
    <s v="จังหวัดสุโขทัย"/>
    <s v="-"/>
    <s v=""/>
    <s v="01/01/2025 14:21"/>
    <s v="-"/>
    <s v="J&amp;T COD"/>
    <s v="Tiktok"/>
    <s v="จ่ายทีหลัง / COD"/>
    <s v=""/>
    <s v="754282302373"/>
    <s v="01/01/2025 14:29"/>
  </r>
  <r>
    <x v="1"/>
    <x v="1"/>
    <n v="200"/>
    <n v="1"/>
    <n v="0"/>
    <s v="EPI15"/>
    <n v="200"/>
    <n v="0"/>
    <s v="ร้านที่1"/>
    <s v="อ***ักดิ์ เ***"/>
    <s v="ชลบุรี"/>
    <s v="-"/>
    <s v=""/>
    <s v="01/01/2025 14:19"/>
    <s v="-"/>
    <s v="J&amp;T Express"/>
    <s v="Tiktok"/>
    <s v="tiktok"/>
    <s v=""/>
    <s v="754286598273"/>
    <s v="01/01/2025 14:29"/>
  </r>
  <r>
    <x v="30"/>
    <x v="90"/>
    <n v="160"/>
    <n v="1"/>
    <n v="0"/>
    <s v="EPI14"/>
    <n v="195"/>
    <n v="35"/>
    <s v="ร้านที่1"/>
    <s v="น******ร"/>
    <s v="******มประเวศ แขวงคลองสามประเวศ เขตลาดกระบัง จังหวัดกรุงเทพมหานคร 10520"/>
    <s v="10520"/>
    <s v="66"/>
    <s v="01/01/2025 14:28"/>
    <s v="-"/>
    <s v="SPX Express"/>
    <s v="Shopee"/>
    <s v="shopee"/>
    <s v=""/>
    <s v="TH256375120375B"/>
    <s v="01/01/2025 14:28"/>
  </r>
  <r>
    <x v="4"/>
    <x v="4"/>
    <n v="100"/>
    <n v="1"/>
    <n v="0"/>
    <s v="EPI13"/>
    <n v="200"/>
    <n v="0"/>
    <s v="ร้านที่4"/>
    <s v="ส***นทา ค***จันทร์"/>
    <s v="จังหวัดเชียงราย"/>
    <s v="-"/>
    <s v=""/>
    <s v="01/01/2025 14:09"/>
    <s v="-"/>
    <s v="Flash Express Thailand COD"/>
    <s v="Tiktok"/>
    <s v="จ่ายทีหลัง / COD"/>
    <s v=""/>
    <s v="THT54031DPB420Z"/>
    <s v="01/01/2025 14:20"/>
  </r>
  <r>
    <x v="3"/>
    <x v="3"/>
    <n v="100"/>
    <n v="1"/>
    <n v="0"/>
    <s v="EPI13"/>
    <n v="200"/>
    <n v="0"/>
    <s v="ร้านที่4"/>
    <s v="ส***นทา ค***จันทร์"/>
    <s v="จังหวัดเชียงราย"/>
    <s v="-"/>
    <s v=""/>
    <s v="01/01/2025 14:09"/>
    <s v="-"/>
    <s v="Flash Express Thailand COD"/>
    <s v="Tiktok"/>
    <s v="จ่ายทีหลัง / COD"/>
    <s v=""/>
    <s v="THT54031DPB420Z"/>
    <s v="01/01/2025 14:20"/>
  </r>
  <r>
    <x v="3"/>
    <x v="3"/>
    <n v="100"/>
    <n v="1"/>
    <n v="0"/>
    <s v="EPI12"/>
    <n v="106"/>
    <n v="6"/>
    <s v="ร้านที่4"/>
    <s v="ว***ขนิษ  บ***งตา"/>
    <s v="นครราชสีมา"/>
    <s v="-"/>
    <s v=""/>
    <s v="01/01/2025 14:10"/>
    <s v="-"/>
    <s v="Flash Express Thailand COD"/>
    <s v="Tiktok"/>
    <s v="จ่ายทีหลัง / COD"/>
    <s v=""/>
    <s v="THT27211DPAGT2Z"/>
    <s v="01/01/2025 14:20"/>
  </r>
  <r>
    <x v="33"/>
    <x v="43"/>
    <n v="330"/>
    <n v="1"/>
    <n v="0"/>
    <s v="EPI10"/>
    <n v="330"/>
    <n v="0"/>
    <s v="ร้านที่4"/>
    <s v="ร***าภรณ์​ ศ***ำปลิว"/>
    <s v="หนองคาย"/>
    <s v="-"/>
    <s v=""/>
    <s v="01/01/2025 14:19"/>
    <s v="-"/>
    <s v="Flash Express Thailand COD"/>
    <s v="Tiktok"/>
    <s v="จ่ายทีหลัง / COD"/>
    <s v=""/>
    <s v="THT40051DPDN52Z"/>
    <s v="01/01/2025 14:20"/>
  </r>
  <r>
    <x v="1"/>
    <x v="1"/>
    <n v="200"/>
    <n v="1"/>
    <n v="0"/>
    <s v="EPI9"/>
    <n v="200"/>
    <n v="0"/>
    <s v="ร้านที่2"/>
    <s v="ป*** ธ***า"/>
    <s v="กรุงเทพฯ"/>
    <s v="-"/>
    <s v=""/>
    <s v="01/01/2025 14:08"/>
    <s v="-"/>
    <s v="J&amp;T COD"/>
    <s v="Tiktok"/>
    <s v="จ่ายทีหลัง / COD"/>
    <s v=""/>
    <s v="754244592275"/>
    <s v="01/01/2025 14:16"/>
  </r>
  <r>
    <x v="1"/>
    <x v="1"/>
    <n v="200"/>
    <n v="1"/>
    <n v="0"/>
    <s v="EPI8"/>
    <n v="200"/>
    <n v="0"/>
    <s v="ร้านที่2"/>
    <s v="เ***นตา     ศ***าจันทร์"/>
    <s v="ราชบุรี"/>
    <s v="-"/>
    <s v=""/>
    <s v="01/01/2025 14:09"/>
    <s v="-"/>
    <s v="J&amp;T COD"/>
    <s v="Tiktok"/>
    <s v="จ่ายทีหลัง / COD"/>
    <s v=""/>
    <s v="754299004340"/>
    <s v="01/01/2025 14:15"/>
  </r>
  <r>
    <x v="10"/>
    <x v="10"/>
    <n v="200"/>
    <n v="1"/>
    <n v="0"/>
    <s v="EPI7"/>
    <n v="200"/>
    <n v="0"/>
    <s v="ร้านที่2"/>
    <s v="พ***รณ ส***ยสน"/>
    <s v="ชลบุรี"/>
    <s v="-"/>
    <s v=""/>
    <s v="01/01/2025 14:11"/>
    <s v="-"/>
    <s v="J&amp;T COD"/>
    <s v="Tiktok"/>
    <s v="จ่ายทีหลัง / COD"/>
    <s v=""/>
    <s v="754205035371"/>
    <s v="01/01/2025 14:15"/>
  </r>
  <r>
    <x v="1"/>
    <x v="1"/>
    <n v="200"/>
    <n v="1"/>
    <n v="0"/>
    <s v="EPI6"/>
    <n v="245"/>
    <n v="45"/>
    <s v="ร้านที่2"/>
    <s v="ม***นี ค***ะ"/>
    <s v="หนองคาย"/>
    <s v="-"/>
    <s v=""/>
    <s v="01/01/2025 14:13"/>
    <s v="-"/>
    <s v="J&amp;T COD"/>
    <s v="Tiktok"/>
    <s v="จ่ายทีหลัง / COD"/>
    <s v=""/>
    <s v="754209403334"/>
    <s v="01/01/2025 14:15"/>
  </r>
  <r>
    <x v="19"/>
    <x v="19"/>
    <n v="199"/>
    <n v="2"/>
    <n v="0"/>
    <s v="EPI3"/>
    <n v="456"/>
    <n v="58"/>
    <s v="ร้านที่1"/>
    <s v="ป******ณ"/>
    <s v="******ุมวิท 89, ตำบลสัตหีบ, อำเภอสัตหีบ ตำบลสัตหีบ อำเภอสัตหีบ จังหวัดชลบุรี 20180"/>
    <s v="20180"/>
    <s v="12"/>
    <s v="01/01/2025 14:34"/>
    <s v="-"/>
    <s v="Flash Express"/>
    <s v="Shopee"/>
    <s v="shopee"/>
    <s v=""/>
    <s v="TH20086N6UMD2A"/>
    <s v="01/01/2025 14:12"/>
  </r>
  <r>
    <x v="1"/>
    <x v="1"/>
    <n v="200"/>
    <n v="1"/>
    <n v="0"/>
    <s v="EPI2"/>
    <n v="200"/>
    <n v="0"/>
    <s v="ร้านที่4"/>
    <s v="น***าวพิมพรรณ ใ***อ"/>
    <s v="ลำพูน"/>
    <s v="-"/>
    <s v=""/>
    <s v="01/01/2025 14:04"/>
    <s v="-"/>
    <s v="Flash Express Thailand"/>
    <s v="Tiktok"/>
    <s v="tiktok"/>
    <s v=""/>
    <s v="THT48011DP0XA1Z"/>
    <s v="01/01/2025 14:09"/>
  </r>
  <r>
    <x v="10"/>
    <x v="10"/>
    <n v="200"/>
    <n v="1"/>
    <n v="0"/>
    <s v="EPH99"/>
    <n v="200"/>
    <n v="0"/>
    <s v="ร้านที่2"/>
    <s v="ว***รำไพ ต***นเทียะ"/>
    <s v="เทศบาลนครนครราชสีมา"/>
    <s v="-"/>
    <s v=""/>
    <s v="01/01/2025 13:57"/>
    <s v="-"/>
    <s v="J&amp;T COD"/>
    <s v="Tiktok"/>
    <s v="จ่ายทีหลัง / COD"/>
    <s v=""/>
    <s v="754254635374"/>
    <s v="01/01/2025 13:57"/>
  </r>
  <r>
    <x v="3"/>
    <x v="3"/>
    <n v="100"/>
    <n v="1"/>
    <n v="0"/>
    <s v="EPH98"/>
    <n v="129"/>
    <n v="29"/>
    <s v="ร้านที่2"/>
    <s v="ม**า"/>
    <s v="******้านแห อำเภอเมืองอ่างทอง จังหวัดอ่างทอง 14000"/>
    <s v="14000"/>
    <s v="91"/>
    <s v="01/01/2025 13:56"/>
    <s v="-"/>
    <s v="SPX Express"/>
    <s v="Shopee"/>
    <s v="shopee"/>
    <s v=""/>
    <s v="TH254033053890A"/>
    <s v="01/01/2025 13:56"/>
  </r>
  <r>
    <x v="59"/>
    <x v="84"/>
    <n v="100"/>
    <n v="1"/>
    <n v="0"/>
    <s v="EPH97"/>
    <n v="125"/>
    <n v="25"/>
    <s v="ร้านที่1"/>
    <s v="ป***ี  ต***พุก"/>
    <s v="ราชบุรี"/>
    <s v="-"/>
    <s v=""/>
    <s v="01/01/2025 13:55"/>
    <s v="-"/>
    <s v="J&amp;T COD"/>
    <s v="Tiktok"/>
    <s v="จ่ายทีหลัง / COD"/>
    <s v=""/>
    <s v="754295893212"/>
    <s v="01/01/2025 13:56"/>
  </r>
  <r>
    <x v="59"/>
    <x v="84"/>
    <n v="100"/>
    <n v="1"/>
    <n v="0"/>
    <s v="EPH95"/>
    <n v="199"/>
    <n v="0"/>
    <s v="ร้านที่4"/>
    <s v="ม***ยพร ค***ริญ"/>
    <s v="ฉะเชิงเทรา"/>
    <s v="-"/>
    <s v=""/>
    <s v="01/01/2025 13:51"/>
    <s v="-"/>
    <s v="Flash Express Thailand COD"/>
    <s v="Tiktok"/>
    <s v="จ่ายทีหลัง / COD"/>
    <s v=""/>
    <s v="THT24021DP3VN5Z"/>
    <s v="01/01/2025 13:51"/>
  </r>
  <r>
    <x v="9"/>
    <x v="4"/>
    <n v="100"/>
    <n v="1"/>
    <n v="0"/>
    <s v="EPH94"/>
    <n v="106"/>
    <n v="6"/>
    <s v="ร้านที่4"/>
    <s v="ว***ี เ***สิทธิ์"/>
    <s v="ร้อยเอ็ด"/>
    <s v="-"/>
    <s v=""/>
    <s v="01/01/2025 13:51"/>
    <s v="-"/>
    <s v="Flash Express Thailand COD"/>
    <s v="Tiktok"/>
    <s v="จ่ายทีหลัง / COD"/>
    <s v=""/>
    <s v="THT42031DP0752Z"/>
    <s v="01/01/2025 13:51"/>
  </r>
  <r>
    <x v="9"/>
    <x v="4"/>
    <n v="100"/>
    <n v="3"/>
    <n v="0"/>
    <s v="EPH91"/>
    <n v="300"/>
    <n v="0"/>
    <s v="ร้านที่1"/>
    <s v="น***รางค์  แ***โฉม"/>
    <s v="สมุทรปราการ"/>
    <s v="-"/>
    <s v=""/>
    <s v="01/01/2025 13:47"/>
    <s v="-"/>
    <s v="J&amp;T COD"/>
    <s v="Tiktok"/>
    <s v="จ่ายทีหลัง / COD"/>
    <s v=""/>
    <s v="754228754285"/>
    <s v="01/01/2025 13:48"/>
  </r>
  <r>
    <x v="10"/>
    <x v="10"/>
    <n v="200"/>
    <n v="1"/>
    <n v="0"/>
    <s v="EPH90"/>
    <n v="200"/>
    <n v="0"/>
    <s v="ร้านที่4"/>
    <s v="ก***นา แ***า"/>
    <s v="จันทบุรี"/>
    <s v="-"/>
    <s v=""/>
    <s v="01/01/2025 13:45"/>
    <s v="-"/>
    <s v="Flash Express Thailand COD"/>
    <s v="Tiktok"/>
    <s v="จ่ายทีหลัง / COD"/>
    <s v=""/>
    <s v="THT22051DP22K8Z"/>
    <s v="01/01/2025 13:45"/>
  </r>
  <r>
    <x v="21"/>
    <x v="21"/>
    <n v="149"/>
    <n v="1"/>
    <n v="0"/>
    <s v="EPH89"/>
    <n v="249"/>
    <n v="0"/>
    <s v="ร้านที่2"/>
    <s v="จ***ทิพย์ ล***า"/>
    <s v="กาญจนบุรี"/>
    <s v="-"/>
    <s v=""/>
    <s v="01/01/2025 13:43"/>
    <s v="-"/>
    <s v="J&amp;T COD"/>
    <s v="Tiktok"/>
    <s v="จ่ายทีหลัง / COD"/>
    <s v=""/>
    <s v="754289533362"/>
    <s v="01/01/2025 13:43"/>
  </r>
  <r>
    <x v="3"/>
    <x v="3"/>
    <n v="100"/>
    <n v="1"/>
    <n v="0"/>
    <s v="EPH89"/>
    <n v="249"/>
    <n v="0"/>
    <s v="ร้านที่2"/>
    <s v="จ***ทิพย์ ล***า"/>
    <s v="กาญจนบุรี"/>
    <s v="-"/>
    <s v=""/>
    <s v="01/01/2025 13:43"/>
    <s v="-"/>
    <s v="J&amp;T COD"/>
    <s v="Tiktok"/>
    <s v="จ่ายทีหลัง / COD"/>
    <s v=""/>
    <s v="754289533362"/>
    <s v="01/01/2025 13:43"/>
  </r>
  <r>
    <x v="4"/>
    <x v="4"/>
    <n v="100"/>
    <n v="2"/>
    <n v="0"/>
    <s v="EPH88"/>
    <n v="200"/>
    <n v="0"/>
    <s v="ร้านที่1"/>
    <s v="ท***ร ค***ียว"/>
    <s v="เทศบาลนครนครปฐม"/>
    <s v="-"/>
    <s v=""/>
    <s v="01/01/2025 13:43"/>
    <s v="-"/>
    <s v="J&amp;T COD"/>
    <s v="Tiktok"/>
    <s v="จ่ายทีหลัง / COD"/>
    <s v=""/>
    <s v="754240796245"/>
    <s v="01/01/2025 13:43"/>
  </r>
  <r>
    <x v="32"/>
    <x v="42"/>
    <n v="199"/>
    <n v="1"/>
    <n v="0"/>
    <s v="EPH87"/>
    <n v="199"/>
    <n v="0"/>
    <s v="ร้านที่10"/>
    <s v="แบมบี้"/>
    <s v="320 ม.7 ต.วังพร้าว อ.เกาะคา จ.ลำปาง · วังพร้าว/ Wang Phrao_x000a__x000a_เกาะคา/ Ko Khaลำปาง/ Lampang_x000a_52130"/>
    <s v="52130"/>
    <s v="660810180547"/>
    <s v="01/01/2025 13:45"/>
    <s v="-"/>
    <s v="Kerry_dropoff"/>
    <s v="Lazada"/>
    <s v="lazada"/>
    <s v=""/>
    <s v="LEXDO0123549680"/>
    <s v="01/01/2025 13:40"/>
  </r>
  <r>
    <x v="24"/>
    <x v="25"/>
    <n v="800"/>
    <n v="1"/>
    <n v="0"/>
    <s v="EPH86"/>
    <n v="1133"/>
    <n v="134"/>
    <s v="ร้านที่1"/>
    <s v="จ******ณ"/>
    <s v="******9 ม.8 ต.หนองล่อง ตำบลหนองล่อง อำเภอเวียงหนองล่อง จังหวัดลำพูน 51120"/>
    <s v="51120"/>
    <s v="95"/>
    <s v="01/01/2025 14:26"/>
    <s v="-"/>
    <s v="Flash Express"/>
    <s v="Shopee"/>
    <s v="shopee"/>
    <s v=""/>
    <s v="TH48086N6ZQ59A"/>
    <s v="01/01/2025 13:40"/>
  </r>
  <r>
    <x v="19"/>
    <x v="19"/>
    <n v="199"/>
    <n v="1"/>
    <n v="0"/>
    <s v="EPH86"/>
    <n v="1133"/>
    <n v="134"/>
    <s v="ร้านที่1"/>
    <s v="จ******ณ"/>
    <s v="******9 ม.8 ต.หนองล่อง ตำบลหนองล่อง อำเภอเวียงหนองล่อง จังหวัดลำพูน 51120"/>
    <s v="51120"/>
    <s v="95"/>
    <s v="01/01/2025 14:26"/>
    <s v="-"/>
    <s v="Flash Express"/>
    <s v="Shopee"/>
    <s v="shopee"/>
    <s v=""/>
    <s v="TH48086N6ZQ59A"/>
    <s v="01/01/2025 13:40"/>
  </r>
  <r>
    <x v="9"/>
    <x v="4"/>
    <n v="120"/>
    <n v="1"/>
    <n v="0"/>
    <s v="EPH85"/>
    <n v="120"/>
    <n v="0"/>
    <s v="ร้านที่2"/>
    <s v="D***a"/>
    <s v="******7  หมู่ 5 ตำบลบุ่งคล้า อำเภอหล่มสัก จังหวัดเพชรบูรณ์ ตำบลบุ่งคล้า อำเภอหล่มสัก จังหวัดเพชรบูรณ์ 67110"/>
    <s v="67110"/>
    <s v="22"/>
    <s v="01/01/2025 13:40"/>
    <s v="-"/>
    <s v="SPX Express"/>
    <s v="Shopee"/>
    <s v="shopee"/>
    <s v=""/>
    <s v="TH256382899336U"/>
    <s v="01/01/2025 13:40"/>
  </r>
  <r>
    <x v="3"/>
    <x v="3"/>
    <n v="100"/>
    <n v="2"/>
    <n v="0"/>
    <s v="EPH83"/>
    <n v="200"/>
    <n v="0"/>
    <s v="ร้านที่4"/>
    <s v="น***กษณ์  ใ***็จ"/>
    <s v="กรุงเทพฯ"/>
    <s v="-"/>
    <s v=""/>
    <s v="01/01/2025 13:37"/>
    <s v="-"/>
    <s v="Flash Express Thailand COD"/>
    <s v="Tiktok"/>
    <s v="จ่ายทีหลัง / COD"/>
    <s v=""/>
    <s v="THT01401DP0QJ7Z"/>
    <s v="01/01/2025 13:37"/>
  </r>
  <r>
    <x v="3"/>
    <x v="3"/>
    <n v="100"/>
    <n v="2"/>
    <n v="0"/>
    <s v="EPH81"/>
    <n v="229"/>
    <n v="29"/>
    <s v="ร้านที่2"/>
    <s v="อ******์"/>
    <s v="******บลท่างาม อำเภออินทร์บุรี จังหวัดสิงห์บุรี 16110"/>
    <s v="16110"/>
    <s v="19"/>
    <s v="01/01/2025 14:13"/>
    <s v="-"/>
    <s v="SPX Express"/>
    <s v="Shopee"/>
    <s v="shopee"/>
    <s v=""/>
    <s v="TH251345580186U"/>
    <s v="01/01/2025 13:34"/>
  </r>
  <r>
    <x v="32"/>
    <x v="47"/>
    <n v="170.05"/>
    <n v="1"/>
    <n v="0"/>
    <s v="EPH80"/>
    <n v="175.05"/>
    <n v="5"/>
    <s v="ร้านที่8"/>
    <s v="สมพร กรุงเจริญ"/>
    <s v="คอนโดเมืองทองT8 · บ้านใหม่/ Ban Mai_x000a__x000a_ปากเกร็ด/ Pak Kretนนทบุรี/ Nonthaburi_x000a_11120"/>
    <s v="11120"/>
    <s v="660623611227"/>
    <s v="01/01/2025 13:33"/>
    <s v="-"/>
    <s v="Kerry_dropoff"/>
    <s v="Lazada"/>
    <s v="lazada"/>
    <s v=""/>
    <s v="LEXPU0440654876"/>
    <s v="01/01/2025 13:33"/>
  </r>
  <r>
    <x v="4"/>
    <x v="4"/>
    <n v="100"/>
    <n v="1"/>
    <n v="0"/>
    <s v="EPH79"/>
    <n v="129"/>
    <n v="29"/>
    <s v="ร้านที่2"/>
    <s v="ห**"/>
    <s v="นครปฐม"/>
    <s v="-"/>
    <s v=""/>
    <s v="01/01/2025 13:32"/>
    <s v="-"/>
    <s v="J&amp;T COD"/>
    <s v="Tiktok"/>
    <s v="จ่ายทีหลัง / COD"/>
    <s v=""/>
    <s v="754224421392"/>
    <s v="01/01/2025 13:32"/>
  </r>
  <r>
    <x v="1"/>
    <x v="1"/>
    <n v="200"/>
    <n v="1"/>
    <n v="0"/>
    <s v="EPH78"/>
    <n v="200"/>
    <n v="0"/>
    <s v="ร้านที่2"/>
    <s v="ช***สา ท***ายใจ"/>
    <s v="สมุทรปราการ"/>
    <s v="-"/>
    <s v=""/>
    <s v="01/01/2025 13:32"/>
    <s v="-"/>
    <s v="J&amp;T COD"/>
    <s v="Tiktok"/>
    <s v="จ่ายทีหลัง / COD"/>
    <s v=""/>
    <s v="754292301313"/>
    <s v="01/01/2025 13:32"/>
  </r>
  <r>
    <x v="3"/>
    <x v="3"/>
    <n v="100"/>
    <n v="1"/>
    <n v="0"/>
    <s v="EPH76"/>
    <n v="106"/>
    <n v="6"/>
    <s v="ร้านที่4"/>
    <s v="ศ***รรณ ค***ออ"/>
    <s v="กรุงเทพฯ"/>
    <s v="-"/>
    <s v=""/>
    <s v="01/01/2025 13:31"/>
    <s v="-"/>
    <s v="Flash Express Thailand"/>
    <s v="Tiktok"/>
    <s v="tiktok"/>
    <s v=""/>
    <s v="THT01161DNZQT1Z"/>
    <s v="01/01/2025 13:30"/>
  </r>
  <r>
    <x v="3"/>
    <x v="3"/>
    <n v="100"/>
    <n v="2"/>
    <n v="0"/>
    <s v="EPH75"/>
    <n v="200"/>
    <n v="0"/>
    <s v="ร้านที่4"/>
    <s v="แ***์"/>
    <s v="สมุทรปราการ"/>
    <s v="-"/>
    <s v=""/>
    <s v="01/01/2025 13:28"/>
    <s v="-"/>
    <s v="Flash Express Thailand"/>
    <s v="Tiktok"/>
    <s v="tiktok"/>
    <s v=""/>
    <s v="THT02011DP0P31Z"/>
    <s v="01/01/2025 13:28"/>
  </r>
  <r>
    <x v="19"/>
    <x v="19"/>
    <n v="199"/>
    <n v="1"/>
    <n v="0"/>
    <s v="EPH74"/>
    <n v="234"/>
    <n v="35"/>
    <s v="ร้านที่1"/>
    <s v="อ******ห"/>
    <s v="******า ตำบลคลองนิยมยาตรา อำเภอบางบ่อ จังหวัดสมุทรปราการ 10560"/>
    <s v="10560"/>
    <s v="29"/>
    <s v="01/01/2025 13:26"/>
    <s v="-"/>
    <s v="SPX Express"/>
    <s v="Shopee"/>
    <s v="shopee"/>
    <s v=""/>
    <s v="TH2505447412245"/>
    <s v="01/01/2025 13:26"/>
  </r>
  <r>
    <x v="10"/>
    <x v="10"/>
    <n v="200"/>
    <n v="1"/>
    <n v="0"/>
    <s v="EPH73"/>
    <n v="200"/>
    <n v="0"/>
    <s v="ร้านที่2"/>
    <s v="ธ***รัตน์ ป***ประวัติ"/>
    <s v="ราชบุรี"/>
    <s v="-"/>
    <s v=""/>
    <s v="01/01/2025 13:26"/>
    <s v="-"/>
    <s v="J&amp;T COD"/>
    <s v="Tiktok"/>
    <s v="จ่ายทีหลัง / COD"/>
    <s v=""/>
    <s v="754233935313"/>
    <s v="01/01/2025 13:26"/>
  </r>
  <r>
    <x v="9"/>
    <x v="4"/>
    <n v="100"/>
    <n v="1"/>
    <n v="0"/>
    <s v="EPH72"/>
    <n v="106"/>
    <n v="6"/>
    <s v="ร้านที่2"/>
    <s v="เ***รทอง โ***์นอก"/>
    <s v="ยโสธร"/>
    <s v="-"/>
    <s v=""/>
    <s v="01/01/2025 13:24"/>
    <s v="-"/>
    <s v="J&amp;T COD"/>
    <s v="Tiktok"/>
    <s v="จ่ายทีหลัง / COD"/>
    <s v=""/>
    <s v="754298968242"/>
    <s v="01/01/2025 13:24"/>
  </r>
  <r>
    <x v="59"/>
    <x v="84"/>
    <n v="100"/>
    <n v="1"/>
    <n v="0"/>
    <s v="EPH71"/>
    <n v="125"/>
    <n v="25"/>
    <s v="ร้านที่2"/>
    <s v="อ***ภรณ์ ช***ศรี"/>
    <s v="เทศบาลนครสุราษฎร์ธานี"/>
    <s v="-"/>
    <s v=""/>
    <s v="01/01/2025 13:23"/>
    <s v="-"/>
    <s v="J&amp;T COD"/>
    <s v="Tiktok"/>
    <s v="จ่ายทีหลัง / COD"/>
    <s v=""/>
    <s v="754296084286"/>
    <s v="01/01/2025 13:23"/>
  </r>
  <r>
    <x v="1"/>
    <x v="1"/>
    <n v="200"/>
    <n v="1"/>
    <n v="0"/>
    <s v="EPH70"/>
    <n v="200"/>
    <n v="0"/>
    <s v="ร้านที่2"/>
    <s v="M***"/>
    <s v="Ratchaburi"/>
    <s v="-"/>
    <s v=""/>
    <s v="01/01/2025 13:23"/>
    <s v="-"/>
    <s v="J&amp;T COD"/>
    <s v="Tiktok"/>
    <s v="จ่ายทีหลัง / COD"/>
    <s v=""/>
    <s v="754232307301"/>
    <s v="01/01/2025 13:23"/>
  </r>
  <r>
    <x v="3"/>
    <x v="3"/>
    <n v="100"/>
    <n v="1"/>
    <n v="0"/>
    <s v="EPH69"/>
    <n v="100"/>
    <n v="0"/>
    <s v="ร้านที่4"/>
    <s v="ป***ฉัตร ช***ันทร์"/>
    <s v="นครปฐม"/>
    <s v="-"/>
    <s v=""/>
    <s v="01/01/2025 13:21"/>
    <s v="-"/>
    <s v="Flash Express Thailand COD"/>
    <s v="Tiktok"/>
    <s v="จ่ายทีหลัง / COD"/>
    <s v=""/>
    <s v="THT15031DPA5H6Z"/>
    <s v="01/01/2025 13:21"/>
  </r>
  <r>
    <x v="1"/>
    <x v="1"/>
    <n v="200"/>
    <n v="1"/>
    <n v="0"/>
    <s v="EPH68"/>
    <n v="300"/>
    <n v="0"/>
    <s v="ร้านที่1"/>
    <s v="โ***ศ ช***ูล"/>
    <s v="สงขลา"/>
    <s v="-"/>
    <s v=""/>
    <s v="01/01/2025 13:21"/>
    <s v="-"/>
    <s v="J&amp;T COD"/>
    <s v="Tiktok"/>
    <s v="จ่ายทีหลัง / COD"/>
    <s v=""/>
    <s v="754232733365"/>
    <s v="01/01/2025 13:21"/>
  </r>
  <r>
    <x v="4"/>
    <x v="4"/>
    <n v="100"/>
    <n v="1"/>
    <n v="0"/>
    <s v="EPH68"/>
    <n v="300"/>
    <n v="0"/>
    <s v="ร้านที่1"/>
    <s v="โ***ศ ช***ูล"/>
    <s v="สงขลา"/>
    <s v="-"/>
    <s v=""/>
    <s v="01/01/2025 13:21"/>
    <s v="-"/>
    <s v="J&amp;T COD"/>
    <s v="Tiktok"/>
    <s v="จ่ายทีหลัง / COD"/>
    <s v=""/>
    <s v="754232733365"/>
    <s v="01/01/2025 13:21"/>
  </r>
  <r>
    <x v="9"/>
    <x v="4"/>
    <n v="100"/>
    <n v="1"/>
    <n v="0"/>
    <s v="EPH67"/>
    <n v="106"/>
    <n v="6"/>
    <s v="ร้านที่1"/>
    <s v="น***ภรณ์ บ***ระโทก"/>
    <s v="นครราชสีมา"/>
    <s v="-"/>
    <s v=""/>
    <s v="01/01/2025 13:20"/>
    <s v="-"/>
    <s v="J&amp;T COD"/>
    <s v="Tiktok"/>
    <s v="จ่ายทีหลัง / COD"/>
    <s v=""/>
    <s v="754241075221"/>
    <s v="01/01/2025 13:20"/>
  </r>
  <r>
    <x v="4"/>
    <x v="4"/>
    <n v="100"/>
    <n v="1"/>
    <n v="0"/>
    <s v="EPH64"/>
    <n v="100"/>
    <n v="0"/>
    <s v="ร้านที่1"/>
    <s v="บ**"/>
    <s v="ลพบุรี"/>
    <s v="-"/>
    <s v=""/>
    <s v="01/01/2025 13:17"/>
    <s v="-"/>
    <s v="J&amp;T COD"/>
    <s v="Tiktok"/>
    <s v="จ่ายทีหลัง / COD"/>
    <s v=""/>
    <s v="754276397254"/>
    <s v="01/01/2025 13:17"/>
  </r>
  <r>
    <x v="10"/>
    <x v="10"/>
    <n v="200"/>
    <n v="1"/>
    <n v="0"/>
    <s v="EPH61"/>
    <n v="200"/>
    <n v="0"/>
    <s v="ร้านที่2"/>
    <s v="ม***มีสโตร์"/>
    <s v="เชียงใหม่"/>
    <s v="-"/>
    <s v=""/>
    <s v="01/01/2025 13:13"/>
    <s v="-"/>
    <s v="J&amp;T COD"/>
    <s v="Tiktok"/>
    <s v="จ่ายทีหลัง / COD"/>
    <s v=""/>
    <s v="754217836385"/>
    <s v="01/01/2025 13:14"/>
  </r>
  <r>
    <x v="3"/>
    <x v="3"/>
    <n v="100"/>
    <n v="1"/>
    <n v="0"/>
    <s v="EPH59"/>
    <n v="100"/>
    <n v="0"/>
    <s v="ร้านที่1"/>
    <s v="ส***ตร  แ***ี้   1***ู่12ต.ท่าแดง"/>
    <s v="เพชรบูรณ์"/>
    <s v="-"/>
    <s v=""/>
    <s v="01/01/2025 13:11"/>
    <s v="-"/>
    <s v="J&amp;T COD"/>
    <s v="Tiktok"/>
    <s v="จ่ายทีหลัง / COD"/>
    <s v=""/>
    <s v="754254648324"/>
    <s v="01/01/2025 13:11"/>
  </r>
  <r>
    <x v="1"/>
    <x v="1"/>
    <n v="200"/>
    <n v="1"/>
    <n v="0"/>
    <s v="EPH58"/>
    <n v="200"/>
    <n v="0"/>
    <s v="ร้านที่4"/>
    <s v="ป***าภรณ์ ส***สภา"/>
    <s v="ร้อยเอ็ด"/>
    <s v="-"/>
    <s v=""/>
    <s v="01/01/2025 13:10"/>
    <s v="-"/>
    <s v="Flash Express Thailand COD"/>
    <s v="Tiktok"/>
    <s v="จ่ายทีหลัง / COD"/>
    <s v=""/>
    <s v="THT42131DP1771Z"/>
    <s v="01/01/2025 13:10"/>
  </r>
  <r>
    <x v="3"/>
    <x v="3"/>
    <n v="100"/>
    <n v="2"/>
    <n v="0"/>
    <s v="EPH57"/>
    <n v="200"/>
    <n v="0"/>
    <s v="ร้านที่1"/>
    <s v="N***"/>
    <s v="มหาสารคาม"/>
    <s v="-"/>
    <s v=""/>
    <s v="01/01/2025 13:07"/>
    <s v="-"/>
    <s v="J&amp;T COD"/>
    <s v="Tiktok"/>
    <s v="จ่ายทีหลัง / COD"/>
    <s v=""/>
    <s v="754293181283"/>
    <s v="01/01/2025 13:07"/>
  </r>
  <r>
    <x v="10"/>
    <x v="10"/>
    <n v="200"/>
    <n v="1"/>
    <n v="0"/>
    <s v="EPH56"/>
    <n v="200"/>
    <n v="0"/>
    <s v="ร้านที่2"/>
    <s v="D** L** z**"/>
    <s v="Suphan Buri"/>
    <s v="-"/>
    <s v=""/>
    <s v="01/01/2025 13:07"/>
    <s v="-"/>
    <s v="J&amp;T COD"/>
    <s v="Tiktok"/>
    <s v="จ่ายทีหลัง / COD"/>
    <s v=""/>
    <s v="754259033371"/>
    <s v="01/01/2025 13:07"/>
  </r>
  <r>
    <x v="1"/>
    <x v="1"/>
    <n v="200"/>
    <n v="1"/>
    <n v="0"/>
    <s v="EPH55"/>
    <n v="200"/>
    <n v="0"/>
    <s v="ร้านที่1"/>
    <s v="โ* ญ***"/>
    <s v="กาญจนบุรี"/>
    <s v="-"/>
    <s v=""/>
    <s v="01/01/2025 13:07"/>
    <s v="-"/>
    <s v="J&amp;T COD"/>
    <s v="Tiktok"/>
    <s v="จ่ายทีหลัง / COD"/>
    <s v=""/>
    <s v="754272005373"/>
    <s v="01/01/2025 13:07"/>
  </r>
  <r>
    <x v="1"/>
    <x v="1"/>
    <n v="200"/>
    <n v="1"/>
    <n v="0"/>
    <s v="EPH54"/>
    <n v="200"/>
    <n v="0"/>
    <s v="ร้านที่2"/>
    <s v="ส***ี  จ***นุช"/>
    <s v="สุพรรณบุรี"/>
    <s v="-"/>
    <s v=""/>
    <s v="01/01/2025 13:03"/>
    <s v="-"/>
    <s v="J&amp;T COD"/>
    <s v="Tiktok"/>
    <s v="จ่ายทีหลัง / COD"/>
    <s v=""/>
    <s v="754265201373"/>
    <s v="01/01/2025 13:03"/>
  </r>
  <r>
    <x v="10"/>
    <x v="10"/>
    <n v="200"/>
    <n v="1"/>
    <n v="0"/>
    <s v="EPH52"/>
    <n v="200"/>
    <n v="0"/>
    <s v="ร้านที่4"/>
    <s v="อ**"/>
    <s v="ร้อยเอ็ด"/>
    <s v="-"/>
    <s v=""/>
    <s v="01/01/2025 13:02"/>
    <s v="-"/>
    <s v="Flash Express Thailand COD"/>
    <s v="Tiktok"/>
    <s v="จ่ายทีหลัง / COD"/>
    <s v=""/>
    <s v="THT42111DNRE57Z"/>
    <s v="01/01/2025 13:02"/>
  </r>
  <r>
    <x v="19"/>
    <x v="19"/>
    <n v="199"/>
    <n v="1"/>
    <n v="0"/>
    <s v="EPH51"/>
    <n v="244"/>
    <n v="45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3:01"/>
    <s v="-"/>
    <s v="SPX Express"/>
    <s v="Shopee"/>
    <s v="shopee"/>
    <s v=""/>
    <s v="TH253530636716I"/>
    <s v="01/01/2025 13:01"/>
  </r>
  <r>
    <x v="59"/>
    <x v="84"/>
    <n v="100"/>
    <n v="2"/>
    <n v="0"/>
    <s v="EPH50"/>
    <n v="200"/>
    <n v="0"/>
    <s v="ร้านที่4"/>
    <s v="ส***ี เ***ูล"/>
    <s v="กาญจนบุรี"/>
    <s v="-"/>
    <s v=""/>
    <s v="01/01/2025 13:01"/>
    <s v="-"/>
    <s v="Flash Express Thailand COD"/>
    <s v="Tiktok"/>
    <s v="จ่ายทีหลัง / COD"/>
    <s v=""/>
    <s v="THT13131DP1BU0Z"/>
    <s v="01/01/2025 13:01"/>
  </r>
  <r>
    <x v="3"/>
    <x v="3"/>
    <n v="100"/>
    <n v="1"/>
    <n v="0"/>
    <s v="EPH49"/>
    <n v="100"/>
    <n v="0"/>
    <s v="ร้านที่4"/>
    <s v="ฉ***ชัย พ***่งเรืองกุล"/>
    <s v="เทศบาลนครนครปฐม"/>
    <s v="-"/>
    <s v=""/>
    <s v="01/01/2025 13:00"/>
    <s v="-"/>
    <s v="Flash Express Thailand"/>
    <s v="Tiktok"/>
    <s v="tiktok"/>
    <s v=""/>
    <s v="THT15011DPA5U8Z"/>
    <s v="01/01/2025 13:00"/>
  </r>
  <r>
    <x v="1"/>
    <x v="1"/>
    <n v="200"/>
    <n v="1"/>
    <n v="0"/>
    <s v="EPH48"/>
    <n v="200"/>
    <n v="0"/>
    <s v="ร้านที่4"/>
    <s v="น***สร ค***คา น***วาน"/>
    <s v="ขอนแก่น"/>
    <s v="-"/>
    <s v=""/>
    <s v="01/01/2025 12:59"/>
    <s v="-"/>
    <s v="Flash Express Thailand"/>
    <s v="Tiktok"/>
    <s v="tiktok"/>
    <s v="ขอฝอยทองสัก2-3กล่องสาธุๆๆๆ"/>
    <s v="THT37011DPBK38Z"/>
    <s v="01/01/2025 12:59"/>
  </r>
  <r>
    <x v="6"/>
    <x v="6"/>
    <n v="199"/>
    <n v="1"/>
    <n v="0"/>
    <s v="EPH47"/>
    <n v="477"/>
    <n v="79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2:59"/>
    <s v="-"/>
    <s v="SPX Express"/>
    <s v="Shopee"/>
    <s v="shopee"/>
    <s v=""/>
    <s v="TH2521077330617"/>
    <s v="01/01/2025 12:59"/>
  </r>
  <r>
    <x v="19"/>
    <x v="19"/>
    <n v="199"/>
    <n v="1"/>
    <n v="0"/>
    <s v="EPH47"/>
    <n v="477"/>
    <n v="79"/>
    <s v="ร้านที่1"/>
    <s v="ช******ย"/>
    <s v="******ะอำ อ.ชะอำ จ.เพชรบุรี ตำบลชะอำ อำเภอชะอำ จังหวัดเพชรบุรี 76120"/>
    <s v="76120"/>
    <s v="29"/>
    <s v="01/01/2025 12:59"/>
    <s v="-"/>
    <s v="SPX Express"/>
    <s v="Shopee"/>
    <s v="shopee"/>
    <s v=""/>
    <s v="TH2521077330617"/>
    <s v="01/01/2025 12:59"/>
  </r>
  <r>
    <x v="29"/>
    <x v="36"/>
    <n v="330"/>
    <n v="1"/>
    <n v="0"/>
    <s v="EPH46"/>
    <n v="680"/>
    <n v="0"/>
    <s v="ร้านที่4"/>
    <s v="ณ***ิดา ว***ันเทียะ"/>
    <s v="ชัยภูมิ"/>
    <s v="-"/>
    <s v=""/>
    <s v="01/01/2025 12:58"/>
    <s v="-"/>
    <s v="Flash Express Thailand COD"/>
    <s v="Tiktok"/>
    <s v="จ่ายทีหลัง / COD"/>
    <s v=""/>
    <s v="THT33011DP5QK1Z"/>
    <s v="01/01/2025 12:58"/>
  </r>
  <r>
    <x v="5"/>
    <x v="5"/>
    <n v="350"/>
    <n v="1"/>
    <n v="0"/>
    <s v="EPH46"/>
    <n v="680"/>
    <n v="0"/>
    <s v="ร้านที่4"/>
    <s v="ณ***ิดา ว***ันเทียะ"/>
    <s v="ชัยภูมิ"/>
    <s v="-"/>
    <s v=""/>
    <s v="01/01/2025 12:58"/>
    <s v="-"/>
    <s v="Flash Express Thailand COD"/>
    <s v="Tiktok"/>
    <s v="จ่ายทีหลัง / COD"/>
    <s v=""/>
    <s v="THT33011DP5QK1Z"/>
    <s v="01/01/2025 12:58"/>
  </r>
  <r>
    <x v="4"/>
    <x v="4"/>
    <n v="100"/>
    <n v="1"/>
    <n v="0"/>
    <s v="EPH44"/>
    <n v="106"/>
    <n v="6"/>
    <s v="ร้านที่1"/>
    <s v="ว***ช  ส***ทรัพย์"/>
    <s v="นครราชสีมา"/>
    <s v="-"/>
    <s v=""/>
    <s v="01/01/2025 12:55"/>
    <s v="-"/>
    <s v="J&amp;T COD"/>
    <s v="Tiktok"/>
    <s v="จ่ายทีหลัง / COD"/>
    <s v=""/>
    <s v="754221392256"/>
    <s v="01/01/2025 12:55"/>
  </r>
  <r>
    <x v="3"/>
    <x v="3"/>
    <n v="100"/>
    <n v="3"/>
    <n v="0"/>
    <s v="EPH43"/>
    <n v="345"/>
    <n v="45"/>
    <s v="ร้านที่2"/>
    <s v="แ*น"/>
    <s v="******ขวงบางบำหรุ เขตบางพลัด จังหวัดกรุงเทพมหานคร 10700"/>
    <s v="10700"/>
    <s v="00"/>
    <s v="01/01/2025 13:25"/>
    <s v="-"/>
    <s v="SPX Express"/>
    <s v="Shopee"/>
    <s v="shopee"/>
    <s v=""/>
    <s v="TH259496813423X"/>
    <s v="01/01/2025 12:55"/>
  </r>
  <r>
    <x v="4"/>
    <x v="4"/>
    <n v="100"/>
    <n v="2"/>
    <n v="0"/>
    <s v="EPH41"/>
    <n v="200"/>
    <n v="0"/>
    <s v="ร้านที่1"/>
    <s v="ว***าภรณ์ น***ุวรรณ"/>
    <s v="กรุงเทพฯ"/>
    <s v="-"/>
    <s v=""/>
    <s v="01/01/2025 12:53"/>
    <s v="-"/>
    <s v="J&amp;T Express"/>
    <s v="Tiktok"/>
    <s v="tiktok"/>
    <s v=""/>
    <s v="754274403315"/>
    <s v="01/01/2025 12:53"/>
  </r>
  <r>
    <x v="36"/>
    <x v="51"/>
    <n v="251.25"/>
    <n v="1"/>
    <n v="0"/>
    <s v="EPH40"/>
    <n v="251.25"/>
    <n v="0"/>
    <s v="ร้านที่10"/>
    <s v="สุรีรัตน์    ประดับวงศ์"/>
    <s v="21/850  ม.2.แถว3/3_x000a__x000a_สัตหีบ/ Sattahipชลบุรี/ Chonburi_x000a_20180"/>
    <s v="20180"/>
    <s v="660641043082"/>
    <s v="01/01/2025 12:51"/>
    <s v="-"/>
    <s v="Kerry_dropoff"/>
    <s v="Lazada"/>
    <s v="lazada"/>
    <s v=""/>
    <s v="LEXDO0123547709"/>
    <s v="01/01/2025 12:51"/>
  </r>
  <r>
    <x v="1"/>
    <x v="1"/>
    <n v="200"/>
    <n v="1"/>
    <n v="0"/>
    <s v="EPH39"/>
    <n v="200"/>
    <n v="0"/>
    <s v="ร้านที่2"/>
    <s v="ม*** ใ***"/>
    <s v="เชียงใหม่"/>
    <s v="-"/>
    <s v=""/>
    <s v="01/01/2025 12:50"/>
    <s v="-"/>
    <s v="J&amp;T COD"/>
    <s v="Tiktok"/>
    <s v="จ่ายทีหลัง / COD"/>
    <s v=""/>
    <s v="754235109305"/>
    <s v="01/01/2025 12:50"/>
  </r>
  <r>
    <x v="33"/>
    <x v="43"/>
    <n v="330"/>
    <n v="1"/>
    <n v="0"/>
    <s v="EPH38"/>
    <n v="330"/>
    <n v="0"/>
    <s v="ร้านที่1"/>
    <s v="ส***สรา"/>
    <s v="นครราชสีมา"/>
    <s v="-"/>
    <s v=""/>
    <s v="01/01/2025 12:50"/>
    <s v="-"/>
    <s v="J&amp;T Express"/>
    <s v="Tiktok"/>
    <s v="tiktok"/>
    <s v=""/>
    <s v="754240775293"/>
    <s v="01/01/2025 12:50"/>
  </r>
  <r>
    <x v="3"/>
    <x v="3"/>
    <n v="100"/>
    <n v="1"/>
    <n v="0"/>
    <s v="EPH37"/>
    <n v="106"/>
    <n v="6"/>
    <s v="ร้านที่4"/>
    <s v="ต***ตา ภ***ิลา"/>
    <s v="อุบลราชธานี"/>
    <s v="-"/>
    <s v=""/>
    <s v="01/01/2025 12:47"/>
    <s v="-"/>
    <s v="Flash Express Thailand COD"/>
    <s v="Tiktok"/>
    <s v="จ่ายทีหลัง / COD"/>
    <s v=""/>
    <s v="THT31141DP66B2Z"/>
    <s v="01/01/2025 12:47"/>
  </r>
  <r>
    <x v="9"/>
    <x v="4"/>
    <n v="100"/>
    <n v="1"/>
    <n v="0"/>
    <s v="EPH36"/>
    <n v="100"/>
    <n v="0"/>
    <s v="ร้านที่1"/>
    <s v="อ*** ร***จริญพันธ์"/>
    <s v="นครปฐม"/>
    <s v="-"/>
    <s v=""/>
    <s v="01/01/2025 12:45"/>
    <s v="-"/>
    <s v="J&amp;T COD"/>
    <s v="Tiktok"/>
    <s v="จ่ายทีหลัง / COD"/>
    <s v=""/>
    <s v="754212565256"/>
    <s v="01/01/2025 12:45"/>
  </r>
  <r>
    <x v="3"/>
    <x v="3"/>
    <n v="100"/>
    <n v="1"/>
    <n v="0"/>
    <s v="EPH34"/>
    <n v="100"/>
    <n v="0"/>
    <s v="ร้านที่4"/>
    <s v="ห***งฤทัย ผ***"/>
    <s v="พระนครศรีอยุธยา"/>
    <s v="-"/>
    <s v=""/>
    <s v="01/01/2025 12:43"/>
    <s v="-"/>
    <s v="Flash Express Thailand COD"/>
    <s v="Tiktok"/>
    <s v="จ่ายทีหลัง / COD"/>
    <s v=""/>
    <s v="THT05011DNZNP7Z"/>
    <s v="01/01/2025 12:43"/>
  </r>
  <r>
    <x v="10"/>
    <x v="10"/>
    <n v="200"/>
    <n v="1"/>
    <n v="0"/>
    <s v="EPH33"/>
    <n v="200"/>
    <n v="0"/>
    <s v="ร้านที่1"/>
    <s v="ข***ทราย ว***หงษ์"/>
    <s v="สมุทรปราการ"/>
    <s v="-"/>
    <s v=""/>
    <s v="01/01/2025 12:43"/>
    <s v="-"/>
    <s v="J&amp;T COD"/>
    <s v="Tiktok"/>
    <s v="จ่ายทีหลัง / COD"/>
    <s v=""/>
    <s v="754287633374"/>
    <s v="01/01/2025 12:43"/>
  </r>
  <r>
    <x v="4"/>
    <x v="4"/>
    <n v="100"/>
    <n v="1"/>
    <n v="0"/>
    <s v="EPH31"/>
    <n v="106"/>
    <n v="6"/>
    <s v="ร้านที่1"/>
    <s v="ช***าภา ข***ทองยิ้ม"/>
    <s v="สงขลา"/>
    <s v="-"/>
    <s v=""/>
    <s v="01/01/2025 12:40"/>
    <s v="-"/>
    <s v="J&amp;T COD"/>
    <s v="Tiktok"/>
    <s v="จ่ายทีหลัง / COD"/>
    <s v=""/>
    <s v="754201779203"/>
    <s v="01/01/2025 12:40"/>
  </r>
  <r>
    <x v="1"/>
    <x v="1"/>
    <n v="200"/>
    <n v="1"/>
    <n v="0"/>
    <s v="EPH28"/>
    <n v="200"/>
    <n v="0"/>
    <s v="ร้านที่1"/>
    <s v="ป***ทิพย์  ส***พู"/>
    <s v="นครปฐม"/>
    <s v="-"/>
    <s v=""/>
    <s v="01/01/2025 12:37"/>
    <s v="-"/>
    <s v="J&amp;T COD"/>
    <s v="Tiktok"/>
    <s v="จ่ายทีหลัง / COD"/>
    <s v=""/>
    <s v="754216792291"/>
    <s v="01/01/2025 12:37"/>
  </r>
  <r>
    <x v="5"/>
    <x v="5"/>
    <n v="350"/>
    <n v="1"/>
    <n v="0"/>
    <s v="EPH26"/>
    <n v="350"/>
    <n v="0"/>
    <s v="ร้านที่4"/>
    <s v="ช***พร"/>
    <s v="ระยอง"/>
    <s v="-"/>
    <s v=""/>
    <s v="01/01/2025 12:34"/>
    <s v="-"/>
    <s v="Flash Express Thailand COD"/>
    <s v="Tiktok"/>
    <s v="จ่ายทีหลัง / COD"/>
    <s v=""/>
    <s v="THT21011DP5WV3Z"/>
    <s v="01/01/2025 12:35"/>
  </r>
  <r>
    <x v="4"/>
    <x v="4"/>
    <n v="100"/>
    <n v="1"/>
    <n v="0"/>
    <s v="EPH24"/>
    <n v="200"/>
    <n v="0"/>
    <s v="ร้านที่1"/>
    <s v="K***AE"/>
    <s v="ร้อยเอ็ด"/>
    <s v="-"/>
    <s v=""/>
    <s v="01/01/2025 12:33"/>
    <s v="-"/>
    <s v="J&amp;T COD"/>
    <s v="Tiktok"/>
    <s v="จ่ายทีหลัง / COD"/>
    <s v=""/>
    <s v="754200231385"/>
    <s v="01/01/2025 12:34"/>
  </r>
  <r>
    <x v="9"/>
    <x v="4"/>
    <n v="100"/>
    <n v="1"/>
    <n v="0"/>
    <s v="EPH24"/>
    <n v="200"/>
    <n v="0"/>
    <s v="ร้านที่1"/>
    <s v="K***AE"/>
    <s v="ร้อยเอ็ด"/>
    <s v="-"/>
    <s v=""/>
    <s v="01/01/2025 12:33"/>
    <s v="-"/>
    <s v="J&amp;T COD"/>
    <s v="Tiktok"/>
    <s v="จ่ายทีหลัง / COD"/>
    <s v=""/>
    <s v="754200231385"/>
    <s v="01/01/2025 12:34"/>
  </r>
  <r>
    <x v="5"/>
    <x v="5"/>
    <n v="350"/>
    <n v="1"/>
    <n v="0"/>
    <s v="EPH23"/>
    <n v="350"/>
    <n v="0"/>
    <s v="ร้านที่4"/>
    <s v="ร***ป้าบุญนาค ศ***า แ***พิน"/>
    <s v="อุตรดิตถ์"/>
    <s v="-"/>
    <s v=""/>
    <s v="01/01/2025 12:33"/>
    <s v="-"/>
    <s v="Flash Express Thailand COD"/>
    <s v="Tiktok"/>
    <s v="จ่ายทีหลัง / COD"/>
    <s v=""/>
    <s v="THT50011DPGV46Z"/>
    <s v="01/01/2025 12:33"/>
  </r>
  <r>
    <x v="3"/>
    <x v="8"/>
    <n v="99.75"/>
    <n v="1"/>
    <n v="0"/>
    <s v="EPH22"/>
    <n v="99.75"/>
    <n v="0"/>
    <s v="ร้านที่6"/>
    <s v="กุลรัศมิ์  ชัยศักดิ์ศรี"/>
    <s v="151/12 หมู่ที่7 ต.บางมัญ_x000a__x000a_เมืองสิงห์บุรี/ Mueang Sing Buriสิงห์บุรี/ Sing Buri_x000a_16000"/>
    <s v="16000"/>
    <s v="660868469039"/>
    <s v="01/01/2025 12:33"/>
    <s v="-"/>
    <s v="Kerry_dropoff"/>
    <s v="Lazada"/>
    <s v="lazada"/>
    <s v=""/>
    <s v="LEXPU0440632608"/>
    <s v="01/01/2025 12:32"/>
  </r>
  <r>
    <x v="1"/>
    <x v="1"/>
    <n v="200"/>
    <n v="1"/>
    <n v="0"/>
    <s v="EPH19"/>
    <n v="200"/>
    <n v="0"/>
    <s v="ร้านที่1"/>
    <s v="ป***์"/>
    <s v="กรุงเทพฯ"/>
    <s v="-"/>
    <s v=""/>
    <s v="01/01/2025 12:32"/>
    <s v="-"/>
    <s v="J&amp;T COD"/>
    <s v="Tiktok"/>
    <s v="จ่ายทีหลัง / COD"/>
    <s v=""/>
    <s v="754254600363"/>
    <s v="01/01/2025 12:32"/>
  </r>
  <r>
    <x v="3"/>
    <x v="3"/>
    <n v="100"/>
    <n v="1"/>
    <n v="0"/>
    <s v="EPH18"/>
    <n v="107"/>
    <n v="7"/>
    <s v="ร้านที่2"/>
    <s v="ก******ิ"/>
    <s v="******วงหัวหมาก เขตบางกะปิ จังหวัดกรุงเทพมหานคร 10240"/>
    <s v="10240"/>
    <s v="87"/>
    <s v="01/01/2025 13:02"/>
    <s v="-"/>
    <s v="SPX Express"/>
    <s v="Shopee"/>
    <s v="shopee"/>
    <s v=""/>
    <s v="TH252415915871Y"/>
    <s v="01/01/2025 12:32"/>
  </r>
  <r>
    <x v="4"/>
    <x v="4"/>
    <n v="100"/>
    <n v="1"/>
    <n v="0"/>
    <s v="EPH17"/>
    <n v="100"/>
    <n v="0"/>
    <s v="ร้านที่1"/>
    <s v="ส*** ส***ลิศ"/>
    <s v="กำแพงเพชร"/>
    <s v="-"/>
    <s v=""/>
    <s v="01/01/2025 12:30"/>
    <s v="-"/>
    <s v="J&amp;T COD"/>
    <s v="Tiktok"/>
    <s v="จ่ายทีหลัง / COD"/>
    <s v=""/>
    <s v="754260774201"/>
    <s v="01/01/2025 12:30"/>
  </r>
  <r>
    <x v="1"/>
    <x v="1"/>
    <n v="200"/>
    <n v="1"/>
    <n v="0"/>
    <s v="EPH14"/>
    <n v="200"/>
    <n v="0"/>
    <s v="ร้านที่1"/>
    <s v="อ***ช"/>
    <s v="ชลบุรี"/>
    <s v="-"/>
    <s v=""/>
    <s v="01/01/2025 12:28"/>
    <s v="-"/>
    <s v="J&amp;T COD"/>
    <s v="Tiktok"/>
    <s v="จ่ายทีหลัง / COD"/>
    <s v=""/>
    <s v="754207208366"/>
    <s v="01/01/2025 12:29"/>
  </r>
  <r>
    <x v="51"/>
    <x v="75"/>
    <n v="120"/>
    <n v="1"/>
    <n v="0"/>
    <s v="EPH13"/>
    <n v="126"/>
    <n v="6"/>
    <s v="ร้านที่4"/>
    <s v="พ***ร ส***คุณยา"/>
    <s v="ปราจีนบุรี"/>
    <s v="-"/>
    <s v=""/>
    <s v="01/01/2025 12:28"/>
    <s v="-"/>
    <s v="Flash Express Thailand COD"/>
    <s v="Tiktok"/>
    <s v="จ่ายทีหลัง / COD"/>
    <s v=""/>
    <s v="THT25041DPH5Q2Z"/>
    <s v="01/01/2025 12:28"/>
  </r>
  <r>
    <x v="1"/>
    <x v="1"/>
    <n v="200"/>
    <n v="1"/>
    <n v="0"/>
    <s v="EPH12"/>
    <n v="200"/>
    <n v="0"/>
    <s v="ร้านที่1"/>
    <s v="9***ู่2บ้านด่านเหนือ"/>
    <s v="กาฬสินธุ์"/>
    <s v="-"/>
    <s v=""/>
    <s v="01/01/2025 12:26"/>
    <s v="-"/>
    <s v="J&amp;T COD"/>
    <s v="Tiktok"/>
    <s v="จ่ายทีหลัง / COD"/>
    <s v=""/>
    <s v="754293998290"/>
    <s v="01/01/2025 12:26"/>
  </r>
  <r>
    <x v="5"/>
    <x v="5"/>
    <n v="330"/>
    <n v="1"/>
    <n v="0"/>
    <s v="EPH11"/>
    <n v="330"/>
    <n v="0"/>
    <s v="ร้านที่1"/>
    <s v="ส***ชฌาพร  ห***จฉ่ำ"/>
    <s v="นครปฐม"/>
    <s v="-"/>
    <s v=""/>
    <s v="01/01/2025 12:25"/>
    <s v="-"/>
    <s v="J&amp;T COD"/>
    <s v="Tiktok"/>
    <s v="จ่ายทีหลัง / COD"/>
    <s v=""/>
    <s v="754205185241"/>
    <s v="01/01/2025 12:25"/>
  </r>
  <r>
    <x v="10"/>
    <x v="10"/>
    <n v="200"/>
    <n v="2"/>
    <n v="0"/>
    <s v="EPH10"/>
    <n v="400"/>
    <n v="0"/>
    <s v="ร้านที่2"/>
    <s v="ภ***ณี ว***ตรขจี"/>
    <s v="สมุทรปราการ"/>
    <s v="-"/>
    <s v=""/>
    <s v="01/01/2025 12:25"/>
    <s v="-"/>
    <s v="J&amp;T Express"/>
    <s v="Tiktok"/>
    <s v="tiktok"/>
    <s v=""/>
    <s v="754219837313"/>
    <s v="01/01/2025 12:25"/>
  </r>
  <r>
    <x v="3"/>
    <x v="3"/>
    <n v="100"/>
    <n v="1"/>
    <n v="0"/>
    <s v="EPH9"/>
    <n v="106"/>
    <n v="6"/>
    <s v="ร้านที่1"/>
    <s v="พ***าภา ร***ชูศรี"/>
    <s v="พัทลุง"/>
    <s v="-"/>
    <s v=""/>
    <s v="01/01/2025 12:24"/>
    <s v="-"/>
    <s v="J&amp;T Express"/>
    <s v="Tiktok"/>
    <s v="tiktok"/>
    <s v=""/>
    <s v="754251448322"/>
    <s v="01/01/2025 12:23"/>
  </r>
  <r>
    <x v="19"/>
    <x v="27"/>
    <n v="199"/>
    <n v="1"/>
    <n v="0"/>
    <s v="EPH8"/>
    <n v="398"/>
    <n v="0"/>
    <s v="ร้านที่10"/>
    <s v="สังเวียน  เต้ทอง"/>
    <s v="เลขที่132 หมู่4  หมู่บ้านนาโพธิ์ ตำบลท่ากระดาน_x000a__x000a_สนามชัยเขต/ Sanam Chai Khetฉะเชิงเทรา/ Chachoengsao_x000a_24160"/>
    <s v="24160"/>
    <s v="660660714540"/>
    <s v="01/01/2025 12:22"/>
    <s v="-"/>
    <s v="Kerry_dropoff"/>
    <s v="Lazada"/>
    <s v="lazada"/>
    <s v=""/>
    <s v="TH24086N6ECH4B"/>
    <s v="01/01/2025 12:22"/>
  </r>
  <r>
    <x v="19"/>
    <x v="27"/>
    <n v="199"/>
    <n v="1"/>
    <n v="0"/>
    <s v="EPH8"/>
    <n v="398"/>
    <n v="0"/>
    <s v="ร้านที่10"/>
    <s v="สังเวียน  เต้ทอง"/>
    <s v="เลขที่132 หมู่4  หมู่บ้านนาโพธิ์ ตำบลท่ากระดาน_x000a__x000a_สนามชัยเขต/ Sanam Chai Khetฉะเชิงเทรา/ Chachoengsao_x000a_24160"/>
    <s v="24160"/>
    <s v="660660714540"/>
    <s v="01/01/2025 12:22"/>
    <s v="-"/>
    <s v="Kerry_dropoff"/>
    <s v="Lazada"/>
    <s v="lazada"/>
    <s v=""/>
    <s v="TH24086N6ECH4B"/>
    <s v="01/01/2025 12:22"/>
  </r>
  <r>
    <x v="4"/>
    <x v="4"/>
    <n v="100"/>
    <n v="1"/>
    <n v="0"/>
    <s v="EPH6"/>
    <n v="106"/>
    <n v="6"/>
    <s v="ร้านที่1"/>
    <s v="น***พร   บ***วงศ์"/>
    <s v="กรุงเทพมหานคร"/>
    <s v="-"/>
    <s v=""/>
    <s v="01/01/2025 12:13"/>
    <s v="-"/>
    <s v="J&amp;T Express"/>
    <s v="Tiktok"/>
    <s v="tiktok"/>
    <s v=""/>
    <s v="754266474264"/>
    <s v="01/01/2025 12:13"/>
  </r>
  <r>
    <x v="3"/>
    <x v="3"/>
    <n v="100"/>
    <n v="1"/>
    <n v="0"/>
    <s v="EPH5"/>
    <n v="145"/>
    <n v="45"/>
    <s v="ร้านที่2"/>
    <s v="อ***ิทธิ์ ท***ี"/>
    <s v="สงขลา"/>
    <s v="-"/>
    <s v=""/>
    <s v="01/01/2025 12:12"/>
    <s v="-"/>
    <s v="J&amp;T Express"/>
    <s v="Tiktok"/>
    <s v="tiktok"/>
    <s v=""/>
    <s v="754282736351"/>
    <s v="01/01/2025 12:12"/>
  </r>
  <r>
    <x v="3"/>
    <x v="8"/>
    <n v="99.75"/>
    <n v="1"/>
    <n v="0"/>
    <s v="EPH4"/>
    <n v="104.75"/>
    <n v="5"/>
    <s v="ร้านที่6"/>
    <s v="อรษา"/>
    <s v="3/690 ซอยพหลโยธิน52 แยก10 แขวงคลองถนน_x000a__x000a_สายไหม/ Sai Maiกรุงเทพมหานคร/ Bangkok_x000a_10220"/>
    <s v="10220"/>
    <s v="660937654956"/>
    <s v="01/01/2025 12:12"/>
    <s v="-"/>
    <s v="Kerry_dropoff"/>
    <s v="Lazada"/>
    <s v="lazada"/>
    <s v=""/>
    <s v="LEXPU0440632057"/>
    <s v="01/01/2025 12:12"/>
  </r>
  <r>
    <x v="3"/>
    <x v="3"/>
    <n v="100"/>
    <n v="1"/>
    <n v="0"/>
    <s v="EPH2"/>
    <n v="106"/>
    <n v="6"/>
    <s v="ร้านที่1"/>
    <s v="พ***สรณ์ ท***ินทร์"/>
    <s v="ราชบุรี"/>
    <s v="-"/>
    <s v=""/>
    <s v="01/01/2025 12:10"/>
    <s v="-"/>
    <s v="J&amp;T Express"/>
    <s v="Tiktok"/>
    <s v="tiktok"/>
    <s v=""/>
    <s v="754216241321"/>
    <s v="01/01/2025 12:10"/>
  </r>
  <r>
    <x v="5"/>
    <x v="5"/>
    <n v="350"/>
    <n v="1"/>
    <n v="0"/>
    <s v="EPH0"/>
    <n v="350"/>
    <n v="0"/>
    <s v="ร้านที่4"/>
    <s v="ณ***านต์ ค***นุช"/>
    <s v="นนทบุรี"/>
    <s v="-"/>
    <s v=""/>
    <s v="01/01/2025 12:08"/>
    <s v="-"/>
    <s v="Flash Express Thailand COD"/>
    <s v="Tiktok"/>
    <s v="จ่ายทีหลัง / COD"/>
    <s v=""/>
    <s v="THT03051DPGKK6Z"/>
    <s v="01/01/2025 12:08"/>
  </r>
  <r>
    <x v="1"/>
    <x v="1"/>
    <n v="200"/>
    <n v="1"/>
    <n v="0"/>
    <s v="EPG99"/>
    <n v="200"/>
    <n v="0"/>
    <s v="ร้านที่1"/>
    <s v="ล***าวัลย์ ส***นทารักษ์"/>
    <s v="กาญจนบุรี"/>
    <s v="-"/>
    <s v=""/>
    <s v="01/01/2025 12:07"/>
    <s v="-"/>
    <s v="J&amp;T COD"/>
    <s v="Tiktok"/>
    <s v="จ่ายทีหลัง / COD"/>
    <s v=""/>
    <s v="754285792293"/>
    <s v="01/01/2025 12:07"/>
  </r>
  <r>
    <x v="4"/>
    <x v="4"/>
    <n v="100"/>
    <n v="1"/>
    <n v="0"/>
    <s v="EPG98"/>
    <n v="106"/>
    <n v="6"/>
    <s v="ร้านที่1"/>
    <s v="ศ***ล ป***านต์"/>
    <s v="ชลบุรี"/>
    <s v="-"/>
    <s v=""/>
    <s v="01/01/2025 12:07"/>
    <s v="-"/>
    <s v="J&amp;T COD"/>
    <s v="Tiktok"/>
    <s v="จ่ายทีหลัง / COD"/>
    <s v=""/>
    <s v="754228478264"/>
    <s v="01/01/2025 12:07"/>
  </r>
  <r>
    <x v="36"/>
    <x v="48"/>
    <n v="280"/>
    <n v="1"/>
    <n v="0"/>
    <s v="EPG96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1/01/2025 12:34"/>
    <s v="-"/>
    <s v="Flash Express"/>
    <s v="Shopee"/>
    <s v="shopee"/>
    <s v=""/>
    <s v="TH13056N7J6Y5F"/>
    <s v="01/01/2025 12:04"/>
  </r>
  <r>
    <x v="10"/>
    <x v="10"/>
    <n v="200"/>
    <n v="1"/>
    <n v="0"/>
    <s v="EPG95"/>
    <n v="200"/>
    <n v="0"/>
    <s v="ร้านที่1"/>
    <s v="น***พร อ***ยทอง"/>
    <s v="ชุมพร"/>
    <s v="-"/>
    <s v=""/>
    <s v="01/01/2025 12:03"/>
    <s v="-"/>
    <s v="J&amp;T COD"/>
    <s v="Tiktok"/>
    <s v="จ่ายทีหลัง / COD"/>
    <s v=""/>
    <s v="754230534396"/>
    <s v="01/01/2025 12:03"/>
  </r>
  <r>
    <x v="36"/>
    <x v="48"/>
    <n v="280"/>
    <n v="1"/>
    <n v="0"/>
    <s v="EPG94"/>
    <n v="321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1/01/2025 12:32"/>
    <s v="-"/>
    <s v="Flash Express"/>
    <s v="Shopee"/>
    <s v="shopee"/>
    <s v=""/>
    <s v="TH13056N7H8B3F"/>
    <s v="01/01/2025 12:02"/>
  </r>
  <r>
    <x v="4"/>
    <x v="4"/>
    <n v="100"/>
    <n v="1"/>
    <n v="0"/>
    <s v="EPG93"/>
    <n v="106"/>
    <n v="6"/>
    <s v="ร้านที่1"/>
    <s v="ส***ะรี บ***ิรมย์"/>
    <s v="เพชรบุรี"/>
    <s v="-"/>
    <s v=""/>
    <s v="01/01/2025 11:58"/>
    <s v="-"/>
    <s v="J&amp;T COD"/>
    <s v="Tiktok"/>
    <s v="จ่ายทีหลัง / COD"/>
    <s v=""/>
    <s v="754272272261"/>
    <s v="01/01/2025 11:58"/>
  </r>
  <r>
    <x v="22"/>
    <x v="22"/>
    <n v="130"/>
    <n v="2"/>
    <n v="0"/>
    <s v="EPG92"/>
    <n v="289"/>
    <n v="29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1/01/2025 11:57"/>
    <s v="-"/>
    <s v="SPX Express"/>
    <s v="Shopee"/>
    <s v="shopee"/>
    <s v=""/>
    <s v="TH2501452625171"/>
    <s v="01/01/2025 11:57"/>
  </r>
  <r>
    <x v="33"/>
    <x v="43"/>
    <n v="330"/>
    <n v="1"/>
    <n v="0"/>
    <s v="EPG89"/>
    <n v="330"/>
    <n v="0"/>
    <s v="ร้านที่1"/>
    <s v="ส***าร ว***พินิจ"/>
    <s v="ปราจีนบุรี"/>
    <s v="-"/>
    <s v=""/>
    <s v="01/01/2025 11:52"/>
    <s v="-"/>
    <s v="J&amp;T COD"/>
    <s v="Tiktok"/>
    <s v="จ่ายทีหลัง / COD"/>
    <s v=""/>
    <s v="754263379273"/>
    <s v="01/01/2025 11:53"/>
  </r>
  <r>
    <x v="40"/>
    <x v="59"/>
    <n v="360"/>
    <n v="1"/>
    <n v="0"/>
    <s v="EPG87"/>
    <n v="399"/>
    <n v="39"/>
    <s v="ร้านที่1"/>
    <s v="ธนกร อุดมพันธุ์"/>
    <s v="โรงแรม @ruamchok hotel  หลังโครงการรวมโชคทอล์ค 204/29_x000a__x000a_เมืองเชียงใหม่/ Mueang Chiang Maiเชียงใหม่/ Chiang Mai_x000a_50000"/>
    <s v="50000"/>
    <s v="660992289353"/>
    <s v="01/01/2025 11:52"/>
    <s v="-"/>
    <s v="Kerry_dropoff"/>
    <s v="Lazada"/>
    <s v="lazada"/>
    <s v=""/>
    <s v="LEXPU0440657455"/>
    <s v="01/01/2025 11:52"/>
  </r>
  <r>
    <x v="33"/>
    <x v="43"/>
    <n v="330"/>
    <n v="1"/>
    <n v="0"/>
    <s v="EPG83"/>
    <n v="330"/>
    <n v="0"/>
    <s v="ร้านที่4"/>
    <s v="พ***ินทร์ แ***แสงทอง"/>
    <s v="สุรินทร์"/>
    <s v="-"/>
    <s v=""/>
    <s v="01/01/2025 11:50"/>
    <s v="-"/>
    <s v="Flash Express Thailand COD"/>
    <s v="Tiktok"/>
    <s v="จ่ายทีหลัง / COD"/>
    <s v=""/>
    <s v="THT29101DPDF60Z"/>
    <s v="01/01/2025 11:51"/>
  </r>
  <r>
    <x v="5"/>
    <x v="5"/>
    <n v="350"/>
    <n v="1"/>
    <n v="0"/>
    <s v="EPG82"/>
    <n v="350"/>
    <n v="0"/>
    <s v="ร้านที่4"/>
    <s v="แ***ะวี พ***ุทธ"/>
    <s v="สระบุรี"/>
    <s v="-"/>
    <s v=""/>
    <s v="01/01/2025 11:49"/>
    <s v="-"/>
    <s v="Flash Express Thailand COD"/>
    <s v="Tiktok"/>
    <s v="จ่ายทีหลัง / COD"/>
    <s v=""/>
    <s v="THT10081DPGPX6Z"/>
    <s v="01/01/2025 11:49"/>
  </r>
  <r>
    <x v="9"/>
    <x v="4"/>
    <n v="100"/>
    <n v="1"/>
    <n v="0"/>
    <s v="EPG81"/>
    <n v="106"/>
    <n v="6"/>
    <s v="ร้านที่1"/>
    <s v="จ***า    ส***รณ์"/>
    <s v="กรุงเทพมหานคร"/>
    <s v="-"/>
    <s v=""/>
    <s v="01/01/2025 11:48"/>
    <s v="-"/>
    <s v="J&amp;T COD"/>
    <s v="Tiktok"/>
    <s v="จ่ายทีหลัง / COD"/>
    <s v=""/>
    <s v="754298959271"/>
    <s v="01/01/2025 11:48"/>
  </r>
  <r>
    <x v="9"/>
    <x v="4"/>
    <n v="100"/>
    <n v="1"/>
    <n v="0"/>
    <s v="EPG80"/>
    <n v="106"/>
    <n v="6"/>
    <s v="ร้านที่1"/>
    <s v="ก***ิการ์ เ***อนพาล"/>
    <s v="กาญจนบุรี"/>
    <s v="-"/>
    <s v=""/>
    <s v="01/01/2025 11:45"/>
    <s v="-"/>
    <s v="J&amp;T COD"/>
    <s v="Tiktok"/>
    <s v="จ่ายทีหลัง / COD"/>
    <s v=""/>
    <s v="754221269244"/>
    <s v="01/01/2025 11:45"/>
  </r>
  <r>
    <x v="33"/>
    <x v="43"/>
    <n v="330"/>
    <n v="1"/>
    <n v="0"/>
    <s v="EPG78"/>
    <n v="430"/>
    <n v="0"/>
    <s v="ร้านที่4"/>
    <s v="ฐ***กัณต์ น***"/>
    <s v="กรุงเทพมหานคร"/>
    <s v="-"/>
    <s v=""/>
    <s v="01/01/2025 11:43"/>
    <s v="-"/>
    <s v="Flash Express Thailand COD"/>
    <s v="Tiktok"/>
    <s v="จ่ายทีหลัง / COD"/>
    <s v=""/>
    <s v="THT01211DP0HD8Z"/>
    <s v="01/01/2025 11:43"/>
  </r>
  <r>
    <x v="9"/>
    <x v="4"/>
    <n v="100"/>
    <n v="1"/>
    <n v="0"/>
    <s v="EPG78"/>
    <n v="430"/>
    <n v="0"/>
    <s v="ร้านที่4"/>
    <s v="ฐ***กัณต์ น***"/>
    <s v="กรุงเทพมหานคร"/>
    <s v="-"/>
    <s v=""/>
    <s v="01/01/2025 11:43"/>
    <s v="-"/>
    <s v="Flash Express Thailand COD"/>
    <s v="Tiktok"/>
    <s v="จ่ายทีหลัง / COD"/>
    <s v=""/>
    <s v="THT01211DP0HD8Z"/>
    <s v="01/01/2025 11:43"/>
  </r>
  <r>
    <x v="4"/>
    <x v="4"/>
    <n v="100"/>
    <n v="1"/>
    <n v="0"/>
    <s v="EPG76"/>
    <n v="106"/>
    <n v="6"/>
    <s v="ร้านที่1"/>
    <s v="ป***าพร ญ***ฝูง"/>
    <s v="เชียงใหม่"/>
    <s v="-"/>
    <s v=""/>
    <s v="01/01/2025 11:39"/>
    <s v="-"/>
    <s v="J&amp;T COD"/>
    <s v="Tiktok"/>
    <s v="จ่ายทีหลัง / COD"/>
    <s v=""/>
    <s v="754215571200"/>
    <s v="01/01/2025 11:39"/>
  </r>
  <r>
    <x v="9"/>
    <x v="4"/>
    <n v="100"/>
    <n v="1"/>
    <n v="0"/>
    <s v="EPG75"/>
    <n v="106"/>
    <n v="6"/>
    <s v="ร้านที่1"/>
    <s v="บ*** ศ***รึก"/>
    <s v="บุรีรัมย์"/>
    <s v="-"/>
    <s v=""/>
    <s v="01/01/2025 11:39"/>
    <s v="-"/>
    <s v="J&amp;T COD"/>
    <s v="Tiktok"/>
    <s v="จ่ายทีหลัง / COD"/>
    <s v=""/>
    <s v="754246673224"/>
    <s v="01/01/2025 11:39"/>
  </r>
  <r>
    <x v="24"/>
    <x v="25"/>
    <n v="800"/>
    <n v="1"/>
    <n v="0"/>
    <s v="EPG74"/>
    <n v="909"/>
    <n v="109"/>
    <s v="ร้านที่1"/>
    <s v="ช******ิ"/>
    <s v="******ุ่งสุขลา, อำเภอศรีราชา ตำบลทุ่งสุขลา อำเภอศรีราชา จังหวัดชลบุรี 20230"/>
    <s v="20230"/>
    <s v="88"/>
    <s v="01/01/2025 11:37"/>
    <s v="-"/>
    <s v="Flash Express"/>
    <s v="Shopee"/>
    <s v="shopee"/>
    <s v=""/>
    <s v="TH20076N6ZDP5C0"/>
    <s v="01/01/2025 11:37"/>
  </r>
  <r>
    <x v="10"/>
    <x v="10"/>
    <n v="200"/>
    <n v="1"/>
    <n v="0"/>
    <s v="EPG73"/>
    <n v="200"/>
    <n v="0"/>
    <s v="ร้านที่1"/>
    <s v="ข***ฐา"/>
    <s v="นนทบุรี"/>
    <s v="-"/>
    <s v=""/>
    <s v="01/01/2025 11:35"/>
    <s v="-"/>
    <s v="J&amp;T COD"/>
    <s v="Tiktok"/>
    <s v="จ่ายทีหลัง / COD"/>
    <s v=""/>
    <s v="754273039321"/>
    <s v="01/01/2025 11:35"/>
  </r>
  <r>
    <x v="1"/>
    <x v="1"/>
    <n v="200"/>
    <n v="1"/>
    <n v="0"/>
    <s v="EPG71"/>
    <n v="200"/>
    <n v="0"/>
    <s v="ร้านที่1"/>
    <s v="อ***น  เ***ชาย"/>
    <s v="ปราจีนบุรี"/>
    <s v="-"/>
    <s v=""/>
    <s v="01/01/2025 11:33"/>
    <s v="-"/>
    <s v="J&amp;T COD"/>
    <s v="Tiktok"/>
    <s v="จ่ายทีหลัง / COD"/>
    <s v=""/>
    <s v="754209197280"/>
    <s v="01/01/2025 11:33"/>
  </r>
  <r>
    <x v="5"/>
    <x v="5"/>
    <n v="350"/>
    <n v="1"/>
    <n v="0"/>
    <s v="EPG68"/>
    <n v="350"/>
    <n v="0"/>
    <s v="ร้านที่4"/>
    <s v="ก***ก ช***ค"/>
    <s v="ร้อยเอ็ด"/>
    <s v="-"/>
    <s v=""/>
    <s v="01/01/2025 11:30"/>
    <s v="-"/>
    <s v="Flash Express Thailand COD"/>
    <s v="Tiktok"/>
    <s v="จ่ายทีหลัง / COD"/>
    <s v=""/>
    <s v="THT42011DP4BW5Z"/>
    <s v="01/01/2025 11:31"/>
  </r>
  <r>
    <x v="59"/>
    <x v="84"/>
    <n v="100"/>
    <n v="2"/>
    <n v="0"/>
    <s v="EPG67"/>
    <n v="200"/>
    <n v="0"/>
    <s v="ร้านที่1"/>
    <s v="ว***ร ท***ย์ปานา"/>
    <s v="ชลบุรี"/>
    <s v="-"/>
    <s v=""/>
    <s v="01/01/2025 11:28"/>
    <s v="-"/>
    <s v="J&amp;T COD"/>
    <s v="Tiktok"/>
    <s v="จ่ายทีหลัง / COD"/>
    <s v=""/>
    <s v="754296170246"/>
    <s v="01/01/2025 11:28"/>
  </r>
  <r>
    <x v="10"/>
    <x v="10"/>
    <n v="200"/>
    <n v="1"/>
    <n v="0"/>
    <s v="EPG64"/>
    <n v="200"/>
    <n v="0"/>
    <s v="ร้านที่2"/>
    <s v="น***าวสุวรรณี เ***คล้าย"/>
    <s v="สงขลา"/>
    <s v="-"/>
    <s v=""/>
    <s v="01/01/2025 11:22"/>
    <s v="-"/>
    <s v="J&amp;T COD"/>
    <s v="Tiktok"/>
    <s v="จ่ายทีหลัง / COD"/>
    <s v=""/>
    <s v="754210037313"/>
    <s v="01/01/2025 11:22"/>
  </r>
  <r>
    <x v="1"/>
    <x v="1"/>
    <n v="200"/>
    <n v="1"/>
    <n v="0"/>
    <s v="EPG62"/>
    <n v="200"/>
    <n v="0"/>
    <s v="ร้านที่1"/>
    <s v="น***า ป***ิคะเน"/>
    <s v="กาฬสินธุ์"/>
    <s v="-"/>
    <s v=""/>
    <s v="01/01/2025 11:20"/>
    <s v="-"/>
    <s v="J&amp;T Express"/>
    <s v="Tiktok"/>
    <s v="tiktok"/>
    <s v=""/>
    <s v="754296610303"/>
    <s v="01/01/2025 11:20"/>
  </r>
  <r>
    <x v="33"/>
    <x v="43"/>
    <n v="330"/>
    <n v="1"/>
    <n v="0"/>
    <s v="EPG61"/>
    <n v="330"/>
    <n v="0"/>
    <s v="ร้านที่1"/>
    <s v="ร***ี  น***ลป์ธนสาร"/>
    <s v="อ่างทอง"/>
    <s v="-"/>
    <s v=""/>
    <s v="01/01/2025 11:20"/>
    <s v="-"/>
    <s v="J&amp;T Express"/>
    <s v="Tiktok"/>
    <s v="tiktok"/>
    <s v=""/>
    <s v="754225975296"/>
    <s v="01/01/2025 11:20"/>
  </r>
  <r>
    <x v="3"/>
    <x v="3"/>
    <n v="100"/>
    <n v="2"/>
    <n v="0"/>
    <s v="EPG60"/>
    <n v="200"/>
    <n v="0"/>
    <s v="ร้านที่1"/>
    <s v="ส***ษ์  ส***องนวล"/>
    <s v="เทศบาลนครนครปฐม"/>
    <s v="-"/>
    <s v=""/>
    <s v="01/01/2025 11:20"/>
    <s v="-"/>
    <s v="J&amp;T COD"/>
    <s v="Tiktok"/>
    <s v="จ่ายทีหลัง / COD"/>
    <s v=""/>
    <s v="754271180283"/>
    <s v="01/01/2025 11:20"/>
  </r>
  <r>
    <x v="3"/>
    <x v="8"/>
    <n v="84"/>
    <n v="1"/>
    <n v="0"/>
    <s v="EPG59"/>
    <n v="173"/>
    <n v="5"/>
    <s v="ร้านที่6"/>
    <s v="นิลวดี ดวงสว่าง"/>
    <s v="2/91ซ.เทพกุญชร23 ม.12ต.คลองหนึ่ง_x000a__x000a_คลองหลวง/ Khlong Luangปทุมธานี/ Pathum Thani_x000a_12120"/>
    <s v="12120"/>
    <s v="660895273511"/>
    <s v="01/01/2025 14:28"/>
    <s v="-"/>
    <s v="Kerry_dropoff"/>
    <s v="Lazada"/>
    <s v="lazada"/>
    <s v=""/>
    <s v="TH52096N6FJ07B"/>
    <s v="01/01/2025 11:19"/>
  </r>
  <r>
    <x v="3"/>
    <x v="8"/>
    <n v="84"/>
    <n v="1"/>
    <n v="0"/>
    <s v="EPG59"/>
    <n v="173"/>
    <n v="5"/>
    <s v="ร้านที่6"/>
    <s v="นิลวดี ดวงสว่าง"/>
    <s v="2/91ซ.เทพกุญชร23 ม.12ต.คลองหนึ่ง_x000a__x000a_คลองหลวง/ Khlong Luangปทุมธานี/ Pathum Thani_x000a_12120"/>
    <s v="12120"/>
    <s v="660895273511"/>
    <s v="01/01/2025 14:28"/>
    <s v="-"/>
    <s v="Kerry_dropoff"/>
    <s v="Lazada"/>
    <s v="lazada"/>
    <s v=""/>
    <s v="TH52096N6FJ07B"/>
    <s v="01/01/2025 11:19"/>
  </r>
  <r>
    <x v="4"/>
    <x v="4"/>
    <n v="100"/>
    <n v="1"/>
    <n v="0"/>
    <s v="EPG57"/>
    <n v="100"/>
    <n v="0"/>
    <s v="ร้านที่1"/>
    <s v="ว***ะโพธิ์ศรีดา"/>
    <s v="นครปฐม"/>
    <s v="-"/>
    <s v=""/>
    <s v="01/01/2025 11:11"/>
    <s v="-"/>
    <s v="J&amp;T Express"/>
    <s v="Tiktok"/>
    <s v="tiktok"/>
    <s v=""/>
    <s v="754263778203"/>
    <s v="01/01/2025 11:11"/>
  </r>
  <r>
    <x v="9"/>
    <x v="4"/>
    <n v="100"/>
    <n v="2"/>
    <n v="0"/>
    <s v="EPG56"/>
    <n v="200"/>
    <n v="0"/>
    <s v="ร้านที่2"/>
    <s v="ช***ิพ ย***"/>
    <s v="กรุงเทพมหานคร"/>
    <s v="-"/>
    <s v=""/>
    <s v="01/01/2025 11:10"/>
    <s v="-"/>
    <s v="Flash Express Thailand COD"/>
    <s v="Tiktok"/>
    <s v="จ่ายทีหลัง / COD"/>
    <s v=""/>
    <s v="THT01171DP0DA2Z"/>
    <s v="01/01/2025 11:11"/>
  </r>
  <r>
    <x v="4"/>
    <x v="4"/>
    <n v="100"/>
    <n v="2"/>
    <n v="0"/>
    <s v="EPG55"/>
    <n v="200"/>
    <n v="0"/>
    <s v="ร้านที่1"/>
    <s v="ส***สา เ***วเกตวิทย์"/>
    <s v="สุรินทร์"/>
    <s v="-"/>
    <s v=""/>
    <s v="01/01/2025 11:10"/>
    <s v="-"/>
    <s v="J&amp;T COD"/>
    <s v="Tiktok"/>
    <s v="จ่ายทีหลัง / COD"/>
    <s v=""/>
    <s v="754225405312"/>
    <s v="01/01/2025 11:10"/>
  </r>
  <r>
    <x v="1"/>
    <x v="1"/>
    <n v="200"/>
    <n v="1"/>
    <n v="0"/>
    <s v="EPG54"/>
    <n v="200"/>
    <n v="0"/>
    <s v="ร้านที่4"/>
    <s v="พ***ย  พ***จะแย้ม"/>
    <s v="สุพรรณบุรี"/>
    <s v="-"/>
    <s v=""/>
    <s v="01/01/2025 11:09"/>
    <s v="-"/>
    <s v="Flash Express Thailand"/>
    <s v="Tiktok"/>
    <s v="tiktok"/>
    <s v=""/>
    <s v="THT14071DP14E5Z"/>
    <s v="01/01/2025 11:09"/>
  </r>
  <r>
    <x v="1"/>
    <x v="1"/>
    <n v="200"/>
    <n v="1"/>
    <n v="0"/>
    <s v="EPG53"/>
    <n v="200"/>
    <n v="0"/>
    <s v="ร้านที่1"/>
    <s v="ก***า เ***ยมสมบูรณ์"/>
    <s v="พระนครศรีอยุธยา"/>
    <s v="-"/>
    <s v=""/>
    <s v="01/01/2025 11:09"/>
    <s v="-"/>
    <s v="J&amp;T COD"/>
    <s v="Tiktok"/>
    <s v="จ่ายทีหลัง / COD"/>
    <s v=""/>
    <s v="754215431351"/>
    <s v="01/01/2025 11:09"/>
  </r>
  <r>
    <x v="9"/>
    <x v="4"/>
    <n v="100"/>
    <n v="1"/>
    <n v="0"/>
    <s v="EPG50"/>
    <n v="106"/>
    <n v="6"/>
    <s v="ร้านที่2"/>
    <s v="ส*** ว***ชัยวะ"/>
    <s v="ตาก"/>
    <s v="-"/>
    <s v=""/>
    <s v="01/01/2025 11:06"/>
    <s v="-"/>
    <s v="J&amp;T COD"/>
    <s v="Tiktok"/>
    <s v="จ่ายทีหลัง / COD"/>
    <s v=""/>
    <s v="754216158286"/>
    <s v="01/01/2025 11:06"/>
  </r>
  <r>
    <x v="10"/>
    <x v="10"/>
    <n v="200"/>
    <n v="1"/>
    <n v="0"/>
    <s v="EPG48"/>
    <n v="200"/>
    <n v="0"/>
    <s v="ร้านที่2"/>
    <s v="แ***"/>
    <s v="กรุงเทพฯ"/>
    <s v="-"/>
    <s v=""/>
    <s v="01/01/2025 11:02"/>
    <s v="-"/>
    <s v="J&amp;T COD"/>
    <s v="Tiktok"/>
    <s v="จ่ายทีหลัง / COD"/>
    <s v=""/>
    <s v="754254832321"/>
    <s v="01/01/2025 11:02"/>
  </r>
  <r>
    <x v="9"/>
    <x v="4"/>
    <n v="100"/>
    <n v="1"/>
    <n v="0"/>
    <s v="EPG47"/>
    <n v="200"/>
    <n v="0"/>
    <s v="ร้านที่1"/>
    <s v="ช***ัย ท***ล่ำ"/>
    <s v="กรุงเทพฯ"/>
    <s v="-"/>
    <s v=""/>
    <s v="01/01/2025 11:01"/>
    <s v="-"/>
    <s v="J&amp;T COD"/>
    <s v="Tiktok"/>
    <s v="จ่ายทีหลัง / COD"/>
    <s v=""/>
    <s v="754283231321"/>
    <s v="01/01/2025 11:02"/>
  </r>
  <r>
    <x v="4"/>
    <x v="4"/>
    <n v="100"/>
    <n v="1"/>
    <n v="0"/>
    <s v="EPG47"/>
    <n v="200"/>
    <n v="0"/>
    <s v="ร้านที่1"/>
    <s v="ช***ัย ท***ล่ำ"/>
    <s v="กรุงเทพฯ"/>
    <s v="-"/>
    <s v=""/>
    <s v="01/01/2025 11:01"/>
    <s v="-"/>
    <s v="J&amp;T COD"/>
    <s v="Tiktok"/>
    <s v="จ่ายทีหลัง / COD"/>
    <s v=""/>
    <s v="754283231321"/>
    <s v="01/01/2025 11:02"/>
  </r>
  <r>
    <x v="19"/>
    <x v="19"/>
    <n v="199"/>
    <n v="1"/>
    <n v="0"/>
    <s v="EPG46"/>
    <n v="244"/>
    <n v="45"/>
    <s v="ร้านที่1"/>
    <s v="ม******า"/>
    <s v="******5 ต.เหมือง ตำบลเหมือง อำเภอเมืองชลบุรี จังหวัดชลบุรี 20130"/>
    <s v="20130"/>
    <s v="60"/>
    <s v="01/01/2025 11:03"/>
    <s v="-"/>
    <s v="SPX Express"/>
    <s v="Shopee"/>
    <s v="shopee"/>
    <s v=""/>
    <s v="TH2591605084685"/>
    <s v="01/01/2025 11:01"/>
  </r>
  <r>
    <x v="3"/>
    <x v="8"/>
    <n v="77.400000000000006"/>
    <n v="1"/>
    <n v="0"/>
    <s v="EPG44"/>
    <n v="77.400000000000006"/>
    <n v="0"/>
    <s v="ร้านที่6"/>
    <s v="วรรณนภา"/>
    <s v="136 หมู่ 2 ซอยข้างโลตัส ในซอยโป๊ยก่ายหมูกะทะ ตรงเข้ามาอยู่ขวามือ · องครักษ์/ Ongkharak_x000a__x000a_องครักษ์/ Ongkharakนครนายก/ Nakhon Nayok_x000a_26120"/>
    <s v="26120"/>
    <s v="660944911445"/>
    <s v="01/01/2025 10:59"/>
    <s v="-"/>
    <s v="Kerry_dropoff"/>
    <s v="Lazada"/>
    <s v="lazada"/>
    <s v=""/>
    <s v="LEXPU0440634380"/>
    <s v="01/01/2025 10:59"/>
  </r>
  <r>
    <x v="10"/>
    <x v="10"/>
    <n v="200"/>
    <n v="1"/>
    <n v="0"/>
    <s v="EPG42"/>
    <n v="200"/>
    <n v="0"/>
    <s v="ร้านที่1"/>
    <s v="น***วงจันทร์ บ***านาม"/>
    <s v="หนองบัวลำภู"/>
    <s v="-"/>
    <s v=""/>
    <s v="01/01/2025 10:58"/>
    <s v="-"/>
    <s v="J&amp;T COD"/>
    <s v="Tiktok"/>
    <s v="จ่ายทีหลัง / COD"/>
    <s v=""/>
    <s v="754228337376"/>
    <s v="01/01/2025 10:58"/>
  </r>
  <r>
    <x v="4"/>
    <x v="4"/>
    <n v="100"/>
    <n v="1"/>
    <n v="0"/>
    <s v="EPG39"/>
    <n v="106"/>
    <n v="6"/>
    <s v="ร้านที่2"/>
    <s v="ก***นา"/>
    <s v="ปทุมธานี"/>
    <s v="-"/>
    <s v=""/>
    <s v="01/01/2025 10:54"/>
    <s v="-"/>
    <s v="J&amp;T COD"/>
    <s v="Tiktok"/>
    <s v="จ่ายทีหลัง / COD"/>
    <s v=""/>
    <s v="754258703365"/>
    <s v="01/01/2025 10:54"/>
  </r>
  <r>
    <x v="29"/>
    <x v="36"/>
    <n v="330"/>
    <n v="1"/>
    <n v="0"/>
    <s v="EPG38"/>
    <n v="330"/>
    <n v="0"/>
    <s v="ร้านที่4"/>
    <s v="จ***มาศ"/>
    <s v="ชัยภูมิ"/>
    <s v="-"/>
    <s v=""/>
    <s v="01/01/2025 10:51"/>
    <s v="-"/>
    <s v="Flash Express Thailand COD"/>
    <s v="Tiktok"/>
    <s v="จ่ายทีหลัง / COD"/>
    <s v=""/>
    <s v="THT33121DP5BE9Z"/>
    <s v="01/01/2025 10:52"/>
  </r>
  <r>
    <x v="2"/>
    <x v="82"/>
    <n v="100"/>
    <n v="1"/>
    <n v="0"/>
    <s v="EPG37"/>
    <n v="106"/>
    <n v="6"/>
    <s v="ร้านที่4"/>
    <s v="แ***นภา ศ***ุม"/>
    <s v="อุบลราชธานี"/>
    <s v="-"/>
    <s v=""/>
    <s v="01/01/2025 10:51"/>
    <s v="-"/>
    <s v="Flash Express Thailand COD"/>
    <s v="Tiktok"/>
    <s v="จ่ายทีหลัง / COD"/>
    <s v=""/>
    <s v="THT31041DNR5G3Z"/>
    <s v="01/01/2025 10:51"/>
  </r>
  <r>
    <x v="5"/>
    <x v="5"/>
    <n v="330"/>
    <n v="1"/>
    <n v="0"/>
    <s v="EPG34"/>
    <n v="330"/>
    <n v="0"/>
    <s v="ร้านที่1"/>
    <s v="น***าวพัชรินทร์ ใ***ญ"/>
    <s v="ตาก"/>
    <s v="-"/>
    <s v=""/>
    <s v="01/01/2025 10:41"/>
    <s v="-"/>
    <s v="J&amp;T COD"/>
    <s v="Tiktok"/>
    <s v="จ่ายทีหลัง / COD"/>
    <s v=""/>
    <s v="754282899226"/>
    <s v="01/01/2025 10:41"/>
  </r>
  <r>
    <x v="9"/>
    <x v="4"/>
    <n v="100"/>
    <n v="1"/>
    <n v="0"/>
    <s v="EPG33"/>
    <n v="100"/>
    <n v="0"/>
    <s v="ร้านที่2"/>
    <s v="ส***ันท์ ส***์คำคูณ"/>
    <s v="เทศบาลนครนครสวรรค์"/>
    <s v="-"/>
    <s v=""/>
    <s v="01/01/2025 10:39"/>
    <s v="-"/>
    <s v="J&amp;T COD"/>
    <s v="Tiktok"/>
    <s v="จ่ายทีหลัง / COD"/>
    <s v=""/>
    <s v="754271555295"/>
    <s v="01/01/2025 10:39"/>
  </r>
  <r>
    <x v="3"/>
    <x v="3"/>
    <n v="100"/>
    <n v="1"/>
    <n v="0"/>
    <s v="EPG32"/>
    <n v="106"/>
    <n v="6"/>
    <s v="ร้านที่4"/>
    <s v="ล***ย ส***์ชู"/>
    <s v="กระบี่"/>
    <s v="-"/>
    <s v=""/>
    <s v="01/01/2025 10:37"/>
    <s v="-"/>
    <s v="Flash Express Thailand COD"/>
    <s v="Tiktok"/>
    <s v="จ่ายทีหลัง / COD"/>
    <s v=""/>
    <s v="THT65021DNZK19Z"/>
    <s v="01/01/2025 10:37"/>
  </r>
  <r>
    <x v="1"/>
    <x v="1"/>
    <n v="200"/>
    <n v="1"/>
    <n v="0"/>
    <s v="EPG31"/>
    <n v="200"/>
    <n v="0"/>
    <s v="ร้านที่1"/>
    <s v="ว***ะ ว***ียร"/>
    <s v="เทศบาลนครอุดรธานี"/>
    <s v="-"/>
    <s v=""/>
    <s v="01/01/2025 10:36"/>
    <s v="-"/>
    <s v="J&amp;T COD"/>
    <s v="Tiktok"/>
    <s v="จ่ายทีหลัง / COD"/>
    <s v=""/>
    <s v="754256830353"/>
    <s v="01/01/2025 10:37"/>
  </r>
  <r>
    <x v="5"/>
    <x v="5"/>
    <n v="330"/>
    <n v="1"/>
    <n v="0"/>
    <s v="EPG30"/>
    <n v="330"/>
    <n v="0"/>
    <s v="ร้านที่1"/>
    <s v="ณ***า ส***บาง"/>
    <s v="ปทุมธานี"/>
    <s v="-"/>
    <s v=""/>
    <s v="01/01/2025 10:34"/>
    <s v="-"/>
    <s v="J&amp;T COD"/>
    <s v="Tiktok"/>
    <s v="จ่ายทีหลัง / COD"/>
    <s v=""/>
    <s v="754208389233"/>
    <s v="01/01/2025 10:34"/>
  </r>
  <r>
    <x v="4"/>
    <x v="4"/>
    <n v="100"/>
    <n v="1"/>
    <n v="0"/>
    <s v="EPG29"/>
    <n v="200"/>
    <n v="0"/>
    <s v="ร้านที่1"/>
    <s v="ก***นา อ***รทัศน์"/>
    <s v="พิษณุโลก"/>
    <s v="-"/>
    <s v=""/>
    <s v="01/01/2025 10:33"/>
    <s v="-"/>
    <s v="J&amp;T COD"/>
    <s v="Tiktok"/>
    <s v="จ่ายทีหลัง / COD"/>
    <s v=""/>
    <s v="754222845353"/>
    <s v="01/01/2025 10:33"/>
  </r>
  <r>
    <x v="9"/>
    <x v="4"/>
    <n v="100"/>
    <n v="1"/>
    <n v="0"/>
    <s v="EPG29"/>
    <n v="200"/>
    <n v="0"/>
    <s v="ร้านที่1"/>
    <s v="ก***นา อ***รทัศน์"/>
    <s v="พิษณุโลก"/>
    <s v="-"/>
    <s v=""/>
    <s v="01/01/2025 10:33"/>
    <s v="-"/>
    <s v="J&amp;T COD"/>
    <s v="Tiktok"/>
    <s v="จ่ายทีหลัง / COD"/>
    <s v=""/>
    <s v="754222845353"/>
    <s v="01/01/2025 10:33"/>
  </r>
  <r>
    <x v="9"/>
    <x v="4"/>
    <n v="100"/>
    <n v="1"/>
    <n v="0"/>
    <s v="EPG28"/>
    <n v="106"/>
    <n v="6"/>
    <s v="ร้านที่1"/>
    <s v="เ***นภา เ***งแจ่ม"/>
    <s v="สมุทรปราการ"/>
    <s v="-"/>
    <s v=""/>
    <s v="01/01/2025 10:32"/>
    <s v="-"/>
    <s v="J&amp;T COD"/>
    <s v="Tiktok"/>
    <s v="จ่ายทีหลัง / COD"/>
    <s v=""/>
    <s v="754205474212"/>
    <s v="01/01/2025 10:33"/>
  </r>
  <r>
    <x v="4"/>
    <x v="4"/>
    <n v="100"/>
    <n v="2"/>
    <n v="0"/>
    <s v="EPG26"/>
    <n v="1000"/>
    <n v="0"/>
    <s v="ร้านที่4"/>
    <s v="ส***ถว"/>
    <s v="สงขลา"/>
    <s v="-"/>
    <s v=""/>
    <s v="01/01/2025 10:30"/>
    <s v="-"/>
    <s v="Flash Express Thailand COD"/>
    <s v="Tiktok"/>
    <s v="จ่ายทีหลัง / COD"/>
    <s v=""/>
    <s v="THT71101DNYZ89Z"/>
    <s v="01/01/2025 10:30"/>
  </r>
  <r>
    <x v="9"/>
    <x v="4"/>
    <n v="100"/>
    <n v="8"/>
    <n v="0"/>
    <s v="EPG26"/>
    <n v="1000"/>
    <n v="0"/>
    <s v="ร้านที่4"/>
    <s v="ส***ถว"/>
    <s v="สงขลา"/>
    <s v="-"/>
    <s v=""/>
    <s v="01/01/2025 10:30"/>
    <s v="-"/>
    <s v="Flash Express Thailand COD"/>
    <s v="Tiktok"/>
    <s v="จ่ายทีหลัง / COD"/>
    <s v=""/>
    <s v="THT71101DNYZ89Z"/>
    <s v="01/01/2025 10:30"/>
  </r>
  <r>
    <x v="33"/>
    <x v="43"/>
    <n v="330"/>
    <n v="1"/>
    <n v="0"/>
    <s v="EPG25"/>
    <n v="330"/>
    <n v="0"/>
    <s v="ร้านที่1"/>
    <s v="ว***ี  ส***ดี"/>
    <s v="สมุทรปราการ"/>
    <s v="-"/>
    <s v=""/>
    <s v="01/01/2025 10:29"/>
    <s v="-"/>
    <s v="J&amp;T COD"/>
    <s v="Tiktok"/>
    <s v="จ่ายทีหลัง / COD"/>
    <s v=""/>
    <s v="754220288264"/>
    <s v="01/01/2025 10:29"/>
  </r>
  <r>
    <x v="4"/>
    <x v="4"/>
    <n v="100"/>
    <n v="1"/>
    <n v="0"/>
    <s v="EPG24"/>
    <n v="298"/>
    <n v="0"/>
    <s v="ร้านที่4"/>
    <s v="น** อ***ร บ***ิต"/>
    <s v="สุรินทร์"/>
    <s v="-"/>
    <s v=""/>
    <s v="01/01/2025 10:29"/>
    <s v="-"/>
    <s v="Flash Express Thailand"/>
    <s v="Tiktok"/>
    <s v="tiktok"/>
    <s v=""/>
    <s v="THT29041DNPK69Z"/>
    <s v="01/01/2025 10:29"/>
  </r>
  <r>
    <x v="1"/>
    <x v="1"/>
    <n v="200"/>
    <n v="1"/>
    <n v="0"/>
    <s v="EPG23"/>
    <n v="200"/>
    <n v="0"/>
    <s v="ร้านที่1"/>
    <s v="s***n c***ichai"/>
    <s v="สมุทรปราการ"/>
    <s v="-"/>
    <s v=""/>
    <s v="01/01/2025 10:28"/>
    <s v="-"/>
    <s v="J&amp;T COD"/>
    <s v="Tiktok"/>
    <s v="จ่ายทีหลัง / COD"/>
    <s v=""/>
    <s v="754227036356"/>
    <s v="01/01/2025 10:28"/>
  </r>
  <r>
    <x v="59"/>
    <x v="84"/>
    <n v="100"/>
    <n v="1"/>
    <n v="0"/>
    <s v="EPG18"/>
    <n v="125"/>
    <n v="25"/>
    <s v="ร้านที่2"/>
    <s v="P***"/>
    <s v="ชลบุรี"/>
    <s v="-"/>
    <s v=""/>
    <s v="01/01/2025 10:24"/>
    <s v="-"/>
    <s v="J&amp;T COD"/>
    <s v="Tiktok"/>
    <s v="จ่ายทีหลัง / COD"/>
    <s v=""/>
    <s v="754251490215"/>
    <s v="01/01/2025 10:24"/>
  </r>
  <r>
    <x v="9"/>
    <x v="4"/>
    <n v="100"/>
    <n v="1"/>
    <n v="0"/>
    <s v="EPG17"/>
    <n v="100"/>
    <n v="0"/>
    <s v="ร้านที่4"/>
    <s v="จ***รรณ ว***ำ"/>
    <s v="เทศบาลนครพิษณุโลก"/>
    <s v="-"/>
    <s v=""/>
    <s v="01/01/2025 10:21"/>
    <s v="-"/>
    <s v="Flash Express Thailand COD"/>
    <s v="Tiktok"/>
    <s v="จ่ายทีหลัง / COD"/>
    <s v=""/>
    <s v="THT61091DNHD59Z"/>
    <s v="01/01/2025 10:21"/>
  </r>
  <r>
    <x v="5"/>
    <x v="5"/>
    <n v="330"/>
    <n v="1"/>
    <n v="0"/>
    <s v="EPG16"/>
    <n v="330"/>
    <n v="0"/>
    <s v="ร้านที่2"/>
    <s v="ป***"/>
    <s v="กาญจนบุรี"/>
    <s v="-"/>
    <s v=""/>
    <s v="01/01/2025 10:19"/>
    <s v="-"/>
    <s v="J&amp;T COD"/>
    <s v="Tiktok"/>
    <s v="จ่ายทีหลัง / COD"/>
    <s v=""/>
    <s v="754298180241"/>
    <s v="01/01/2025 10:19"/>
  </r>
  <r>
    <x v="5"/>
    <x v="5"/>
    <n v="330"/>
    <n v="1"/>
    <n v="0"/>
    <s v="EPG15"/>
    <n v="330"/>
    <n v="0"/>
    <s v="ร้านที่2"/>
    <s v="ส***ษ์   พ***ีบ"/>
    <s v="ลพบุรี"/>
    <s v="-"/>
    <s v=""/>
    <s v="01/01/2025 10:19"/>
    <s v="-"/>
    <s v="J&amp;T COD"/>
    <s v="Tiktok"/>
    <s v="จ่ายทีหลัง / COD"/>
    <s v=""/>
    <s v="754281187251"/>
    <s v="01/01/2025 10:19"/>
  </r>
  <r>
    <x v="3"/>
    <x v="8"/>
    <n v="96.3"/>
    <n v="1"/>
    <n v="0"/>
    <s v="EPG14"/>
    <n v="197.6"/>
    <n v="5"/>
    <s v="ร้านที่6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10:18"/>
    <s v="-"/>
    <s v="Kerry_dropoff"/>
    <s v="Lazada"/>
    <s v="lazada"/>
    <s v=""/>
    <s v="LEXPU0440647981"/>
    <s v="01/01/2025 10:18"/>
  </r>
  <r>
    <x v="3"/>
    <x v="8"/>
    <n v="96.3"/>
    <n v="1"/>
    <n v="0"/>
    <s v="EPG14"/>
    <n v="197.6"/>
    <n v="5"/>
    <s v="ร้านที่6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10:18"/>
    <s v="-"/>
    <s v="Kerry_dropoff"/>
    <s v="Lazada"/>
    <s v="lazada"/>
    <s v=""/>
    <s v="LEXPU0440647981"/>
    <s v="01/01/2025 10:18"/>
  </r>
  <r>
    <x v="0"/>
    <x v="0"/>
    <n v="100"/>
    <n v="1"/>
    <n v="0"/>
    <s v="EPG12"/>
    <n v="106"/>
    <n v="6"/>
    <s v="ร้านที่2"/>
    <s v="อ***ญา ศ***ัพย์"/>
    <s v="ราชบุรี"/>
    <s v="-"/>
    <s v=""/>
    <s v="01/01/2025 10:15"/>
    <s v="-"/>
    <s v="J&amp;T COD"/>
    <s v="Tiktok"/>
    <s v="จ่ายทีหลัง / COD"/>
    <s v=""/>
    <s v="754241145232"/>
    <s v="01/01/2025 10:15"/>
  </r>
  <r>
    <x v="33"/>
    <x v="43"/>
    <n v="330"/>
    <n v="1"/>
    <n v="0"/>
    <s v="EPG11"/>
    <n v="530"/>
    <n v="0"/>
    <s v="ร้านที่4"/>
    <s v="พ***ร์อำไพ พ***์ศรี"/>
    <s v="ร้อยเอ็ด"/>
    <s v="-"/>
    <s v=""/>
    <s v="01/01/2025 10:15"/>
    <s v="-"/>
    <s v="Flash Express Thailand COD"/>
    <s v="Tiktok"/>
    <s v="จ่ายทีหลัง / COD"/>
    <s v=""/>
    <s v="THT42141DP2FW6Z"/>
    <s v="01/01/2025 10:15"/>
  </r>
  <r>
    <x v="10"/>
    <x v="10"/>
    <n v="200"/>
    <n v="1"/>
    <n v="0"/>
    <s v="EPG11"/>
    <n v="530"/>
    <n v="0"/>
    <s v="ร้านที่4"/>
    <s v="พ***ร์อำไพ พ***์ศรี"/>
    <s v="ร้อยเอ็ด"/>
    <s v="-"/>
    <s v=""/>
    <s v="01/01/2025 10:15"/>
    <s v="-"/>
    <s v="Flash Express Thailand COD"/>
    <s v="Tiktok"/>
    <s v="จ่ายทีหลัง / COD"/>
    <s v=""/>
    <s v="THT42141DP2FW6Z"/>
    <s v="01/01/2025 10:15"/>
  </r>
  <r>
    <x v="0"/>
    <x v="0"/>
    <n v="100"/>
    <n v="1"/>
    <n v="0"/>
    <s v="EPG9"/>
    <n v="100"/>
    <n v="0"/>
    <s v="ร้านที่4"/>
    <s v="น***ตน์ น***รัตน์"/>
    <s v="นครปฐม"/>
    <s v="-"/>
    <s v=""/>
    <s v="01/01/2025 10:12"/>
    <s v="-"/>
    <s v="Flash Express Thailand COD"/>
    <s v="Tiktok"/>
    <s v="จ่ายทีหลัง / COD"/>
    <s v=""/>
    <s v="THT15061DP1JY6Z"/>
    <s v="01/01/2025 10:12"/>
  </r>
  <r>
    <x v="0"/>
    <x v="0"/>
    <n v="100"/>
    <n v="1"/>
    <n v="0"/>
    <s v="EPG8"/>
    <n v="100"/>
    <n v="0"/>
    <s v="ร้านที่1"/>
    <s v="เ***นภา  ไ***อง"/>
    <s v="พระนครศรีอยุธยา"/>
    <s v="-"/>
    <s v=""/>
    <s v="01/01/2025 10:11"/>
    <s v="-"/>
    <s v="J&amp;T COD"/>
    <s v="Tiktok"/>
    <s v="จ่ายทีหลัง / COD"/>
    <s v=""/>
    <s v="754286748224"/>
    <s v="01/01/2025 10:11"/>
  </r>
  <r>
    <x v="5"/>
    <x v="5"/>
    <n v="350"/>
    <n v="3"/>
    <n v="0"/>
    <s v="EPG5"/>
    <n v="1050"/>
    <n v="0"/>
    <s v="ร้านที่4"/>
    <s v="จ***ร์จิรา  ร***เอ๋...การค้า"/>
    <s v="นครราชสีมา"/>
    <s v="-"/>
    <s v=""/>
    <s v="01/01/2025 10:04"/>
    <s v="-"/>
    <s v="Flash Express Thailand COD"/>
    <s v="Tiktok"/>
    <s v="จ่ายทีหลัง / COD"/>
    <s v=""/>
    <s v="THT27281DPC9Q4Z"/>
    <s v="01/01/2025 10:04"/>
  </r>
  <r>
    <x v="10"/>
    <x v="10"/>
    <n v="200"/>
    <n v="2"/>
    <n v="0"/>
    <s v="EPG4"/>
    <n v="400"/>
    <n v="0"/>
    <s v="ร้านที่1"/>
    <s v="พ***าภรณ์ ผ***ผา"/>
    <s v="หนองบัวลำภู"/>
    <s v="-"/>
    <s v=""/>
    <s v="01/01/2025 10:04"/>
    <s v="-"/>
    <s v="J&amp;T Express"/>
    <s v="Tiktok"/>
    <s v="tiktok"/>
    <s v=""/>
    <s v="754209831314"/>
    <s v="01/01/2025 10:04"/>
  </r>
  <r>
    <x v="0"/>
    <x v="0"/>
    <n v="100"/>
    <n v="2"/>
    <n v="0"/>
    <s v="EPG3"/>
    <n v="200"/>
    <n v="0"/>
    <s v="ร้านที่1"/>
    <s v="น*** ค***ัสดิ์"/>
    <s v="พิจิตร"/>
    <s v="-"/>
    <s v=""/>
    <s v="01/01/2025 10:02"/>
    <s v="-"/>
    <s v="J&amp;T Express"/>
    <s v="Tiktok"/>
    <s v="tiktok"/>
    <s v=""/>
    <s v="754207358262"/>
    <s v="01/01/2025 10:02"/>
  </r>
  <r>
    <x v="3"/>
    <x v="8"/>
    <n v="99.75"/>
    <n v="1"/>
    <n v="0"/>
    <s v="EPG2"/>
    <n v="104.75"/>
    <n v="5"/>
    <s v="ร้านที่6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01/01/2025 10:01"/>
    <s v="-"/>
    <s v="Kerry_dropoff"/>
    <s v="Lazada"/>
    <s v="lazada"/>
    <s v=""/>
    <s v="LEXPU0440635138"/>
    <s v="01/01/2025 10:01"/>
  </r>
  <r>
    <x v="9"/>
    <x v="4"/>
    <n v="100"/>
    <n v="1"/>
    <n v="0"/>
    <s v="EPF99"/>
    <n v="106"/>
    <n v="6"/>
    <s v="ร้านที่4"/>
    <s v="ป***ัติ"/>
    <s v="กรุงเทพฯ"/>
    <s v="-"/>
    <s v=""/>
    <s v="01/01/2025 09:59"/>
    <s v="-"/>
    <s v="Flash Express Thailand COD"/>
    <s v="Tiktok"/>
    <s v="จ่ายทีหลัง / COD"/>
    <s v=""/>
    <s v="THT01011DNPJR1Z"/>
    <s v="01/01/2025 09:59"/>
  </r>
  <r>
    <x v="0"/>
    <x v="0"/>
    <n v="100"/>
    <n v="1"/>
    <n v="0"/>
    <s v="EPF98"/>
    <n v="106"/>
    <n v="6"/>
    <s v="ร้านที่1"/>
    <s v="จ***า ย***อ"/>
    <s v="จังหวัดสมุทรปราการ"/>
    <s v="-"/>
    <s v=""/>
    <s v="01/01/2025 09:54"/>
    <s v="-"/>
    <s v="J&amp;T Express"/>
    <s v="Tiktok"/>
    <s v="tiktok"/>
    <s v=""/>
    <s v="754264941231"/>
    <s v="01/01/2025 09:54"/>
  </r>
  <r>
    <x v="10"/>
    <x v="10"/>
    <n v="200"/>
    <n v="1"/>
    <n v="0"/>
    <s v="EPF97"/>
    <n v="200"/>
    <n v="0"/>
    <s v="ร้านที่1"/>
    <s v="ร***คนธ์ ภ***ย์ไกรภักดิ์"/>
    <s v="ชัยภูมิ"/>
    <s v="-"/>
    <s v=""/>
    <s v="01/01/2025 09:53"/>
    <s v="-"/>
    <s v="J&amp;T COD"/>
    <s v="Tiktok"/>
    <s v="จ่ายทีหลัง / COD"/>
    <s v=""/>
    <s v="754291920351"/>
    <s v="01/01/2025 09:53"/>
  </r>
  <r>
    <x v="0"/>
    <x v="0"/>
    <n v="100"/>
    <n v="1"/>
    <n v="0"/>
    <s v="EPF96"/>
    <n v="100"/>
    <n v="0"/>
    <s v="ร้านที่1"/>
    <s v="ส***ฒ  ส***"/>
    <s v="พระนครศรีอยุธยา"/>
    <s v="-"/>
    <s v=""/>
    <s v="01/01/2025 09:53"/>
    <s v="-"/>
    <s v="J&amp;T COD"/>
    <s v="Tiktok"/>
    <s v="จ่ายทีหลัง / COD"/>
    <s v=""/>
    <s v="754297544232"/>
    <s v="01/01/2025 09:53"/>
  </r>
  <r>
    <x v="4"/>
    <x v="4"/>
    <n v="100"/>
    <n v="3"/>
    <n v="0"/>
    <s v="EPF93"/>
    <n v="480"/>
    <n v="0"/>
    <s v="ร้านที่1"/>
    <s v="พ***นภา ช***คกสูง"/>
    <s v="นครราชสีมา"/>
    <s v="-"/>
    <s v=""/>
    <s v="01/01/2025 09:52"/>
    <s v="-"/>
    <s v="J&amp;T Express"/>
    <s v="Tiktok"/>
    <s v="tiktok"/>
    <s v=""/>
    <s v="754230936362"/>
    <s v="01/01/2025 09:52"/>
  </r>
  <r>
    <x v="0"/>
    <x v="0"/>
    <n v="100"/>
    <n v="1"/>
    <n v="0"/>
    <s v="EPF92"/>
    <n v="106"/>
    <n v="6"/>
    <s v="ร้านที่4"/>
    <s v="ว***า ด***ี"/>
    <s v="สุรินทร์"/>
    <s v="-"/>
    <s v=""/>
    <s v="01/01/2025 09:51"/>
    <s v="-"/>
    <s v="Flash Express Thailand COD"/>
    <s v="Tiktok"/>
    <s v="จ่ายทีหลัง / COD"/>
    <s v=""/>
    <s v="THT29041DNR0E1Z"/>
    <s v="01/01/2025 09:51"/>
  </r>
  <r>
    <x v="33"/>
    <x v="43"/>
    <n v="330"/>
    <n v="1"/>
    <n v="0"/>
    <s v="EPF91"/>
    <n v="530"/>
    <n v="0"/>
    <s v="ร้านที่2"/>
    <s v="เ***์น"/>
    <s v="จันทบุรี"/>
    <s v="-"/>
    <s v=""/>
    <s v="01/01/2025 09:49"/>
    <s v="-"/>
    <s v="J&amp;T Express"/>
    <s v="Tiktok"/>
    <s v="tiktok"/>
    <s v=""/>
    <s v="754266923340"/>
    <s v="01/01/2025 09:48"/>
  </r>
  <r>
    <x v="4"/>
    <x v="4"/>
    <n v="100"/>
    <n v="2"/>
    <n v="0"/>
    <s v="EPF91"/>
    <n v="530"/>
    <n v="0"/>
    <s v="ร้านที่2"/>
    <s v="เ***์น"/>
    <s v="จันทบุรี"/>
    <s v="-"/>
    <s v=""/>
    <s v="01/01/2025 09:49"/>
    <s v="-"/>
    <s v="J&amp;T Express"/>
    <s v="Tiktok"/>
    <s v="tiktok"/>
    <s v=""/>
    <s v="754266923340"/>
    <s v="01/01/2025 09:48"/>
  </r>
  <r>
    <x v="0"/>
    <x v="0"/>
    <n v="100"/>
    <n v="1"/>
    <n v="0"/>
    <s v="EPF90"/>
    <n v="100"/>
    <n v="0"/>
    <s v="ร้านที่4"/>
    <s v="น***ยุภาภรณ์  โ***วง"/>
    <s v="นครสวรรค์"/>
    <s v="-"/>
    <s v=""/>
    <s v="01/01/2025 09:47"/>
    <s v="-"/>
    <s v="Flash Express Thailand COD"/>
    <s v="Tiktok"/>
    <s v="จ่ายทีหลัง / COD"/>
    <s v=""/>
    <s v="THT56031DP1HB6Z"/>
    <s v="01/01/2025 09:48"/>
  </r>
  <r>
    <x v="59"/>
    <x v="84"/>
    <n v="100"/>
    <n v="1"/>
    <n v="0"/>
    <s v="EPF89"/>
    <n v="125"/>
    <n v="25"/>
    <s v="ร้านที่4"/>
    <s v="ค***"/>
    <s v="เทศบาลนครนครปฐม"/>
    <s v="-"/>
    <s v=""/>
    <s v="01/01/2025 09:46"/>
    <s v="-"/>
    <s v="Flash Express Thailand COD"/>
    <s v="Tiktok"/>
    <s v="จ่ายทีหลัง / COD"/>
    <s v=""/>
    <s v="THT15061DNQCP7Z"/>
    <s v="01/01/2025 09:46"/>
  </r>
  <r>
    <x v="4"/>
    <x v="4"/>
    <n v="100"/>
    <n v="1"/>
    <n v="0"/>
    <s v="EPF88"/>
    <n v="200"/>
    <n v="0"/>
    <s v="ร้านที่2"/>
    <s v="ล***ณา"/>
    <s v="กรุงเทพฯ"/>
    <s v="-"/>
    <s v=""/>
    <s v="01/01/2025 09:44"/>
    <s v="-"/>
    <s v="J&amp;T Express"/>
    <s v="Tiktok"/>
    <s v="tiktok"/>
    <s v=""/>
    <s v="754226043351"/>
    <s v="01/01/2025 09:43"/>
  </r>
  <r>
    <x v="9"/>
    <x v="4"/>
    <n v="100"/>
    <n v="1"/>
    <n v="0"/>
    <s v="EPF88"/>
    <n v="200"/>
    <n v="0"/>
    <s v="ร้านที่2"/>
    <s v="ล***ณา"/>
    <s v="กรุงเทพฯ"/>
    <s v="-"/>
    <s v=""/>
    <s v="01/01/2025 09:44"/>
    <s v="-"/>
    <s v="J&amp;T Express"/>
    <s v="Tiktok"/>
    <s v="tiktok"/>
    <s v=""/>
    <s v="754226043351"/>
    <s v="01/01/2025 09:43"/>
  </r>
  <r>
    <x v="0"/>
    <x v="0"/>
    <n v="100"/>
    <n v="1"/>
    <n v="0"/>
    <s v="EPF87"/>
    <n v="106"/>
    <n v="6"/>
    <s v="ร้านที่1"/>
    <s v="ร***า ฤ***สง่า"/>
    <s v="กรุงเทพมหานคร"/>
    <s v="-"/>
    <s v=""/>
    <s v="01/01/2025 09:43"/>
    <s v="-"/>
    <s v="J&amp;T COD"/>
    <s v="Tiktok"/>
    <s v="จ่ายทีหลัง / COD"/>
    <s v=""/>
    <s v="754231647271"/>
    <s v="01/01/2025 09:43"/>
  </r>
  <r>
    <x v="59"/>
    <x v="84"/>
    <n v="100"/>
    <n v="2"/>
    <n v="0"/>
    <s v="EPF86"/>
    <n v="200"/>
    <n v="0"/>
    <s v="ร้านที่1"/>
    <s v="ด***ดี ส***รณวงษ์"/>
    <s v="กำแพงเพชร"/>
    <s v="-"/>
    <s v=""/>
    <s v="01/01/2025 09:42"/>
    <s v="-"/>
    <s v="J&amp;T COD"/>
    <s v="Tiktok"/>
    <s v="จ่ายทีหลัง / COD"/>
    <s v=""/>
    <s v="754278980232"/>
    <s v="01/01/2025 09:43"/>
  </r>
  <r>
    <x v="5"/>
    <x v="5"/>
    <n v="330"/>
    <n v="1"/>
    <n v="0"/>
    <s v="EPF85"/>
    <n v="530"/>
    <n v="0"/>
    <s v="ร้านที่1"/>
    <s v="พ***รรณ ท***ะ"/>
    <s v="Sing Buri"/>
    <s v="-"/>
    <s v=""/>
    <s v="01/01/2025 09:41"/>
    <s v="-"/>
    <s v="J&amp;T Express"/>
    <s v="Tiktok"/>
    <s v="tiktok"/>
    <s v=""/>
    <s v="754245042316"/>
    <s v="01/01/2025 09:40"/>
  </r>
  <r>
    <x v="1"/>
    <x v="1"/>
    <n v="200"/>
    <n v="1"/>
    <n v="0"/>
    <s v="EPF85"/>
    <n v="530"/>
    <n v="0"/>
    <s v="ร้านที่1"/>
    <s v="พ***รรณ ท***ะ"/>
    <s v="Sing Buri"/>
    <s v="-"/>
    <s v=""/>
    <s v="01/01/2025 09:41"/>
    <s v="-"/>
    <s v="J&amp;T Express"/>
    <s v="Tiktok"/>
    <s v="tiktok"/>
    <s v=""/>
    <s v="754245042316"/>
    <s v="01/01/2025 09:40"/>
  </r>
  <r>
    <x v="0"/>
    <x v="0"/>
    <n v="100"/>
    <n v="1"/>
    <n v="0"/>
    <s v="EPF84"/>
    <n v="106"/>
    <n v="6"/>
    <s v="ร้านที่2"/>
    <s v="น***า ห***วี"/>
    <s v="สงขลา"/>
    <s v="-"/>
    <s v=""/>
    <s v="01/01/2025 09:40"/>
    <s v="-"/>
    <s v="J&amp;T COD"/>
    <s v="Tiktok"/>
    <s v="จ่ายทีหลัง / COD"/>
    <s v=""/>
    <s v="754221344240"/>
    <s v="01/01/2025 09:40"/>
  </r>
  <r>
    <x v="16"/>
    <x v="16"/>
    <n v="250"/>
    <n v="1"/>
    <n v="0"/>
    <s v="EPF83"/>
    <n v="250"/>
    <n v="0"/>
    <s v="ร้านที่4"/>
    <s v="ส***งศรี  จ***ร์กมล"/>
    <s v="นครพนม"/>
    <s v="-"/>
    <s v=""/>
    <s v="01/01/2025 09:36"/>
    <s v="-"/>
    <s v="Flash Express Thailand COD"/>
    <s v="Tiktok"/>
    <s v="จ่ายทีหลัง / COD"/>
    <s v=""/>
    <s v="THT45051DNPC69Z"/>
    <s v="01/01/2025 09:36"/>
  </r>
  <r>
    <x v="19"/>
    <x v="19"/>
    <n v="199"/>
    <n v="1"/>
    <n v="0"/>
    <s v="EPF82"/>
    <n v="244"/>
    <n v="45"/>
    <s v="ร้านที่1"/>
    <s v="(******า"/>
    <s v="****** ตำบลท่ามะกา อำเภอท่ามะกา จังหวัดกาญจนบุรี 71120"/>
    <s v="71120"/>
    <s v="36"/>
    <s v="01/01/2025 10:05"/>
    <s v="-"/>
    <s v="SPX Express"/>
    <s v="Shopee"/>
    <s v="shopee"/>
    <s v=""/>
    <s v="TH255516231450Y"/>
    <s v="01/01/2025 09:35"/>
  </r>
  <r>
    <x v="29"/>
    <x v="36"/>
    <n v="330"/>
    <n v="2"/>
    <n v="0"/>
    <s v="EPF81"/>
    <n v="1320"/>
    <n v="0"/>
    <s v="ร้านที่4"/>
    <s v="จ***ภรณ์ ก***สง"/>
    <s v="เชียงใหม่"/>
    <s v="-"/>
    <s v=""/>
    <s v="01/01/2025 09:33"/>
    <s v="-"/>
    <s v="Flash Express Thailand COD"/>
    <s v="Tiktok"/>
    <s v="จ่ายทีหลัง / COD"/>
    <s v=""/>
    <s v="THT47071DNZAY7Z"/>
    <s v="01/01/2025 09:33"/>
  </r>
  <r>
    <x v="33"/>
    <x v="43"/>
    <n v="330"/>
    <n v="2"/>
    <n v="0"/>
    <s v="EPF81"/>
    <n v="1320"/>
    <n v="0"/>
    <s v="ร้านที่4"/>
    <s v="จ***ภรณ์ ก***สง"/>
    <s v="เชียงใหม่"/>
    <s v="-"/>
    <s v=""/>
    <s v="01/01/2025 09:33"/>
    <s v="-"/>
    <s v="Flash Express Thailand COD"/>
    <s v="Tiktok"/>
    <s v="จ่ายทีหลัง / COD"/>
    <s v=""/>
    <s v="THT47071DNZAY7Z"/>
    <s v="01/01/2025 09:33"/>
  </r>
  <r>
    <x v="5"/>
    <x v="5"/>
    <n v="330"/>
    <n v="1"/>
    <n v="0"/>
    <s v="EPF80"/>
    <n v="330"/>
    <n v="0"/>
    <s v="ร้านที่1"/>
    <s v="ส***สา อ***จันทึก"/>
    <s v="เทศบาลนครนครราชสีมา"/>
    <s v="-"/>
    <s v=""/>
    <s v="01/01/2025 09:33"/>
    <s v="-"/>
    <s v="J&amp;T Express"/>
    <s v="Tiktok"/>
    <s v="tiktok"/>
    <s v=""/>
    <s v="754256385245"/>
    <s v="01/01/2025 09:33"/>
  </r>
  <r>
    <x v="59"/>
    <x v="84"/>
    <n v="100"/>
    <n v="2"/>
    <n v="0"/>
    <s v="EPF79"/>
    <n v="200"/>
    <n v="0"/>
    <s v="ร้านที่4"/>
    <s v="ส***ญญา ก***มัย"/>
    <s v="นครปฐม"/>
    <s v="-"/>
    <s v=""/>
    <s v="01/01/2025 09:31"/>
    <s v="-"/>
    <s v="Flash Express Thailand COD"/>
    <s v="Tiktok"/>
    <s v="จ่ายทีหลัง / COD"/>
    <s v=""/>
    <s v="THT15061DNR5G9Z"/>
    <s v="01/01/2025 09:31"/>
  </r>
  <r>
    <x v="1"/>
    <x v="1"/>
    <n v="200"/>
    <n v="1"/>
    <n v="0"/>
    <s v="EPF78"/>
    <n v="200"/>
    <n v="0"/>
    <s v="ร้านที่4"/>
    <s v="ม***วรรณ ป***ินทร์"/>
    <s v="สุพรรณบุรี"/>
    <s v="-"/>
    <s v=""/>
    <s v="01/01/2025 09:31"/>
    <s v="-"/>
    <s v="Flash Express Thailand"/>
    <s v="Tiktok"/>
    <s v="tiktok"/>
    <s v=""/>
    <s v="THT14021DP1881Z"/>
    <s v="01/01/2025 09:30"/>
  </r>
  <r>
    <x v="0"/>
    <x v="0"/>
    <n v="100"/>
    <n v="1"/>
    <n v="0"/>
    <s v="EPF77"/>
    <n v="100"/>
    <n v="0"/>
    <s v="ร้านที่1"/>
    <s v="ส***สา เ***ดี"/>
    <s v="สระบุรี"/>
    <s v="-"/>
    <s v=""/>
    <s v="01/01/2025 09:29"/>
    <s v="-"/>
    <s v="J&amp;T COD"/>
    <s v="Tiktok"/>
    <s v="จ่ายทีหลัง / COD"/>
    <s v=""/>
    <s v="754240542215"/>
    <s v="01/01/2025 09:29"/>
  </r>
  <r>
    <x v="19"/>
    <x v="19"/>
    <n v="199"/>
    <n v="3"/>
    <n v="0"/>
    <s v="EPF75"/>
    <n v="676"/>
    <n v="79"/>
    <s v="ร้านที่1"/>
    <s v="ช******ล"/>
    <s v="******เอน, อำเภออินทร์บุรี ตำบลทองเอน อำเภออินทร์บุรี จังหวัดสิงห์บุรี 16110"/>
    <s v="16110"/>
    <s v="62"/>
    <s v="01/01/2025 09:28"/>
    <s v="-"/>
    <s v="SPX Express"/>
    <s v="Shopee"/>
    <s v="shopee"/>
    <s v=""/>
    <s v="TH2534306171351"/>
    <s v="01/01/2025 09:27"/>
  </r>
  <r>
    <x v="0"/>
    <x v="0"/>
    <n v="100"/>
    <n v="1"/>
    <n v="0"/>
    <s v="EPF74"/>
    <n v="106"/>
    <n v="6"/>
    <s v="ร้านที่1"/>
    <s v="ป***า  ว***ลี"/>
    <s v="ระยอง"/>
    <s v="-"/>
    <s v=""/>
    <s v="01/01/2025 09:28"/>
    <s v="-"/>
    <s v="J&amp;T Express"/>
    <s v="Tiktok"/>
    <s v="tiktok"/>
    <s v=""/>
    <s v="754225950240"/>
    <s v="01/01/2025 09:27"/>
  </r>
  <r>
    <x v="0"/>
    <x v="0"/>
    <n v="100"/>
    <n v="1"/>
    <n v="0"/>
    <s v="EPF72"/>
    <n v="106"/>
    <n v="6"/>
    <s v="ร้านที่1"/>
    <s v="อ***ุลรอพี........เจ้ะแม"/>
    <s v="ยะลา"/>
    <s v="-"/>
    <s v=""/>
    <s v="01/01/2025 09:27"/>
    <s v="-"/>
    <s v="J&amp;T COD"/>
    <s v="Tiktok"/>
    <s v="จ่ายทีหลัง / COD"/>
    <s v=""/>
    <s v="754203940221"/>
    <s v="01/01/2025 09:27"/>
  </r>
  <r>
    <x v="0"/>
    <x v="0"/>
    <n v="100"/>
    <n v="1"/>
    <n v="0"/>
    <s v="EPF71"/>
    <n v="106"/>
    <n v="6"/>
    <s v="ร้านที่2"/>
    <s v="ว***ม์ ท***สน"/>
    <s v="กรุงเทพมหานคร"/>
    <s v="-"/>
    <s v=""/>
    <s v="01/01/2025 09:26"/>
    <s v="-"/>
    <s v="Flash Express Thailand COD"/>
    <s v="Tiktok"/>
    <s v="จ่ายทีหลัง / COD"/>
    <s v=""/>
    <s v="THT01181DNQX87Z"/>
    <s v="01/01/2025 09:26"/>
  </r>
  <r>
    <x v="0"/>
    <x v="0"/>
    <n v="100"/>
    <n v="1"/>
    <n v="0"/>
    <s v="EPF70"/>
    <n v="106"/>
    <n v="6"/>
    <s v="ร้านที่1"/>
    <s v="ป***า  ว***แก้ว"/>
    <s v="ตรัง"/>
    <s v="-"/>
    <s v=""/>
    <s v="01/01/2025 09:25"/>
    <s v="-"/>
    <s v="J&amp;T COD"/>
    <s v="Tiktok"/>
    <s v="จ่ายทีหลัง / COD"/>
    <s v=""/>
    <s v="754202445290"/>
    <s v="01/01/2025 09:26"/>
  </r>
  <r>
    <x v="9"/>
    <x v="4"/>
    <n v="100"/>
    <n v="1"/>
    <n v="0"/>
    <s v="EPF69"/>
    <n v="100"/>
    <n v="0"/>
    <s v="ร้านที่1"/>
    <s v="ม*** โ***์ที"/>
    <s v="สิงห์บุรี"/>
    <s v="-"/>
    <s v=""/>
    <s v="01/01/2025 09:24"/>
    <s v="-"/>
    <s v="J&amp;T COD"/>
    <s v="Tiktok"/>
    <s v="จ่ายทีหลัง / COD"/>
    <s v=""/>
    <s v="754271166250"/>
    <s v="01/01/2025 09:24"/>
  </r>
  <r>
    <x v="34"/>
    <x v="45"/>
    <n v="305.5"/>
    <n v="1"/>
    <n v="0"/>
    <s v="EPF68"/>
    <n v="344.5"/>
    <n v="39"/>
    <s v="ร้านที่1"/>
    <s v="สุกัญญา พลวัฒน์"/>
    <s v="22/9ม.4ต.บางรัก(คอกวัวชนบ่าวฉิ้นบ่าวสา_x000a__x000a_เมืองตรัง/ Mueang Trangตรัง/ Trang_x000a_92000"/>
    <s v="92000"/>
    <s v="660824335665"/>
    <s v="01/01/2025 09:26"/>
    <s v="-"/>
    <s v="Kerry_dropoff"/>
    <s v="Lazada"/>
    <s v="lazada"/>
    <s v=""/>
    <s v="LEXPU0440624825"/>
    <s v="01/01/2025 09:24"/>
  </r>
  <r>
    <x v="0"/>
    <x v="0"/>
    <n v="100"/>
    <n v="1"/>
    <n v="0"/>
    <s v="EPF67"/>
    <n v="100"/>
    <n v="0"/>
    <s v="ร้านที่4"/>
    <s v="ท***ี   ส***รณอาจ"/>
    <s v="อุทัยธานี"/>
    <s v="-"/>
    <s v=""/>
    <s v="01/01/2025 09:22"/>
    <s v="-"/>
    <s v="Flash Express Thailand"/>
    <s v="Tiktok"/>
    <s v="tiktok"/>
    <s v=""/>
    <s v="THT57071DNQUV9Z"/>
    <s v="01/01/2025 09:22"/>
  </r>
  <r>
    <x v="19"/>
    <x v="19"/>
    <n v="250"/>
    <n v="1"/>
    <n v="0"/>
    <s v="EPF66"/>
    <n v="250"/>
    <n v="0"/>
    <s v="ร้านที่4"/>
    <s v="ส***ญญา"/>
    <s v="แม่ฮ่องสอน"/>
    <s v="-"/>
    <s v=""/>
    <s v="01/01/2025 09:21"/>
    <s v="-"/>
    <s v="Flash Express Thailand COD"/>
    <s v="Tiktok"/>
    <s v="จ่ายทีหลัง / COD"/>
    <s v=""/>
    <s v="THT55051DNP7K9Z"/>
    <s v="01/01/2025 09:21"/>
  </r>
  <r>
    <x v="4"/>
    <x v="4"/>
    <n v="100"/>
    <n v="1"/>
    <n v="0"/>
    <s v="EPF65"/>
    <n v="200"/>
    <n v="0"/>
    <s v="ร้านที่2"/>
    <s v="ป***รัตน์"/>
    <s v="สมุทรปราการ"/>
    <s v="-"/>
    <s v=""/>
    <s v="01/01/2025 09:17"/>
    <s v="-"/>
    <s v="J&amp;T COD"/>
    <s v="Tiktok"/>
    <s v="จ่ายทีหลัง / COD"/>
    <s v=""/>
    <s v="754282838352"/>
    <s v="01/01/2025 09:18"/>
  </r>
  <r>
    <x v="9"/>
    <x v="4"/>
    <n v="100"/>
    <n v="1"/>
    <n v="0"/>
    <s v="EPF65"/>
    <n v="200"/>
    <n v="0"/>
    <s v="ร้านที่2"/>
    <s v="ป***รัตน์"/>
    <s v="สมุทรปราการ"/>
    <s v="-"/>
    <s v=""/>
    <s v="01/01/2025 09:17"/>
    <s v="-"/>
    <s v="J&amp;T COD"/>
    <s v="Tiktok"/>
    <s v="จ่ายทีหลัง / COD"/>
    <s v=""/>
    <s v="754282838352"/>
    <s v="01/01/2025 09:18"/>
  </r>
  <r>
    <x v="9"/>
    <x v="4"/>
    <n v="100"/>
    <n v="1"/>
    <n v="0"/>
    <s v="EPF64"/>
    <n v="300"/>
    <n v="0"/>
    <s v="ร้านที่4"/>
    <s v="ศ***รัตน์ เ***อนอิ่ม"/>
    <s v="กรุงเทพฯ"/>
    <s v="-"/>
    <s v=""/>
    <s v="01/01/2025 09:18"/>
    <s v="-"/>
    <s v="Flash Express Thailand"/>
    <s v="Tiktok"/>
    <s v="tiktok"/>
    <s v=""/>
    <s v="THT01361DP2PT7Z"/>
    <s v="01/01/2025 09:17"/>
  </r>
  <r>
    <x v="4"/>
    <x v="4"/>
    <n v="100"/>
    <n v="2"/>
    <n v="0"/>
    <s v="EPF64"/>
    <n v="300"/>
    <n v="0"/>
    <s v="ร้านที่4"/>
    <s v="ศ***รัตน์ เ***อนอิ่ม"/>
    <s v="กรุงเทพฯ"/>
    <s v="-"/>
    <s v=""/>
    <s v="01/01/2025 09:18"/>
    <s v="-"/>
    <s v="Flash Express Thailand"/>
    <s v="Tiktok"/>
    <s v="tiktok"/>
    <s v=""/>
    <s v="THT01361DP2PT7Z"/>
    <s v="01/01/2025 09:17"/>
  </r>
  <r>
    <x v="0"/>
    <x v="0"/>
    <n v="100"/>
    <n v="1"/>
    <n v="0"/>
    <s v="EPF63"/>
    <n v="100"/>
    <n v="0"/>
    <s v="ร้านที่4"/>
    <s v="ว***กร   ส***า"/>
    <s v="เทศบาลนครนครปฐม"/>
    <s v="-"/>
    <s v=""/>
    <s v="01/01/2025 09:17"/>
    <s v="-"/>
    <s v="Flash Express Thailand"/>
    <s v="Tiktok"/>
    <s v="tiktok"/>
    <s v=""/>
    <s v="THT15061DP1CX0Z"/>
    <s v="01/01/2025 09:17"/>
  </r>
  <r>
    <x v="3"/>
    <x v="8"/>
    <n v="69.650000000000006"/>
    <n v="1"/>
    <n v="0"/>
    <s v="EPF62"/>
    <n v="74.650000000000006"/>
    <n v="5"/>
    <s v="ร้านที่6"/>
    <s v="ประภาดา ศุภสุธีกุล"/>
    <s v="40/3896 ประชานิเวศน์ 3  ซอย 8/2 ถนนสามัคคี  ต.ท่าทราย_x000a__x000a_เมืองนนทบุรี/ Mueang Nonthaburiนนทบุรี/ Nonthaburi_x000a_11000"/>
    <s v="11000"/>
    <s v="660988826549"/>
    <s v="01/01/2025 09:18"/>
    <s v="-"/>
    <s v="Kerry_dropoff"/>
    <s v="Lazada"/>
    <s v="lazada"/>
    <s v=""/>
    <s v="LEXPU0440630066"/>
    <s v="01/01/2025 09:16"/>
  </r>
  <r>
    <x v="4"/>
    <x v="4"/>
    <n v="100"/>
    <n v="1"/>
    <n v="0"/>
    <s v="EPF61"/>
    <n v="200"/>
    <n v="0"/>
    <s v="ร้านที่2"/>
    <s v="ส***สา  ก***ือ"/>
    <s v="ฉะเชิงเทรา"/>
    <s v="-"/>
    <s v=""/>
    <s v="01/01/2025 09:16"/>
    <s v="-"/>
    <s v="J&amp;T COD"/>
    <s v="Tiktok"/>
    <s v="จ่ายทีหลัง / COD"/>
    <s v=""/>
    <s v="754272921371"/>
    <s v="01/01/2025 09:16"/>
  </r>
  <r>
    <x v="9"/>
    <x v="4"/>
    <n v="100"/>
    <n v="1"/>
    <n v="0"/>
    <s v="EPF61"/>
    <n v="200"/>
    <n v="0"/>
    <s v="ร้านที่2"/>
    <s v="ส***สา  ก***ือ"/>
    <s v="ฉะเชิงเทรา"/>
    <s v="-"/>
    <s v=""/>
    <s v="01/01/2025 09:16"/>
    <s v="-"/>
    <s v="J&amp;T COD"/>
    <s v="Tiktok"/>
    <s v="จ่ายทีหลัง / COD"/>
    <s v=""/>
    <s v="754272921371"/>
    <s v="01/01/2025 09:16"/>
  </r>
  <r>
    <x v="4"/>
    <x v="4"/>
    <n v="100"/>
    <n v="2"/>
    <n v="0"/>
    <s v="EPF60"/>
    <n v="206"/>
    <n v="6"/>
    <s v="ร้านที่2"/>
    <s v="ก***มา ท***ิเวก"/>
    <s v="เทศบาลเมืองจันทบุรี"/>
    <s v="-"/>
    <s v=""/>
    <s v="01/01/2025 09:15"/>
    <s v="-"/>
    <s v="J&amp;T COD"/>
    <s v="Tiktok"/>
    <s v="จ่ายทีหลัง / COD"/>
    <s v=""/>
    <s v="754285625391"/>
    <s v="01/01/2025 09:15"/>
  </r>
  <r>
    <x v="10"/>
    <x v="10"/>
    <n v="200"/>
    <n v="1"/>
    <n v="0"/>
    <s v="EPF59"/>
    <n v="200"/>
    <n v="0"/>
    <s v="ร้านที่1"/>
    <s v="ค***ุ้ม"/>
    <s v="ชลบุรี"/>
    <s v="-"/>
    <s v=""/>
    <s v="01/01/2025 09:15"/>
    <s v="-"/>
    <s v="J&amp;T COD"/>
    <s v="Tiktok"/>
    <s v="จ่ายทีหลัง / COD"/>
    <s v=""/>
    <s v="754232637340"/>
    <s v="01/01/2025 09:15"/>
  </r>
  <r>
    <x v="4"/>
    <x v="4"/>
    <n v="100"/>
    <n v="1"/>
    <n v="0"/>
    <s v="EPF58"/>
    <n v="200"/>
    <n v="0"/>
    <s v="ร้านที่1"/>
    <s v="ว***รัตน์  บ***ลาง"/>
    <s v="นครราชสีมา"/>
    <s v="-"/>
    <s v=""/>
    <s v="01/01/2025 09:13"/>
    <s v="-"/>
    <s v="J&amp;T COD"/>
    <s v="Tiktok"/>
    <s v="จ่ายทีหลัง / COD"/>
    <s v=""/>
    <s v="754299635342"/>
    <s v="01/01/2025 09:14"/>
  </r>
  <r>
    <x v="9"/>
    <x v="4"/>
    <n v="100"/>
    <n v="1"/>
    <n v="0"/>
    <s v="EPF58"/>
    <n v="200"/>
    <n v="0"/>
    <s v="ร้านที่1"/>
    <s v="ว***รัตน์  บ***ลาง"/>
    <s v="นครราชสีมา"/>
    <s v="-"/>
    <s v=""/>
    <s v="01/01/2025 09:13"/>
    <s v="-"/>
    <s v="J&amp;T COD"/>
    <s v="Tiktok"/>
    <s v="จ่ายทีหลัง / COD"/>
    <s v=""/>
    <s v="754299635342"/>
    <s v="01/01/2025 09:14"/>
  </r>
  <r>
    <x v="0"/>
    <x v="0"/>
    <n v="100"/>
    <n v="1"/>
    <n v="0"/>
    <s v="EPF57"/>
    <n v="129"/>
    <n v="29"/>
    <s v="ร้านที่4"/>
    <s v="น***ุกัญญา ส***"/>
    <s v="พิจิตร"/>
    <s v="-"/>
    <s v=""/>
    <s v="01/01/2025 09:11"/>
    <s v="-"/>
    <s v="Flash Express Thailand COD"/>
    <s v="Tiktok"/>
    <s v="จ่ายทีหลัง / COD"/>
    <s v=""/>
    <s v="THT62041DNQT89Z"/>
    <s v="01/01/2025 09:11"/>
  </r>
  <r>
    <x v="32"/>
    <x v="53"/>
    <n v="199"/>
    <n v="1"/>
    <n v="0"/>
    <s v="EPF56"/>
    <n v="240"/>
    <n v="41"/>
    <s v="ร้านที่1"/>
    <s v="ฮ******ย"/>
    <s v="******ภอรัตภูมิ (บ้านขวามือรร.บ้านควนสะตอตรงยูเทิร์น) ตำบลท่าชะมวง อำเภอรัตภูมิ จังหวัดสงขลา 90180"/>
    <s v="90180"/>
    <s v="57"/>
    <s v="01/01/2025 09:41"/>
    <s v="-"/>
    <s v="SPX Express"/>
    <s v="Shopee"/>
    <s v="shopee"/>
    <s v=""/>
    <s v="TH2596938573444"/>
    <s v="01/01/2025 09:10"/>
  </r>
  <r>
    <x v="4"/>
    <x v="4"/>
    <n v="150"/>
    <n v="2"/>
    <n v="0"/>
    <s v="EPF55"/>
    <n v="345"/>
    <n v="45"/>
    <s v="ร้านที่1"/>
    <s v="ณ******ฐ"/>
    <s v="******บลบ่อแดง อำเภอสทิงพระ จังหวัดสงขลา 90190"/>
    <s v="90190"/>
    <s v="96"/>
    <s v="01/01/2025 09:40"/>
    <s v="-"/>
    <s v="SPX Express"/>
    <s v="Shopee"/>
    <s v="shopee"/>
    <s v=""/>
    <s v="TH257673262013S"/>
    <s v="01/01/2025 09:10"/>
  </r>
  <r>
    <x v="59"/>
    <x v="84"/>
    <n v="100"/>
    <n v="1"/>
    <n v="0"/>
    <s v="EPF54"/>
    <n v="125"/>
    <n v="25"/>
    <s v="ร้านที่4"/>
    <s v="ส***รณี ช***วาน"/>
    <s v="พัทลุง"/>
    <s v="-"/>
    <s v=""/>
    <s v="01/01/2025 09:08"/>
    <s v="-"/>
    <s v="Flash Express Thailand COD"/>
    <s v="Tiktok"/>
    <s v="จ่ายทีหลัง / COD"/>
    <s v=""/>
    <s v="THT74091DP4177Z"/>
    <s v="01/01/2025 09:08"/>
  </r>
  <r>
    <x v="59"/>
    <x v="84"/>
    <n v="100"/>
    <n v="1"/>
    <n v="0"/>
    <s v="EPF53"/>
    <n v="125"/>
    <n v="25"/>
    <s v="ร้านที่4"/>
    <s v="ป***ิศา ศ***ิลป์"/>
    <s v="ระนอง"/>
    <s v="-"/>
    <s v=""/>
    <s v="01/01/2025 09:07"/>
    <s v="-"/>
    <s v="Flash Express Thailand COD"/>
    <s v="Tiktok"/>
    <s v="จ่ายทีหลัง / COD"/>
    <s v=""/>
    <s v="THT69041DP4DV7Z"/>
    <s v="01/01/2025 09:08"/>
  </r>
  <r>
    <x v="59"/>
    <x v="84"/>
    <n v="100"/>
    <n v="1"/>
    <n v="0"/>
    <s v="EPF52"/>
    <n v="125"/>
    <n v="25"/>
    <s v="ร้านที่4"/>
    <s v="ส***รณี ป***ิต"/>
    <s v="ปราจีนบุรี"/>
    <s v="-"/>
    <s v=""/>
    <s v="01/01/2025 09:07"/>
    <s v="-"/>
    <s v="Flash Express Thailand COD"/>
    <s v="Tiktok"/>
    <s v="จ่ายทีหลัง / COD"/>
    <s v=""/>
    <s v="THT25061DPFBJ0Z"/>
    <s v="01/01/2025 09:08"/>
  </r>
  <r>
    <x v="59"/>
    <x v="84"/>
    <n v="100"/>
    <n v="1"/>
    <n v="0"/>
    <s v="EPF51"/>
    <n v="125"/>
    <n v="25"/>
    <s v="ร้านที่1"/>
    <s v="ก***ารัตน์ทานสุทัด"/>
    <s v="ชัยภูมิ"/>
    <s v="-"/>
    <s v=""/>
    <s v="01/01/2025 09:06"/>
    <s v="-"/>
    <s v="J&amp;T COD"/>
    <s v="Tiktok"/>
    <s v="จ่ายทีหลัง / COD"/>
    <s v=""/>
    <s v="754224894216"/>
    <s v="01/01/2025 09:06"/>
  </r>
  <r>
    <x v="13"/>
    <x v="30"/>
    <n v="179.85"/>
    <n v="1"/>
    <n v="0"/>
    <s v="EPF50"/>
    <n v="184.85"/>
    <n v="5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01/01/2025 09:04"/>
    <s v="-"/>
    <s v="Kerry_dropoff"/>
    <s v="Lazada"/>
    <s v="lazada"/>
    <s v=""/>
    <s v="LEXDO0123548133"/>
    <s v="01/01/2025 09:04"/>
  </r>
  <r>
    <x v="0"/>
    <x v="0"/>
    <n v="100"/>
    <n v="3"/>
    <n v="0"/>
    <s v="EPF48"/>
    <n v="300"/>
    <n v="0"/>
    <s v="ร้านที่4"/>
    <s v="ส***นทา ข***ษ์"/>
    <s v="พิจิตร"/>
    <s v="-"/>
    <s v=""/>
    <s v="01/01/2025 09:01"/>
    <s v="-"/>
    <s v="Flash Express Thailand COD"/>
    <s v="Tiktok"/>
    <s v="จ่ายทีหลัง / COD"/>
    <s v=""/>
    <s v="THT62061DPATQ6Z"/>
    <s v="01/01/2025 09:01"/>
  </r>
  <r>
    <x v="4"/>
    <x v="4"/>
    <n v="100"/>
    <n v="2"/>
    <n v="0"/>
    <s v="EPF47"/>
    <n v="206"/>
    <n v="6"/>
    <s v="ร้านที่1"/>
    <s v="เ***มพล เ***ยมกัน"/>
    <s v="สมุทรปราการ"/>
    <s v="-"/>
    <s v=""/>
    <s v="01/01/2025 09:01"/>
    <s v="-"/>
    <s v="J&amp;T Express"/>
    <s v="Tiktok"/>
    <s v="tiktok"/>
    <s v=""/>
    <s v="754244326323"/>
    <s v="01/01/2025 09:01"/>
  </r>
  <r>
    <x v="19"/>
    <x v="19"/>
    <n v="199"/>
    <n v="1"/>
    <n v="0"/>
    <s v="EPF46"/>
    <n v="244"/>
    <n v="45"/>
    <s v="ร้านที่1"/>
    <s v="ก******ฐ"/>
    <s v="******นะ  หมู่ที่ 3 ตำบล คลองพระอุดม  อำเภอ ปากเกร็ด จังหวัด นนทบุรี ตำบลคลองพระอุดม อำเภอปากเกร็ด จังหวัดนนทบุรี 11120"/>
    <s v="11120"/>
    <s v="22"/>
    <s v="01/01/2025 09:29"/>
    <s v="-"/>
    <s v="SPX Express"/>
    <s v="Shopee"/>
    <s v="shopee"/>
    <s v=""/>
    <s v="TH2582808287666"/>
    <s v="01/01/2025 08:59"/>
  </r>
  <r>
    <x v="10"/>
    <x v="10"/>
    <n v="200"/>
    <n v="1"/>
    <n v="0"/>
    <s v="EPF45"/>
    <n v="200"/>
    <n v="0"/>
    <s v="ร้านที่4"/>
    <s v="อ***า ม***รรณ"/>
    <s v="กรุงเทพฯ"/>
    <s v="-"/>
    <s v=""/>
    <s v="01/01/2025 08:59"/>
    <s v="-"/>
    <s v="Flash Express Thailand COD"/>
    <s v="Tiktok"/>
    <s v="จ่ายทีหลัง / COD"/>
    <s v=""/>
    <s v="THT01491DNRNU3Z"/>
    <s v="01/01/2025 08:59"/>
  </r>
  <r>
    <x v="59"/>
    <x v="84"/>
    <n v="100"/>
    <n v="2"/>
    <n v="0"/>
    <s v="EPF44"/>
    <n v="200"/>
    <n v="0"/>
    <s v="ร้านที่4"/>
    <s v="ป***​ ต***ประสิทธิ์"/>
    <s v="ปราจีนบุรี"/>
    <s v="-"/>
    <s v=""/>
    <s v="01/01/2025 08:58"/>
    <s v="-"/>
    <s v="Flash Express Thailand COD"/>
    <s v="Tiktok"/>
    <s v="จ่ายทีหลัง / COD"/>
    <s v=""/>
    <s v="THT25071DNRA69Z"/>
    <s v="01/01/2025 08:59"/>
  </r>
  <r>
    <x v="0"/>
    <x v="0"/>
    <n v="100"/>
    <n v="1"/>
    <n v="0"/>
    <s v="EPF43"/>
    <n v="106"/>
    <n v="6"/>
    <s v="ร้านที่1"/>
    <s v="u***7245181622344"/>
    <s v="สมุทรปราการ"/>
    <s v="-"/>
    <s v=""/>
    <s v="01/01/2025 08:58"/>
    <s v="-"/>
    <s v="J&amp;T COD"/>
    <s v="Tiktok"/>
    <s v="จ่ายทีหลัง / COD"/>
    <s v=""/>
    <s v="754208850216"/>
    <s v="01/01/2025 08:58"/>
  </r>
  <r>
    <x v="4"/>
    <x v="4"/>
    <n v="100"/>
    <n v="1"/>
    <n v="0"/>
    <s v="EPF42"/>
    <n v="200"/>
    <n v="0"/>
    <s v="ร้านที่1"/>
    <s v="ส***รัตน์  พ***ช"/>
    <s v="สุราษฎร์ธานี"/>
    <s v="-"/>
    <s v=""/>
    <s v="01/01/2025 08:55"/>
    <s v="-"/>
    <s v="J&amp;T COD"/>
    <s v="Tiktok"/>
    <s v="จ่ายทีหลัง / COD"/>
    <s v=""/>
    <s v="754269231343"/>
    <s v="01/01/2025 08:56"/>
  </r>
  <r>
    <x v="9"/>
    <x v="4"/>
    <n v="100"/>
    <n v="1"/>
    <n v="0"/>
    <s v="EPF42"/>
    <n v="200"/>
    <n v="0"/>
    <s v="ร้านที่1"/>
    <s v="ส***รัตน์  พ***ช"/>
    <s v="สุราษฎร์ธานี"/>
    <s v="-"/>
    <s v=""/>
    <s v="01/01/2025 08:55"/>
    <s v="-"/>
    <s v="J&amp;T COD"/>
    <s v="Tiktok"/>
    <s v="จ่ายทีหลัง / COD"/>
    <s v=""/>
    <s v="754269231343"/>
    <s v="01/01/2025 08:56"/>
  </r>
  <r>
    <x v="3"/>
    <x v="8"/>
    <n v="84"/>
    <n v="1"/>
    <n v="0"/>
    <s v="EPF41"/>
    <n v="103"/>
    <n v="0"/>
    <s v="ร้านที่6"/>
    <s v="ธัญญ์นภัส สินวัฒนศิริสุข"/>
    <s v="บริษัท URC  1/123 ม.2 ต.ท่าทราย_x000a__x000a_เมืองสมุทรสาคร/ Mueang Samut Sakhonสมุทรสาคร/ Samut Sakhon_x000a_74000"/>
    <s v="74000"/>
    <s v="660944857330"/>
    <s v="01/01/2025 08:55"/>
    <s v="-"/>
    <s v="Kerry_dropoff"/>
    <s v="Lazada"/>
    <s v="lazada"/>
    <s v=""/>
    <s v="LEXPU0440640130"/>
    <s v="01/01/2025 08:55"/>
  </r>
  <r>
    <x v="2"/>
    <x v="82"/>
    <n v="100"/>
    <n v="2"/>
    <n v="0"/>
    <s v="EPF40"/>
    <n v="200"/>
    <n v="0"/>
    <s v="ร้านที่4"/>
    <s v="ว***ย เ***งนวด"/>
    <s v="พังงา"/>
    <s v="-"/>
    <s v=""/>
    <s v="01/01/2025 08:55"/>
    <s v="-"/>
    <s v="Flash Express Thailand"/>
    <s v="Tiktok"/>
    <s v="tiktok"/>
    <s v=""/>
    <s v="THT66081DNR8K9Z"/>
    <s v="01/01/2025 08:55"/>
  </r>
  <r>
    <x v="1"/>
    <x v="1"/>
    <n v="200"/>
    <n v="1"/>
    <n v="0"/>
    <s v="EPF38"/>
    <n v="200"/>
    <n v="0"/>
    <s v="ร้านที่1"/>
    <s v="ร***ัตน์ ภ***ัง"/>
    <s v="สมุทรปราการ"/>
    <s v="-"/>
    <s v=""/>
    <s v="01/01/2025 08:53"/>
    <s v="-"/>
    <s v="J&amp;T COD"/>
    <s v="Tiktok"/>
    <s v="จ่ายทีหลัง / COD"/>
    <s v=""/>
    <s v="754249599213"/>
    <s v="01/01/2025 08:53"/>
  </r>
  <r>
    <x v="24"/>
    <x v="76"/>
    <n v="539.5"/>
    <n v="1"/>
    <n v="0"/>
    <s v="EPF36"/>
    <n v="578.5"/>
    <n v="39"/>
    <s v="ร้านที่1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01/01/2025 08:52"/>
    <s v="-"/>
    <s v="Kerry_dropoff"/>
    <s v="Lazada"/>
    <s v="lazada"/>
    <s v=""/>
    <s v="LEXPU0440641176"/>
    <s v="01/01/2025 08:52"/>
  </r>
  <r>
    <x v="44"/>
    <x v="18"/>
    <n v="450"/>
    <n v="1"/>
    <n v="0"/>
    <s v="EPF35"/>
    <n v="495"/>
    <n v="45"/>
    <s v="ร้านที่1"/>
    <s v="นายนทีธร  ชุลีกราน"/>
    <s v="1548/277 เอลลิโอ เดล มอสส์ ซอยพหลโยธิน 34 แขวงเสนานิคม_x000a__x000a_จตุจักร/ Chatuchakกรุงเทพมหานคร/ Bangkok_x000a_10900"/>
    <s v="10900"/>
    <s v="660621633616"/>
    <s v="01/01/2025 08:51"/>
    <s v="-"/>
    <s v="Kerry_dropoff"/>
    <s v="Lazada"/>
    <s v="lazada"/>
    <s v=""/>
    <s v="LEXPU0440649891"/>
    <s v="01/01/2025 08:51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3"/>
    <x v="8"/>
    <n v="84"/>
    <n v="1"/>
    <n v="0"/>
    <s v="EPF34"/>
    <n v="257"/>
    <n v="5"/>
    <s v="ร้านที่6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1/2025 08:50"/>
    <s v="-"/>
    <s v="Kerry_dropoff"/>
    <s v="Lazada"/>
    <s v="lazada"/>
    <s v=""/>
    <s v="LEXPU0440642392"/>
    <s v="01/01/2025 08:50"/>
  </r>
  <r>
    <x v="19"/>
    <x v="19"/>
    <n v="199"/>
    <n v="2"/>
    <n v="0"/>
    <s v="EPF33"/>
    <n v="433"/>
    <n v="35"/>
    <s v="ร้านที่1"/>
    <s v="จ******น"/>
    <s v="******ไม้ตรา อำเภอบางไทร จังหวัดพระนครศรีอยุธยา 13190"/>
    <s v="13190"/>
    <s v="25"/>
    <s v="01/01/2025 09:20"/>
    <s v="-"/>
    <s v="SPX Express"/>
    <s v="Shopee"/>
    <s v="shopee"/>
    <s v=""/>
    <s v="TH2506319105955"/>
    <s v="01/01/2025 08:50"/>
  </r>
  <r>
    <x v="29"/>
    <x v="36"/>
    <n v="330"/>
    <n v="1"/>
    <n v="0"/>
    <s v="EPF30"/>
    <n v="330"/>
    <n v="0"/>
    <s v="ร้านที่4"/>
    <s v="ป***กี้"/>
    <s v="นครราชสีมา"/>
    <s v="-"/>
    <s v=""/>
    <s v="01/01/2025 08:43"/>
    <s v="-"/>
    <s v="Flash Express Thailand"/>
    <s v="Tiktok"/>
    <s v="tiktok"/>
    <s v=""/>
    <s v="THT27071DPGB28Z"/>
    <s v="01/01/2025 08:43"/>
  </r>
  <r>
    <x v="9"/>
    <x v="4"/>
    <n v="100"/>
    <n v="1"/>
    <n v="0"/>
    <s v="EPF29"/>
    <n v="106"/>
    <n v="6"/>
    <s v="ร้านที่1"/>
    <s v="ว***า ข***ุ้ย"/>
    <s v="สมุทรปราการ"/>
    <s v="-"/>
    <s v=""/>
    <s v="01/01/2025 08:41"/>
    <s v="-"/>
    <s v="J&amp;T COD"/>
    <s v="Tiktok"/>
    <s v="จ่ายทีหลัง / COD"/>
    <s v=""/>
    <s v="754217164234"/>
    <s v="01/01/2025 08:42"/>
  </r>
  <r>
    <x v="9"/>
    <x v="4"/>
    <n v="100"/>
    <n v="3"/>
    <n v="0"/>
    <s v="EPF27"/>
    <n v="300"/>
    <n v="0"/>
    <s v="ร้านที่2"/>
    <s v="น***วราวรรณ ล***ยบาป"/>
    <s v="ลพบุรี"/>
    <s v="-"/>
    <s v=""/>
    <s v="01/01/2025 08:39"/>
    <s v="-"/>
    <s v="J&amp;T COD"/>
    <s v="Tiktok"/>
    <s v="จ่ายทีหลัง / COD"/>
    <s v=""/>
    <s v="754261462253"/>
    <s v="01/01/2025 08:39"/>
  </r>
  <r>
    <x v="5"/>
    <x v="5"/>
    <n v="330"/>
    <n v="1"/>
    <n v="0"/>
    <s v="EPF25"/>
    <n v="330"/>
    <n v="0"/>
    <s v="ร้านที่2"/>
    <s v="ว***ร ไ***ว"/>
    <s v="พระนครศรีอยุธยา"/>
    <s v="-"/>
    <s v=""/>
    <s v="01/01/2025 08:36"/>
    <s v="-"/>
    <s v="J&amp;T COD"/>
    <s v="Tiktok"/>
    <s v="จ่ายทีหลัง / COD"/>
    <s v=""/>
    <s v="754254385231"/>
    <s v="01/01/2025 08:36"/>
  </r>
  <r>
    <x v="3"/>
    <x v="8"/>
    <n v="91.2"/>
    <n v="1"/>
    <n v="0"/>
    <s v="EPF23"/>
    <n v="96.2"/>
    <n v="5"/>
    <s v="ร้านที่6"/>
    <s v="อนวัช วงศ์เกี่ย"/>
    <s v="Chichaplace(410)  ถนนท่าข้าม 194/20-22 · แสมดำ/ Samae Dam_x000a__x000a_บางขุนเทียน/ Bang Khun Thianกรุงเทพมหานคร/ Bangkok_x000a_10150"/>
    <s v="10150"/>
    <s v="660938729412"/>
    <s v="01/01/2025 08:36"/>
    <s v="-"/>
    <s v="Kerry_dropoff"/>
    <s v="Lazada"/>
    <s v="lazada"/>
    <s v=""/>
    <s v="LEXPU0440630540"/>
    <s v="01/01/2025 08:34"/>
  </r>
  <r>
    <x v="63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64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65"/>
    <x v="91"/>
    <n v="100"/>
    <n v="1"/>
    <n v="0"/>
    <s v="EPF21"/>
    <n v="300"/>
    <n v="0"/>
    <s v="ร้านที่4"/>
    <s v="อ***ทิพย์ ค***ย"/>
    <s v="ระยอง"/>
    <s v="-"/>
    <s v=""/>
    <s v="01/01/2025 08:32"/>
    <s v="-"/>
    <s v="Flash Express Thailand COD"/>
    <s v="Tiktok"/>
    <s v="จ่ายทีหลัง / COD"/>
    <s v=""/>
    <s v="THT21061DPGRA8Z"/>
    <s v="01/01/2025 08:32"/>
  </r>
  <r>
    <x v="9"/>
    <x v="4"/>
    <n v="100"/>
    <n v="1"/>
    <n v="0"/>
    <s v="EPF20"/>
    <n v="106"/>
    <n v="6"/>
    <s v="ร้านที่1"/>
    <s v="ป***ดา ข***าง"/>
    <s v="เทศบาลนครเชียงใหม่"/>
    <s v="-"/>
    <s v=""/>
    <s v="01/01/2025 08:29"/>
    <s v="-"/>
    <s v="J&amp;T COD"/>
    <s v="Tiktok"/>
    <s v="จ่ายทีหลัง / COD"/>
    <s v=""/>
    <s v="754233169233"/>
    <s v="01/01/2025 08:30"/>
  </r>
  <r>
    <x v="5"/>
    <x v="5"/>
    <n v="330"/>
    <n v="1"/>
    <n v="0"/>
    <s v="EPF19"/>
    <n v="330"/>
    <n v="0"/>
    <s v="ร้านที่1"/>
    <s v="ส***นท์  ร***สุขศรี"/>
    <s v="สุพรรณบุรี"/>
    <s v="-"/>
    <s v=""/>
    <s v="01/01/2025 08:29"/>
    <s v="-"/>
    <s v="J&amp;T Express"/>
    <s v="Tiktok"/>
    <s v="tiktok"/>
    <s v=""/>
    <s v="754210580244"/>
    <s v="01/01/2025 08:29"/>
  </r>
  <r>
    <x v="10"/>
    <x v="10"/>
    <n v="200"/>
    <n v="1"/>
    <n v="0"/>
    <s v="EPF18"/>
    <n v="200"/>
    <n v="0"/>
    <s v="ร้านที่1"/>
    <s v="อ***รณ ส***าลย์"/>
    <s v="ขอนแก่น"/>
    <s v="-"/>
    <s v=""/>
    <s v="01/01/2025 08:28"/>
    <s v="-"/>
    <s v="J&amp;T COD"/>
    <s v="Tiktok"/>
    <s v="จ่ายทีหลัง / COD"/>
    <s v=""/>
    <s v="754293721370"/>
    <s v="01/01/2025 08:29"/>
  </r>
  <r>
    <x v="59"/>
    <x v="84"/>
    <n v="100"/>
    <n v="1"/>
    <n v="0"/>
    <s v="EPF15"/>
    <n v="125"/>
    <n v="25"/>
    <s v="ร้านที่1"/>
    <s v="ส***รณา ข***อ่างทอง"/>
    <s v="ปทุมธานี"/>
    <s v="-"/>
    <s v=""/>
    <s v="01/01/2025 08:25"/>
    <s v="-"/>
    <s v="J&amp;T COD"/>
    <s v="Tiktok"/>
    <s v="จ่ายทีหลัง / COD"/>
    <s v=""/>
    <s v="754203184221"/>
    <s v="01/01/2025 08:25"/>
  </r>
  <r>
    <x v="4"/>
    <x v="4"/>
    <n v="100"/>
    <n v="1"/>
    <n v="0"/>
    <s v="EPF13"/>
    <n v="200"/>
    <n v="0"/>
    <s v="ร้านที่2"/>
    <s v="ล***ัด"/>
    <s v="ชุมพร"/>
    <s v="-"/>
    <s v=""/>
    <s v="01/01/2025 08:24"/>
    <s v="-"/>
    <s v="J&amp;T COD"/>
    <s v="Tiktok"/>
    <s v="จ่ายทีหลัง / COD"/>
    <s v=""/>
    <s v="754246435342"/>
    <s v="01/01/2025 08:24"/>
  </r>
  <r>
    <x v="9"/>
    <x v="4"/>
    <n v="100"/>
    <n v="1"/>
    <n v="0"/>
    <s v="EPF13"/>
    <n v="200"/>
    <n v="0"/>
    <s v="ร้านที่2"/>
    <s v="ล***ัด"/>
    <s v="ชุมพร"/>
    <s v="-"/>
    <s v=""/>
    <s v="01/01/2025 08:24"/>
    <s v="-"/>
    <s v="J&amp;T COD"/>
    <s v="Tiktok"/>
    <s v="จ่ายทีหลัง / COD"/>
    <s v=""/>
    <s v="754246435342"/>
    <s v="01/01/2025 08:24"/>
  </r>
  <r>
    <x v="24"/>
    <x v="92"/>
    <n v="783.61"/>
    <n v="1"/>
    <n v="0"/>
    <s v="EPF12"/>
    <n v="965.3"/>
    <n v="64"/>
    <s v="ร้านที่2"/>
    <s v="ณัฐวินณ์  ขวัญทอง"/>
    <s v="ร้านวินวิน เวดดิ้ง 9/2 ถนนทองไมล์ หมู่ 5 ตำบลดอนสัก อำเภอดอนสัก_x000a__x000a_ดอนสัก/ Don Sakสุราษฎร์ธานี/ Surat Thani_x000a_84220"/>
    <s v="84220"/>
    <s v="660619144614"/>
    <s v="01/01/2025 08:22"/>
    <s v="-"/>
    <s v="Kerry_dropoff"/>
    <s v="Lazada"/>
    <s v="lazada"/>
    <s v=""/>
    <s v="TH68036N6CRZ5A"/>
    <s v="01/01/2025 08:22"/>
  </r>
  <r>
    <x v="49"/>
    <x v="72"/>
    <n v="74.400000000000006"/>
    <n v="1"/>
    <n v="0"/>
    <s v="EPF11"/>
    <n v="98.4"/>
    <n v="24"/>
    <s v="ร้านที่1"/>
    <s v="นภัสวรรณ พลจ่า"/>
    <s v="บ.โนนทอง 90/8  · บ่อใหญ่/ Bo Yai_x000a__x000a_บรบือ/ Borabueมหาสารคาม/ Maha Sarakham_x000a_44130"/>
    <s v="44130"/>
    <s v="660623571109"/>
    <s v="01/01/2025 08:21"/>
    <s v="-"/>
    <s v="Kerry_dropoff"/>
    <s v="Lazada"/>
    <s v="lazada"/>
    <s v=""/>
    <s v="TH41066N68PT7B"/>
    <s v="01/01/2025 08:21"/>
  </r>
  <r>
    <x v="10"/>
    <x v="10"/>
    <n v="200"/>
    <n v="1"/>
    <n v="0"/>
    <s v="EPF10"/>
    <n v="200"/>
    <n v="0"/>
    <s v="ร้านที่1"/>
    <s v="น***าวกมลวรรณ น***เสน"/>
    <s v="ประจวบคีรีขันธ์"/>
    <s v="-"/>
    <s v=""/>
    <s v="01/01/2025 08:16"/>
    <s v="-"/>
    <s v="J&amp;T Express"/>
    <s v="Tiktok"/>
    <s v="tiktok"/>
    <s v=""/>
    <s v="754236121376"/>
    <s v="01/01/2025 08:16"/>
  </r>
  <r>
    <x v="19"/>
    <x v="19"/>
    <n v="197"/>
    <n v="1"/>
    <n v="0"/>
    <s v="EPF8"/>
    <n v="197"/>
    <n v="0"/>
    <s v="ร้านที่2"/>
    <s v="ณ******ง"/>
    <s v="******ต.ปกาสัย ตำบลปกาสัย อำเภอเหนือคลอง จังหวัดกระบี่ 81130"/>
    <s v="81130"/>
    <s v="54"/>
    <s v="01/01/2025 08:45"/>
    <s v="-"/>
    <s v="SPX Express"/>
    <s v="Shopee"/>
    <s v="shopee"/>
    <s v=""/>
    <s v="TH250920049666C"/>
    <s v="01/01/2025 08:15"/>
  </r>
  <r>
    <x v="59"/>
    <x v="84"/>
    <n v="100"/>
    <n v="2"/>
    <n v="0"/>
    <s v="EPF7"/>
    <n v="200"/>
    <n v="0"/>
    <s v="ร้านที่1"/>
    <s v="อ***สา ห***ลี่ยง"/>
    <s v="ตรัง"/>
    <s v="-"/>
    <s v=""/>
    <s v="01/01/2025 08:11"/>
    <s v="-"/>
    <s v="J&amp;T COD"/>
    <s v="Tiktok"/>
    <s v="จ่ายทีหลัง / COD"/>
    <s v=""/>
    <s v="754211184215"/>
    <s v="01/01/2025 08:11"/>
  </r>
  <r>
    <x v="6"/>
    <x v="6"/>
    <n v="199"/>
    <n v="2"/>
    <n v="0"/>
    <s v="EPF6"/>
    <n v="427"/>
    <n v="29"/>
    <s v="ร้านที่2"/>
    <s v="พ******)"/>
    <s v="******สองพี่น้อง จังหวัดสุพรรณบุรี 72110 ตำบลบางตะเคียน อำเภอสองพี่น้อง จังหวัดสุพรรณบุรี 72110"/>
    <s v="72110"/>
    <s v="14"/>
    <s v="01/01/2025 08:10"/>
    <s v="-"/>
    <s v="SPX Express"/>
    <s v="Shopee"/>
    <s v="shopee"/>
    <s v=""/>
    <s v="TH259732083431B"/>
    <s v="01/01/2025 08:09"/>
  </r>
  <r>
    <x v="33"/>
    <x v="43"/>
    <n v="330"/>
    <n v="1"/>
    <n v="0"/>
    <s v="EPF5"/>
    <n v="1830"/>
    <n v="0"/>
    <s v="ร้านที่4"/>
    <s v="น***า ส***มทรัพย์"/>
    <s v="นครปฐม"/>
    <s v="-"/>
    <s v=""/>
    <s v="01/01/2025 08:07"/>
    <s v="-"/>
    <s v="Flash Express Thailand"/>
    <s v="Tiktok"/>
    <s v="tiktok"/>
    <s v=""/>
    <s v="THT15021DJGWQ6Z"/>
    <s v="01/01/2025 08:06"/>
  </r>
  <r>
    <x v="19"/>
    <x v="19"/>
    <n v="250"/>
    <n v="6"/>
    <n v="0"/>
    <s v="EPF5"/>
    <n v="1830"/>
    <n v="0"/>
    <s v="ร้านที่4"/>
    <s v="น***า ส***มทรัพย์"/>
    <s v="นครปฐม"/>
    <s v="-"/>
    <s v=""/>
    <s v="01/01/2025 08:07"/>
    <s v="-"/>
    <s v="Flash Express Thailand"/>
    <s v="Tiktok"/>
    <s v="tiktok"/>
    <s v=""/>
    <s v="THT15021DJGWQ6Z"/>
    <s v="01/01/2025 08:06"/>
  </r>
  <r>
    <x v="35"/>
    <x v="46"/>
    <n v="100"/>
    <n v="2"/>
    <n v="0"/>
    <s v="EPF2"/>
    <n v="200"/>
    <n v="0"/>
    <s v="ร้านที่2"/>
    <s v="น***คณิตรา พ***ตร"/>
    <s v="อุดรธานี"/>
    <s v="-"/>
    <s v=""/>
    <s v="01/01/2025 07:58"/>
    <s v="-"/>
    <s v="J&amp;T COD"/>
    <s v="Tiktok"/>
    <s v="จ่ายทีหลัง / COD"/>
    <s v=""/>
    <s v="754263167254"/>
    <s v="01/01/2025 07:58"/>
  </r>
  <r>
    <x v="10"/>
    <x v="10"/>
    <n v="200"/>
    <n v="1"/>
    <n v="0"/>
    <s v="EPF1"/>
    <n v="200"/>
    <n v="0"/>
    <s v="ร้านที่4"/>
    <s v="ก***นา​ ภ***าที"/>
    <s v="ปทุมธานี"/>
    <s v="-"/>
    <s v=""/>
    <s v="01/01/2025 07:52"/>
    <s v="-"/>
    <s v="Flash Express Thailand COD"/>
    <s v="Tiktok"/>
    <s v="จ่ายทีหลัง / COD"/>
    <s v=""/>
    <s v="THT04021DP2946Z"/>
    <s v="01/01/2025 07:52"/>
  </r>
  <r>
    <x v="9"/>
    <x v="4"/>
    <n v="100"/>
    <n v="1"/>
    <n v="0"/>
    <s v="EPF0"/>
    <n v="100"/>
    <n v="0"/>
    <s v="ร้านที่1"/>
    <s v="พ***็ญ ส***ระเสริฐ"/>
    <s v="นครนายก"/>
    <s v="-"/>
    <s v=""/>
    <s v="01/01/2025 07:51"/>
    <s v="-"/>
    <s v="J&amp;T COD"/>
    <s v="Tiktok"/>
    <s v="จ่ายทีหลัง / COD"/>
    <s v=""/>
    <s v="754240167262"/>
    <s v="01/01/2025 07:51"/>
  </r>
  <r>
    <x v="9"/>
    <x v="4"/>
    <n v="100"/>
    <n v="1"/>
    <n v="0"/>
    <s v="EPE99"/>
    <n v="106"/>
    <n v="6"/>
    <s v="ร้านที่2"/>
    <s v="ค**  ส***น  ผ***"/>
    <s v="แพร่"/>
    <s v="-"/>
    <s v=""/>
    <s v="01/01/2025 07:51"/>
    <s v="-"/>
    <s v="J&amp;T COD"/>
    <s v="Tiktok"/>
    <s v="จ่ายทีหลัง / COD"/>
    <s v=""/>
    <s v="754298361250"/>
    <s v="01/01/2025 07:51"/>
  </r>
  <r>
    <x v="6"/>
    <x v="81"/>
    <n v="217.82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6"/>
    <x v="81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6"/>
    <x v="81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16"/>
    <x v="37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16"/>
    <x v="37"/>
    <n v="217.83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2"/>
    <x v="2"/>
    <n v="104.56"/>
    <n v="1"/>
    <n v="0"/>
    <s v="EPE98"/>
    <n v="1287.7"/>
    <n v="94"/>
    <s v="ร้านที่1"/>
    <s v="ชนม์ชนก หนูจุ้ย"/>
    <s v="ท่าขามซอย4 บ้านสีฟ้า2ชั้น 222 หมู่1 ต.ท่าคอย_x000a__x000a_ท่ายาง/ Tha Yangเพชรบุรี/ Phetchaburi_x000a_76130"/>
    <s v="76130"/>
    <s v="660937847148"/>
    <s v="01/01/2025 07:50"/>
    <s v="-"/>
    <s v="Kerry_dropoff"/>
    <s v="Lazada"/>
    <s v="lazada"/>
    <s v=""/>
    <s v="LEXPU0440685436"/>
    <s v="01/01/2025 07:50"/>
  </r>
  <r>
    <x v="4"/>
    <x v="4"/>
    <n v="100"/>
    <n v="1"/>
    <n v="0"/>
    <s v="EPE97"/>
    <n v="100"/>
    <n v="0"/>
    <s v="ร้านที่1"/>
    <s v="ช***จิตร เ***ล้าย"/>
    <s v="พิจิตร"/>
    <s v="-"/>
    <s v=""/>
    <s v="01/01/2025 07:44"/>
    <s v="-"/>
    <s v="J&amp;T COD"/>
    <s v="Tiktok"/>
    <s v="จ่ายทีหลัง / COD"/>
    <s v=""/>
    <s v="754210823391"/>
    <s v="01/01/2025 07:44"/>
  </r>
  <r>
    <x v="59"/>
    <x v="84"/>
    <n v="100"/>
    <n v="2"/>
    <n v="0"/>
    <s v="EPE96"/>
    <n v="200"/>
    <n v="0"/>
    <s v="ร้านที่1"/>
    <s v="ร***ี   ร***น้อย"/>
    <s v="นครสวรรค์"/>
    <s v="-"/>
    <s v=""/>
    <s v="01/01/2025 07:44"/>
    <s v="-"/>
    <s v="J&amp;T COD"/>
    <s v="Tiktok"/>
    <s v="จ่ายทีหลัง / COD"/>
    <s v=""/>
    <s v="754293372291"/>
    <s v="01/01/2025 07:44"/>
  </r>
  <r>
    <x v="12"/>
    <x v="12"/>
    <n v="160"/>
    <n v="1"/>
    <n v="0"/>
    <s v="EPE94"/>
    <n v="160"/>
    <n v="0"/>
    <s v="ร้านที่1"/>
    <s v="ค******ล"/>
    <s v="******.นาหม่อม จ.สงขลา 90310 ตำบลนาหม่อม อำเภอนาหม่อม จังหวัดสงขลา 90310"/>
    <s v="90310"/>
    <s v="95"/>
    <s v="01/01/2025 07:34"/>
    <s v="-"/>
    <s v="SPX Express"/>
    <s v="Shopee"/>
    <s v="shopee"/>
    <s v=""/>
    <s v="TH254136283425J"/>
    <s v="01/01/2025 07:33"/>
  </r>
  <r>
    <x v="10"/>
    <x v="10"/>
    <n v="200"/>
    <n v="1"/>
    <n v="0"/>
    <s v="EPE93"/>
    <n v="200"/>
    <n v="0"/>
    <s v="ร้านที่1"/>
    <s v="ศ***า ศ***ิตร"/>
    <s v="สุพรรณบุรี"/>
    <s v="-"/>
    <s v=""/>
    <s v="01/01/2025 07:31"/>
    <s v="-"/>
    <s v="J&amp;T COD"/>
    <s v="Tiktok"/>
    <s v="จ่ายทีหลัง / COD"/>
    <s v=""/>
    <s v="754272528380"/>
    <s v="01/01/2025 07:31"/>
  </r>
  <r>
    <x v="19"/>
    <x v="19"/>
    <n v="199"/>
    <n v="1"/>
    <n v="0"/>
    <s v="EPE91"/>
    <n v="199"/>
    <n v="0"/>
    <s v="ร้านที่1"/>
    <s v="ป******า"/>
    <s v="******ติ จ.บุรีรัมย์ 31110 ตำบลอีสานเขต อำเภอเฉลิมพระเกียรติ จังหวัดบุรีรัมย์ 31110"/>
    <s v="31110"/>
    <s v="49"/>
    <s v="01/01/2025 07:23"/>
    <s v="-"/>
    <s v="Flash Express"/>
    <s v="Shopee"/>
    <s v="shopee"/>
    <s v=""/>
    <s v="TH28236N75XF3C"/>
    <s v="01/01/2025 07:23"/>
  </r>
  <r>
    <x v="4"/>
    <x v="4"/>
    <n v="100"/>
    <n v="1"/>
    <n v="0"/>
    <s v="EPE90"/>
    <n v="200"/>
    <n v="0"/>
    <s v="ร้านที่1"/>
    <s v="พ***อ.วัชระ ท***บ"/>
    <s v="สุราษฎร์ธานี"/>
    <s v="-"/>
    <s v=""/>
    <s v="01/01/2025 07:21"/>
    <s v="-"/>
    <s v="J&amp;T Express"/>
    <s v="Tiktok"/>
    <s v="tiktok"/>
    <s v=""/>
    <s v="754273838356"/>
    <s v="01/01/2025 07:22"/>
  </r>
  <r>
    <x v="9"/>
    <x v="4"/>
    <n v="100"/>
    <n v="1"/>
    <n v="0"/>
    <s v="EPE90"/>
    <n v="200"/>
    <n v="0"/>
    <s v="ร้านที่1"/>
    <s v="พ***อ.วัชระ ท***บ"/>
    <s v="สุราษฎร์ธานี"/>
    <s v="-"/>
    <s v=""/>
    <s v="01/01/2025 07:21"/>
    <s v="-"/>
    <s v="J&amp;T Express"/>
    <s v="Tiktok"/>
    <s v="tiktok"/>
    <s v=""/>
    <s v="754273838356"/>
    <s v="01/01/2025 07:22"/>
  </r>
  <r>
    <x v="19"/>
    <x v="19"/>
    <n v="199"/>
    <n v="1"/>
    <n v="0"/>
    <s v="EPE8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1/01/2025 07:46"/>
    <s v="-"/>
    <s v="SPX Express"/>
    <s v="Shopee"/>
    <s v="shopee"/>
    <s v=""/>
    <s v="TH2582684191931"/>
    <s v="01/01/2025 07:22"/>
  </r>
  <r>
    <x v="59"/>
    <x v="84"/>
    <n v="100"/>
    <n v="2"/>
    <n v="0"/>
    <s v="EPE88"/>
    <n v="200"/>
    <n v="0"/>
    <s v="ร้านที่1"/>
    <s v="ฟ** ส***รัมภา"/>
    <s v="หนองคาย"/>
    <s v="-"/>
    <s v=""/>
    <s v="01/01/2025 07:14"/>
    <s v="-"/>
    <s v="J&amp;T COD"/>
    <s v="Tiktok"/>
    <s v="จ่ายทีหลัง / COD"/>
    <s v=""/>
    <s v="754202886220"/>
    <s v="01/01/2025 07:21"/>
  </r>
  <r>
    <x v="4"/>
    <x v="4"/>
    <n v="100"/>
    <n v="1"/>
    <n v="0"/>
    <s v="EPE87"/>
    <n v="106"/>
    <n v="6"/>
    <s v="ร้านที่1"/>
    <s v="ส***ูณ์   ม***ตย์"/>
    <s v="ตราด"/>
    <s v="-"/>
    <s v=""/>
    <s v="01/01/2025 07:13"/>
    <s v="-"/>
    <s v="J&amp;T COD"/>
    <s v="Tiktok"/>
    <s v="จ่ายทีหลัง / COD"/>
    <s v=""/>
    <s v="754216105370"/>
    <s v="01/01/2025 07:21"/>
  </r>
  <r>
    <x v="16"/>
    <x v="37"/>
    <n v="232.5"/>
    <n v="1"/>
    <n v="0"/>
    <s v="EPE85"/>
    <n v="256.5"/>
    <n v="24"/>
    <s v="ร้านที่1"/>
    <s v="สุภัทรา สุพักดี"/>
    <s v="6/18 ม. 1 · บางนอน/ Bang Non_x000a__x000a_เมืองระนอง/ Mueang Ranongระนอง/ Ranong_x000a_85000"/>
    <s v="85000"/>
    <s v="660929041611"/>
    <s v="01/01/2025 07:21"/>
    <s v="-"/>
    <s v="Kerry_dropoff"/>
    <s v="Lazada"/>
    <s v="lazada"/>
    <s v=""/>
    <s v="TH69016N65MT2F"/>
    <s v="01/01/2025 07:21"/>
  </r>
  <r>
    <x v="4"/>
    <x v="4"/>
    <n v="100"/>
    <n v="1"/>
    <n v="0"/>
    <s v="EPE83"/>
    <n v="106"/>
    <n v="6"/>
    <s v="ร้านที่1"/>
    <s v="ส***ิต ช***่น"/>
    <s v="นครราชสีมา"/>
    <s v="-"/>
    <s v=""/>
    <s v="01/01/2025 07:05"/>
    <s v="-"/>
    <s v="J&amp;T COD"/>
    <s v="Tiktok"/>
    <s v="จ่ายทีหลัง / COD"/>
    <s v=""/>
    <s v="754129278980"/>
    <s v="01/01/2025 07:13"/>
  </r>
  <r>
    <x v="24"/>
    <x v="25"/>
    <n v="800"/>
    <n v="2"/>
    <n v="0"/>
    <s v="EPE82"/>
    <n v="1675"/>
    <n v="75"/>
    <s v="ร้านที่1"/>
    <s v="ช******ล"/>
    <s v="******.สมุทรสาคร ตำบลบางโทรัด อำเภอเมืองสมุทรสาคร จังหวัดสมุทรสาคร 74000"/>
    <s v="74000"/>
    <s v="10"/>
    <s v="01/01/2025 07:34"/>
    <s v="-"/>
    <s v="SPX Express"/>
    <s v="Shopee"/>
    <s v="shopee"/>
    <s v=""/>
    <s v="TH2575836748373"/>
    <s v="01/01/2025 07:11"/>
  </r>
  <r>
    <x v="59"/>
    <x v="84"/>
    <n v="100"/>
    <n v="1"/>
    <n v="0"/>
    <s v="EPE80"/>
    <n v="125"/>
    <n v="25"/>
    <s v="ร้านที่1"/>
    <s v="ฎ***วรรณ์  ว***ไพบูลย์วงศ์"/>
    <s v="บุรีรัมย์"/>
    <s v="-"/>
    <s v=""/>
    <s v="01/01/2025 06:50"/>
    <s v="-"/>
    <s v="J&amp;T COD"/>
    <s v="Tiktok"/>
    <s v="จ่ายทีหลัง / COD"/>
    <s v=""/>
    <s v="754114282972"/>
    <s v="01/01/2025 06:50"/>
  </r>
  <r>
    <x v="19"/>
    <x v="19"/>
    <n v="199"/>
    <n v="1"/>
    <n v="0"/>
    <s v="EPE79"/>
    <n v="228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1/01/2025 07:21"/>
    <s v="-"/>
    <s v="SPX Express"/>
    <s v="Shopee"/>
    <s v="shopee"/>
    <s v=""/>
    <s v="TH257529296832U"/>
    <s v="01/01/2025 06:44"/>
  </r>
  <r>
    <x v="4"/>
    <x v="4"/>
    <n v="100"/>
    <n v="1"/>
    <n v="0"/>
    <s v="EPE78"/>
    <n v="100"/>
    <n v="0"/>
    <s v="ร้านที่1"/>
    <s v="ป***งค์ ค***่"/>
    <s v="สุโขทัย"/>
    <s v="-"/>
    <s v=""/>
    <s v="01/01/2025 06:40"/>
    <s v="-"/>
    <s v="J&amp;T Express"/>
    <s v="Tiktok"/>
    <s v="tiktok"/>
    <s v=""/>
    <s v="754193078984"/>
    <s v="01/01/2025 06:39"/>
  </r>
  <r>
    <x v="10"/>
    <x v="10"/>
    <n v="200"/>
    <n v="1"/>
    <n v="0"/>
    <s v="EPE77"/>
    <n v="200"/>
    <n v="0"/>
    <s v="ร้านที่1"/>
    <s v="เ***นจิตร​  เ***รภา"/>
    <s v="น่าน"/>
    <s v="-"/>
    <s v=""/>
    <s v="01/01/2025 06:32"/>
    <s v="-"/>
    <s v="J&amp;T COD"/>
    <s v="Tiktok"/>
    <s v="จ่ายทีหลัง / COD"/>
    <s v=""/>
    <s v="754238901080"/>
    <s v="01/01/2025 06:32"/>
  </r>
  <r>
    <x v="2"/>
    <x v="2"/>
    <n v="105.8"/>
    <n v="1"/>
    <n v="0"/>
    <s v="EPE75"/>
    <n v="110.8"/>
    <n v="5"/>
    <s v="ร้านที่1"/>
    <s v="พัณณิตา​ สันตะจิตต์​"/>
    <s v="79/53 ถนนเลียบคลองภาษีเจริญฝั่งใต้ · หนองแขม/ Nong Khaem_x000a__x000a_หนองแขม/ Nong Khaemกรุงเทพมหานคร/ Bangkok_x000a_10160"/>
    <s v="10160"/>
    <s v="660852512264"/>
    <s v="01/01/2025 06:25"/>
    <s v="-"/>
    <s v="Kerry_dropoff"/>
    <s v="Lazada"/>
    <s v="lazada"/>
    <s v=""/>
    <s v="LEXPU0440274838"/>
    <s v="01/01/2025 06:25"/>
  </r>
  <r>
    <x v="4"/>
    <x v="4"/>
    <n v="100"/>
    <n v="1"/>
    <n v="0"/>
    <s v="EPE73"/>
    <n v="100"/>
    <n v="0"/>
    <s v="ร้านที่1"/>
    <s v="ป***ดา บ***งแจ้ง"/>
    <s v="นครสวรรค์"/>
    <s v="-"/>
    <s v=""/>
    <s v="01/01/2025 06:06"/>
    <s v="-"/>
    <s v="J&amp;T COD"/>
    <s v="Tiktok"/>
    <s v="จ่ายทีหลัง / COD"/>
    <s v=""/>
    <s v="754130679993"/>
    <s v="01/01/2025 06:06"/>
  </r>
  <r>
    <x v="9"/>
    <x v="4"/>
    <n v="100"/>
    <n v="1"/>
    <n v="0"/>
    <s v="EPE72"/>
    <n v="106"/>
    <n v="6"/>
    <s v="ร้านที่2"/>
    <s v="ส***พร  ข***ิตติศักดิ์"/>
    <s v="สมุทรปราการ"/>
    <s v="-"/>
    <s v=""/>
    <s v="01/01/2025 05:53"/>
    <s v="-"/>
    <s v="J&amp;T COD"/>
    <s v="Tiktok"/>
    <s v="จ่ายทีหลัง / COD"/>
    <s v=""/>
    <s v="754163170902"/>
    <s v="01/01/2025 05:53"/>
  </r>
  <r>
    <x v="14"/>
    <x v="14"/>
    <n v="74.400000000000006"/>
    <n v="1"/>
    <n v="0"/>
    <s v="EPE71"/>
    <n v="98.4"/>
    <n v="24"/>
    <s v="ร้านที่1"/>
    <s v="แคทรียา รัมมะสมัย"/>
    <s v="ซอย รังสิตนครนายก28/1  ห้อง122 ตึกC6 52 · ประชาธิปัตย์/ Prachathipat_x000a__x000a_ธัญบุรี/ Thanyaburiปทุมธานี/ Pathum Thani_x000a_12130"/>
    <s v="12130"/>
    <s v="660643215965"/>
    <s v="01/01/2025 05:51"/>
    <s v="-"/>
    <s v="Kerry_dropoff"/>
    <s v="Lazada"/>
    <s v="lazada"/>
    <s v=""/>
    <s v="LEXPU0440228693"/>
    <s v="01/01/2025 05:51"/>
  </r>
  <r>
    <x v="4"/>
    <x v="4"/>
    <n v="100"/>
    <n v="1"/>
    <n v="0"/>
    <s v="EPE70"/>
    <n v="100"/>
    <n v="0"/>
    <s v="ร้านที่1"/>
    <s v="ศ***วรรณ ค***"/>
    <s v="สมุทรสงคราม"/>
    <s v="-"/>
    <s v=""/>
    <s v="01/01/2025 05:20"/>
    <s v="-"/>
    <s v="J&amp;T COD"/>
    <s v="Tiktok"/>
    <s v="จ่ายทีหลัง / COD"/>
    <s v=""/>
    <s v="754127079985"/>
    <s v="01/01/2025 05:20"/>
  </r>
  <r>
    <x v="4"/>
    <x v="4"/>
    <n v="100"/>
    <n v="1"/>
    <n v="0"/>
    <s v="EPE68"/>
    <n v="106"/>
    <n v="6"/>
    <s v="ร้านที่1"/>
    <s v="n***aphone"/>
    <s v="กรุงเทพมหานคร"/>
    <s v="-"/>
    <s v=""/>
    <s v="01/01/2025 05:15"/>
    <s v="-"/>
    <s v="J&amp;T COD"/>
    <s v="Tiktok"/>
    <s v="จ่ายทีหลัง / COD"/>
    <s v=""/>
    <s v="754182570912"/>
    <s v="01/01/2025 05:16"/>
  </r>
  <r>
    <x v="4"/>
    <x v="4"/>
    <n v="100"/>
    <n v="1"/>
    <n v="0"/>
    <s v="EPE67"/>
    <n v="106"/>
    <n v="6"/>
    <s v="ร้านที่2"/>
    <s v="ส** ส***นเอื้อ"/>
    <s v="หนองคาย"/>
    <s v="-"/>
    <s v=""/>
    <s v="01/01/2025 04:13"/>
    <s v="-"/>
    <s v="J&amp;T Express"/>
    <s v="Tiktok"/>
    <s v="tiktok"/>
    <s v=""/>
    <s v="754110371921"/>
    <s v="01/01/2025 04:25"/>
  </r>
  <r>
    <x v="5"/>
    <x v="5"/>
    <n v="350"/>
    <n v="1"/>
    <n v="0"/>
    <s v="EPE66"/>
    <n v="350"/>
    <n v="0"/>
    <s v="ร้านที่4"/>
    <s v="N***ื่อยเปื่อย"/>
    <s v="ชลบุรี"/>
    <s v="-"/>
    <s v=""/>
    <s v="01/01/2025 03:53"/>
    <s v="-"/>
    <s v="Flash Express Thailand COD"/>
    <s v="Tiktok"/>
    <s v="จ่ายทีหลัง / COD"/>
    <s v=""/>
    <s v="THT20011DJ23Q2Z"/>
    <s v="01/01/2025 03:53"/>
  </r>
  <r>
    <x v="5"/>
    <x v="5"/>
    <n v="350"/>
    <n v="1"/>
    <n v="0"/>
    <s v="EPE64"/>
    <n v="350"/>
    <n v="0"/>
    <s v="ร้านที่4"/>
    <s v="น***ระสิทธิ์"/>
    <s v="กรุงเทพมหานคร"/>
    <s v="-"/>
    <s v=""/>
    <s v="01/01/2025 03:41"/>
    <s v="-"/>
    <s v="Flash Express Thailand COD"/>
    <s v="Tiktok"/>
    <s v="จ่ายทีหลัง / COD"/>
    <s v=""/>
    <s v="THT01081DJ1Z00Z"/>
    <s v="01/01/2025 03:41"/>
  </r>
  <r>
    <x v="4"/>
    <x v="4"/>
    <n v="100"/>
    <n v="1"/>
    <n v="0"/>
    <s v="EPE63"/>
    <n v="106"/>
    <n v="6"/>
    <s v="ร้านที่4"/>
    <s v="น***สมพร บ***ื่น"/>
    <s v="ฉะเชิงเทรา"/>
    <s v="-"/>
    <s v=""/>
    <s v="01/01/2025 03:33"/>
    <s v="-"/>
    <s v="Flash Express Thailand COD"/>
    <s v="Tiktok"/>
    <s v="จ่ายทีหลัง / COD"/>
    <s v=""/>
    <s v="THT24061DJ44S4Z"/>
    <s v="01/01/2025 03:33"/>
  </r>
  <r>
    <x v="4"/>
    <x v="4"/>
    <n v="100"/>
    <n v="1"/>
    <n v="0"/>
    <s v="EPE62"/>
    <n v="106"/>
    <n v="6"/>
    <s v="ร้านที่1"/>
    <s v="ส***ิชัย พ***ุนทด"/>
    <s v="ชลบุรี"/>
    <s v="-"/>
    <s v=""/>
    <s v="01/01/2025 03:23"/>
    <s v="-"/>
    <s v="J&amp;T COD"/>
    <s v="Tiktok"/>
    <s v="จ่ายทีหลัง / COD"/>
    <s v=""/>
    <s v="754104179916"/>
    <s v="01/01/2025 03:23"/>
  </r>
  <r>
    <x v="29"/>
    <x v="36"/>
    <n v="330"/>
    <n v="1"/>
    <n v="0"/>
    <s v="EPE61"/>
    <n v="330"/>
    <n v="0"/>
    <s v="ร้านที่4"/>
    <s v="อ***ียา น***ะยาย"/>
    <s v="มหาสารคาม"/>
    <s v="-"/>
    <s v=""/>
    <s v="01/01/2025 03:15"/>
    <s v="-"/>
    <s v="Flash Express Thailand COD"/>
    <s v="Tiktok"/>
    <s v="จ่ายทีหลัง / COD"/>
    <s v=""/>
    <s v="THT41061DHV7P1Z"/>
    <s v="01/01/2025 03:15"/>
  </r>
  <r>
    <x v="10"/>
    <x v="10"/>
    <n v="200"/>
    <n v="1"/>
    <n v="0"/>
    <s v="EPE60"/>
    <n v="200"/>
    <n v="0"/>
    <s v="ร้านที่2"/>
    <s v="แ***ะลิ  อ***ผ่า"/>
    <s v="ตรัง"/>
    <s v="-"/>
    <s v=""/>
    <s v="01/01/2025 03:14"/>
    <s v="-"/>
    <s v="J&amp;T COD"/>
    <s v="Tiktok"/>
    <s v="จ่ายทีหลัง / COD"/>
    <s v=""/>
    <s v="754261213053"/>
    <s v="01/01/2025 03:14"/>
  </r>
  <r>
    <x v="4"/>
    <x v="4"/>
    <n v="100"/>
    <n v="1"/>
    <n v="0"/>
    <s v="EPE59"/>
    <n v="100"/>
    <n v="0"/>
    <s v="ร้านที่1"/>
    <s v="อ***ย์ ล***ทอง"/>
    <s v="เทศบาลนครนครปฐม"/>
    <s v="-"/>
    <s v=""/>
    <s v="01/01/2025 03:11"/>
    <s v="-"/>
    <s v="J&amp;T Express"/>
    <s v="Tiktok"/>
    <s v="tiktok"/>
    <s v=""/>
    <s v="754168275980"/>
    <s v="01/01/2025 03:11"/>
  </r>
  <r>
    <x v="4"/>
    <x v="4"/>
    <n v="100"/>
    <n v="3"/>
    <n v="0"/>
    <s v="EPE58"/>
    <n v="300"/>
    <n v="0"/>
    <s v="ร้านที่1"/>
    <s v="m* z**"/>
    <s v="Phuket"/>
    <s v="-"/>
    <s v=""/>
    <s v="01/01/2025 02:52"/>
    <s v="-"/>
    <s v="J&amp;T COD"/>
    <s v="Tiktok"/>
    <s v="จ่ายทีหลัง / COD"/>
    <s v=""/>
    <s v="754170089901"/>
    <s v="01/01/2025 02:52"/>
  </r>
  <r>
    <x v="5"/>
    <x v="5"/>
    <n v="330"/>
    <n v="1"/>
    <n v="0"/>
    <s v="EPE57"/>
    <n v="330"/>
    <n v="0"/>
    <s v="ร้านที่2"/>
    <s v="ธ***ล เ***์ธรรม"/>
    <s v="เพชรบูรณ์"/>
    <s v="-"/>
    <s v=""/>
    <s v="01/01/2025 02:48"/>
    <s v="-"/>
    <s v="J&amp;T COD"/>
    <s v="Tiktok"/>
    <s v="จ่ายทีหลัง / COD"/>
    <s v=""/>
    <s v="754101790971"/>
    <s v="01/01/2025 02:48"/>
  </r>
  <r>
    <x v="59"/>
    <x v="84"/>
    <n v="100"/>
    <n v="1"/>
    <n v="0"/>
    <s v="EPE56"/>
    <n v="150"/>
    <n v="0"/>
    <s v="ร้านที่2"/>
    <s v="ส* แ***ัยภูมิ"/>
    <s v="ฉะเชิงเทรา"/>
    <s v="-"/>
    <s v=""/>
    <s v="01/01/2025 02:45"/>
    <s v="-"/>
    <s v="J&amp;T COD"/>
    <s v="Tiktok"/>
    <s v="จ่ายทีหลัง / COD"/>
    <s v=""/>
    <s v="754216200065"/>
    <s v="01/01/2025 02:45"/>
  </r>
  <r>
    <x v="9"/>
    <x v="4"/>
    <n v="100"/>
    <n v="1"/>
    <n v="0"/>
    <s v="EPE55"/>
    <n v="106"/>
    <n v="6"/>
    <s v="ร้านที่2"/>
    <s v="ม***21"/>
    <s v="ปทุมธานี"/>
    <s v="-"/>
    <s v=""/>
    <s v="01/01/2025 02:37"/>
    <s v="-"/>
    <s v="J&amp;T COD"/>
    <s v="Tiktok"/>
    <s v="จ่ายทีหลัง / COD"/>
    <s v=""/>
    <s v="754140672994"/>
    <s v="01/01/2025 02:38"/>
  </r>
  <r>
    <x v="4"/>
    <x v="4"/>
    <n v="100"/>
    <n v="1"/>
    <n v="0"/>
    <s v="EPE54"/>
    <n v="106"/>
    <n v="6"/>
    <s v="ร้านที่4"/>
    <s v="ป***ัทธ์ เ***ขาว"/>
    <s v="ตรัง"/>
    <s v="-"/>
    <s v=""/>
    <s v="01/01/2025 02:11"/>
    <s v="-"/>
    <s v="Flash Express Thailand COD"/>
    <s v="Tiktok"/>
    <s v="จ่ายทีหลัง / COD"/>
    <s v=""/>
    <s v="THT73081DJ43T2Z"/>
    <s v="01/01/2025 02:28"/>
  </r>
  <r>
    <x v="19"/>
    <x v="19"/>
    <n v="199"/>
    <n v="3"/>
    <n v="0"/>
    <s v="EPE53"/>
    <n v="676"/>
    <n v="79"/>
    <s v="ร้านที่1"/>
    <s v="ม******์"/>
    <s v="******ามระ35 แขวงดินแดง แขวงดินแดง เขตดินแดง จังหวัดกรุงเทพมหานคร 10400"/>
    <s v="10400"/>
    <s v="54"/>
    <s v="01/01/2025 02:39"/>
    <s v="-"/>
    <s v="Flash Express"/>
    <s v="Shopee"/>
    <s v="shopee"/>
    <s v=""/>
    <s v="TH01086N349J6B1"/>
    <s v="01/01/2025 02:24"/>
  </r>
  <r>
    <x v="9"/>
    <x v="4"/>
    <n v="100"/>
    <n v="1"/>
    <n v="0"/>
    <s v="EPE52"/>
    <n v="100"/>
    <n v="0"/>
    <s v="ร้านที่1"/>
    <s v="แ***ำ"/>
    <s v="ลพบุรี"/>
    <s v="-"/>
    <s v=""/>
    <s v="01/01/2025 02:01"/>
    <s v="-"/>
    <s v="J&amp;T Express"/>
    <s v="Tiktok"/>
    <s v="tiktok"/>
    <s v=""/>
    <s v="754199678982"/>
    <s v="01/01/2025 02:12"/>
  </r>
  <r>
    <x v="9"/>
    <x v="4"/>
    <n v="100"/>
    <n v="1"/>
    <n v="0"/>
    <s v="EPE50"/>
    <n v="106"/>
    <n v="6"/>
    <s v="ร้านที่1"/>
    <s v="จ***ร์จิรา  พ***สุภากุล"/>
    <s v="นครศรีธรรมราช"/>
    <s v="-"/>
    <s v=""/>
    <s v="01/01/2025 01:53"/>
    <s v="-"/>
    <s v="J&amp;T COD"/>
    <s v="Tiktok"/>
    <s v="จ่ายทีหลัง / COD"/>
    <s v=""/>
    <s v="754106071961"/>
    <s v="01/01/2025 02:09"/>
  </r>
  <r>
    <x v="10"/>
    <x v="10"/>
    <n v="200"/>
    <n v="1"/>
    <n v="0"/>
    <s v="EPE49"/>
    <n v="200"/>
    <n v="0"/>
    <s v="ร้านที่1"/>
    <s v="ห***เช่าสหกรณ์การเกษตรสารภีโชคชัยจำกัด"/>
    <s v="นครราชสีมา"/>
    <s v="-"/>
    <s v=""/>
    <s v="01/01/2025 01:47"/>
    <s v="-"/>
    <s v="J&amp;T Express"/>
    <s v="Tiktok"/>
    <s v="tiktok"/>
    <s v=""/>
    <s v="754276903085"/>
    <s v="01/01/2025 02:08"/>
  </r>
  <r>
    <x v="4"/>
    <x v="4"/>
    <n v="100"/>
    <n v="1"/>
    <n v="0"/>
    <s v="EPE48"/>
    <n v="106"/>
    <n v="6"/>
    <s v="ร้านที่1"/>
    <s v="ว***รจน์​ ล***์โกมล"/>
    <s v="ชลบุรี"/>
    <s v="-"/>
    <s v=""/>
    <s v="01/01/2025 01:45"/>
    <s v="-"/>
    <s v="J&amp;T Express"/>
    <s v="Tiktok"/>
    <s v="tiktok"/>
    <s v=""/>
    <s v="754167976914"/>
    <s v="01/01/2025 02:08"/>
  </r>
  <r>
    <x v="4"/>
    <x v="4"/>
    <n v="100"/>
    <n v="2"/>
    <n v="0"/>
    <s v="EPE47"/>
    <n v="200"/>
    <n v="0"/>
    <s v="ร้านที่2"/>
    <s v="ว***า ส***ัตน์"/>
    <s v="ปทุมธานี"/>
    <s v="-"/>
    <s v=""/>
    <s v="01/01/2025 01:44"/>
    <s v="-"/>
    <s v="J&amp;T COD"/>
    <s v="Tiktok"/>
    <s v="จ่ายทีหลัง / COD"/>
    <s v=""/>
    <s v="754115880906"/>
    <s v="01/01/2025 02:08"/>
  </r>
  <r>
    <x v="4"/>
    <x v="4"/>
    <n v="100"/>
    <n v="1"/>
    <n v="0"/>
    <s v="EPE46"/>
    <n v="200"/>
    <n v="0"/>
    <s v="ร้านที่1"/>
    <s v="ห***ง"/>
    <s v="กรุงเทพฯ"/>
    <s v="-"/>
    <s v=""/>
    <s v="01/01/2025 01:44"/>
    <s v="-"/>
    <s v="J&amp;T COD"/>
    <s v="Tiktok"/>
    <s v="จ่ายทีหลัง / COD"/>
    <s v=""/>
    <s v="754237100083"/>
    <s v="01/01/2025 02:08"/>
  </r>
  <r>
    <x v="9"/>
    <x v="4"/>
    <n v="100"/>
    <n v="1"/>
    <n v="0"/>
    <s v="EPE46"/>
    <n v="200"/>
    <n v="0"/>
    <s v="ร้านที่1"/>
    <s v="ห***ง"/>
    <s v="กรุงเทพฯ"/>
    <s v="-"/>
    <s v=""/>
    <s v="01/01/2025 01:44"/>
    <s v="-"/>
    <s v="J&amp;T COD"/>
    <s v="Tiktok"/>
    <s v="จ่ายทีหลัง / COD"/>
    <s v=""/>
    <s v="754237100083"/>
    <s v="01/01/2025 02:08"/>
  </r>
  <r>
    <x v="9"/>
    <x v="4"/>
    <n v="100"/>
    <n v="1"/>
    <n v="0"/>
    <s v="EPE45"/>
    <n v="106"/>
    <n v="6"/>
    <s v="ร้านที่1"/>
    <s v="ห***ย ส***ยู่"/>
    <s v="นครราชสีมา"/>
    <s v="-"/>
    <s v=""/>
    <s v="01/01/2025 01:43"/>
    <s v="-"/>
    <s v="J&amp;T COD"/>
    <s v="Tiktok"/>
    <s v="จ่ายทีหลัง / COD"/>
    <s v=""/>
    <s v="754120971925"/>
    <s v="01/01/2025 02:07"/>
  </r>
  <r>
    <x v="36"/>
    <x v="48"/>
    <n v="280"/>
    <n v="1"/>
    <n v="0"/>
    <s v="EPE44"/>
    <n v="325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60"/>
    <s v="01/01/2025 02:31"/>
    <s v="-"/>
    <s v="SPX Express"/>
    <s v="Shopee"/>
    <s v="shopee"/>
    <s v=""/>
    <s v="TH253750037793A"/>
    <s v="01/01/2025 02:07"/>
  </r>
  <r>
    <x v="10"/>
    <x v="10"/>
    <n v="200"/>
    <n v="1"/>
    <n v="0"/>
    <s v="EPE41"/>
    <n v="200"/>
    <n v="0"/>
    <s v="ร้านที่1"/>
    <s v="จ***ภา อ***ุพัฒน์"/>
    <s v="นนทบุรี"/>
    <s v="-"/>
    <s v=""/>
    <s v="01/01/2025 01:12"/>
    <s v="-"/>
    <s v="J&amp;T COD"/>
    <s v="Tiktok"/>
    <s v="จ่ายทีหลัง / COD"/>
    <s v=""/>
    <s v="754132589910"/>
    <s v="01/01/2025 01:38"/>
  </r>
  <r>
    <x v="59"/>
    <x v="84"/>
    <n v="100"/>
    <n v="2"/>
    <n v="0"/>
    <s v="EPE40"/>
    <n v="200"/>
    <n v="0"/>
    <s v="ร้านที่1"/>
    <s v="ว***ดา โ***์ตาด"/>
    <s v="อุบลราชธานี"/>
    <s v="-"/>
    <s v=""/>
    <s v="01/01/2025 01:25"/>
    <s v="-"/>
    <s v="J&amp;T COD"/>
    <s v="Tiktok"/>
    <s v="จ่ายทีหลัง / COD"/>
    <s v=""/>
    <s v="754248002045"/>
    <s v="01/01/2025 01:38"/>
  </r>
  <r>
    <x v="10"/>
    <x v="10"/>
    <n v="200"/>
    <n v="1"/>
    <n v="0"/>
    <s v="EPE39"/>
    <n v="200"/>
    <n v="0"/>
    <s v="ร้านที่1"/>
    <s v="ณ***์วรินทร์ ฉ***สงเดือน"/>
    <s v="เพชรบุรี"/>
    <s v="-"/>
    <s v=""/>
    <s v="01/01/2025 01:35"/>
    <s v="-"/>
    <s v="J&amp;T COD"/>
    <s v="Tiktok"/>
    <s v="จ่ายทีหลัง / COD"/>
    <s v=""/>
    <s v="754140386915"/>
    <s v="01/01/2025 01:38"/>
  </r>
  <r>
    <x v="35"/>
    <x v="46"/>
    <n v="100"/>
    <n v="1"/>
    <n v="0"/>
    <s v="EPE37"/>
    <n v="125"/>
    <n v="25"/>
    <s v="ร้านที่2"/>
    <s v="さ*** み*"/>
    <s v="เชียงใหม่"/>
    <s v="-"/>
    <s v=""/>
    <s v="01/01/2025 19:34"/>
    <s v="-"/>
    <s v="J&amp;T Express"/>
    <s v="Tiktok"/>
    <s v="tiktok"/>
    <s v=""/>
    <s v="754279789244"/>
    <s v="01/01/2025 01:00"/>
  </r>
  <r>
    <x v="59"/>
    <x v="84"/>
    <n v="100"/>
    <n v="2"/>
    <n v="0"/>
    <s v="EPE36"/>
    <n v="200"/>
    <n v="0"/>
    <s v="ร้านที่2"/>
    <s v="ส***สา"/>
    <s v="น่าน"/>
    <s v="-"/>
    <s v=""/>
    <s v="01/01/2025 00:56"/>
    <s v="-"/>
    <s v="J&amp;T COD"/>
    <s v="Tiktok"/>
    <s v="จ่ายทีหลัง / COD"/>
    <s v=""/>
    <s v="754207607042"/>
    <s v="01/01/2025 00:56"/>
  </r>
  <r>
    <x v="4"/>
    <x v="4"/>
    <n v="100"/>
    <n v="1"/>
    <n v="0"/>
    <s v="EPE35"/>
    <n v="106"/>
    <n v="6"/>
    <s v="ร้านที่1"/>
    <s v="ว***ีโชกบัณฑิต"/>
    <s v="กรุงเทพฯ"/>
    <s v="-"/>
    <s v=""/>
    <s v="01/01/2025 00:56"/>
    <s v="-"/>
    <s v="J&amp;T COD"/>
    <s v="Tiktok"/>
    <s v="จ่ายทีหลัง / COD"/>
    <s v=""/>
    <s v="754185271980"/>
    <s v="01/01/2025 00:56"/>
  </r>
  <r>
    <x v="4"/>
    <x v="4"/>
    <n v="100"/>
    <n v="1"/>
    <n v="0"/>
    <s v="EPE34"/>
    <n v="106"/>
    <n v="6"/>
    <s v="ร้านที่4"/>
    <s v="ว***ินทร์ ช***ตุ้ม"/>
    <s v="กรุงเทพมหานคร"/>
    <s v="-"/>
    <s v=""/>
    <s v="01/01/2025 00:56"/>
    <s v="-"/>
    <s v="Flash Express Thailand"/>
    <s v="Tiktok"/>
    <s v="tiktok"/>
    <s v=""/>
    <s v="THT01491DJ41G0Z"/>
    <s v="01/01/2025 00:55"/>
  </r>
  <r>
    <x v="29"/>
    <x v="36"/>
    <n v="330"/>
    <n v="1"/>
    <n v="0"/>
    <s v="EPE31"/>
    <n v="330"/>
    <n v="0"/>
    <s v="ร้านที่1"/>
    <s v="จ***ิลา"/>
    <s v="มหาสารคาม"/>
    <s v="-"/>
    <s v=""/>
    <s v="01/01/2025 00:44"/>
    <s v="-"/>
    <s v="J&amp;T Express"/>
    <s v="Tiktok"/>
    <s v="tiktok"/>
    <s v=""/>
    <s v="754142889905"/>
    <s v="01/01/2025 00:45"/>
  </r>
  <r>
    <x v="11"/>
    <x v="11"/>
    <n v="250"/>
    <n v="1"/>
    <n v="0"/>
    <s v="EPE30"/>
    <n v="250"/>
    <n v="0"/>
    <s v="ร้านที่4"/>
    <s v="น***ุริยน ส***ศน์ณอยุธยา"/>
    <s v="เทศบาลนครนครปฐม"/>
    <s v="-"/>
    <s v=""/>
    <s v="01/01/2025 00:46"/>
    <s v="-"/>
    <s v="Flash Express Thailand"/>
    <s v="Tiktok"/>
    <s v="tiktok"/>
    <s v=""/>
    <s v="THT15061DJGRQ0Z"/>
    <s v="01/01/2025 00:45"/>
  </r>
  <r>
    <x v="4"/>
    <x v="4"/>
    <n v="100"/>
    <n v="1"/>
    <n v="0"/>
    <s v="EPE29"/>
    <n v="106"/>
    <n v="6"/>
    <s v="ร้านที่2"/>
    <s v="ช***ัฒน์ ส***้ว"/>
    <s v="สุราษฎร์ธานี"/>
    <s v="-"/>
    <s v=""/>
    <s v="01/01/2025 00:42"/>
    <s v="-"/>
    <s v="J&amp;T COD"/>
    <s v="Tiktok"/>
    <s v="จ่ายทีหลัง / COD"/>
    <s v=""/>
    <s v="754107671984"/>
    <s v="01/01/2025 00:45"/>
  </r>
  <r>
    <x v="59"/>
    <x v="84"/>
    <n v="100"/>
    <n v="2"/>
    <n v="0"/>
    <s v="EPE28"/>
    <n v="200"/>
    <n v="0"/>
    <s v="ร้านที่2"/>
    <s v="จ***ลดา บ***ิตสงคราม"/>
    <s v="เทศบาลนครพิษณุโลก"/>
    <s v="-"/>
    <s v=""/>
    <s v="01/01/2025 00:41"/>
    <s v="-"/>
    <s v="J&amp;T Express"/>
    <s v="Tiktok"/>
    <s v="tiktok"/>
    <s v=""/>
    <s v="754172597975"/>
    <s v="01/01/2025 00:45"/>
  </r>
  <r>
    <x v="33"/>
    <x v="43"/>
    <n v="330"/>
    <n v="1"/>
    <n v="0"/>
    <s v="EPE27"/>
    <n v="330"/>
    <n v="0"/>
    <s v="ร้านที่1"/>
    <s v="น***าวปานวาด อ***ร์ศาสตร์"/>
    <s v="เทศบาลนครอุบลราชธานี"/>
    <s v="-"/>
    <s v=""/>
    <s v="01/01/2025 00:36"/>
    <s v="-"/>
    <s v="J&amp;T COD"/>
    <s v="Tiktok"/>
    <s v="จ่ายทีหลัง / COD"/>
    <s v=""/>
    <s v="754168960996"/>
    <s v="01/01/2025 00:44"/>
  </r>
  <r>
    <x v="3"/>
    <x v="3"/>
    <n v="100"/>
    <n v="2"/>
    <n v="0"/>
    <s v="EPE24"/>
    <n v="200"/>
    <n v="0"/>
    <s v="ร้านที่2"/>
    <s v="ช******ก"/>
    <s v="******ถนนพระราม2 แขวงแสมดำ แขวงแสมดำ เขตบางขุนเทียน จังหวัดกรุงเทพมหานคร 10150"/>
    <s v="10150"/>
    <s v="91"/>
    <s v="01/01/2025 00:37"/>
    <s v="-"/>
    <s v="Flash Express"/>
    <s v="Shopee"/>
    <s v="shopee"/>
    <s v=""/>
    <s v="TH01176N3M9P7B2"/>
    <s v="01/01/2025 00:37"/>
  </r>
  <r>
    <x v="10"/>
    <x v="10"/>
    <n v="200"/>
    <n v="1"/>
    <n v="0"/>
    <s v="EPE22"/>
    <n v="200"/>
    <n v="0"/>
    <s v="ร้านที่1"/>
    <s v="น***ารุวรรณ  ย***ยืน"/>
    <s v="ประจวบคีรีขันธ์"/>
    <s v="-"/>
    <s v=""/>
    <s v="01/01/2025 00:12"/>
    <s v="-"/>
    <s v="J&amp;T COD"/>
    <s v="Tiktok"/>
    <s v="จ่ายทีหลัง / COD"/>
    <s v=""/>
    <s v="754122580901"/>
    <s v="01/01/2025 00: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EB32C-F540-48CD-904A-11829DA0C0D6}" name="PivotTable1" cacheId="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V1:X176" firstHeaderRow="0" firstDataRow="1" firstDataCol="1"/>
  <pivotFields count="21">
    <pivotField axis="axisRow" showAll="0">
      <items count="67">
        <item x="3"/>
        <item x="40"/>
        <item x="39"/>
        <item x="59"/>
        <item x="37"/>
        <item x="35"/>
        <item x="15"/>
        <item x="0"/>
        <item x="22"/>
        <item x="48"/>
        <item x="51"/>
        <item x="57"/>
        <item x="31"/>
        <item x="38"/>
        <item x="13"/>
        <item x="20"/>
        <item x="25"/>
        <item x="45"/>
        <item x="61"/>
        <item x="34"/>
        <item x="10"/>
        <item x="18"/>
        <item x="26"/>
        <item x="44"/>
        <item x="41"/>
        <item x="50"/>
        <item x="43"/>
        <item x="62"/>
        <item x="8"/>
        <item x="2"/>
        <item x="60"/>
        <item x="46"/>
        <item x="1"/>
        <item x="5"/>
        <item x="32"/>
        <item x="30"/>
        <item x="36"/>
        <item x="24"/>
        <item x="21"/>
        <item x="49"/>
        <item x="64"/>
        <item x="7"/>
        <item x="65"/>
        <item x="14"/>
        <item x="63"/>
        <item x="33"/>
        <item x="27"/>
        <item x="11"/>
        <item x="54"/>
        <item x="56"/>
        <item x="6"/>
        <item x="58"/>
        <item x="12"/>
        <item x="23"/>
        <item x="19"/>
        <item x="9"/>
        <item x="4"/>
        <item x="42"/>
        <item x="47"/>
        <item x="29"/>
        <item x="53"/>
        <item x="28"/>
        <item x="16"/>
        <item x="17"/>
        <item x="52"/>
        <item x="55"/>
        <item t="default"/>
      </items>
    </pivotField>
    <pivotField axis="axisRow" showAll="0">
      <items count="94">
        <item x="39"/>
        <item x="43"/>
        <item x="3"/>
        <item x="2"/>
        <item x="76"/>
        <item x="22"/>
        <item x="63"/>
        <item x="58"/>
        <item x="66"/>
        <item x="90"/>
        <item x="48"/>
        <item x="55"/>
        <item x="40"/>
        <item x="51"/>
        <item x="42"/>
        <item x="47"/>
        <item x="41"/>
        <item x="18"/>
        <item x="15"/>
        <item x="71"/>
        <item x="31"/>
        <item x="70"/>
        <item x="57"/>
        <item x="0"/>
        <item x="67"/>
        <item x="60"/>
        <item x="49"/>
        <item x="11"/>
        <item x="27"/>
        <item x="91"/>
        <item x="82"/>
        <item x="75"/>
        <item x="30"/>
        <item x="20"/>
        <item x="12"/>
        <item x="34"/>
        <item x="54"/>
        <item x="45"/>
        <item x="52"/>
        <item x="33"/>
        <item x="4"/>
        <item x="80"/>
        <item x="56"/>
        <item x="77"/>
        <item x="86"/>
        <item x="88"/>
        <item x="64"/>
        <item x="85"/>
        <item x="50"/>
        <item x="28"/>
        <item x="79"/>
        <item x="87"/>
        <item x="26"/>
        <item x="32"/>
        <item x="13"/>
        <item x="37"/>
        <item x="69"/>
        <item x="35"/>
        <item x="16"/>
        <item x="78"/>
        <item x="89"/>
        <item x="6"/>
        <item x="9"/>
        <item x="10"/>
        <item x="36"/>
        <item x="61"/>
        <item x="59"/>
        <item x="72"/>
        <item x="62"/>
        <item x="7"/>
        <item x="73"/>
        <item x="14"/>
        <item x="68"/>
        <item x="5"/>
        <item x="84"/>
        <item x="53"/>
        <item x="25"/>
        <item x="83"/>
        <item x="74"/>
        <item x="92"/>
        <item x="81"/>
        <item x="38"/>
        <item x="65"/>
        <item x="29"/>
        <item x="17"/>
        <item x="19"/>
        <item x="46"/>
        <item x="8"/>
        <item x="24"/>
        <item x="1"/>
        <item x="44"/>
        <item x="23"/>
        <item x="2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75">
    <i>
      <x/>
    </i>
    <i r="1">
      <x v="2"/>
    </i>
    <i r="1">
      <x v="87"/>
    </i>
    <i r="1">
      <x v="90"/>
    </i>
    <i r="1">
      <x v="91"/>
    </i>
    <i>
      <x v="1"/>
    </i>
    <i r="1">
      <x v="15"/>
    </i>
    <i r="1">
      <x v="66"/>
    </i>
    <i>
      <x v="2"/>
    </i>
    <i r="1">
      <x v="7"/>
    </i>
    <i r="1">
      <x v="11"/>
    </i>
    <i>
      <x v="3"/>
    </i>
    <i r="1">
      <x v="74"/>
    </i>
    <i>
      <x v="4"/>
    </i>
    <i r="1">
      <x v="26"/>
    </i>
    <i>
      <x v="5"/>
    </i>
    <i r="1">
      <x v="86"/>
    </i>
    <i>
      <x v="6"/>
    </i>
    <i r="1">
      <x v="18"/>
    </i>
    <i>
      <x v="7"/>
    </i>
    <i r="1">
      <x v="20"/>
    </i>
    <i r="1">
      <x v="22"/>
    </i>
    <i r="1">
      <x v="23"/>
    </i>
    <i r="1">
      <x v="24"/>
    </i>
    <i>
      <x v="8"/>
    </i>
    <i r="1">
      <x v="5"/>
    </i>
    <i r="1">
      <x v="82"/>
    </i>
    <i>
      <x v="9"/>
    </i>
    <i r="1">
      <x v="19"/>
    </i>
    <i>
      <x v="10"/>
    </i>
    <i r="1">
      <x v="31"/>
    </i>
    <i>
      <x v="11"/>
    </i>
    <i r="1">
      <x v="41"/>
    </i>
    <i>
      <x v="12"/>
    </i>
    <i r="1">
      <x v="16"/>
    </i>
    <i>
      <x v="13"/>
    </i>
    <i r="1">
      <x v="16"/>
    </i>
    <i r="1">
      <x v="48"/>
    </i>
    <i>
      <x v="14"/>
    </i>
    <i r="1">
      <x v="6"/>
    </i>
    <i r="1">
      <x v="32"/>
    </i>
    <i r="1">
      <x v="54"/>
    </i>
    <i r="1">
      <x v="65"/>
    </i>
    <i>
      <x v="15"/>
    </i>
    <i r="1">
      <x v="33"/>
    </i>
    <i>
      <x v="16"/>
    </i>
    <i r="1">
      <x v="49"/>
    </i>
    <i>
      <x v="17"/>
    </i>
    <i r="1">
      <x v="16"/>
    </i>
    <i>
      <x v="18"/>
    </i>
    <i r="1">
      <x v="51"/>
    </i>
    <i>
      <x v="19"/>
    </i>
    <i r="1">
      <x v="37"/>
    </i>
    <i r="1">
      <x v="56"/>
    </i>
    <i>
      <x v="20"/>
    </i>
    <i r="1">
      <x v="63"/>
    </i>
    <i>
      <x v="21"/>
    </i>
    <i r="1">
      <x/>
    </i>
    <i r="1">
      <x v="17"/>
    </i>
    <i>
      <x v="22"/>
    </i>
    <i r="1">
      <x v="17"/>
    </i>
    <i r="1">
      <x v="42"/>
    </i>
    <i>
      <x v="23"/>
    </i>
    <i r="1">
      <x v="17"/>
    </i>
    <i r="1">
      <x v="43"/>
    </i>
    <i>
      <x v="24"/>
    </i>
    <i r="1">
      <x v="17"/>
    </i>
    <i r="1">
      <x v="44"/>
    </i>
    <i>
      <x v="25"/>
    </i>
    <i r="1">
      <x v="17"/>
    </i>
    <i r="1">
      <x v="45"/>
    </i>
    <i>
      <x v="26"/>
    </i>
    <i r="1">
      <x v="46"/>
    </i>
    <i>
      <x v="27"/>
    </i>
    <i r="1">
      <x v="60"/>
    </i>
    <i>
      <x v="28"/>
    </i>
    <i r="1">
      <x v="62"/>
    </i>
    <i>
      <x v="29"/>
    </i>
    <i r="1">
      <x v="3"/>
    </i>
    <i r="1">
      <x v="30"/>
    </i>
    <i>
      <x v="30"/>
    </i>
    <i r="1">
      <x v="47"/>
    </i>
    <i>
      <x v="31"/>
    </i>
    <i r="1">
      <x v="72"/>
    </i>
    <i>
      <x v="32"/>
    </i>
    <i r="1">
      <x v="89"/>
    </i>
    <i>
      <x v="33"/>
    </i>
    <i r="1">
      <x v="73"/>
    </i>
    <i>
      <x v="34"/>
    </i>
    <i r="1">
      <x v="14"/>
    </i>
    <i r="1">
      <x v="15"/>
    </i>
    <i r="1">
      <x v="75"/>
    </i>
    <i>
      <x v="35"/>
    </i>
    <i r="1">
      <x v="8"/>
    </i>
    <i r="1">
      <x v="9"/>
    </i>
    <i r="1">
      <x v="12"/>
    </i>
    <i>
      <x v="36"/>
    </i>
    <i r="1">
      <x v="8"/>
    </i>
    <i r="1">
      <x v="10"/>
    </i>
    <i r="1">
      <x v="13"/>
    </i>
    <i>
      <x v="37"/>
    </i>
    <i r="1">
      <x v="4"/>
    </i>
    <i r="1">
      <x v="38"/>
    </i>
    <i r="1">
      <x v="52"/>
    </i>
    <i r="1">
      <x v="53"/>
    </i>
    <i r="1">
      <x v="76"/>
    </i>
    <i r="1">
      <x v="79"/>
    </i>
    <i>
      <x v="38"/>
    </i>
    <i r="1">
      <x v="92"/>
    </i>
    <i>
      <x v="39"/>
    </i>
    <i r="1">
      <x v="67"/>
    </i>
    <i>
      <x v="40"/>
    </i>
    <i r="1">
      <x v="29"/>
    </i>
    <i>
      <x v="41"/>
    </i>
    <i r="1">
      <x v="68"/>
    </i>
    <i r="1">
      <x v="69"/>
    </i>
    <i>
      <x v="42"/>
    </i>
    <i r="1">
      <x v="29"/>
    </i>
    <i>
      <x v="43"/>
    </i>
    <i r="1">
      <x v="70"/>
    </i>
    <i r="1">
      <x v="71"/>
    </i>
    <i>
      <x v="44"/>
    </i>
    <i r="1">
      <x v="29"/>
    </i>
    <i>
      <x v="45"/>
    </i>
    <i r="1">
      <x v="1"/>
    </i>
    <i>
      <x v="46"/>
    </i>
    <i r="1">
      <x v="83"/>
    </i>
    <i>
      <x v="47"/>
    </i>
    <i r="1">
      <x v="27"/>
    </i>
    <i>
      <x v="48"/>
    </i>
    <i r="1">
      <x v="27"/>
    </i>
    <i>
      <x v="49"/>
    </i>
    <i r="1">
      <x v="50"/>
    </i>
    <i>
      <x v="50"/>
    </i>
    <i r="1">
      <x v="39"/>
    </i>
    <i r="1">
      <x v="61"/>
    </i>
    <i r="1">
      <x v="80"/>
    </i>
    <i r="1">
      <x v="81"/>
    </i>
    <i>
      <x v="51"/>
    </i>
    <i r="1">
      <x v="27"/>
    </i>
    <i>
      <x v="52"/>
    </i>
    <i r="1">
      <x v="34"/>
    </i>
    <i>
      <x v="53"/>
    </i>
    <i r="1">
      <x v="36"/>
    </i>
    <i r="1">
      <x v="88"/>
    </i>
    <i>
      <x v="54"/>
    </i>
    <i r="1">
      <x v="28"/>
    </i>
    <i r="1">
      <x v="35"/>
    </i>
    <i r="1">
      <x v="77"/>
    </i>
    <i r="1">
      <x v="78"/>
    </i>
    <i r="1">
      <x v="85"/>
    </i>
    <i>
      <x v="55"/>
    </i>
    <i r="1">
      <x v="40"/>
    </i>
    <i>
      <x v="56"/>
    </i>
    <i r="1">
      <x v="40"/>
    </i>
    <i>
      <x v="57"/>
    </i>
    <i r="1">
      <x v="25"/>
    </i>
    <i>
      <x v="58"/>
    </i>
    <i r="1">
      <x v="21"/>
    </i>
    <i>
      <x v="59"/>
    </i>
    <i r="1">
      <x v="64"/>
    </i>
    <i>
      <x v="60"/>
    </i>
    <i r="1">
      <x v="59"/>
    </i>
    <i>
      <x v="61"/>
    </i>
    <i r="1">
      <x v="57"/>
    </i>
    <i>
      <x v="62"/>
    </i>
    <i r="1">
      <x v="55"/>
    </i>
    <i r="1">
      <x v="58"/>
    </i>
    <i>
      <x v="63"/>
    </i>
    <i r="1">
      <x v="84"/>
    </i>
    <i>
      <x v="64"/>
    </i>
    <i r="1">
      <x v="27"/>
    </i>
    <i>
      <x v="65"/>
    </i>
    <i r="1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ราคา" fld="2" baseField="0" baseItem="0"/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CC"/>
    <pageSetUpPr fitToPage="1"/>
  </sheetPr>
  <dimension ref="A1:X4349"/>
  <sheetViews>
    <sheetView topLeftCell="Q141" zoomScale="70" zoomScaleNormal="70" workbookViewId="0">
      <selection activeCell="R171" sqref="R170:R171"/>
    </sheetView>
  </sheetViews>
  <sheetFormatPr defaultRowHeight="15" x14ac:dyDescent="0.25"/>
  <cols>
    <col min="1" max="1" width="42.81640625" bestFit="1" customWidth="1"/>
    <col min="2" max="2" width="95.36328125" bestFit="1" customWidth="1"/>
    <col min="22" max="22" width="99.1796875" bestFit="1" customWidth="1"/>
    <col min="23" max="23" width="13.90625" bestFit="1" customWidth="1"/>
    <col min="24" max="24" width="15.179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16244</v>
      </c>
      <c r="W1" t="s">
        <v>16246</v>
      </c>
      <c r="X1" t="s">
        <v>16247</v>
      </c>
    </row>
    <row r="2" spans="1:24" x14ac:dyDescent="0.25">
      <c r="A2" t="s">
        <v>21</v>
      </c>
      <c r="B2" t="s">
        <v>22</v>
      </c>
      <c r="C2">
        <v>100</v>
      </c>
      <c r="D2">
        <v>1</v>
      </c>
      <c r="E2">
        <v>0</v>
      </c>
      <c r="F2" t="s">
        <v>23</v>
      </c>
      <c r="G2">
        <v>129</v>
      </c>
      <c r="H2">
        <v>29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27</v>
      </c>
      <c r="P2" t="s">
        <v>30</v>
      </c>
      <c r="Q2" t="s">
        <v>31</v>
      </c>
      <c r="R2" t="s">
        <v>32</v>
      </c>
      <c r="S2" t="s">
        <v>28</v>
      </c>
      <c r="T2" t="s">
        <v>27</v>
      </c>
      <c r="U2" t="s">
        <v>29</v>
      </c>
      <c r="V2" s="2" t="s">
        <v>58</v>
      </c>
      <c r="W2">
        <v>49051.779999999992</v>
      </c>
      <c r="X2">
        <v>657</v>
      </c>
    </row>
    <row r="3" spans="1:24" x14ac:dyDescent="0.25">
      <c r="A3" t="s">
        <v>33</v>
      </c>
      <c r="B3" t="s">
        <v>34</v>
      </c>
      <c r="C3">
        <v>200</v>
      </c>
      <c r="D3">
        <v>1</v>
      </c>
      <c r="E3">
        <v>0</v>
      </c>
      <c r="F3" t="s">
        <v>35</v>
      </c>
      <c r="G3">
        <v>200</v>
      </c>
      <c r="H3">
        <v>0</v>
      </c>
      <c r="I3" t="s">
        <v>24</v>
      </c>
      <c r="J3" t="s">
        <v>36</v>
      </c>
      <c r="K3" t="s">
        <v>37</v>
      </c>
      <c r="L3" t="s">
        <v>27</v>
      </c>
      <c r="M3" t="s">
        <v>28</v>
      </c>
      <c r="N3" t="s">
        <v>38</v>
      </c>
      <c r="O3" t="s">
        <v>27</v>
      </c>
      <c r="P3" t="s">
        <v>39</v>
      </c>
      <c r="Q3" t="s">
        <v>31</v>
      </c>
      <c r="R3" t="s">
        <v>32</v>
      </c>
      <c r="S3" t="s">
        <v>28</v>
      </c>
      <c r="T3" t="s">
        <v>27</v>
      </c>
      <c r="U3" t="s">
        <v>38</v>
      </c>
      <c r="V3" s="3" t="s">
        <v>58</v>
      </c>
      <c r="W3">
        <v>34478.800000000003</v>
      </c>
      <c r="X3">
        <v>493</v>
      </c>
    </row>
    <row r="4" spans="1:24" x14ac:dyDescent="0.25">
      <c r="A4" t="s">
        <v>40</v>
      </c>
      <c r="B4" t="s">
        <v>41</v>
      </c>
      <c r="C4">
        <v>93.6</v>
      </c>
      <c r="D4">
        <v>1</v>
      </c>
      <c r="E4">
        <v>0</v>
      </c>
      <c r="F4" t="s">
        <v>42</v>
      </c>
      <c r="G4">
        <v>98.6</v>
      </c>
      <c r="H4">
        <v>5</v>
      </c>
      <c r="I4" t="s">
        <v>24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27</v>
      </c>
      <c r="P4" t="s">
        <v>48</v>
      </c>
      <c r="Q4" t="s">
        <v>49</v>
      </c>
      <c r="R4" t="s">
        <v>50</v>
      </c>
      <c r="S4" t="s">
        <v>28</v>
      </c>
      <c r="T4" t="s">
        <v>27</v>
      </c>
      <c r="U4" t="s">
        <v>51</v>
      </c>
      <c r="V4" s="3" t="s">
        <v>103</v>
      </c>
      <c r="W4">
        <v>13748.099999999995</v>
      </c>
      <c r="X4">
        <v>158</v>
      </c>
    </row>
    <row r="5" spans="1:24" x14ac:dyDescent="0.25">
      <c r="A5" t="s">
        <v>33</v>
      </c>
      <c r="B5" t="s">
        <v>34</v>
      </c>
      <c r="C5">
        <v>200</v>
      </c>
      <c r="D5">
        <v>1</v>
      </c>
      <c r="E5">
        <v>0</v>
      </c>
      <c r="F5" t="s">
        <v>52</v>
      </c>
      <c r="G5">
        <v>200</v>
      </c>
      <c r="H5">
        <v>0</v>
      </c>
      <c r="I5" t="s">
        <v>24</v>
      </c>
      <c r="J5" t="s">
        <v>53</v>
      </c>
      <c r="K5" t="s">
        <v>54</v>
      </c>
      <c r="L5" t="s">
        <v>27</v>
      </c>
      <c r="M5" t="s">
        <v>28</v>
      </c>
      <c r="N5" t="s">
        <v>55</v>
      </c>
      <c r="O5" t="s">
        <v>27</v>
      </c>
      <c r="P5" t="s">
        <v>56</v>
      </c>
      <c r="Q5" t="s">
        <v>31</v>
      </c>
      <c r="R5" t="s">
        <v>57</v>
      </c>
      <c r="S5" t="s">
        <v>28</v>
      </c>
      <c r="T5" t="s">
        <v>27</v>
      </c>
      <c r="U5" t="s">
        <v>55</v>
      </c>
      <c r="V5" s="3" t="s">
        <v>2423</v>
      </c>
      <c r="W5">
        <v>524.88</v>
      </c>
      <c r="X5">
        <v>4</v>
      </c>
    </row>
    <row r="6" spans="1:24" x14ac:dyDescent="0.25">
      <c r="A6" t="s">
        <v>58</v>
      </c>
      <c r="B6" t="s">
        <v>58</v>
      </c>
      <c r="C6">
        <v>100</v>
      </c>
      <c r="D6">
        <v>1</v>
      </c>
      <c r="E6">
        <v>0</v>
      </c>
      <c r="F6" t="s">
        <v>59</v>
      </c>
      <c r="G6">
        <v>200</v>
      </c>
      <c r="H6">
        <v>0</v>
      </c>
      <c r="I6" t="s">
        <v>24</v>
      </c>
      <c r="J6" t="s">
        <v>60</v>
      </c>
      <c r="K6" t="s">
        <v>61</v>
      </c>
      <c r="L6" t="s">
        <v>27</v>
      </c>
      <c r="M6" t="s">
        <v>28</v>
      </c>
      <c r="N6" t="s">
        <v>62</v>
      </c>
      <c r="O6" t="s">
        <v>27</v>
      </c>
      <c r="P6" t="s">
        <v>39</v>
      </c>
      <c r="Q6" t="s">
        <v>31</v>
      </c>
      <c r="R6" t="s">
        <v>32</v>
      </c>
      <c r="S6" t="s">
        <v>28</v>
      </c>
      <c r="T6" t="s">
        <v>27</v>
      </c>
      <c r="U6" t="s">
        <v>62</v>
      </c>
      <c r="V6" s="3" t="s">
        <v>545</v>
      </c>
      <c r="W6">
        <v>300</v>
      </c>
      <c r="X6">
        <v>2</v>
      </c>
    </row>
    <row r="7" spans="1:24" x14ac:dyDescent="0.25">
      <c r="A7" t="s">
        <v>63</v>
      </c>
      <c r="B7" t="s">
        <v>64</v>
      </c>
      <c r="C7">
        <v>100</v>
      </c>
      <c r="D7">
        <v>1</v>
      </c>
      <c r="E7">
        <v>0</v>
      </c>
      <c r="F7" t="s">
        <v>59</v>
      </c>
      <c r="G7">
        <v>200</v>
      </c>
      <c r="H7">
        <v>0</v>
      </c>
      <c r="I7" t="s">
        <v>24</v>
      </c>
      <c r="J7" t="s">
        <v>60</v>
      </c>
      <c r="K7" t="s">
        <v>61</v>
      </c>
      <c r="L7" t="s">
        <v>27</v>
      </c>
      <c r="M7" t="s">
        <v>28</v>
      </c>
      <c r="N7" t="s">
        <v>62</v>
      </c>
      <c r="O7" t="s">
        <v>27</v>
      </c>
      <c r="P7" t="s">
        <v>39</v>
      </c>
      <c r="Q7" t="s">
        <v>31</v>
      </c>
      <c r="R7" t="s">
        <v>32</v>
      </c>
      <c r="S7" t="s">
        <v>28</v>
      </c>
      <c r="T7" t="s">
        <v>27</v>
      </c>
      <c r="U7" t="s">
        <v>62</v>
      </c>
      <c r="V7" s="2" t="s">
        <v>3739</v>
      </c>
      <c r="W7">
        <v>2216.38</v>
      </c>
      <c r="X7">
        <v>8</v>
      </c>
    </row>
    <row r="8" spans="1:24" x14ac:dyDescent="0.25">
      <c r="A8" t="s">
        <v>33</v>
      </c>
      <c r="B8" t="s">
        <v>34</v>
      </c>
      <c r="C8">
        <v>200</v>
      </c>
      <c r="D8">
        <v>1</v>
      </c>
      <c r="E8">
        <v>0</v>
      </c>
      <c r="F8" t="s">
        <v>65</v>
      </c>
      <c r="G8">
        <v>200</v>
      </c>
      <c r="H8">
        <v>0</v>
      </c>
      <c r="I8" t="s">
        <v>24</v>
      </c>
      <c r="J8" t="s">
        <v>66</v>
      </c>
      <c r="K8" t="s">
        <v>67</v>
      </c>
      <c r="L8" t="s">
        <v>27</v>
      </c>
      <c r="M8" t="s">
        <v>28</v>
      </c>
      <c r="N8" t="s">
        <v>68</v>
      </c>
      <c r="O8" t="s">
        <v>27</v>
      </c>
      <c r="P8" t="s">
        <v>39</v>
      </c>
      <c r="Q8" t="s">
        <v>31</v>
      </c>
      <c r="R8" t="s">
        <v>32</v>
      </c>
      <c r="S8" t="s">
        <v>28</v>
      </c>
      <c r="T8" t="s">
        <v>27</v>
      </c>
      <c r="U8" t="s">
        <v>69</v>
      </c>
      <c r="V8" s="3" t="s">
        <v>2854</v>
      </c>
      <c r="W8">
        <v>1742.19</v>
      </c>
      <c r="X8">
        <v>6</v>
      </c>
    </row>
    <row r="9" spans="1:24" x14ac:dyDescent="0.25">
      <c r="A9" t="s">
        <v>70</v>
      </c>
      <c r="B9" t="s">
        <v>70</v>
      </c>
      <c r="C9">
        <v>330</v>
      </c>
      <c r="D9">
        <v>1</v>
      </c>
      <c r="E9">
        <v>0</v>
      </c>
      <c r="F9" t="s">
        <v>71</v>
      </c>
      <c r="G9">
        <v>330</v>
      </c>
      <c r="H9">
        <v>0</v>
      </c>
      <c r="I9" t="s">
        <v>24</v>
      </c>
      <c r="J9" t="s">
        <v>72</v>
      </c>
      <c r="K9" t="s">
        <v>73</v>
      </c>
      <c r="L9" t="s">
        <v>27</v>
      </c>
      <c r="M9" t="s">
        <v>28</v>
      </c>
      <c r="N9" t="s">
        <v>74</v>
      </c>
      <c r="O9" t="s">
        <v>27</v>
      </c>
      <c r="P9" t="s">
        <v>39</v>
      </c>
      <c r="Q9" t="s">
        <v>31</v>
      </c>
      <c r="R9" t="s">
        <v>32</v>
      </c>
      <c r="S9" t="s">
        <v>28</v>
      </c>
      <c r="T9" t="s">
        <v>27</v>
      </c>
      <c r="U9" t="s">
        <v>75</v>
      </c>
      <c r="V9" s="3" t="s">
        <v>3774</v>
      </c>
      <c r="W9">
        <v>474.19</v>
      </c>
      <c r="X9">
        <v>2</v>
      </c>
    </row>
    <row r="10" spans="1:24" x14ac:dyDescent="0.25">
      <c r="A10" t="s">
        <v>76</v>
      </c>
      <c r="B10" t="s">
        <v>77</v>
      </c>
      <c r="C10">
        <v>250</v>
      </c>
      <c r="D10">
        <v>1</v>
      </c>
      <c r="E10">
        <v>0</v>
      </c>
      <c r="F10" t="s">
        <v>78</v>
      </c>
      <c r="G10">
        <v>250</v>
      </c>
      <c r="H10">
        <v>0</v>
      </c>
      <c r="I10" t="s">
        <v>24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27</v>
      </c>
      <c r="P10" t="s">
        <v>84</v>
      </c>
      <c r="Q10" t="s">
        <v>85</v>
      </c>
      <c r="R10" t="s">
        <v>86</v>
      </c>
      <c r="S10" t="s">
        <v>28</v>
      </c>
      <c r="T10" t="s">
        <v>27</v>
      </c>
      <c r="U10" t="s">
        <v>83</v>
      </c>
      <c r="V10" s="2" t="s">
        <v>3543</v>
      </c>
      <c r="W10">
        <v>6502.5999999999995</v>
      </c>
      <c r="X10">
        <v>22</v>
      </c>
    </row>
    <row r="11" spans="1:24" x14ac:dyDescent="0.25">
      <c r="A11" t="s">
        <v>33</v>
      </c>
      <c r="B11" t="s">
        <v>34</v>
      </c>
      <c r="C11">
        <v>200</v>
      </c>
      <c r="D11">
        <v>1</v>
      </c>
      <c r="E11">
        <v>0</v>
      </c>
      <c r="F11" t="s">
        <v>87</v>
      </c>
      <c r="G11">
        <v>200</v>
      </c>
      <c r="H11">
        <v>0</v>
      </c>
      <c r="I11" t="s">
        <v>24</v>
      </c>
      <c r="J11" t="s">
        <v>88</v>
      </c>
      <c r="K11" t="s">
        <v>89</v>
      </c>
      <c r="L11" t="s">
        <v>27</v>
      </c>
      <c r="M11" t="s">
        <v>28</v>
      </c>
      <c r="N11" t="s">
        <v>90</v>
      </c>
      <c r="O11" t="s">
        <v>27</v>
      </c>
      <c r="P11" t="s">
        <v>56</v>
      </c>
      <c r="Q11" t="s">
        <v>31</v>
      </c>
      <c r="R11" t="s">
        <v>57</v>
      </c>
      <c r="S11" t="s">
        <v>28</v>
      </c>
      <c r="T11" t="s">
        <v>27</v>
      </c>
      <c r="U11" t="s">
        <v>90</v>
      </c>
      <c r="V11" s="3" t="s">
        <v>3683</v>
      </c>
      <c r="W11">
        <v>1197</v>
      </c>
      <c r="X11">
        <v>3</v>
      </c>
    </row>
    <row r="12" spans="1:24" x14ac:dyDescent="0.25">
      <c r="A12" t="s">
        <v>21</v>
      </c>
      <c r="B12" t="s">
        <v>22</v>
      </c>
      <c r="C12">
        <v>100</v>
      </c>
      <c r="D12">
        <v>2</v>
      </c>
      <c r="E12">
        <v>0</v>
      </c>
      <c r="F12" t="s">
        <v>91</v>
      </c>
      <c r="G12">
        <v>200</v>
      </c>
      <c r="H12">
        <v>0</v>
      </c>
      <c r="I12" t="s">
        <v>24</v>
      </c>
      <c r="J12" t="s">
        <v>92</v>
      </c>
      <c r="K12" t="s">
        <v>89</v>
      </c>
      <c r="L12" t="s">
        <v>27</v>
      </c>
      <c r="M12" t="s">
        <v>28</v>
      </c>
      <c r="N12" t="s">
        <v>93</v>
      </c>
      <c r="O12" t="s">
        <v>27</v>
      </c>
      <c r="P12" t="s">
        <v>56</v>
      </c>
      <c r="Q12" t="s">
        <v>31</v>
      </c>
      <c r="R12" t="s">
        <v>57</v>
      </c>
      <c r="S12" t="s">
        <v>28</v>
      </c>
      <c r="T12" t="s">
        <v>27</v>
      </c>
      <c r="U12" t="s">
        <v>93</v>
      </c>
      <c r="V12" s="3" t="s">
        <v>3544</v>
      </c>
      <c r="W12">
        <v>5305.5999999999995</v>
      </c>
      <c r="X12">
        <v>19</v>
      </c>
    </row>
    <row r="13" spans="1:24" x14ac:dyDescent="0.25">
      <c r="A13" t="s">
        <v>94</v>
      </c>
      <c r="B13" t="s">
        <v>95</v>
      </c>
      <c r="C13">
        <v>74.400000000000006</v>
      </c>
      <c r="D13">
        <v>1</v>
      </c>
      <c r="E13">
        <v>0</v>
      </c>
      <c r="F13" t="s">
        <v>96</v>
      </c>
      <c r="G13">
        <v>79.400000000000006</v>
      </c>
      <c r="H13">
        <v>5</v>
      </c>
      <c r="I13" t="s">
        <v>24</v>
      </c>
      <c r="J13" t="s">
        <v>97</v>
      </c>
      <c r="K13" t="s">
        <v>98</v>
      </c>
      <c r="L13" t="s">
        <v>99</v>
      </c>
      <c r="M13" t="s">
        <v>100</v>
      </c>
      <c r="N13" t="s">
        <v>101</v>
      </c>
      <c r="O13" t="s">
        <v>27</v>
      </c>
      <c r="P13" t="s">
        <v>48</v>
      </c>
      <c r="Q13" t="s">
        <v>49</v>
      </c>
      <c r="R13" t="s">
        <v>50</v>
      </c>
      <c r="S13" t="s">
        <v>28</v>
      </c>
      <c r="T13" t="s">
        <v>27</v>
      </c>
      <c r="U13" t="s">
        <v>102</v>
      </c>
      <c r="V13" s="2" t="s">
        <v>13290</v>
      </c>
      <c r="W13">
        <v>4800</v>
      </c>
      <c r="X13">
        <v>63</v>
      </c>
    </row>
    <row r="14" spans="1:24" x14ac:dyDescent="0.25">
      <c r="A14" t="s">
        <v>58</v>
      </c>
      <c r="B14" t="s">
        <v>103</v>
      </c>
      <c r="C14">
        <v>99.75</v>
      </c>
      <c r="D14">
        <v>1</v>
      </c>
      <c r="E14">
        <v>0</v>
      </c>
      <c r="F14" t="s">
        <v>104</v>
      </c>
      <c r="G14">
        <v>104.75</v>
      </c>
      <c r="H14">
        <v>5</v>
      </c>
      <c r="I14" t="s">
        <v>105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27</v>
      </c>
      <c r="P14" t="s">
        <v>48</v>
      </c>
      <c r="Q14" t="s">
        <v>49</v>
      </c>
      <c r="R14" t="s">
        <v>50</v>
      </c>
      <c r="S14" t="s">
        <v>28</v>
      </c>
      <c r="T14" t="s">
        <v>27</v>
      </c>
      <c r="U14" t="s">
        <v>110</v>
      </c>
      <c r="V14" s="3" t="s">
        <v>13291</v>
      </c>
      <c r="W14">
        <v>4800</v>
      </c>
      <c r="X14">
        <v>63</v>
      </c>
    </row>
    <row r="15" spans="1:24" x14ac:dyDescent="0.25">
      <c r="A15" t="s">
        <v>33</v>
      </c>
      <c r="B15" t="s">
        <v>34</v>
      </c>
      <c r="C15">
        <v>200</v>
      </c>
      <c r="D15">
        <v>1</v>
      </c>
      <c r="E15">
        <v>0</v>
      </c>
      <c r="F15" t="s">
        <v>111</v>
      </c>
      <c r="G15">
        <v>200</v>
      </c>
      <c r="H15">
        <v>0</v>
      </c>
      <c r="I15" t="s">
        <v>24</v>
      </c>
      <c r="J15" t="s">
        <v>112</v>
      </c>
      <c r="K15" t="s">
        <v>113</v>
      </c>
      <c r="L15" t="s">
        <v>27</v>
      </c>
      <c r="M15" t="s">
        <v>28</v>
      </c>
      <c r="N15" t="s">
        <v>114</v>
      </c>
      <c r="O15" t="s">
        <v>27</v>
      </c>
      <c r="P15" t="s">
        <v>39</v>
      </c>
      <c r="Q15" t="s">
        <v>31</v>
      </c>
      <c r="R15" t="s">
        <v>32</v>
      </c>
      <c r="S15" t="s">
        <v>28</v>
      </c>
      <c r="T15" t="s">
        <v>27</v>
      </c>
      <c r="U15" t="s">
        <v>115</v>
      </c>
      <c r="V15" s="2" t="s">
        <v>2946</v>
      </c>
      <c r="W15">
        <v>700</v>
      </c>
      <c r="X15">
        <v>8</v>
      </c>
    </row>
    <row r="16" spans="1:24" x14ac:dyDescent="0.25">
      <c r="A16" t="s">
        <v>21</v>
      </c>
      <c r="B16" t="s">
        <v>22</v>
      </c>
      <c r="C16">
        <v>100</v>
      </c>
      <c r="D16">
        <v>3</v>
      </c>
      <c r="E16">
        <v>0</v>
      </c>
      <c r="F16" t="s">
        <v>116</v>
      </c>
      <c r="G16">
        <v>300</v>
      </c>
      <c r="H16">
        <v>0</v>
      </c>
      <c r="I16" t="s">
        <v>24</v>
      </c>
      <c r="J16" t="s">
        <v>117</v>
      </c>
      <c r="K16" t="s">
        <v>118</v>
      </c>
      <c r="L16" t="s">
        <v>27</v>
      </c>
      <c r="M16" t="s">
        <v>28</v>
      </c>
      <c r="N16" t="s">
        <v>119</v>
      </c>
      <c r="O16" t="s">
        <v>27</v>
      </c>
      <c r="P16" t="s">
        <v>39</v>
      </c>
      <c r="Q16" t="s">
        <v>31</v>
      </c>
      <c r="R16" t="s">
        <v>32</v>
      </c>
      <c r="S16" t="s">
        <v>28</v>
      </c>
      <c r="T16" t="s">
        <v>27</v>
      </c>
      <c r="U16" t="s">
        <v>119</v>
      </c>
      <c r="V16" s="3" t="s">
        <v>2947</v>
      </c>
      <c r="W16">
        <v>700</v>
      </c>
      <c r="X16">
        <v>8</v>
      </c>
    </row>
    <row r="17" spans="1:24" x14ac:dyDescent="0.25">
      <c r="A17" t="s">
        <v>120</v>
      </c>
      <c r="B17" t="s">
        <v>121</v>
      </c>
      <c r="C17">
        <v>288</v>
      </c>
      <c r="D17">
        <v>1</v>
      </c>
      <c r="E17">
        <v>0</v>
      </c>
      <c r="F17" t="s">
        <v>122</v>
      </c>
      <c r="G17">
        <v>288</v>
      </c>
      <c r="H17">
        <v>0</v>
      </c>
      <c r="I17" t="s">
        <v>24</v>
      </c>
      <c r="J17" t="s">
        <v>123</v>
      </c>
      <c r="K17" t="s">
        <v>124</v>
      </c>
      <c r="L17" t="s">
        <v>27</v>
      </c>
      <c r="M17" t="s">
        <v>28</v>
      </c>
      <c r="N17" t="s">
        <v>125</v>
      </c>
      <c r="O17" t="s">
        <v>27</v>
      </c>
      <c r="P17" t="s">
        <v>39</v>
      </c>
      <c r="Q17" t="s">
        <v>31</v>
      </c>
      <c r="R17" t="s">
        <v>32</v>
      </c>
      <c r="S17" t="s">
        <v>28</v>
      </c>
      <c r="T17" t="s">
        <v>27</v>
      </c>
      <c r="U17" t="s">
        <v>126</v>
      </c>
      <c r="V17" s="2" t="s">
        <v>2820</v>
      </c>
      <c r="W17">
        <v>1800</v>
      </c>
      <c r="X17">
        <v>41</v>
      </c>
    </row>
    <row r="18" spans="1:24" x14ac:dyDescent="0.25">
      <c r="A18" t="s">
        <v>33</v>
      </c>
      <c r="B18" t="s">
        <v>34</v>
      </c>
      <c r="C18">
        <v>200</v>
      </c>
      <c r="D18">
        <v>1</v>
      </c>
      <c r="E18">
        <v>0</v>
      </c>
      <c r="F18" t="s">
        <v>127</v>
      </c>
      <c r="G18">
        <v>200</v>
      </c>
      <c r="H18">
        <v>0</v>
      </c>
      <c r="I18" t="s">
        <v>24</v>
      </c>
      <c r="J18" t="s">
        <v>128</v>
      </c>
      <c r="K18" t="s">
        <v>129</v>
      </c>
      <c r="L18" t="s">
        <v>27</v>
      </c>
      <c r="M18" t="s">
        <v>28</v>
      </c>
      <c r="N18" t="s">
        <v>130</v>
      </c>
      <c r="O18" t="s">
        <v>27</v>
      </c>
      <c r="P18" t="s">
        <v>39</v>
      </c>
      <c r="Q18" t="s">
        <v>31</v>
      </c>
      <c r="R18" t="s">
        <v>32</v>
      </c>
      <c r="S18" t="s">
        <v>28</v>
      </c>
      <c r="T18" t="s">
        <v>27</v>
      </c>
      <c r="U18" t="s">
        <v>130</v>
      </c>
      <c r="V18" s="3" t="s">
        <v>2821</v>
      </c>
      <c r="W18">
        <v>1800</v>
      </c>
      <c r="X18">
        <v>41</v>
      </c>
    </row>
    <row r="19" spans="1:24" x14ac:dyDescent="0.25">
      <c r="A19" t="s">
        <v>33</v>
      </c>
      <c r="B19" t="s">
        <v>34</v>
      </c>
      <c r="C19">
        <v>200</v>
      </c>
      <c r="D19">
        <v>1</v>
      </c>
      <c r="E19">
        <v>0</v>
      </c>
      <c r="F19" t="s">
        <v>131</v>
      </c>
      <c r="G19">
        <v>200</v>
      </c>
      <c r="H19">
        <v>0</v>
      </c>
      <c r="I19" t="s">
        <v>24</v>
      </c>
      <c r="J19" t="s">
        <v>132</v>
      </c>
      <c r="K19" t="s">
        <v>89</v>
      </c>
      <c r="L19" t="s">
        <v>27</v>
      </c>
      <c r="M19" t="s">
        <v>28</v>
      </c>
      <c r="N19" t="s">
        <v>133</v>
      </c>
      <c r="O19" t="s">
        <v>27</v>
      </c>
      <c r="P19" t="s">
        <v>56</v>
      </c>
      <c r="Q19" t="s">
        <v>31</v>
      </c>
      <c r="R19" t="s">
        <v>57</v>
      </c>
      <c r="S19" t="s">
        <v>28</v>
      </c>
      <c r="T19" t="s">
        <v>27</v>
      </c>
      <c r="U19" t="s">
        <v>133</v>
      </c>
      <c r="V19" s="2" t="s">
        <v>243</v>
      </c>
      <c r="W19">
        <v>2100</v>
      </c>
      <c r="X19">
        <v>12</v>
      </c>
    </row>
    <row r="20" spans="1:24" x14ac:dyDescent="0.25">
      <c r="A20" t="s">
        <v>134</v>
      </c>
      <c r="B20" t="s">
        <v>64</v>
      </c>
      <c r="C20">
        <v>100</v>
      </c>
      <c r="D20">
        <v>2</v>
      </c>
      <c r="E20">
        <v>0</v>
      </c>
      <c r="F20" t="s">
        <v>135</v>
      </c>
      <c r="G20">
        <v>200</v>
      </c>
      <c r="H20">
        <v>0</v>
      </c>
      <c r="I20" t="s">
        <v>24</v>
      </c>
      <c r="J20" t="s">
        <v>136</v>
      </c>
      <c r="K20" t="s">
        <v>137</v>
      </c>
      <c r="L20" t="s">
        <v>27</v>
      </c>
      <c r="M20" t="s">
        <v>28</v>
      </c>
      <c r="N20" t="s">
        <v>138</v>
      </c>
      <c r="O20" t="s">
        <v>27</v>
      </c>
      <c r="P20" t="s">
        <v>39</v>
      </c>
      <c r="Q20" t="s">
        <v>31</v>
      </c>
      <c r="R20" t="s">
        <v>32</v>
      </c>
      <c r="S20" t="s">
        <v>28</v>
      </c>
      <c r="T20" t="s">
        <v>27</v>
      </c>
      <c r="U20" t="s">
        <v>138</v>
      </c>
      <c r="V20" s="3" t="s">
        <v>244</v>
      </c>
      <c r="W20">
        <v>2100</v>
      </c>
      <c r="X20">
        <v>12</v>
      </c>
    </row>
    <row r="21" spans="1:24" x14ac:dyDescent="0.25">
      <c r="A21" t="s">
        <v>21</v>
      </c>
      <c r="B21" t="s">
        <v>22</v>
      </c>
      <c r="C21">
        <v>100</v>
      </c>
      <c r="D21">
        <v>2</v>
      </c>
      <c r="E21">
        <v>0</v>
      </c>
      <c r="F21" t="s">
        <v>139</v>
      </c>
      <c r="G21">
        <v>200</v>
      </c>
      <c r="H21">
        <v>0</v>
      </c>
      <c r="I21" t="s">
        <v>140</v>
      </c>
      <c r="J21" t="s">
        <v>141</v>
      </c>
      <c r="K21" t="s">
        <v>137</v>
      </c>
      <c r="L21" t="s">
        <v>27</v>
      </c>
      <c r="M21" t="s">
        <v>28</v>
      </c>
      <c r="N21" t="s">
        <v>142</v>
      </c>
      <c r="O21" t="s">
        <v>27</v>
      </c>
      <c r="P21" t="s">
        <v>30</v>
      </c>
      <c r="Q21" t="s">
        <v>31</v>
      </c>
      <c r="R21" t="s">
        <v>32</v>
      </c>
      <c r="S21" t="s">
        <v>28</v>
      </c>
      <c r="T21" t="s">
        <v>27</v>
      </c>
      <c r="U21" t="s">
        <v>142</v>
      </c>
      <c r="V21" s="2" t="s">
        <v>21</v>
      </c>
      <c r="W21">
        <v>78039.360000000001</v>
      </c>
      <c r="X21">
        <v>990</v>
      </c>
    </row>
    <row r="22" spans="1:24" x14ac:dyDescent="0.25">
      <c r="A22" t="s">
        <v>143</v>
      </c>
      <c r="B22" t="s">
        <v>144</v>
      </c>
      <c r="C22">
        <v>200</v>
      </c>
      <c r="D22">
        <v>1</v>
      </c>
      <c r="E22">
        <v>0</v>
      </c>
      <c r="F22" t="s">
        <v>145</v>
      </c>
      <c r="G22">
        <v>200</v>
      </c>
      <c r="H22">
        <v>0</v>
      </c>
      <c r="I22" t="s">
        <v>24</v>
      </c>
      <c r="J22" t="s">
        <v>146</v>
      </c>
      <c r="K22" t="s">
        <v>147</v>
      </c>
      <c r="L22" t="s">
        <v>27</v>
      </c>
      <c r="M22" t="s">
        <v>28</v>
      </c>
      <c r="N22" t="s">
        <v>148</v>
      </c>
      <c r="O22" t="s">
        <v>27</v>
      </c>
      <c r="P22" t="s">
        <v>39</v>
      </c>
      <c r="Q22" t="s">
        <v>31</v>
      </c>
      <c r="R22" t="s">
        <v>32</v>
      </c>
      <c r="S22" t="s">
        <v>28</v>
      </c>
      <c r="T22" t="s">
        <v>27</v>
      </c>
      <c r="U22" t="s">
        <v>148</v>
      </c>
      <c r="V22" s="3" t="s">
        <v>1072</v>
      </c>
      <c r="W22">
        <v>573.13</v>
      </c>
      <c r="X22">
        <v>6</v>
      </c>
    </row>
    <row r="23" spans="1:24" x14ac:dyDescent="0.25">
      <c r="A23" t="s">
        <v>134</v>
      </c>
      <c r="B23" t="s">
        <v>64</v>
      </c>
      <c r="C23">
        <v>100</v>
      </c>
      <c r="D23">
        <v>1</v>
      </c>
      <c r="E23">
        <v>0</v>
      </c>
      <c r="F23" t="s">
        <v>149</v>
      </c>
      <c r="G23">
        <v>400</v>
      </c>
      <c r="H23">
        <v>0</v>
      </c>
      <c r="I23" t="s">
        <v>24</v>
      </c>
      <c r="J23" t="s">
        <v>150</v>
      </c>
      <c r="K23" t="s">
        <v>151</v>
      </c>
      <c r="L23" t="s">
        <v>27</v>
      </c>
      <c r="M23" t="s">
        <v>28</v>
      </c>
      <c r="N23" t="s">
        <v>152</v>
      </c>
      <c r="O23" t="s">
        <v>27</v>
      </c>
      <c r="P23" t="s">
        <v>39</v>
      </c>
      <c r="Q23" t="s">
        <v>31</v>
      </c>
      <c r="R23" t="s">
        <v>32</v>
      </c>
      <c r="S23" t="s">
        <v>28</v>
      </c>
      <c r="T23" t="s">
        <v>27</v>
      </c>
      <c r="U23" t="s">
        <v>152</v>
      </c>
      <c r="V23" s="3" t="s">
        <v>3678</v>
      </c>
      <c r="W23">
        <v>279.25</v>
      </c>
      <c r="X23">
        <v>3</v>
      </c>
    </row>
    <row r="24" spans="1:24" x14ac:dyDescent="0.25">
      <c r="A24" t="s">
        <v>58</v>
      </c>
      <c r="B24" t="s">
        <v>58</v>
      </c>
      <c r="C24">
        <v>100</v>
      </c>
      <c r="D24">
        <v>3</v>
      </c>
      <c r="E24">
        <v>0</v>
      </c>
      <c r="F24" t="s">
        <v>149</v>
      </c>
      <c r="G24">
        <v>400</v>
      </c>
      <c r="H24">
        <v>0</v>
      </c>
      <c r="I24" t="s">
        <v>24</v>
      </c>
      <c r="J24" t="s">
        <v>150</v>
      </c>
      <c r="K24" t="s">
        <v>151</v>
      </c>
      <c r="L24" t="s">
        <v>27</v>
      </c>
      <c r="M24" t="s">
        <v>28</v>
      </c>
      <c r="N24" t="s">
        <v>152</v>
      </c>
      <c r="O24" t="s">
        <v>27</v>
      </c>
      <c r="P24" t="s">
        <v>39</v>
      </c>
      <c r="Q24" t="s">
        <v>31</v>
      </c>
      <c r="R24" t="s">
        <v>32</v>
      </c>
      <c r="S24" t="s">
        <v>28</v>
      </c>
      <c r="T24" t="s">
        <v>27</v>
      </c>
      <c r="U24" t="s">
        <v>152</v>
      </c>
      <c r="V24" s="3" t="s">
        <v>22</v>
      </c>
      <c r="W24">
        <v>76750</v>
      </c>
      <c r="X24">
        <v>975</v>
      </c>
    </row>
    <row r="25" spans="1:24" x14ac:dyDescent="0.25">
      <c r="A25" t="s">
        <v>21</v>
      </c>
      <c r="B25" t="s">
        <v>22</v>
      </c>
      <c r="C25">
        <v>100</v>
      </c>
      <c r="D25">
        <v>2</v>
      </c>
      <c r="E25">
        <v>0</v>
      </c>
      <c r="F25" t="s">
        <v>153</v>
      </c>
      <c r="G25">
        <v>200</v>
      </c>
      <c r="H25">
        <v>0</v>
      </c>
      <c r="I25" t="s">
        <v>24</v>
      </c>
      <c r="J25" t="s">
        <v>154</v>
      </c>
      <c r="K25" t="s">
        <v>155</v>
      </c>
      <c r="L25" t="s">
        <v>27</v>
      </c>
      <c r="M25" t="s">
        <v>28</v>
      </c>
      <c r="N25" t="s">
        <v>156</v>
      </c>
      <c r="O25" t="s">
        <v>27</v>
      </c>
      <c r="P25" t="s">
        <v>39</v>
      </c>
      <c r="Q25" t="s">
        <v>31</v>
      </c>
      <c r="R25" t="s">
        <v>32</v>
      </c>
      <c r="S25" t="s">
        <v>28</v>
      </c>
      <c r="T25" t="s">
        <v>27</v>
      </c>
      <c r="U25" t="s">
        <v>156</v>
      </c>
      <c r="V25" s="3" t="s">
        <v>5468</v>
      </c>
      <c r="W25">
        <v>436.97999999999996</v>
      </c>
      <c r="X25">
        <v>6</v>
      </c>
    </row>
    <row r="26" spans="1:24" x14ac:dyDescent="0.25">
      <c r="A26" t="s">
        <v>58</v>
      </c>
      <c r="B26" t="s">
        <v>103</v>
      </c>
      <c r="C26">
        <v>89.75</v>
      </c>
      <c r="D26">
        <v>1</v>
      </c>
      <c r="E26">
        <v>0</v>
      </c>
      <c r="F26" t="s">
        <v>157</v>
      </c>
      <c r="G26">
        <v>94.75</v>
      </c>
      <c r="H26">
        <v>5</v>
      </c>
      <c r="I26" t="s">
        <v>105</v>
      </c>
      <c r="J26" t="s">
        <v>158</v>
      </c>
      <c r="K26" t="s">
        <v>159</v>
      </c>
      <c r="L26" t="s">
        <v>160</v>
      </c>
      <c r="M26" t="s">
        <v>161</v>
      </c>
      <c r="N26" t="s">
        <v>162</v>
      </c>
      <c r="O26" t="s">
        <v>27</v>
      </c>
      <c r="P26" t="s">
        <v>48</v>
      </c>
      <c r="Q26" t="s">
        <v>49</v>
      </c>
      <c r="R26" t="s">
        <v>50</v>
      </c>
      <c r="S26" t="s">
        <v>28</v>
      </c>
      <c r="T26" t="s">
        <v>27</v>
      </c>
      <c r="U26" t="s">
        <v>162</v>
      </c>
      <c r="V26" s="2" t="s">
        <v>499</v>
      </c>
      <c r="W26">
        <v>732.63</v>
      </c>
      <c r="X26">
        <v>8</v>
      </c>
    </row>
    <row r="27" spans="1:24" x14ac:dyDescent="0.25">
      <c r="A27" t="s">
        <v>63</v>
      </c>
      <c r="B27" t="s">
        <v>64</v>
      </c>
      <c r="C27">
        <v>100</v>
      </c>
      <c r="D27">
        <v>1</v>
      </c>
      <c r="E27">
        <v>0</v>
      </c>
      <c r="F27" t="s">
        <v>163</v>
      </c>
      <c r="G27">
        <v>200</v>
      </c>
      <c r="H27">
        <v>0</v>
      </c>
      <c r="I27" t="s">
        <v>24</v>
      </c>
      <c r="J27" t="s">
        <v>164</v>
      </c>
      <c r="K27" t="s">
        <v>165</v>
      </c>
      <c r="L27" t="s">
        <v>27</v>
      </c>
      <c r="M27" t="s">
        <v>28</v>
      </c>
      <c r="N27" t="s">
        <v>166</v>
      </c>
      <c r="O27" t="s">
        <v>27</v>
      </c>
      <c r="P27" t="s">
        <v>30</v>
      </c>
      <c r="Q27" t="s">
        <v>31</v>
      </c>
      <c r="R27" t="s">
        <v>32</v>
      </c>
      <c r="S27" t="s">
        <v>28</v>
      </c>
      <c r="T27" t="s">
        <v>27</v>
      </c>
      <c r="U27" t="s">
        <v>166</v>
      </c>
      <c r="V27" s="3" t="s">
        <v>500</v>
      </c>
      <c r="W27">
        <v>650</v>
      </c>
      <c r="X27">
        <v>7</v>
      </c>
    </row>
    <row r="28" spans="1:24" x14ac:dyDescent="0.25">
      <c r="A28" t="s">
        <v>58</v>
      </c>
      <c r="B28" t="s">
        <v>58</v>
      </c>
      <c r="C28">
        <v>100</v>
      </c>
      <c r="D28">
        <v>1</v>
      </c>
      <c r="E28">
        <v>0</v>
      </c>
      <c r="F28" t="s">
        <v>163</v>
      </c>
      <c r="G28">
        <v>200</v>
      </c>
      <c r="H28">
        <v>0</v>
      </c>
      <c r="I28" t="s">
        <v>24</v>
      </c>
      <c r="J28" t="s">
        <v>164</v>
      </c>
      <c r="K28" t="s">
        <v>165</v>
      </c>
      <c r="L28" t="s">
        <v>27</v>
      </c>
      <c r="M28" t="s">
        <v>28</v>
      </c>
      <c r="N28" t="s">
        <v>166</v>
      </c>
      <c r="O28" t="s">
        <v>27</v>
      </c>
      <c r="P28" t="s">
        <v>30</v>
      </c>
      <c r="Q28" t="s">
        <v>31</v>
      </c>
      <c r="R28" t="s">
        <v>32</v>
      </c>
      <c r="S28" t="s">
        <v>28</v>
      </c>
      <c r="T28" t="s">
        <v>27</v>
      </c>
      <c r="U28" t="s">
        <v>166</v>
      </c>
      <c r="V28" s="3" t="s">
        <v>4980</v>
      </c>
      <c r="W28">
        <v>82.63</v>
      </c>
      <c r="X28">
        <v>1</v>
      </c>
    </row>
    <row r="29" spans="1:24" x14ac:dyDescent="0.25">
      <c r="A29" t="s">
        <v>167</v>
      </c>
      <c r="B29" t="s">
        <v>168</v>
      </c>
      <c r="C29">
        <v>250</v>
      </c>
      <c r="D29">
        <v>1</v>
      </c>
      <c r="E29">
        <v>0</v>
      </c>
      <c r="F29" t="s">
        <v>169</v>
      </c>
      <c r="G29">
        <v>250</v>
      </c>
      <c r="H29">
        <v>0</v>
      </c>
      <c r="I29" t="s">
        <v>140</v>
      </c>
      <c r="J29" t="s">
        <v>170</v>
      </c>
      <c r="K29" t="s">
        <v>171</v>
      </c>
      <c r="L29" t="s">
        <v>27</v>
      </c>
      <c r="M29" t="s">
        <v>28</v>
      </c>
      <c r="N29" t="s">
        <v>172</v>
      </c>
      <c r="O29" t="s">
        <v>27</v>
      </c>
      <c r="P29" t="s">
        <v>30</v>
      </c>
      <c r="Q29" t="s">
        <v>31</v>
      </c>
      <c r="R29" t="s">
        <v>32</v>
      </c>
      <c r="S29" t="s">
        <v>28</v>
      </c>
      <c r="T29" t="s">
        <v>27</v>
      </c>
      <c r="U29" t="s">
        <v>172</v>
      </c>
      <c r="V29" s="2" t="s">
        <v>6039</v>
      </c>
      <c r="W29">
        <v>400</v>
      </c>
      <c r="X29">
        <v>2</v>
      </c>
    </row>
    <row r="30" spans="1:24" x14ac:dyDescent="0.25">
      <c r="A30" t="s">
        <v>33</v>
      </c>
      <c r="B30" t="s">
        <v>34</v>
      </c>
      <c r="C30">
        <v>200</v>
      </c>
      <c r="D30">
        <v>1</v>
      </c>
      <c r="E30">
        <v>0</v>
      </c>
      <c r="F30" t="s">
        <v>173</v>
      </c>
      <c r="G30">
        <v>200</v>
      </c>
      <c r="H30">
        <v>0</v>
      </c>
      <c r="I30" t="s">
        <v>24</v>
      </c>
      <c r="J30" t="s">
        <v>174</v>
      </c>
      <c r="K30" t="s">
        <v>175</v>
      </c>
      <c r="L30" t="s">
        <v>27</v>
      </c>
      <c r="M30" t="s">
        <v>28</v>
      </c>
      <c r="N30" t="s">
        <v>176</v>
      </c>
      <c r="O30" t="s">
        <v>27</v>
      </c>
      <c r="P30" t="s">
        <v>30</v>
      </c>
      <c r="Q30" t="s">
        <v>31</v>
      </c>
      <c r="R30" t="s">
        <v>32</v>
      </c>
      <c r="S30" t="s">
        <v>28</v>
      </c>
      <c r="T30" t="s">
        <v>27</v>
      </c>
      <c r="U30" t="s">
        <v>176</v>
      </c>
      <c r="V30" s="3" t="s">
        <v>6040</v>
      </c>
      <c r="W30">
        <v>400</v>
      </c>
      <c r="X30">
        <v>2</v>
      </c>
    </row>
    <row r="31" spans="1:24" x14ac:dyDescent="0.25">
      <c r="A31" t="s">
        <v>33</v>
      </c>
      <c r="B31" t="s">
        <v>34</v>
      </c>
      <c r="C31">
        <v>200</v>
      </c>
      <c r="D31">
        <v>1</v>
      </c>
      <c r="E31">
        <v>0</v>
      </c>
      <c r="F31" t="s">
        <v>177</v>
      </c>
      <c r="G31">
        <v>200</v>
      </c>
      <c r="H31">
        <v>0</v>
      </c>
      <c r="I31" t="s">
        <v>24</v>
      </c>
      <c r="J31" t="s">
        <v>178</v>
      </c>
      <c r="K31" t="s">
        <v>124</v>
      </c>
      <c r="L31" t="s">
        <v>27</v>
      </c>
      <c r="M31" t="s">
        <v>28</v>
      </c>
      <c r="N31" t="s">
        <v>179</v>
      </c>
      <c r="O31" t="s">
        <v>27</v>
      </c>
      <c r="P31" t="s">
        <v>39</v>
      </c>
      <c r="Q31" t="s">
        <v>31</v>
      </c>
      <c r="R31" t="s">
        <v>32</v>
      </c>
      <c r="S31" t="s">
        <v>28</v>
      </c>
      <c r="T31" t="s">
        <v>27</v>
      </c>
      <c r="U31" t="s">
        <v>180</v>
      </c>
      <c r="V31" s="2" t="s">
        <v>6801</v>
      </c>
      <c r="W31">
        <v>360</v>
      </c>
      <c r="X31">
        <v>3</v>
      </c>
    </row>
    <row r="32" spans="1:24" x14ac:dyDescent="0.25">
      <c r="A32" t="s">
        <v>33</v>
      </c>
      <c r="B32" t="s">
        <v>34</v>
      </c>
      <c r="C32">
        <v>200</v>
      </c>
      <c r="D32">
        <v>2</v>
      </c>
      <c r="E32">
        <v>0</v>
      </c>
      <c r="F32" t="s">
        <v>181</v>
      </c>
      <c r="G32">
        <v>400</v>
      </c>
      <c r="H32">
        <v>0</v>
      </c>
      <c r="I32" t="s">
        <v>24</v>
      </c>
      <c r="J32" t="s">
        <v>182</v>
      </c>
      <c r="K32" t="s">
        <v>183</v>
      </c>
      <c r="L32" t="s">
        <v>27</v>
      </c>
      <c r="M32" t="s">
        <v>28</v>
      </c>
      <c r="N32" t="s">
        <v>184</v>
      </c>
      <c r="O32" t="s">
        <v>27</v>
      </c>
      <c r="P32" t="s">
        <v>39</v>
      </c>
      <c r="Q32" t="s">
        <v>31</v>
      </c>
      <c r="R32" t="s">
        <v>32</v>
      </c>
      <c r="S32" t="s">
        <v>28</v>
      </c>
      <c r="T32" t="s">
        <v>27</v>
      </c>
      <c r="U32" t="s">
        <v>184</v>
      </c>
      <c r="V32" s="3" t="s">
        <v>6801</v>
      </c>
      <c r="W32">
        <v>360</v>
      </c>
      <c r="X32">
        <v>3</v>
      </c>
    </row>
    <row r="33" spans="1:24" x14ac:dyDescent="0.25">
      <c r="A33" t="s">
        <v>185</v>
      </c>
      <c r="B33" t="s">
        <v>186</v>
      </c>
      <c r="C33">
        <v>160</v>
      </c>
      <c r="D33">
        <v>1</v>
      </c>
      <c r="E33">
        <v>0</v>
      </c>
      <c r="F33" t="s">
        <v>187</v>
      </c>
      <c r="G33">
        <v>410</v>
      </c>
      <c r="H33">
        <v>0</v>
      </c>
      <c r="I33" t="s">
        <v>24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27</v>
      </c>
      <c r="P33" t="s">
        <v>193</v>
      </c>
      <c r="Q33" t="s">
        <v>85</v>
      </c>
      <c r="R33" t="s">
        <v>86</v>
      </c>
      <c r="S33" t="s">
        <v>28</v>
      </c>
      <c r="T33" t="s">
        <v>27</v>
      </c>
      <c r="U33" t="s">
        <v>194</v>
      </c>
      <c r="V33" s="2" t="s">
        <v>10896</v>
      </c>
      <c r="W33">
        <v>1842.6</v>
      </c>
      <c r="X33">
        <v>2</v>
      </c>
    </row>
    <row r="34" spans="1:24" x14ac:dyDescent="0.25">
      <c r="A34" t="s">
        <v>195</v>
      </c>
      <c r="B34" t="s">
        <v>196</v>
      </c>
      <c r="C34">
        <v>250</v>
      </c>
      <c r="D34">
        <v>1</v>
      </c>
      <c r="E34">
        <v>0</v>
      </c>
      <c r="F34" t="s">
        <v>187</v>
      </c>
      <c r="G34">
        <v>410</v>
      </c>
      <c r="H34">
        <v>0</v>
      </c>
      <c r="I34" t="s">
        <v>24</v>
      </c>
      <c r="J34" t="s">
        <v>188</v>
      </c>
      <c r="K34" t="s">
        <v>189</v>
      </c>
      <c r="L34" t="s">
        <v>190</v>
      </c>
      <c r="M34" t="s">
        <v>191</v>
      </c>
      <c r="N34" t="s">
        <v>192</v>
      </c>
      <c r="O34" t="s">
        <v>27</v>
      </c>
      <c r="P34" t="s">
        <v>193</v>
      </c>
      <c r="Q34" t="s">
        <v>85</v>
      </c>
      <c r="R34" t="s">
        <v>86</v>
      </c>
      <c r="S34" t="s">
        <v>28</v>
      </c>
      <c r="T34" t="s">
        <v>27</v>
      </c>
      <c r="U34" t="s">
        <v>194</v>
      </c>
      <c r="V34" s="3" t="s">
        <v>10897</v>
      </c>
      <c r="W34">
        <v>1842.6</v>
      </c>
      <c r="X34">
        <v>2</v>
      </c>
    </row>
    <row r="35" spans="1:24" x14ac:dyDescent="0.25">
      <c r="A35" t="s">
        <v>63</v>
      </c>
      <c r="B35" t="s">
        <v>64</v>
      </c>
      <c r="C35">
        <v>100</v>
      </c>
      <c r="D35">
        <v>1</v>
      </c>
      <c r="E35">
        <v>0</v>
      </c>
      <c r="F35" t="s">
        <v>197</v>
      </c>
      <c r="G35">
        <v>106</v>
      </c>
      <c r="H35">
        <v>6</v>
      </c>
      <c r="I35" t="s">
        <v>24</v>
      </c>
      <c r="J35" t="s">
        <v>198</v>
      </c>
      <c r="K35" t="s">
        <v>73</v>
      </c>
      <c r="L35" t="s">
        <v>27</v>
      </c>
      <c r="M35" t="s">
        <v>28</v>
      </c>
      <c r="N35" t="s">
        <v>199</v>
      </c>
      <c r="O35" t="s">
        <v>27</v>
      </c>
      <c r="P35" t="s">
        <v>56</v>
      </c>
      <c r="Q35" t="s">
        <v>31</v>
      </c>
      <c r="R35" t="s">
        <v>57</v>
      </c>
      <c r="S35" t="s">
        <v>28</v>
      </c>
      <c r="T35" t="s">
        <v>27</v>
      </c>
      <c r="U35" t="s">
        <v>199</v>
      </c>
      <c r="V35" s="2" t="s">
        <v>2168</v>
      </c>
      <c r="W35">
        <v>121</v>
      </c>
      <c r="X35">
        <v>2</v>
      </c>
    </row>
    <row r="36" spans="1:24" x14ac:dyDescent="0.25">
      <c r="A36" t="s">
        <v>40</v>
      </c>
      <c r="B36" t="s">
        <v>41</v>
      </c>
      <c r="C36">
        <v>93.6</v>
      </c>
      <c r="D36">
        <v>1</v>
      </c>
      <c r="E36">
        <v>0</v>
      </c>
      <c r="F36" t="s">
        <v>200</v>
      </c>
      <c r="G36">
        <v>98.6</v>
      </c>
      <c r="H36">
        <v>5</v>
      </c>
      <c r="I36" t="s">
        <v>24</v>
      </c>
      <c r="J36" t="s">
        <v>201</v>
      </c>
      <c r="K36" t="s">
        <v>202</v>
      </c>
      <c r="L36" t="s">
        <v>203</v>
      </c>
      <c r="M36" t="s">
        <v>204</v>
      </c>
      <c r="N36" t="s">
        <v>205</v>
      </c>
      <c r="O36" t="s">
        <v>27</v>
      </c>
      <c r="P36" t="s">
        <v>48</v>
      </c>
      <c r="Q36" t="s">
        <v>49</v>
      </c>
      <c r="R36" t="s">
        <v>50</v>
      </c>
      <c r="S36" t="s">
        <v>28</v>
      </c>
      <c r="T36" t="s">
        <v>27</v>
      </c>
      <c r="U36" t="s">
        <v>206</v>
      </c>
      <c r="V36" s="3" t="s">
        <v>2169</v>
      </c>
      <c r="W36">
        <v>121</v>
      </c>
      <c r="X36">
        <v>2</v>
      </c>
    </row>
    <row r="37" spans="1:24" x14ac:dyDescent="0.25">
      <c r="A37" t="s">
        <v>33</v>
      </c>
      <c r="B37" t="s">
        <v>34</v>
      </c>
      <c r="C37">
        <v>200</v>
      </c>
      <c r="D37">
        <v>1</v>
      </c>
      <c r="E37">
        <v>0</v>
      </c>
      <c r="F37" t="s">
        <v>207</v>
      </c>
      <c r="G37">
        <v>200</v>
      </c>
      <c r="H37">
        <v>0</v>
      </c>
      <c r="I37" t="s">
        <v>24</v>
      </c>
      <c r="J37" t="s">
        <v>208</v>
      </c>
      <c r="K37" t="s">
        <v>209</v>
      </c>
      <c r="L37" t="s">
        <v>27</v>
      </c>
      <c r="M37" t="s">
        <v>28</v>
      </c>
      <c r="N37" t="s">
        <v>210</v>
      </c>
      <c r="O37" t="s">
        <v>27</v>
      </c>
      <c r="P37" t="s">
        <v>39</v>
      </c>
      <c r="Q37" t="s">
        <v>31</v>
      </c>
      <c r="R37" t="s">
        <v>32</v>
      </c>
      <c r="S37" t="s">
        <v>28</v>
      </c>
      <c r="T37" t="s">
        <v>27</v>
      </c>
      <c r="U37" t="s">
        <v>210</v>
      </c>
      <c r="V37" s="2" t="s">
        <v>2990</v>
      </c>
      <c r="W37">
        <v>2280.8199999999997</v>
      </c>
      <c r="X37">
        <v>12</v>
      </c>
    </row>
    <row r="38" spans="1:24" x14ac:dyDescent="0.25">
      <c r="A38" t="s">
        <v>21</v>
      </c>
      <c r="B38" t="s">
        <v>22</v>
      </c>
      <c r="C38">
        <v>100</v>
      </c>
      <c r="D38">
        <v>1</v>
      </c>
      <c r="E38">
        <v>0</v>
      </c>
      <c r="F38" t="s">
        <v>211</v>
      </c>
      <c r="G38">
        <v>100</v>
      </c>
      <c r="H38">
        <v>0</v>
      </c>
      <c r="I38" t="s">
        <v>24</v>
      </c>
      <c r="J38" t="s">
        <v>212</v>
      </c>
      <c r="K38" t="s">
        <v>213</v>
      </c>
      <c r="L38" t="s">
        <v>27</v>
      </c>
      <c r="M38" t="s">
        <v>28</v>
      </c>
      <c r="N38" t="s">
        <v>210</v>
      </c>
      <c r="O38" t="s">
        <v>27</v>
      </c>
      <c r="P38" t="s">
        <v>39</v>
      </c>
      <c r="Q38" t="s">
        <v>31</v>
      </c>
      <c r="R38" t="s">
        <v>32</v>
      </c>
      <c r="S38" t="s">
        <v>28</v>
      </c>
      <c r="T38" t="s">
        <v>27</v>
      </c>
      <c r="U38" t="s">
        <v>210</v>
      </c>
      <c r="V38" s="3" t="s">
        <v>2169</v>
      </c>
      <c r="W38">
        <v>580.81999999999994</v>
      </c>
      <c r="X38">
        <v>3</v>
      </c>
    </row>
    <row r="39" spans="1:24" x14ac:dyDescent="0.25">
      <c r="A39" t="s">
        <v>214</v>
      </c>
      <c r="B39" t="s">
        <v>215</v>
      </c>
      <c r="C39">
        <v>74.400000000000006</v>
      </c>
      <c r="D39">
        <v>1</v>
      </c>
      <c r="E39">
        <v>0</v>
      </c>
      <c r="F39" t="s">
        <v>216</v>
      </c>
      <c r="G39">
        <v>98.4</v>
      </c>
      <c r="H39">
        <v>24</v>
      </c>
      <c r="I39" t="s">
        <v>24</v>
      </c>
      <c r="J39" t="s">
        <v>217</v>
      </c>
      <c r="K39" t="s">
        <v>218</v>
      </c>
      <c r="L39" t="s">
        <v>219</v>
      </c>
      <c r="M39" t="s">
        <v>220</v>
      </c>
      <c r="N39" t="s">
        <v>221</v>
      </c>
      <c r="O39" t="s">
        <v>27</v>
      </c>
      <c r="P39" t="s">
        <v>48</v>
      </c>
      <c r="Q39" t="s">
        <v>49</v>
      </c>
      <c r="R39" t="s">
        <v>50</v>
      </c>
      <c r="S39" t="s">
        <v>28</v>
      </c>
      <c r="T39" t="s">
        <v>27</v>
      </c>
      <c r="U39" t="s">
        <v>221</v>
      </c>
      <c r="V39" s="3" t="s">
        <v>2991</v>
      </c>
      <c r="W39">
        <v>1700</v>
      </c>
      <c r="X39">
        <v>9</v>
      </c>
    </row>
    <row r="40" spans="1:24" x14ac:dyDescent="0.25">
      <c r="A40" t="s">
        <v>40</v>
      </c>
      <c r="B40" t="s">
        <v>41</v>
      </c>
      <c r="C40">
        <v>0</v>
      </c>
      <c r="D40">
        <v>1</v>
      </c>
      <c r="E40">
        <v>0</v>
      </c>
      <c r="F40" t="s">
        <v>222</v>
      </c>
      <c r="G40">
        <v>10.39</v>
      </c>
      <c r="H40">
        <v>5</v>
      </c>
      <c r="I40" t="s">
        <v>24</v>
      </c>
      <c r="J40" t="s">
        <v>223</v>
      </c>
      <c r="K40" t="s">
        <v>224</v>
      </c>
      <c r="L40" t="s">
        <v>225</v>
      </c>
      <c r="M40" t="s">
        <v>226</v>
      </c>
      <c r="N40" t="s">
        <v>227</v>
      </c>
      <c r="O40" t="s">
        <v>27</v>
      </c>
      <c r="P40" t="s">
        <v>48</v>
      </c>
      <c r="Q40" t="s">
        <v>49</v>
      </c>
      <c r="R40" t="s">
        <v>50</v>
      </c>
      <c r="S40" t="s">
        <v>28</v>
      </c>
      <c r="T40" t="s">
        <v>27</v>
      </c>
      <c r="U40" t="s">
        <v>227</v>
      </c>
      <c r="V40" s="2" t="s">
        <v>195</v>
      </c>
      <c r="W40">
        <v>23832.130000000012</v>
      </c>
      <c r="X40">
        <v>171</v>
      </c>
    </row>
    <row r="41" spans="1:24" x14ac:dyDescent="0.25">
      <c r="A41" t="s">
        <v>63</v>
      </c>
      <c r="B41" t="s">
        <v>64</v>
      </c>
      <c r="C41">
        <v>5.39</v>
      </c>
      <c r="D41">
        <v>1</v>
      </c>
      <c r="E41">
        <v>0</v>
      </c>
      <c r="F41" t="s">
        <v>222</v>
      </c>
      <c r="G41">
        <v>10.39</v>
      </c>
      <c r="H41">
        <v>5</v>
      </c>
      <c r="I41" t="s">
        <v>24</v>
      </c>
      <c r="J41" t="s">
        <v>223</v>
      </c>
      <c r="K41" t="s">
        <v>224</v>
      </c>
      <c r="L41" t="s">
        <v>225</v>
      </c>
      <c r="M41" t="s">
        <v>226</v>
      </c>
      <c r="N41" t="s">
        <v>227</v>
      </c>
      <c r="O41" t="s">
        <v>27</v>
      </c>
      <c r="P41" t="s">
        <v>48</v>
      </c>
      <c r="Q41" t="s">
        <v>49</v>
      </c>
      <c r="R41" t="s">
        <v>50</v>
      </c>
      <c r="S41" t="s">
        <v>28</v>
      </c>
      <c r="T41" t="s">
        <v>27</v>
      </c>
      <c r="U41" t="s">
        <v>227</v>
      </c>
      <c r="V41" s="3" t="s">
        <v>4787</v>
      </c>
      <c r="W41">
        <v>662.06</v>
      </c>
      <c r="X41">
        <v>4</v>
      </c>
    </row>
    <row r="42" spans="1:24" x14ac:dyDescent="0.25">
      <c r="A42" t="s">
        <v>143</v>
      </c>
      <c r="B42" t="s">
        <v>144</v>
      </c>
      <c r="C42">
        <v>200</v>
      </c>
      <c r="D42">
        <v>1</v>
      </c>
      <c r="E42">
        <v>0</v>
      </c>
      <c r="F42" t="s">
        <v>228</v>
      </c>
      <c r="G42">
        <v>245</v>
      </c>
      <c r="H42">
        <v>45</v>
      </c>
      <c r="I42" t="s">
        <v>24</v>
      </c>
      <c r="J42" t="s">
        <v>229</v>
      </c>
      <c r="K42" t="s">
        <v>37</v>
      </c>
      <c r="L42" t="s">
        <v>27</v>
      </c>
      <c r="M42" t="s">
        <v>28</v>
      </c>
      <c r="N42" t="s">
        <v>230</v>
      </c>
      <c r="O42" t="s">
        <v>27</v>
      </c>
      <c r="P42" t="s">
        <v>39</v>
      </c>
      <c r="Q42" t="s">
        <v>31</v>
      </c>
      <c r="R42" t="s">
        <v>32</v>
      </c>
      <c r="S42" t="s">
        <v>28</v>
      </c>
      <c r="T42" t="s">
        <v>27</v>
      </c>
      <c r="U42" t="s">
        <v>230</v>
      </c>
      <c r="V42" s="3" t="s">
        <v>1003</v>
      </c>
      <c r="W42">
        <v>17682.070000000011</v>
      </c>
      <c r="X42">
        <v>142</v>
      </c>
    </row>
    <row r="43" spans="1:24" x14ac:dyDescent="0.25">
      <c r="A43" t="s">
        <v>143</v>
      </c>
      <c r="B43" t="s">
        <v>144</v>
      </c>
      <c r="C43">
        <v>200</v>
      </c>
      <c r="D43">
        <v>1</v>
      </c>
      <c r="E43">
        <v>0</v>
      </c>
      <c r="F43" t="s">
        <v>231</v>
      </c>
      <c r="G43">
        <v>200</v>
      </c>
      <c r="H43">
        <v>0</v>
      </c>
      <c r="I43" t="s">
        <v>24</v>
      </c>
      <c r="J43" t="s">
        <v>232</v>
      </c>
      <c r="K43" t="s">
        <v>89</v>
      </c>
      <c r="L43" t="s">
        <v>27</v>
      </c>
      <c r="M43" t="s">
        <v>28</v>
      </c>
      <c r="N43" t="s">
        <v>233</v>
      </c>
      <c r="O43" t="s">
        <v>27</v>
      </c>
      <c r="P43" t="s">
        <v>56</v>
      </c>
      <c r="Q43" t="s">
        <v>31</v>
      </c>
      <c r="R43" t="s">
        <v>57</v>
      </c>
      <c r="S43" t="s">
        <v>28</v>
      </c>
      <c r="T43" t="s">
        <v>27</v>
      </c>
      <c r="U43" t="s">
        <v>230</v>
      </c>
      <c r="V43" s="3" t="s">
        <v>196</v>
      </c>
      <c r="W43">
        <v>3468</v>
      </c>
      <c r="X43">
        <v>16</v>
      </c>
    </row>
    <row r="44" spans="1:24" x14ac:dyDescent="0.25">
      <c r="A44" t="s">
        <v>143</v>
      </c>
      <c r="B44" t="s">
        <v>144</v>
      </c>
      <c r="C44">
        <v>200</v>
      </c>
      <c r="D44">
        <v>1</v>
      </c>
      <c r="E44">
        <v>0</v>
      </c>
      <c r="F44" t="s">
        <v>234</v>
      </c>
      <c r="G44">
        <v>245</v>
      </c>
      <c r="H44">
        <v>45</v>
      </c>
      <c r="I44" t="s">
        <v>24</v>
      </c>
      <c r="J44" t="s">
        <v>229</v>
      </c>
      <c r="K44" t="s">
        <v>37</v>
      </c>
      <c r="L44" t="s">
        <v>27</v>
      </c>
      <c r="M44" t="s">
        <v>28</v>
      </c>
      <c r="N44" t="s">
        <v>230</v>
      </c>
      <c r="O44" t="s">
        <v>27</v>
      </c>
      <c r="P44" t="s">
        <v>39</v>
      </c>
      <c r="Q44" t="s">
        <v>31</v>
      </c>
      <c r="R44" t="s">
        <v>32</v>
      </c>
      <c r="S44" t="s">
        <v>28</v>
      </c>
      <c r="T44" t="s">
        <v>27</v>
      </c>
      <c r="U44" t="s">
        <v>230</v>
      </c>
      <c r="V44" s="3" t="s">
        <v>4382</v>
      </c>
      <c r="W44">
        <v>2020.0000000000005</v>
      </c>
      <c r="X44">
        <v>9</v>
      </c>
    </row>
    <row r="45" spans="1:24" x14ac:dyDescent="0.25">
      <c r="A45" t="s">
        <v>21</v>
      </c>
      <c r="B45" t="s">
        <v>22</v>
      </c>
      <c r="C45">
        <v>100</v>
      </c>
      <c r="D45">
        <v>2</v>
      </c>
      <c r="E45">
        <v>0</v>
      </c>
      <c r="F45" t="s">
        <v>235</v>
      </c>
      <c r="G45">
        <v>245</v>
      </c>
      <c r="H45">
        <v>45</v>
      </c>
      <c r="I45" t="s">
        <v>24</v>
      </c>
      <c r="J45" t="s">
        <v>236</v>
      </c>
      <c r="K45" t="s">
        <v>237</v>
      </c>
      <c r="L45" t="s">
        <v>27</v>
      </c>
      <c r="M45" t="s">
        <v>28</v>
      </c>
      <c r="N45" t="s">
        <v>238</v>
      </c>
      <c r="O45" t="s">
        <v>27</v>
      </c>
      <c r="P45" t="s">
        <v>39</v>
      </c>
      <c r="Q45" t="s">
        <v>31</v>
      </c>
      <c r="R45" t="s">
        <v>32</v>
      </c>
      <c r="S45" t="s">
        <v>28</v>
      </c>
      <c r="T45" t="s">
        <v>27</v>
      </c>
      <c r="U45" t="s">
        <v>238</v>
      </c>
      <c r="V45" s="2" t="s">
        <v>475</v>
      </c>
      <c r="W45">
        <v>2955</v>
      </c>
      <c r="X45">
        <v>18</v>
      </c>
    </row>
    <row r="46" spans="1:24" x14ac:dyDescent="0.25">
      <c r="A46" t="s">
        <v>21</v>
      </c>
      <c r="B46" t="s">
        <v>22</v>
      </c>
      <c r="C46">
        <v>100</v>
      </c>
      <c r="D46">
        <v>2</v>
      </c>
      <c r="E46">
        <v>0</v>
      </c>
      <c r="F46" t="s">
        <v>239</v>
      </c>
      <c r="G46">
        <v>200</v>
      </c>
      <c r="H46">
        <v>0</v>
      </c>
      <c r="I46" t="s">
        <v>24</v>
      </c>
      <c r="J46" t="s">
        <v>240</v>
      </c>
      <c r="K46" t="s">
        <v>241</v>
      </c>
      <c r="L46" t="s">
        <v>27</v>
      </c>
      <c r="M46" t="s">
        <v>28</v>
      </c>
      <c r="N46" t="s">
        <v>242</v>
      </c>
      <c r="O46" t="s">
        <v>27</v>
      </c>
      <c r="P46" t="s">
        <v>39</v>
      </c>
      <c r="Q46" t="s">
        <v>31</v>
      </c>
      <c r="R46" t="s">
        <v>32</v>
      </c>
      <c r="S46" t="s">
        <v>28</v>
      </c>
      <c r="T46" t="s">
        <v>27</v>
      </c>
      <c r="U46" t="s">
        <v>242</v>
      </c>
      <c r="V46" s="3" t="s">
        <v>476</v>
      </c>
      <c r="W46">
        <v>2955</v>
      </c>
      <c r="X46">
        <v>18</v>
      </c>
    </row>
    <row r="47" spans="1:24" x14ac:dyDescent="0.25">
      <c r="A47" t="s">
        <v>243</v>
      </c>
      <c r="B47" t="s">
        <v>244</v>
      </c>
      <c r="C47">
        <v>200</v>
      </c>
      <c r="D47">
        <v>1</v>
      </c>
      <c r="E47">
        <v>0</v>
      </c>
      <c r="F47" t="s">
        <v>245</v>
      </c>
      <c r="G47">
        <v>200</v>
      </c>
      <c r="H47">
        <v>0</v>
      </c>
      <c r="I47" t="s">
        <v>24</v>
      </c>
      <c r="J47" t="s">
        <v>246</v>
      </c>
      <c r="K47" t="s">
        <v>247</v>
      </c>
      <c r="L47" t="s">
        <v>27</v>
      </c>
      <c r="M47" t="s">
        <v>28</v>
      </c>
      <c r="N47" t="s">
        <v>242</v>
      </c>
      <c r="O47" t="s">
        <v>27</v>
      </c>
      <c r="P47" t="s">
        <v>39</v>
      </c>
      <c r="Q47" t="s">
        <v>31</v>
      </c>
      <c r="R47" t="s">
        <v>32</v>
      </c>
      <c r="S47" t="s">
        <v>28</v>
      </c>
      <c r="T47" t="s">
        <v>27</v>
      </c>
      <c r="U47" t="s">
        <v>242</v>
      </c>
      <c r="V47" s="2" t="s">
        <v>880</v>
      </c>
      <c r="W47">
        <v>1200</v>
      </c>
      <c r="X47">
        <v>2</v>
      </c>
    </row>
    <row r="48" spans="1:24" x14ac:dyDescent="0.25">
      <c r="A48" t="s">
        <v>58</v>
      </c>
      <c r="B48" t="s">
        <v>58</v>
      </c>
      <c r="C48">
        <v>100</v>
      </c>
      <c r="D48">
        <v>1</v>
      </c>
      <c r="E48">
        <v>0</v>
      </c>
      <c r="F48" t="s">
        <v>248</v>
      </c>
      <c r="G48">
        <v>106</v>
      </c>
      <c r="H48">
        <v>6</v>
      </c>
      <c r="I48" t="s">
        <v>24</v>
      </c>
      <c r="J48" t="s">
        <v>249</v>
      </c>
      <c r="K48" t="s">
        <v>250</v>
      </c>
      <c r="L48" t="s">
        <v>27</v>
      </c>
      <c r="M48" t="s">
        <v>28</v>
      </c>
      <c r="N48" t="s">
        <v>251</v>
      </c>
      <c r="O48" t="s">
        <v>27</v>
      </c>
      <c r="P48" t="s">
        <v>39</v>
      </c>
      <c r="Q48" t="s">
        <v>31</v>
      </c>
      <c r="R48" t="s">
        <v>32</v>
      </c>
      <c r="S48" t="s">
        <v>28</v>
      </c>
      <c r="T48" t="s">
        <v>27</v>
      </c>
      <c r="U48" t="s">
        <v>251</v>
      </c>
      <c r="V48" s="3" t="s">
        <v>881</v>
      </c>
      <c r="W48">
        <v>1200</v>
      </c>
      <c r="X48">
        <v>2</v>
      </c>
    </row>
    <row r="49" spans="1:24" x14ac:dyDescent="0.25">
      <c r="A49" t="s">
        <v>134</v>
      </c>
      <c r="B49" t="s">
        <v>64</v>
      </c>
      <c r="C49">
        <v>100</v>
      </c>
      <c r="D49">
        <v>3</v>
      </c>
      <c r="E49">
        <v>0</v>
      </c>
      <c r="F49" t="s">
        <v>252</v>
      </c>
      <c r="G49">
        <v>300</v>
      </c>
      <c r="H49">
        <v>0</v>
      </c>
      <c r="I49" t="s">
        <v>24</v>
      </c>
      <c r="J49" t="s">
        <v>253</v>
      </c>
      <c r="K49" t="s">
        <v>89</v>
      </c>
      <c r="L49" t="s">
        <v>27</v>
      </c>
      <c r="M49" t="s">
        <v>28</v>
      </c>
      <c r="N49" t="s">
        <v>254</v>
      </c>
      <c r="O49" t="s">
        <v>27</v>
      </c>
      <c r="P49" t="s">
        <v>56</v>
      </c>
      <c r="Q49" t="s">
        <v>31</v>
      </c>
      <c r="R49" t="s">
        <v>57</v>
      </c>
      <c r="S49" t="s">
        <v>28</v>
      </c>
      <c r="T49" t="s">
        <v>27</v>
      </c>
      <c r="U49" t="s">
        <v>254</v>
      </c>
      <c r="V49" s="2" t="s">
        <v>5357</v>
      </c>
      <c r="W49">
        <v>698.58</v>
      </c>
      <c r="X49">
        <v>1</v>
      </c>
    </row>
    <row r="50" spans="1:24" x14ac:dyDescent="0.25">
      <c r="A50" t="s">
        <v>40</v>
      </c>
      <c r="B50" t="s">
        <v>41</v>
      </c>
      <c r="C50">
        <v>111.6</v>
      </c>
      <c r="D50">
        <v>1</v>
      </c>
      <c r="E50">
        <v>0</v>
      </c>
      <c r="F50" t="s">
        <v>255</v>
      </c>
      <c r="G50">
        <v>116.6</v>
      </c>
      <c r="H50">
        <v>5</v>
      </c>
      <c r="I50" t="s">
        <v>24</v>
      </c>
      <c r="J50" t="s">
        <v>256</v>
      </c>
      <c r="K50" t="s">
        <v>257</v>
      </c>
      <c r="L50" t="s">
        <v>258</v>
      </c>
      <c r="M50" t="s">
        <v>259</v>
      </c>
      <c r="N50" t="s">
        <v>260</v>
      </c>
      <c r="O50" t="s">
        <v>27</v>
      </c>
      <c r="P50" t="s">
        <v>48</v>
      </c>
      <c r="Q50" t="s">
        <v>49</v>
      </c>
      <c r="R50" t="s">
        <v>50</v>
      </c>
      <c r="S50" t="s">
        <v>28</v>
      </c>
      <c r="T50" t="s">
        <v>27</v>
      </c>
      <c r="U50" t="s">
        <v>260</v>
      </c>
      <c r="V50" s="3" t="s">
        <v>2169</v>
      </c>
      <c r="W50">
        <v>698.58</v>
      </c>
      <c r="X50">
        <v>1</v>
      </c>
    </row>
    <row r="51" spans="1:24" x14ac:dyDescent="0.25">
      <c r="A51" t="s">
        <v>261</v>
      </c>
      <c r="B51" t="s">
        <v>262</v>
      </c>
      <c r="C51">
        <v>250</v>
      </c>
      <c r="D51">
        <v>1</v>
      </c>
      <c r="E51">
        <v>0</v>
      </c>
      <c r="F51" t="s">
        <v>263</v>
      </c>
      <c r="G51">
        <v>250</v>
      </c>
      <c r="H51">
        <v>0</v>
      </c>
      <c r="I51" t="s">
        <v>140</v>
      </c>
      <c r="J51" t="s">
        <v>264</v>
      </c>
      <c r="K51" t="s">
        <v>247</v>
      </c>
      <c r="L51" t="s">
        <v>27</v>
      </c>
      <c r="M51" t="s">
        <v>28</v>
      </c>
      <c r="N51" t="s">
        <v>265</v>
      </c>
      <c r="O51" t="s">
        <v>27</v>
      </c>
      <c r="P51" t="s">
        <v>30</v>
      </c>
      <c r="Q51" t="s">
        <v>31</v>
      </c>
      <c r="R51" t="s">
        <v>32</v>
      </c>
      <c r="S51" t="s">
        <v>28</v>
      </c>
      <c r="T51" t="s">
        <v>27</v>
      </c>
      <c r="U51" t="s">
        <v>265</v>
      </c>
      <c r="V51" s="2" t="s">
        <v>13954</v>
      </c>
      <c r="W51">
        <v>238</v>
      </c>
      <c r="X51">
        <v>2</v>
      </c>
    </row>
    <row r="52" spans="1:24" x14ac:dyDescent="0.25">
      <c r="A52" t="s">
        <v>266</v>
      </c>
      <c r="B52" t="s">
        <v>267</v>
      </c>
      <c r="C52">
        <v>800</v>
      </c>
      <c r="D52">
        <v>1</v>
      </c>
      <c r="E52">
        <v>0</v>
      </c>
      <c r="F52" t="s">
        <v>268</v>
      </c>
      <c r="G52">
        <v>800</v>
      </c>
      <c r="H52">
        <v>0</v>
      </c>
      <c r="I52" t="s">
        <v>140</v>
      </c>
      <c r="J52" t="s">
        <v>269</v>
      </c>
      <c r="K52" t="s">
        <v>89</v>
      </c>
      <c r="L52" t="s">
        <v>27</v>
      </c>
      <c r="M52" t="s">
        <v>28</v>
      </c>
      <c r="N52" t="s">
        <v>270</v>
      </c>
      <c r="O52" t="s">
        <v>27</v>
      </c>
      <c r="P52" t="s">
        <v>30</v>
      </c>
      <c r="Q52" t="s">
        <v>31</v>
      </c>
      <c r="R52" t="s">
        <v>32</v>
      </c>
      <c r="S52" t="s">
        <v>28</v>
      </c>
      <c r="T52" t="s">
        <v>27</v>
      </c>
      <c r="U52" t="s">
        <v>270</v>
      </c>
      <c r="V52" s="3" t="s">
        <v>13955</v>
      </c>
      <c r="W52">
        <v>238</v>
      </c>
      <c r="X52">
        <v>2</v>
      </c>
    </row>
    <row r="53" spans="1:24" x14ac:dyDescent="0.25">
      <c r="A53" t="s">
        <v>143</v>
      </c>
      <c r="B53" t="s">
        <v>144</v>
      </c>
      <c r="C53">
        <v>200</v>
      </c>
      <c r="D53">
        <v>1</v>
      </c>
      <c r="E53">
        <v>0</v>
      </c>
      <c r="F53" t="s">
        <v>271</v>
      </c>
      <c r="G53">
        <v>200</v>
      </c>
      <c r="H53">
        <v>0</v>
      </c>
      <c r="I53" t="s">
        <v>140</v>
      </c>
      <c r="J53" t="s">
        <v>272</v>
      </c>
      <c r="K53" t="s">
        <v>273</v>
      </c>
      <c r="L53" t="s">
        <v>27</v>
      </c>
      <c r="M53" t="s">
        <v>28</v>
      </c>
      <c r="N53" t="s">
        <v>27</v>
      </c>
      <c r="O53" t="s">
        <v>27</v>
      </c>
      <c r="P53" t="s">
        <v>56</v>
      </c>
      <c r="Q53" t="s">
        <v>31</v>
      </c>
      <c r="R53" t="s">
        <v>27</v>
      </c>
      <c r="S53" t="s">
        <v>28</v>
      </c>
      <c r="T53" t="s">
        <v>27</v>
      </c>
      <c r="U53" t="s">
        <v>274</v>
      </c>
      <c r="V53" s="2" t="s">
        <v>2703</v>
      </c>
      <c r="W53">
        <v>5365.8600000000006</v>
      </c>
      <c r="X53">
        <v>15</v>
      </c>
    </row>
    <row r="54" spans="1:24" x14ac:dyDescent="0.25">
      <c r="A54" t="s">
        <v>275</v>
      </c>
      <c r="B54" t="s">
        <v>276</v>
      </c>
      <c r="C54">
        <v>117</v>
      </c>
      <c r="D54">
        <v>1</v>
      </c>
      <c r="E54">
        <v>0</v>
      </c>
      <c r="F54" t="s">
        <v>277</v>
      </c>
      <c r="G54">
        <v>122</v>
      </c>
      <c r="H54">
        <v>5</v>
      </c>
      <c r="I54" t="s">
        <v>24</v>
      </c>
      <c r="J54" t="s">
        <v>278</v>
      </c>
      <c r="K54" t="s">
        <v>279</v>
      </c>
      <c r="L54" t="s">
        <v>280</v>
      </c>
      <c r="M54" t="s">
        <v>281</v>
      </c>
      <c r="N54" t="s">
        <v>282</v>
      </c>
      <c r="O54" t="s">
        <v>27</v>
      </c>
      <c r="P54" t="s">
        <v>48</v>
      </c>
      <c r="Q54" t="s">
        <v>49</v>
      </c>
      <c r="R54" t="s">
        <v>50</v>
      </c>
      <c r="S54" t="s">
        <v>28</v>
      </c>
      <c r="T54" t="s">
        <v>27</v>
      </c>
      <c r="U54" t="s">
        <v>282</v>
      </c>
      <c r="V54" s="3" t="s">
        <v>2704</v>
      </c>
      <c r="W54">
        <v>3265.86</v>
      </c>
      <c r="X54">
        <v>9</v>
      </c>
    </row>
    <row r="55" spans="1:24" x14ac:dyDescent="0.25">
      <c r="A55" t="s">
        <v>21</v>
      </c>
      <c r="B55" t="s">
        <v>22</v>
      </c>
      <c r="C55">
        <v>100</v>
      </c>
      <c r="D55">
        <v>1</v>
      </c>
      <c r="E55">
        <v>0</v>
      </c>
      <c r="F55" t="s">
        <v>283</v>
      </c>
      <c r="G55">
        <v>106</v>
      </c>
      <c r="H55">
        <v>6</v>
      </c>
      <c r="I55" t="s">
        <v>24</v>
      </c>
      <c r="J55" t="s">
        <v>284</v>
      </c>
      <c r="K55" t="s">
        <v>285</v>
      </c>
      <c r="L55" t="s">
        <v>27</v>
      </c>
      <c r="M55" t="s">
        <v>28</v>
      </c>
      <c r="N55" t="s">
        <v>286</v>
      </c>
      <c r="O55" t="s">
        <v>27</v>
      </c>
      <c r="P55" t="s">
        <v>56</v>
      </c>
      <c r="Q55" t="s">
        <v>31</v>
      </c>
      <c r="R55" t="s">
        <v>57</v>
      </c>
      <c r="S55" t="s">
        <v>28</v>
      </c>
      <c r="T55" t="s">
        <v>27</v>
      </c>
      <c r="U55" t="s">
        <v>286</v>
      </c>
      <c r="V55" s="3" t="s">
        <v>5909</v>
      </c>
      <c r="W55">
        <v>2100</v>
      </c>
      <c r="X55">
        <v>6</v>
      </c>
    </row>
    <row r="56" spans="1:24" x14ac:dyDescent="0.25">
      <c r="A56" t="s">
        <v>58</v>
      </c>
      <c r="B56" t="s">
        <v>103</v>
      </c>
      <c r="C56">
        <v>105</v>
      </c>
      <c r="D56">
        <v>1</v>
      </c>
      <c r="E56">
        <v>0</v>
      </c>
      <c r="F56" t="s">
        <v>287</v>
      </c>
      <c r="G56">
        <v>105</v>
      </c>
      <c r="H56">
        <v>0</v>
      </c>
      <c r="I56" t="s">
        <v>105</v>
      </c>
      <c r="J56" t="s">
        <v>288</v>
      </c>
      <c r="K56" t="s">
        <v>289</v>
      </c>
      <c r="L56" t="s">
        <v>290</v>
      </c>
      <c r="M56" t="s">
        <v>291</v>
      </c>
      <c r="N56" t="s">
        <v>286</v>
      </c>
      <c r="O56" t="s">
        <v>27</v>
      </c>
      <c r="P56" t="s">
        <v>48</v>
      </c>
      <c r="Q56" t="s">
        <v>49</v>
      </c>
      <c r="R56" t="s">
        <v>50</v>
      </c>
      <c r="S56" t="s">
        <v>28</v>
      </c>
      <c r="T56" t="s">
        <v>27</v>
      </c>
      <c r="U56" t="s">
        <v>286</v>
      </c>
      <c r="V56" s="2" t="s">
        <v>143</v>
      </c>
      <c r="W56">
        <v>73200</v>
      </c>
      <c r="X56">
        <v>414</v>
      </c>
    </row>
    <row r="57" spans="1:24" x14ac:dyDescent="0.25">
      <c r="A57" t="s">
        <v>134</v>
      </c>
      <c r="B57" t="s">
        <v>64</v>
      </c>
      <c r="C57">
        <v>100</v>
      </c>
      <c r="D57">
        <v>5</v>
      </c>
      <c r="E57">
        <v>0</v>
      </c>
      <c r="F57" t="s">
        <v>292</v>
      </c>
      <c r="G57">
        <v>500</v>
      </c>
      <c r="H57">
        <v>0</v>
      </c>
      <c r="I57" t="s">
        <v>24</v>
      </c>
      <c r="J57" t="s">
        <v>293</v>
      </c>
      <c r="K57" t="s">
        <v>294</v>
      </c>
      <c r="L57" t="s">
        <v>27</v>
      </c>
      <c r="M57" t="s">
        <v>28</v>
      </c>
      <c r="N57" t="s">
        <v>295</v>
      </c>
      <c r="O57" t="s">
        <v>27</v>
      </c>
      <c r="P57" t="s">
        <v>56</v>
      </c>
      <c r="Q57" t="s">
        <v>31</v>
      </c>
      <c r="R57" t="s">
        <v>57</v>
      </c>
      <c r="S57" t="s">
        <v>28</v>
      </c>
      <c r="T57" t="s">
        <v>27</v>
      </c>
      <c r="U57" t="s">
        <v>296</v>
      </c>
      <c r="V57" s="3" t="s">
        <v>144</v>
      </c>
      <c r="W57">
        <v>73200</v>
      </c>
      <c r="X57">
        <v>414</v>
      </c>
    </row>
    <row r="58" spans="1:24" x14ac:dyDescent="0.25">
      <c r="A58" t="s">
        <v>33</v>
      </c>
      <c r="B58" t="s">
        <v>34</v>
      </c>
      <c r="C58">
        <v>200</v>
      </c>
      <c r="D58">
        <v>1</v>
      </c>
      <c r="E58">
        <v>0</v>
      </c>
      <c r="F58" t="s">
        <v>297</v>
      </c>
      <c r="G58">
        <v>300</v>
      </c>
      <c r="H58">
        <v>0</v>
      </c>
      <c r="I58" t="s">
        <v>24</v>
      </c>
      <c r="J58" t="s">
        <v>298</v>
      </c>
      <c r="K58" t="s">
        <v>299</v>
      </c>
      <c r="L58" t="s">
        <v>27</v>
      </c>
      <c r="M58" t="s">
        <v>28</v>
      </c>
      <c r="N58" t="s">
        <v>300</v>
      </c>
      <c r="O58" t="s">
        <v>27</v>
      </c>
      <c r="P58" t="s">
        <v>56</v>
      </c>
      <c r="Q58" t="s">
        <v>31</v>
      </c>
      <c r="R58" t="s">
        <v>57</v>
      </c>
      <c r="S58" t="s">
        <v>28</v>
      </c>
      <c r="T58" t="s">
        <v>27</v>
      </c>
      <c r="U58" t="s">
        <v>301</v>
      </c>
      <c r="V58" s="2" t="s">
        <v>275</v>
      </c>
      <c r="W58">
        <v>2898.15</v>
      </c>
      <c r="X58">
        <v>22</v>
      </c>
    </row>
    <row r="59" spans="1:24" x14ac:dyDescent="0.25">
      <c r="A59" t="s">
        <v>134</v>
      </c>
      <c r="B59" t="s">
        <v>64</v>
      </c>
      <c r="C59">
        <v>100</v>
      </c>
      <c r="D59">
        <v>1</v>
      </c>
      <c r="E59">
        <v>0</v>
      </c>
      <c r="F59" t="s">
        <v>297</v>
      </c>
      <c r="G59">
        <v>300</v>
      </c>
      <c r="H59">
        <v>0</v>
      </c>
      <c r="I59" t="s">
        <v>24</v>
      </c>
      <c r="J59" t="s">
        <v>298</v>
      </c>
      <c r="K59" t="s">
        <v>299</v>
      </c>
      <c r="L59" t="s">
        <v>27</v>
      </c>
      <c r="M59" t="s">
        <v>28</v>
      </c>
      <c r="N59" t="s">
        <v>300</v>
      </c>
      <c r="O59" t="s">
        <v>27</v>
      </c>
      <c r="P59" t="s">
        <v>56</v>
      </c>
      <c r="Q59" t="s">
        <v>31</v>
      </c>
      <c r="R59" t="s">
        <v>57</v>
      </c>
      <c r="S59" t="s">
        <v>28</v>
      </c>
      <c r="T59" t="s">
        <v>27</v>
      </c>
      <c r="U59" t="s">
        <v>301</v>
      </c>
      <c r="V59" s="3" t="s">
        <v>1864</v>
      </c>
      <c r="W59">
        <v>1240</v>
      </c>
      <c r="X59">
        <v>9</v>
      </c>
    </row>
    <row r="60" spans="1:24" x14ac:dyDescent="0.25">
      <c r="A60" t="s">
        <v>21</v>
      </c>
      <c r="B60" t="s">
        <v>22</v>
      </c>
      <c r="C60">
        <v>100</v>
      </c>
      <c r="D60">
        <v>1</v>
      </c>
      <c r="E60">
        <v>0</v>
      </c>
      <c r="F60" t="s">
        <v>302</v>
      </c>
      <c r="G60">
        <v>145</v>
      </c>
      <c r="H60">
        <v>45</v>
      </c>
      <c r="I60" t="s">
        <v>24</v>
      </c>
      <c r="J60" t="s">
        <v>303</v>
      </c>
      <c r="K60" t="s">
        <v>241</v>
      </c>
      <c r="L60" t="s">
        <v>27</v>
      </c>
      <c r="M60" t="s">
        <v>28</v>
      </c>
      <c r="N60" t="s">
        <v>304</v>
      </c>
      <c r="O60" t="s">
        <v>27</v>
      </c>
      <c r="P60" t="s">
        <v>39</v>
      </c>
      <c r="Q60" t="s">
        <v>31</v>
      </c>
      <c r="R60" t="s">
        <v>32</v>
      </c>
      <c r="S60" t="s">
        <v>28</v>
      </c>
      <c r="T60" t="s">
        <v>27</v>
      </c>
      <c r="U60" t="s">
        <v>304</v>
      </c>
      <c r="V60" s="3" t="s">
        <v>276</v>
      </c>
      <c r="W60">
        <v>1658.15</v>
      </c>
      <c r="X60">
        <v>13</v>
      </c>
    </row>
    <row r="61" spans="1:24" x14ac:dyDescent="0.25">
      <c r="A61" t="s">
        <v>33</v>
      </c>
      <c r="B61" t="s">
        <v>34</v>
      </c>
      <c r="C61">
        <v>200</v>
      </c>
      <c r="D61">
        <v>1</v>
      </c>
      <c r="E61">
        <v>0</v>
      </c>
      <c r="F61" t="s">
        <v>305</v>
      </c>
      <c r="G61">
        <v>200</v>
      </c>
      <c r="H61">
        <v>0</v>
      </c>
      <c r="I61" t="s">
        <v>24</v>
      </c>
      <c r="J61" t="s">
        <v>306</v>
      </c>
      <c r="K61" t="s">
        <v>26</v>
      </c>
      <c r="L61" t="s">
        <v>27</v>
      </c>
      <c r="M61" t="s">
        <v>28</v>
      </c>
      <c r="N61" t="s">
        <v>307</v>
      </c>
      <c r="O61" t="s">
        <v>27</v>
      </c>
      <c r="P61" t="s">
        <v>56</v>
      </c>
      <c r="Q61" t="s">
        <v>31</v>
      </c>
      <c r="R61" t="s">
        <v>57</v>
      </c>
      <c r="S61" t="s">
        <v>308</v>
      </c>
      <c r="T61" t="s">
        <v>27</v>
      </c>
      <c r="U61" t="s">
        <v>307</v>
      </c>
      <c r="V61" s="2" t="s">
        <v>909</v>
      </c>
      <c r="W61">
        <v>3101.68</v>
      </c>
      <c r="X61">
        <v>13</v>
      </c>
    </row>
    <row r="62" spans="1:24" x14ac:dyDescent="0.25">
      <c r="A62" t="s">
        <v>21</v>
      </c>
      <c r="B62" t="s">
        <v>22</v>
      </c>
      <c r="C62">
        <v>100</v>
      </c>
      <c r="D62">
        <v>1</v>
      </c>
      <c r="E62">
        <v>0</v>
      </c>
      <c r="F62" t="s">
        <v>309</v>
      </c>
      <c r="G62">
        <v>106</v>
      </c>
      <c r="H62">
        <v>6</v>
      </c>
      <c r="I62" t="s">
        <v>24</v>
      </c>
      <c r="J62" t="s">
        <v>310</v>
      </c>
      <c r="K62" t="s">
        <v>311</v>
      </c>
      <c r="L62" t="s">
        <v>27</v>
      </c>
      <c r="M62" t="s">
        <v>28</v>
      </c>
      <c r="N62" t="s">
        <v>307</v>
      </c>
      <c r="O62" t="s">
        <v>27</v>
      </c>
      <c r="P62" t="s">
        <v>39</v>
      </c>
      <c r="Q62" t="s">
        <v>31</v>
      </c>
      <c r="R62" t="s">
        <v>32</v>
      </c>
      <c r="S62" t="s">
        <v>28</v>
      </c>
      <c r="T62" t="s">
        <v>27</v>
      </c>
      <c r="U62" t="s">
        <v>307</v>
      </c>
      <c r="V62" s="3" t="s">
        <v>276</v>
      </c>
      <c r="W62">
        <v>1421.6799999999998</v>
      </c>
      <c r="X62">
        <v>6</v>
      </c>
    </row>
    <row r="63" spans="1:24" x14ac:dyDescent="0.25">
      <c r="A63" t="s">
        <v>63</v>
      </c>
      <c r="B63" t="s">
        <v>64</v>
      </c>
      <c r="C63">
        <v>150</v>
      </c>
      <c r="D63">
        <v>2</v>
      </c>
      <c r="E63">
        <v>0</v>
      </c>
      <c r="F63" t="s">
        <v>312</v>
      </c>
      <c r="G63">
        <v>345</v>
      </c>
      <c r="H63">
        <v>45</v>
      </c>
      <c r="I63" t="s">
        <v>24</v>
      </c>
      <c r="J63" t="s">
        <v>313</v>
      </c>
      <c r="K63" t="s">
        <v>314</v>
      </c>
      <c r="L63" t="s">
        <v>315</v>
      </c>
      <c r="M63" t="s">
        <v>316</v>
      </c>
      <c r="N63" t="s">
        <v>317</v>
      </c>
      <c r="O63" t="s">
        <v>27</v>
      </c>
      <c r="P63" t="s">
        <v>193</v>
      </c>
      <c r="Q63" t="s">
        <v>85</v>
      </c>
      <c r="R63" t="s">
        <v>86</v>
      </c>
      <c r="S63" t="s">
        <v>28</v>
      </c>
      <c r="T63" t="s">
        <v>27</v>
      </c>
      <c r="U63" t="s">
        <v>318</v>
      </c>
      <c r="V63" s="3" t="s">
        <v>3592</v>
      </c>
      <c r="W63">
        <v>1680</v>
      </c>
      <c r="X63">
        <v>7</v>
      </c>
    </row>
    <row r="64" spans="1:24" x14ac:dyDescent="0.25">
      <c r="A64" t="s">
        <v>21</v>
      </c>
      <c r="B64" t="s">
        <v>22</v>
      </c>
      <c r="C64">
        <v>100</v>
      </c>
      <c r="D64">
        <v>1</v>
      </c>
      <c r="E64">
        <v>0</v>
      </c>
      <c r="F64" t="s">
        <v>319</v>
      </c>
      <c r="G64">
        <v>106</v>
      </c>
      <c r="H64">
        <v>6</v>
      </c>
      <c r="I64" t="s">
        <v>24</v>
      </c>
      <c r="J64" t="s">
        <v>320</v>
      </c>
      <c r="K64" t="s">
        <v>321</v>
      </c>
      <c r="L64" t="s">
        <v>27</v>
      </c>
      <c r="M64" t="s">
        <v>28</v>
      </c>
      <c r="N64" t="s">
        <v>322</v>
      </c>
      <c r="O64" t="s">
        <v>27</v>
      </c>
      <c r="P64" t="s">
        <v>39</v>
      </c>
      <c r="Q64" t="s">
        <v>31</v>
      </c>
      <c r="R64" t="s">
        <v>32</v>
      </c>
      <c r="S64" t="s">
        <v>28</v>
      </c>
      <c r="T64" t="s">
        <v>27</v>
      </c>
      <c r="U64" t="s">
        <v>322</v>
      </c>
      <c r="V64" s="2" t="s">
        <v>5037</v>
      </c>
      <c r="W64">
        <v>1457.72</v>
      </c>
      <c r="X64">
        <v>4</v>
      </c>
    </row>
    <row r="65" spans="1:24" x14ac:dyDescent="0.25">
      <c r="A65" t="s">
        <v>58</v>
      </c>
      <c r="B65" t="s">
        <v>58</v>
      </c>
      <c r="C65">
        <v>100</v>
      </c>
      <c r="D65">
        <v>1</v>
      </c>
      <c r="E65">
        <v>0</v>
      </c>
      <c r="F65" t="s">
        <v>323</v>
      </c>
      <c r="G65">
        <v>106</v>
      </c>
      <c r="H65">
        <v>6</v>
      </c>
      <c r="I65" t="s">
        <v>140</v>
      </c>
      <c r="J65" t="s">
        <v>324</v>
      </c>
      <c r="K65" t="s">
        <v>325</v>
      </c>
      <c r="L65" t="s">
        <v>27</v>
      </c>
      <c r="M65" t="s">
        <v>28</v>
      </c>
      <c r="N65" t="s">
        <v>322</v>
      </c>
      <c r="O65" t="s">
        <v>27</v>
      </c>
      <c r="P65" t="s">
        <v>30</v>
      </c>
      <c r="Q65" t="s">
        <v>31</v>
      </c>
      <c r="R65" t="s">
        <v>32</v>
      </c>
      <c r="S65" t="s">
        <v>28</v>
      </c>
      <c r="T65" t="s">
        <v>27</v>
      </c>
      <c r="U65" t="s">
        <v>322</v>
      </c>
      <c r="V65" s="3" t="s">
        <v>276</v>
      </c>
      <c r="W65">
        <v>1037.72</v>
      </c>
      <c r="X65">
        <v>3</v>
      </c>
    </row>
    <row r="66" spans="1:24" x14ac:dyDescent="0.25">
      <c r="A66" t="s">
        <v>21</v>
      </c>
      <c r="B66" t="s">
        <v>22</v>
      </c>
      <c r="C66">
        <v>100</v>
      </c>
      <c r="D66">
        <v>1</v>
      </c>
      <c r="E66">
        <v>0</v>
      </c>
      <c r="F66" t="s">
        <v>326</v>
      </c>
      <c r="G66">
        <v>145</v>
      </c>
      <c r="H66">
        <v>45</v>
      </c>
      <c r="I66" t="s">
        <v>24</v>
      </c>
      <c r="J66" t="s">
        <v>327</v>
      </c>
      <c r="K66" t="s">
        <v>241</v>
      </c>
      <c r="L66" t="s">
        <v>27</v>
      </c>
      <c r="M66" t="s">
        <v>28</v>
      </c>
      <c r="N66" t="s">
        <v>328</v>
      </c>
      <c r="O66" t="s">
        <v>27</v>
      </c>
      <c r="P66" t="s">
        <v>39</v>
      </c>
      <c r="Q66" t="s">
        <v>31</v>
      </c>
      <c r="R66" t="s">
        <v>32</v>
      </c>
      <c r="S66" t="s">
        <v>28</v>
      </c>
      <c r="T66" t="s">
        <v>27</v>
      </c>
      <c r="U66" t="s">
        <v>328</v>
      </c>
      <c r="V66" s="3" t="s">
        <v>8622</v>
      </c>
      <c r="W66">
        <v>420</v>
      </c>
      <c r="X66">
        <v>1</v>
      </c>
    </row>
    <row r="67" spans="1:24" x14ac:dyDescent="0.25">
      <c r="A67" t="s">
        <v>21</v>
      </c>
      <c r="B67" t="s">
        <v>22</v>
      </c>
      <c r="C67">
        <v>100</v>
      </c>
      <c r="D67">
        <v>1</v>
      </c>
      <c r="E67">
        <v>0</v>
      </c>
      <c r="F67" t="s">
        <v>329</v>
      </c>
      <c r="G67">
        <v>106</v>
      </c>
      <c r="H67">
        <v>6</v>
      </c>
      <c r="I67" t="s">
        <v>24</v>
      </c>
      <c r="J67" t="s">
        <v>330</v>
      </c>
      <c r="K67" t="s">
        <v>331</v>
      </c>
      <c r="L67" t="s">
        <v>27</v>
      </c>
      <c r="M67" t="s">
        <v>28</v>
      </c>
      <c r="N67" t="s">
        <v>332</v>
      </c>
      <c r="O67" t="s">
        <v>27</v>
      </c>
      <c r="P67" t="s">
        <v>56</v>
      </c>
      <c r="Q67" t="s">
        <v>31</v>
      </c>
      <c r="R67" t="s">
        <v>57</v>
      </c>
      <c r="S67" t="s">
        <v>28</v>
      </c>
      <c r="T67" t="s">
        <v>27</v>
      </c>
      <c r="U67" t="s">
        <v>332</v>
      </c>
      <c r="V67" s="2" t="s">
        <v>3751</v>
      </c>
      <c r="W67">
        <v>1415.1799999999998</v>
      </c>
      <c r="X67">
        <v>3</v>
      </c>
    </row>
    <row r="68" spans="1:24" x14ac:dyDescent="0.25">
      <c r="A68" t="s">
        <v>143</v>
      </c>
      <c r="B68" t="s">
        <v>144</v>
      </c>
      <c r="C68">
        <v>200</v>
      </c>
      <c r="D68">
        <v>1</v>
      </c>
      <c r="E68">
        <v>0</v>
      </c>
      <c r="F68" t="s">
        <v>333</v>
      </c>
      <c r="G68">
        <v>200</v>
      </c>
      <c r="H68">
        <v>0</v>
      </c>
      <c r="I68" t="s">
        <v>24</v>
      </c>
      <c r="J68" t="s">
        <v>334</v>
      </c>
      <c r="K68" t="s">
        <v>61</v>
      </c>
      <c r="L68" t="s">
        <v>27</v>
      </c>
      <c r="M68" t="s">
        <v>28</v>
      </c>
      <c r="N68" t="s">
        <v>335</v>
      </c>
      <c r="O68" t="s">
        <v>27</v>
      </c>
      <c r="P68" t="s">
        <v>56</v>
      </c>
      <c r="Q68" t="s">
        <v>31</v>
      </c>
      <c r="R68" t="s">
        <v>57</v>
      </c>
      <c r="S68" t="s">
        <v>28</v>
      </c>
      <c r="T68" t="s">
        <v>27</v>
      </c>
      <c r="U68" t="s">
        <v>336</v>
      </c>
      <c r="V68" s="3" t="s">
        <v>276</v>
      </c>
      <c r="W68">
        <v>855.18</v>
      </c>
      <c r="X68">
        <v>2</v>
      </c>
    </row>
    <row r="69" spans="1:24" x14ac:dyDescent="0.25">
      <c r="A69" t="s">
        <v>63</v>
      </c>
      <c r="B69" t="s">
        <v>64</v>
      </c>
      <c r="C69">
        <v>100</v>
      </c>
      <c r="D69">
        <v>1</v>
      </c>
      <c r="E69">
        <v>0</v>
      </c>
      <c r="F69" t="s">
        <v>337</v>
      </c>
      <c r="G69">
        <v>106</v>
      </c>
      <c r="H69">
        <v>6</v>
      </c>
      <c r="I69" t="s">
        <v>24</v>
      </c>
      <c r="J69" t="s">
        <v>338</v>
      </c>
      <c r="K69" t="s">
        <v>137</v>
      </c>
      <c r="L69" t="s">
        <v>27</v>
      </c>
      <c r="M69" t="s">
        <v>28</v>
      </c>
      <c r="N69" t="s">
        <v>339</v>
      </c>
      <c r="O69" t="s">
        <v>27</v>
      </c>
      <c r="P69" t="s">
        <v>39</v>
      </c>
      <c r="Q69" t="s">
        <v>31</v>
      </c>
      <c r="R69" t="s">
        <v>32</v>
      </c>
      <c r="S69" t="s">
        <v>28</v>
      </c>
      <c r="T69" t="s">
        <v>27</v>
      </c>
      <c r="U69" t="s">
        <v>339</v>
      </c>
      <c r="V69" s="3" t="s">
        <v>13636</v>
      </c>
      <c r="W69">
        <v>560</v>
      </c>
      <c r="X69">
        <v>1</v>
      </c>
    </row>
    <row r="70" spans="1:24" x14ac:dyDescent="0.25">
      <c r="A70" t="s">
        <v>33</v>
      </c>
      <c r="B70" t="s">
        <v>34</v>
      </c>
      <c r="C70">
        <v>200</v>
      </c>
      <c r="D70">
        <v>1</v>
      </c>
      <c r="E70">
        <v>0</v>
      </c>
      <c r="F70" t="s">
        <v>340</v>
      </c>
      <c r="G70">
        <v>200</v>
      </c>
      <c r="H70">
        <v>0</v>
      </c>
      <c r="I70" t="s">
        <v>24</v>
      </c>
      <c r="J70" t="s">
        <v>341</v>
      </c>
      <c r="K70" t="s">
        <v>342</v>
      </c>
      <c r="L70" t="s">
        <v>27</v>
      </c>
      <c r="M70" t="s">
        <v>28</v>
      </c>
      <c r="N70" t="s">
        <v>343</v>
      </c>
      <c r="O70" t="s">
        <v>27</v>
      </c>
      <c r="P70" t="s">
        <v>39</v>
      </c>
      <c r="Q70" t="s">
        <v>31</v>
      </c>
      <c r="R70" t="s">
        <v>32</v>
      </c>
      <c r="S70" t="s">
        <v>28</v>
      </c>
      <c r="T70" t="s">
        <v>27</v>
      </c>
      <c r="U70" t="s">
        <v>343</v>
      </c>
      <c r="V70" s="2" t="s">
        <v>6095</v>
      </c>
      <c r="W70">
        <v>1140.58</v>
      </c>
      <c r="X70">
        <v>2</v>
      </c>
    </row>
    <row r="71" spans="1:24" x14ac:dyDescent="0.25">
      <c r="A71" t="s">
        <v>33</v>
      </c>
      <c r="B71" t="s">
        <v>34</v>
      </c>
      <c r="C71">
        <v>200</v>
      </c>
      <c r="D71">
        <v>1</v>
      </c>
      <c r="E71">
        <v>0</v>
      </c>
      <c r="F71" t="s">
        <v>344</v>
      </c>
      <c r="G71">
        <v>200</v>
      </c>
      <c r="H71">
        <v>0</v>
      </c>
      <c r="I71" t="s">
        <v>24</v>
      </c>
      <c r="J71" t="s">
        <v>345</v>
      </c>
      <c r="K71" t="s">
        <v>346</v>
      </c>
      <c r="L71" t="s">
        <v>27</v>
      </c>
      <c r="M71" t="s">
        <v>28</v>
      </c>
      <c r="N71" t="s">
        <v>347</v>
      </c>
      <c r="O71" t="s">
        <v>27</v>
      </c>
      <c r="P71" t="s">
        <v>39</v>
      </c>
      <c r="Q71" t="s">
        <v>31</v>
      </c>
      <c r="R71" t="s">
        <v>32</v>
      </c>
      <c r="S71" t="s">
        <v>28</v>
      </c>
      <c r="T71" t="s">
        <v>27</v>
      </c>
      <c r="U71" t="s">
        <v>347</v>
      </c>
      <c r="V71" s="3" t="s">
        <v>276</v>
      </c>
      <c r="W71">
        <v>440.58</v>
      </c>
      <c r="X71">
        <v>1</v>
      </c>
    </row>
    <row r="72" spans="1:24" x14ac:dyDescent="0.25">
      <c r="A72" t="s">
        <v>63</v>
      </c>
      <c r="B72" t="s">
        <v>64</v>
      </c>
      <c r="C72">
        <v>100</v>
      </c>
      <c r="D72">
        <v>1</v>
      </c>
      <c r="E72">
        <v>0</v>
      </c>
      <c r="F72" t="s">
        <v>348</v>
      </c>
      <c r="G72">
        <v>106</v>
      </c>
      <c r="H72">
        <v>6</v>
      </c>
      <c r="I72" t="s">
        <v>24</v>
      </c>
      <c r="J72" t="s">
        <v>349</v>
      </c>
      <c r="K72" t="s">
        <v>350</v>
      </c>
      <c r="L72" t="s">
        <v>27</v>
      </c>
      <c r="M72" t="s">
        <v>28</v>
      </c>
      <c r="N72" t="s">
        <v>351</v>
      </c>
      <c r="O72" t="s">
        <v>27</v>
      </c>
      <c r="P72" t="s">
        <v>39</v>
      </c>
      <c r="Q72" t="s">
        <v>31</v>
      </c>
      <c r="R72" t="s">
        <v>32</v>
      </c>
      <c r="S72" t="s">
        <v>28</v>
      </c>
      <c r="T72" t="s">
        <v>27</v>
      </c>
      <c r="U72" t="s">
        <v>351</v>
      </c>
      <c r="V72" s="3" t="s">
        <v>14016</v>
      </c>
      <c r="W72">
        <v>700</v>
      </c>
      <c r="X72">
        <v>1</v>
      </c>
    </row>
    <row r="73" spans="1:24" x14ac:dyDescent="0.25">
      <c r="A73" t="s">
        <v>33</v>
      </c>
      <c r="B73" t="s">
        <v>34</v>
      </c>
      <c r="C73">
        <v>200</v>
      </c>
      <c r="D73">
        <v>1</v>
      </c>
      <c r="E73">
        <v>0</v>
      </c>
      <c r="F73" t="s">
        <v>352</v>
      </c>
      <c r="G73">
        <v>200</v>
      </c>
      <c r="H73">
        <v>0</v>
      </c>
      <c r="I73" t="s">
        <v>24</v>
      </c>
      <c r="J73" t="s">
        <v>353</v>
      </c>
      <c r="K73" t="s">
        <v>124</v>
      </c>
      <c r="L73" t="s">
        <v>27</v>
      </c>
      <c r="M73" t="s">
        <v>28</v>
      </c>
      <c r="N73" t="s">
        <v>354</v>
      </c>
      <c r="O73" t="s">
        <v>27</v>
      </c>
      <c r="P73" t="s">
        <v>56</v>
      </c>
      <c r="Q73" t="s">
        <v>31</v>
      </c>
      <c r="R73" t="s">
        <v>57</v>
      </c>
      <c r="S73" t="s">
        <v>28</v>
      </c>
      <c r="T73" t="s">
        <v>27</v>
      </c>
      <c r="U73" t="s">
        <v>355</v>
      </c>
      <c r="V73" s="2" t="s">
        <v>4934</v>
      </c>
      <c r="W73">
        <v>1120</v>
      </c>
      <c r="X73">
        <v>1</v>
      </c>
    </row>
    <row r="74" spans="1:24" x14ac:dyDescent="0.25">
      <c r="A74" t="s">
        <v>21</v>
      </c>
      <c r="B74" t="s">
        <v>22</v>
      </c>
      <c r="C74">
        <v>100</v>
      </c>
      <c r="D74">
        <v>1</v>
      </c>
      <c r="E74">
        <v>0</v>
      </c>
      <c r="F74" t="s">
        <v>356</v>
      </c>
      <c r="G74">
        <v>145</v>
      </c>
      <c r="H74">
        <v>45</v>
      </c>
      <c r="I74" t="s">
        <v>24</v>
      </c>
      <c r="J74" t="s">
        <v>357</v>
      </c>
      <c r="K74" t="s">
        <v>358</v>
      </c>
      <c r="L74" t="s">
        <v>27</v>
      </c>
      <c r="M74" t="s">
        <v>28</v>
      </c>
      <c r="N74" t="s">
        <v>359</v>
      </c>
      <c r="O74" t="s">
        <v>27</v>
      </c>
      <c r="P74" t="s">
        <v>39</v>
      </c>
      <c r="Q74" t="s">
        <v>31</v>
      </c>
      <c r="R74" t="s">
        <v>32</v>
      </c>
      <c r="S74" t="s">
        <v>28</v>
      </c>
      <c r="T74" t="s">
        <v>27</v>
      </c>
      <c r="U74" t="s">
        <v>359</v>
      </c>
      <c r="V74" s="3" t="s">
        <v>4935</v>
      </c>
      <c r="W74">
        <v>1120</v>
      </c>
      <c r="X74">
        <v>1</v>
      </c>
    </row>
    <row r="75" spans="1:24" x14ac:dyDescent="0.25">
      <c r="A75" t="s">
        <v>21</v>
      </c>
      <c r="B75" t="s">
        <v>22</v>
      </c>
      <c r="C75">
        <v>100</v>
      </c>
      <c r="D75">
        <v>1</v>
      </c>
      <c r="E75">
        <v>0</v>
      </c>
      <c r="F75" t="s">
        <v>360</v>
      </c>
      <c r="G75">
        <v>200</v>
      </c>
      <c r="H75">
        <v>0</v>
      </c>
      <c r="I75" t="s">
        <v>140</v>
      </c>
      <c r="J75" t="s">
        <v>361</v>
      </c>
      <c r="K75" t="s">
        <v>285</v>
      </c>
      <c r="L75" t="s">
        <v>27</v>
      </c>
      <c r="M75" t="s">
        <v>28</v>
      </c>
      <c r="N75" t="s">
        <v>362</v>
      </c>
      <c r="O75" t="s">
        <v>27</v>
      </c>
      <c r="P75" t="s">
        <v>30</v>
      </c>
      <c r="Q75" t="s">
        <v>31</v>
      </c>
      <c r="R75" t="s">
        <v>32</v>
      </c>
      <c r="S75" t="s">
        <v>28</v>
      </c>
      <c r="T75" t="s">
        <v>27</v>
      </c>
      <c r="U75" t="s">
        <v>362</v>
      </c>
      <c r="V75" s="2" t="s">
        <v>14799</v>
      </c>
      <c r="W75">
        <v>120</v>
      </c>
      <c r="X75">
        <v>1</v>
      </c>
    </row>
    <row r="76" spans="1:24" x14ac:dyDescent="0.25">
      <c r="A76" t="s">
        <v>63</v>
      </c>
      <c r="B76" t="s">
        <v>64</v>
      </c>
      <c r="C76">
        <v>100</v>
      </c>
      <c r="D76">
        <v>1</v>
      </c>
      <c r="E76">
        <v>0</v>
      </c>
      <c r="F76" t="s">
        <v>360</v>
      </c>
      <c r="G76">
        <v>200</v>
      </c>
      <c r="H76">
        <v>0</v>
      </c>
      <c r="I76" t="s">
        <v>140</v>
      </c>
      <c r="J76" t="s">
        <v>361</v>
      </c>
      <c r="K76" t="s">
        <v>285</v>
      </c>
      <c r="L76" t="s">
        <v>27</v>
      </c>
      <c r="M76" t="s">
        <v>28</v>
      </c>
      <c r="N76" t="s">
        <v>362</v>
      </c>
      <c r="O76" t="s">
        <v>27</v>
      </c>
      <c r="P76" t="s">
        <v>30</v>
      </c>
      <c r="Q76" t="s">
        <v>31</v>
      </c>
      <c r="R76" t="s">
        <v>32</v>
      </c>
      <c r="S76" t="s">
        <v>28</v>
      </c>
      <c r="T76" t="s">
        <v>27</v>
      </c>
      <c r="U76" t="s">
        <v>362</v>
      </c>
      <c r="V76" s="3" t="s">
        <v>14800</v>
      </c>
      <c r="W76">
        <v>120</v>
      </c>
      <c r="X76">
        <v>1</v>
      </c>
    </row>
    <row r="77" spans="1:24" x14ac:dyDescent="0.25">
      <c r="A77" t="s">
        <v>21</v>
      </c>
      <c r="B77" t="s">
        <v>22</v>
      </c>
      <c r="C77">
        <v>100</v>
      </c>
      <c r="D77">
        <v>1</v>
      </c>
      <c r="E77">
        <v>0</v>
      </c>
      <c r="F77" t="s">
        <v>363</v>
      </c>
      <c r="G77">
        <v>106</v>
      </c>
      <c r="H77">
        <v>6</v>
      </c>
      <c r="I77" t="s">
        <v>140</v>
      </c>
      <c r="J77" t="s">
        <v>364</v>
      </c>
      <c r="K77" t="s">
        <v>137</v>
      </c>
      <c r="L77" t="s">
        <v>27</v>
      </c>
      <c r="M77" t="s">
        <v>28</v>
      </c>
      <c r="N77" t="s">
        <v>365</v>
      </c>
      <c r="O77" t="s">
        <v>27</v>
      </c>
      <c r="P77" t="s">
        <v>30</v>
      </c>
      <c r="Q77" t="s">
        <v>31</v>
      </c>
      <c r="R77" t="s">
        <v>32</v>
      </c>
      <c r="S77" t="s">
        <v>28</v>
      </c>
      <c r="T77" t="s">
        <v>27</v>
      </c>
      <c r="U77" t="s">
        <v>365</v>
      </c>
      <c r="V77" s="2" t="s">
        <v>120</v>
      </c>
      <c r="W77">
        <v>288</v>
      </c>
      <c r="X77">
        <v>1</v>
      </c>
    </row>
    <row r="78" spans="1:24" x14ac:dyDescent="0.25">
      <c r="A78" t="s">
        <v>21</v>
      </c>
      <c r="B78" t="s">
        <v>22</v>
      </c>
      <c r="C78">
        <v>100</v>
      </c>
      <c r="D78">
        <v>1</v>
      </c>
      <c r="E78">
        <v>0</v>
      </c>
      <c r="F78" t="s">
        <v>366</v>
      </c>
      <c r="G78">
        <v>300</v>
      </c>
      <c r="H78">
        <v>0</v>
      </c>
      <c r="I78" t="s">
        <v>140</v>
      </c>
      <c r="J78" t="s">
        <v>367</v>
      </c>
      <c r="K78" t="s">
        <v>171</v>
      </c>
      <c r="L78" t="s">
        <v>27</v>
      </c>
      <c r="M78" t="s">
        <v>28</v>
      </c>
      <c r="N78" t="s">
        <v>368</v>
      </c>
      <c r="O78" t="s">
        <v>27</v>
      </c>
      <c r="P78" t="s">
        <v>369</v>
      </c>
      <c r="Q78" t="s">
        <v>31</v>
      </c>
      <c r="R78" t="s">
        <v>57</v>
      </c>
      <c r="S78" t="s">
        <v>28</v>
      </c>
      <c r="T78" t="s">
        <v>27</v>
      </c>
      <c r="U78" t="s">
        <v>368</v>
      </c>
      <c r="V78" s="3" t="s">
        <v>121</v>
      </c>
      <c r="W78">
        <v>288</v>
      </c>
      <c r="X78">
        <v>1</v>
      </c>
    </row>
    <row r="79" spans="1:24" x14ac:dyDescent="0.25">
      <c r="A79" t="s">
        <v>134</v>
      </c>
      <c r="B79" t="s">
        <v>64</v>
      </c>
      <c r="C79">
        <v>100</v>
      </c>
      <c r="D79">
        <v>1</v>
      </c>
      <c r="E79">
        <v>0</v>
      </c>
      <c r="F79" t="s">
        <v>366</v>
      </c>
      <c r="G79">
        <v>300</v>
      </c>
      <c r="H79">
        <v>0</v>
      </c>
      <c r="I79" t="s">
        <v>140</v>
      </c>
      <c r="J79" t="s">
        <v>367</v>
      </c>
      <c r="K79" t="s">
        <v>171</v>
      </c>
      <c r="L79" t="s">
        <v>27</v>
      </c>
      <c r="M79" t="s">
        <v>28</v>
      </c>
      <c r="N79" t="s">
        <v>368</v>
      </c>
      <c r="O79" t="s">
        <v>27</v>
      </c>
      <c r="P79" t="s">
        <v>369</v>
      </c>
      <c r="Q79" t="s">
        <v>31</v>
      </c>
      <c r="R79" t="s">
        <v>57</v>
      </c>
      <c r="S79" t="s">
        <v>28</v>
      </c>
      <c r="T79" t="s">
        <v>27</v>
      </c>
      <c r="U79" t="s">
        <v>368</v>
      </c>
      <c r="V79" s="2" t="s">
        <v>40</v>
      </c>
      <c r="W79">
        <v>3619.1899999999996</v>
      </c>
      <c r="X79">
        <v>39</v>
      </c>
    </row>
    <row r="80" spans="1:24" x14ac:dyDescent="0.25">
      <c r="A80" t="s">
        <v>58</v>
      </c>
      <c r="B80" t="s">
        <v>58</v>
      </c>
      <c r="C80">
        <v>100</v>
      </c>
      <c r="D80">
        <v>1</v>
      </c>
      <c r="E80">
        <v>0</v>
      </c>
      <c r="F80" t="s">
        <v>366</v>
      </c>
      <c r="G80">
        <v>300</v>
      </c>
      <c r="H80">
        <v>0</v>
      </c>
      <c r="I80" t="s">
        <v>140</v>
      </c>
      <c r="J80" t="s">
        <v>367</v>
      </c>
      <c r="K80" t="s">
        <v>171</v>
      </c>
      <c r="L80" t="s">
        <v>27</v>
      </c>
      <c r="M80" t="s">
        <v>28</v>
      </c>
      <c r="N80" t="s">
        <v>368</v>
      </c>
      <c r="O80" t="s">
        <v>27</v>
      </c>
      <c r="P80" t="s">
        <v>369</v>
      </c>
      <c r="Q80" t="s">
        <v>31</v>
      </c>
      <c r="R80" t="s">
        <v>57</v>
      </c>
      <c r="S80" t="s">
        <v>28</v>
      </c>
      <c r="T80" t="s">
        <v>27</v>
      </c>
      <c r="U80" t="s">
        <v>368</v>
      </c>
      <c r="V80" s="3" t="s">
        <v>41</v>
      </c>
      <c r="W80">
        <v>2819.1899999999996</v>
      </c>
      <c r="X80">
        <v>29</v>
      </c>
    </row>
    <row r="81" spans="1:24" x14ac:dyDescent="0.25">
      <c r="A81" t="s">
        <v>134</v>
      </c>
      <c r="B81" t="s">
        <v>64</v>
      </c>
      <c r="C81">
        <v>100</v>
      </c>
      <c r="D81">
        <v>1</v>
      </c>
      <c r="E81">
        <v>0</v>
      </c>
      <c r="F81" t="s">
        <v>370</v>
      </c>
      <c r="G81">
        <v>100</v>
      </c>
      <c r="H81">
        <v>0</v>
      </c>
      <c r="I81" t="s">
        <v>140</v>
      </c>
      <c r="J81" t="s">
        <v>371</v>
      </c>
      <c r="K81" t="s">
        <v>372</v>
      </c>
      <c r="L81" t="s">
        <v>27</v>
      </c>
      <c r="M81" t="s">
        <v>28</v>
      </c>
      <c r="N81" t="s">
        <v>373</v>
      </c>
      <c r="O81" t="s">
        <v>27</v>
      </c>
      <c r="P81" t="s">
        <v>30</v>
      </c>
      <c r="Q81" t="s">
        <v>31</v>
      </c>
      <c r="R81" t="s">
        <v>32</v>
      </c>
      <c r="S81" t="s">
        <v>28</v>
      </c>
      <c r="T81" t="s">
        <v>27</v>
      </c>
      <c r="U81" t="s">
        <v>373</v>
      </c>
      <c r="V81" s="3" t="s">
        <v>11384</v>
      </c>
      <c r="W81">
        <v>800</v>
      </c>
      <c r="X81">
        <v>10</v>
      </c>
    </row>
    <row r="82" spans="1:24" x14ac:dyDescent="0.25">
      <c r="A82" t="s">
        <v>143</v>
      </c>
      <c r="B82" t="s">
        <v>144</v>
      </c>
      <c r="C82">
        <v>200</v>
      </c>
      <c r="D82">
        <v>1</v>
      </c>
      <c r="E82">
        <v>0</v>
      </c>
      <c r="F82" t="s">
        <v>374</v>
      </c>
      <c r="G82">
        <v>400</v>
      </c>
      <c r="H82">
        <v>0</v>
      </c>
      <c r="I82" t="s">
        <v>140</v>
      </c>
      <c r="J82" t="s">
        <v>367</v>
      </c>
      <c r="K82" t="s">
        <v>171</v>
      </c>
      <c r="L82" t="s">
        <v>27</v>
      </c>
      <c r="M82" t="s">
        <v>28</v>
      </c>
      <c r="N82" t="s">
        <v>27</v>
      </c>
      <c r="O82" t="s">
        <v>27</v>
      </c>
      <c r="P82" t="s">
        <v>56</v>
      </c>
      <c r="Q82" t="s">
        <v>31</v>
      </c>
      <c r="R82" t="s">
        <v>27</v>
      </c>
      <c r="S82" t="s">
        <v>28</v>
      </c>
      <c r="T82" t="s">
        <v>27</v>
      </c>
      <c r="U82" t="s">
        <v>375</v>
      </c>
      <c r="V82" s="2" t="s">
        <v>13432</v>
      </c>
      <c r="W82">
        <v>395</v>
      </c>
      <c r="X82">
        <v>1</v>
      </c>
    </row>
    <row r="83" spans="1:24" x14ac:dyDescent="0.25">
      <c r="A83" t="s">
        <v>58</v>
      </c>
      <c r="B83" t="s">
        <v>58</v>
      </c>
      <c r="C83">
        <v>100</v>
      </c>
      <c r="D83">
        <v>1</v>
      </c>
      <c r="E83">
        <v>0</v>
      </c>
      <c r="F83" t="s">
        <v>374</v>
      </c>
      <c r="G83">
        <v>400</v>
      </c>
      <c r="H83">
        <v>0</v>
      </c>
      <c r="I83" t="s">
        <v>140</v>
      </c>
      <c r="J83" t="s">
        <v>367</v>
      </c>
      <c r="K83" t="s">
        <v>171</v>
      </c>
      <c r="L83" t="s">
        <v>27</v>
      </c>
      <c r="M83" t="s">
        <v>28</v>
      </c>
      <c r="N83" t="s">
        <v>27</v>
      </c>
      <c r="O83" t="s">
        <v>27</v>
      </c>
      <c r="P83" t="s">
        <v>56</v>
      </c>
      <c r="Q83" t="s">
        <v>31</v>
      </c>
      <c r="R83" t="s">
        <v>27</v>
      </c>
      <c r="S83" t="s">
        <v>28</v>
      </c>
      <c r="T83" t="s">
        <v>27</v>
      </c>
      <c r="U83" t="s">
        <v>375</v>
      </c>
      <c r="V83" s="3" t="s">
        <v>13433</v>
      </c>
      <c r="W83">
        <v>395</v>
      </c>
      <c r="X83">
        <v>1</v>
      </c>
    </row>
    <row r="84" spans="1:24" x14ac:dyDescent="0.25">
      <c r="A84" t="s">
        <v>21</v>
      </c>
      <c r="B84" t="s">
        <v>22</v>
      </c>
      <c r="C84">
        <v>100</v>
      </c>
      <c r="D84">
        <v>1</v>
      </c>
      <c r="E84">
        <v>0</v>
      </c>
      <c r="F84" t="s">
        <v>374</v>
      </c>
      <c r="G84">
        <v>400</v>
      </c>
      <c r="H84">
        <v>0</v>
      </c>
      <c r="I84" t="s">
        <v>140</v>
      </c>
      <c r="J84" t="s">
        <v>367</v>
      </c>
      <c r="K84" t="s">
        <v>171</v>
      </c>
      <c r="L84" t="s">
        <v>27</v>
      </c>
      <c r="M84" t="s">
        <v>28</v>
      </c>
      <c r="N84" t="s">
        <v>27</v>
      </c>
      <c r="O84" t="s">
        <v>27</v>
      </c>
      <c r="P84" t="s">
        <v>56</v>
      </c>
      <c r="Q84" t="s">
        <v>31</v>
      </c>
      <c r="R84" t="s">
        <v>27</v>
      </c>
      <c r="S84" t="s">
        <v>28</v>
      </c>
      <c r="T84" t="s">
        <v>27</v>
      </c>
      <c r="U84" t="s">
        <v>375</v>
      </c>
      <c r="V84" s="2" t="s">
        <v>5625</v>
      </c>
      <c r="W84">
        <v>2400</v>
      </c>
      <c r="X84">
        <v>2</v>
      </c>
    </row>
    <row r="85" spans="1:24" x14ac:dyDescent="0.25">
      <c r="A85" t="s">
        <v>21</v>
      </c>
      <c r="B85" t="s">
        <v>22</v>
      </c>
      <c r="C85">
        <v>100</v>
      </c>
      <c r="D85">
        <v>1</v>
      </c>
      <c r="E85">
        <v>0</v>
      </c>
      <c r="F85" t="s">
        <v>376</v>
      </c>
      <c r="G85">
        <v>300</v>
      </c>
      <c r="H85">
        <v>0</v>
      </c>
      <c r="I85" t="s">
        <v>24</v>
      </c>
      <c r="J85" t="s">
        <v>377</v>
      </c>
      <c r="K85" t="s">
        <v>321</v>
      </c>
      <c r="L85" t="s">
        <v>27</v>
      </c>
      <c r="M85" t="s">
        <v>28</v>
      </c>
      <c r="N85" t="s">
        <v>378</v>
      </c>
      <c r="O85" t="s">
        <v>27</v>
      </c>
      <c r="P85" t="s">
        <v>39</v>
      </c>
      <c r="Q85" t="s">
        <v>31</v>
      </c>
      <c r="R85" t="s">
        <v>32</v>
      </c>
      <c r="S85" t="s">
        <v>28</v>
      </c>
      <c r="T85" t="s">
        <v>27</v>
      </c>
      <c r="U85" t="s">
        <v>378</v>
      </c>
      <c r="V85" s="3" t="s">
        <v>5626</v>
      </c>
      <c r="W85">
        <v>2400</v>
      </c>
      <c r="X85">
        <v>2</v>
      </c>
    </row>
    <row r="86" spans="1:24" x14ac:dyDescent="0.25">
      <c r="A86" t="s">
        <v>33</v>
      </c>
      <c r="B86" t="s">
        <v>34</v>
      </c>
      <c r="C86">
        <v>200</v>
      </c>
      <c r="D86">
        <v>1</v>
      </c>
      <c r="E86">
        <v>0</v>
      </c>
      <c r="F86" t="s">
        <v>376</v>
      </c>
      <c r="G86">
        <v>300</v>
      </c>
      <c r="H86">
        <v>0</v>
      </c>
      <c r="I86" t="s">
        <v>24</v>
      </c>
      <c r="J86" t="s">
        <v>377</v>
      </c>
      <c r="K86" t="s">
        <v>321</v>
      </c>
      <c r="L86" t="s">
        <v>27</v>
      </c>
      <c r="M86" t="s">
        <v>28</v>
      </c>
      <c r="N86" t="s">
        <v>378</v>
      </c>
      <c r="O86" t="s">
        <v>27</v>
      </c>
      <c r="P86" t="s">
        <v>39</v>
      </c>
      <c r="Q86" t="s">
        <v>31</v>
      </c>
      <c r="R86" t="s">
        <v>32</v>
      </c>
      <c r="S86" t="s">
        <v>28</v>
      </c>
      <c r="T86" t="s">
        <v>27</v>
      </c>
      <c r="U86" t="s">
        <v>378</v>
      </c>
      <c r="V86" s="2" t="s">
        <v>33</v>
      </c>
      <c r="W86">
        <v>110229.61</v>
      </c>
      <c r="X86">
        <v>589</v>
      </c>
    </row>
    <row r="87" spans="1:24" x14ac:dyDescent="0.25">
      <c r="A87" t="s">
        <v>21</v>
      </c>
      <c r="B87" t="s">
        <v>22</v>
      </c>
      <c r="C87">
        <v>100</v>
      </c>
      <c r="D87">
        <v>1</v>
      </c>
      <c r="E87">
        <v>0</v>
      </c>
      <c r="F87" t="s">
        <v>379</v>
      </c>
      <c r="G87">
        <v>106</v>
      </c>
      <c r="H87">
        <v>6</v>
      </c>
      <c r="I87" t="s">
        <v>24</v>
      </c>
      <c r="J87" t="s">
        <v>380</v>
      </c>
      <c r="K87" t="s">
        <v>350</v>
      </c>
      <c r="L87" t="s">
        <v>27</v>
      </c>
      <c r="M87" t="s">
        <v>28</v>
      </c>
      <c r="N87" t="s">
        <v>381</v>
      </c>
      <c r="O87" t="s">
        <v>27</v>
      </c>
      <c r="P87" t="s">
        <v>39</v>
      </c>
      <c r="Q87" t="s">
        <v>31</v>
      </c>
      <c r="R87" t="s">
        <v>32</v>
      </c>
      <c r="S87" t="s">
        <v>28</v>
      </c>
      <c r="T87" t="s">
        <v>27</v>
      </c>
      <c r="U87" t="s">
        <v>381</v>
      </c>
      <c r="V87" s="3" t="s">
        <v>34</v>
      </c>
      <c r="W87">
        <v>110229.61</v>
      </c>
      <c r="X87">
        <v>589</v>
      </c>
    </row>
    <row r="88" spans="1:24" x14ac:dyDescent="0.25">
      <c r="A88" t="s">
        <v>58</v>
      </c>
      <c r="B88" t="s">
        <v>58</v>
      </c>
      <c r="C88">
        <v>100</v>
      </c>
      <c r="D88">
        <v>1</v>
      </c>
      <c r="E88">
        <v>0</v>
      </c>
      <c r="F88" t="s">
        <v>382</v>
      </c>
      <c r="G88">
        <v>150</v>
      </c>
      <c r="H88">
        <v>0</v>
      </c>
      <c r="I88" t="s">
        <v>24</v>
      </c>
      <c r="J88" t="s">
        <v>383</v>
      </c>
      <c r="K88" t="s">
        <v>384</v>
      </c>
      <c r="L88" t="s">
        <v>27</v>
      </c>
      <c r="M88" t="s">
        <v>28</v>
      </c>
      <c r="N88" t="s">
        <v>385</v>
      </c>
      <c r="O88" t="s">
        <v>27</v>
      </c>
      <c r="P88" t="s">
        <v>39</v>
      </c>
      <c r="Q88" t="s">
        <v>31</v>
      </c>
      <c r="R88" t="s">
        <v>32</v>
      </c>
      <c r="S88" t="s">
        <v>28</v>
      </c>
      <c r="T88" t="s">
        <v>27</v>
      </c>
      <c r="U88" t="s">
        <v>385</v>
      </c>
      <c r="V88" s="2" t="s">
        <v>70</v>
      </c>
      <c r="W88">
        <v>64440</v>
      </c>
      <c r="X88">
        <v>202</v>
      </c>
    </row>
    <row r="89" spans="1:24" x14ac:dyDescent="0.25">
      <c r="A89" t="s">
        <v>21</v>
      </c>
      <c r="B89" t="s">
        <v>22</v>
      </c>
      <c r="C89">
        <v>100</v>
      </c>
      <c r="D89">
        <v>1</v>
      </c>
      <c r="E89">
        <v>0</v>
      </c>
      <c r="F89" t="s">
        <v>386</v>
      </c>
      <c r="G89">
        <v>129</v>
      </c>
      <c r="H89">
        <v>29</v>
      </c>
      <c r="I89" t="s">
        <v>24</v>
      </c>
      <c r="J89" t="s">
        <v>387</v>
      </c>
      <c r="K89" t="s">
        <v>388</v>
      </c>
      <c r="L89" t="s">
        <v>27</v>
      </c>
      <c r="M89" t="s">
        <v>28</v>
      </c>
      <c r="N89" t="s">
        <v>389</v>
      </c>
      <c r="O89" t="s">
        <v>27</v>
      </c>
      <c r="P89" t="s">
        <v>39</v>
      </c>
      <c r="Q89" t="s">
        <v>31</v>
      </c>
      <c r="R89" t="s">
        <v>32</v>
      </c>
      <c r="S89" t="s">
        <v>28</v>
      </c>
      <c r="T89" t="s">
        <v>27</v>
      </c>
      <c r="U89" t="s">
        <v>389</v>
      </c>
      <c r="V89" s="3" t="s">
        <v>70</v>
      </c>
      <c r="W89">
        <v>64440</v>
      </c>
      <c r="X89">
        <v>202</v>
      </c>
    </row>
    <row r="90" spans="1:24" x14ac:dyDescent="0.25">
      <c r="A90" t="s">
        <v>21</v>
      </c>
      <c r="B90" t="s">
        <v>22</v>
      </c>
      <c r="C90">
        <v>100</v>
      </c>
      <c r="D90">
        <v>1</v>
      </c>
      <c r="E90">
        <v>0</v>
      </c>
      <c r="F90" t="s">
        <v>390</v>
      </c>
      <c r="G90">
        <v>106</v>
      </c>
      <c r="H90">
        <v>6</v>
      </c>
      <c r="I90" t="s">
        <v>24</v>
      </c>
      <c r="J90" t="s">
        <v>391</v>
      </c>
      <c r="K90" t="s">
        <v>237</v>
      </c>
      <c r="L90" t="s">
        <v>27</v>
      </c>
      <c r="M90" t="s">
        <v>28</v>
      </c>
      <c r="N90" t="s">
        <v>392</v>
      </c>
      <c r="O90" t="s">
        <v>27</v>
      </c>
      <c r="P90" t="s">
        <v>39</v>
      </c>
      <c r="Q90" t="s">
        <v>31</v>
      </c>
      <c r="R90" t="s">
        <v>32</v>
      </c>
      <c r="S90" t="s">
        <v>28</v>
      </c>
      <c r="T90" t="s">
        <v>27</v>
      </c>
      <c r="U90" t="s">
        <v>392</v>
      </c>
      <c r="V90" s="2" t="s">
        <v>2295</v>
      </c>
      <c r="W90">
        <v>4261.51</v>
      </c>
      <c r="X90">
        <v>23</v>
      </c>
    </row>
    <row r="91" spans="1:24" x14ac:dyDescent="0.25">
      <c r="A91" t="s">
        <v>21</v>
      </c>
      <c r="B91" t="s">
        <v>22</v>
      </c>
      <c r="C91">
        <v>100</v>
      </c>
      <c r="D91">
        <v>1</v>
      </c>
      <c r="E91">
        <v>0</v>
      </c>
      <c r="F91" t="s">
        <v>393</v>
      </c>
      <c r="G91">
        <v>106</v>
      </c>
      <c r="H91">
        <v>6</v>
      </c>
      <c r="I91" t="s">
        <v>24</v>
      </c>
      <c r="J91" t="s">
        <v>394</v>
      </c>
      <c r="K91" t="s">
        <v>89</v>
      </c>
      <c r="L91" t="s">
        <v>27</v>
      </c>
      <c r="M91" t="s">
        <v>28</v>
      </c>
      <c r="N91" t="s">
        <v>395</v>
      </c>
      <c r="O91" t="s">
        <v>27</v>
      </c>
      <c r="P91" t="s">
        <v>39</v>
      </c>
      <c r="Q91" t="s">
        <v>31</v>
      </c>
      <c r="R91" t="s">
        <v>32</v>
      </c>
      <c r="S91" t="s">
        <v>28</v>
      </c>
      <c r="T91" t="s">
        <v>27</v>
      </c>
      <c r="U91" t="s">
        <v>396</v>
      </c>
      <c r="V91" s="3" t="s">
        <v>2296</v>
      </c>
      <c r="W91">
        <v>394.2</v>
      </c>
      <c r="X91">
        <v>2</v>
      </c>
    </row>
    <row r="92" spans="1:24" x14ac:dyDescent="0.25">
      <c r="A92" t="s">
        <v>33</v>
      </c>
      <c r="B92" t="s">
        <v>34</v>
      </c>
      <c r="C92">
        <v>200</v>
      </c>
      <c r="D92">
        <v>2</v>
      </c>
      <c r="E92">
        <v>0</v>
      </c>
      <c r="F92" t="s">
        <v>397</v>
      </c>
      <c r="G92">
        <v>400</v>
      </c>
      <c r="H92">
        <v>0</v>
      </c>
      <c r="I92" t="s">
        <v>24</v>
      </c>
      <c r="J92" t="s">
        <v>398</v>
      </c>
      <c r="K92" t="s">
        <v>89</v>
      </c>
      <c r="L92" t="s">
        <v>27</v>
      </c>
      <c r="M92" t="s">
        <v>28</v>
      </c>
      <c r="N92" t="s">
        <v>399</v>
      </c>
      <c r="O92" t="s">
        <v>27</v>
      </c>
      <c r="P92" t="s">
        <v>39</v>
      </c>
      <c r="Q92" t="s">
        <v>31</v>
      </c>
      <c r="R92" t="s">
        <v>32</v>
      </c>
      <c r="S92" t="s">
        <v>28</v>
      </c>
      <c r="T92" t="s">
        <v>27</v>
      </c>
      <c r="U92" t="s">
        <v>399</v>
      </c>
      <c r="V92" s="3" t="s">
        <v>2854</v>
      </c>
      <c r="W92">
        <v>1280.3100000000002</v>
      </c>
      <c r="X92">
        <v>8</v>
      </c>
    </row>
    <row r="93" spans="1:24" x14ac:dyDescent="0.25">
      <c r="A93" t="s">
        <v>21</v>
      </c>
      <c r="B93" t="s">
        <v>22</v>
      </c>
      <c r="C93">
        <v>100</v>
      </c>
      <c r="D93">
        <v>2</v>
      </c>
      <c r="E93">
        <v>0</v>
      </c>
      <c r="F93" t="s">
        <v>400</v>
      </c>
      <c r="G93">
        <v>200</v>
      </c>
      <c r="H93">
        <v>0</v>
      </c>
      <c r="I93" t="s">
        <v>24</v>
      </c>
      <c r="J93" t="s">
        <v>401</v>
      </c>
      <c r="K93" t="s">
        <v>61</v>
      </c>
      <c r="L93" t="s">
        <v>27</v>
      </c>
      <c r="M93" t="s">
        <v>28</v>
      </c>
      <c r="N93" t="s">
        <v>402</v>
      </c>
      <c r="O93" t="s">
        <v>27</v>
      </c>
      <c r="P93" t="s">
        <v>39</v>
      </c>
      <c r="Q93" t="s">
        <v>31</v>
      </c>
      <c r="R93" t="s">
        <v>32</v>
      </c>
      <c r="S93" t="s">
        <v>28</v>
      </c>
      <c r="T93" t="s">
        <v>27</v>
      </c>
      <c r="U93" t="s">
        <v>402</v>
      </c>
      <c r="V93" s="3" t="s">
        <v>3286</v>
      </c>
      <c r="W93">
        <v>2587</v>
      </c>
      <c r="X93">
        <v>13</v>
      </c>
    </row>
    <row r="94" spans="1:24" x14ac:dyDescent="0.25">
      <c r="A94" t="s">
        <v>40</v>
      </c>
      <c r="B94" t="s">
        <v>41</v>
      </c>
      <c r="C94">
        <v>102</v>
      </c>
      <c r="D94">
        <v>1</v>
      </c>
      <c r="E94">
        <v>0</v>
      </c>
      <c r="F94" t="s">
        <v>403</v>
      </c>
      <c r="G94">
        <v>249</v>
      </c>
      <c r="H94">
        <v>45</v>
      </c>
      <c r="I94" t="s">
        <v>24</v>
      </c>
      <c r="J94" t="s">
        <v>404</v>
      </c>
      <c r="K94" t="s">
        <v>405</v>
      </c>
      <c r="L94" t="s">
        <v>406</v>
      </c>
      <c r="M94" t="s">
        <v>407</v>
      </c>
      <c r="N94" t="s">
        <v>402</v>
      </c>
      <c r="O94" t="s">
        <v>27</v>
      </c>
      <c r="P94" t="s">
        <v>48</v>
      </c>
      <c r="Q94" t="s">
        <v>49</v>
      </c>
      <c r="R94" t="s">
        <v>50</v>
      </c>
      <c r="S94" t="s">
        <v>28</v>
      </c>
      <c r="T94" t="s">
        <v>27</v>
      </c>
      <c r="U94" t="s">
        <v>402</v>
      </c>
      <c r="V94" s="2" t="s">
        <v>2144</v>
      </c>
      <c r="W94">
        <v>824.55</v>
      </c>
      <c r="X94">
        <v>7</v>
      </c>
    </row>
    <row r="95" spans="1:24" x14ac:dyDescent="0.25">
      <c r="A95" t="s">
        <v>40</v>
      </c>
      <c r="B95" t="s">
        <v>41</v>
      </c>
      <c r="C95">
        <v>102</v>
      </c>
      <c r="D95">
        <v>1</v>
      </c>
      <c r="E95">
        <v>0</v>
      </c>
      <c r="F95" t="s">
        <v>403</v>
      </c>
      <c r="G95">
        <v>249</v>
      </c>
      <c r="H95">
        <v>45</v>
      </c>
      <c r="I95" t="s">
        <v>24</v>
      </c>
      <c r="J95" t="s">
        <v>404</v>
      </c>
      <c r="K95" t="s">
        <v>405</v>
      </c>
      <c r="L95" t="s">
        <v>406</v>
      </c>
      <c r="M95" t="s">
        <v>407</v>
      </c>
      <c r="N95" t="s">
        <v>402</v>
      </c>
      <c r="O95" t="s">
        <v>27</v>
      </c>
      <c r="P95" t="s">
        <v>48</v>
      </c>
      <c r="Q95" t="s">
        <v>49</v>
      </c>
      <c r="R95" t="s">
        <v>50</v>
      </c>
      <c r="S95" t="s">
        <v>28</v>
      </c>
      <c r="T95" t="s">
        <v>27</v>
      </c>
      <c r="U95" t="s">
        <v>402</v>
      </c>
      <c r="V95" s="3" t="s">
        <v>5394</v>
      </c>
      <c r="W95">
        <v>128.41</v>
      </c>
      <c r="X95">
        <v>1</v>
      </c>
    </row>
    <row r="96" spans="1:24" x14ac:dyDescent="0.25">
      <c r="A96" t="s">
        <v>70</v>
      </c>
      <c r="B96" t="s">
        <v>70</v>
      </c>
      <c r="C96">
        <v>330</v>
      </c>
      <c r="D96">
        <v>1</v>
      </c>
      <c r="E96">
        <v>0</v>
      </c>
      <c r="F96" t="s">
        <v>408</v>
      </c>
      <c r="G96">
        <v>330</v>
      </c>
      <c r="H96">
        <v>0</v>
      </c>
      <c r="I96" t="s">
        <v>24</v>
      </c>
      <c r="J96" t="s">
        <v>409</v>
      </c>
      <c r="K96" t="s">
        <v>325</v>
      </c>
      <c r="L96" t="s">
        <v>27</v>
      </c>
      <c r="M96" t="s">
        <v>28</v>
      </c>
      <c r="N96" t="s">
        <v>402</v>
      </c>
      <c r="O96" t="s">
        <v>27</v>
      </c>
      <c r="P96" t="s">
        <v>39</v>
      </c>
      <c r="Q96" t="s">
        <v>31</v>
      </c>
      <c r="R96" t="s">
        <v>32</v>
      </c>
      <c r="S96" t="s">
        <v>28</v>
      </c>
      <c r="T96" t="s">
        <v>27</v>
      </c>
      <c r="U96" t="s">
        <v>402</v>
      </c>
      <c r="V96" s="3" t="s">
        <v>15074</v>
      </c>
      <c r="W96">
        <v>160</v>
      </c>
      <c r="X96">
        <v>1</v>
      </c>
    </row>
    <row r="97" spans="1:24" x14ac:dyDescent="0.25">
      <c r="A97" t="s">
        <v>21</v>
      </c>
      <c r="B97" t="s">
        <v>22</v>
      </c>
      <c r="C97">
        <v>100</v>
      </c>
      <c r="D97">
        <v>1</v>
      </c>
      <c r="E97">
        <v>0</v>
      </c>
      <c r="F97" t="s">
        <v>410</v>
      </c>
      <c r="G97">
        <v>100</v>
      </c>
      <c r="H97">
        <v>0</v>
      </c>
      <c r="I97" t="s">
        <v>24</v>
      </c>
      <c r="J97" t="s">
        <v>411</v>
      </c>
      <c r="K97" t="s">
        <v>384</v>
      </c>
      <c r="L97" t="s">
        <v>27</v>
      </c>
      <c r="M97" t="s">
        <v>28</v>
      </c>
      <c r="N97" t="s">
        <v>412</v>
      </c>
      <c r="O97" t="s">
        <v>27</v>
      </c>
      <c r="P97" t="s">
        <v>39</v>
      </c>
      <c r="Q97" t="s">
        <v>31</v>
      </c>
      <c r="R97" t="s">
        <v>32</v>
      </c>
      <c r="S97" t="s">
        <v>28</v>
      </c>
      <c r="T97" t="s">
        <v>27</v>
      </c>
      <c r="U97" t="s">
        <v>412</v>
      </c>
      <c r="V97" s="3" t="s">
        <v>2145</v>
      </c>
      <c r="W97">
        <v>536.14</v>
      </c>
      <c r="X97">
        <v>5</v>
      </c>
    </row>
    <row r="98" spans="1:24" x14ac:dyDescent="0.25">
      <c r="A98" t="s">
        <v>58</v>
      </c>
      <c r="B98" t="s">
        <v>58</v>
      </c>
      <c r="C98">
        <v>100</v>
      </c>
      <c r="D98">
        <v>1</v>
      </c>
      <c r="E98">
        <v>0</v>
      </c>
      <c r="F98" t="s">
        <v>413</v>
      </c>
      <c r="G98">
        <v>129</v>
      </c>
      <c r="H98">
        <v>29</v>
      </c>
      <c r="I98" t="s">
        <v>140</v>
      </c>
      <c r="J98" t="s">
        <v>414</v>
      </c>
      <c r="K98" t="s">
        <v>213</v>
      </c>
      <c r="L98" t="s">
        <v>27</v>
      </c>
      <c r="M98" t="s">
        <v>28</v>
      </c>
      <c r="N98" t="s">
        <v>415</v>
      </c>
      <c r="O98" t="s">
        <v>27</v>
      </c>
      <c r="P98" t="s">
        <v>30</v>
      </c>
      <c r="Q98" t="s">
        <v>31</v>
      </c>
      <c r="R98" t="s">
        <v>32</v>
      </c>
      <c r="S98" t="s">
        <v>28</v>
      </c>
      <c r="T98" t="s">
        <v>27</v>
      </c>
      <c r="U98" t="s">
        <v>415</v>
      </c>
      <c r="V98" s="2" t="s">
        <v>2873</v>
      </c>
      <c r="W98">
        <v>3095.42</v>
      </c>
      <c r="X98">
        <v>12</v>
      </c>
    </row>
    <row r="99" spans="1:24" x14ac:dyDescent="0.25">
      <c r="A99" t="s">
        <v>21</v>
      </c>
      <c r="B99" t="s">
        <v>22</v>
      </c>
      <c r="C99">
        <v>100</v>
      </c>
      <c r="D99">
        <v>1</v>
      </c>
      <c r="E99">
        <v>0</v>
      </c>
      <c r="F99" t="s">
        <v>416</v>
      </c>
      <c r="G99">
        <v>200</v>
      </c>
      <c r="H99">
        <v>0</v>
      </c>
      <c r="I99" t="s">
        <v>140</v>
      </c>
      <c r="J99" t="s">
        <v>417</v>
      </c>
      <c r="K99" t="s">
        <v>418</v>
      </c>
      <c r="L99" t="s">
        <v>27</v>
      </c>
      <c r="M99" t="s">
        <v>28</v>
      </c>
      <c r="N99" t="s">
        <v>419</v>
      </c>
      <c r="O99" t="s">
        <v>27</v>
      </c>
      <c r="P99" t="s">
        <v>30</v>
      </c>
      <c r="Q99" t="s">
        <v>31</v>
      </c>
      <c r="R99" t="s">
        <v>32</v>
      </c>
      <c r="S99" t="s">
        <v>28</v>
      </c>
      <c r="T99" t="s">
        <v>27</v>
      </c>
      <c r="U99" t="s">
        <v>419</v>
      </c>
      <c r="V99" s="3" t="s">
        <v>5394</v>
      </c>
      <c r="W99">
        <v>270.39999999999998</v>
      </c>
      <c r="X99">
        <v>1</v>
      </c>
    </row>
    <row r="100" spans="1:24" x14ac:dyDescent="0.25">
      <c r="A100" t="s">
        <v>58</v>
      </c>
      <c r="B100" t="s">
        <v>58</v>
      </c>
      <c r="C100">
        <v>100</v>
      </c>
      <c r="D100">
        <v>1</v>
      </c>
      <c r="E100">
        <v>0</v>
      </c>
      <c r="F100" t="s">
        <v>416</v>
      </c>
      <c r="G100">
        <v>200</v>
      </c>
      <c r="H100">
        <v>0</v>
      </c>
      <c r="I100" t="s">
        <v>140</v>
      </c>
      <c r="J100" t="s">
        <v>417</v>
      </c>
      <c r="K100" t="s">
        <v>418</v>
      </c>
      <c r="L100" t="s">
        <v>27</v>
      </c>
      <c r="M100" t="s">
        <v>28</v>
      </c>
      <c r="N100" t="s">
        <v>419</v>
      </c>
      <c r="O100" t="s">
        <v>27</v>
      </c>
      <c r="P100" t="s">
        <v>30</v>
      </c>
      <c r="Q100" t="s">
        <v>31</v>
      </c>
      <c r="R100" t="s">
        <v>32</v>
      </c>
      <c r="S100" t="s">
        <v>28</v>
      </c>
      <c r="T100" t="s">
        <v>27</v>
      </c>
      <c r="U100" t="s">
        <v>419</v>
      </c>
      <c r="V100" s="3" t="s">
        <v>2874</v>
      </c>
      <c r="W100">
        <v>1400</v>
      </c>
      <c r="X100">
        <v>5</v>
      </c>
    </row>
    <row r="101" spans="1:24" x14ac:dyDescent="0.25">
      <c r="A101" t="s">
        <v>33</v>
      </c>
      <c r="B101" t="s">
        <v>34</v>
      </c>
      <c r="C101">
        <v>200</v>
      </c>
      <c r="D101">
        <v>1</v>
      </c>
      <c r="E101">
        <v>0</v>
      </c>
      <c r="F101" t="s">
        <v>420</v>
      </c>
      <c r="G101">
        <v>200</v>
      </c>
      <c r="H101">
        <v>0</v>
      </c>
      <c r="I101" t="s">
        <v>24</v>
      </c>
      <c r="J101" t="s">
        <v>421</v>
      </c>
      <c r="K101" t="s">
        <v>422</v>
      </c>
      <c r="L101" t="s">
        <v>27</v>
      </c>
      <c r="M101" t="s">
        <v>28</v>
      </c>
      <c r="N101" t="s">
        <v>423</v>
      </c>
      <c r="O101" t="s">
        <v>27</v>
      </c>
      <c r="P101" t="s">
        <v>39</v>
      </c>
      <c r="Q101" t="s">
        <v>31</v>
      </c>
      <c r="R101" t="s">
        <v>32</v>
      </c>
      <c r="S101" t="s">
        <v>28</v>
      </c>
      <c r="T101" t="s">
        <v>27</v>
      </c>
      <c r="U101" t="s">
        <v>423</v>
      </c>
      <c r="V101" s="3" t="s">
        <v>3106</v>
      </c>
      <c r="W101">
        <v>1425.02</v>
      </c>
      <c r="X101">
        <v>6</v>
      </c>
    </row>
    <row r="102" spans="1:24" x14ac:dyDescent="0.25">
      <c r="A102" t="s">
        <v>134</v>
      </c>
      <c r="B102" t="s">
        <v>64</v>
      </c>
      <c r="C102">
        <v>100</v>
      </c>
      <c r="D102">
        <v>2</v>
      </c>
      <c r="E102">
        <v>0</v>
      </c>
      <c r="F102" t="s">
        <v>424</v>
      </c>
      <c r="G102">
        <v>200</v>
      </c>
      <c r="H102">
        <v>0</v>
      </c>
      <c r="I102" t="s">
        <v>24</v>
      </c>
      <c r="J102" t="s">
        <v>425</v>
      </c>
      <c r="K102" t="s">
        <v>247</v>
      </c>
      <c r="L102" t="s">
        <v>27</v>
      </c>
      <c r="M102" t="s">
        <v>28</v>
      </c>
      <c r="N102" t="s">
        <v>426</v>
      </c>
      <c r="O102" t="s">
        <v>27</v>
      </c>
      <c r="P102" t="s">
        <v>39</v>
      </c>
      <c r="Q102" t="s">
        <v>31</v>
      </c>
      <c r="R102" t="s">
        <v>32</v>
      </c>
      <c r="S102" t="s">
        <v>28</v>
      </c>
      <c r="T102" t="s">
        <v>27</v>
      </c>
      <c r="U102" t="s">
        <v>426</v>
      </c>
      <c r="V102" s="2" t="s">
        <v>635</v>
      </c>
      <c r="W102">
        <v>44191.15</v>
      </c>
      <c r="X102">
        <v>85</v>
      </c>
    </row>
    <row r="103" spans="1:24" x14ac:dyDescent="0.25">
      <c r="A103" t="s">
        <v>21</v>
      </c>
      <c r="B103" t="s">
        <v>22</v>
      </c>
      <c r="C103">
        <v>100</v>
      </c>
      <c r="D103">
        <v>2</v>
      </c>
      <c r="E103">
        <v>0</v>
      </c>
      <c r="F103" t="s">
        <v>427</v>
      </c>
      <c r="G103">
        <v>200</v>
      </c>
      <c r="H103">
        <v>0</v>
      </c>
      <c r="I103" t="s">
        <v>140</v>
      </c>
      <c r="J103" t="s">
        <v>428</v>
      </c>
      <c r="K103" t="s">
        <v>285</v>
      </c>
      <c r="L103" t="s">
        <v>27</v>
      </c>
      <c r="M103" t="s">
        <v>28</v>
      </c>
      <c r="N103" t="s">
        <v>429</v>
      </c>
      <c r="O103" t="s">
        <v>27</v>
      </c>
      <c r="P103" t="s">
        <v>30</v>
      </c>
      <c r="Q103" t="s">
        <v>31</v>
      </c>
      <c r="R103" t="s">
        <v>32</v>
      </c>
      <c r="S103" t="s">
        <v>28</v>
      </c>
      <c r="T103" t="s">
        <v>27</v>
      </c>
      <c r="U103" t="s">
        <v>429</v>
      </c>
      <c r="V103" s="3" t="s">
        <v>8000</v>
      </c>
      <c r="W103">
        <v>5898.9299999999994</v>
      </c>
      <c r="X103">
        <v>9</v>
      </c>
    </row>
    <row r="104" spans="1:24" x14ac:dyDescent="0.25">
      <c r="A104" t="s">
        <v>33</v>
      </c>
      <c r="B104" t="s">
        <v>34</v>
      </c>
      <c r="C104">
        <v>200</v>
      </c>
      <c r="D104">
        <v>1</v>
      </c>
      <c r="E104">
        <v>0</v>
      </c>
      <c r="F104" t="s">
        <v>430</v>
      </c>
      <c r="G104">
        <v>200</v>
      </c>
      <c r="H104">
        <v>0</v>
      </c>
      <c r="I104" t="s">
        <v>24</v>
      </c>
      <c r="J104" t="s">
        <v>431</v>
      </c>
      <c r="K104" t="s">
        <v>89</v>
      </c>
      <c r="L104" t="s">
        <v>27</v>
      </c>
      <c r="M104" t="s">
        <v>28</v>
      </c>
      <c r="N104" t="s">
        <v>432</v>
      </c>
      <c r="O104" t="s">
        <v>27</v>
      </c>
      <c r="P104" t="s">
        <v>39</v>
      </c>
      <c r="Q104" t="s">
        <v>31</v>
      </c>
      <c r="R104" t="s">
        <v>32</v>
      </c>
      <c r="S104" t="s">
        <v>28</v>
      </c>
      <c r="T104" t="s">
        <v>27</v>
      </c>
      <c r="U104" t="s">
        <v>432</v>
      </c>
      <c r="V104" s="3" t="s">
        <v>3237</v>
      </c>
      <c r="W104">
        <v>1439</v>
      </c>
      <c r="X104">
        <v>2</v>
      </c>
    </row>
    <row r="105" spans="1:24" x14ac:dyDescent="0.25">
      <c r="A105" t="s">
        <v>63</v>
      </c>
      <c r="B105" t="s">
        <v>64</v>
      </c>
      <c r="C105">
        <v>100</v>
      </c>
      <c r="D105">
        <v>2</v>
      </c>
      <c r="E105">
        <v>0</v>
      </c>
      <c r="F105" t="s">
        <v>433</v>
      </c>
      <c r="G105">
        <v>200</v>
      </c>
      <c r="H105">
        <v>0</v>
      </c>
      <c r="I105" t="s">
        <v>24</v>
      </c>
      <c r="J105" t="s">
        <v>434</v>
      </c>
      <c r="K105" t="s">
        <v>37</v>
      </c>
      <c r="L105" t="s">
        <v>27</v>
      </c>
      <c r="M105" t="s">
        <v>28</v>
      </c>
      <c r="N105" t="s">
        <v>435</v>
      </c>
      <c r="O105" t="s">
        <v>27</v>
      </c>
      <c r="P105" t="s">
        <v>56</v>
      </c>
      <c r="Q105" t="s">
        <v>31</v>
      </c>
      <c r="R105" t="s">
        <v>57</v>
      </c>
      <c r="S105" t="s">
        <v>28</v>
      </c>
      <c r="T105" t="s">
        <v>27</v>
      </c>
      <c r="U105" t="s">
        <v>435</v>
      </c>
      <c r="V105" s="3" t="s">
        <v>714</v>
      </c>
      <c r="W105">
        <v>21598.799999999999</v>
      </c>
      <c r="X105">
        <v>45</v>
      </c>
    </row>
    <row r="106" spans="1:24" x14ac:dyDescent="0.25">
      <c r="A106" t="s">
        <v>33</v>
      </c>
      <c r="B106" t="s">
        <v>34</v>
      </c>
      <c r="C106">
        <v>200</v>
      </c>
      <c r="D106">
        <v>1</v>
      </c>
      <c r="E106">
        <v>0</v>
      </c>
      <c r="F106" t="s">
        <v>436</v>
      </c>
      <c r="G106">
        <v>200</v>
      </c>
      <c r="H106">
        <v>0</v>
      </c>
      <c r="I106" t="s">
        <v>24</v>
      </c>
      <c r="J106" t="s">
        <v>437</v>
      </c>
      <c r="K106" t="s">
        <v>438</v>
      </c>
      <c r="L106" t="s">
        <v>27</v>
      </c>
      <c r="M106" t="s">
        <v>28</v>
      </c>
      <c r="N106" t="s">
        <v>435</v>
      </c>
      <c r="O106" t="s">
        <v>27</v>
      </c>
      <c r="P106" t="s">
        <v>56</v>
      </c>
      <c r="Q106" t="s">
        <v>31</v>
      </c>
      <c r="R106" t="s">
        <v>57</v>
      </c>
      <c r="S106" t="s">
        <v>28</v>
      </c>
      <c r="T106" t="s">
        <v>27</v>
      </c>
      <c r="U106" t="s">
        <v>435</v>
      </c>
      <c r="V106" s="3" t="s">
        <v>1129</v>
      </c>
      <c r="W106">
        <v>5872.8099999999995</v>
      </c>
      <c r="X106">
        <v>13</v>
      </c>
    </row>
    <row r="107" spans="1:24" x14ac:dyDescent="0.25">
      <c r="A107" t="s">
        <v>33</v>
      </c>
      <c r="B107" t="s">
        <v>34</v>
      </c>
      <c r="C107">
        <v>200</v>
      </c>
      <c r="D107">
        <v>1</v>
      </c>
      <c r="E107">
        <v>0</v>
      </c>
      <c r="F107" t="s">
        <v>439</v>
      </c>
      <c r="G107">
        <v>200</v>
      </c>
      <c r="H107">
        <v>0</v>
      </c>
      <c r="I107" t="s">
        <v>24</v>
      </c>
      <c r="J107" t="s">
        <v>440</v>
      </c>
      <c r="K107" t="s">
        <v>61</v>
      </c>
      <c r="L107" t="s">
        <v>27</v>
      </c>
      <c r="M107" t="s">
        <v>28</v>
      </c>
      <c r="N107" t="s">
        <v>441</v>
      </c>
      <c r="O107" t="s">
        <v>27</v>
      </c>
      <c r="P107" t="s">
        <v>39</v>
      </c>
      <c r="Q107" t="s">
        <v>31</v>
      </c>
      <c r="R107" t="s">
        <v>32</v>
      </c>
      <c r="S107" t="s">
        <v>28</v>
      </c>
      <c r="T107" t="s">
        <v>27</v>
      </c>
      <c r="U107" t="s">
        <v>441</v>
      </c>
      <c r="V107" s="3" t="s">
        <v>636</v>
      </c>
      <c r="W107">
        <v>8598</v>
      </c>
      <c r="X107">
        <v>15</v>
      </c>
    </row>
    <row r="108" spans="1:24" x14ac:dyDescent="0.25">
      <c r="A108" t="s">
        <v>33</v>
      </c>
      <c r="B108" t="s">
        <v>34</v>
      </c>
      <c r="C108">
        <v>200</v>
      </c>
      <c r="D108">
        <v>1</v>
      </c>
      <c r="E108">
        <v>0</v>
      </c>
      <c r="F108" t="s">
        <v>442</v>
      </c>
      <c r="G108">
        <v>200</v>
      </c>
      <c r="H108">
        <v>0</v>
      </c>
      <c r="I108" t="s">
        <v>24</v>
      </c>
      <c r="J108" t="s">
        <v>440</v>
      </c>
      <c r="K108" t="s">
        <v>61</v>
      </c>
      <c r="L108" t="s">
        <v>27</v>
      </c>
      <c r="M108" t="s">
        <v>28</v>
      </c>
      <c r="N108" t="s">
        <v>443</v>
      </c>
      <c r="O108" t="s">
        <v>27</v>
      </c>
      <c r="P108" t="s">
        <v>39</v>
      </c>
      <c r="Q108" t="s">
        <v>31</v>
      </c>
      <c r="R108" t="s">
        <v>32</v>
      </c>
      <c r="S108" t="s">
        <v>28</v>
      </c>
      <c r="T108" t="s">
        <v>27</v>
      </c>
      <c r="U108" t="s">
        <v>441</v>
      </c>
      <c r="V108" s="3" t="s">
        <v>15938</v>
      </c>
      <c r="W108">
        <v>783.61</v>
      </c>
      <c r="X108">
        <v>1</v>
      </c>
    </row>
    <row r="109" spans="1:24" x14ac:dyDescent="0.25">
      <c r="A109" t="s">
        <v>21</v>
      </c>
      <c r="B109" t="s">
        <v>22</v>
      </c>
      <c r="C109">
        <v>100</v>
      </c>
      <c r="D109">
        <v>1</v>
      </c>
      <c r="E109">
        <v>0</v>
      </c>
      <c r="F109" t="s">
        <v>444</v>
      </c>
      <c r="G109">
        <v>106</v>
      </c>
      <c r="H109">
        <v>6</v>
      </c>
      <c r="I109" t="s">
        <v>445</v>
      </c>
      <c r="J109" t="s">
        <v>446</v>
      </c>
      <c r="K109" t="s">
        <v>155</v>
      </c>
      <c r="L109" t="s">
        <v>27</v>
      </c>
      <c r="M109" t="s">
        <v>28</v>
      </c>
      <c r="N109" t="s">
        <v>447</v>
      </c>
      <c r="O109" t="s">
        <v>27</v>
      </c>
      <c r="P109" t="s">
        <v>39</v>
      </c>
      <c r="Q109" t="s">
        <v>31</v>
      </c>
      <c r="R109" t="s">
        <v>32</v>
      </c>
      <c r="S109" t="s">
        <v>28</v>
      </c>
      <c r="T109" t="s">
        <v>27</v>
      </c>
      <c r="U109" t="s">
        <v>448</v>
      </c>
      <c r="V109" s="2" t="s">
        <v>493</v>
      </c>
      <c r="W109">
        <v>745</v>
      </c>
      <c r="X109">
        <v>5</v>
      </c>
    </row>
    <row r="110" spans="1:24" x14ac:dyDescent="0.25">
      <c r="A110" t="s">
        <v>21</v>
      </c>
      <c r="B110" t="s">
        <v>22</v>
      </c>
      <c r="C110">
        <v>100</v>
      </c>
      <c r="D110">
        <v>1</v>
      </c>
      <c r="E110">
        <v>0</v>
      </c>
      <c r="F110" t="s">
        <v>449</v>
      </c>
      <c r="G110">
        <v>106</v>
      </c>
      <c r="H110">
        <v>6</v>
      </c>
      <c r="I110" t="s">
        <v>445</v>
      </c>
      <c r="J110" t="s">
        <v>450</v>
      </c>
      <c r="K110" t="s">
        <v>451</v>
      </c>
      <c r="L110" t="s">
        <v>27</v>
      </c>
      <c r="M110" t="s">
        <v>28</v>
      </c>
      <c r="N110" t="s">
        <v>452</v>
      </c>
      <c r="O110" t="s">
        <v>27</v>
      </c>
      <c r="P110" t="s">
        <v>39</v>
      </c>
      <c r="Q110" t="s">
        <v>31</v>
      </c>
      <c r="R110" t="s">
        <v>32</v>
      </c>
      <c r="S110" t="s">
        <v>28</v>
      </c>
      <c r="T110" t="s">
        <v>27</v>
      </c>
      <c r="U110" t="s">
        <v>452</v>
      </c>
      <c r="V110" s="3" t="s">
        <v>494</v>
      </c>
      <c r="W110">
        <v>745</v>
      </c>
      <c r="X110">
        <v>5</v>
      </c>
    </row>
    <row r="111" spans="1:24" x14ac:dyDescent="0.25">
      <c r="A111" t="s">
        <v>33</v>
      </c>
      <c r="B111" t="s">
        <v>34</v>
      </c>
      <c r="C111">
        <v>200</v>
      </c>
      <c r="D111">
        <v>1</v>
      </c>
      <c r="E111">
        <v>0</v>
      </c>
      <c r="F111" t="s">
        <v>453</v>
      </c>
      <c r="G111">
        <v>200</v>
      </c>
      <c r="H111">
        <v>0</v>
      </c>
      <c r="I111" t="s">
        <v>24</v>
      </c>
      <c r="J111" t="s">
        <v>454</v>
      </c>
      <c r="K111" t="s">
        <v>241</v>
      </c>
      <c r="L111" t="s">
        <v>27</v>
      </c>
      <c r="M111" t="s">
        <v>28</v>
      </c>
      <c r="N111" t="s">
        <v>455</v>
      </c>
      <c r="O111" t="s">
        <v>27</v>
      </c>
      <c r="P111" t="s">
        <v>39</v>
      </c>
      <c r="Q111" t="s">
        <v>31</v>
      </c>
      <c r="R111" t="s">
        <v>32</v>
      </c>
      <c r="S111" t="s">
        <v>28</v>
      </c>
      <c r="T111" t="s">
        <v>27</v>
      </c>
      <c r="U111" t="s">
        <v>455</v>
      </c>
      <c r="V111" s="2" t="s">
        <v>6041</v>
      </c>
      <c r="W111">
        <v>554.4</v>
      </c>
      <c r="X111">
        <v>7</v>
      </c>
    </row>
    <row r="112" spans="1:24" x14ac:dyDescent="0.25">
      <c r="A112" t="s">
        <v>456</v>
      </c>
      <c r="B112" t="s">
        <v>457</v>
      </c>
      <c r="C112">
        <v>225</v>
      </c>
      <c r="D112">
        <v>2</v>
      </c>
      <c r="E112">
        <v>0</v>
      </c>
      <c r="F112" t="s">
        <v>458</v>
      </c>
      <c r="G112">
        <v>450</v>
      </c>
      <c r="H112">
        <v>0</v>
      </c>
      <c r="I112" t="s">
        <v>445</v>
      </c>
      <c r="J112" t="s">
        <v>459</v>
      </c>
      <c r="K112" t="s">
        <v>460</v>
      </c>
      <c r="L112" t="s">
        <v>461</v>
      </c>
      <c r="M112" t="s">
        <v>462</v>
      </c>
      <c r="N112" t="s">
        <v>463</v>
      </c>
      <c r="O112" t="s">
        <v>27</v>
      </c>
      <c r="P112" t="s">
        <v>193</v>
      </c>
      <c r="Q112" t="s">
        <v>85</v>
      </c>
      <c r="R112" t="s">
        <v>86</v>
      </c>
      <c r="S112" t="s">
        <v>28</v>
      </c>
      <c r="T112" t="s">
        <v>27</v>
      </c>
      <c r="U112" t="s">
        <v>463</v>
      </c>
      <c r="V112" s="3" t="s">
        <v>6042</v>
      </c>
      <c r="W112">
        <v>554.4</v>
      </c>
      <c r="X112">
        <v>7</v>
      </c>
    </row>
    <row r="113" spans="1:24" x14ac:dyDescent="0.25">
      <c r="A113" t="s">
        <v>21</v>
      </c>
      <c r="B113" t="s">
        <v>22</v>
      </c>
      <c r="C113">
        <v>100</v>
      </c>
      <c r="D113">
        <v>1</v>
      </c>
      <c r="E113">
        <v>0</v>
      </c>
      <c r="F113" t="s">
        <v>464</v>
      </c>
      <c r="G113">
        <v>106</v>
      </c>
      <c r="H113">
        <v>6</v>
      </c>
      <c r="I113" t="s">
        <v>24</v>
      </c>
      <c r="J113" t="s">
        <v>465</v>
      </c>
      <c r="K113" t="s">
        <v>466</v>
      </c>
      <c r="L113" t="s">
        <v>27</v>
      </c>
      <c r="M113" t="s">
        <v>28</v>
      </c>
      <c r="N113" t="s">
        <v>467</v>
      </c>
      <c r="O113" t="s">
        <v>27</v>
      </c>
      <c r="P113" t="s">
        <v>39</v>
      </c>
      <c r="Q113" t="s">
        <v>31</v>
      </c>
      <c r="R113" t="s">
        <v>32</v>
      </c>
      <c r="S113" t="s">
        <v>28</v>
      </c>
      <c r="T113" t="s">
        <v>27</v>
      </c>
      <c r="U113" t="s">
        <v>468</v>
      </c>
      <c r="V113" s="2" t="s">
        <v>15916</v>
      </c>
      <c r="W113">
        <v>100</v>
      </c>
      <c r="X113">
        <v>1</v>
      </c>
    </row>
    <row r="114" spans="1:24" x14ac:dyDescent="0.25">
      <c r="A114" t="s">
        <v>21</v>
      </c>
      <c r="B114" t="s">
        <v>22</v>
      </c>
      <c r="C114">
        <v>100</v>
      </c>
      <c r="D114">
        <v>1</v>
      </c>
      <c r="E114">
        <v>0</v>
      </c>
      <c r="F114" t="s">
        <v>469</v>
      </c>
      <c r="G114">
        <v>129</v>
      </c>
      <c r="H114">
        <v>29</v>
      </c>
      <c r="I114" t="s">
        <v>24</v>
      </c>
      <c r="J114" t="s">
        <v>470</v>
      </c>
      <c r="K114" t="s">
        <v>388</v>
      </c>
      <c r="L114" t="s">
        <v>27</v>
      </c>
      <c r="M114" t="s">
        <v>28</v>
      </c>
      <c r="N114" t="s">
        <v>471</v>
      </c>
      <c r="O114" t="s">
        <v>27</v>
      </c>
      <c r="P114" t="s">
        <v>39</v>
      </c>
      <c r="Q114" t="s">
        <v>31</v>
      </c>
      <c r="R114" t="s">
        <v>32</v>
      </c>
      <c r="S114" t="s">
        <v>28</v>
      </c>
      <c r="T114" t="s">
        <v>27</v>
      </c>
      <c r="U114" t="s">
        <v>467</v>
      </c>
      <c r="V114" s="3" t="s">
        <v>15911</v>
      </c>
      <c r="W114">
        <v>100</v>
      </c>
      <c r="X114">
        <v>1</v>
      </c>
    </row>
    <row r="115" spans="1:24" x14ac:dyDescent="0.25">
      <c r="A115" t="s">
        <v>33</v>
      </c>
      <c r="B115" t="s">
        <v>34</v>
      </c>
      <c r="C115">
        <v>200</v>
      </c>
      <c r="D115">
        <v>1</v>
      </c>
      <c r="E115">
        <v>0</v>
      </c>
      <c r="F115" t="s">
        <v>472</v>
      </c>
      <c r="G115">
        <v>200</v>
      </c>
      <c r="H115">
        <v>0</v>
      </c>
      <c r="I115" t="s">
        <v>24</v>
      </c>
      <c r="J115" t="s">
        <v>473</v>
      </c>
      <c r="K115" t="s">
        <v>474</v>
      </c>
      <c r="L115" t="s">
        <v>27</v>
      </c>
      <c r="M115" t="s">
        <v>28</v>
      </c>
      <c r="N115" t="s">
        <v>471</v>
      </c>
      <c r="O115" t="s">
        <v>27</v>
      </c>
      <c r="P115" t="s">
        <v>30</v>
      </c>
      <c r="Q115" t="s">
        <v>31</v>
      </c>
      <c r="R115" t="s">
        <v>32</v>
      </c>
      <c r="S115" t="s">
        <v>28</v>
      </c>
      <c r="T115" t="s">
        <v>27</v>
      </c>
      <c r="U115" t="s">
        <v>471</v>
      </c>
      <c r="V115" s="2" t="s">
        <v>94</v>
      </c>
      <c r="W115">
        <v>2435.8700000000003</v>
      </c>
      <c r="X115">
        <v>40</v>
      </c>
    </row>
    <row r="116" spans="1:24" x14ac:dyDescent="0.25">
      <c r="A116" t="s">
        <v>475</v>
      </c>
      <c r="B116" t="s">
        <v>476</v>
      </c>
      <c r="C116">
        <v>199</v>
      </c>
      <c r="D116">
        <v>1</v>
      </c>
      <c r="E116">
        <v>0</v>
      </c>
      <c r="F116" t="s">
        <v>477</v>
      </c>
      <c r="G116">
        <v>206</v>
      </c>
      <c r="H116">
        <v>7</v>
      </c>
      <c r="I116" t="s">
        <v>24</v>
      </c>
      <c r="J116" t="s">
        <v>478</v>
      </c>
      <c r="K116" t="s">
        <v>479</v>
      </c>
      <c r="L116" t="s">
        <v>480</v>
      </c>
      <c r="M116" t="s">
        <v>481</v>
      </c>
      <c r="N116" t="s">
        <v>471</v>
      </c>
      <c r="O116" t="s">
        <v>27</v>
      </c>
      <c r="P116" t="s">
        <v>84</v>
      </c>
      <c r="Q116" t="s">
        <v>85</v>
      </c>
      <c r="R116" t="s">
        <v>86</v>
      </c>
      <c r="S116" t="s">
        <v>28</v>
      </c>
      <c r="T116" t="s">
        <v>27</v>
      </c>
      <c r="U116" t="s">
        <v>471</v>
      </c>
      <c r="V116" s="3" t="s">
        <v>4455</v>
      </c>
      <c r="W116">
        <v>72.48</v>
      </c>
      <c r="X116">
        <v>2</v>
      </c>
    </row>
    <row r="117" spans="1:24" x14ac:dyDescent="0.25">
      <c r="A117" t="s">
        <v>21</v>
      </c>
      <c r="B117" t="s">
        <v>22</v>
      </c>
      <c r="C117">
        <v>100</v>
      </c>
      <c r="D117">
        <v>1</v>
      </c>
      <c r="E117">
        <v>0</v>
      </c>
      <c r="F117" t="s">
        <v>482</v>
      </c>
      <c r="G117">
        <v>106</v>
      </c>
      <c r="H117">
        <v>6</v>
      </c>
      <c r="I117" t="s">
        <v>24</v>
      </c>
      <c r="J117" t="s">
        <v>483</v>
      </c>
      <c r="K117" t="s">
        <v>89</v>
      </c>
      <c r="L117" t="s">
        <v>27</v>
      </c>
      <c r="M117" t="s">
        <v>28</v>
      </c>
      <c r="N117" t="s">
        <v>484</v>
      </c>
      <c r="O117" t="s">
        <v>27</v>
      </c>
      <c r="P117" t="s">
        <v>39</v>
      </c>
      <c r="Q117" t="s">
        <v>31</v>
      </c>
      <c r="R117" t="s">
        <v>32</v>
      </c>
      <c r="S117" t="s">
        <v>28</v>
      </c>
      <c r="T117" t="s">
        <v>27</v>
      </c>
      <c r="U117" t="s">
        <v>471</v>
      </c>
      <c r="V117" s="3" t="s">
        <v>95</v>
      </c>
      <c r="W117">
        <v>2363.3900000000003</v>
      </c>
      <c r="X117">
        <v>38</v>
      </c>
    </row>
    <row r="118" spans="1:24" x14ac:dyDescent="0.25">
      <c r="A118" t="s">
        <v>33</v>
      </c>
      <c r="B118" t="s">
        <v>34</v>
      </c>
      <c r="C118">
        <v>200</v>
      </c>
      <c r="D118">
        <v>1</v>
      </c>
      <c r="E118">
        <v>0</v>
      </c>
      <c r="F118" t="s">
        <v>485</v>
      </c>
      <c r="G118">
        <v>200</v>
      </c>
      <c r="H118">
        <v>0</v>
      </c>
      <c r="I118" t="s">
        <v>24</v>
      </c>
      <c r="J118" t="s">
        <v>486</v>
      </c>
      <c r="K118" t="s">
        <v>487</v>
      </c>
      <c r="L118" t="s">
        <v>27</v>
      </c>
      <c r="M118" t="s">
        <v>28</v>
      </c>
      <c r="N118" t="s">
        <v>488</v>
      </c>
      <c r="O118" t="s">
        <v>27</v>
      </c>
      <c r="P118" t="s">
        <v>39</v>
      </c>
      <c r="Q118" t="s">
        <v>31</v>
      </c>
      <c r="R118" t="s">
        <v>32</v>
      </c>
      <c r="S118" t="s">
        <v>28</v>
      </c>
      <c r="T118" t="s">
        <v>27</v>
      </c>
      <c r="U118" t="s">
        <v>488</v>
      </c>
      <c r="V118" s="2" t="s">
        <v>15917</v>
      </c>
      <c r="W118">
        <v>100</v>
      </c>
      <c r="X118">
        <v>1</v>
      </c>
    </row>
    <row r="119" spans="1:24" x14ac:dyDescent="0.25">
      <c r="A119" t="s">
        <v>58</v>
      </c>
      <c r="B119" t="s">
        <v>58</v>
      </c>
      <c r="C119">
        <v>100</v>
      </c>
      <c r="D119">
        <v>1</v>
      </c>
      <c r="E119">
        <v>0</v>
      </c>
      <c r="F119" t="s">
        <v>489</v>
      </c>
      <c r="G119">
        <v>100</v>
      </c>
      <c r="H119">
        <v>0</v>
      </c>
      <c r="I119" t="s">
        <v>140</v>
      </c>
      <c r="J119" t="s">
        <v>490</v>
      </c>
      <c r="K119" t="s">
        <v>491</v>
      </c>
      <c r="L119" t="s">
        <v>27</v>
      </c>
      <c r="M119" t="s">
        <v>28</v>
      </c>
      <c r="N119" t="s">
        <v>27</v>
      </c>
      <c r="O119" t="s">
        <v>27</v>
      </c>
      <c r="P119" t="s">
        <v>56</v>
      </c>
      <c r="Q119" t="s">
        <v>31</v>
      </c>
      <c r="R119" t="s">
        <v>27</v>
      </c>
      <c r="S119" t="s">
        <v>28</v>
      </c>
      <c r="T119" t="s">
        <v>27</v>
      </c>
      <c r="U119" t="s">
        <v>492</v>
      </c>
      <c r="V119" s="3" t="s">
        <v>15911</v>
      </c>
      <c r="W119">
        <v>100</v>
      </c>
      <c r="X119">
        <v>1</v>
      </c>
    </row>
    <row r="120" spans="1:24" x14ac:dyDescent="0.25">
      <c r="A120" t="s">
        <v>493</v>
      </c>
      <c r="B120" t="s">
        <v>494</v>
      </c>
      <c r="C120">
        <v>149</v>
      </c>
      <c r="D120">
        <v>1</v>
      </c>
      <c r="E120">
        <v>0</v>
      </c>
      <c r="F120" t="s">
        <v>495</v>
      </c>
      <c r="G120">
        <v>149</v>
      </c>
      <c r="H120">
        <v>0</v>
      </c>
      <c r="I120" t="s">
        <v>140</v>
      </c>
      <c r="J120" t="s">
        <v>496</v>
      </c>
      <c r="K120" t="s">
        <v>497</v>
      </c>
      <c r="L120" t="s">
        <v>27</v>
      </c>
      <c r="M120" t="s">
        <v>28</v>
      </c>
      <c r="N120" t="s">
        <v>498</v>
      </c>
      <c r="O120" t="s">
        <v>27</v>
      </c>
      <c r="P120" t="s">
        <v>369</v>
      </c>
      <c r="Q120" t="s">
        <v>31</v>
      </c>
      <c r="R120" t="s">
        <v>57</v>
      </c>
      <c r="S120" t="s">
        <v>28</v>
      </c>
      <c r="T120" t="s">
        <v>27</v>
      </c>
      <c r="U120" t="s">
        <v>498</v>
      </c>
      <c r="V120" s="2" t="s">
        <v>214</v>
      </c>
      <c r="W120">
        <v>857.25999999999988</v>
      </c>
      <c r="X120">
        <v>11</v>
      </c>
    </row>
    <row r="121" spans="1:24" x14ac:dyDescent="0.25">
      <c r="A121" t="s">
        <v>499</v>
      </c>
      <c r="B121" t="s">
        <v>500</v>
      </c>
      <c r="C121">
        <v>130</v>
      </c>
      <c r="D121">
        <v>2</v>
      </c>
      <c r="E121">
        <v>0</v>
      </c>
      <c r="F121" t="s">
        <v>501</v>
      </c>
      <c r="G121">
        <v>305</v>
      </c>
      <c r="H121">
        <v>45</v>
      </c>
      <c r="I121" t="s">
        <v>24</v>
      </c>
      <c r="J121" t="s">
        <v>502</v>
      </c>
      <c r="K121" t="s">
        <v>503</v>
      </c>
      <c r="L121" t="s">
        <v>504</v>
      </c>
      <c r="M121" t="s">
        <v>505</v>
      </c>
      <c r="N121" t="s">
        <v>506</v>
      </c>
      <c r="O121" t="s">
        <v>27</v>
      </c>
      <c r="P121" t="s">
        <v>193</v>
      </c>
      <c r="Q121" t="s">
        <v>85</v>
      </c>
      <c r="R121" t="s">
        <v>86</v>
      </c>
      <c r="S121" t="s">
        <v>28</v>
      </c>
      <c r="T121" t="s">
        <v>27</v>
      </c>
      <c r="U121" t="s">
        <v>507</v>
      </c>
      <c r="V121" s="3" t="s">
        <v>6551</v>
      </c>
      <c r="W121">
        <v>79.66</v>
      </c>
      <c r="X121">
        <v>1</v>
      </c>
    </row>
    <row r="122" spans="1:24" x14ac:dyDescent="0.25">
      <c r="A122" t="s">
        <v>40</v>
      </c>
      <c r="B122" t="s">
        <v>41</v>
      </c>
      <c r="C122">
        <v>109.1</v>
      </c>
      <c r="D122">
        <v>1</v>
      </c>
      <c r="E122">
        <v>0</v>
      </c>
      <c r="F122" t="s">
        <v>508</v>
      </c>
      <c r="G122">
        <v>223.2</v>
      </c>
      <c r="H122">
        <v>5</v>
      </c>
      <c r="I122" t="s">
        <v>24</v>
      </c>
      <c r="J122" t="s">
        <v>509</v>
      </c>
      <c r="K122" t="s">
        <v>510</v>
      </c>
      <c r="L122" t="s">
        <v>511</v>
      </c>
      <c r="M122" t="s">
        <v>512</v>
      </c>
      <c r="N122" t="s">
        <v>507</v>
      </c>
      <c r="O122" t="s">
        <v>27</v>
      </c>
      <c r="P122" t="s">
        <v>48</v>
      </c>
      <c r="Q122" t="s">
        <v>49</v>
      </c>
      <c r="R122" t="s">
        <v>50</v>
      </c>
      <c r="S122" t="s">
        <v>28</v>
      </c>
      <c r="T122" t="s">
        <v>27</v>
      </c>
      <c r="U122" t="s">
        <v>507</v>
      </c>
      <c r="V122" s="3" t="s">
        <v>215</v>
      </c>
      <c r="W122">
        <v>777.59999999999991</v>
      </c>
      <c r="X122">
        <v>10</v>
      </c>
    </row>
    <row r="123" spans="1:24" x14ac:dyDescent="0.25">
      <c r="A123" t="s">
        <v>40</v>
      </c>
      <c r="B123" t="s">
        <v>41</v>
      </c>
      <c r="C123">
        <v>109.1</v>
      </c>
      <c r="D123">
        <v>1</v>
      </c>
      <c r="E123">
        <v>0</v>
      </c>
      <c r="F123" t="s">
        <v>508</v>
      </c>
      <c r="G123">
        <v>223.2</v>
      </c>
      <c r="H123">
        <v>5</v>
      </c>
      <c r="I123" t="s">
        <v>24</v>
      </c>
      <c r="J123" t="s">
        <v>509</v>
      </c>
      <c r="K123" t="s">
        <v>510</v>
      </c>
      <c r="L123" t="s">
        <v>511</v>
      </c>
      <c r="M123" t="s">
        <v>512</v>
      </c>
      <c r="N123" t="s">
        <v>507</v>
      </c>
      <c r="O123" t="s">
        <v>27</v>
      </c>
      <c r="P123" t="s">
        <v>48</v>
      </c>
      <c r="Q123" t="s">
        <v>49</v>
      </c>
      <c r="R123" t="s">
        <v>50</v>
      </c>
      <c r="S123" t="s">
        <v>28</v>
      </c>
      <c r="T123" t="s">
        <v>27</v>
      </c>
      <c r="U123" t="s">
        <v>507</v>
      </c>
      <c r="V123" s="2" t="s">
        <v>15910</v>
      </c>
      <c r="W123">
        <v>100</v>
      </c>
      <c r="X123">
        <v>1</v>
      </c>
    </row>
    <row r="124" spans="1:24" x14ac:dyDescent="0.25">
      <c r="A124" t="s">
        <v>94</v>
      </c>
      <c r="B124" t="s">
        <v>95</v>
      </c>
      <c r="C124">
        <v>9</v>
      </c>
      <c r="D124">
        <v>1</v>
      </c>
      <c r="E124">
        <v>0</v>
      </c>
      <c r="F124" t="s">
        <v>513</v>
      </c>
      <c r="G124">
        <v>9</v>
      </c>
      <c r="H124">
        <v>0</v>
      </c>
      <c r="I124" t="s">
        <v>24</v>
      </c>
      <c r="J124" t="s">
        <v>514</v>
      </c>
      <c r="K124" t="s">
        <v>515</v>
      </c>
      <c r="L124" t="s">
        <v>516</v>
      </c>
      <c r="M124" t="s">
        <v>517</v>
      </c>
      <c r="N124" t="s">
        <v>518</v>
      </c>
      <c r="O124" t="s">
        <v>27</v>
      </c>
      <c r="P124" t="s">
        <v>48</v>
      </c>
      <c r="Q124" t="s">
        <v>49</v>
      </c>
      <c r="R124" t="s">
        <v>50</v>
      </c>
      <c r="S124" t="s">
        <v>28</v>
      </c>
      <c r="T124" t="s">
        <v>27</v>
      </c>
      <c r="U124" t="s">
        <v>518</v>
      </c>
      <c r="V124" s="3" t="s">
        <v>15911</v>
      </c>
      <c r="W124">
        <v>100</v>
      </c>
      <c r="X124">
        <v>1</v>
      </c>
    </row>
    <row r="125" spans="1:24" x14ac:dyDescent="0.25">
      <c r="A125" t="s">
        <v>21</v>
      </c>
      <c r="B125" t="s">
        <v>22</v>
      </c>
      <c r="C125">
        <v>100</v>
      </c>
      <c r="D125">
        <v>1</v>
      </c>
      <c r="E125">
        <v>0</v>
      </c>
      <c r="F125" t="s">
        <v>519</v>
      </c>
      <c r="G125">
        <v>106</v>
      </c>
      <c r="H125">
        <v>6</v>
      </c>
      <c r="I125" t="s">
        <v>140</v>
      </c>
      <c r="J125" t="s">
        <v>520</v>
      </c>
      <c r="K125" t="s">
        <v>37</v>
      </c>
      <c r="L125" t="s">
        <v>27</v>
      </c>
      <c r="M125" t="s">
        <v>28</v>
      </c>
      <c r="N125" t="s">
        <v>506</v>
      </c>
      <c r="O125" t="s">
        <v>27</v>
      </c>
      <c r="P125" t="s">
        <v>369</v>
      </c>
      <c r="Q125" t="s">
        <v>31</v>
      </c>
      <c r="R125" t="s">
        <v>57</v>
      </c>
      <c r="S125" t="s">
        <v>28</v>
      </c>
      <c r="T125" t="s">
        <v>27</v>
      </c>
      <c r="U125" t="s">
        <v>518</v>
      </c>
      <c r="V125" s="2" t="s">
        <v>2307</v>
      </c>
      <c r="W125">
        <v>15130</v>
      </c>
      <c r="X125">
        <v>53</v>
      </c>
    </row>
    <row r="126" spans="1:24" x14ac:dyDescent="0.25">
      <c r="A126" t="s">
        <v>21</v>
      </c>
      <c r="B126" t="s">
        <v>22</v>
      </c>
      <c r="C126">
        <v>100</v>
      </c>
      <c r="D126">
        <v>4</v>
      </c>
      <c r="E126">
        <v>0</v>
      </c>
      <c r="F126" t="s">
        <v>521</v>
      </c>
      <c r="G126">
        <v>400</v>
      </c>
      <c r="H126">
        <v>0</v>
      </c>
      <c r="I126" t="s">
        <v>24</v>
      </c>
      <c r="J126" t="s">
        <v>522</v>
      </c>
      <c r="K126" t="s">
        <v>388</v>
      </c>
      <c r="L126" t="s">
        <v>27</v>
      </c>
      <c r="M126" t="s">
        <v>28</v>
      </c>
      <c r="N126" t="s">
        <v>518</v>
      </c>
      <c r="O126" t="s">
        <v>27</v>
      </c>
      <c r="P126" t="s">
        <v>39</v>
      </c>
      <c r="Q126" t="s">
        <v>31</v>
      </c>
      <c r="R126" t="s">
        <v>32</v>
      </c>
      <c r="S126" t="s">
        <v>28</v>
      </c>
      <c r="T126" t="s">
        <v>27</v>
      </c>
      <c r="U126" t="s">
        <v>518</v>
      </c>
      <c r="V126" s="3" t="s">
        <v>2308</v>
      </c>
      <c r="W126">
        <v>15130</v>
      </c>
      <c r="X126">
        <v>53</v>
      </c>
    </row>
    <row r="127" spans="1:24" x14ac:dyDescent="0.25">
      <c r="A127" t="s">
        <v>58</v>
      </c>
      <c r="B127" t="s">
        <v>58</v>
      </c>
      <c r="C127">
        <v>100</v>
      </c>
      <c r="D127">
        <v>1</v>
      </c>
      <c r="E127">
        <v>0</v>
      </c>
      <c r="F127" t="s">
        <v>523</v>
      </c>
      <c r="G127">
        <v>106</v>
      </c>
      <c r="H127">
        <v>6</v>
      </c>
      <c r="I127" t="s">
        <v>140</v>
      </c>
      <c r="J127" t="s">
        <v>524</v>
      </c>
      <c r="K127" t="s">
        <v>67</v>
      </c>
      <c r="L127" t="s">
        <v>27</v>
      </c>
      <c r="M127" t="s">
        <v>28</v>
      </c>
      <c r="N127" t="s">
        <v>518</v>
      </c>
      <c r="O127" t="s">
        <v>27</v>
      </c>
      <c r="P127" t="s">
        <v>369</v>
      </c>
      <c r="Q127" t="s">
        <v>31</v>
      </c>
      <c r="R127" t="s">
        <v>57</v>
      </c>
      <c r="S127" t="s">
        <v>28</v>
      </c>
      <c r="T127" t="s">
        <v>27</v>
      </c>
      <c r="U127" t="s">
        <v>518</v>
      </c>
      <c r="V127" s="2" t="s">
        <v>997</v>
      </c>
      <c r="W127">
        <v>4800</v>
      </c>
      <c r="X127">
        <v>6</v>
      </c>
    </row>
    <row r="128" spans="1:24" x14ac:dyDescent="0.25">
      <c r="A128" t="s">
        <v>33</v>
      </c>
      <c r="B128" t="s">
        <v>34</v>
      </c>
      <c r="C128">
        <v>200</v>
      </c>
      <c r="D128">
        <v>1</v>
      </c>
      <c r="E128">
        <v>0</v>
      </c>
      <c r="F128" t="s">
        <v>525</v>
      </c>
      <c r="G128">
        <v>200</v>
      </c>
      <c r="H128">
        <v>0</v>
      </c>
      <c r="I128" t="s">
        <v>445</v>
      </c>
      <c r="J128" t="s">
        <v>526</v>
      </c>
      <c r="K128" t="s">
        <v>237</v>
      </c>
      <c r="L128" t="s">
        <v>27</v>
      </c>
      <c r="M128" t="s">
        <v>28</v>
      </c>
      <c r="N128" t="s">
        <v>527</v>
      </c>
      <c r="O128" t="s">
        <v>27</v>
      </c>
      <c r="P128" t="s">
        <v>39</v>
      </c>
      <c r="Q128" t="s">
        <v>31</v>
      </c>
      <c r="R128" t="s">
        <v>32</v>
      </c>
      <c r="S128" t="s">
        <v>28</v>
      </c>
      <c r="T128" t="s">
        <v>27</v>
      </c>
      <c r="U128" t="s">
        <v>527</v>
      </c>
      <c r="V128" s="3" t="s">
        <v>998</v>
      </c>
      <c r="W128">
        <v>4800</v>
      </c>
      <c r="X128">
        <v>6</v>
      </c>
    </row>
    <row r="129" spans="1:24" x14ac:dyDescent="0.25">
      <c r="A129" t="s">
        <v>21</v>
      </c>
      <c r="B129" t="s">
        <v>22</v>
      </c>
      <c r="C129">
        <v>100</v>
      </c>
      <c r="D129">
        <v>1</v>
      </c>
      <c r="E129">
        <v>0</v>
      </c>
      <c r="F129" t="s">
        <v>528</v>
      </c>
      <c r="G129">
        <v>106</v>
      </c>
      <c r="H129">
        <v>6</v>
      </c>
      <c r="I129" t="s">
        <v>445</v>
      </c>
      <c r="J129" t="s">
        <v>529</v>
      </c>
      <c r="K129" t="s">
        <v>250</v>
      </c>
      <c r="L129" t="s">
        <v>27</v>
      </c>
      <c r="M129" t="s">
        <v>28</v>
      </c>
      <c r="N129" t="s">
        <v>530</v>
      </c>
      <c r="O129" t="s">
        <v>27</v>
      </c>
      <c r="P129" t="s">
        <v>39</v>
      </c>
      <c r="Q129" t="s">
        <v>31</v>
      </c>
      <c r="R129" t="s">
        <v>32</v>
      </c>
      <c r="S129" t="s">
        <v>28</v>
      </c>
      <c r="T129" t="s">
        <v>27</v>
      </c>
      <c r="U129" t="s">
        <v>530</v>
      </c>
      <c r="V129" s="2" t="s">
        <v>167</v>
      </c>
      <c r="W129">
        <v>500</v>
      </c>
      <c r="X129">
        <v>2</v>
      </c>
    </row>
    <row r="130" spans="1:24" x14ac:dyDescent="0.25">
      <c r="A130" t="s">
        <v>70</v>
      </c>
      <c r="B130" t="s">
        <v>70</v>
      </c>
      <c r="C130">
        <v>330</v>
      </c>
      <c r="D130">
        <v>1</v>
      </c>
      <c r="E130">
        <v>0</v>
      </c>
      <c r="F130" t="s">
        <v>531</v>
      </c>
      <c r="G130">
        <v>330</v>
      </c>
      <c r="H130">
        <v>0</v>
      </c>
      <c r="I130" t="s">
        <v>24</v>
      </c>
      <c r="J130" t="s">
        <v>532</v>
      </c>
      <c r="K130" t="s">
        <v>37</v>
      </c>
      <c r="L130" t="s">
        <v>27</v>
      </c>
      <c r="M130" t="s">
        <v>28</v>
      </c>
      <c r="N130" t="s">
        <v>533</v>
      </c>
      <c r="O130" t="s">
        <v>27</v>
      </c>
      <c r="P130" t="s">
        <v>39</v>
      </c>
      <c r="Q130" t="s">
        <v>31</v>
      </c>
      <c r="R130" t="s">
        <v>32</v>
      </c>
      <c r="S130" t="s">
        <v>28</v>
      </c>
      <c r="T130" t="s">
        <v>27</v>
      </c>
      <c r="U130" t="s">
        <v>533</v>
      </c>
      <c r="V130" s="3" t="s">
        <v>168</v>
      </c>
      <c r="W130">
        <v>500</v>
      </c>
      <c r="X130">
        <v>2</v>
      </c>
    </row>
    <row r="131" spans="1:24" x14ac:dyDescent="0.25">
      <c r="A131" t="s">
        <v>33</v>
      </c>
      <c r="B131" t="s">
        <v>34</v>
      </c>
      <c r="C131">
        <v>200</v>
      </c>
      <c r="D131">
        <v>1</v>
      </c>
      <c r="E131">
        <v>0</v>
      </c>
      <c r="F131" t="s">
        <v>534</v>
      </c>
      <c r="G131">
        <v>200</v>
      </c>
      <c r="H131">
        <v>0</v>
      </c>
      <c r="I131" t="s">
        <v>24</v>
      </c>
      <c r="J131" t="s">
        <v>535</v>
      </c>
      <c r="K131" t="s">
        <v>37</v>
      </c>
      <c r="L131" t="s">
        <v>27</v>
      </c>
      <c r="M131" t="s">
        <v>28</v>
      </c>
      <c r="N131" t="s">
        <v>536</v>
      </c>
      <c r="O131" t="s">
        <v>27</v>
      </c>
      <c r="P131" t="s">
        <v>39</v>
      </c>
      <c r="Q131" t="s">
        <v>31</v>
      </c>
      <c r="R131" t="s">
        <v>32</v>
      </c>
      <c r="S131" t="s">
        <v>28</v>
      </c>
      <c r="T131" t="s">
        <v>27</v>
      </c>
      <c r="U131" t="s">
        <v>536</v>
      </c>
      <c r="V131" s="2" t="s">
        <v>9705</v>
      </c>
      <c r="W131">
        <v>250</v>
      </c>
      <c r="X131">
        <v>1</v>
      </c>
    </row>
    <row r="132" spans="1:24" x14ac:dyDescent="0.25">
      <c r="A132" t="s">
        <v>456</v>
      </c>
      <c r="B132" t="s">
        <v>457</v>
      </c>
      <c r="C132">
        <v>225</v>
      </c>
      <c r="D132">
        <v>10</v>
      </c>
      <c r="E132">
        <v>0</v>
      </c>
      <c r="F132" t="s">
        <v>537</v>
      </c>
      <c r="G132">
        <v>2346</v>
      </c>
      <c r="H132">
        <v>96</v>
      </c>
      <c r="I132" t="s">
        <v>445</v>
      </c>
      <c r="J132" t="s">
        <v>538</v>
      </c>
      <c r="K132" t="s">
        <v>539</v>
      </c>
      <c r="L132" t="s">
        <v>540</v>
      </c>
      <c r="M132" t="s">
        <v>541</v>
      </c>
      <c r="N132" t="s">
        <v>542</v>
      </c>
      <c r="O132" t="s">
        <v>27</v>
      </c>
      <c r="P132" t="s">
        <v>193</v>
      </c>
      <c r="Q132" t="s">
        <v>85</v>
      </c>
      <c r="R132" t="s">
        <v>86</v>
      </c>
      <c r="S132" t="s">
        <v>28</v>
      </c>
      <c r="T132" t="s">
        <v>27</v>
      </c>
      <c r="U132" t="s">
        <v>543</v>
      </c>
      <c r="V132" s="3" t="s">
        <v>168</v>
      </c>
      <c r="W132">
        <v>250</v>
      </c>
      <c r="X132">
        <v>1</v>
      </c>
    </row>
    <row r="133" spans="1:24" x14ac:dyDescent="0.25">
      <c r="A133" t="s">
        <v>456</v>
      </c>
      <c r="B133" t="s">
        <v>457</v>
      </c>
      <c r="C133">
        <v>225</v>
      </c>
      <c r="D133">
        <v>10</v>
      </c>
      <c r="E133">
        <v>0</v>
      </c>
      <c r="F133" t="s">
        <v>544</v>
      </c>
      <c r="G133">
        <v>2346</v>
      </c>
      <c r="H133">
        <v>96</v>
      </c>
      <c r="I133" t="s">
        <v>445</v>
      </c>
      <c r="J133" t="s">
        <v>538</v>
      </c>
      <c r="K133" t="s">
        <v>539</v>
      </c>
      <c r="L133" t="s">
        <v>540</v>
      </c>
      <c r="M133" t="s">
        <v>541</v>
      </c>
      <c r="N133" t="s">
        <v>542</v>
      </c>
      <c r="O133" t="s">
        <v>27</v>
      </c>
      <c r="P133" t="s">
        <v>193</v>
      </c>
      <c r="Q133" t="s">
        <v>85</v>
      </c>
      <c r="R133" t="s">
        <v>86</v>
      </c>
      <c r="S133" t="s">
        <v>28</v>
      </c>
      <c r="T133" t="s">
        <v>27</v>
      </c>
      <c r="U133" t="s">
        <v>543</v>
      </c>
      <c r="V133" s="2" t="s">
        <v>10305</v>
      </c>
      <c r="W133">
        <v>180</v>
      </c>
      <c r="X133">
        <v>1</v>
      </c>
    </row>
    <row r="134" spans="1:24" x14ac:dyDescent="0.25">
      <c r="A134" t="s">
        <v>58</v>
      </c>
      <c r="B134" t="s">
        <v>545</v>
      </c>
      <c r="C134">
        <v>150</v>
      </c>
      <c r="D134">
        <v>1</v>
      </c>
      <c r="E134">
        <v>0</v>
      </c>
      <c r="F134" t="s">
        <v>546</v>
      </c>
      <c r="G134">
        <v>195</v>
      </c>
      <c r="H134">
        <v>45</v>
      </c>
      <c r="I134" t="s">
        <v>24</v>
      </c>
      <c r="J134" t="s">
        <v>547</v>
      </c>
      <c r="K134" t="s">
        <v>548</v>
      </c>
      <c r="L134" t="s">
        <v>549</v>
      </c>
      <c r="M134" t="s">
        <v>550</v>
      </c>
      <c r="N134" t="s">
        <v>551</v>
      </c>
      <c r="O134" t="s">
        <v>27</v>
      </c>
      <c r="P134" t="s">
        <v>48</v>
      </c>
      <c r="Q134" t="s">
        <v>49</v>
      </c>
      <c r="R134" t="s">
        <v>50</v>
      </c>
      <c r="S134" t="s">
        <v>28</v>
      </c>
      <c r="T134" t="s">
        <v>27</v>
      </c>
      <c r="U134" t="s">
        <v>551</v>
      </c>
      <c r="V134" s="3" t="s">
        <v>10306</v>
      </c>
      <c r="W134">
        <v>180</v>
      </c>
      <c r="X134">
        <v>1</v>
      </c>
    </row>
    <row r="135" spans="1:24" x14ac:dyDescent="0.25">
      <c r="A135" t="s">
        <v>58</v>
      </c>
      <c r="B135" t="s">
        <v>545</v>
      </c>
      <c r="C135">
        <v>150</v>
      </c>
      <c r="D135">
        <v>1</v>
      </c>
      <c r="E135">
        <v>0</v>
      </c>
      <c r="F135" t="s">
        <v>552</v>
      </c>
      <c r="G135">
        <v>195</v>
      </c>
      <c r="H135">
        <v>45</v>
      </c>
      <c r="I135" t="s">
        <v>24</v>
      </c>
      <c r="J135" t="s">
        <v>553</v>
      </c>
      <c r="K135" t="s">
        <v>554</v>
      </c>
      <c r="L135" t="s">
        <v>555</v>
      </c>
      <c r="M135" t="s">
        <v>28</v>
      </c>
      <c r="N135" t="s">
        <v>27</v>
      </c>
      <c r="O135" t="s">
        <v>27</v>
      </c>
      <c r="P135" t="s">
        <v>48</v>
      </c>
      <c r="Q135" t="s">
        <v>49</v>
      </c>
      <c r="R135" t="s">
        <v>27</v>
      </c>
      <c r="S135" t="s">
        <v>28</v>
      </c>
      <c r="T135" t="s">
        <v>27</v>
      </c>
      <c r="U135" t="s">
        <v>556</v>
      </c>
      <c r="V135" s="2" t="s">
        <v>76</v>
      </c>
      <c r="W135">
        <v>6186.6799999999994</v>
      </c>
      <c r="X135">
        <v>37</v>
      </c>
    </row>
    <row r="136" spans="1:24" x14ac:dyDescent="0.25">
      <c r="A136" t="s">
        <v>63</v>
      </c>
      <c r="B136" t="s">
        <v>64</v>
      </c>
      <c r="C136">
        <v>100</v>
      </c>
      <c r="D136">
        <v>1</v>
      </c>
      <c r="E136">
        <v>0</v>
      </c>
      <c r="F136" t="s">
        <v>557</v>
      </c>
      <c r="G136">
        <v>106</v>
      </c>
      <c r="H136">
        <v>6</v>
      </c>
      <c r="I136" t="s">
        <v>140</v>
      </c>
      <c r="J136" t="s">
        <v>558</v>
      </c>
      <c r="K136" t="s">
        <v>358</v>
      </c>
      <c r="L136" t="s">
        <v>27</v>
      </c>
      <c r="M136" t="s">
        <v>28</v>
      </c>
      <c r="N136" t="s">
        <v>556</v>
      </c>
      <c r="O136" t="s">
        <v>27</v>
      </c>
      <c r="P136" t="s">
        <v>369</v>
      </c>
      <c r="Q136" t="s">
        <v>31</v>
      </c>
      <c r="R136" t="s">
        <v>57</v>
      </c>
      <c r="S136" t="s">
        <v>28</v>
      </c>
      <c r="T136" t="s">
        <v>27</v>
      </c>
      <c r="U136" t="s">
        <v>556</v>
      </c>
      <c r="V136" s="3" t="s">
        <v>1167</v>
      </c>
      <c r="W136">
        <v>225</v>
      </c>
      <c r="X136">
        <v>1</v>
      </c>
    </row>
    <row r="137" spans="1:24" x14ac:dyDescent="0.25">
      <c r="A137" t="s">
        <v>70</v>
      </c>
      <c r="B137" t="s">
        <v>70</v>
      </c>
      <c r="C137">
        <v>330</v>
      </c>
      <c r="D137">
        <v>1</v>
      </c>
      <c r="E137">
        <v>0</v>
      </c>
      <c r="F137" t="s">
        <v>559</v>
      </c>
      <c r="G137">
        <v>330</v>
      </c>
      <c r="H137">
        <v>0</v>
      </c>
      <c r="I137" t="s">
        <v>24</v>
      </c>
      <c r="J137" t="s">
        <v>560</v>
      </c>
      <c r="K137" t="s">
        <v>346</v>
      </c>
      <c r="L137" t="s">
        <v>27</v>
      </c>
      <c r="M137" t="s">
        <v>28</v>
      </c>
      <c r="N137" t="s">
        <v>561</v>
      </c>
      <c r="O137" t="s">
        <v>27</v>
      </c>
      <c r="P137" t="s">
        <v>39</v>
      </c>
      <c r="Q137" t="s">
        <v>31</v>
      </c>
      <c r="R137" t="s">
        <v>32</v>
      </c>
      <c r="S137" t="s">
        <v>562</v>
      </c>
      <c r="T137" t="s">
        <v>27</v>
      </c>
      <c r="U137" t="s">
        <v>563</v>
      </c>
      <c r="V137" s="3" t="s">
        <v>77</v>
      </c>
      <c r="W137">
        <v>4649</v>
      </c>
      <c r="X137">
        <v>30</v>
      </c>
    </row>
    <row r="138" spans="1:24" x14ac:dyDescent="0.25">
      <c r="A138" t="s">
        <v>58</v>
      </c>
      <c r="B138" t="s">
        <v>103</v>
      </c>
      <c r="C138">
        <v>84</v>
      </c>
      <c r="D138">
        <v>1</v>
      </c>
      <c r="E138">
        <v>0</v>
      </c>
      <c r="F138" t="s">
        <v>564</v>
      </c>
      <c r="G138">
        <v>84</v>
      </c>
      <c r="H138">
        <v>0</v>
      </c>
      <c r="I138" t="s">
        <v>105</v>
      </c>
      <c r="J138" t="s">
        <v>565</v>
      </c>
      <c r="K138" t="s">
        <v>566</v>
      </c>
      <c r="L138" t="s">
        <v>567</v>
      </c>
      <c r="M138" t="s">
        <v>568</v>
      </c>
      <c r="N138" t="s">
        <v>569</v>
      </c>
      <c r="O138" t="s">
        <v>27</v>
      </c>
      <c r="P138" t="s">
        <v>48</v>
      </c>
      <c r="Q138" t="s">
        <v>49</v>
      </c>
      <c r="R138" t="s">
        <v>50</v>
      </c>
      <c r="S138" t="s">
        <v>28</v>
      </c>
      <c r="T138" t="s">
        <v>27</v>
      </c>
      <c r="U138" t="s">
        <v>569</v>
      </c>
      <c r="V138" s="3" t="s">
        <v>11207</v>
      </c>
      <c r="W138">
        <v>1068.48</v>
      </c>
      <c r="X138">
        <v>5</v>
      </c>
    </row>
    <row r="139" spans="1:24" x14ac:dyDescent="0.25">
      <c r="A139" t="s">
        <v>63</v>
      </c>
      <c r="B139" t="s">
        <v>64</v>
      </c>
      <c r="C139">
        <v>100</v>
      </c>
      <c r="D139">
        <v>1</v>
      </c>
      <c r="E139">
        <v>0</v>
      </c>
      <c r="F139" t="s">
        <v>570</v>
      </c>
      <c r="G139">
        <v>300</v>
      </c>
      <c r="H139">
        <v>0</v>
      </c>
      <c r="I139" t="s">
        <v>140</v>
      </c>
      <c r="J139" t="s">
        <v>571</v>
      </c>
      <c r="K139" t="s">
        <v>572</v>
      </c>
      <c r="L139" t="s">
        <v>27</v>
      </c>
      <c r="M139" t="s">
        <v>28</v>
      </c>
      <c r="N139" t="s">
        <v>573</v>
      </c>
      <c r="O139" t="s">
        <v>27</v>
      </c>
      <c r="P139" t="s">
        <v>369</v>
      </c>
      <c r="Q139" t="s">
        <v>31</v>
      </c>
      <c r="R139" t="s">
        <v>57</v>
      </c>
      <c r="S139" t="s">
        <v>28</v>
      </c>
      <c r="T139" t="s">
        <v>27</v>
      </c>
      <c r="U139" t="s">
        <v>574</v>
      </c>
      <c r="V139" s="3" t="s">
        <v>1852</v>
      </c>
      <c r="W139">
        <v>244.2</v>
      </c>
      <c r="X139">
        <v>1</v>
      </c>
    </row>
    <row r="140" spans="1:24" x14ac:dyDescent="0.25">
      <c r="A140" t="s">
        <v>58</v>
      </c>
      <c r="B140" t="s">
        <v>58</v>
      </c>
      <c r="C140">
        <v>100</v>
      </c>
      <c r="D140">
        <v>1</v>
      </c>
      <c r="E140">
        <v>0</v>
      </c>
      <c r="F140" t="s">
        <v>570</v>
      </c>
      <c r="G140">
        <v>300</v>
      </c>
      <c r="H140">
        <v>0</v>
      </c>
      <c r="I140" t="s">
        <v>140</v>
      </c>
      <c r="J140" t="s">
        <v>571</v>
      </c>
      <c r="K140" t="s">
        <v>572</v>
      </c>
      <c r="L140" t="s">
        <v>27</v>
      </c>
      <c r="M140" t="s">
        <v>28</v>
      </c>
      <c r="N140" t="s">
        <v>573</v>
      </c>
      <c r="O140" t="s">
        <v>27</v>
      </c>
      <c r="P140" t="s">
        <v>369</v>
      </c>
      <c r="Q140" t="s">
        <v>31</v>
      </c>
      <c r="R140" t="s">
        <v>57</v>
      </c>
      <c r="S140" t="s">
        <v>28</v>
      </c>
      <c r="T140" t="s">
        <v>27</v>
      </c>
      <c r="U140" t="s">
        <v>574</v>
      </c>
      <c r="V140" s="2" t="s">
        <v>11908</v>
      </c>
      <c r="W140">
        <v>250</v>
      </c>
      <c r="X140">
        <v>2</v>
      </c>
    </row>
    <row r="141" spans="1:24" x14ac:dyDescent="0.25">
      <c r="A141" t="s">
        <v>21</v>
      </c>
      <c r="B141" t="s">
        <v>22</v>
      </c>
      <c r="C141">
        <v>100</v>
      </c>
      <c r="D141">
        <v>1</v>
      </c>
      <c r="E141">
        <v>0</v>
      </c>
      <c r="F141" t="s">
        <v>570</v>
      </c>
      <c r="G141">
        <v>300</v>
      </c>
      <c r="H141">
        <v>0</v>
      </c>
      <c r="I141" t="s">
        <v>140</v>
      </c>
      <c r="J141" t="s">
        <v>571</v>
      </c>
      <c r="K141" t="s">
        <v>572</v>
      </c>
      <c r="L141" t="s">
        <v>27</v>
      </c>
      <c r="M141" t="s">
        <v>28</v>
      </c>
      <c r="N141" t="s">
        <v>573</v>
      </c>
      <c r="O141" t="s">
        <v>27</v>
      </c>
      <c r="P141" t="s">
        <v>369</v>
      </c>
      <c r="Q141" t="s">
        <v>31</v>
      </c>
      <c r="R141" t="s">
        <v>57</v>
      </c>
      <c r="S141" t="s">
        <v>28</v>
      </c>
      <c r="T141" t="s">
        <v>27</v>
      </c>
      <c r="U141" t="s">
        <v>574</v>
      </c>
      <c r="V141" s="3" t="s">
        <v>168</v>
      </c>
      <c r="W141">
        <v>250</v>
      </c>
      <c r="X141">
        <v>2</v>
      </c>
    </row>
    <row r="142" spans="1:24" x14ac:dyDescent="0.25">
      <c r="A142" t="s">
        <v>21</v>
      </c>
      <c r="B142" t="s">
        <v>22</v>
      </c>
      <c r="C142">
        <v>100</v>
      </c>
      <c r="D142">
        <v>1</v>
      </c>
      <c r="E142">
        <v>0</v>
      </c>
      <c r="F142" t="s">
        <v>575</v>
      </c>
      <c r="G142">
        <v>106</v>
      </c>
      <c r="H142">
        <v>6</v>
      </c>
      <c r="I142" t="s">
        <v>24</v>
      </c>
      <c r="J142" t="s">
        <v>576</v>
      </c>
      <c r="K142" t="s">
        <v>89</v>
      </c>
      <c r="L142" t="s">
        <v>27</v>
      </c>
      <c r="M142" t="s">
        <v>28</v>
      </c>
      <c r="N142" t="s">
        <v>27</v>
      </c>
      <c r="O142" t="s">
        <v>27</v>
      </c>
      <c r="P142" t="s">
        <v>56</v>
      </c>
      <c r="Q142" t="s">
        <v>31</v>
      </c>
      <c r="R142" t="s">
        <v>27</v>
      </c>
      <c r="S142" t="s">
        <v>28</v>
      </c>
      <c r="T142" t="s">
        <v>27</v>
      </c>
      <c r="U142" t="s">
        <v>574</v>
      </c>
      <c r="V142" s="2" t="s">
        <v>185</v>
      </c>
      <c r="W142">
        <v>1120</v>
      </c>
      <c r="X142">
        <v>8</v>
      </c>
    </row>
    <row r="143" spans="1:24" x14ac:dyDescent="0.25">
      <c r="A143" t="s">
        <v>63</v>
      </c>
      <c r="B143" t="s">
        <v>64</v>
      </c>
      <c r="C143">
        <v>100</v>
      </c>
      <c r="D143">
        <v>1</v>
      </c>
      <c r="E143">
        <v>0</v>
      </c>
      <c r="F143" t="s">
        <v>577</v>
      </c>
      <c r="G143">
        <v>200</v>
      </c>
      <c r="H143">
        <v>0</v>
      </c>
      <c r="I143" t="s">
        <v>445</v>
      </c>
      <c r="J143" t="s">
        <v>578</v>
      </c>
      <c r="K143" t="s">
        <v>579</v>
      </c>
      <c r="L143" t="s">
        <v>27</v>
      </c>
      <c r="M143" t="s">
        <v>28</v>
      </c>
      <c r="N143" t="s">
        <v>573</v>
      </c>
      <c r="O143" t="s">
        <v>27</v>
      </c>
      <c r="P143" t="s">
        <v>56</v>
      </c>
      <c r="Q143" t="s">
        <v>31</v>
      </c>
      <c r="R143" t="s">
        <v>57</v>
      </c>
      <c r="S143" t="s">
        <v>28</v>
      </c>
      <c r="T143" t="s">
        <v>27</v>
      </c>
      <c r="U143" t="s">
        <v>580</v>
      </c>
      <c r="V143" s="3" t="s">
        <v>186</v>
      </c>
      <c r="W143">
        <v>1120</v>
      </c>
      <c r="X143">
        <v>8</v>
      </c>
    </row>
    <row r="144" spans="1:24" x14ac:dyDescent="0.25">
      <c r="A144" t="s">
        <v>134</v>
      </c>
      <c r="B144" t="s">
        <v>64</v>
      </c>
      <c r="C144">
        <v>100</v>
      </c>
      <c r="D144">
        <v>1</v>
      </c>
      <c r="E144">
        <v>0</v>
      </c>
      <c r="F144" t="s">
        <v>577</v>
      </c>
      <c r="G144">
        <v>200</v>
      </c>
      <c r="H144">
        <v>0</v>
      </c>
      <c r="I144" t="s">
        <v>445</v>
      </c>
      <c r="J144" t="s">
        <v>578</v>
      </c>
      <c r="K144" t="s">
        <v>579</v>
      </c>
      <c r="L144" t="s">
        <v>27</v>
      </c>
      <c r="M144" t="s">
        <v>28</v>
      </c>
      <c r="N144" t="s">
        <v>573</v>
      </c>
      <c r="O144" t="s">
        <v>27</v>
      </c>
      <c r="P144" t="s">
        <v>56</v>
      </c>
      <c r="Q144" t="s">
        <v>31</v>
      </c>
      <c r="R144" t="s">
        <v>57</v>
      </c>
      <c r="S144" t="s">
        <v>28</v>
      </c>
      <c r="T144" t="s">
        <v>27</v>
      </c>
      <c r="U144" t="s">
        <v>580</v>
      </c>
      <c r="V144" s="2" t="s">
        <v>625</v>
      </c>
      <c r="W144">
        <v>3291.2</v>
      </c>
      <c r="X144">
        <v>2</v>
      </c>
    </row>
    <row r="145" spans="1:24" x14ac:dyDescent="0.25">
      <c r="A145" t="s">
        <v>134</v>
      </c>
      <c r="B145" t="s">
        <v>64</v>
      </c>
      <c r="C145">
        <v>100</v>
      </c>
      <c r="D145">
        <v>2</v>
      </c>
      <c r="E145">
        <v>0</v>
      </c>
      <c r="F145" t="s">
        <v>581</v>
      </c>
      <c r="G145">
        <v>200</v>
      </c>
      <c r="H145">
        <v>0</v>
      </c>
      <c r="I145" t="s">
        <v>445</v>
      </c>
      <c r="J145" t="s">
        <v>582</v>
      </c>
      <c r="K145" t="s">
        <v>583</v>
      </c>
      <c r="L145" t="s">
        <v>27</v>
      </c>
      <c r="M145" t="s">
        <v>28</v>
      </c>
      <c r="N145" t="s">
        <v>584</v>
      </c>
      <c r="O145" t="s">
        <v>27</v>
      </c>
      <c r="P145" t="s">
        <v>39</v>
      </c>
      <c r="Q145" t="s">
        <v>31</v>
      </c>
      <c r="R145" t="s">
        <v>32</v>
      </c>
      <c r="S145" t="s">
        <v>28</v>
      </c>
      <c r="T145" t="s">
        <v>27</v>
      </c>
      <c r="U145" t="s">
        <v>584</v>
      </c>
      <c r="V145" s="3" t="s">
        <v>3355</v>
      </c>
      <c r="W145">
        <v>1600</v>
      </c>
      <c r="X145">
        <v>1</v>
      </c>
    </row>
    <row r="146" spans="1:24" x14ac:dyDescent="0.25">
      <c r="A146" t="s">
        <v>21</v>
      </c>
      <c r="B146" t="s">
        <v>22</v>
      </c>
      <c r="C146">
        <v>100</v>
      </c>
      <c r="D146">
        <v>2</v>
      </c>
      <c r="E146">
        <v>0</v>
      </c>
      <c r="F146" t="s">
        <v>585</v>
      </c>
      <c r="G146">
        <v>200</v>
      </c>
      <c r="H146">
        <v>0</v>
      </c>
      <c r="I146" t="s">
        <v>24</v>
      </c>
      <c r="J146" t="s">
        <v>586</v>
      </c>
      <c r="K146" t="s">
        <v>247</v>
      </c>
      <c r="L146" t="s">
        <v>27</v>
      </c>
      <c r="M146" t="s">
        <v>28</v>
      </c>
      <c r="N146" t="s">
        <v>587</v>
      </c>
      <c r="O146" t="s">
        <v>27</v>
      </c>
      <c r="P146" t="s">
        <v>39</v>
      </c>
      <c r="Q146" t="s">
        <v>31</v>
      </c>
      <c r="R146" t="s">
        <v>32</v>
      </c>
      <c r="S146" t="s">
        <v>28</v>
      </c>
      <c r="T146" t="s">
        <v>27</v>
      </c>
      <c r="U146" t="s">
        <v>587</v>
      </c>
      <c r="V146" s="3" t="s">
        <v>626</v>
      </c>
      <c r="W146">
        <v>1691.2</v>
      </c>
      <c r="X146">
        <v>1</v>
      </c>
    </row>
    <row r="147" spans="1:24" x14ac:dyDescent="0.25">
      <c r="A147" t="s">
        <v>33</v>
      </c>
      <c r="B147" t="s">
        <v>34</v>
      </c>
      <c r="C147">
        <v>200</v>
      </c>
      <c r="D147">
        <v>1</v>
      </c>
      <c r="E147">
        <v>0</v>
      </c>
      <c r="F147" t="s">
        <v>588</v>
      </c>
      <c r="G147">
        <v>200</v>
      </c>
      <c r="H147">
        <v>0</v>
      </c>
      <c r="I147" t="s">
        <v>24</v>
      </c>
      <c r="J147" t="s">
        <v>589</v>
      </c>
      <c r="K147" t="s">
        <v>350</v>
      </c>
      <c r="L147" t="s">
        <v>27</v>
      </c>
      <c r="M147" t="s">
        <v>28</v>
      </c>
      <c r="N147" t="s">
        <v>590</v>
      </c>
      <c r="O147" t="s">
        <v>27</v>
      </c>
      <c r="P147" t="s">
        <v>56</v>
      </c>
      <c r="Q147" t="s">
        <v>31</v>
      </c>
      <c r="R147" t="s">
        <v>57</v>
      </c>
      <c r="S147" t="s">
        <v>28</v>
      </c>
      <c r="T147" t="s">
        <v>27</v>
      </c>
      <c r="U147" t="s">
        <v>591</v>
      </c>
      <c r="V147" s="2" t="s">
        <v>456</v>
      </c>
      <c r="W147">
        <v>58765.89</v>
      </c>
      <c r="X147">
        <v>450</v>
      </c>
    </row>
    <row r="148" spans="1:24" x14ac:dyDescent="0.25">
      <c r="A148" t="s">
        <v>21</v>
      </c>
      <c r="B148" t="s">
        <v>22</v>
      </c>
      <c r="C148">
        <v>100</v>
      </c>
      <c r="D148">
        <v>1</v>
      </c>
      <c r="E148">
        <v>0</v>
      </c>
      <c r="F148" t="s">
        <v>592</v>
      </c>
      <c r="G148">
        <v>106</v>
      </c>
      <c r="H148">
        <v>6</v>
      </c>
      <c r="I148" t="s">
        <v>24</v>
      </c>
      <c r="J148" t="s">
        <v>593</v>
      </c>
      <c r="K148" t="s">
        <v>594</v>
      </c>
      <c r="L148" t="s">
        <v>27</v>
      </c>
      <c r="M148" t="s">
        <v>28</v>
      </c>
      <c r="N148" t="s">
        <v>595</v>
      </c>
      <c r="O148" t="s">
        <v>27</v>
      </c>
      <c r="P148" t="s">
        <v>39</v>
      </c>
      <c r="Q148" t="s">
        <v>31</v>
      </c>
      <c r="R148" t="s">
        <v>32</v>
      </c>
      <c r="S148" t="s">
        <v>28</v>
      </c>
      <c r="T148" t="s">
        <v>27</v>
      </c>
      <c r="U148" t="s">
        <v>595</v>
      </c>
      <c r="V148" s="3" t="s">
        <v>718</v>
      </c>
      <c r="W148">
        <v>1498</v>
      </c>
      <c r="X148">
        <v>7</v>
      </c>
    </row>
    <row r="149" spans="1:24" x14ac:dyDescent="0.25">
      <c r="A149" t="s">
        <v>58</v>
      </c>
      <c r="B149" t="s">
        <v>103</v>
      </c>
      <c r="C149">
        <v>84</v>
      </c>
      <c r="D149">
        <v>1</v>
      </c>
      <c r="E149">
        <v>0</v>
      </c>
      <c r="F149" t="s">
        <v>596</v>
      </c>
      <c r="G149">
        <v>84</v>
      </c>
      <c r="H149">
        <v>0</v>
      </c>
      <c r="I149" t="s">
        <v>105</v>
      </c>
      <c r="J149" t="s">
        <v>597</v>
      </c>
      <c r="K149" t="s">
        <v>598</v>
      </c>
      <c r="L149" t="s">
        <v>567</v>
      </c>
      <c r="M149" t="s">
        <v>599</v>
      </c>
      <c r="N149" t="s">
        <v>600</v>
      </c>
      <c r="O149" t="s">
        <v>27</v>
      </c>
      <c r="P149" t="s">
        <v>48</v>
      </c>
      <c r="Q149" t="s">
        <v>49</v>
      </c>
      <c r="R149" t="s">
        <v>50</v>
      </c>
      <c r="S149" t="s">
        <v>28</v>
      </c>
      <c r="T149" t="s">
        <v>27</v>
      </c>
      <c r="U149" t="s">
        <v>600</v>
      </c>
      <c r="V149" s="3" t="s">
        <v>1178</v>
      </c>
      <c r="W149">
        <v>21956.39</v>
      </c>
      <c r="X149">
        <v>183</v>
      </c>
    </row>
    <row r="150" spans="1:24" x14ac:dyDescent="0.25">
      <c r="A150" t="s">
        <v>33</v>
      </c>
      <c r="B150" t="s">
        <v>34</v>
      </c>
      <c r="C150">
        <v>200</v>
      </c>
      <c r="D150">
        <v>1</v>
      </c>
      <c r="E150">
        <v>0</v>
      </c>
      <c r="F150" t="s">
        <v>601</v>
      </c>
      <c r="G150">
        <v>200</v>
      </c>
      <c r="H150">
        <v>0</v>
      </c>
      <c r="I150" t="s">
        <v>445</v>
      </c>
      <c r="J150" t="s">
        <v>602</v>
      </c>
      <c r="K150" t="s">
        <v>346</v>
      </c>
      <c r="L150" t="s">
        <v>27</v>
      </c>
      <c r="M150" t="s">
        <v>28</v>
      </c>
      <c r="N150" t="s">
        <v>603</v>
      </c>
      <c r="O150" t="s">
        <v>27</v>
      </c>
      <c r="P150" t="s">
        <v>39</v>
      </c>
      <c r="Q150" t="s">
        <v>31</v>
      </c>
      <c r="R150" t="s">
        <v>32</v>
      </c>
      <c r="S150" t="s">
        <v>28</v>
      </c>
      <c r="T150" t="s">
        <v>604</v>
      </c>
      <c r="U150" t="s">
        <v>603</v>
      </c>
      <c r="V150" s="3" t="s">
        <v>12832</v>
      </c>
      <c r="W150">
        <v>187.5</v>
      </c>
      <c r="X150">
        <v>1</v>
      </c>
    </row>
    <row r="151" spans="1:24" x14ac:dyDescent="0.25">
      <c r="A151" t="s">
        <v>21</v>
      </c>
      <c r="B151" t="s">
        <v>22</v>
      </c>
      <c r="C151">
        <v>100</v>
      </c>
      <c r="D151">
        <v>4</v>
      </c>
      <c r="E151">
        <v>0</v>
      </c>
      <c r="F151" t="s">
        <v>605</v>
      </c>
      <c r="G151">
        <v>400</v>
      </c>
      <c r="H151">
        <v>0</v>
      </c>
      <c r="I151" t="s">
        <v>140</v>
      </c>
      <c r="J151" t="s">
        <v>606</v>
      </c>
      <c r="K151" t="s">
        <v>331</v>
      </c>
      <c r="L151" t="s">
        <v>27</v>
      </c>
      <c r="M151" t="s">
        <v>28</v>
      </c>
      <c r="N151" t="s">
        <v>607</v>
      </c>
      <c r="O151" t="s">
        <v>27</v>
      </c>
      <c r="P151" t="s">
        <v>30</v>
      </c>
      <c r="Q151" t="s">
        <v>31</v>
      </c>
      <c r="R151" t="s">
        <v>32</v>
      </c>
      <c r="S151" t="s">
        <v>28</v>
      </c>
      <c r="T151" t="s">
        <v>608</v>
      </c>
      <c r="U151" t="s">
        <v>607</v>
      </c>
      <c r="V151" s="3" t="s">
        <v>6659</v>
      </c>
      <c r="W151">
        <v>239</v>
      </c>
      <c r="X151">
        <v>1</v>
      </c>
    </row>
    <row r="152" spans="1:24" x14ac:dyDescent="0.25">
      <c r="A152" t="s">
        <v>33</v>
      </c>
      <c r="B152" t="s">
        <v>34</v>
      </c>
      <c r="C152">
        <v>200</v>
      </c>
      <c r="D152">
        <v>1</v>
      </c>
      <c r="E152">
        <v>0</v>
      </c>
      <c r="F152" t="s">
        <v>609</v>
      </c>
      <c r="G152">
        <v>200</v>
      </c>
      <c r="H152">
        <v>0</v>
      </c>
      <c r="I152" t="s">
        <v>24</v>
      </c>
      <c r="J152" t="s">
        <v>610</v>
      </c>
      <c r="K152" t="s">
        <v>611</v>
      </c>
      <c r="L152" t="s">
        <v>27</v>
      </c>
      <c r="M152" t="s">
        <v>28</v>
      </c>
      <c r="N152" t="s">
        <v>612</v>
      </c>
      <c r="O152" t="s">
        <v>27</v>
      </c>
      <c r="P152" t="s">
        <v>56</v>
      </c>
      <c r="Q152" t="s">
        <v>31</v>
      </c>
      <c r="R152" t="s">
        <v>57</v>
      </c>
      <c r="S152" t="s">
        <v>28</v>
      </c>
      <c r="T152" t="s">
        <v>613</v>
      </c>
      <c r="U152" t="s">
        <v>614</v>
      </c>
      <c r="V152" s="3" t="s">
        <v>457</v>
      </c>
      <c r="W152">
        <v>34885</v>
      </c>
      <c r="X152">
        <v>258</v>
      </c>
    </row>
    <row r="153" spans="1:24" x14ac:dyDescent="0.25">
      <c r="A153" t="s">
        <v>134</v>
      </c>
      <c r="B153" t="s">
        <v>64</v>
      </c>
      <c r="C153">
        <v>100</v>
      </c>
      <c r="D153">
        <v>10</v>
      </c>
      <c r="E153">
        <v>0</v>
      </c>
      <c r="F153" t="s">
        <v>615</v>
      </c>
      <c r="G153">
        <v>1000</v>
      </c>
      <c r="H153">
        <v>0</v>
      </c>
      <c r="I153" t="s">
        <v>140</v>
      </c>
      <c r="J153" t="s">
        <v>606</v>
      </c>
      <c r="K153" t="s">
        <v>331</v>
      </c>
      <c r="L153" t="s">
        <v>27</v>
      </c>
      <c r="M153" t="s">
        <v>28</v>
      </c>
      <c r="N153" t="s">
        <v>616</v>
      </c>
      <c r="O153" t="s">
        <v>27</v>
      </c>
      <c r="P153" t="s">
        <v>30</v>
      </c>
      <c r="Q153" t="s">
        <v>31</v>
      </c>
      <c r="R153" t="s">
        <v>32</v>
      </c>
      <c r="S153" t="s">
        <v>28</v>
      </c>
      <c r="T153" t="s">
        <v>617</v>
      </c>
      <c r="U153" t="s">
        <v>616</v>
      </c>
      <c r="V153" s="2" t="s">
        <v>134</v>
      </c>
      <c r="W153">
        <v>37963</v>
      </c>
      <c r="X153">
        <v>581</v>
      </c>
    </row>
    <row r="154" spans="1:24" x14ac:dyDescent="0.25">
      <c r="A154" t="s">
        <v>21</v>
      </c>
      <c r="B154" t="s">
        <v>22</v>
      </c>
      <c r="C154">
        <v>100</v>
      </c>
      <c r="D154">
        <v>6</v>
      </c>
      <c r="E154">
        <v>0</v>
      </c>
      <c r="F154" t="s">
        <v>618</v>
      </c>
      <c r="G154">
        <v>600</v>
      </c>
      <c r="H154">
        <v>0</v>
      </c>
      <c r="I154" t="s">
        <v>140</v>
      </c>
      <c r="J154" t="s">
        <v>606</v>
      </c>
      <c r="K154" t="s">
        <v>331</v>
      </c>
      <c r="L154" t="s">
        <v>27</v>
      </c>
      <c r="M154" t="s">
        <v>28</v>
      </c>
      <c r="N154" t="s">
        <v>619</v>
      </c>
      <c r="O154" t="s">
        <v>27</v>
      </c>
      <c r="P154" t="s">
        <v>30</v>
      </c>
      <c r="Q154" t="s">
        <v>31</v>
      </c>
      <c r="R154" t="s">
        <v>32</v>
      </c>
      <c r="S154" t="s">
        <v>28</v>
      </c>
      <c r="T154" t="s">
        <v>620</v>
      </c>
      <c r="U154" t="s">
        <v>619</v>
      </c>
      <c r="V154" s="3" t="s">
        <v>64</v>
      </c>
      <c r="W154">
        <v>37963</v>
      </c>
      <c r="X154">
        <v>581</v>
      </c>
    </row>
    <row r="155" spans="1:24" x14ac:dyDescent="0.25">
      <c r="A155" t="s">
        <v>63</v>
      </c>
      <c r="B155" t="s">
        <v>64</v>
      </c>
      <c r="C155">
        <v>100</v>
      </c>
      <c r="D155">
        <v>1</v>
      </c>
      <c r="E155">
        <v>0</v>
      </c>
      <c r="F155" t="s">
        <v>621</v>
      </c>
      <c r="G155">
        <v>129</v>
      </c>
      <c r="H155">
        <v>29</v>
      </c>
      <c r="I155" t="s">
        <v>140</v>
      </c>
      <c r="J155" t="s">
        <v>622</v>
      </c>
      <c r="K155" t="s">
        <v>124</v>
      </c>
      <c r="L155" t="s">
        <v>27</v>
      </c>
      <c r="M155" t="s">
        <v>28</v>
      </c>
      <c r="N155" t="s">
        <v>623</v>
      </c>
      <c r="O155" t="s">
        <v>27</v>
      </c>
      <c r="P155" t="s">
        <v>30</v>
      </c>
      <c r="Q155" t="s">
        <v>31</v>
      </c>
      <c r="R155" t="s">
        <v>32</v>
      </c>
      <c r="S155" t="s">
        <v>28</v>
      </c>
      <c r="T155" t="s">
        <v>624</v>
      </c>
      <c r="U155" t="s">
        <v>623</v>
      </c>
      <c r="V155" s="2" t="s">
        <v>63</v>
      </c>
      <c r="W155">
        <v>44693.86</v>
      </c>
      <c r="X155">
        <v>614</v>
      </c>
    </row>
    <row r="156" spans="1:24" x14ac:dyDescent="0.25">
      <c r="A156" t="s">
        <v>625</v>
      </c>
      <c r="B156" t="s">
        <v>626</v>
      </c>
      <c r="C156">
        <v>1691.2</v>
      </c>
      <c r="D156">
        <v>1</v>
      </c>
      <c r="E156">
        <v>0</v>
      </c>
      <c r="F156" t="s">
        <v>627</v>
      </c>
      <c r="G156">
        <v>1795.2</v>
      </c>
      <c r="H156">
        <v>104</v>
      </c>
      <c r="I156" t="s">
        <v>628</v>
      </c>
      <c r="J156" t="s">
        <v>629</v>
      </c>
      <c r="K156" t="s">
        <v>630</v>
      </c>
      <c r="L156" t="s">
        <v>631</v>
      </c>
      <c r="M156" t="s">
        <v>632</v>
      </c>
      <c r="N156" t="s">
        <v>633</v>
      </c>
      <c r="O156" t="s">
        <v>27</v>
      </c>
      <c r="P156" t="s">
        <v>48</v>
      </c>
      <c r="Q156" t="s">
        <v>49</v>
      </c>
      <c r="R156" t="s">
        <v>50</v>
      </c>
      <c r="S156" t="s">
        <v>28</v>
      </c>
      <c r="T156" t="s">
        <v>634</v>
      </c>
      <c r="U156" t="s">
        <v>633</v>
      </c>
      <c r="V156" s="3" t="s">
        <v>64</v>
      </c>
      <c r="W156">
        <v>44693.86</v>
      </c>
      <c r="X156">
        <v>614</v>
      </c>
    </row>
    <row r="157" spans="1:24" x14ac:dyDescent="0.25">
      <c r="A157" t="s">
        <v>635</v>
      </c>
      <c r="B157" t="s">
        <v>636</v>
      </c>
      <c r="C157">
        <v>800</v>
      </c>
      <c r="D157">
        <v>2</v>
      </c>
      <c r="E157">
        <v>0</v>
      </c>
      <c r="F157" t="s">
        <v>637</v>
      </c>
      <c r="G157">
        <v>1734</v>
      </c>
      <c r="H157">
        <v>134</v>
      </c>
      <c r="I157" t="s">
        <v>24</v>
      </c>
      <c r="J157" t="s">
        <v>638</v>
      </c>
      <c r="K157" t="s">
        <v>639</v>
      </c>
      <c r="L157" t="s">
        <v>640</v>
      </c>
      <c r="M157" t="s">
        <v>641</v>
      </c>
      <c r="N157" t="s">
        <v>642</v>
      </c>
      <c r="O157" t="s">
        <v>27</v>
      </c>
      <c r="P157" t="s">
        <v>193</v>
      </c>
      <c r="Q157" t="s">
        <v>85</v>
      </c>
      <c r="R157" t="s">
        <v>86</v>
      </c>
      <c r="S157" t="s">
        <v>28</v>
      </c>
      <c r="T157" t="s">
        <v>643</v>
      </c>
      <c r="U157" t="s">
        <v>642</v>
      </c>
      <c r="V157" s="2" t="s">
        <v>4334</v>
      </c>
      <c r="W157">
        <v>180</v>
      </c>
      <c r="X157">
        <v>1</v>
      </c>
    </row>
    <row r="158" spans="1:24" x14ac:dyDescent="0.25">
      <c r="A158" t="s">
        <v>635</v>
      </c>
      <c r="B158" t="s">
        <v>636</v>
      </c>
      <c r="C158">
        <v>800</v>
      </c>
      <c r="D158">
        <v>2</v>
      </c>
      <c r="E158">
        <v>0</v>
      </c>
      <c r="F158" t="s">
        <v>644</v>
      </c>
      <c r="G158">
        <v>1734</v>
      </c>
      <c r="H158">
        <v>134</v>
      </c>
      <c r="I158" t="s">
        <v>24</v>
      </c>
      <c r="J158" t="s">
        <v>638</v>
      </c>
      <c r="K158" t="s">
        <v>639</v>
      </c>
      <c r="L158" t="s">
        <v>640</v>
      </c>
      <c r="M158" t="s">
        <v>641</v>
      </c>
      <c r="N158" t="s">
        <v>645</v>
      </c>
      <c r="O158" t="s">
        <v>27</v>
      </c>
      <c r="P158" t="s">
        <v>193</v>
      </c>
      <c r="Q158" t="s">
        <v>85</v>
      </c>
      <c r="R158" t="s">
        <v>86</v>
      </c>
      <c r="S158" t="s">
        <v>28</v>
      </c>
      <c r="T158" t="s">
        <v>646</v>
      </c>
      <c r="U158" t="s">
        <v>645</v>
      </c>
      <c r="V158" s="3" t="s">
        <v>4335</v>
      </c>
      <c r="W158">
        <v>180</v>
      </c>
      <c r="X158">
        <v>1</v>
      </c>
    </row>
    <row r="159" spans="1:24" x14ac:dyDescent="0.25">
      <c r="A159" t="s">
        <v>143</v>
      </c>
      <c r="B159" t="s">
        <v>144</v>
      </c>
      <c r="C159">
        <v>200</v>
      </c>
      <c r="D159">
        <v>1</v>
      </c>
      <c r="E159">
        <v>0</v>
      </c>
      <c r="F159" t="s">
        <v>647</v>
      </c>
      <c r="G159">
        <v>200</v>
      </c>
      <c r="H159">
        <v>0</v>
      </c>
      <c r="I159" t="s">
        <v>24</v>
      </c>
      <c r="J159" t="s">
        <v>648</v>
      </c>
      <c r="K159" t="s">
        <v>118</v>
      </c>
      <c r="L159" t="s">
        <v>27</v>
      </c>
      <c r="M159" t="s">
        <v>28</v>
      </c>
      <c r="N159" t="s">
        <v>649</v>
      </c>
      <c r="O159" t="s">
        <v>27</v>
      </c>
      <c r="P159" t="s">
        <v>39</v>
      </c>
      <c r="Q159" t="s">
        <v>31</v>
      </c>
      <c r="R159" t="s">
        <v>32</v>
      </c>
      <c r="S159" t="s">
        <v>28</v>
      </c>
      <c r="T159" t="s">
        <v>650</v>
      </c>
      <c r="U159" t="s">
        <v>645</v>
      </c>
      <c r="V159" s="2" t="s">
        <v>6030</v>
      </c>
      <c r="W159">
        <v>400</v>
      </c>
      <c r="X159">
        <v>2</v>
      </c>
    </row>
    <row r="160" spans="1:24" x14ac:dyDescent="0.25">
      <c r="A160" t="s">
        <v>134</v>
      </c>
      <c r="B160" t="s">
        <v>64</v>
      </c>
      <c r="C160">
        <v>100</v>
      </c>
      <c r="D160">
        <v>1</v>
      </c>
      <c r="E160">
        <v>0</v>
      </c>
      <c r="F160" t="s">
        <v>651</v>
      </c>
      <c r="G160">
        <v>100</v>
      </c>
      <c r="H160">
        <v>0</v>
      </c>
      <c r="I160" t="s">
        <v>24</v>
      </c>
      <c r="J160" t="s">
        <v>652</v>
      </c>
      <c r="K160" t="s">
        <v>653</v>
      </c>
      <c r="L160" t="s">
        <v>27</v>
      </c>
      <c r="M160" t="s">
        <v>28</v>
      </c>
      <c r="N160" t="s">
        <v>654</v>
      </c>
      <c r="O160" t="s">
        <v>27</v>
      </c>
      <c r="P160" t="s">
        <v>39</v>
      </c>
      <c r="Q160" t="s">
        <v>31</v>
      </c>
      <c r="R160" t="s">
        <v>32</v>
      </c>
      <c r="S160" t="s">
        <v>28</v>
      </c>
      <c r="T160" t="s">
        <v>655</v>
      </c>
      <c r="U160" t="s">
        <v>654</v>
      </c>
      <c r="V160" s="3" t="s">
        <v>6031</v>
      </c>
      <c r="W160">
        <v>400</v>
      </c>
      <c r="X160">
        <v>2</v>
      </c>
    </row>
    <row r="161" spans="1:24" x14ac:dyDescent="0.25">
      <c r="A161" t="s">
        <v>33</v>
      </c>
      <c r="B161" t="s">
        <v>34</v>
      </c>
      <c r="C161">
        <v>200</v>
      </c>
      <c r="D161">
        <v>1</v>
      </c>
      <c r="E161">
        <v>0</v>
      </c>
      <c r="F161" t="s">
        <v>656</v>
      </c>
      <c r="G161">
        <v>200</v>
      </c>
      <c r="H161">
        <v>0</v>
      </c>
      <c r="I161" t="s">
        <v>445</v>
      </c>
      <c r="J161" t="s">
        <v>657</v>
      </c>
      <c r="K161" t="s">
        <v>26</v>
      </c>
      <c r="L161" t="s">
        <v>27</v>
      </c>
      <c r="M161" t="s">
        <v>28</v>
      </c>
      <c r="N161" t="s">
        <v>658</v>
      </c>
      <c r="O161" t="s">
        <v>27</v>
      </c>
      <c r="P161" t="s">
        <v>39</v>
      </c>
      <c r="Q161" t="s">
        <v>31</v>
      </c>
      <c r="R161" t="s">
        <v>32</v>
      </c>
      <c r="S161" t="s">
        <v>28</v>
      </c>
      <c r="T161" t="s">
        <v>659</v>
      </c>
      <c r="U161" t="s">
        <v>658</v>
      </c>
      <c r="V161" s="2" t="s">
        <v>1513</v>
      </c>
      <c r="W161">
        <v>13710</v>
      </c>
      <c r="X161">
        <v>50</v>
      </c>
    </row>
    <row r="162" spans="1:24" x14ac:dyDescent="0.25">
      <c r="A162" t="s">
        <v>21</v>
      </c>
      <c r="B162" t="s">
        <v>22</v>
      </c>
      <c r="C162">
        <v>100</v>
      </c>
      <c r="D162">
        <v>1</v>
      </c>
      <c r="E162">
        <v>0</v>
      </c>
      <c r="F162" t="s">
        <v>660</v>
      </c>
      <c r="G162">
        <v>200</v>
      </c>
      <c r="H162">
        <v>0</v>
      </c>
      <c r="I162" t="s">
        <v>140</v>
      </c>
      <c r="J162" t="s">
        <v>661</v>
      </c>
      <c r="K162" t="s">
        <v>241</v>
      </c>
      <c r="L162" t="s">
        <v>27</v>
      </c>
      <c r="M162" t="s">
        <v>28</v>
      </c>
      <c r="N162" t="s">
        <v>658</v>
      </c>
      <c r="O162" t="s">
        <v>27</v>
      </c>
      <c r="P162" t="s">
        <v>30</v>
      </c>
      <c r="Q162" t="s">
        <v>31</v>
      </c>
      <c r="R162" t="s">
        <v>32</v>
      </c>
      <c r="S162" t="s">
        <v>28</v>
      </c>
      <c r="T162" t="s">
        <v>662</v>
      </c>
      <c r="U162" t="s">
        <v>658</v>
      </c>
      <c r="V162" s="3" t="s">
        <v>1514</v>
      </c>
      <c r="W162">
        <v>13710</v>
      </c>
      <c r="X162">
        <v>50</v>
      </c>
    </row>
    <row r="163" spans="1:24" x14ac:dyDescent="0.25">
      <c r="A163" t="s">
        <v>63</v>
      </c>
      <c r="B163" t="s">
        <v>64</v>
      </c>
      <c r="C163">
        <v>100</v>
      </c>
      <c r="D163">
        <v>1</v>
      </c>
      <c r="E163">
        <v>0</v>
      </c>
      <c r="F163" t="s">
        <v>660</v>
      </c>
      <c r="G163">
        <v>200</v>
      </c>
      <c r="H163">
        <v>0</v>
      </c>
      <c r="I163" t="s">
        <v>140</v>
      </c>
      <c r="J163" t="s">
        <v>661</v>
      </c>
      <c r="K163" t="s">
        <v>241</v>
      </c>
      <c r="L163" t="s">
        <v>27</v>
      </c>
      <c r="M163" t="s">
        <v>28</v>
      </c>
      <c r="N163" t="s">
        <v>658</v>
      </c>
      <c r="O163" t="s">
        <v>27</v>
      </c>
      <c r="P163" t="s">
        <v>30</v>
      </c>
      <c r="Q163" t="s">
        <v>31</v>
      </c>
      <c r="R163" t="s">
        <v>32</v>
      </c>
      <c r="S163" t="s">
        <v>28</v>
      </c>
      <c r="T163" t="s">
        <v>662</v>
      </c>
      <c r="U163" t="s">
        <v>658</v>
      </c>
      <c r="V163" s="2" t="s">
        <v>9508</v>
      </c>
      <c r="W163">
        <v>180</v>
      </c>
      <c r="X163">
        <v>1</v>
      </c>
    </row>
    <row r="164" spans="1:24" x14ac:dyDescent="0.25">
      <c r="A164" t="s">
        <v>275</v>
      </c>
      <c r="B164" t="s">
        <v>276</v>
      </c>
      <c r="C164">
        <v>139</v>
      </c>
      <c r="D164">
        <v>1</v>
      </c>
      <c r="E164">
        <v>0</v>
      </c>
      <c r="F164" t="s">
        <v>663</v>
      </c>
      <c r="G164">
        <v>323</v>
      </c>
      <c r="H164">
        <v>45</v>
      </c>
      <c r="I164" t="s">
        <v>24</v>
      </c>
      <c r="J164" t="s">
        <v>664</v>
      </c>
      <c r="K164" t="s">
        <v>665</v>
      </c>
      <c r="L164" t="s">
        <v>666</v>
      </c>
      <c r="M164" t="s">
        <v>667</v>
      </c>
      <c r="N164" t="s">
        <v>668</v>
      </c>
      <c r="O164" t="s">
        <v>27</v>
      </c>
      <c r="P164" t="s">
        <v>48</v>
      </c>
      <c r="Q164" t="s">
        <v>49</v>
      </c>
      <c r="R164" t="s">
        <v>50</v>
      </c>
      <c r="S164" t="s">
        <v>28</v>
      </c>
      <c r="T164" t="s">
        <v>669</v>
      </c>
      <c r="U164" t="s">
        <v>668</v>
      </c>
      <c r="V164" s="3" t="s">
        <v>9509</v>
      </c>
      <c r="W164">
        <v>180</v>
      </c>
      <c r="X164">
        <v>1</v>
      </c>
    </row>
    <row r="165" spans="1:24" x14ac:dyDescent="0.25">
      <c r="A165" t="s">
        <v>275</v>
      </c>
      <c r="B165" t="s">
        <v>276</v>
      </c>
      <c r="C165">
        <v>139</v>
      </c>
      <c r="D165">
        <v>1</v>
      </c>
      <c r="E165">
        <v>0</v>
      </c>
      <c r="F165" t="s">
        <v>663</v>
      </c>
      <c r="G165">
        <v>323</v>
      </c>
      <c r="H165">
        <v>45</v>
      </c>
      <c r="I165" t="s">
        <v>24</v>
      </c>
      <c r="J165" t="s">
        <v>664</v>
      </c>
      <c r="K165" t="s">
        <v>665</v>
      </c>
      <c r="L165" t="s">
        <v>666</v>
      </c>
      <c r="M165" t="s">
        <v>667</v>
      </c>
      <c r="N165" t="s">
        <v>668</v>
      </c>
      <c r="O165" t="s">
        <v>27</v>
      </c>
      <c r="P165" t="s">
        <v>48</v>
      </c>
      <c r="Q165" t="s">
        <v>49</v>
      </c>
      <c r="R165" t="s">
        <v>50</v>
      </c>
      <c r="S165" t="s">
        <v>28</v>
      </c>
      <c r="T165" t="s">
        <v>669</v>
      </c>
      <c r="U165" t="s">
        <v>668</v>
      </c>
      <c r="V165" s="2" t="s">
        <v>1353</v>
      </c>
      <c r="W165">
        <v>632.99</v>
      </c>
      <c r="X165">
        <v>5</v>
      </c>
    </row>
    <row r="166" spans="1:24" x14ac:dyDescent="0.25">
      <c r="A166" t="s">
        <v>70</v>
      </c>
      <c r="B166" t="s">
        <v>70</v>
      </c>
      <c r="C166">
        <v>330</v>
      </c>
      <c r="D166">
        <v>1</v>
      </c>
      <c r="E166">
        <v>0</v>
      </c>
      <c r="F166" t="s">
        <v>670</v>
      </c>
      <c r="G166">
        <v>330</v>
      </c>
      <c r="H166">
        <v>0</v>
      </c>
      <c r="I166" t="s">
        <v>24</v>
      </c>
      <c r="J166" t="s">
        <v>671</v>
      </c>
      <c r="K166" t="s">
        <v>672</v>
      </c>
      <c r="L166" t="s">
        <v>27</v>
      </c>
      <c r="M166" t="s">
        <v>28</v>
      </c>
      <c r="N166" t="s">
        <v>673</v>
      </c>
      <c r="O166" t="s">
        <v>27</v>
      </c>
      <c r="P166" t="s">
        <v>56</v>
      </c>
      <c r="Q166" t="s">
        <v>31</v>
      </c>
      <c r="R166" t="s">
        <v>57</v>
      </c>
      <c r="S166" t="s">
        <v>28</v>
      </c>
      <c r="T166" t="s">
        <v>674</v>
      </c>
      <c r="U166" t="s">
        <v>673</v>
      </c>
      <c r="V166" s="3" t="s">
        <v>1354</v>
      </c>
      <c r="W166">
        <v>632.99</v>
      </c>
      <c r="X166">
        <v>5</v>
      </c>
    </row>
    <row r="167" spans="1:24" x14ac:dyDescent="0.25">
      <c r="A167" t="s">
        <v>143</v>
      </c>
      <c r="B167" t="s">
        <v>144</v>
      </c>
      <c r="C167">
        <v>200</v>
      </c>
      <c r="D167">
        <v>1</v>
      </c>
      <c r="E167">
        <v>0</v>
      </c>
      <c r="F167" t="s">
        <v>675</v>
      </c>
      <c r="G167">
        <v>200</v>
      </c>
      <c r="H167">
        <v>0</v>
      </c>
      <c r="I167" t="s">
        <v>445</v>
      </c>
      <c r="J167" t="s">
        <v>676</v>
      </c>
      <c r="K167" t="s">
        <v>677</v>
      </c>
      <c r="L167" t="s">
        <v>27</v>
      </c>
      <c r="M167" t="s">
        <v>28</v>
      </c>
      <c r="N167" t="s">
        <v>678</v>
      </c>
      <c r="O167" t="s">
        <v>27</v>
      </c>
      <c r="P167" t="s">
        <v>39</v>
      </c>
      <c r="Q167" t="s">
        <v>31</v>
      </c>
      <c r="R167" t="s">
        <v>32</v>
      </c>
      <c r="S167" t="s">
        <v>28</v>
      </c>
      <c r="T167" t="s">
        <v>679</v>
      </c>
      <c r="U167" t="s">
        <v>678</v>
      </c>
      <c r="V167" s="2" t="s">
        <v>261</v>
      </c>
      <c r="W167">
        <v>3550.75</v>
      </c>
      <c r="X167">
        <v>16</v>
      </c>
    </row>
    <row r="168" spans="1:24" x14ac:dyDescent="0.25">
      <c r="A168" t="s">
        <v>33</v>
      </c>
      <c r="B168" t="s">
        <v>34</v>
      </c>
      <c r="C168">
        <v>200</v>
      </c>
      <c r="D168">
        <v>1</v>
      </c>
      <c r="E168">
        <v>0</v>
      </c>
      <c r="F168" t="s">
        <v>680</v>
      </c>
      <c r="G168">
        <v>200</v>
      </c>
      <c r="H168">
        <v>0</v>
      </c>
      <c r="I168" t="s">
        <v>445</v>
      </c>
      <c r="J168" t="s">
        <v>681</v>
      </c>
      <c r="K168" t="s">
        <v>451</v>
      </c>
      <c r="L168" t="s">
        <v>27</v>
      </c>
      <c r="M168" t="s">
        <v>28</v>
      </c>
      <c r="N168" t="s">
        <v>678</v>
      </c>
      <c r="O168" t="s">
        <v>27</v>
      </c>
      <c r="P168" t="s">
        <v>39</v>
      </c>
      <c r="Q168" t="s">
        <v>31</v>
      </c>
      <c r="R168" t="s">
        <v>32</v>
      </c>
      <c r="S168" t="s">
        <v>28</v>
      </c>
      <c r="T168" t="s">
        <v>682</v>
      </c>
      <c r="U168" t="s">
        <v>678</v>
      </c>
      <c r="V168" s="3" t="s">
        <v>1592</v>
      </c>
      <c r="W168">
        <v>2550.75</v>
      </c>
      <c r="X168">
        <v>12</v>
      </c>
    </row>
    <row r="169" spans="1:24" x14ac:dyDescent="0.25">
      <c r="A169" t="s">
        <v>475</v>
      </c>
      <c r="B169" t="s">
        <v>476</v>
      </c>
      <c r="C169">
        <v>199</v>
      </c>
      <c r="D169">
        <v>2</v>
      </c>
      <c r="E169">
        <v>0</v>
      </c>
      <c r="F169" t="s">
        <v>683</v>
      </c>
      <c r="G169">
        <v>462</v>
      </c>
      <c r="H169">
        <v>64</v>
      </c>
      <c r="I169" t="s">
        <v>24</v>
      </c>
      <c r="J169" t="s">
        <v>638</v>
      </c>
      <c r="K169" t="s">
        <v>639</v>
      </c>
      <c r="L169" t="s">
        <v>640</v>
      </c>
      <c r="M169" t="s">
        <v>641</v>
      </c>
      <c r="N169" t="s">
        <v>684</v>
      </c>
      <c r="O169" t="s">
        <v>27</v>
      </c>
      <c r="P169" t="s">
        <v>193</v>
      </c>
      <c r="Q169" t="s">
        <v>85</v>
      </c>
      <c r="R169" t="s">
        <v>86</v>
      </c>
      <c r="S169" t="s">
        <v>28</v>
      </c>
      <c r="T169" t="s">
        <v>685</v>
      </c>
      <c r="U169" t="s">
        <v>684</v>
      </c>
      <c r="V169" s="3" t="s">
        <v>262</v>
      </c>
      <c r="W169">
        <v>1000</v>
      </c>
      <c r="X169">
        <v>4</v>
      </c>
    </row>
    <row r="170" spans="1:24" x14ac:dyDescent="0.25">
      <c r="A170" t="s">
        <v>21</v>
      </c>
      <c r="B170" t="s">
        <v>22</v>
      </c>
      <c r="C170">
        <v>100</v>
      </c>
      <c r="D170">
        <v>1</v>
      </c>
      <c r="E170">
        <v>0</v>
      </c>
      <c r="F170" t="s">
        <v>686</v>
      </c>
      <c r="G170">
        <v>106</v>
      </c>
      <c r="H170">
        <v>6</v>
      </c>
      <c r="I170" t="s">
        <v>24</v>
      </c>
      <c r="J170" t="s">
        <v>687</v>
      </c>
      <c r="K170" t="s">
        <v>241</v>
      </c>
      <c r="L170" t="s">
        <v>27</v>
      </c>
      <c r="M170" t="s">
        <v>28</v>
      </c>
      <c r="N170" t="s">
        <v>688</v>
      </c>
      <c r="O170" t="s">
        <v>27</v>
      </c>
      <c r="P170" t="s">
        <v>39</v>
      </c>
      <c r="Q170" t="s">
        <v>31</v>
      </c>
      <c r="R170" t="s">
        <v>32</v>
      </c>
      <c r="S170" t="s">
        <v>28</v>
      </c>
      <c r="T170" t="s">
        <v>689</v>
      </c>
      <c r="U170" t="s">
        <v>690</v>
      </c>
      <c r="V170" s="2" t="s">
        <v>266</v>
      </c>
      <c r="W170">
        <v>4000</v>
      </c>
      <c r="X170">
        <v>5</v>
      </c>
    </row>
    <row r="171" spans="1:24" x14ac:dyDescent="0.25">
      <c r="A171" t="s">
        <v>134</v>
      </c>
      <c r="B171" t="s">
        <v>64</v>
      </c>
      <c r="C171">
        <v>100</v>
      </c>
      <c r="D171">
        <v>1</v>
      </c>
      <c r="E171">
        <v>0</v>
      </c>
      <c r="F171" t="s">
        <v>691</v>
      </c>
      <c r="G171">
        <v>106</v>
      </c>
      <c r="H171">
        <v>6</v>
      </c>
      <c r="I171" t="s">
        <v>24</v>
      </c>
      <c r="J171" t="s">
        <v>535</v>
      </c>
      <c r="K171" t="s">
        <v>346</v>
      </c>
      <c r="L171" t="s">
        <v>27</v>
      </c>
      <c r="M171" t="s">
        <v>28</v>
      </c>
      <c r="N171" t="s">
        <v>692</v>
      </c>
      <c r="O171" t="s">
        <v>27</v>
      </c>
      <c r="P171" t="s">
        <v>39</v>
      </c>
      <c r="Q171" t="s">
        <v>31</v>
      </c>
      <c r="R171" t="s">
        <v>32</v>
      </c>
      <c r="S171" t="s">
        <v>28</v>
      </c>
      <c r="T171" t="s">
        <v>693</v>
      </c>
      <c r="U171" t="s">
        <v>688</v>
      </c>
      <c r="V171" s="3" t="s">
        <v>267</v>
      </c>
      <c r="W171">
        <v>4000</v>
      </c>
      <c r="X171">
        <v>5</v>
      </c>
    </row>
    <row r="172" spans="1:24" x14ac:dyDescent="0.25">
      <c r="A172" t="s">
        <v>58</v>
      </c>
      <c r="B172" t="s">
        <v>58</v>
      </c>
      <c r="C172">
        <v>100</v>
      </c>
      <c r="D172">
        <v>1</v>
      </c>
      <c r="E172">
        <v>0</v>
      </c>
      <c r="F172" t="s">
        <v>694</v>
      </c>
      <c r="G172">
        <v>200</v>
      </c>
      <c r="H172">
        <v>0</v>
      </c>
      <c r="I172" t="s">
        <v>140</v>
      </c>
      <c r="J172" t="s">
        <v>695</v>
      </c>
      <c r="K172" t="s">
        <v>350</v>
      </c>
      <c r="L172" t="s">
        <v>27</v>
      </c>
      <c r="M172" t="s">
        <v>28</v>
      </c>
      <c r="N172" t="s">
        <v>696</v>
      </c>
      <c r="O172" t="s">
        <v>27</v>
      </c>
      <c r="P172" t="s">
        <v>30</v>
      </c>
      <c r="Q172" t="s">
        <v>31</v>
      </c>
      <c r="R172" t="s">
        <v>32</v>
      </c>
      <c r="S172" t="s">
        <v>28</v>
      </c>
      <c r="T172" t="s">
        <v>697</v>
      </c>
      <c r="U172" t="s">
        <v>698</v>
      </c>
      <c r="V172" s="2" t="s">
        <v>8261</v>
      </c>
      <c r="W172">
        <v>250</v>
      </c>
      <c r="X172">
        <v>1</v>
      </c>
    </row>
    <row r="173" spans="1:24" x14ac:dyDescent="0.25">
      <c r="A173" t="s">
        <v>21</v>
      </c>
      <c r="B173" t="s">
        <v>22</v>
      </c>
      <c r="C173">
        <v>100</v>
      </c>
      <c r="D173">
        <v>1</v>
      </c>
      <c r="E173">
        <v>0</v>
      </c>
      <c r="F173" t="s">
        <v>694</v>
      </c>
      <c r="G173">
        <v>200</v>
      </c>
      <c r="H173">
        <v>0</v>
      </c>
      <c r="I173" t="s">
        <v>140</v>
      </c>
      <c r="J173" t="s">
        <v>695</v>
      </c>
      <c r="K173" t="s">
        <v>350</v>
      </c>
      <c r="L173" t="s">
        <v>27</v>
      </c>
      <c r="M173" t="s">
        <v>28</v>
      </c>
      <c r="N173" t="s">
        <v>696</v>
      </c>
      <c r="O173" t="s">
        <v>27</v>
      </c>
      <c r="P173" t="s">
        <v>30</v>
      </c>
      <c r="Q173" t="s">
        <v>31</v>
      </c>
      <c r="R173" t="s">
        <v>32</v>
      </c>
      <c r="S173" t="s">
        <v>28</v>
      </c>
      <c r="T173" t="s">
        <v>697</v>
      </c>
      <c r="U173" t="s">
        <v>698</v>
      </c>
      <c r="V173" s="3" t="s">
        <v>168</v>
      </c>
      <c r="W173">
        <v>250</v>
      </c>
      <c r="X173">
        <v>1</v>
      </c>
    </row>
    <row r="174" spans="1:24" x14ac:dyDescent="0.25">
      <c r="A174" t="s">
        <v>21</v>
      </c>
      <c r="B174" t="s">
        <v>22</v>
      </c>
      <c r="C174">
        <v>100</v>
      </c>
      <c r="D174">
        <v>1</v>
      </c>
      <c r="E174">
        <v>0</v>
      </c>
      <c r="F174" t="s">
        <v>699</v>
      </c>
      <c r="G174">
        <v>106</v>
      </c>
      <c r="H174">
        <v>6</v>
      </c>
      <c r="I174" t="s">
        <v>24</v>
      </c>
      <c r="J174" t="s">
        <v>700</v>
      </c>
      <c r="K174" t="s">
        <v>701</v>
      </c>
      <c r="L174" t="s">
        <v>27</v>
      </c>
      <c r="M174" t="s">
        <v>28</v>
      </c>
      <c r="N174" t="s">
        <v>702</v>
      </c>
      <c r="O174" t="s">
        <v>27</v>
      </c>
      <c r="P174" t="s">
        <v>39</v>
      </c>
      <c r="Q174" t="s">
        <v>31</v>
      </c>
      <c r="R174" t="s">
        <v>32</v>
      </c>
      <c r="S174" t="s">
        <v>28</v>
      </c>
      <c r="T174" t="s">
        <v>703</v>
      </c>
      <c r="U174" t="s">
        <v>702</v>
      </c>
      <c r="V174" s="2" t="s">
        <v>9709</v>
      </c>
      <c r="W174">
        <v>500</v>
      </c>
      <c r="X174">
        <v>2</v>
      </c>
    </row>
    <row r="175" spans="1:24" x14ac:dyDescent="0.25">
      <c r="A175" t="s">
        <v>63</v>
      </c>
      <c r="B175" t="s">
        <v>64</v>
      </c>
      <c r="C175">
        <v>100</v>
      </c>
      <c r="D175">
        <v>5</v>
      </c>
      <c r="E175">
        <v>0</v>
      </c>
      <c r="F175" t="s">
        <v>704</v>
      </c>
      <c r="G175">
        <v>500</v>
      </c>
      <c r="H175">
        <v>0</v>
      </c>
      <c r="I175" t="s">
        <v>445</v>
      </c>
      <c r="J175" t="s">
        <v>705</v>
      </c>
      <c r="K175" t="s">
        <v>54</v>
      </c>
      <c r="L175" t="s">
        <v>27</v>
      </c>
      <c r="M175" t="s">
        <v>28</v>
      </c>
      <c r="N175" t="s">
        <v>706</v>
      </c>
      <c r="O175" t="s">
        <v>27</v>
      </c>
      <c r="P175" t="s">
        <v>56</v>
      </c>
      <c r="Q175" t="s">
        <v>31</v>
      </c>
      <c r="R175" t="s">
        <v>57</v>
      </c>
      <c r="S175" t="s">
        <v>28</v>
      </c>
      <c r="T175" t="s">
        <v>707</v>
      </c>
      <c r="U175" t="s">
        <v>708</v>
      </c>
      <c r="V175" s="3" t="s">
        <v>168</v>
      </c>
      <c r="W175">
        <v>500</v>
      </c>
      <c r="X175">
        <v>2</v>
      </c>
    </row>
    <row r="176" spans="1:24" x14ac:dyDescent="0.25">
      <c r="A176" t="s">
        <v>21</v>
      </c>
      <c r="B176" t="s">
        <v>22</v>
      </c>
      <c r="C176">
        <v>100</v>
      </c>
      <c r="D176">
        <v>1</v>
      </c>
      <c r="E176">
        <v>0</v>
      </c>
      <c r="F176" t="s">
        <v>709</v>
      </c>
      <c r="G176">
        <v>200</v>
      </c>
      <c r="H176">
        <v>0</v>
      </c>
      <c r="I176" t="s">
        <v>140</v>
      </c>
      <c r="J176" t="s">
        <v>710</v>
      </c>
      <c r="K176" t="s">
        <v>711</v>
      </c>
      <c r="L176" t="s">
        <v>27</v>
      </c>
      <c r="M176" t="s">
        <v>28</v>
      </c>
      <c r="N176" t="s">
        <v>712</v>
      </c>
      <c r="O176" t="s">
        <v>27</v>
      </c>
      <c r="P176" t="s">
        <v>30</v>
      </c>
      <c r="Q176" t="s">
        <v>31</v>
      </c>
      <c r="R176" t="s">
        <v>32</v>
      </c>
      <c r="S176" t="s">
        <v>28</v>
      </c>
      <c r="T176" t="s">
        <v>713</v>
      </c>
      <c r="U176" t="s">
        <v>712</v>
      </c>
      <c r="V176" s="2" t="s">
        <v>16245</v>
      </c>
      <c r="W176">
        <v>704861.37999999989</v>
      </c>
      <c r="X176">
        <v>5366</v>
      </c>
    </row>
    <row r="177" spans="1:21" x14ac:dyDescent="0.25">
      <c r="A177" t="s">
        <v>58</v>
      </c>
      <c r="B177" t="s">
        <v>58</v>
      </c>
      <c r="C177">
        <v>100</v>
      </c>
      <c r="D177">
        <v>1</v>
      </c>
      <c r="E177">
        <v>0</v>
      </c>
      <c r="F177" t="s">
        <v>709</v>
      </c>
      <c r="G177">
        <v>200</v>
      </c>
      <c r="H177">
        <v>0</v>
      </c>
      <c r="I177" t="s">
        <v>140</v>
      </c>
      <c r="J177" t="s">
        <v>710</v>
      </c>
      <c r="K177" t="s">
        <v>711</v>
      </c>
      <c r="L177" t="s">
        <v>27</v>
      </c>
      <c r="M177" t="s">
        <v>28</v>
      </c>
      <c r="N177" t="s">
        <v>712</v>
      </c>
      <c r="O177" t="s">
        <v>27</v>
      </c>
      <c r="P177" t="s">
        <v>30</v>
      </c>
      <c r="Q177" t="s">
        <v>31</v>
      </c>
      <c r="R177" t="s">
        <v>32</v>
      </c>
      <c r="S177" t="s">
        <v>28</v>
      </c>
      <c r="T177" t="s">
        <v>713</v>
      </c>
      <c r="U177" t="s">
        <v>712</v>
      </c>
    </row>
    <row r="178" spans="1:21" x14ac:dyDescent="0.25">
      <c r="A178" t="s">
        <v>635</v>
      </c>
      <c r="B178" t="s">
        <v>714</v>
      </c>
      <c r="C178">
        <v>714.3</v>
      </c>
      <c r="D178">
        <v>1</v>
      </c>
      <c r="E178">
        <v>0</v>
      </c>
      <c r="F178" t="s">
        <v>715</v>
      </c>
      <c r="G178">
        <v>778.3</v>
      </c>
      <c r="H178">
        <v>64</v>
      </c>
      <c r="I178" t="s">
        <v>628</v>
      </c>
      <c r="J178" t="s">
        <v>629</v>
      </c>
      <c r="K178" t="s">
        <v>630</v>
      </c>
      <c r="L178" t="s">
        <v>631</v>
      </c>
      <c r="M178" t="s">
        <v>632</v>
      </c>
      <c r="N178" t="s">
        <v>716</v>
      </c>
      <c r="O178" t="s">
        <v>27</v>
      </c>
      <c r="P178" t="s">
        <v>48</v>
      </c>
      <c r="Q178" t="s">
        <v>49</v>
      </c>
      <c r="R178" t="s">
        <v>50</v>
      </c>
      <c r="S178" t="s">
        <v>28</v>
      </c>
      <c r="T178" t="s">
        <v>717</v>
      </c>
      <c r="U178" t="s">
        <v>716</v>
      </c>
    </row>
    <row r="179" spans="1:21" x14ac:dyDescent="0.25">
      <c r="A179" t="s">
        <v>456</v>
      </c>
      <c r="B179" t="s">
        <v>718</v>
      </c>
      <c r="C179">
        <v>220</v>
      </c>
      <c r="D179">
        <v>1</v>
      </c>
      <c r="E179">
        <v>0</v>
      </c>
      <c r="F179" t="s">
        <v>719</v>
      </c>
      <c r="G179">
        <v>660</v>
      </c>
      <c r="H179">
        <v>0</v>
      </c>
      <c r="I179" t="s">
        <v>720</v>
      </c>
      <c r="J179" t="s">
        <v>721</v>
      </c>
      <c r="K179" t="s">
        <v>722</v>
      </c>
      <c r="L179" t="s">
        <v>723</v>
      </c>
      <c r="M179" t="s">
        <v>724</v>
      </c>
      <c r="N179" t="s">
        <v>725</v>
      </c>
      <c r="O179" t="s">
        <v>27</v>
      </c>
      <c r="P179" t="s">
        <v>48</v>
      </c>
      <c r="Q179" t="s">
        <v>49</v>
      </c>
      <c r="R179" t="s">
        <v>50</v>
      </c>
      <c r="S179" t="s">
        <v>28</v>
      </c>
      <c r="T179" t="s">
        <v>726</v>
      </c>
      <c r="U179" t="s">
        <v>725</v>
      </c>
    </row>
    <row r="180" spans="1:21" x14ac:dyDescent="0.25">
      <c r="A180" t="s">
        <v>456</v>
      </c>
      <c r="B180" t="s">
        <v>718</v>
      </c>
      <c r="C180">
        <v>220</v>
      </c>
      <c r="D180">
        <v>1</v>
      </c>
      <c r="E180">
        <v>0</v>
      </c>
      <c r="F180" t="s">
        <v>719</v>
      </c>
      <c r="G180">
        <v>660</v>
      </c>
      <c r="H180">
        <v>0</v>
      </c>
      <c r="I180" t="s">
        <v>720</v>
      </c>
      <c r="J180" t="s">
        <v>721</v>
      </c>
      <c r="K180" t="s">
        <v>722</v>
      </c>
      <c r="L180" t="s">
        <v>723</v>
      </c>
      <c r="M180" t="s">
        <v>724</v>
      </c>
      <c r="N180" t="s">
        <v>725</v>
      </c>
      <c r="O180" t="s">
        <v>27</v>
      </c>
      <c r="P180" t="s">
        <v>48</v>
      </c>
      <c r="Q180" t="s">
        <v>49</v>
      </c>
      <c r="R180" t="s">
        <v>50</v>
      </c>
      <c r="S180" t="s">
        <v>28</v>
      </c>
      <c r="T180" t="s">
        <v>726</v>
      </c>
      <c r="U180" t="s">
        <v>725</v>
      </c>
    </row>
    <row r="181" spans="1:21" x14ac:dyDescent="0.25">
      <c r="A181" t="s">
        <v>456</v>
      </c>
      <c r="B181" t="s">
        <v>718</v>
      </c>
      <c r="C181">
        <v>220</v>
      </c>
      <c r="D181">
        <v>1</v>
      </c>
      <c r="E181">
        <v>0</v>
      </c>
      <c r="F181" t="s">
        <v>719</v>
      </c>
      <c r="G181">
        <v>660</v>
      </c>
      <c r="H181">
        <v>0</v>
      </c>
      <c r="I181" t="s">
        <v>720</v>
      </c>
      <c r="J181" t="s">
        <v>721</v>
      </c>
      <c r="K181" t="s">
        <v>722</v>
      </c>
      <c r="L181" t="s">
        <v>723</v>
      </c>
      <c r="M181" t="s">
        <v>724</v>
      </c>
      <c r="N181" t="s">
        <v>725</v>
      </c>
      <c r="O181" t="s">
        <v>27</v>
      </c>
      <c r="P181" t="s">
        <v>48</v>
      </c>
      <c r="Q181" t="s">
        <v>49</v>
      </c>
      <c r="R181" t="s">
        <v>50</v>
      </c>
      <c r="S181" t="s">
        <v>28</v>
      </c>
      <c r="T181" t="s">
        <v>726</v>
      </c>
      <c r="U181" t="s">
        <v>725</v>
      </c>
    </row>
    <row r="182" spans="1:21" x14ac:dyDescent="0.25">
      <c r="A182" t="s">
        <v>58</v>
      </c>
      <c r="B182" t="s">
        <v>58</v>
      </c>
      <c r="C182">
        <v>100</v>
      </c>
      <c r="D182">
        <v>1</v>
      </c>
      <c r="E182">
        <v>0</v>
      </c>
      <c r="F182" t="s">
        <v>727</v>
      </c>
      <c r="G182">
        <v>106</v>
      </c>
      <c r="H182">
        <v>6</v>
      </c>
      <c r="I182" t="s">
        <v>140</v>
      </c>
      <c r="J182" t="s">
        <v>728</v>
      </c>
      <c r="K182" t="s">
        <v>358</v>
      </c>
      <c r="L182" t="s">
        <v>27</v>
      </c>
      <c r="M182" t="s">
        <v>28</v>
      </c>
      <c r="N182" t="s">
        <v>729</v>
      </c>
      <c r="O182" t="s">
        <v>27</v>
      </c>
      <c r="P182" t="s">
        <v>30</v>
      </c>
      <c r="Q182" t="s">
        <v>31</v>
      </c>
      <c r="R182" t="s">
        <v>32</v>
      </c>
      <c r="S182" t="s">
        <v>730</v>
      </c>
      <c r="T182" t="s">
        <v>731</v>
      </c>
      <c r="U182" t="s">
        <v>729</v>
      </c>
    </row>
    <row r="183" spans="1:21" x14ac:dyDescent="0.25">
      <c r="A183" t="s">
        <v>58</v>
      </c>
      <c r="B183" t="s">
        <v>58</v>
      </c>
      <c r="C183">
        <v>100</v>
      </c>
      <c r="D183">
        <v>2</v>
      </c>
      <c r="E183">
        <v>0</v>
      </c>
      <c r="F183" t="s">
        <v>732</v>
      </c>
      <c r="G183">
        <v>600</v>
      </c>
      <c r="H183">
        <v>0</v>
      </c>
      <c r="I183" t="s">
        <v>140</v>
      </c>
      <c r="J183" t="s">
        <v>733</v>
      </c>
      <c r="K183" t="s">
        <v>37</v>
      </c>
      <c r="L183" t="s">
        <v>27</v>
      </c>
      <c r="M183" t="s">
        <v>28</v>
      </c>
      <c r="N183" t="s">
        <v>734</v>
      </c>
      <c r="O183" t="s">
        <v>27</v>
      </c>
      <c r="P183" t="s">
        <v>30</v>
      </c>
      <c r="Q183" t="s">
        <v>31</v>
      </c>
      <c r="R183" t="s">
        <v>32</v>
      </c>
      <c r="S183" t="s">
        <v>28</v>
      </c>
      <c r="T183" t="s">
        <v>735</v>
      </c>
      <c r="U183" t="s">
        <v>734</v>
      </c>
    </row>
    <row r="184" spans="1:21" x14ac:dyDescent="0.25">
      <c r="A184" t="s">
        <v>21</v>
      </c>
      <c r="B184" t="s">
        <v>22</v>
      </c>
      <c r="C184">
        <v>100</v>
      </c>
      <c r="D184">
        <v>2</v>
      </c>
      <c r="E184">
        <v>0</v>
      </c>
      <c r="F184" t="s">
        <v>732</v>
      </c>
      <c r="G184">
        <v>600</v>
      </c>
      <c r="H184">
        <v>0</v>
      </c>
      <c r="I184" t="s">
        <v>140</v>
      </c>
      <c r="J184" t="s">
        <v>733</v>
      </c>
      <c r="K184" t="s">
        <v>37</v>
      </c>
      <c r="L184" t="s">
        <v>27</v>
      </c>
      <c r="M184" t="s">
        <v>28</v>
      </c>
      <c r="N184" t="s">
        <v>734</v>
      </c>
      <c r="O184" t="s">
        <v>27</v>
      </c>
      <c r="P184" t="s">
        <v>30</v>
      </c>
      <c r="Q184" t="s">
        <v>31</v>
      </c>
      <c r="R184" t="s">
        <v>32</v>
      </c>
      <c r="S184" t="s">
        <v>28</v>
      </c>
      <c r="T184" t="s">
        <v>735</v>
      </c>
      <c r="U184" t="s">
        <v>734</v>
      </c>
    </row>
    <row r="185" spans="1:21" x14ac:dyDescent="0.25">
      <c r="A185" t="s">
        <v>134</v>
      </c>
      <c r="B185" t="s">
        <v>64</v>
      </c>
      <c r="C185">
        <v>100</v>
      </c>
      <c r="D185">
        <v>2</v>
      </c>
      <c r="E185">
        <v>0</v>
      </c>
      <c r="F185" t="s">
        <v>732</v>
      </c>
      <c r="G185">
        <v>600</v>
      </c>
      <c r="H185">
        <v>0</v>
      </c>
      <c r="I185" t="s">
        <v>140</v>
      </c>
      <c r="J185" t="s">
        <v>733</v>
      </c>
      <c r="K185" t="s">
        <v>37</v>
      </c>
      <c r="L185" t="s">
        <v>27</v>
      </c>
      <c r="M185" t="s">
        <v>28</v>
      </c>
      <c r="N185" t="s">
        <v>734</v>
      </c>
      <c r="O185" t="s">
        <v>27</v>
      </c>
      <c r="P185" t="s">
        <v>30</v>
      </c>
      <c r="Q185" t="s">
        <v>31</v>
      </c>
      <c r="R185" t="s">
        <v>32</v>
      </c>
      <c r="S185" t="s">
        <v>28</v>
      </c>
      <c r="T185" t="s">
        <v>735</v>
      </c>
      <c r="U185" t="s">
        <v>734</v>
      </c>
    </row>
    <row r="186" spans="1:21" x14ac:dyDescent="0.25">
      <c r="A186" t="s">
        <v>33</v>
      </c>
      <c r="B186" t="s">
        <v>34</v>
      </c>
      <c r="C186">
        <v>200</v>
      </c>
      <c r="D186">
        <v>1</v>
      </c>
      <c r="E186">
        <v>0</v>
      </c>
      <c r="F186" t="s">
        <v>736</v>
      </c>
      <c r="G186">
        <v>200</v>
      </c>
      <c r="H186">
        <v>0</v>
      </c>
      <c r="I186" t="s">
        <v>24</v>
      </c>
      <c r="J186" t="s">
        <v>737</v>
      </c>
      <c r="K186" t="s">
        <v>89</v>
      </c>
      <c r="L186" t="s">
        <v>27</v>
      </c>
      <c r="M186" t="s">
        <v>28</v>
      </c>
      <c r="N186" t="s">
        <v>738</v>
      </c>
      <c r="O186" t="s">
        <v>27</v>
      </c>
      <c r="P186" t="s">
        <v>56</v>
      </c>
      <c r="Q186" t="s">
        <v>31</v>
      </c>
      <c r="R186" t="s">
        <v>57</v>
      </c>
      <c r="S186" t="s">
        <v>28</v>
      </c>
      <c r="T186" t="s">
        <v>739</v>
      </c>
      <c r="U186" t="s">
        <v>738</v>
      </c>
    </row>
    <row r="187" spans="1:21" x14ac:dyDescent="0.25">
      <c r="A187" t="s">
        <v>21</v>
      </c>
      <c r="B187" t="s">
        <v>22</v>
      </c>
      <c r="C187">
        <v>100</v>
      </c>
      <c r="D187">
        <v>2</v>
      </c>
      <c r="E187">
        <v>0</v>
      </c>
      <c r="F187" t="s">
        <v>740</v>
      </c>
      <c r="G187">
        <v>200</v>
      </c>
      <c r="H187">
        <v>0</v>
      </c>
      <c r="I187" t="s">
        <v>140</v>
      </c>
      <c r="J187" t="s">
        <v>741</v>
      </c>
      <c r="K187" t="s">
        <v>350</v>
      </c>
      <c r="L187" t="s">
        <v>27</v>
      </c>
      <c r="M187" t="s">
        <v>28</v>
      </c>
      <c r="N187" t="s">
        <v>742</v>
      </c>
      <c r="O187" t="s">
        <v>27</v>
      </c>
      <c r="P187" t="s">
        <v>369</v>
      </c>
      <c r="Q187" t="s">
        <v>31</v>
      </c>
      <c r="R187" t="s">
        <v>57</v>
      </c>
      <c r="S187" t="s">
        <v>28</v>
      </c>
      <c r="T187" t="s">
        <v>743</v>
      </c>
      <c r="U187" t="s">
        <v>744</v>
      </c>
    </row>
    <row r="188" spans="1:21" x14ac:dyDescent="0.25">
      <c r="A188" t="s">
        <v>195</v>
      </c>
      <c r="B188" t="s">
        <v>196</v>
      </c>
      <c r="C188">
        <v>250</v>
      </c>
      <c r="D188">
        <v>1</v>
      </c>
      <c r="E188">
        <v>0</v>
      </c>
      <c r="F188" t="s">
        <v>745</v>
      </c>
      <c r="G188">
        <v>295</v>
      </c>
      <c r="H188">
        <v>45</v>
      </c>
      <c r="I188" t="s">
        <v>24</v>
      </c>
      <c r="J188" t="s">
        <v>746</v>
      </c>
      <c r="K188" t="s">
        <v>747</v>
      </c>
      <c r="L188" t="s">
        <v>748</v>
      </c>
      <c r="M188" t="s">
        <v>749</v>
      </c>
      <c r="N188" t="s">
        <v>744</v>
      </c>
      <c r="O188" t="s">
        <v>27</v>
      </c>
      <c r="P188" t="s">
        <v>193</v>
      </c>
      <c r="Q188" t="s">
        <v>85</v>
      </c>
      <c r="R188" t="s">
        <v>86</v>
      </c>
      <c r="S188" t="s">
        <v>28</v>
      </c>
      <c r="T188" t="s">
        <v>750</v>
      </c>
      <c r="U188" t="s">
        <v>744</v>
      </c>
    </row>
    <row r="189" spans="1:21" x14ac:dyDescent="0.25">
      <c r="A189" t="s">
        <v>143</v>
      </c>
      <c r="B189" t="s">
        <v>144</v>
      </c>
      <c r="C189">
        <v>200</v>
      </c>
      <c r="D189">
        <v>1</v>
      </c>
      <c r="E189">
        <v>0</v>
      </c>
      <c r="F189" t="s">
        <v>751</v>
      </c>
      <c r="G189">
        <v>200</v>
      </c>
      <c r="H189">
        <v>0</v>
      </c>
      <c r="I189" t="s">
        <v>140</v>
      </c>
      <c r="J189" t="s">
        <v>752</v>
      </c>
      <c r="K189" t="s">
        <v>753</v>
      </c>
      <c r="L189" t="s">
        <v>27</v>
      </c>
      <c r="M189" t="s">
        <v>28</v>
      </c>
      <c r="N189" t="s">
        <v>754</v>
      </c>
      <c r="O189" t="s">
        <v>27</v>
      </c>
      <c r="P189" t="s">
        <v>30</v>
      </c>
      <c r="Q189" t="s">
        <v>31</v>
      </c>
      <c r="R189" t="s">
        <v>32</v>
      </c>
      <c r="S189" t="s">
        <v>28</v>
      </c>
      <c r="T189" t="s">
        <v>755</v>
      </c>
      <c r="U189" t="s">
        <v>754</v>
      </c>
    </row>
    <row r="190" spans="1:21" x14ac:dyDescent="0.25">
      <c r="A190" t="s">
        <v>21</v>
      </c>
      <c r="B190" t="s">
        <v>22</v>
      </c>
      <c r="C190">
        <v>100</v>
      </c>
      <c r="D190">
        <v>1</v>
      </c>
      <c r="E190">
        <v>0</v>
      </c>
      <c r="F190" t="s">
        <v>756</v>
      </c>
      <c r="G190">
        <v>153</v>
      </c>
      <c r="H190">
        <v>29</v>
      </c>
      <c r="I190" t="s">
        <v>24</v>
      </c>
      <c r="J190" t="s">
        <v>757</v>
      </c>
      <c r="K190" t="s">
        <v>758</v>
      </c>
      <c r="L190" t="s">
        <v>27</v>
      </c>
      <c r="M190" t="s">
        <v>28</v>
      </c>
      <c r="N190" t="s">
        <v>759</v>
      </c>
      <c r="O190" t="s">
        <v>27</v>
      </c>
      <c r="P190" t="s">
        <v>39</v>
      </c>
      <c r="Q190" t="s">
        <v>31</v>
      </c>
      <c r="R190" t="s">
        <v>32</v>
      </c>
      <c r="S190" t="s">
        <v>28</v>
      </c>
      <c r="T190" t="s">
        <v>760</v>
      </c>
      <c r="U190" t="s">
        <v>759</v>
      </c>
    </row>
    <row r="191" spans="1:21" x14ac:dyDescent="0.25">
      <c r="A191" t="s">
        <v>33</v>
      </c>
      <c r="B191" t="s">
        <v>34</v>
      </c>
      <c r="C191">
        <v>200</v>
      </c>
      <c r="D191">
        <v>1</v>
      </c>
      <c r="E191">
        <v>0</v>
      </c>
      <c r="F191" t="s">
        <v>761</v>
      </c>
      <c r="G191">
        <v>200</v>
      </c>
      <c r="H191">
        <v>0</v>
      </c>
      <c r="I191" t="s">
        <v>24</v>
      </c>
      <c r="J191" t="s">
        <v>762</v>
      </c>
      <c r="K191" t="s">
        <v>61</v>
      </c>
      <c r="L191" t="s">
        <v>27</v>
      </c>
      <c r="M191" t="s">
        <v>28</v>
      </c>
      <c r="N191" t="s">
        <v>763</v>
      </c>
      <c r="O191" t="s">
        <v>27</v>
      </c>
      <c r="P191" t="s">
        <v>39</v>
      </c>
      <c r="Q191" t="s">
        <v>31</v>
      </c>
      <c r="R191" t="s">
        <v>32</v>
      </c>
      <c r="S191" t="s">
        <v>28</v>
      </c>
      <c r="T191" t="s">
        <v>764</v>
      </c>
      <c r="U191" t="s">
        <v>763</v>
      </c>
    </row>
    <row r="192" spans="1:21" x14ac:dyDescent="0.25">
      <c r="A192" t="s">
        <v>21</v>
      </c>
      <c r="B192" t="s">
        <v>22</v>
      </c>
      <c r="C192">
        <v>100</v>
      </c>
      <c r="D192">
        <v>1</v>
      </c>
      <c r="E192">
        <v>0</v>
      </c>
      <c r="F192" t="s">
        <v>765</v>
      </c>
      <c r="G192">
        <v>200</v>
      </c>
      <c r="H192">
        <v>0</v>
      </c>
      <c r="I192" t="s">
        <v>140</v>
      </c>
      <c r="J192" t="s">
        <v>766</v>
      </c>
      <c r="K192" t="s">
        <v>118</v>
      </c>
      <c r="L192" t="s">
        <v>27</v>
      </c>
      <c r="M192" t="s">
        <v>28</v>
      </c>
      <c r="N192" t="s">
        <v>767</v>
      </c>
      <c r="O192" t="s">
        <v>27</v>
      </c>
      <c r="P192" t="s">
        <v>30</v>
      </c>
      <c r="Q192" t="s">
        <v>31</v>
      </c>
      <c r="R192" t="s">
        <v>32</v>
      </c>
      <c r="S192" t="s">
        <v>28</v>
      </c>
      <c r="T192" t="s">
        <v>768</v>
      </c>
      <c r="U192" t="s">
        <v>767</v>
      </c>
    </row>
    <row r="193" spans="1:21" x14ac:dyDescent="0.25">
      <c r="A193" t="s">
        <v>63</v>
      </c>
      <c r="B193" t="s">
        <v>64</v>
      </c>
      <c r="C193">
        <v>100</v>
      </c>
      <c r="D193">
        <v>1</v>
      </c>
      <c r="E193">
        <v>0</v>
      </c>
      <c r="F193" t="s">
        <v>765</v>
      </c>
      <c r="G193">
        <v>200</v>
      </c>
      <c r="H193">
        <v>0</v>
      </c>
      <c r="I193" t="s">
        <v>140</v>
      </c>
      <c r="J193" t="s">
        <v>766</v>
      </c>
      <c r="K193" t="s">
        <v>118</v>
      </c>
      <c r="L193" t="s">
        <v>27</v>
      </c>
      <c r="M193" t="s">
        <v>28</v>
      </c>
      <c r="N193" t="s">
        <v>767</v>
      </c>
      <c r="O193" t="s">
        <v>27</v>
      </c>
      <c r="P193" t="s">
        <v>30</v>
      </c>
      <c r="Q193" t="s">
        <v>31</v>
      </c>
      <c r="R193" t="s">
        <v>32</v>
      </c>
      <c r="S193" t="s">
        <v>28</v>
      </c>
      <c r="T193" t="s">
        <v>768</v>
      </c>
      <c r="U193" t="s">
        <v>767</v>
      </c>
    </row>
    <row r="194" spans="1:21" x14ac:dyDescent="0.25">
      <c r="A194" t="s">
        <v>21</v>
      </c>
      <c r="B194" t="s">
        <v>22</v>
      </c>
      <c r="C194">
        <v>100</v>
      </c>
      <c r="D194">
        <v>1</v>
      </c>
      <c r="E194">
        <v>0</v>
      </c>
      <c r="F194" t="s">
        <v>769</v>
      </c>
      <c r="G194">
        <v>106</v>
      </c>
      <c r="H194">
        <v>6</v>
      </c>
      <c r="I194" t="s">
        <v>445</v>
      </c>
      <c r="J194" t="s">
        <v>770</v>
      </c>
      <c r="K194" t="s">
        <v>771</v>
      </c>
      <c r="L194" t="s">
        <v>27</v>
      </c>
      <c r="M194" t="s">
        <v>28</v>
      </c>
      <c r="N194" t="s">
        <v>767</v>
      </c>
      <c r="O194" t="s">
        <v>27</v>
      </c>
      <c r="P194" t="s">
        <v>56</v>
      </c>
      <c r="Q194" t="s">
        <v>31</v>
      </c>
      <c r="R194" t="s">
        <v>57</v>
      </c>
      <c r="S194" t="s">
        <v>28</v>
      </c>
      <c r="T194" t="s">
        <v>772</v>
      </c>
      <c r="U194" t="s">
        <v>773</v>
      </c>
    </row>
    <row r="195" spans="1:21" x14ac:dyDescent="0.25">
      <c r="A195" t="s">
        <v>635</v>
      </c>
      <c r="B195" t="s">
        <v>714</v>
      </c>
      <c r="C195">
        <v>615</v>
      </c>
      <c r="D195">
        <v>1</v>
      </c>
      <c r="E195">
        <v>0</v>
      </c>
      <c r="F195" t="s">
        <v>774</v>
      </c>
      <c r="G195">
        <v>639</v>
      </c>
      <c r="H195">
        <v>24</v>
      </c>
      <c r="I195" t="s">
        <v>628</v>
      </c>
      <c r="J195" t="s">
        <v>775</v>
      </c>
      <c r="K195" t="s">
        <v>776</v>
      </c>
      <c r="L195" t="s">
        <v>777</v>
      </c>
      <c r="M195" t="s">
        <v>778</v>
      </c>
      <c r="N195" t="s">
        <v>773</v>
      </c>
      <c r="O195" t="s">
        <v>27</v>
      </c>
      <c r="P195" t="s">
        <v>48</v>
      </c>
      <c r="Q195" t="s">
        <v>49</v>
      </c>
      <c r="R195" t="s">
        <v>50</v>
      </c>
      <c r="S195" t="s">
        <v>28</v>
      </c>
      <c r="T195" t="s">
        <v>779</v>
      </c>
      <c r="U195" t="s">
        <v>773</v>
      </c>
    </row>
    <row r="196" spans="1:21" x14ac:dyDescent="0.25">
      <c r="A196" t="s">
        <v>143</v>
      </c>
      <c r="B196" t="s">
        <v>144</v>
      </c>
      <c r="C196">
        <v>200</v>
      </c>
      <c r="D196">
        <v>1</v>
      </c>
      <c r="E196">
        <v>0</v>
      </c>
      <c r="F196" t="s">
        <v>780</v>
      </c>
      <c r="G196">
        <v>200</v>
      </c>
      <c r="H196">
        <v>0</v>
      </c>
      <c r="I196" t="s">
        <v>140</v>
      </c>
      <c r="J196" t="s">
        <v>781</v>
      </c>
      <c r="K196" t="s">
        <v>388</v>
      </c>
      <c r="L196" t="s">
        <v>27</v>
      </c>
      <c r="M196" t="s">
        <v>28</v>
      </c>
      <c r="N196" t="s">
        <v>782</v>
      </c>
      <c r="O196" t="s">
        <v>27</v>
      </c>
      <c r="P196" t="s">
        <v>369</v>
      </c>
      <c r="Q196" t="s">
        <v>31</v>
      </c>
      <c r="R196" t="s">
        <v>57</v>
      </c>
      <c r="S196" t="s">
        <v>28</v>
      </c>
      <c r="T196" t="s">
        <v>783</v>
      </c>
      <c r="U196" t="s">
        <v>784</v>
      </c>
    </row>
    <row r="197" spans="1:21" x14ac:dyDescent="0.25">
      <c r="A197" t="s">
        <v>21</v>
      </c>
      <c r="B197" t="s">
        <v>22</v>
      </c>
      <c r="C197">
        <v>100</v>
      </c>
      <c r="D197">
        <v>1</v>
      </c>
      <c r="E197">
        <v>0</v>
      </c>
      <c r="F197" t="s">
        <v>785</v>
      </c>
      <c r="G197">
        <v>106</v>
      </c>
      <c r="H197">
        <v>6</v>
      </c>
      <c r="I197" t="s">
        <v>140</v>
      </c>
      <c r="J197" t="s">
        <v>786</v>
      </c>
      <c r="K197" t="s">
        <v>171</v>
      </c>
      <c r="L197" t="s">
        <v>27</v>
      </c>
      <c r="M197" t="s">
        <v>28</v>
      </c>
      <c r="N197" t="s">
        <v>787</v>
      </c>
      <c r="O197" t="s">
        <v>27</v>
      </c>
      <c r="P197" t="s">
        <v>30</v>
      </c>
      <c r="Q197" t="s">
        <v>31</v>
      </c>
      <c r="R197" t="s">
        <v>32</v>
      </c>
      <c r="S197" t="s">
        <v>28</v>
      </c>
      <c r="T197" t="s">
        <v>788</v>
      </c>
      <c r="U197" t="s">
        <v>787</v>
      </c>
    </row>
    <row r="198" spans="1:21" x14ac:dyDescent="0.25">
      <c r="A198" t="s">
        <v>21</v>
      </c>
      <c r="B198" t="s">
        <v>22</v>
      </c>
      <c r="C198">
        <v>100</v>
      </c>
      <c r="D198">
        <v>2</v>
      </c>
      <c r="E198">
        <v>0</v>
      </c>
      <c r="F198" t="s">
        <v>789</v>
      </c>
      <c r="G198">
        <v>200</v>
      </c>
      <c r="H198">
        <v>0</v>
      </c>
      <c r="I198" t="s">
        <v>140</v>
      </c>
      <c r="J198" t="s">
        <v>790</v>
      </c>
      <c r="K198" t="s">
        <v>791</v>
      </c>
      <c r="L198" t="s">
        <v>27</v>
      </c>
      <c r="M198" t="s">
        <v>28</v>
      </c>
      <c r="N198" t="s">
        <v>792</v>
      </c>
      <c r="O198" t="s">
        <v>27</v>
      </c>
      <c r="P198" t="s">
        <v>30</v>
      </c>
      <c r="Q198" t="s">
        <v>31</v>
      </c>
      <c r="R198" t="s">
        <v>32</v>
      </c>
      <c r="S198" t="s">
        <v>793</v>
      </c>
      <c r="T198" t="s">
        <v>794</v>
      </c>
      <c r="U198" t="s">
        <v>792</v>
      </c>
    </row>
    <row r="199" spans="1:21" x14ac:dyDescent="0.25">
      <c r="A199" t="s">
        <v>21</v>
      </c>
      <c r="B199" t="s">
        <v>22</v>
      </c>
      <c r="C199">
        <v>100</v>
      </c>
      <c r="D199">
        <v>5</v>
      </c>
      <c r="E199">
        <v>0</v>
      </c>
      <c r="F199" t="s">
        <v>795</v>
      </c>
      <c r="G199">
        <v>500</v>
      </c>
      <c r="H199">
        <v>0</v>
      </c>
      <c r="I199" t="s">
        <v>140</v>
      </c>
      <c r="J199" t="s">
        <v>796</v>
      </c>
      <c r="K199" t="s">
        <v>797</v>
      </c>
      <c r="L199" t="s">
        <v>27</v>
      </c>
      <c r="M199" t="s">
        <v>28</v>
      </c>
      <c r="N199" t="s">
        <v>798</v>
      </c>
      <c r="O199" t="s">
        <v>27</v>
      </c>
      <c r="P199" t="s">
        <v>30</v>
      </c>
      <c r="Q199" t="s">
        <v>31</v>
      </c>
      <c r="R199" t="s">
        <v>32</v>
      </c>
      <c r="S199" t="s">
        <v>799</v>
      </c>
      <c r="T199" t="s">
        <v>800</v>
      </c>
      <c r="U199" t="s">
        <v>798</v>
      </c>
    </row>
    <row r="200" spans="1:21" x14ac:dyDescent="0.25">
      <c r="A200" t="s">
        <v>33</v>
      </c>
      <c r="B200" t="s">
        <v>34</v>
      </c>
      <c r="C200">
        <v>200</v>
      </c>
      <c r="D200">
        <v>1</v>
      </c>
      <c r="E200">
        <v>0</v>
      </c>
      <c r="F200" t="s">
        <v>801</v>
      </c>
      <c r="G200">
        <v>200</v>
      </c>
      <c r="H200">
        <v>0</v>
      </c>
      <c r="I200" t="s">
        <v>24</v>
      </c>
      <c r="J200" t="s">
        <v>700</v>
      </c>
      <c r="K200" t="s">
        <v>67</v>
      </c>
      <c r="L200" t="s">
        <v>27</v>
      </c>
      <c r="M200" t="s">
        <v>28</v>
      </c>
      <c r="N200" t="s">
        <v>802</v>
      </c>
      <c r="O200" t="s">
        <v>27</v>
      </c>
      <c r="P200" t="s">
        <v>39</v>
      </c>
      <c r="Q200" t="s">
        <v>31</v>
      </c>
      <c r="R200" t="s">
        <v>32</v>
      </c>
      <c r="S200" t="s">
        <v>28</v>
      </c>
      <c r="T200" t="s">
        <v>803</v>
      </c>
      <c r="U200" t="s">
        <v>802</v>
      </c>
    </row>
    <row r="201" spans="1:21" x14ac:dyDescent="0.25">
      <c r="A201" t="s">
        <v>21</v>
      </c>
      <c r="B201" t="s">
        <v>22</v>
      </c>
      <c r="C201">
        <v>100</v>
      </c>
      <c r="D201">
        <v>1</v>
      </c>
      <c r="E201">
        <v>0</v>
      </c>
      <c r="F201" t="s">
        <v>804</v>
      </c>
      <c r="G201">
        <v>106</v>
      </c>
      <c r="H201">
        <v>6</v>
      </c>
      <c r="I201" t="s">
        <v>24</v>
      </c>
      <c r="J201" t="s">
        <v>805</v>
      </c>
      <c r="K201" t="s">
        <v>37</v>
      </c>
      <c r="L201" t="s">
        <v>27</v>
      </c>
      <c r="M201" t="s">
        <v>28</v>
      </c>
      <c r="N201" t="s">
        <v>806</v>
      </c>
      <c r="O201" t="s">
        <v>27</v>
      </c>
      <c r="P201" t="s">
        <v>39</v>
      </c>
      <c r="Q201" t="s">
        <v>31</v>
      </c>
      <c r="R201" t="s">
        <v>32</v>
      </c>
      <c r="S201" t="s">
        <v>28</v>
      </c>
      <c r="T201" t="s">
        <v>807</v>
      </c>
      <c r="U201" t="s">
        <v>806</v>
      </c>
    </row>
    <row r="202" spans="1:21" x14ac:dyDescent="0.25">
      <c r="A202" t="s">
        <v>456</v>
      </c>
      <c r="B202" t="s">
        <v>457</v>
      </c>
      <c r="C202">
        <v>250</v>
      </c>
      <c r="D202">
        <v>1</v>
      </c>
      <c r="E202">
        <v>0</v>
      </c>
      <c r="F202" t="s">
        <v>808</v>
      </c>
      <c r="G202">
        <v>350</v>
      </c>
      <c r="H202">
        <v>0</v>
      </c>
      <c r="I202" t="s">
        <v>140</v>
      </c>
      <c r="J202" t="s">
        <v>809</v>
      </c>
      <c r="K202" t="s">
        <v>594</v>
      </c>
      <c r="L202" t="s">
        <v>27</v>
      </c>
      <c r="M202" t="s">
        <v>28</v>
      </c>
      <c r="N202" t="s">
        <v>810</v>
      </c>
      <c r="O202" t="s">
        <v>27</v>
      </c>
      <c r="P202" t="s">
        <v>369</v>
      </c>
      <c r="Q202" t="s">
        <v>31</v>
      </c>
      <c r="R202" t="s">
        <v>57</v>
      </c>
      <c r="S202" t="s">
        <v>28</v>
      </c>
      <c r="T202" t="s">
        <v>811</v>
      </c>
      <c r="U202" t="s">
        <v>810</v>
      </c>
    </row>
    <row r="203" spans="1:21" x14ac:dyDescent="0.25">
      <c r="A203" t="s">
        <v>58</v>
      </c>
      <c r="B203" t="s">
        <v>58</v>
      </c>
      <c r="C203">
        <v>100</v>
      </c>
      <c r="D203">
        <v>1</v>
      </c>
      <c r="E203">
        <v>0</v>
      </c>
      <c r="F203" t="s">
        <v>808</v>
      </c>
      <c r="G203">
        <v>350</v>
      </c>
      <c r="H203">
        <v>0</v>
      </c>
      <c r="I203" t="s">
        <v>140</v>
      </c>
      <c r="J203" t="s">
        <v>809</v>
      </c>
      <c r="K203" t="s">
        <v>594</v>
      </c>
      <c r="L203" t="s">
        <v>27</v>
      </c>
      <c r="M203" t="s">
        <v>28</v>
      </c>
      <c r="N203" t="s">
        <v>810</v>
      </c>
      <c r="O203" t="s">
        <v>27</v>
      </c>
      <c r="P203" t="s">
        <v>369</v>
      </c>
      <c r="Q203" t="s">
        <v>31</v>
      </c>
      <c r="R203" t="s">
        <v>57</v>
      </c>
      <c r="S203" t="s">
        <v>28</v>
      </c>
      <c r="T203" t="s">
        <v>811</v>
      </c>
      <c r="U203" t="s">
        <v>810</v>
      </c>
    </row>
    <row r="204" spans="1:21" x14ac:dyDescent="0.25">
      <c r="A204" t="s">
        <v>58</v>
      </c>
      <c r="B204" t="s">
        <v>58</v>
      </c>
      <c r="C204">
        <v>100</v>
      </c>
      <c r="D204">
        <v>2</v>
      </c>
      <c r="E204">
        <v>0</v>
      </c>
      <c r="F204" t="s">
        <v>812</v>
      </c>
      <c r="G204">
        <v>200</v>
      </c>
      <c r="H204">
        <v>0</v>
      </c>
      <c r="I204" t="s">
        <v>140</v>
      </c>
      <c r="J204" t="s">
        <v>813</v>
      </c>
      <c r="K204" t="s">
        <v>814</v>
      </c>
      <c r="L204" t="s">
        <v>27</v>
      </c>
      <c r="M204" t="s">
        <v>28</v>
      </c>
      <c r="N204" t="s">
        <v>815</v>
      </c>
      <c r="O204" t="s">
        <v>27</v>
      </c>
      <c r="P204" t="s">
        <v>30</v>
      </c>
      <c r="Q204" t="s">
        <v>31</v>
      </c>
      <c r="R204" t="s">
        <v>32</v>
      </c>
      <c r="S204" t="s">
        <v>28</v>
      </c>
      <c r="T204" t="s">
        <v>816</v>
      </c>
      <c r="U204" t="s">
        <v>815</v>
      </c>
    </row>
    <row r="205" spans="1:21" x14ac:dyDescent="0.25">
      <c r="A205" t="s">
        <v>33</v>
      </c>
      <c r="B205" t="s">
        <v>34</v>
      </c>
      <c r="C205">
        <v>200</v>
      </c>
      <c r="D205">
        <v>1</v>
      </c>
      <c r="E205">
        <v>0</v>
      </c>
      <c r="F205" t="s">
        <v>817</v>
      </c>
      <c r="G205">
        <v>200</v>
      </c>
      <c r="H205">
        <v>0</v>
      </c>
      <c r="I205" t="s">
        <v>24</v>
      </c>
      <c r="J205" t="s">
        <v>818</v>
      </c>
      <c r="K205" t="s">
        <v>342</v>
      </c>
      <c r="L205" t="s">
        <v>27</v>
      </c>
      <c r="M205" t="s">
        <v>28</v>
      </c>
      <c r="N205" t="s">
        <v>819</v>
      </c>
      <c r="O205" t="s">
        <v>27</v>
      </c>
      <c r="P205" t="s">
        <v>39</v>
      </c>
      <c r="Q205" t="s">
        <v>31</v>
      </c>
      <c r="R205" t="s">
        <v>32</v>
      </c>
      <c r="S205" t="s">
        <v>28</v>
      </c>
      <c r="T205" t="s">
        <v>820</v>
      </c>
      <c r="U205" t="s">
        <v>819</v>
      </c>
    </row>
    <row r="206" spans="1:21" x14ac:dyDescent="0.25">
      <c r="A206" t="s">
        <v>33</v>
      </c>
      <c r="B206" t="s">
        <v>34</v>
      </c>
      <c r="C206">
        <v>200</v>
      </c>
      <c r="D206">
        <v>1</v>
      </c>
      <c r="E206">
        <v>0</v>
      </c>
      <c r="F206" t="s">
        <v>821</v>
      </c>
      <c r="G206">
        <v>200</v>
      </c>
      <c r="H206">
        <v>0</v>
      </c>
      <c r="I206" t="s">
        <v>24</v>
      </c>
      <c r="J206" t="s">
        <v>822</v>
      </c>
      <c r="K206" t="s">
        <v>89</v>
      </c>
      <c r="L206" t="s">
        <v>27</v>
      </c>
      <c r="M206" t="s">
        <v>28</v>
      </c>
      <c r="N206" t="s">
        <v>819</v>
      </c>
      <c r="O206" t="s">
        <v>27</v>
      </c>
      <c r="P206" t="s">
        <v>39</v>
      </c>
      <c r="Q206" t="s">
        <v>31</v>
      </c>
      <c r="R206" t="s">
        <v>32</v>
      </c>
      <c r="S206" t="s">
        <v>28</v>
      </c>
      <c r="T206" t="s">
        <v>823</v>
      </c>
      <c r="U206" t="s">
        <v>819</v>
      </c>
    </row>
    <row r="207" spans="1:21" x14ac:dyDescent="0.25">
      <c r="A207" t="s">
        <v>33</v>
      </c>
      <c r="B207" t="s">
        <v>34</v>
      </c>
      <c r="C207">
        <v>200</v>
      </c>
      <c r="D207">
        <v>1</v>
      </c>
      <c r="E207">
        <v>0</v>
      </c>
      <c r="F207" t="s">
        <v>824</v>
      </c>
      <c r="G207">
        <v>200</v>
      </c>
      <c r="H207">
        <v>0</v>
      </c>
      <c r="I207" t="s">
        <v>24</v>
      </c>
      <c r="J207" t="s">
        <v>825</v>
      </c>
      <c r="K207" t="s">
        <v>118</v>
      </c>
      <c r="L207" t="s">
        <v>27</v>
      </c>
      <c r="M207" t="s">
        <v>28</v>
      </c>
      <c r="N207" t="s">
        <v>826</v>
      </c>
      <c r="O207" t="s">
        <v>27</v>
      </c>
      <c r="P207" t="s">
        <v>39</v>
      </c>
      <c r="Q207" t="s">
        <v>31</v>
      </c>
      <c r="R207" t="s">
        <v>32</v>
      </c>
      <c r="S207" t="s">
        <v>28</v>
      </c>
      <c r="T207" t="s">
        <v>827</v>
      </c>
      <c r="U207" t="s">
        <v>826</v>
      </c>
    </row>
    <row r="208" spans="1:21" x14ac:dyDescent="0.25">
      <c r="A208" t="s">
        <v>58</v>
      </c>
      <c r="B208" t="s">
        <v>58</v>
      </c>
      <c r="C208">
        <v>100</v>
      </c>
      <c r="D208">
        <v>1</v>
      </c>
      <c r="E208">
        <v>0</v>
      </c>
      <c r="F208" t="s">
        <v>828</v>
      </c>
      <c r="G208">
        <v>129</v>
      </c>
      <c r="H208">
        <v>29</v>
      </c>
      <c r="I208" t="s">
        <v>140</v>
      </c>
      <c r="J208" t="s">
        <v>829</v>
      </c>
      <c r="K208" t="s">
        <v>342</v>
      </c>
      <c r="L208" t="s">
        <v>27</v>
      </c>
      <c r="M208" t="s">
        <v>28</v>
      </c>
      <c r="N208" t="s">
        <v>830</v>
      </c>
      <c r="O208" t="s">
        <v>27</v>
      </c>
      <c r="P208" t="s">
        <v>30</v>
      </c>
      <c r="Q208" t="s">
        <v>31</v>
      </c>
      <c r="R208" t="s">
        <v>32</v>
      </c>
      <c r="S208" t="s">
        <v>28</v>
      </c>
      <c r="T208" t="s">
        <v>831</v>
      </c>
      <c r="U208" t="s">
        <v>830</v>
      </c>
    </row>
    <row r="209" spans="1:21" x14ac:dyDescent="0.25">
      <c r="A209" t="s">
        <v>33</v>
      </c>
      <c r="B209" t="s">
        <v>34</v>
      </c>
      <c r="C209">
        <v>200</v>
      </c>
      <c r="D209">
        <v>1</v>
      </c>
      <c r="E209">
        <v>0</v>
      </c>
      <c r="F209" t="s">
        <v>832</v>
      </c>
      <c r="G209">
        <v>200</v>
      </c>
      <c r="H209">
        <v>0</v>
      </c>
      <c r="I209" t="s">
        <v>24</v>
      </c>
      <c r="J209" t="s">
        <v>833</v>
      </c>
      <c r="K209" t="s">
        <v>834</v>
      </c>
      <c r="L209" t="s">
        <v>27</v>
      </c>
      <c r="M209" t="s">
        <v>28</v>
      </c>
      <c r="N209" t="s">
        <v>835</v>
      </c>
      <c r="O209" t="s">
        <v>27</v>
      </c>
      <c r="P209" t="s">
        <v>39</v>
      </c>
      <c r="Q209" t="s">
        <v>31</v>
      </c>
      <c r="R209" t="s">
        <v>32</v>
      </c>
      <c r="S209" t="s">
        <v>28</v>
      </c>
      <c r="T209" t="s">
        <v>836</v>
      </c>
      <c r="U209" t="s">
        <v>835</v>
      </c>
    </row>
    <row r="210" spans="1:21" x14ac:dyDescent="0.25">
      <c r="A210" t="s">
        <v>21</v>
      </c>
      <c r="B210" t="s">
        <v>22</v>
      </c>
      <c r="C210">
        <v>100</v>
      </c>
      <c r="D210">
        <v>3</v>
      </c>
      <c r="E210">
        <v>0</v>
      </c>
      <c r="F210" t="s">
        <v>837</v>
      </c>
      <c r="G210">
        <v>300</v>
      </c>
      <c r="H210">
        <v>0</v>
      </c>
      <c r="I210" t="s">
        <v>140</v>
      </c>
      <c r="J210" t="s">
        <v>838</v>
      </c>
      <c r="K210" t="s">
        <v>839</v>
      </c>
      <c r="L210" t="s">
        <v>27</v>
      </c>
      <c r="M210" t="s">
        <v>28</v>
      </c>
      <c r="N210" t="s">
        <v>840</v>
      </c>
      <c r="O210" t="s">
        <v>27</v>
      </c>
      <c r="P210" t="s">
        <v>30</v>
      </c>
      <c r="Q210" t="s">
        <v>31</v>
      </c>
      <c r="R210" t="s">
        <v>32</v>
      </c>
      <c r="S210" t="s">
        <v>28</v>
      </c>
      <c r="T210" t="s">
        <v>841</v>
      </c>
      <c r="U210" t="s">
        <v>840</v>
      </c>
    </row>
    <row r="211" spans="1:21" x14ac:dyDescent="0.25">
      <c r="A211" t="s">
        <v>134</v>
      </c>
      <c r="B211" t="s">
        <v>64</v>
      </c>
      <c r="C211">
        <v>100</v>
      </c>
      <c r="D211">
        <v>1</v>
      </c>
      <c r="E211">
        <v>0</v>
      </c>
      <c r="F211" t="s">
        <v>842</v>
      </c>
      <c r="G211">
        <v>106</v>
      </c>
      <c r="H211">
        <v>6</v>
      </c>
      <c r="I211" t="s">
        <v>24</v>
      </c>
      <c r="J211" t="s">
        <v>843</v>
      </c>
      <c r="K211" t="s">
        <v>89</v>
      </c>
      <c r="L211" t="s">
        <v>27</v>
      </c>
      <c r="M211" t="s">
        <v>28</v>
      </c>
      <c r="N211" t="s">
        <v>844</v>
      </c>
      <c r="O211" t="s">
        <v>27</v>
      </c>
      <c r="P211" t="s">
        <v>39</v>
      </c>
      <c r="Q211" t="s">
        <v>31</v>
      </c>
      <c r="R211" t="s">
        <v>32</v>
      </c>
      <c r="S211" t="s">
        <v>28</v>
      </c>
      <c r="T211" t="s">
        <v>845</v>
      </c>
      <c r="U211" t="s">
        <v>844</v>
      </c>
    </row>
    <row r="212" spans="1:21" x14ac:dyDescent="0.25">
      <c r="A212" t="s">
        <v>58</v>
      </c>
      <c r="B212" t="s">
        <v>58</v>
      </c>
      <c r="C212">
        <v>100</v>
      </c>
      <c r="D212">
        <v>2</v>
      </c>
      <c r="E212">
        <v>0</v>
      </c>
      <c r="F212" t="s">
        <v>846</v>
      </c>
      <c r="G212">
        <v>200</v>
      </c>
      <c r="H212">
        <v>0</v>
      </c>
      <c r="I212" t="s">
        <v>140</v>
      </c>
      <c r="J212" t="s">
        <v>847</v>
      </c>
      <c r="K212" t="s">
        <v>67</v>
      </c>
      <c r="L212" t="s">
        <v>27</v>
      </c>
      <c r="M212" t="s">
        <v>28</v>
      </c>
      <c r="N212" t="s">
        <v>848</v>
      </c>
      <c r="O212" t="s">
        <v>27</v>
      </c>
      <c r="P212" t="s">
        <v>369</v>
      </c>
      <c r="Q212" t="s">
        <v>31</v>
      </c>
      <c r="R212" t="s">
        <v>57</v>
      </c>
      <c r="S212" t="s">
        <v>28</v>
      </c>
      <c r="T212" t="s">
        <v>849</v>
      </c>
      <c r="U212" t="s">
        <v>848</v>
      </c>
    </row>
    <row r="213" spans="1:21" x14ac:dyDescent="0.25">
      <c r="A213" t="s">
        <v>33</v>
      </c>
      <c r="B213" t="s">
        <v>34</v>
      </c>
      <c r="C213">
        <v>200</v>
      </c>
      <c r="D213">
        <v>1</v>
      </c>
      <c r="E213">
        <v>0</v>
      </c>
      <c r="F213" t="s">
        <v>850</v>
      </c>
      <c r="G213">
        <v>200</v>
      </c>
      <c r="H213">
        <v>0</v>
      </c>
      <c r="I213" t="s">
        <v>24</v>
      </c>
      <c r="J213" t="s">
        <v>851</v>
      </c>
      <c r="K213" t="s">
        <v>384</v>
      </c>
      <c r="L213" t="s">
        <v>27</v>
      </c>
      <c r="M213" t="s">
        <v>28</v>
      </c>
      <c r="N213" t="s">
        <v>852</v>
      </c>
      <c r="O213" t="s">
        <v>27</v>
      </c>
      <c r="P213" t="s">
        <v>39</v>
      </c>
      <c r="Q213" t="s">
        <v>31</v>
      </c>
      <c r="R213" t="s">
        <v>32</v>
      </c>
      <c r="S213" t="s">
        <v>28</v>
      </c>
      <c r="T213" t="s">
        <v>853</v>
      </c>
      <c r="U213" t="s">
        <v>852</v>
      </c>
    </row>
    <row r="214" spans="1:21" x14ac:dyDescent="0.25">
      <c r="A214" t="s">
        <v>33</v>
      </c>
      <c r="B214" t="s">
        <v>34</v>
      </c>
      <c r="C214">
        <v>200</v>
      </c>
      <c r="D214">
        <v>1</v>
      </c>
      <c r="E214">
        <v>0</v>
      </c>
      <c r="F214" t="s">
        <v>854</v>
      </c>
      <c r="G214">
        <v>200</v>
      </c>
      <c r="H214">
        <v>0</v>
      </c>
      <c r="I214" t="s">
        <v>24</v>
      </c>
      <c r="J214" t="s">
        <v>855</v>
      </c>
      <c r="K214" t="s">
        <v>321</v>
      </c>
      <c r="L214" t="s">
        <v>27</v>
      </c>
      <c r="M214" t="s">
        <v>28</v>
      </c>
      <c r="N214" t="s">
        <v>856</v>
      </c>
      <c r="O214" t="s">
        <v>27</v>
      </c>
      <c r="P214" t="s">
        <v>30</v>
      </c>
      <c r="Q214" t="s">
        <v>31</v>
      </c>
      <c r="R214" t="s">
        <v>32</v>
      </c>
      <c r="S214" t="s">
        <v>28</v>
      </c>
      <c r="T214" t="s">
        <v>857</v>
      </c>
      <c r="U214" t="s">
        <v>856</v>
      </c>
    </row>
    <row r="215" spans="1:21" x14ac:dyDescent="0.25">
      <c r="A215" t="s">
        <v>63</v>
      </c>
      <c r="B215" t="s">
        <v>64</v>
      </c>
      <c r="C215">
        <v>150</v>
      </c>
      <c r="D215">
        <v>1</v>
      </c>
      <c r="E215">
        <v>0</v>
      </c>
      <c r="F215" t="s">
        <v>858</v>
      </c>
      <c r="G215">
        <v>413</v>
      </c>
      <c r="H215">
        <v>64</v>
      </c>
      <c r="I215" t="s">
        <v>24</v>
      </c>
      <c r="J215" t="s">
        <v>859</v>
      </c>
      <c r="K215" t="s">
        <v>860</v>
      </c>
      <c r="L215" t="s">
        <v>861</v>
      </c>
      <c r="M215" t="s">
        <v>862</v>
      </c>
      <c r="N215" t="s">
        <v>863</v>
      </c>
      <c r="O215" t="s">
        <v>27</v>
      </c>
      <c r="P215" t="s">
        <v>193</v>
      </c>
      <c r="Q215" t="s">
        <v>85</v>
      </c>
      <c r="R215" t="s">
        <v>86</v>
      </c>
      <c r="S215" t="s">
        <v>28</v>
      </c>
      <c r="T215" t="s">
        <v>864</v>
      </c>
      <c r="U215" t="s">
        <v>863</v>
      </c>
    </row>
    <row r="216" spans="1:21" x14ac:dyDescent="0.25">
      <c r="A216" t="s">
        <v>475</v>
      </c>
      <c r="B216" t="s">
        <v>476</v>
      </c>
      <c r="C216">
        <v>199</v>
      </c>
      <c r="D216">
        <v>1</v>
      </c>
      <c r="E216">
        <v>0</v>
      </c>
      <c r="F216" t="s">
        <v>858</v>
      </c>
      <c r="G216">
        <v>413</v>
      </c>
      <c r="H216">
        <v>64</v>
      </c>
      <c r="I216" t="s">
        <v>24</v>
      </c>
      <c r="J216" t="s">
        <v>859</v>
      </c>
      <c r="K216" t="s">
        <v>860</v>
      </c>
      <c r="L216" t="s">
        <v>861</v>
      </c>
      <c r="M216" t="s">
        <v>862</v>
      </c>
      <c r="N216" t="s">
        <v>863</v>
      </c>
      <c r="O216" t="s">
        <v>27</v>
      </c>
      <c r="P216" t="s">
        <v>193</v>
      </c>
      <c r="Q216" t="s">
        <v>85</v>
      </c>
      <c r="R216" t="s">
        <v>86</v>
      </c>
      <c r="S216" t="s">
        <v>28</v>
      </c>
      <c r="T216" t="s">
        <v>864</v>
      </c>
      <c r="U216" t="s">
        <v>863</v>
      </c>
    </row>
    <row r="217" spans="1:21" x14ac:dyDescent="0.25">
      <c r="A217" t="s">
        <v>58</v>
      </c>
      <c r="B217" t="s">
        <v>58</v>
      </c>
      <c r="C217">
        <v>150</v>
      </c>
      <c r="D217">
        <v>2</v>
      </c>
      <c r="E217">
        <v>0</v>
      </c>
      <c r="F217" t="s">
        <v>865</v>
      </c>
      <c r="G217">
        <v>329</v>
      </c>
      <c r="H217">
        <v>29</v>
      </c>
      <c r="I217" t="s">
        <v>445</v>
      </c>
      <c r="J217" t="s">
        <v>866</v>
      </c>
      <c r="K217" t="s">
        <v>867</v>
      </c>
      <c r="L217" t="s">
        <v>868</v>
      </c>
      <c r="M217" t="s">
        <v>869</v>
      </c>
      <c r="N217" t="s">
        <v>870</v>
      </c>
      <c r="O217" t="s">
        <v>27</v>
      </c>
      <c r="P217" t="s">
        <v>193</v>
      </c>
      <c r="Q217" t="s">
        <v>85</v>
      </c>
      <c r="R217" t="s">
        <v>86</v>
      </c>
      <c r="S217" t="s">
        <v>28</v>
      </c>
      <c r="T217" t="s">
        <v>871</v>
      </c>
      <c r="U217" t="s">
        <v>870</v>
      </c>
    </row>
    <row r="218" spans="1:21" x14ac:dyDescent="0.25">
      <c r="A218" t="s">
        <v>456</v>
      </c>
      <c r="B218" t="s">
        <v>457</v>
      </c>
      <c r="C218">
        <v>225</v>
      </c>
      <c r="D218">
        <v>1</v>
      </c>
      <c r="E218">
        <v>0</v>
      </c>
      <c r="F218" t="s">
        <v>872</v>
      </c>
      <c r="G218">
        <v>254</v>
      </c>
      <c r="H218">
        <v>29</v>
      </c>
      <c r="I218" t="s">
        <v>445</v>
      </c>
      <c r="J218" t="s">
        <v>873</v>
      </c>
      <c r="K218" t="s">
        <v>874</v>
      </c>
      <c r="L218" t="s">
        <v>875</v>
      </c>
      <c r="M218" t="s">
        <v>876</v>
      </c>
      <c r="N218" t="s">
        <v>877</v>
      </c>
      <c r="O218" t="s">
        <v>27</v>
      </c>
      <c r="P218" t="s">
        <v>84</v>
      </c>
      <c r="Q218" t="s">
        <v>85</v>
      </c>
      <c r="R218" t="s">
        <v>86</v>
      </c>
      <c r="S218" t="s">
        <v>28</v>
      </c>
      <c r="T218" t="s">
        <v>878</v>
      </c>
      <c r="U218" t="s">
        <v>879</v>
      </c>
    </row>
    <row r="219" spans="1:21" x14ac:dyDescent="0.25">
      <c r="A219" t="s">
        <v>880</v>
      </c>
      <c r="B219" t="s">
        <v>881</v>
      </c>
      <c r="C219">
        <v>600</v>
      </c>
      <c r="D219">
        <v>1</v>
      </c>
      <c r="E219">
        <v>0</v>
      </c>
      <c r="F219" t="s">
        <v>882</v>
      </c>
      <c r="G219">
        <v>729</v>
      </c>
      <c r="H219">
        <v>64</v>
      </c>
      <c r="I219" t="s">
        <v>24</v>
      </c>
      <c r="J219" t="s">
        <v>883</v>
      </c>
      <c r="K219" t="s">
        <v>884</v>
      </c>
      <c r="L219" t="s">
        <v>885</v>
      </c>
      <c r="M219" t="s">
        <v>886</v>
      </c>
      <c r="N219" t="s">
        <v>887</v>
      </c>
      <c r="O219" t="s">
        <v>27</v>
      </c>
      <c r="P219" t="s">
        <v>193</v>
      </c>
      <c r="Q219" t="s">
        <v>85</v>
      </c>
      <c r="R219" t="s">
        <v>86</v>
      </c>
      <c r="S219" t="s">
        <v>28</v>
      </c>
      <c r="T219" t="s">
        <v>888</v>
      </c>
      <c r="U219" t="s">
        <v>887</v>
      </c>
    </row>
    <row r="220" spans="1:21" x14ac:dyDescent="0.25">
      <c r="A220" t="s">
        <v>33</v>
      </c>
      <c r="B220" t="s">
        <v>34</v>
      </c>
      <c r="C220">
        <v>200</v>
      </c>
      <c r="D220">
        <v>1</v>
      </c>
      <c r="E220">
        <v>0</v>
      </c>
      <c r="F220" t="s">
        <v>889</v>
      </c>
      <c r="G220">
        <v>200</v>
      </c>
      <c r="H220">
        <v>0</v>
      </c>
      <c r="I220" t="s">
        <v>24</v>
      </c>
      <c r="J220" t="s">
        <v>847</v>
      </c>
      <c r="K220" t="s">
        <v>299</v>
      </c>
      <c r="L220" t="s">
        <v>27</v>
      </c>
      <c r="M220" t="s">
        <v>28</v>
      </c>
      <c r="N220" t="s">
        <v>890</v>
      </c>
      <c r="O220" t="s">
        <v>27</v>
      </c>
      <c r="P220" t="s">
        <v>39</v>
      </c>
      <c r="Q220" t="s">
        <v>31</v>
      </c>
      <c r="R220" t="s">
        <v>32</v>
      </c>
      <c r="S220" t="s">
        <v>28</v>
      </c>
      <c r="T220" t="s">
        <v>891</v>
      </c>
      <c r="U220" t="s">
        <v>890</v>
      </c>
    </row>
    <row r="221" spans="1:21" x14ac:dyDescent="0.25">
      <c r="A221" t="s">
        <v>33</v>
      </c>
      <c r="B221" t="s">
        <v>34</v>
      </c>
      <c r="C221">
        <v>200</v>
      </c>
      <c r="D221">
        <v>1</v>
      </c>
      <c r="E221">
        <v>0</v>
      </c>
      <c r="F221" t="s">
        <v>892</v>
      </c>
      <c r="G221">
        <v>200</v>
      </c>
      <c r="H221">
        <v>0</v>
      </c>
      <c r="I221" t="s">
        <v>445</v>
      </c>
      <c r="J221" t="s">
        <v>893</v>
      </c>
      <c r="K221" t="s">
        <v>594</v>
      </c>
      <c r="L221" t="s">
        <v>27</v>
      </c>
      <c r="M221" t="s">
        <v>28</v>
      </c>
      <c r="N221" t="s">
        <v>894</v>
      </c>
      <c r="O221" t="s">
        <v>27</v>
      </c>
      <c r="P221" t="s">
        <v>39</v>
      </c>
      <c r="Q221" t="s">
        <v>31</v>
      </c>
      <c r="R221" t="s">
        <v>32</v>
      </c>
      <c r="S221" t="s">
        <v>28</v>
      </c>
      <c r="T221" t="s">
        <v>895</v>
      </c>
      <c r="U221" t="s">
        <v>896</v>
      </c>
    </row>
    <row r="222" spans="1:21" x14ac:dyDescent="0.25">
      <c r="A222" t="s">
        <v>475</v>
      </c>
      <c r="B222" t="s">
        <v>476</v>
      </c>
      <c r="C222">
        <v>182</v>
      </c>
      <c r="D222">
        <v>1</v>
      </c>
      <c r="E222">
        <v>0</v>
      </c>
      <c r="F222" t="s">
        <v>897</v>
      </c>
      <c r="G222">
        <v>182</v>
      </c>
      <c r="H222">
        <v>0</v>
      </c>
      <c r="I222" t="s">
        <v>24</v>
      </c>
      <c r="J222" t="s">
        <v>898</v>
      </c>
      <c r="K222" t="s">
        <v>899</v>
      </c>
      <c r="L222" t="s">
        <v>777</v>
      </c>
      <c r="M222" t="s">
        <v>900</v>
      </c>
      <c r="N222" t="s">
        <v>901</v>
      </c>
      <c r="O222" t="s">
        <v>27</v>
      </c>
      <c r="P222" t="s">
        <v>48</v>
      </c>
      <c r="Q222" t="s">
        <v>49</v>
      </c>
      <c r="R222" t="s">
        <v>50</v>
      </c>
      <c r="S222" t="s">
        <v>28</v>
      </c>
      <c r="T222" t="s">
        <v>902</v>
      </c>
      <c r="U222" t="s">
        <v>901</v>
      </c>
    </row>
    <row r="223" spans="1:21" x14ac:dyDescent="0.25">
      <c r="A223" t="s">
        <v>33</v>
      </c>
      <c r="B223" t="s">
        <v>34</v>
      </c>
      <c r="C223">
        <v>200</v>
      </c>
      <c r="D223">
        <v>1</v>
      </c>
      <c r="E223">
        <v>0</v>
      </c>
      <c r="F223" t="s">
        <v>903</v>
      </c>
      <c r="G223">
        <v>200</v>
      </c>
      <c r="H223">
        <v>0</v>
      </c>
      <c r="I223" t="s">
        <v>24</v>
      </c>
      <c r="J223" t="s">
        <v>904</v>
      </c>
      <c r="K223" t="s">
        <v>241</v>
      </c>
      <c r="L223" t="s">
        <v>27</v>
      </c>
      <c r="M223" t="s">
        <v>28</v>
      </c>
      <c r="N223" t="s">
        <v>901</v>
      </c>
      <c r="O223" t="s">
        <v>27</v>
      </c>
      <c r="P223" t="s">
        <v>39</v>
      </c>
      <c r="Q223" t="s">
        <v>31</v>
      </c>
      <c r="R223" t="s">
        <v>32</v>
      </c>
      <c r="S223" t="s">
        <v>28</v>
      </c>
      <c r="T223" t="s">
        <v>905</v>
      </c>
      <c r="U223" t="s">
        <v>901</v>
      </c>
    </row>
    <row r="224" spans="1:21" x14ac:dyDescent="0.25">
      <c r="A224" t="s">
        <v>63</v>
      </c>
      <c r="B224" t="s">
        <v>64</v>
      </c>
      <c r="C224">
        <v>100</v>
      </c>
      <c r="D224">
        <v>1</v>
      </c>
      <c r="E224">
        <v>0</v>
      </c>
      <c r="F224" t="s">
        <v>906</v>
      </c>
      <c r="G224">
        <v>200</v>
      </c>
      <c r="H224">
        <v>0</v>
      </c>
      <c r="I224" t="s">
        <v>24</v>
      </c>
      <c r="J224" t="s">
        <v>833</v>
      </c>
      <c r="K224" t="s">
        <v>834</v>
      </c>
      <c r="L224" t="s">
        <v>27</v>
      </c>
      <c r="M224" t="s">
        <v>28</v>
      </c>
      <c r="N224" t="s">
        <v>907</v>
      </c>
      <c r="O224" t="s">
        <v>27</v>
      </c>
      <c r="P224" t="s">
        <v>39</v>
      </c>
      <c r="Q224" t="s">
        <v>31</v>
      </c>
      <c r="R224" t="s">
        <v>32</v>
      </c>
      <c r="S224" t="s">
        <v>28</v>
      </c>
      <c r="T224" t="s">
        <v>908</v>
      </c>
      <c r="U224" t="s">
        <v>907</v>
      </c>
    </row>
    <row r="225" spans="1:21" x14ac:dyDescent="0.25">
      <c r="A225" t="s">
        <v>134</v>
      </c>
      <c r="B225" t="s">
        <v>64</v>
      </c>
      <c r="C225">
        <v>100</v>
      </c>
      <c r="D225">
        <v>1</v>
      </c>
      <c r="E225">
        <v>0</v>
      </c>
      <c r="F225" t="s">
        <v>906</v>
      </c>
      <c r="G225">
        <v>200</v>
      </c>
      <c r="H225">
        <v>0</v>
      </c>
      <c r="I225" t="s">
        <v>24</v>
      </c>
      <c r="J225" t="s">
        <v>833</v>
      </c>
      <c r="K225" t="s">
        <v>834</v>
      </c>
      <c r="L225" t="s">
        <v>27</v>
      </c>
      <c r="M225" t="s">
        <v>28</v>
      </c>
      <c r="N225" t="s">
        <v>907</v>
      </c>
      <c r="O225" t="s">
        <v>27</v>
      </c>
      <c r="P225" t="s">
        <v>39</v>
      </c>
      <c r="Q225" t="s">
        <v>31</v>
      </c>
      <c r="R225" t="s">
        <v>32</v>
      </c>
      <c r="S225" t="s">
        <v>28</v>
      </c>
      <c r="T225" t="s">
        <v>908</v>
      </c>
      <c r="U225" t="s">
        <v>907</v>
      </c>
    </row>
    <row r="226" spans="1:21" x14ac:dyDescent="0.25">
      <c r="A226" t="s">
        <v>909</v>
      </c>
      <c r="B226" t="s">
        <v>276</v>
      </c>
      <c r="C226">
        <v>273</v>
      </c>
      <c r="D226">
        <v>1</v>
      </c>
      <c r="E226">
        <v>0</v>
      </c>
      <c r="F226" t="s">
        <v>910</v>
      </c>
      <c r="G226">
        <v>318</v>
      </c>
      <c r="H226">
        <v>45</v>
      </c>
      <c r="I226" t="s">
        <v>24</v>
      </c>
      <c r="J226" t="s">
        <v>911</v>
      </c>
      <c r="K226" t="s">
        <v>912</v>
      </c>
      <c r="L226" t="s">
        <v>913</v>
      </c>
      <c r="M226" t="s">
        <v>914</v>
      </c>
      <c r="N226" t="s">
        <v>915</v>
      </c>
      <c r="O226" t="s">
        <v>27</v>
      </c>
      <c r="P226" t="s">
        <v>48</v>
      </c>
      <c r="Q226" t="s">
        <v>49</v>
      </c>
      <c r="R226" t="s">
        <v>50</v>
      </c>
      <c r="S226" t="s">
        <v>28</v>
      </c>
      <c r="T226" t="s">
        <v>916</v>
      </c>
      <c r="U226" t="s">
        <v>915</v>
      </c>
    </row>
    <row r="227" spans="1:21" x14ac:dyDescent="0.25">
      <c r="A227" t="s">
        <v>21</v>
      </c>
      <c r="B227" t="s">
        <v>22</v>
      </c>
      <c r="C227">
        <v>100</v>
      </c>
      <c r="D227">
        <v>1</v>
      </c>
      <c r="E227">
        <v>0</v>
      </c>
      <c r="F227" t="s">
        <v>917</v>
      </c>
      <c r="G227">
        <v>106</v>
      </c>
      <c r="H227">
        <v>6</v>
      </c>
      <c r="I227" t="s">
        <v>24</v>
      </c>
      <c r="J227" t="s">
        <v>918</v>
      </c>
      <c r="K227" t="s">
        <v>919</v>
      </c>
      <c r="L227" t="s">
        <v>27</v>
      </c>
      <c r="M227" t="s">
        <v>28</v>
      </c>
      <c r="N227" t="s">
        <v>920</v>
      </c>
      <c r="O227" t="s">
        <v>27</v>
      </c>
      <c r="P227" t="s">
        <v>39</v>
      </c>
      <c r="Q227" t="s">
        <v>31</v>
      </c>
      <c r="R227" t="s">
        <v>32</v>
      </c>
      <c r="S227" t="s">
        <v>28</v>
      </c>
      <c r="T227" t="s">
        <v>921</v>
      </c>
      <c r="U227" t="s">
        <v>920</v>
      </c>
    </row>
    <row r="228" spans="1:21" x14ac:dyDescent="0.25">
      <c r="A228" t="s">
        <v>185</v>
      </c>
      <c r="B228" t="s">
        <v>186</v>
      </c>
      <c r="C228">
        <v>160</v>
      </c>
      <c r="D228">
        <v>1</v>
      </c>
      <c r="E228">
        <v>0</v>
      </c>
      <c r="F228" t="s">
        <v>922</v>
      </c>
      <c r="G228">
        <v>160</v>
      </c>
      <c r="H228">
        <v>0</v>
      </c>
      <c r="I228" t="s">
        <v>24</v>
      </c>
      <c r="J228" t="s">
        <v>923</v>
      </c>
      <c r="K228" t="s">
        <v>924</v>
      </c>
      <c r="L228" t="s">
        <v>925</v>
      </c>
      <c r="M228" t="s">
        <v>926</v>
      </c>
      <c r="N228" t="s">
        <v>927</v>
      </c>
      <c r="O228" t="s">
        <v>27</v>
      </c>
      <c r="P228" t="s">
        <v>193</v>
      </c>
      <c r="Q228" t="s">
        <v>85</v>
      </c>
      <c r="R228" t="s">
        <v>86</v>
      </c>
      <c r="S228" t="s">
        <v>28</v>
      </c>
      <c r="T228" t="s">
        <v>928</v>
      </c>
      <c r="U228" t="s">
        <v>929</v>
      </c>
    </row>
    <row r="229" spans="1:21" x14ac:dyDescent="0.25">
      <c r="A229" t="s">
        <v>70</v>
      </c>
      <c r="B229" t="s">
        <v>70</v>
      </c>
      <c r="C229">
        <v>330</v>
      </c>
      <c r="D229">
        <v>1</v>
      </c>
      <c r="E229">
        <v>0</v>
      </c>
      <c r="F229" t="s">
        <v>930</v>
      </c>
      <c r="G229">
        <v>330</v>
      </c>
      <c r="H229">
        <v>0</v>
      </c>
      <c r="I229" t="s">
        <v>24</v>
      </c>
      <c r="J229" t="s">
        <v>931</v>
      </c>
      <c r="K229" t="s">
        <v>384</v>
      </c>
      <c r="L229" t="s">
        <v>27</v>
      </c>
      <c r="M229" t="s">
        <v>28</v>
      </c>
      <c r="N229" t="s">
        <v>932</v>
      </c>
      <c r="O229" t="s">
        <v>27</v>
      </c>
      <c r="P229" t="s">
        <v>39</v>
      </c>
      <c r="Q229" t="s">
        <v>31</v>
      </c>
      <c r="R229" t="s">
        <v>32</v>
      </c>
      <c r="S229" t="s">
        <v>28</v>
      </c>
      <c r="T229" t="s">
        <v>933</v>
      </c>
      <c r="U229" t="s">
        <v>932</v>
      </c>
    </row>
    <row r="230" spans="1:21" x14ac:dyDescent="0.25">
      <c r="A230" t="s">
        <v>21</v>
      </c>
      <c r="B230" t="s">
        <v>22</v>
      </c>
      <c r="C230">
        <v>100</v>
      </c>
      <c r="D230">
        <v>5</v>
      </c>
      <c r="E230">
        <v>0</v>
      </c>
      <c r="F230" t="s">
        <v>934</v>
      </c>
      <c r="G230">
        <v>500</v>
      </c>
      <c r="H230">
        <v>0</v>
      </c>
      <c r="I230" t="s">
        <v>24</v>
      </c>
      <c r="J230" t="s">
        <v>935</v>
      </c>
      <c r="K230" t="s">
        <v>936</v>
      </c>
      <c r="L230" t="s">
        <v>27</v>
      </c>
      <c r="M230" t="s">
        <v>28</v>
      </c>
      <c r="N230" t="s">
        <v>937</v>
      </c>
      <c r="O230" t="s">
        <v>27</v>
      </c>
      <c r="P230" t="s">
        <v>39</v>
      </c>
      <c r="Q230" t="s">
        <v>31</v>
      </c>
      <c r="R230" t="s">
        <v>32</v>
      </c>
      <c r="S230" t="s">
        <v>28</v>
      </c>
      <c r="T230" t="s">
        <v>938</v>
      </c>
      <c r="U230" t="s">
        <v>939</v>
      </c>
    </row>
    <row r="231" spans="1:21" x14ac:dyDescent="0.25">
      <c r="A231" t="s">
        <v>58</v>
      </c>
      <c r="B231" t="s">
        <v>103</v>
      </c>
      <c r="C231">
        <v>105</v>
      </c>
      <c r="D231">
        <v>1</v>
      </c>
      <c r="E231">
        <v>0</v>
      </c>
      <c r="F231" t="s">
        <v>940</v>
      </c>
      <c r="G231">
        <v>150</v>
      </c>
      <c r="H231">
        <v>45</v>
      </c>
      <c r="I231" t="s">
        <v>105</v>
      </c>
      <c r="J231" t="s">
        <v>941</v>
      </c>
      <c r="K231" t="s">
        <v>942</v>
      </c>
      <c r="L231" t="s">
        <v>81</v>
      </c>
      <c r="M231" t="s">
        <v>943</v>
      </c>
      <c r="N231" t="s">
        <v>944</v>
      </c>
      <c r="O231" t="s">
        <v>27</v>
      </c>
      <c r="P231" t="s">
        <v>48</v>
      </c>
      <c r="Q231" t="s">
        <v>49</v>
      </c>
      <c r="R231" t="s">
        <v>50</v>
      </c>
      <c r="S231" t="s">
        <v>28</v>
      </c>
      <c r="T231" t="s">
        <v>945</v>
      </c>
      <c r="U231" t="s">
        <v>944</v>
      </c>
    </row>
    <row r="232" spans="1:21" x14ac:dyDescent="0.25">
      <c r="A232" t="s">
        <v>33</v>
      </c>
      <c r="B232" t="s">
        <v>34</v>
      </c>
      <c r="C232">
        <v>200</v>
      </c>
      <c r="D232">
        <v>4</v>
      </c>
      <c r="E232">
        <v>0</v>
      </c>
      <c r="F232" t="s">
        <v>946</v>
      </c>
      <c r="G232">
        <v>800</v>
      </c>
      <c r="H232">
        <v>0</v>
      </c>
      <c r="I232" t="s">
        <v>24</v>
      </c>
      <c r="J232" t="s">
        <v>947</v>
      </c>
      <c r="K232" t="s">
        <v>350</v>
      </c>
      <c r="L232" t="s">
        <v>27</v>
      </c>
      <c r="M232" t="s">
        <v>28</v>
      </c>
      <c r="N232" t="s">
        <v>948</v>
      </c>
      <c r="O232" t="s">
        <v>27</v>
      </c>
      <c r="P232" t="s">
        <v>39</v>
      </c>
      <c r="Q232" t="s">
        <v>31</v>
      </c>
      <c r="R232" t="s">
        <v>32</v>
      </c>
      <c r="S232" t="s">
        <v>28</v>
      </c>
      <c r="T232" t="s">
        <v>949</v>
      </c>
      <c r="U232" t="s">
        <v>950</v>
      </c>
    </row>
    <row r="233" spans="1:21" x14ac:dyDescent="0.25">
      <c r="A233" t="s">
        <v>143</v>
      </c>
      <c r="B233" t="s">
        <v>144</v>
      </c>
      <c r="C233">
        <v>200</v>
      </c>
      <c r="D233">
        <v>1</v>
      </c>
      <c r="E233">
        <v>0</v>
      </c>
      <c r="F233" t="s">
        <v>951</v>
      </c>
      <c r="G233">
        <v>200</v>
      </c>
      <c r="H233">
        <v>0</v>
      </c>
      <c r="I233" t="s">
        <v>140</v>
      </c>
      <c r="J233" t="s">
        <v>952</v>
      </c>
      <c r="K233" t="s">
        <v>209</v>
      </c>
      <c r="L233" t="s">
        <v>27</v>
      </c>
      <c r="M233" t="s">
        <v>28</v>
      </c>
      <c r="N233" t="s">
        <v>948</v>
      </c>
      <c r="O233" t="s">
        <v>27</v>
      </c>
      <c r="P233" t="s">
        <v>30</v>
      </c>
      <c r="Q233" t="s">
        <v>31</v>
      </c>
      <c r="R233" t="s">
        <v>32</v>
      </c>
      <c r="S233" t="s">
        <v>28</v>
      </c>
      <c r="T233" t="s">
        <v>953</v>
      </c>
      <c r="U233" t="s">
        <v>948</v>
      </c>
    </row>
    <row r="234" spans="1:21" x14ac:dyDescent="0.25">
      <c r="A234" t="s">
        <v>21</v>
      </c>
      <c r="B234" t="s">
        <v>22</v>
      </c>
      <c r="C234">
        <v>100</v>
      </c>
      <c r="D234">
        <v>2</v>
      </c>
      <c r="E234">
        <v>0</v>
      </c>
      <c r="F234" t="s">
        <v>954</v>
      </c>
      <c r="G234">
        <v>200</v>
      </c>
      <c r="H234">
        <v>0</v>
      </c>
      <c r="I234" t="s">
        <v>24</v>
      </c>
      <c r="J234" t="s">
        <v>955</v>
      </c>
      <c r="K234" t="s">
        <v>61</v>
      </c>
      <c r="L234" t="s">
        <v>27</v>
      </c>
      <c r="M234" t="s">
        <v>28</v>
      </c>
      <c r="N234" t="s">
        <v>956</v>
      </c>
      <c r="O234" t="s">
        <v>27</v>
      </c>
      <c r="P234" t="s">
        <v>39</v>
      </c>
      <c r="Q234" t="s">
        <v>31</v>
      </c>
      <c r="R234" t="s">
        <v>32</v>
      </c>
      <c r="S234" t="s">
        <v>28</v>
      </c>
      <c r="T234" t="s">
        <v>957</v>
      </c>
      <c r="U234" t="s">
        <v>956</v>
      </c>
    </row>
    <row r="235" spans="1:21" x14ac:dyDescent="0.25">
      <c r="A235" t="s">
        <v>143</v>
      </c>
      <c r="B235" t="s">
        <v>144</v>
      </c>
      <c r="C235">
        <v>200</v>
      </c>
      <c r="D235">
        <v>1</v>
      </c>
      <c r="E235">
        <v>0</v>
      </c>
      <c r="F235" t="s">
        <v>958</v>
      </c>
      <c r="G235">
        <v>200</v>
      </c>
      <c r="H235">
        <v>0</v>
      </c>
      <c r="I235" t="s">
        <v>140</v>
      </c>
      <c r="J235" t="s">
        <v>959</v>
      </c>
      <c r="K235" t="s">
        <v>960</v>
      </c>
      <c r="L235" t="s">
        <v>27</v>
      </c>
      <c r="M235" t="s">
        <v>28</v>
      </c>
      <c r="N235" t="s">
        <v>961</v>
      </c>
      <c r="O235" t="s">
        <v>27</v>
      </c>
      <c r="P235" t="s">
        <v>30</v>
      </c>
      <c r="Q235" t="s">
        <v>31</v>
      </c>
      <c r="R235" t="s">
        <v>32</v>
      </c>
      <c r="S235" t="s">
        <v>28</v>
      </c>
      <c r="T235" t="s">
        <v>962</v>
      </c>
      <c r="U235" t="s">
        <v>961</v>
      </c>
    </row>
    <row r="236" spans="1:21" x14ac:dyDescent="0.25">
      <c r="A236" t="s">
        <v>21</v>
      </c>
      <c r="B236" t="s">
        <v>22</v>
      </c>
      <c r="C236">
        <v>100</v>
      </c>
      <c r="D236">
        <v>1</v>
      </c>
      <c r="E236">
        <v>0</v>
      </c>
      <c r="F236" t="s">
        <v>963</v>
      </c>
      <c r="G236">
        <v>100</v>
      </c>
      <c r="H236">
        <v>0</v>
      </c>
      <c r="I236" t="s">
        <v>24</v>
      </c>
      <c r="J236" t="s">
        <v>964</v>
      </c>
      <c r="K236" t="s">
        <v>124</v>
      </c>
      <c r="L236" t="s">
        <v>27</v>
      </c>
      <c r="M236" t="s">
        <v>28</v>
      </c>
      <c r="N236" t="s">
        <v>965</v>
      </c>
      <c r="O236" t="s">
        <v>27</v>
      </c>
      <c r="P236" t="s">
        <v>39</v>
      </c>
      <c r="Q236" t="s">
        <v>31</v>
      </c>
      <c r="R236" t="s">
        <v>32</v>
      </c>
      <c r="S236" t="s">
        <v>28</v>
      </c>
      <c r="T236" t="s">
        <v>966</v>
      </c>
      <c r="U236" t="s">
        <v>965</v>
      </c>
    </row>
    <row r="237" spans="1:21" x14ac:dyDescent="0.25">
      <c r="A237" t="s">
        <v>143</v>
      </c>
      <c r="B237" t="s">
        <v>144</v>
      </c>
      <c r="C237">
        <v>200</v>
      </c>
      <c r="D237">
        <v>1</v>
      </c>
      <c r="E237">
        <v>0</v>
      </c>
      <c r="F237" t="s">
        <v>967</v>
      </c>
      <c r="G237">
        <v>200</v>
      </c>
      <c r="H237">
        <v>0</v>
      </c>
      <c r="I237" t="s">
        <v>140</v>
      </c>
      <c r="J237" t="s">
        <v>968</v>
      </c>
      <c r="K237" t="s">
        <v>273</v>
      </c>
      <c r="L237" t="s">
        <v>27</v>
      </c>
      <c r="M237" t="s">
        <v>28</v>
      </c>
      <c r="N237" t="s">
        <v>969</v>
      </c>
      <c r="O237" t="s">
        <v>27</v>
      </c>
      <c r="P237" t="s">
        <v>30</v>
      </c>
      <c r="Q237" t="s">
        <v>31</v>
      </c>
      <c r="R237" t="s">
        <v>32</v>
      </c>
      <c r="S237" t="s">
        <v>28</v>
      </c>
      <c r="T237" t="s">
        <v>970</v>
      </c>
      <c r="U237" t="s">
        <v>969</v>
      </c>
    </row>
    <row r="238" spans="1:21" x14ac:dyDescent="0.25">
      <c r="A238" t="s">
        <v>134</v>
      </c>
      <c r="B238" t="s">
        <v>64</v>
      </c>
      <c r="C238">
        <v>130</v>
      </c>
      <c r="D238">
        <v>3</v>
      </c>
      <c r="E238">
        <v>0</v>
      </c>
      <c r="F238" t="s">
        <v>971</v>
      </c>
      <c r="G238">
        <v>426</v>
      </c>
      <c r="H238">
        <v>41</v>
      </c>
      <c r="I238" t="s">
        <v>445</v>
      </c>
      <c r="J238" t="s">
        <v>972</v>
      </c>
      <c r="K238" t="s">
        <v>973</v>
      </c>
      <c r="L238" t="s">
        <v>974</v>
      </c>
      <c r="M238" t="s">
        <v>975</v>
      </c>
      <c r="N238" t="s">
        <v>976</v>
      </c>
      <c r="O238" t="s">
        <v>27</v>
      </c>
      <c r="P238" t="s">
        <v>193</v>
      </c>
      <c r="Q238" t="s">
        <v>85</v>
      </c>
      <c r="R238" t="s">
        <v>86</v>
      </c>
      <c r="S238" t="s">
        <v>28</v>
      </c>
      <c r="T238" t="s">
        <v>977</v>
      </c>
      <c r="U238" t="s">
        <v>976</v>
      </c>
    </row>
    <row r="239" spans="1:21" x14ac:dyDescent="0.25">
      <c r="A239" t="s">
        <v>243</v>
      </c>
      <c r="B239" t="s">
        <v>244</v>
      </c>
      <c r="C239">
        <v>200</v>
      </c>
      <c r="D239">
        <v>1</v>
      </c>
      <c r="E239">
        <v>0</v>
      </c>
      <c r="F239" t="s">
        <v>978</v>
      </c>
      <c r="G239">
        <v>200</v>
      </c>
      <c r="H239">
        <v>0</v>
      </c>
      <c r="I239" t="s">
        <v>24</v>
      </c>
      <c r="J239" t="s">
        <v>979</v>
      </c>
      <c r="K239" t="s">
        <v>594</v>
      </c>
      <c r="L239" t="s">
        <v>27</v>
      </c>
      <c r="M239" t="s">
        <v>28</v>
      </c>
      <c r="N239" t="s">
        <v>980</v>
      </c>
      <c r="O239" t="s">
        <v>27</v>
      </c>
      <c r="P239" t="s">
        <v>39</v>
      </c>
      <c r="Q239" t="s">
        <v>31</v>
      </c>
      <c r="R239" t="s">
        <v>32</v>
      </c>
      <c r="S239" t="s">
        <v>28</v>
      </c>
      <c r="T239" t="s">
        <v>981</v>
      </c>
      <c r="U239" t="s">
        <v>982</v>
      </c>
    </row>
    <row r="240" spans="1:21" x14ac:dyDescent="0.25">
      <c r="A240" t="s">
        <v>58</v>
      </c>
      <c r="B240" t="s">
        <v>103</v>
      </c>
      <c r="C240">
        <v>84</v>
      </c>
      <c r="D240">
        <v>1</v>
      </c>
      <c r="E240">
        <v>0</v>
      </c>
      <c r="F240" t="s">
        <v>983</v>
      </c>
      <c r="G240">
        <v>84</v>
      </c>
      <c r="H240">
        <v>0</v>
      </c>
      <c r="I240" t="s">
        <v>105</v>
      </c>
      <c r="J240" t="s">
        <v>984</v>
      </c>
      <c r="K240" t="s">
        <v>985</v>
      </c>
      <c r="L240" t="s">
        <v>986</v>
      </c>
      <c r="M240" t="s">
        <v>987</v>
      </c>
      <c r="N240" t="s">
        <v>988</v>
      </c>
      <c r="O240" t="s">
        <v>27</v>
      </c>
      <c r="P240" t="s">
        <v>48</v>
      </c>
      <c r="Q240" t="s">
        <v>49</v>
      </c>
      <c r="R240" t="s">
        <v>50</v>
      </c>
      <c r="S240" t="s">
        <v>28</v>
      </c>
      <c r="T240" t="s">
        <v>989</v>
      </c>
      <c r="U240" t="s">
        <v>988</v>
      </c>
    </row>
    <row r="241" spans="1:21" x14ac:dyDescent="0.25">
      <c r="A241" t="s">
        <v>143</v>
      </c>
      <c r="B241" t="s">
        <v>144</v>
      </c>
      <c r="C241">
        <v>200</v>
      </c>
      <c r="D241">
        <v>1</v>
      </c>
      <c r="E241">
        <v>0</v>
      </c>
      <c r="F241" t="s">
        <v>990</v>
      </c>
      <c r="G241">
        <v>200</v>
      </c>
      <c r="H241">
        <v>0</v>
      </c>
      <c r="I241" t="s">
        <v>24</v>
      </c>
      <c r="J241" t="s">
        <v>991</v>
      </c>
      <c r="K241" t="s">
        <v>285</v>
      </c>
      <c r="L241" t="s">
        <v>27</v>
      </c>
      <c r="M241" t="s">
        <v>28</v>
      </c>
      <c r="N241" t="s">
        <v>992</v>
      </c>
      <c r="O241" t="s">
        <v>27</v>
      </c>
      <c r="P241" t="s">
        <v>56</v>
      </c>
      <c r="Q241" t="s">
        <v>31</v>
      </c>
      <c r="R241" t="s">
        <v>57</v>
      </c>
      <c r="S241" t="s">
        <v>28</v>
      </c>
      <c r="T241" t="s">
        <v>993</v>
      </c>
      <c r="U241" t="s">
        <v>988</v>
      </c>
    </row>
    <row r="242" spans="1:21" x14ac:dyDescent="0.25">
      <c r="A242" t="s">
        <v>21</v>
      </c>
      <c r="B242" t="s">
        <v>22</v>
      </c>
      <c r="C242">
        <v>100</v>
      </c>
      <c r="D242">
        <v>1</v>
      </c>
      <c r="E242">
        <v>0</v>
      </c>
      <c r="F242" t="s">
        <v>994</v>
      </c>
      <c r="G242">
        <v>106</v>
      </c>
      <c r="H242">
        <v>6</v>
      </c>
      <c r="I242" t="s">
        <v>24</v>
      </c>
      <c r="J242" t="s">
        <v>995</v>
      </c>
      <c r="K242" t="s">
        <v>147</v>
      </c>
      <c r="L242" t="s">
        <v>27</v>
      </c>
      <c r="M242" t="s">
        <v>28</v>
      </c>
      <c r="N242" t="s">
        <v>992</v>
      </c>
      <c r="O242" t="s">
        <v>27</v>
      </c>
      <c r="P242" t="s">
        <v>39</v>
      </c>
      <c r="Q242" t="s">
        <v>31</v>
      </c>
      <c r="R242" t="s">
        <v>32</v>
      </c>
      <c r="S242" t="s">
        <v>28</v>
      </c>
      <c r="T242" t="s">
        <v>996</v>
      </c>
      <c r="U242" t="s">
        <v>988</v>
      </c>
    </row>
    <row r="243" spans="1:21" x14ac:dyDescent="0.25">
      <c r="A243" t="s">
        <v>997</v>
      </c>
      <c r="B243" t="s">
        <v>998</v>
      </c>
      <c r="C243">
        <v>800</v>
      </c>
      <c r="D243">
        <v>1</v>
      </c>
      <c r="E243">
        <v>0</v>
      </c>
      <c r="F243" t="s">
        <v>999</v>
      </c>
      <c r="G243">
        <v>800</v>
      </c>
      <c r="H243">
        <v>0</v>
      </c>
      <c r="I243" t="s">
        <v>140</v>
      </c>
      <c r="J243" t="s">
        <v>1000</v>
      </c>
      <c r="K243" t="s">
        <v>758</v>
      </c>
      <c r="L243" t="s">
        <v>27</v>
      </c>
      <c r="M243" t="s">
        <v>28</v>
      </c>
      <c r="N243" t="s">
        <v>1001</v>
      </c>
      <c r="O243" t="s">
        <v>27</v>
      </c>
      <c r="P243" t="s">
        <v>30</v>
      </c>
      <c r="Q243" t="s">
        <v>31</v>
      </c>
      <c r="R243" t="s">
        <v>32</v>
      </c>
      <c r="S243" t="s">
        <v>28</v>
      </c>
      <c r="T243" t="s">
        <v>1002</v>
      </c>
      <c r="U243" t="s">
        <v>1001</v>
      </c>
    </row>
    <row r="244" spans="1:21" x14ac:dyDescent="0.25">
      <c r="A244" t="s">
        <v>195</v>
      </c>
      <c r="B244" t="s">
        <v>1003</v>
      </c>
      <c r="C244">
        <v>213.75</v>
      </c>
      <c r="D244">
        <v>1</v>
      </c>
      <c r="E244">
        <v>0</v>
      </c>
      <c r="F244" t="s">
        <v>1004</v>
      </c>
      <c r="G244">
        <v>218.75</v>
      </c>
      <c r="H244">
        <v>5</v>
      </c>
      <c r="I244" t="s">
        <v>628</v>
      </c>
      <c r="J244" t="s">
        <v>1005</v>
      </c>
      <c r="K244" t="s">
        <v>1006</v>
      </c>
      <c r="L244" t="s">
        <v>1007</v>
      </c>
      <c r="M244" t="s">
        <v>1008</v>
      </c>
      <c r="N244" t="s">
        <v>1009</v>
      </c>
      <c r="O244" t="s">
        <v>27</v>
      </c>
      <c r="P244" t="s">
        <v>48</v>
      </c>
      <c r="Q244" t="s">
        <v>49</v>
      </c>
      <c r="R244" t="s">
        <v>50</v>
      </c>
      <c r="S244" t="s">
        <v>28</v>
      </c>
      <c r="T244" t="s">
        <v>1010</v>
      </c>
      <c r="U244" t="s">
        <v>1009</v>
      </c>
    </row>
    <row r="245" spans="1:21" x14ac:dyDescent="0.25">
      <c r="A245" t="s">
        <v>143</v>
      </c>
      <c r="B245" t="s">
        <v>144</v>
      </c>
      <c r="C245">
        <v>200</v>
      </c>
      <c r="D245">
        <v>1</v>
      </c>
      <c r="E245">
        <v>0</v>
      </c>
      <c r="F245" t="s">
        <v>1011</v>
      </c>
      <c r="G245">
        <v>200</v>
      </c>
      <c r="H245">
        <v>0</v>
      </c>
      <c r="I245" t="s">
        <v>140</v>
      </c>
      <c r="J245" t="s">
        <v>1012</v>
      </c>
      <c r="K245" t="s">
        <v>89</v>
      </c>
      <c r="L245" t="s">
        <v>27</v>
      </c>
      <c r="M245" t="s">
        <v>28</v>
      </c>
      <c r="N245" t="s">
        <v>1009</v>
      </c>
      <c r="O245" t="s">
        <v>27</v>
      </c>
      <c r="P245" t="s">
        <v>30</v>
      </c>
      <c r="Q245" t="s">
        <v>31</v>
      </c>
      <c r="R245" t="s">
        <v>32</v>
      </c>
      <c r="S245" t="s">
        <v>28</v>
      </c>
      <c r="T245" t="s">
        <v>1013</v>
      </c>
      <c r="U245" t="s">
        <v>1009</v>
      </c>
    </row>
    <row r="246" spans="1:21" x14ac:dyDescent="0.25">
      <c r="A246" t="s">
        <v>63</v>
      </c>
      <c r="B246" t="s">
        <v>64</v>
      </c>
      <c r="C246">
        <v>100</v>
      </c>
      <c r="D246">
        <v>3</v>
      </c>
      <c r="E246">
        <v>0</v>
      </c>
      <c r="F246" t="s">
        <v>1014</v>
      </c>
      <c r="G246">
        <v>300</v>
      </c>
      <c r="H246">
        <v>0</v>
      </c>
      <c r="I246" t="s">
        <v>24</v>
      </c>
      <c r="J246" t="s">
        <v>1015</v>
      </c>
      <c r="K246" t="s">
        <v>753</v>
      </c>
      <c r="L246" t="s">
        <v>27</v>
      </c>
      <c r="M246" t="s">
        <v>28</v>
      </c>
      <c r="N246" t="s">
        <v>1016</v>
      </c>
      <c r="O246" t="s">
        <v>27</v>
      </c>
      <c r="P246" t="s">
        <v>39</v>
      </c>
      <c r="Q246" t="s">
        <v>31</v>
      </c>
      <c r="R246" t="s">
        <v>32</v>
      </c>
      <c r="S246" t="s">
        <v>28</v>
      </c>
      <c r="T246" t="s">
        <v>1017</v>
      </c>
      <c r="U246" t="s">
        <v>1016</v>
      </c>
    </row>
    <row r="247" spans="1:21" x14ac:dyDescent="0.25">
      <c r="A247" t="s">
        <v>21</v>
      </c>
      <c r="B247" t="s">
        <v>22</v>
      </c>
      <c r="C247">
        <v>100</v>
      </c>
      <c r="D247">
        <v>3</v>
      </c>
      <c r="E247">
        <v>0</v>
      </c>
      <c r="F247" t="s">
        <v>1018</v>
      </c>
      <c r="G247">
        <v>300</v>
      </c>
      <c r="H247">
        <v>0</v>
      </c>
      <c r="I247" t="s">
        <v>24</v>
      </c>
      <c r="J247" t="s">
        <v>1019</v>
      </c>
      <c r="K247" t="s">
        <v>350</v>
      </c>
      <c r="L247" t="s">
        <v>27</v>
      </c>
      <c r="M247" t="s">
        <v>28</v>
      </c>
      <c r="N247" t="s">
        <v>1020</v>
      </c>
      <c r="O247" t="s">
        <v>27</v>
      </c>
      <c r="P247" t="s">
        <v>39</v>
      </c>
      <c r="Q247" t="s">
        <v>31</v>
      </c>
      <c r="R247" t="s">
        <v>32</v>
      </c>
      <c r="S247" t="s">
        <v>28</v>
      </c>
      <c r="T247" t="s">
        <v>1021</v>
      </c>
      <c r="U247" t="s">
        <v>1022</v>
      </c>
    </row>
    <row r="248" spans="1:21" x14ac:dyDescent="0.25">
      <c r="A248" t="s">
        <v>143</v>
      </c>
      <c r="B248" t="s">
        <v>144</v>
      </c>
      <c r="C248">
        <v>200</v>
      </c>
      <c r="D248">
        <v>1</v>
      </c>
      <c r="E248">
        <v>0</v>
      </c>
      <c r="F248" t="s">
        <v>1023</v>
      </c>
      <c r="G248">
        <v>200</v>
      </c>
      <c r="H248">
        <v>0</v>
      </c>
      <c r="I248" t="s">
        <v>140</v>
      </c>
      <c r="J248" t="s">
        <v>1024</v>
      </c>
      <c r="K248" t="s">
        <v>209</v>
      </c>
      <c r="L248" t="s">
        <v>27</v>
      </c>
      <c r="M248" t="s">
        <v>28</v>
      </c>
      <c r="N248" t="s">
        <v>1025</v>
      </c>
      <c r="O248" t="s">
        <v>27</v>
      </c>
      <c r="P248" t="s">
        <v>30</v>
      </c>
      <c r="Q248" t="s">
        <v>31</v>
      </c>
      <c r="R248" t="s">
        <v>32</v>
      </c>
      <c r="S248" t="s">
        <v>28</v>
      </c>
      <c r="T248" t="s">
        <v>1026</v>
      </c>
      <c r="U248" t="s">
        <v>1025</v>
      </c>
    </row>
    <row r="249" spans="1:21" x14ac:dyDescent="0.25">
      <c r="A249" t="s">
        <v>33</v>
      </c>
      <c r="B249" t="s">
        <v>34</v>
      </c>
      <c r="C249">
        <v>200</v>
      </c>
      <c r="D249">
        <v>1</v>
      </c>
      <c r="E249">
        <v>0</v>
      </c>
      <c r="F249" t="s">
        <v>1027</v>
      </c>
      <c r="G249">
        <v>200</v>
      </c>
      <c r="H249">
        <v>0</v>
      </c>
      <c r="I249" t="s">
        <v>24</v>
      </c>
      <c r="J249" t="s">
        <v>1028</v>
      </c>
      <c r="K249" t="s">
        <v>1029</v>
      </c>
      <c r="L249" t="s">
        <v>27</v>
      </c>
      <c r="M249" t="s">
        <v>28</v>
      </c>
      <c r="N249" t="s">
        <v>1030</v>
      </c>
      <c r="O249" t="s">
        <v>27</v>
      </c>
      <c r="P249" t="s">
        <v>39</v>
      </c>
      <c r="Q249" t="s">
        <v>31</v>
      </c>
      <c r="R249" t="s">
        <v>32</v>
      </c>
      <c r="S249" t="s">
        <v>28</v>
      </c>
      <c r="T249" t="s">
        <v>1031</v>
      </c>
      <c r="U249" t="s">
        <v>1030</v>
      </c>
    </row>
    <row r="250" spans="1:21" x14ac:dyDescent="0.25">
      <c r="A250" t="s">
        <v>33</v>
      </c>
      <c r="B250" t="s">
        <v>34</v>
      </c>
      <c r="C250">
        <v>200</v>
      </c>
      <c r="D250">
        <v>1</v>
      </c>
      <c r="E250">
        <v>0</v>
      </c>
      <c r="F250" t="s">
        <v>1032</v>
      </c>
      <c r="G250">
        <v>200</v>
      </c>
      <c r="H250">
        <v>0</v>
      </c>
      <c r="I250" t="s">
        <v>24</v>
      </c>
      <c r="J250" t="s">
        <v>1033</v>
      </c>
      <c r="K250" t="s">
        <v>241</v>
      </c>
      <c r="L250" t="s">
        <v>27</v>
      </c>
      <c r="M250" t="s">
        <v>28</v>
      </c>
      <c r="N250" t="s">
        <v>1034</v>
      </c>
      <c r="O250" t="s">
        <v>27</v>
      </c>
      <c r="P250" t="s">
        <v>39</v>
      </c>
      <c r="Q250" t="s">
        <v>31</v>
      </c>
      <c r="R250" t="s">
        <v>32</v>
      </c>
      <c r="S250" t="s">
        <v>28</v>
      </c>
      <c r="T250" t="s">
        <v>1035</v>
      </c>
      <c r="U250" t="s">
        <v>1034</v>
      </c>
    </row>
    <row r="251" spans="1:21" x14ac:dyDescent="0.25">
      <c r="A251" t="s">
        <v>143</v>
      </c>
      <c r="B251" t="s">
        <v>144</v>
      </c>
      <c r="C251">
        <v>200</v>
      </c>
      <c r="D251">
        <v>1</v>
      </c>
      <c r="E251">
        <v>0</v>
      </c>
      <c r="F251" t="s">
        <v>1036</v>
      </c>
      <c r="G251">
        <v>200</v>
      </c>
      <c r="H251">
        <v>0</v>
      </c>
      <c r="I251" t="s">
        <v>140</v>
      </c>
      <c r="J251" t="s">
        <v>1037</v>
      </c>
      <c r="K251" t="s">
        <v>1038</v>
      </c>
      <c r="L251" t="s">
        <v>27</v>
      </c>
      <c r="M251" t="s">
        <v>28</v>
      </c>
      <c r="N251" t="s">
        <v>1039</v>
      </c>
      <c r="O251" t="s">
        <v>27</v>
      </c>
      <c r="P251" t="s">
        <v>30</v>
      </c>
      <c r="Q251" t="s">
        <v>31</v>
      </c>
      <c r="R251" t="s">
        <v>32</v>
      </c>
      <c r="S251" t="s">
        <v>28</v>
      </c>
      <c r="T251" t="s">
        <v>1040</v>
      </c>
      <c r="U251" t="s">
        <v>1039</v>
      </c>
    </row>
    <row r="252" spans="1:21" x14ac:dyDescent="0.25">
      <c r="A252" t="s">
        <v>143</v>
      </c>
      <c r="B252" t="s">
        <v>144</v>
      </c>
      <c r="C252">
        <v>200</v>
      </c>
      <c r="D252">
        <v>1</v>
      </c>
      <c r="E252">
        <v>0</v>
      </c>
      <c r="F252" t="s">
        <v>1041</v>
      </c>
      <c r="G252">
        <v>200</v>
      </c>
      <c r="H252">
        <v>0</v>
      </c>
      <c r="I252" t="s">
        <v>140</v>
      </c>
      <c r="J252" t="s">
        <v>1042</v>
      </c>
      <c r="K252" t="s">
        <v>839</v>
      </c>
      <c r="L252" t="s">
        <v>27</v>
      </c>
      <c r="M252" t="s">
        <v>28</v>
      </c>
      <c r="N252" t="s">
        <v>1043</v>
      </c>
      <c r="O252" t="s">
        <v>27</v>
      </c>
      <c r="P252" t="s">
        <v>30</v>
      </c>
      <c r="Q252" t="s">
        <v>31</v>
      </c>
      <c r="R252" t="s">
        <v>32</v>
      </c>
      <c r="S252" t="s">
        <v>28</v>
      </c>
      <c r="T252" t="s">
        <v>1044</v>
      </c>
      <c r="U252" t="s">
        <v>1045</v>
      </c>
    </row>
    <row r="253" spans="1:21" x14ac:dyDescent="0.25">
      <c r="A253" t="s">
        <v>21</v>
      </c>
      <c r="B253" t="s">
        <v>22</v>
      </c>
      <c r="C253">
        <v>100</v>
      </c>
      <c r="D253">
        <v>1</v>
      </c>
      <c r="E253">
        <v>0</v>
      </c>
      <c r="F253" t="s">
        <v>1046</v>
      </c>
      <c r="G253">
        <v>106</v>
      </c>
      <c r="H253">
        <v>6</v>
      </c>
      <c r="I253" t="s">
        <v>24</v>
      </c>
      <c r="J253" t="s">
        <v>1047</v>
      </c>
      <c r="K253" t="s">
        <v>137</v>
      </c>
      <c r="L253" t="s">
        <v>27</v>
      </c>
      <c r="M253" t="s">
        <v>28</v>
      </c>
      <c r="N253" t="s">
        <v>1048</v>
      </c>
      <c r="O253" t="s">
        <v>27</v>
      </c>
      <c r="P253" t="s">
        <v>39</v>
      </c>
      <c r="Q253" t="s">
        <v>31</v>
      </c>
      <c r="R253" t="s">
        <v>32</v>
      </c>
      <c r="S253" t="s">
        <v>28</v>
      </c>
      <c r="T253" t="s">
        <v>1049</v>
      </c>
      <c r="U253" t="s">
        <v>1048</v>
      </c>
    </row>
    <row r="254" spans="1:21" x14ac:dyDescent="0.25">
      <c r="A254" t="s">
        <v>63</v>
      </c>
      <c r="B254" t="s">
        <v>64</v>
      </c>
      <c r="C254">
        <v>100</v>
      </c>
      <c r="D254">
        <v>2</v>
      </c>
      <c r="E254">
        <v>0</v>
      </c>
      <c r="F254" t="s">
        <v>1050</v>
      </c>
      <c r="G254">
        <v>200</v>
      </c>
      <c r="H254">
        <v>0</v>
      </c>
      <c r="I254" t="s">
        <v>140</v>
      </c>
      <c r="J254" t="s">
        <v>1051</v>
      </c>
      <c r="K254" t="s">
        <v>241</v>
      </c>
      <c r="L254" t="s">
        <v>27</v>
      </c>
      <c r="M254" t="s">
        <v>28</v>
      </c>
      <c r="N254" t="s">
        <v>1052</v>
      </c>
      <c r="O254" t="s">
        <v>27</v>
      </c>
      <c r="P254" t="s">
        <v>30</v>
      </c>
      <c r="Q254" t="s">
        <v>31</v>
      </c>
      <c r="R254" t="s">
        <v>32</v>
      </c>
      <c r="S254" t="s">
        <v>28</v>
      </c>
      <c r="T254" t="s">
        <v>1053</v>
      </c>
      <c r="U254" t="s">
        <v>1052</v>
      </c>
    </row>
    <row r="255" spans="1:21" x14ac:dyDescent="0.25">
      <c r="A255" t="s">
        <v>58</v>
      </c>
      <c r="B255" t="s">
        <v>58</v>
      </c>
      <c r="C255">
        <v>100</v>
      </c>
      <c r="D255">
        <v>1</v>
      </c>
      <c r="E255">
        <v>0</v>
      </c>
      <c r="F255" t="s">
        <v>1054</v>
      </c>
      <c r="G255">
        <v>300</v>
      </c>
      <c r="H255">
        <v>0</v>
      </c>
      <c r="I255" t="s">
        <v>445</v>
      </c>
      <c r="J255" t="s">
        <v>1055</v>
      </c>
      <c r="K255" t="s">
        <v>155</v>
      </c>
      <c r="L255" t="s">
        <v>27</v>
      </c>
      <c r="M255" t="s">
        <v>28</v>
      </c>
      <c r="N255" t="s">
        <v>1056</v>
      </c>
      <c r="O255" t="s">
        <v>27</v>
      </c>
      <c r="P255" t="s">
        <v>39</v>
      </c>
      <c r="Q255" t="s">
        <v>31</v>
      </c>
      <c r="R255" t="s">
        <v>32</v>
      </c>
      <c r="S255" t="s">
        <v>28</v>
      </c>
      <c r="T255" t="s">
        <v>1057</v>
      </c>
      <c r="U255" t="s">
        <v>1058</v>
      </c>
    </row>
    <row r="256" spans="1:21" x14ac:dyDescent="0.25">
      <c r="A256" t="s">
        <v>134</v>
      </c>
      <c r="B256" t="s">
        <v>64</v>
      </c>
      <c r="C256">
        <v>100</v>
      </c>
      <c r="D256">
        <v>1</v>
      </c>
      <c r="E256">
        <v>0</v>
      </c>
      <c r="F256" t="s">
        <v>1054</v>
      </c>
      <c r="G256">
        <v>300</v>
      </c>
      <c r="H256">
        <v>0</v>
      </c>
      <c r="I256" t="s">
        <v>445</v>
      </c>
      <c r="J256" t="s">
        <v>1055</v>
      </c>
      <c r="K256" t="s">
        <v>155</v>
      </c>
      <c r="L256" t="s">
        <v>27</v>
      </c>
      <c r="M256" t="s">
        <v>28</v>
      </c>
      <c r="N256" t="s">
        <v>1056</v>
      </c>
      <c r="O256" t="s">
        <v>27</v>
      </c>
      <c r="P256" t="s">
        <v>39</v>
      </c>
      <c r="Q256" t="s">
        <v>31</v>
      </c>
      <c r="R256" t="s">
        <v>32</v>
      </c>
      <c r="S256" t="s">
        <v>28</v>
      </c>
      <c r="T256" t="s">
        <v>1057</v>
      </c>
      <c r="U256" t="s">
        <v>1058</v>
      </c>
    </row>
    <row r="257" spans="1:21" x14ac:dyDescent="0.25">
      <c r="A257" t="s">
        <v>21</v>
      </c>
      <c r="B257" t="s">
        <v>22</v>
      </c>
      <c r="C257">
        <v>100</v>
      </c>
      <c r="D257">
        <v>1</v>
      </c>
      <c r="E257">
        <v>0</v>
      </c>
      <c r="F257" t="s">
        <v>1054</v>
      </c>
      <c r="G257">
        <v>300</v>
      </c>
      <c r="H257">
        <v>0</v>
      </c>
      <c r="I257" t="s">
        <v>445</v>
      </c>
      <c r="J257" t="s">
        <v>1055</v>
      </c>
      <c r="K257" t="s">
        <v>155</v>
      </c>
      <c r="L257" t="s">
        <v>27</v>
      </c>
      <c r="M257" t="s">
        <v>28</v>
      </c>
      <c r="N257" t="s">
        <v>1056</v>
      </c>
      <c r="O257" t="s">
        <v>27</v>
      </c>
      <c r="P257" t="s">
        <v>39</v>
      </c>
      <c r="Q257" t="s">
        <v>31</v>
      </c>
      <c r="R257" t="s">
        <v>32</v>
      </c>
      <c r="S257" t="s">
        <v>28</v>
      </c>
      <c r="T257" t="s">
        <v>1057</v>
      </c>
      <c r="U257" t="s">
        <v>1058</v>
      </c>
    </row>
    <row r="258" spans="1:21" x14ac:dyDescent="0.25">
      <c r="A258" t="s">
        <v>33</v>
      </c>
      <c r="B258" t="s">
        <v>34</v>
      </c>
      <c r="C258">
        <v>200</v>
      </c>
      <c r="D258">
        <v>1</v>
      </c>
      <c r="E258">
        <v>0</v>
      </c>
      <c r="F258" t="s">
        <v>1059</v>
      </c>
      <c r="G258">
        <v>200</v>
      </c>
      <c r="H258">
        <v>0</v>
      </c>
      <c r="I258" t="s">
        <v>24</v>
      </c>
      <c r="J258" t="s">
        <v>1060</v>
      </c>
      <c r="K258" t="s">
        <v>247</v>
      </c>
      <c r="L258" t="s">
        <v>27</v>
      </c>
      <c r="M258" t="s">
        <v>28</v>
      </c>
      <c r="N258" t="s">
        <v>1061</v>
      </c>
      <c r="O258" t="s">
        <v>27</v>
      </c>
      <c r="P258" t="s">
        <v>56</v>
      </c>
      <c r="Q258" t="s">
        <v>31</v>
      </c>
      <c r="R258" t="s">
        <v>57</v>
      </c>
      <c r="S258" t="s">
        <v>28</v>
      </c>
      <c r="T258" t="s">
        <v>1062</v>
      </c>
      <c r="U258" t="s">
        <v>1061</v>
      </c>
    </row>
    <row r="259" spans="1:21" x14ac:dyDescent="0.25">
      <c r="A259" t="s">
        <v>33</v>
      </c>
      <c r="B259" t="s">
        <v>34</v>
      </c>
      <c r="C259">
        <v>200</v>
      </c>
      <c r="D259">
        <v>2</v>
      </c>
      <c r="E259">
        <v>0</v>
      </c>
      <c r="F259" t="s">
        <v>1063</v>
      </c>
      <c r="G259">
        <v>400</v>
      </c>
      <c r="H259">
        <v>0</v>
      </c>
      <c r="I259" t="s">
        <v>445</v>
      </c>
      <c r="J259" t="s">
        <v>1064</v>
      </c>
      <c r="K259" t="s">
        <v>89</v>
      </c>
      <c r="L259" t="s">
        <v>27</v>
      </c>
      <c r="M259" t="s">
        <v>28</v>
      </c>
      <c r="N259" t="s">
        <v>1065</v>
      </c>
      <c r="O259" t="s">
        <v>27</v>
      </c>
      <c r="P259" t="s">
        <v>39</v>
      </c>
      <c r="Q259" t="s">
        <v>31</v>
      </c>
      <c r="R259" t="s">
        <v>32</v>
      </c>
      <c r="S259" t="s">
        <v>28</v>
      </c>
      <c r="T259" t="s">
        <v>1066</v>
      </c>
      <c r="U259" t="s">
        <v>1065</v>
      </c>
    </row>
    <row r="260" spans="1:21" x14ac:dyDescent="0.25">
      <c r="A260" t="s">
        <v>58</v>
      </c>
      <c r="B260" t="s">
        <v>58</v>
      </c>
      <c r="C260">
        <v>100</v>
      </c>
      <c r="D260">
        <v>1</v>
      </c>
      <c r="E260">
        <v>0</v>
      </c>
      <c r="F260" t="s">
        <v>1067</v>
      </c>
      <c r="G260">
        <v>106</v>
      </c>
      <c r="H260">
        <v>6</v>
      </c>
      <c r="I260" t="s">
        <v>445</v>
      </c>
      <c r="J260" t="s">
        <v>1068</v>
      </c>
      <c r="K260" t="s">
        <v>791</v>
      </c>
      <c r="L260" t="s">
        <v>27</v>
      </c>
      <c r="M260" t="s">
        <v>28</v>
      </c>
      <c r="N260" t="s">
        <v>1069</v>
      </c>
      <c r="O260" t="s">
        <v>27</v>
      </c>
      <c r="P260" t="s">
        <v>39</v>
      </c>
      <c r="Q260" t="s">
        <v>31</v>
      </c>
      <c r="R260" t="s">
        <v>32</v>
      </c>
      <c r="S260" t="s">
        <v>28</v>
      </c>
      <c r="T260" t="s">
        <v>1070</v>
      </c>
      <c r="U260" t="s">
        <v>1071</v>
      </c>
    </row>
    <row r="261" spans="1:21" x14ac:dyDescent="0.25">
      <c r="A261" t="s">
        <v>21</v>
      </c>
      <c r="B261" t="s">
        <v>1072</v>
      </c>
      <c r="C261">
        <v>100.83</v>
      </c>
      <c r="D261">
        <v>1</v>
      </c>
      <c r="E261">
        <v>0</v>
      </c>
      <c r="F261" t="s">
        <v>1073</v>
      </c>
      <c r="G261">
        <v>105.83</v>
      </c>
      <c r="H261">
        <v>5</v>
      </c>
      <c r="I261" t="s">
        <v>105</v>
      </c>
      <c r="J261" t="s">
        <v>1074</v>
      </c>
      <c r="K261" t="s">
        <v>1075</v>
      </c>
      <c r="L261" t="s">
        <v>1076</v>
      </c>
      <c r="M261" t="s">
        <v>1077</v>
      </c>
      <c r="N261" t="s">
        <v>1078</v>
      </c>
      <c r="O261" t="s">
        <v>27</v>
      </c>
      <c r="P261" t="s">
        <v>48</v>
      </c>
      <c r="Q261" t="s">
        <v>49</v>
      </c>
      <c r="R261" t="s">
        <v>50</v>
      </c>
      <c r="S261" t="s">
        <v>28</v>
      </c>
      <c r="T261" t="s">
        <v>1079</v>
      </c>
      <c r="U261" t="s">
        <v>1080</v>
      </c>
    </row>
    <row r="262" spans="1:21" x14ac:dyDescent="0.25">
      <c r="A262" t="s">
        <v>195</v>
      </c>
      <c r="B262" t="s">
        <v>1003</v>
      </c>
      <c r="C262">
        <v>134.82</v>
      </c>
      <c r="D262">
        <v>1</v>
      </c>
      <c r="E262">
        <v>0</v>
      </c>
      <c r="F262" t="s">
        <v>1081</v>
      </c>
      <c r="G262">
        <v>134.82</v>
      </c>
      <c r="H262">
        <v>0</v>
      </c>
      <c r="I262" t="s">
        <v>628</v>
      </c>
      <c r="J262" t="s">
        <v>1082</v>
      </c>
      <c r="K262" t="s">
        <v>1083</v>
      </c>
      <c r="L262" t="s">
        <v>1084</v>
      </c>
      <c r="M262" t="s">
        <v>1085</v>
      </c>
      <c r="N262" t="s">
        <v>1086</v>
      </c>
      <c r="O262" t="s">
        <v>27</v>
      </c>
      <c r="P262" t="s">
        <v>48</v>
      </c>
      <c r="Q262" t="s">
        <v>49</v>
      </c>
      <c r="R262" t="s">
        <v>50</v>
      </c>
      <c r="S262" t="s">
        <v>28</v>
      </c>
      <c r="T262" t="s">
        <v>1087</v>
      </c>
      <c r="U262" t="s">
        <v>1086</v>
      </c>
    </row>
    <row r="263" spans="1:21" x14ac:dyDescent="0.25">
      <c r="A263" t="s">
        <v>21</v>
      </c>
      <c r="B263" t="s">
        <v>22</v>
      </c>
      <c r="C263">
        <v>100</v>
      </c>
      <c r="D263">
        <v>1</v>
      </c>
      <c r="E263">
        <v>0</v>
      </c>
      <c r="F263" t="s">
        <v>1088</v>
      </c>
      <c r="G263">
        <v>106</v>
      </c>
      <c r="H263">
        <v>6</v>
      </c>
      <c r="I263" t="s">
        <v>24</v>
      </c>
      <c r="J263" t="s">
        <v>1089</v>
      </c>
      <c r="K263" t="s">
        <v>209</v>
      </c>
      <c r="L263" t="s">
        <v>27</v>
      </c>
      <c r="M263" t="s">
        <v>28</v>
      </c>
      <c r="N263" t="s">
        <v>1090</v>
      </c>
      <c r="O263" t="s">
        <v>27</v>
      </c>
      <c r="P263" t="s">
        <v>39</v>
      </c>
      <c r="Q263" t="s">
        <v>31</v>
      </c>
      <c r="R263" t="s">
        <v>32</v>
      </c>
      <c r="S263" t="s">
        <v>28</v>
      </c>
      <c r="T263" t="s">
        <v>1091</v>
      </c>
      <c r="U263" t="s">
        <v>1090</v>
      </c>
    </row>
    <row r="264" spans="1:21" x14ac:dyDescent="0.25">
      <c r="A264" t="s">
        <v>21</v>
      </c>
      <c r="B264" t="s">
        <v>22</v>
      </c>
      <c r="C264">
        <v>100</v>
      </c>
      <c r="D264">
        <v>2</v>
      </c>
      <c r="E264">
        <v>0</v>
      </c>
      <c r="F264" t="s">
        <v>1092</v>
      </c>
      <c r="G264">
        <v>200</v>
      </c>
      <c r="H264">
        <v>0</v>
      </c>
      <c r="I264" t="s">
        <v>24</v>
      </c>
      <c r="J264" t="s">
        <v>1093</v>
      </c>
      <c r="K264" t="s">
        <v>89</v>
      </c>
      <c r="L264" t="s">
        <v>27</v>
      </c>
      <c r="M264" t="s">
        <v>28</v>
      </c>
      <c r="N264" t="s">
        <v>1094</v>
      </c>
      <c r="O264" t="s">
        <v>27</v>
      </c>
      <c r="P264" t="s">
        <v>39</v>
      </c>
      <c r="Q264" t="s">
        <v>31</v>
      </c>
      <c r="R264" t="s">
        <v>32</v>
      </c>
      <c r="S264" t="s">
        <v>28</v>
      </c>
      <c r="T264" t="s">
        <v>1095</v>
      </c>
      <c r="U264" t="s">
        <v>1096</v>
      </c>
    </row>
    <row r="265" spans="1:21" x14ac:dyDescent="0.25">
      <c r="A265" t="s">
        <v>21</v>
      </c>
      <c r="B265" t="s">
        <v>22</v>
      </c>
      <c r="C265">
        <v>100</v>
      </c>
      <c r="D265">
        <v>1</v>
      </c>
      <c r="E265">
        <v>0</v>
      </c>
      <c r="F265" t="s">
        <v>1097</v>
      </c>
      <c r="G265">
        <v>106</v>
      </c>
      <c r="H265">
        <v>6</v>
      </c>
      <c r="I265" t="s">
        <v>24</v>
      </c>
      <c r="J265" t="s">
        <v>1098</v>
      </c>
      <c r="K265" t="s">
        <v>209</v>
      </c>
      <c r="L265" t="s">
        <v>27</v>
      </c>
      <c r="M265" t="s">
        <v>28</v>
      </c>
      <c r="N265" t="s">
        <v>1099</v>
      </c>
      <c r="O265" t="s">
        <v>27</v>
      </c>
      <c r="P265" t="s">
        <v>39</v>
      </c>
      <c r="Q265" t="s">
        <v>31</v>
      </c>
      <c r="R265" t="s">
        <v>32</v>
      </c>
      <c r="S265" t="s">
        <v>28</v>
      </c>
      <c r="T265" t="s">
        <v>1100</v>
      </c>
      <c r="U265" t="s">
        <v>1099</v>
      </c>
    </row>
    <row r="266" spans="1:21" x14ac:dyDescent="0.25">
      <c r="A266" t="s">
        <v>21</v>
      </c>
      <c r="B266" t="s">
        <v>22</v>
      </c>
      <c r="C266">
        <v>100</v>
      </c>
      <c r="D266">
        <v>2</v>
      </c>
      <c r="E266">
        <v>0</v>
      </c>
      <c r="F266" t="s">
        <v>1101</v>
      </c>
      <c r="G266">
        <v>200</v>
      </c>
      <c r="H266">
        <v>0</v>
      </c>
      <c r="I266" t="s">
        <v>140</v>
      </c>
      <c r="J266" t="s">
        <v>1102</v>
      </c>
      <c r="K266" t="s">
        <v>273</v>
      </c>
      <c r="L266" t="s">
        <v>27</v>
      </c>
      <c r="M266" t="s">
        <v>28</v>
      </c>
      <c r="N266" t="s">
        <v>1103</v>
      </c>
      <c r="O266" t="s">
        <v>27</v>
      </c>
      <c r="P266" t="s">
        <v>30</v>
      </c>
      <c r="Q266" t="s">
        <v>31</v>
      </c>
      <c r="R266" t="s">
        <v>32</v>
      </c>
      <c r="S266" t="s">
        <v>28</v>
      </c>
      <c r="T266" t="s">
        <v>1104</v>
      </c>
      <c r="U266" t="s">
        <v>1103</v>
      </c>
    </row>
    <row r="267" spans="1:21" x14ac:dyDescent="0.25">
      <c r="A267" t="s">
        <v>243</v>
      </c>
      <c r="B267" t="s">
        <v>244</v>
      </c>
      <c r="C267">
        <v>200</v>
      </c>
      <c r="D267">
        <v>1</v>
      </c>
      <c r="E267">
        <v>0</v>
      </c>
      <c r="F267" t="s">
        <v>1105</v>
      </c>
      <c r="G267">
        <v>200</v>
      </c>
      <c r="H267">
        <v>0</v>
      </c>
      <c r="I267" t="s">
        <v>24</v>
      </c>
      <c r="J267" t="s">
        <v>1106</v>
      </c>
      <c r="K267" t="s">
        <v>1107</v>
      </c>
      <c r="L267" t="s">
        <v>27</v>
      </c>
      <c r="M267" t="s">
        <v>28</v>
      </c>
      <c r="N267" t="s">
        <v>1108</v>
      </c>
      <c r="O267" t="s">
        <v>27</v>
      </c>
      <c r="P267" t="s">
        <v>39</v>
      </c>
      <c r="Q267" t="s">
        <v>31</v>
      </c>
      <c r="R267" t="s">
        <v>32</v>
      </c>
      <c r="S267" t="s">
        <v>28</v>
      </c>
      <c r="T267" t="s">
        <v>1109</v>
      </c>
      <c r="U267" t="s">
        <v>1108</v>
      </c>
    </row>
    <row r="268" spans="1:21" x14ac:dyDescent="0.25">
      <c r="A268" t="s">
        <v>635</v>
      </c>
      <c r="B268" t="s">
        <v>714</v>
      </c>
      <c r="C268">
        <v>499.89</v>
      </c>
      <c r="D268">
        <v>1</v>
      </c>
      <c r="E268">
        <v>0</v>
      </c>
      <c r="F268" t="s">
        <v>1110</v>
      </c>
      <c r="G268">
        <v>513.89</v>
      </c>
      <c r="H268">
        <v>14</v>
      </c>
      <c r="I268" t="s">
        <v>628</v>
      </c>
      <c r="J268" t="s">
        <v>1111</v>
      </c>
      <c r="K268" t="s">
        <v>1112</v>
      </c>
      <c r="L268" t="s">
        <v>1113</v>
      </c>
      <c r="M268" t="s">
        <v>1114</v>
      </c>
      <c r="N268" t="s">
        <v>1115</v>
      </c>
      <c r="O268" t="s">
        <v>27</v>
      </c>
      <c r="P268" t="s">
        <v>48</v>
      </c>
      <c r="Q268" t="s">
        <v>49</v>
      </c>
      <c r="R268" t="s">
        <v>50</v>
      </c>
      <c r="S268" t="s">
        <v>28</v>
      </c>
      <c r="T268" t="s">
        <v>1116</v>
      </c>
      <c r="U268" t="s">
        <v>1115</v>
      </c>
    </row>
    <row r="269" spans="1:21" x14ac:dyDescent="0.25">
      <c r="A269" t="s">
        <v>143</v>
      </c>
      <c r="B269" t="s">
        <v>144</v>
      </c>
      <c r="C269">
        <v>200</v>
      </c>
      <c r="D269">
        <v>1</v>
      </c>
      <c r="E269">
        <v>0</v>
      </c>
      <c r="F269" t="s">
        <v>1117</v>
      </c>
      <c r="G269">
        <v>200</v>
      </c>
      <c r="H269">
        <v>0</v>
      </c>
      <c r="I269" t="s">
        <v>140</v>
      </c>
      <c r="J269" t="s">
        <v>1118</v>
      </c>
      <c r="K269" t="s">
        <v>711</v>
      </c>
      <c r="L269" t="s">
        <v>27</v>
      </c>
      <c r="M269" t="s">
        <v>28</v>
      </c>
      <c r="N269" t="s">
        <v>1119</v>
      </c>
      <c r="O269" t="s">
        <v>27</v>
      </c>
      <c r="P269" t="s">
        <v>369</v>
      </c>
      <c r="Q269" t="s">
        <v>31</v>
      </c>
      <c r="R269" t="s">
        <v>57</v>
      </c>
      <c r="S269" t="s">
        <v>28</v>
      </c>
      <c r="T269" t="s">
        <v>1120</v>
      </c>
      <c r="U269" t="s">
        <v>1119</v>
      </c>
    </row>
    <row r="270" spans="1:21" x14ac:dyDescent="0.25">
      <c r="A270" t="s">
        <v>21</v>
      </c>
      <c r="B270" t="s">
        <v>22</v>
      </c>
      <c r="C270">
        <v>100</v>
      </c>
      <c r="D270">
        <v>1</v>
      </c>
      <c r="E270">
        <v>0</v>
      </c>
      <c r="F270" t="s">
        <v>1121</v>
      </c>
      <c r="G270">
        <v>106</v>
      </c>
      <c r="H270">
        <v>6</v>
      </c>
      <c r="I270" t="s">
        <v>24</v>
      </c>
      <c r="J270" t="s">
        <v>1122</v>
      </c>
      <c r="K270" t="s">
        <v>572</v>
      </c>
      <c r="L270" t="s">
        <v>27</v>
      </c>
      <c r="M270" t="s">
        <v>28</v>
      </c>
      <c r="N270" t="s">
        <v>1123</v>
      </c>
      <c r="O270" t="s">
        <v>27</v>
      </c>
      <c r="P270" t="s">
        <v>39</v>
      </c>
      <c r="Q270" t="s">
        <v>31</v>
      </c>
      <c r="R270" t="s">
        <v>32</v>
      </c>
      <c r="S270" t="s">
        <v>28</v>
      </c>
      <c r="T270" t="s">
        <v>1124</v>
      </c>
      <c r="U270" t="s">
        <v>1123</v>
      </c>
    </row>
    <row r="271" spans="1:21" x14ac:dyDescent="0.25">
      <c r="A271" t="s">
        <v>63</v>
      </c>
      <c r="B271" t="s">
        <v>64</v>
      </c>
      <c r="C271">
        <v>100</v>
      </c>
      <c r="D271">
        <v>1</v>
      </c>
      <c r="E271">
        <v>0</v>
      </c>
      <c r="F271" t="s">
        <v>1125</v>
      </c>
      <c r="G271">
        <v>145</v>
      </c>
      <c r="H271">
        <v>45</v>
      </c>
      <c r="I271" t="s">
        <v>445</v>
      </c>
      <c r="J271" t="s">
        <v>1126</v>
      </c>
      <c r="K271" t="s">
        <v>438</v>
      </c>
      <c r="L271" t="s">
        <v>27</v>
      </c>
      <c r="M271" t="s">
        <v>28</v>
      </c>
      <c r="N271" t="s">
        <v>1127</v>
      </c>
      <c r="O271" t="s">
        <v>27</v>
      </c>
      <c r="P271" t="s">
        <v>39</v>
      </c>
      <c r="Q271" t="s">
        <v>31</v>
      </c>
      <c r="R271" t="s">
        <v>32</v>
      </c>
      <c r="S271" t="s">
        <v>28</v>
      </c>
      <c r="T271" t="s">
        <v>1128</v>
      </c>
      <c r="U271" t="s">
        <v>1127</v>
      </c>
    </row>
    <row r="272" spans="1:21" x14ac:dyDescent="0.25">
      <c r="A272" t="s">
        <v>635</v>
      </c>
      <c r="B272" t="s">
        <v>1129</v>
      </c>
      <c r="C272">
        <v>445.66</v>
      </c>
      <c r="D272">
        <v>1</v>
      </c>
      <c r="E272">
        <v>0</v>
      </c>
      <c r="F272" t="s">
        <v>1130</v>
      </c>
      <c r="G272">
        <v>445.66</v>
      </c>
      <c r="H272">
        <v>0</v>
      </c>
      <c r="I272" t="s">
        <v>105</v>
      </c>
      <c r="J272" t="s">
        <v>1131</v>
      </c>
      <c r="K272" t="s">
        <v>1132</v>
      </c>
      <c r="L272" t="s">
        <v>1133</v>
      </c>
      <c r="M272" t="s">
        <v>1134</v>
      </c>
      <c r="N272" t="s">
        <v>1127</v>
      </c>
      <c r="O272" t="s">
        <v>27</v>
      </c>
      <c r="P272" t="s">
        <v>48</v>
      </c>
      <c r="Q272" t="s">
        <v>49</v>
      </c>
      <c r="R272" t="s">
        <v>50</v>
      </c>
      <c r="S272" t="s">
        <v>28</v>
      </c>
      <c r="T272" t="s">
        <v>1135</v>
      </c>
      <c r="U272" t="s">
        <v>1127</v>
      </c>
    </row>
    <row r="273" spans="1:21" x14ac:dyDescent="0.25">
      <c r="A273" t="s">
        <v>275</v>
      </c>
      <c r="B273" t="s">
        <v>276</v>
      </c>
      <c r="C273">
        <v>89.39</v>
      </c>
      <c r="D273">
        <v>1</v>
      </c>
      <c r="E273">
        <v>0</v>
      </c>
      <c r="F273" t="s">
        <v>1136</v>
      </c>
      <c r="G273">
        <v>127.59</v>
      </c>
      <c r="H273">
        <v>5</v>
      </c>
      <c r="I273" t="s">
        <v>24</v>
      </c>
      <c r="J273" t="s">
        <v>1137</v>
      </c>
      <c r="K273" t="s">
        <v>1138</v>
      </c>
      <c r="L273" t="s">
        <v>1139</v>
      </c>
      <c r="M273" t="s">
        <v>1140</v>
      </c>
      <c r="N273" t="s">
        <v>1141</v>
      </c>
      <c r="O273" t="s">
        <v>27</v>
      </c>
      <c r="P273" t="s">
        <v>48</v>
      </c>
      <c r="Q273" t="s">
        <v>49</v>
      </c>
      <c r="R273" t="s">
        <v>50</v>
      </c>
      <c r="S273" t="s">
        <v>28</v>
      </c>
      <c r="T273" t="s">
        <v>1142</v>
      </c>
      <c r="U273" t="s">
        <v>1141</v>
      </c>
    </row>
    <row r="274" spans="1:21" x14ac:dyDescent="0.25">
      <c r="A274" t="s">
        <v>58</v>
      </c>
      <c r="B274" t="s">
        <v>58</v>
      </c>
      <c r="C274">
        <v>150</v>
      </c>
      <c r="D274">
        <v>2</v>
      </c>
      <c r="E274">
        <v>0</v>
      </c>
      <c r="F274" t="s">
        <v>1143</v>
      </c>
      <c r="G274">
        <v>345</v>
      </c>
      <c r="H274">
        <v>45</v>
      </c>
      <c r="I274" t="s">
        <v>24</v>
      </c>
      <c r="J274" t="s">
        <v>1144</v>
      </c>
      <c r="K274" t="s">
        <v>1145</v>
      </c>
      <c r="L274" t="s">
        <v>1146</v>
      </c>
      <c r="M274" t="s">
        <v>1147</v>
      </c>
      <c r="N274" t="s">
        <v>1148</v>
      </c>
      <c r="O274" t="s">
        <v>27</v>
      </c>
      <c r="P274" t="s">
        <v>193</v>
      </c>
      <c r="Q274" t="s">
        <v>85</v>
      </c>
      <c r="R274" t="s">
        <v>86</v>
      </c>
      <c r="S274" t="s">
        <v>28</v>
      </c>
      <c r="T274" t="s">
        <v>1149</v>
      </c>
      <c r="U274" t="s">
        <v>1148</v>
      </c>
    </row>
    <row r="275" spans="1:21" x14ac:dyDescent="0.25">
      <c r="A275" t="s">
        <v>195</v>
      </c>
      <c r="B275" t="s">
        <v>1003</v>
      </c>
      <c r="C275">
        <v>130.31</v>
      </c>
      <c r="D275">
        <v>1</v>
      </c>
      <c r="E275">
        <v>0</v>
      </c>
      <c r="F275" t="s">
        <v>1150</v>
      </c>
      <c r="G275">
        <v>135.31</v>
      </c>
      <c r="H275">
        <v>5</v>
      </c>
      <c r="I275" t="s">
        <v>628</v>
      </c>
      <c r="J275" t="s">
        <v>1151</v>
      </c>
      <c r="K275" t="s">
        <v>1152</v>
      </c>
      <c r="L275" t="s">
        <v>480</v>
      </c>
      <c r="M275" t="s">
        <v>1153</v>
      </c>
      <c r="N275" t="s">
        <v>1154</v>
      </c>
      <c r="O275" t="s">
        <v>27</v>
      </c>
      <c r="P275" t="s">
        <v>48</v>
      </c>
      <c r="Q275" t="s">
        <v>49</v>
      </c>
      <c r="R275" t="s">
        <v>50</v>
      </c>
      <c r="S275" t="s">
        <v>28</v>
      </c>
      <c r="T275" t="s">
        <v>1155</v>
      </c>
      <c r="U275" t="s">
        <v>1154</v>
      </c>
    </row>
    <row r="276" spans="1:21" x14ac:dyDescent="0.25">
      <c r="A276" t="s">
        <v>143</v>
      </c>
      <c r="B276" t="s">
        <v>144</v>
      </c>
      <c r="C276">
        <v>200</v>
      </c>
      <c r="D276">
        <v>1</v>
      </c>
      <c r="E276">
        <v>0</v>
      </c>
      <c r="F276" t="s">
        <v>1156</v>
      </c>
      <c r="G276">
        <v>245</v>
      </c>
      <c r="H276">
        <v>45</v>
      </c>
      <c r="I276" t="s">
        <v>140</v>
      </c>
      <c r="J276" t="s">
        <v>1157</v>
      </c>
      <c r="K276" t="s">
        <v>273</v>
      </c>
      <c r="L276" t="s">
        <v>27</v>
      </c>
      <c r="M276" t="s">
        <v>28</v>
      </c>
      <c r="N276" t="s">
        <v>1158</v>
      </c>
      <c r="O276" t="s">
        <v>27</v>
      </c>
      <c r="P276" t="s">
        <v>30</v>
      </c>
      <c r="Q276" t="s">
        <v>31</v>
      </c>
      <c r="R276" t="s">
        <v>32</v>
      </c>
      <c r="S276" t="s">
        <v>28</v>
      </c>
      <c r="T276" t="s">
        <v>1159</v>
      </c>
      <c r="U276" t="s">
        <v>1158</v>
      </c>
    </row>
    <row r="277" spans="1:21" x14ac:dyDescent="0.25">
      <c r="A277" t="s">
        <v>143</v>
      </c>
      <c r="B277" t="s">
        <v>144</v>
      </c>
      <c r="C277">
        <v>200</v>
      </c>
      <c r="D277">
        <v>1</v>
      </c>
      <c r="E277">
        <v>0</v>
      </c>
      <c r="F277" t="s">
        <v>1160</v>
      </c>
      <c r="G277">
        <v>200</v>
      </c>
      <c r="H277">
        <v>0</v>
      </c>
      <c r="I277" t="s">
        <v>445</v>
      </c>
      <c r="J277" t="s">
        <v>1161</v>
      </c>
      <c r="K277" t="s">
        <v>67</v>
      </c>
      <c r="L277" t="s">
        <v>27</v>
      </c>
      <c r="M277" t="s">
        <v>28</v>
      </c>
      <c r="N277" t="s">
        <v>1162</v>
      </c>
      <c r="O277" t="s">
        <v>27</v>
      </c>
      <c r="P277" t="s">
        <v>56</v>
      </c>
      <c r="Q277" t="s">
        <v>31</v>
      </c>
      <c r="R277" t="s">
        <v>57</v>
      </c>
      <c r="S277" t="s">
        <v>28</v>
      </c>
      <c r="T277" t="s">
        <v>1163</v>
      </c>
      <c r="U277" t="s">
        <v>1162</v>
      </c>
    </row>
    <row r="278" spans="1:21" x14ac:dyDescent="0.25">
      <c r="A278" t="s">
        <v>143</v>
      </c>
      <c r="B278" t="s">
        <v>144</v>
      </c>
      <c r="C278">
        <v>200</v>
      </c>
      <c r="D278">
        <v>1</v>
      </c>
      <c r="E278">
        <v>0</v>
      </c>
      <c r="F278" t="s">
        <v>1164</v>
      </c>
      <c r="G278">
        <v>200</v>
      </c>
      <c r="H278">
        <v>0</v>
      </c>
      <c r="I278" t="s">
        <v>140</v>
      </c>
      <c r="J278" t="s">
        <v>1165</v>
      </c>
      <c r="K278" t="s">
        <v>124</v>
      </c>
      <c r="L278" t="s">
        <v>27</v>
      </c>
      <c r="M278" t="s">
        <v>28</v>
      </c>
      <c r="N278" t="s">
        <v>1162</v>
      </c>
      <c r="O278" t="s">
        <v>27</v>
      </c>
      <c r="P278" t="s">
        <v>30</v>
      </c>
      <c r="Q278" t="s">
        <v>31</v>
      </c>
      <c r="R278" t="s">
        <v>32</v>
      </c>
      <c r="S278" t="s">
        <v>28</v>
      </c>
      <c r="T278" t="s">
        <v>1166</v>
      </c>
      <c r="U278" t="s">
        <v>1162</v>
      </c>
    </row>
    <row r="279" spans="1:21" x14ac:dyDescent="0.25">
      <c r="A279" t="s">
        <v>76</v>
      </c>
      <c r="B279" t="s">
        <v>1167</v>
      </c>
      <c r="C279">
        <v>225</v>
      </c>
      <c r="D279">
        <v>1</v>
      </c>
      <c r="E279">
        <v>0</v>
      </c>
      <c r="F279" t="s">
        <v>1168</v>
      </c>
      <c r="G279">
        <v>225</v>
      </c>
      <c r="H279">
        <v>0</v>
      </c>
      <c r="I279" t="s">
        <v>720</v>
      </c>
      <c r="J279" t="s">
        <v>1169</v>
      </c>
      <c r="K279" t="s">
        <v>1170</v>
      </c>
      <c r="L279" t="s">
        <v>1171</v>
      </c>
      <c r="M279" t="s">
        <v>1172</v>
      </c>
      <c r="N279" t="s">
        <v>1162</v>
      </c>
      <c r="O279" t="s">
        <v>27</v>
      </c>
      <c r="P279" t="s">
        <v>48</v>
      </c>
      <c r="Q279" t="s">
        <v>49</v>
      </c>
      <c r="R279" t="s">
        <v>50</v>
      </c>
      <c r="S279" t="s">
        <v>28</v>
      </c>
      <c r="T279" t="s">
        <v>1173</v>
      </c>
      <c r="U279" t="s">
        <v>1162</v>
      </c>
    </row>
    <row r="280" spans="1:21" x14ac:dyDescent="0.25">
      <c r="A280" t="s">
        <v>33</v>
      </c>
      <c r="B280" t="s">
        <v>34</v>
      </c>
      <c r="C280">
        <v>200</v>
      </c>
      <c r="D280">
        <v>1</v>
      </c>
      <c r="E280">
        <v>0</v>
      </c>
      <c r="F280" t="s">
        <v>1174</v>
      </c>
      <c r="G280">
        <v>200</v>
      </c>
      <c r="H280">
        <v>0</v>
      </c>
      <c r="I280" t="s">
        <v>24</v>
      </c>
      <c r="J280" t="s">
        <v>1175</v>
      </c>
      <c r="K280" t="s">
        <v>384</v>
      </c>
      <c r="L280" t="s">
        <v>27</v>
      </c>
      <c r="M280" t="s">
        <v>28</v>
      </c>
      <c r="N280" t="s">
        <v>1176</v>
      </c>
      <c r="O280" t="s">
        <v>27</v>
      </c>
      <c r="P280" t="s">
        <v>39</v>
      </c>
      <c r="Q280" t="s">
        <v>31</v>
      </c>
      <c r="R280" t="s">
        <v>32</v>
      </c>
      <c r="S280" t="s">
        <v>28</v>
      </c>
      <c r="T280" t="s">
        <v>1177</v>
      </c>
      <c r="U280" t="s">
        <v>1162</v>
      </c>
    </row>
    <row r="281" spans="1:21" x14ac:dyDescent="0.25">
      <c r="A281" t="s">
        <v>456</v>
      </c>
      <c r="B281" t="s">
        <v>1178</v>
      </c>
      <c r="C281">
        <v>142.31</v>
      </c>
      <c r="D281">
        <v>1</v>
      </c>
      <c r="E281">
        <v>0</v>
      </c>
      <c r="F281" t="s">
        <v>1179</v>
      </c>
      <c r="G281">
        <v>471.93</v>
      </c>
      <c r="H281">
        <v>45</v>
      </c>
      <c r="I281" t="s">
        <v>628</v>
      </c>
      <c r="J281" t="s">
        <v>1169</v>
      </c>
      <c r="K281" t="s">
        <v>1170</v>
      </c>
      <c r="L281" t="s">
        <v>1171</v>
      </c>
      <c r="M281" t="s">
        <v>1172</v>
      </c>
      <c r="N281" t="s">
        <v>1162</v>
      </c>
      <c r="O281" t="s">
        <v>27</v>
      </c>
      <c r="P281" t="s">
        <v>48</v>
      </c>
      <c r="Q281" t="s">
        <v>49</v>
      </c>
      <c r="R281" t="s">
        <v>50</v>
      </c>
      <c r="S281" t="s">
        <v>28</v>
      </c>
      <c r="T281" t="s">
        <v>1180</v>
      </c>
      <c r="U281" t="s">
        <v>1162</v>
      </c>
    </row>
    <row r="282" spans="1:21" x14ac:dyDescent="0.25">
      <c r="A282" t="s">
        <v>456</v>
      </c>
      <c r="B282" t="s">
        <v>1178</v>
      </c>
      <c r="C282">
        <v>142.31</v>
      </c>
      <c r="D282">
        <v>1</v>
      </c>
      <c r="E282">
        <v>0</v>
      </c>
      <c r="F282" t="s">
        <v>1179</v>
      </c>
      <c r="G282">
        <v>471.93</v>
      </c>
      <c r="H282">
        <v>45</v>
      </c>
      <c r="I282" t="s">
        <v>628</v>
      </c>
      <c r="J282" t="s">
        <v>1169</v>
      </c>
      <c r="K282" t="s">
        <v>1170</v>
      </c>
      <c r="L282" t="s">
        <v>1171</v>
      </c>
      <c r="M282" t="s">
        <v>1172</v>
      </c>
      <c r="N282" t="s">
        <v>1162</v>
      </c>
      <c r="O282" t="s">
        <v>27</v>
      </c>
      <c r="P282" t="s">
        <v>48</v>
      </c>
      <c r="Q282" t="s">
        <v>49</v>
      </c>
      <c r="R282" t="s">
        <v>50</v>
      </c>
      <c r="S282" t="s">
        <v>28</v>
      </c>
      <c r="T282" t="s">
        <v>1180</v>
      </c>
      <c r="U282" t="s">
        <v>1162</v>
      </c>
    </row>
    <row r="283" spans="1:21" x14ac:dyDescent="0.25">
      <c r="A283" t="s">
        <v>456</v>
      </c>
      <c r="B283" t="s">
        <v>1178</v>
      </c>
      <c r="C283">
        <v>142.31</v>
      </c>
      <c r="D283">
        <v>1</v>
      </c>
      <c r="E283">
        <v>0</v>
      </c>
      <c r="F283" t="s">
        <v>1179</v>
      </c>
      <c r="G283">
        <v>471.93</v>
      </c>
      <c r="H283">
        <v>45</v>
      </c>
      <c r="I283" t="s">
        <v>628</v>
      </c>
      <c r="J283" t="s">
        <v>1169</v>
      </c>
      <c r="K283" t="s">
        <v>1170</v>
      </c>
      <c r="L283" t="s">
        <v>1171</v>
      </c>
      <c r="M283" t="s">
        <v>1172</v>
      </c>
      <c r="N283" t="s">
        <v>1162</v>
      </c>
      <c r="O283" t="s">
        <v>27</v>
      </c>
      <c r="P283" t="s">
        <v>48</v>
      </c>
      <c r="Q283" t="s">
        <v>49</v>
      </c>
      <c r="R283" t="s">
        <v>50</v>
      </c>
      <c r="S283" t="s">
        <v>28</v>
      </c>
      <c r="T283" t="s">
        <v>1180</v>
      </c>
      <c r="U283" t="s">
        <v>1162</v>
      </c>
    </row>
    <row r="284" spans="1:21" x14ac:dyDescent="0.25">
      <c r="A284" t="s">
        <v>58</v>
      </c>
      <c r="B284" t="s">
        <v>103</v>
      </c>
      <c r="C284">
        <v>87.33</v>
      </c>
      <c r="D284">
        <v>1</v>
      </c>
      <c r="E284">
        <v>0</v>
      </c>
      <c r="F284" t="s">
        <v>1181</v>
      </c>
      <c r="G284">
        <v>87.33</v>
      </c>
      <c r="H284">
        <v>0</v>
      </c>
      <c r="I284" t="s">
        <v>105</v>
      </c>
      <c r="J284" t="s">
        <v>1182</v>
      </c>
      <c r="K284" t="s">
        <v>1183</v>
      </c>
      <c r="L284" t="s">
        <v>1184</v>
      </c>
      <c r="M284" t="s">
        <v>1185</v>
      </c>
      <c r="N284" t="s">
        <v>1186</v>
      </c>
      <c r="O284" t="s">
        <v>27</v>
      </c>
      <c r="P284" t="s">
        <v>48</v>
      </c>
      <c r="Q284" t="s">
        <v>49</v>
      </c>
      <c r="R284" t="s">
        <v>50</v>
      </c>
      <c r="S284" t="s">
        <v>28</v>
      </c>
      <c r="T284" t="s">
        <v>1187</v>
      </c>
      <c r="U284" t="s">
        <v>1186</v>
      </c>
    </row>
    <row r="285" spans="1:21" x14ac:dyDescent="0.25">
      <c r="A285" t="s">
        <v>33</v>
      </c>
      <c r="B285" t="s">
        <v>34</v>
      </c>
      <c r="C285">
        <v>200</v>
      </c>
      <c r="D285">
        <v>1</v>
      </c>
      <c r="E285">
        <v>0</v>
      </c>
      <c r="F285" t="s">
        <v>1188</v>
      </c>
      <c r="G285">
        <v>200</v>
      </c>
      <c r="H285">
        <v>0</v>
      </c>
      <c r="I285" t="s">
        <v>24</v>
      </c>
      <c r="J285" t="s">
        <v>1189</v>
      </c>
      <c r="K285" t="s">
        <v>1190</v>
      </c>
      <c r="L285" t="s">
        <v>27</v>
      </c>
      <c r="M285" t="s">
        <v>28</v>
      </c>
      <c r="N285" t="s">
        <v>1191</v>
      </c>
      <c r="O285" t="s">
        <v>27</v>
      </c>
      <c r="P285" t="s">
        <v>39</v>
      </c>
      <c r="Q285" t="s">
        <v>31</v>
      </c>
      <c r="R285" t="s">
        <v>32</v>
      </c>
      <c r="S285" t="s">
        <v>28</v>
      </c>
      <c r="T285" t="s">
        <v>1192</v>
      </c>
      <c r="U285" t="s">
        <v>1191</v>
      </c>
    </row>
    <row r="286" spans="1:21" x14ac:dyDescent="0.25">
      <c r="A286" t="s">
        <v>21</v>
      </c>
      <c r="B286" t="s">
        <v>22</v>
      </c>
      <c r="C286">
        <v>100</v>
      </c>
      <c r="D286">
        <v>2</v>
      </c>
      <c r="E286">
        <v>0</v>
      </c>
      <c r="F286" t="s">
        <v>1193</v>
      </c>
      <c r="G286">
        <v>200</v>
      </c>
      <c r="H286">
        <v>0</v>
      </c>
      <c r="I286" t="s">
        <v>445</v>
      </c>
      <c r="J286" t="s">
        <v>1194</v>
      </c>
      <c r="K286" t="s">
        <v>241</v>
      </c>
      <c r="L286" t="s">
        <v>27</v>
      </c>
      <c r="M286" t="s">
        <v>28</v>
      </c>
      <c r="N286" t="s">
        <v>1191</v>
      </c>
      <c r="O286" t="s">
        <v>27</v>
      </c>
      <c r="P286" t="s">
        <v>39</v>
      </c>
      <c r="Q286" t="s">
        <v>31</v>
      </c>
      <c r="R286" t="s">
        <v>32</v>
      </c>
      <c r="S286" t="s">
        <v>28</v>
      </c>
      <c r="T286" t="s">
        <v>1195</v>
      </c>
      <c r="U286" t="s">
        <v>1191</v>
      </c>
    </row>
    <row r="287" spans="1:21" x14ac:dyDescent="0.25">
      <c r="A287" t="s">
        <v>70</v>
      </c>
      <c r="B287" t="s">
        <v>70</v>
      </c>
      <c r="C287">
        <v>330</v>
      </c>
      <c r="D287">
        <v>1</v>
      </c>
      <c r="E287">
        <v>0</v>
      </c>
      <c r="F287" t="s">
        <v>1196</v>
      </c>
      <c r="G287">
        <v>330</v>
      </c>
      <c r="H287">
        <v>0</v>
      </c>
      <c r="I287" t="s">
        <v>24</v>
      </c>
      <c r="J287" t="s">
        <v>1197</v>
      </c>
      <c r="K287" t="s">
        <v>1198</v>
      </c>
      <c r="L287" t="s">
        <v>27</v>
      </c>
      <c r="M287" t="s">
        <v>28</v>
      </c>
      <c r="N287" t="s">
        <v>1199</v>
      </c>
      <c r="O287" t="s">
        <v>27</v>
      </c>
      <c r="P287" t="s">
        <v>39</v>
      </c>
      <c r="Q287" t="s">
        <v>31</v>
      </c>
      <c r="R287" t="s">
        <v>32</v>
      </c>
      <c r="S287" t="s">
        <v>28</v>
      </c>
      <c r="T287" t="s">
        <v>1200</v>
      </c>
      <c r="U287" t="s">
        <v>1199</v>
      </c>
    </row>
    <row r="288" spans="1:21" x14ac:dyDescent="0.25">
      <c r="A288" t="s">
        <v>58</v>
      </c>
      <c r="B288" t="s">
        <v>103</v>
      </c>
      <c r="C288">
        <v>78.14</v>
      </c>
      <c r="D288">
        <v>1</v>
      </c>
      <c r="E288">
        <v>0</v>
      </c>
      <c r="F288" t="s">
        <v>1201</v>
      </c>
      <c r="G288">
        <v>161.28</v>
      </c>
      <c r="H288">
        <v>5</v>
      </c>
      <c r="I288" t="s">
        <v>105</v>
      </c>
      <c r="J288" t="s">
        <v>1202</v>
      </c>
      <c r="K288" t="s">
        <v>1203</v>
      </c>
      <c r="L288" t="s">
        <v>1204</v>
      </c>
      <c r="M288" t="s">
        <v>1205</v>
      </c>
      <c r="N288" t="s">
        <v>1206</v>
      </c>
      <c r="O288" t="s">
        <v>27</v>
      </c>
      <c r="P288" t="s">
        <v>48</v>
      </c>
      <c r="Q288" t="s">
        <v>49</v>
      </c>
      <c r="R288" t="s">
        <v>50</v>
      </c>
      <c r="S288" t="s">
        <v>28</v>
      </c>
      <c r="T288" t="s">
        <v>1207</v>
      </c>
      <c r="U288" t="s">
        <v>1206</v>
      </c>
    </row>
    <row r="289" spans="1:21" x14ac:dyDescent="0.25">
      <c r="A289" t="s">
        <v>58</v>
      </c>
      <c r="B289" t="s">
        <v>103</v>
      </c>
      <c r="C289">
        <v>78.14</v>
      </c>
      <c r="D289">
        <v>1</v>
      </c>
      <c r="E289">
        <v>0</v>
      </c>
      <c r="F289" t="s">
        <v>1201</v>
      </c>
      <c r="G289">
        <v>161.28</v>
      </c>
      <c r="H289">
        <v>5</v>
      </c>
      <c r="I289" t="s">
        <v>105</v>
      </c>
      <c r="J289" t="s">
        <v>1202</v>
      </c>
      <c r="K289" t="s">
        <v>1203</v>
      </c>
      <c r="L289" t="s">
        <v>1204</v>
      </c>
      <c r="M289" t="s">
        <v>1205</v>
      </c>
      <c r="N289" t="s">
        <v>1206</v>
      </c>
      <c r="O289" t="s">
        <v>27</v>
      </c>
      <c r="P289" t="s">
        <v>48</v>
      </c>
      <c r="Q289" t="s">
        <v>49</v>
      </c>
      <c r="R289" t="s">
        <v>50</v>
      </c>
      <c r="S289" t="s">
        <v>28</v>
      </c>
      <c r="T289" t="s">
        <v>1207</v>
      </c>
      <c r="U289" t="s">
        <v>1206</v>
      </c>
    </row>
    <row r="290" spans="1:21" x14ac:dyDescent="0.25">
      <c r="A290" t="s">
        <v>195</v>
      </c>
      <c r="B290" t="s">
        <v>1003</v>
      </c>
      <c r="C290">
        <v>119.84</v>
      </c>
      <c r="D290">
        <v>1</v>
      </c>
      <c r="E290">
        <v>0</v>
      </c>
      <c r="F290" t="s">
        <v>1208</v>
      </c>
      <c r="G290">
        <v>124.84</v>
      </c>
      <c r="H290">
        <v>5</v>
      </c>
      <c r="I290" t="s">
        <v>628</v>
      </c>
      <c r="J290" t="s">
        <v>1209</v>
      </c>
      <c r="K290" t="s">
        <v>1210</v>
      </c>
      <c r="L290" t="s">
        <v>190</v>
      </c>
      <c r="M290" t="s">
        <v>1211</v>
      </c>
      <c r="N290" t="s">
        <v>1212</v>
      </c>
      <c r="O290" t="s">
        <v>27</v>
      </c>
      <c r="P290" t="s">
        <v>48</v>
      </c>
      <c r="Q290" t="s">
        <v>49</v>
      </c>
      <c r="R290" t="s">
        <v>50</v>
      </c>
      <c r="S290" t="s">
        <v>28</v>
      </c>
      <c r="T290" t="s">
        <v>1213</v>
      </c>
      <c r="U290" t="s">
        <v>1212</v>
      </c>
    </row>
    <row r="291" spans="1:21" x14ac:dyDescent="0.25">
      <c r="A291" t="s">
        <v>143</v>
      </c>
      <c r="B291" t="s">
        <v>144</v>
      </c>
      <c r="C291">
        <v>200</v>
      </c>
      <c r="D291">
        <v>1</v>
      </c>
      <c r="E291">
        <v>0</v>
      </c>
      <c r="F291" t="s">
        <v>1214</v>
      </c>
      <c r="G291">
        <v>200</v>
      </c>
      <c r="H291">
        <v>0</v>
      </c>
      <c r="I291" t="s">
        <v>24</v>
      </c>
      <c r="J291" t="s">
        <v>1215</v>
      </c>
      <c r="K291" t="s">
        <v>1198</v>
      </c>
      <c r="L291" t="s">
        <v>27</v>
      </c>
      <c r="M291" t="s">
        <v>28</v>
      </c>
      <c r="N291" t="s">
        <v>1216</v>
      </c>
      <c r="O291" t="s">
        <v>27</v>
      </c>
      <c r="P291" t="s">
        <v>39</v>
      </c>
      <c r="Q291" t="s">
        <v>31</v>
      </c>
      <c r="R291" t="s">
        <v>32</v>
      </c>
      <c r="S291" t="s">
        <v>28</v>
      </c>
      <c r="T291" t="s">
        <v>1217</v>
      </c>
      <c r="U291" t="s">
        <v>1212</v>
      </c>
    </row>
    <row r="292" spans="1:21" x14ac:dyDescent="0.25">
      <c r="A292" t="s">
        <v>63</v>
      </c>
      <c r="B292" t="s">
        <v>64</v>
      </c>
      <c r="C292">
        <v>100</v>
      </c>
      <c r="D292">
        <v>1</v>
      </c>
      <c r="E292">
        <v>0</v>
      </c>
      <c r="F292" t="s">
        <v>1218</v>
      </c>
      <c r="G292">
        <v>300</v>
      </c>
      <c r="H292">
        <v>0</v>
      </c>
      <c r="I292" t="s">
        <v>445</v>
      </c>
      <c r="J292" t="s">
        <v>1219</v>
      </c>
      <c r="K292" t="s">
        <v>54</v>
      </c>
      <c r="L292" t="s">
        <v>27</v>
      </c>
      <c r="M292" t="s">
        <v>28</v>
      </c>
      <c r="N292" t="s">
        <v>1216</v>
      </c>
      <c r="O292" t="s">
        <v>27</v>
      </c>
      <c r="P292" t="s">
        <v>369</v>
      </c>
      <c r="Q292" t="s">
        <v>31</v>
      </c>
      <c r="R292" t="s">
        <v>57</v>
      </c>
      <c r="S292" t="s">
        <v>28</v>
      </c>
      <c r="T292" t="s">
        <v>1220</v>
      </c>
      <c r="U292" t="s">
        <v>1216</v>
      </c>
    </row>
    <row r="293" spans="1:21" x14ac:dyDescent="0.25">
      <c r="A293" t="s">
        <v>33</v>
      </c>
      <c r="B293" t="s">
        <v>34</v>
      </c>
      <c r="C293">
        <v>200</v>
      </c>
      <c r="D293">
        <v>1</v>
      </c>
      <c r="E293">
        <v>0</v>
      </c>
      <c r="F293" t="s">
        <v>1218</v>
      </c>
      <c r="G293">
        <v>300</v>
      </c>
      <c r="H293">
        <v>0</v>
      </c>
      <c r="I293" t="s">
        <v>445</v>
      </c>
      <c r="J293" t="s">
        <v>1219</v>
      </c>
      <c r="K293" t="s">
        <v>54</v>
      </c>
      <c r="L293" t="s">
        <v>27</v>
      </c>
      <c r="M293" t="s">
        <v>28</v>
      </c>
      <c r="N293" t="s">
        <v>1216</v>
      </c>
      <c r="O293" t="s">
        <v>27</v>
      </c>
      <c r="P293" t="s">
        <v>369</v>
      </c>
      <c r="Q293" t="s">
        <v>31</v>
      </c>
      <c r="R293" t="s">
        <v>57</v>
      </c>
      <c r="S293" t="s">
        <v>28</v>
      </c>
      <c r="T293" t="s">
        <v>1220</v>
      </c>
      <c r="U293" t="s">
        <v>1216</v>
      </c>
    </row>
    <row r="294" spans="1:21" x14ac:dyDescent="0.25">
      <c r="A294" t="s">
        <v>143</v>
      </c>
      <c r="B294" t="s">
        <v>144</v>
      </c>
      <c r="C294">
        <v>200</v>
      </c>
      <c r="D294">
        <v>1</v>
      </c>
      <c r="E294">
        <v>0</v>
      </c>
      <c r="F294" t="s">
        <v>1221</v>
      </c>
      <c r="G294">
        <v>200</v>
      </c>
      <c r="H294">
        <v>0</v>
      </c>
      <c r="I294" t="s">
        <v>140</v>
      </c>
      <c r="J294" t="s">
        <v>1197</v>
      </c>
      <c r="K294" t="s">
        <v>1198</v>
      </c>
      <c r="L294" t="s">
        <v>27</v>
      </c>
      <c r="M294" t="s">
        <v>28</v>
      </c>
      <c r="N294" t="s">
        <v>1222</v>
      </c>
      <c r="O294" t="s">
        <v>27</v>
      </c>
      <c r="P294" t="s">
        <v>30</v>
      </c>
      <c r="Q294" t="s">
        <v>31</v>
      </c>
      <c r="R294" t="s">
        <v>32</v>
      </c>
      <c r="S294" t="s">
        <v>28</v>
      </c>
      <c r="T294" t="s">
        <v>1223</v>
      </c>
      <c r="U294" t="s">
        <v>1222</v>
      </c>
    </row>
    <row r="295" spans="1:21" x14ac:dyDescent="0.25">
      <c r="A295" t="s">
        <v>33</v>
      </c>
      <c r="B295" t="s">
        <v>34</v>
      </c>
      <c r="C295">
        <v>200</v>
      </c>
      <c r="D295">
        <v>1</v>
      </c>
      <c r="E295">
        <v>0</v>
      </c>
      <c r="F295" t="s">
        <v>1224</v>
      </c>
      <c r="G295">
        <v>200</v>
      </c>
      <c r="H295">
        <v>0</v>
      </c>
      <c r="I295" t="s">
        <v>24</v>
      </c>
      <c r="J295" t="s">
        <v>1225</v>
      </c>
      <c r="K295" t="s">
        <v>73</v>
      </c>
      <c r="L295" t="s">
        <v>27</v>
      </c>
      <c r="M295" t="s">
        <v>28</v>
      </c>
      <c r="N295" t="s">
        <v>1226</v>
      </c>
      <c r="O295" t="s">
        <v>27</v>
      </c>
      <c r="P295" t="s">
        <v>39</v>
      </c>
      <c r="Q295" t="s">
        <v>31</v>
      </c>
      <c r="R295" t="s">
        <v>32</v>
      </c>
      <c r="S295" t="s">
        <v>28</v>
      </c>
      <c r="T295" t="s">
        <v>1227</v>
      </c>
      <c r="U295" t="s">
        <v>1226</v>
      </c>
    </row>
    <row r="296" spans="1:21" x14ac:dyDescent="0.25">
      <c r="A296" t="s">
        <v>33</v>
      </c>
      <c r="B296" t="s">
        <v>34</v>
      </c>
      <c r="C296">
        <v>200</v>
      </c>
      <c r="D296">
        <v>1</v>
      </c>
      <c r="E296">
        <v>0</v>
      </c>
      <c r="F296" t="s">
        <v>1228</v>
      </c>
      <c r="G296">
        <v>200</v>
      </c>
      <c r="H296">
        <v>0</v>
      </c>
      <c r="I296" t="s">
        <v>24</v>
      </c>
      <c r="J296" t="s">
        <v>1229</v>
      </c>
      <c r="K296" t="s">
        <v>388</v>
      </c>
      <c r="L296" t="s">
        <v>27</v>
      </c>
      <c r="M296" t="s">
        <v>28</v>
      </c>
      <c r="N296" t="s">
        <v>1226</v>
      </c>
      <c r="O296" t="s">
        <v>27</v>
      </c>
      <c r="P296" t="s">
        <v>56</v>
      </c>
      <c r="Q296" t="s">
        <v>31</v>
      </c>
      <c r="R296" t="s">
        <v>57</v>
      </c>
      <c r="S296" t="s">
        <v>28</v>
      </c>
      <c r="T296" t="s">
        <v>1230</v>
      </c>
      <c r="U296" t="s">
        <v>1226</v>
      </c>
    </row>
    <row r="297" spans="1:21" x14ac:dyDescent="0.25">
      <c r="A297" t="s">
        <v>63</v>
      </c>
      <c r="B297" t="s">
        <v>64</v>
      </c>
      <c r="C297">
        <v>150</v>
      </c>
      <c r="D297">
        <v>1</v>
      </c>
      <c r="E297">
        <v>0</v>
      </c>
      <c r="F297" t="s">
        <v>1231</v>
      </c>
      <c r="G297">
        <v>150</v>
      </c>
      <c r="H297">
        <v>0</v>
      </c>
      <c r="I297" t="s">
        <v>24</v>
      </c>
      <c r="J297" t="s">
        <v>1232</v>
      </c>
      <c r="K297" t="s">
        <v>1233</v>
      </c>
      <c r="L297" t="s">
        <v>1234</v>
      </c>
      <c r="M297" t="s">
        <v>1235</v>
      </c>
      <c r="N297" t="s">
        <v>1236</v>
      </c>
      <c r="O297" t="s">
        <v>27</v>
      </c>
      <c r="P297" t="s">
        <v>84</v>
      </c>
      <c r="Q297" t="s">
        <v>85</v>
      </c>
      <c r="R297" t="s">
        <v>86</v>
      </c>
      <c r="S297" t="s">
        <v>28</v>
      </c>
      <c r="T297" t="s">
        <v>1237</v>
      </c>
      <c r="U297" t="s">
        <v>1236</v>
      </c>
    </row>
    <row r="298" spans="1:21" x14ac:dyDescent="0.25">
      <c r="A298" t="s">
        <v>33</v>
      </c>
      <c r="B298" t="s">
        <v>34</v>
      </c>
      <c r="C298">
        <v>200</v>
      </c>
      <c r="D298">
        <v>1</v>
      </c>
      <c r="E298">
        <v>0</v>
      </c>
      <c r="F298" t="s">
        <v>1238</v>
      </c>
      <c r="G298">
        <v>200</v>
      </c>
      <c r="H298">
        <v>0</v>
      </c>
      <c r="I298" t="s">
        <v>24</v>
      </c>
      <c r="J298" t="s">
        <v>1239</v>
      </c>
      <c r="K298" t="s">
        <v>37</v>
      </c>
      <c r="L298" t="s">
        <v>27</v>
      </c>
      <c r="M298" t="s">
        <v>28</v>
      </c>
      <c r="N298" t="s">
        <v>1240</v>
      </c>
      <c r="O298" t="s">
        <v>27</v>
      </c>
      <c r="P298" t="s">
        <v>39</v>
      </c>
      <c r="Q298" t="s">
        <v>31</v>
      </c>
      <c r="R298" t="s">
        <v>32</v>
      </c>
      <c r="S298" t="s">
        <v>28</v>
      </c>
      <c r="T298" t="s">
        <v>1241</v>
      </c>
      <c r="U298" t="s">
        <v>1240</v>
      </c>
    </row>
    <row r="299" spans="1:21" x14ac:dyDescent="0.25">
      <c r="A299" t="s">
        <v>33</v>
      </c>
      <c r="B299" t="s">
        <v>34</v>
      </c>
      <c r="C299">
        <v>200</v>
      </c>
      <c r="D299">
        <v>1</v>
      </c>
      <c r="E299">
        <v>0</v>
      </c>
      <c r="F299" t="s">
        <v>1242</v>
      </c>
      <c r="G299">
        <v>200</v>
      </c>
      <c r="H299">
        <v>0</v>
      </c>
      <c r="I299" t="s">
        <v>445</v>
      </c>
      <c r="J299" t="s">
        <v>1243</v>
      </c>
      <c r="K299" t="s">
        <v>342</v>
      </c>
      <c r="L299" t="s">
        <v>27</v>
      </c>
      <c r="M299" t="s">
        <v>28</v>
      </c>
      <c r="N299" t="s">
        <v>1244</v>
      </c>
      <c r="O299" t="s">
        <v>27</v>
      </c>
      <c r="P299" t="s">
        <v>39</v>
      </c>
      <c r="Q299" t="s">
        <v>31</v>
      </c>
      <c r="R299" t="s">
        <v>32</v>
      </c>
      <c r="S299" t="s">
        <v>28</v>
      </c>
      <c r="T299" t="s">
        <v>1245</v>
      </c>
      <c r="U299" t="s">
        <v>1244</v>
      </c>
    </row>
    <row r="300" spans="1:21" x14ac:dyDescent="0.25">
      <c r="A300" t="s">
        <v>33</v>
      </c>
      <c r="B300" t="s">
        <v>34</v>
      </c>
      <c r="C300">
        <v>200</v>
      </c>
      <c r="D300">
        <v>1</v>
      </c>
      <c r="E300">
        <v>0</v>
      </c>
      <c r="F300" t="s">
        <v>1246</v>
      </c>
      <c r="G300">
        <v>200</v>
      </c>
      <c r="H300">
        <v>0</v>
      </c>
      <c r="I300" t="s">
        <v>24</v>
      </c>
      <c r="J300" t="s">
        <v>1247</v>
      </c>
      <c r="K300" t="s">
        <v>285</v>
      </c>
      <c r="L300" t="s">
        <v>27</v>
      </c>
      <c r="M300" t="s">
        <v>28</v>
      </c>
      <c r="N300" t="s">
        <v>1248</v>
      </c>
      <c r="O300" t="s">
        <v>27</v>
      </c>
      <c r="P300" t="s">
        <v>39</v>
      </c>
      <c r="Q300" t="s">
        <v>31</v>
      </c>
      <c r="R300" t="s">
        <v>32</v>
      </c>
      <c r="S300" t="s">
        <v>28</v>
      </c>
      <c r="T300" t="s">
        <v>1249</v>
      </c>
      <c r="U300" t="s">
        <v>1248</v>
      </c>
    </row>
    <row r="301" spans="1:21" x14ac:dyDescent="0.25">
      <c r="A301" t="s">
        <v>195</v>
      </c>
      <c r="B301" t="s">
        <v>1003</v>
      </c>
      <c r="C301">
        <v>119.84</v>
      </c>
      <c r="D301">
        <v>1</v>
      </c>
      <c r="E301">
        <v>0</v>
      </c>
      <c r="F301" t="s">
        <v>1250</v>
      </c>
      <c r="G301">
        <v>124.84</v>
      </c>
      <c r="H301">
        <v>5</v>
      </c>
      <c r="I301" t="s">
        <v>628</v>
      </c>
      <c r="J301" t="s">
        <v>1251</v>
      </c>
      <c r="K301" t="s">
        <v>1252</v>
      </c>
      <c r="L301" t="s">
        <v>1253</v>
      </c>
      <c r="M301" t="s">
        <v>1254</v>
      </c>
      <c r="N301" t="s">
        <v>1255</v>
      </c>
      <c r="O301" t="s">
        <v>27</v>
      </c>
      <c r="P301" t="s">
        <v>48</v>
      </c>
      <c r="Q301" t="s">
        <v>49</v>
      </c>
      <c r="R301" t="s">
        <v>50</v>
      </c>
      <c r="S301" t="s">
        <v>28</v>
      </c>
      <c r="T301" t="s">
        <v>1256</v>
      </c>
      <c r="U301" t="s">
        <v>1255</v>
      </c>
    </row>
    <row r="302" spans="1:21" x14ac:dyDescent="0.25">
      <c r="A302" t="s">
        <v>21</v>
      </c>
      <c r="B302" t="s">
        <v>22</v>
      </c>
      <c r="C302">
        <v>100</v>
      </c>
      <c r="D302">
        <v>1</v>
      </c>
      <c r="E302">
        <v>0</v>
      </c>
      <c r="F302" t="s">
        <v>1257</v>
      </c>
      <c r="G302">
        <v>106</v>
      </c>
      <c r="H302">
        <v>6</v>
      </c>
      <c r="I302" t="s">
        <v>24</v>
      </c>
      <c r="J302" t="s">
        <v>1258</v>
      </c>
      <c r="K302" t="s">
        <v>37</v>
      </c>
      <c r="L302" t="s">
        <v>27</v>
      </c>
      <c r="M302" t="s">
        <v>28</v>
      </c>
      <c r="N302" t="s">
        <v>1259</v>
      </c>
      <c r="O302" t="s">
        <v>27</v>
      </c>
      <c r="P302" t="s">
        <v>39</v>
      </c>
      <c r="Q302" t="s">
        <v>31</v>
      </c>
      <c r="R302" t="s">
        <v>32</v>
      </c>
      <c r="S302" t="s">
        <v>28</v>
      </c>
      <c r="T302" t="s">
        <v>1260</v>
      </c>
      <c r="U302" t="s">
        <v>1255</v>
      </c>
    </row>
    <row r="303" spans="1:21" x14ac:dyDescent="0.25">
      <c r="A303" t="s">
        <v>33</v>
      </c>
      <c r="B303" t="s">
        <v>34</v>
      </c>
      <c r="C303">
        <v>200</v>
      </c>
      <c r="D303">
        <v>1</v>
      </c>
      <c r="E303">
        <v>0</v>
      </c>
      <c r="F303" t="s">
        <v>1261</v>
      </c>
      <c r="G303">
        <v>200</v>
      </c>
      <c r="H303">
        <v>0</v>
      </c>
      <c r="I303" t="s">
        <v>24</v>
      </c>
      <c r="J303" t="s">
        <v>1262</v>
      </c>
      <c r="K303" t="s">
        <v>250</v>
      </c>
      <c r="L303" t="s">
        <v>27</v>
      </c>
      <c r="M303" t="s">
        <v>28</v>
      </c>
      <c r="N303" t="s">
        <v>1263</v>
      </c>
      <c r="O303" t="s">
        <v>27</v>
      </c>
      <c r="P303" t="s">
        <v>39</v>
      </c>
      <c r="Q303" t="s">
        <v>31</v>
      </c>
      <c r="R303" t="s">
        <v>32</v>
      </c>
      <c r="S303" t="s">
        <v>28</v>
      </c>
      <c r="T303" t="s">
        <v>1264</v>
      </c>
      <c r="U303" t="s">
        <v>1263</v>
      </c>
    </row>
    <row r="304" spans="1:21" x14ac:dyDescent="0.25">
      <c r="A304" t="s">
        <v>21</v>
      </c>
      <c r="B304" t="s">
        <v>22</v>
      </c>
      <c r="C304">
        <v>100</v>
      </c>
      <c r="D304">
        <v>1</v>
      </c>
      <c r="E304">
        <v>0</v>
      </c>
      <c r="F304" t="s">
        <v>1265</v>
      </c>
      <c r="G304">
        <v>209</v>
      </c>
      <c r="H304">
        <v>45</v>
      </c>
      <c r="I304" t="s">
        <v>24</v>
      </c>
      <c r="J304" t="s">
        <v>1266</v>
      </c>
      <c r="K304" t="s">
        <v>250</v>
      </c>
      <c r="L304" t="s">
        <v>27</v>
      </c>
      <c r="M304" t="s">
        <v>28</v>
      </c>
      <c r="N304" t="s">
        <v>1267</v>
      </c>
      <c r="O304" t="s">
        <v>27</v>
      </c>
      <c r="P304" t="s">
        <v>39</v>
      </c>
      <c r="Q304" t="s">
        <v>31</v>
      </c>
      <c r="R304" t="s">
        <v>32</v>
      </c>
      <c r="S304" t="s">
        <v>28</v>
      </c>
      <c r="T304" t="s">
        <v>1268</v>
      </c>
      <c r="U304" t="s">
        <v>1267</v>
      </c>
    </row>
    <row r="305" spans="1:21" x14ac:dyDescent="0.25">
      <c r="A305" t="s">
        <v>143</v>
      </c>
      <c r="B305" t="s">
        <v>144</v>
      </c>
      <c r="C305">
        <v>200</v>
      </c>
      <c r="D305">
        <v>1</v>
      </c>
      <c r="E305">
        <v>0</v>
      </c>
      <c r="F305" t="s">
        <v>1269</v>
      </c>
      <c r="G305">
        <v>200</v>
      </c>
      <c r="H305">
        <v>0</v>
      </c>
      <c r="I305" t="s">
        <v>140</v>
      </c>
      <c r="J305" t="s">
        <v>1270</v>
      </c>
      <c r="K305" t="s">
        <v>73</v>
      </c>
      <c r="L305" t="s">
        <v>27</v>
      </c>
      <c r="M305" t="s">
        <v>28</v>
      </c>
      <c r="N305" t="s">
        <v>1271</v>
      </c>
      <c r="O305" t="s">
        <v>27</v>
      </c>
      <c r="P305" t="s">
        <v>369</v>
      </c>
      <c r="Q305" t="s">
        <v>31</v>
      </c>
      <c r="R305" t="s">
        <v>57</v>
      </c>
      <c r="S305" t="s">
        <v>28</v>
      </c>
      <c r="T305" t="s">
        <v>1272</v>
      </c>
      <c r="U305" t="s">
        <v>1271</v>
      </c>
    </row>
    <row r="306" spans="1:21" x14ac:dyDescent="0.25">
      <c r="A306" t="s">
        <v>21</v>
      </c>
      <c r="B306" t="s">
        <v>22</v>
      </c>
      <c r="C306">
        <v>100</v>
      </c>
      <c r="D306">
        <v>1</v>
      </c>
      <c r="E306">
        <v>0</v>
      </c>
      <c r="F306" t="s">
        <v>1273</v>
      </c>
      <c r="G306">
        <v>106</v>
      </c>
      <c r="H306">
        <v>6</v>
      </c>
      <c r="I306" t="s">
        <v>24</v>
      </c>
      <c r="J306" t="s">
        <v>1274</v>
      </c>
      <c r="K306" t="s">
        <v>583</v>
      </c>
      <c r="L306" t="s">
        <v>27</v>
      </c>
      <c r="M306" t="s">
        <v>28</v>
      </c>
      <c r="N306" t="s">
        <v>1275</v>
      </c>
      <c r="O306" t="s">
        <v>27</v>
      </c>
      <c r="P306" t="s">
        <v>39</v>
      </c>
      <c r="Q306" t="s">
        <v>31</v>
      </c>
      <c r="R306" t="s">
        <v>32</v>
      </c>
      <c r="S306" t="s">
        <v>28</v>
      </c>
      <c r="T306" t="s">
        <v>1276</v>
      </c>
      <c r="U306" t="s">
        <v>1277</v>
      </c>
    </row>
    <row r="307" spans="1:21" x14ac:dyDescent="0.25">
      <c r="A307" t="s">
        <v>143</v>
      </c>
      <c r="B307" t="s">
        <v>144</v>
      </c>
      <c r="C307">
        <v>200</v>
      </c>
      <c r="D307">
        <v>1</v>
      </c>
      <c r="E307">
        <v>0</v>
      </c>
      <c r="F307" t="s">
        <v>1278</v>
      </c>
      <c r="G307">
        <v>200</v>
      </c>
      <c r="H307">
        <v>0</v>
      </c>
      <c r="I307" t="s">
        <v>140</v>
      </c>
      <c r="J307" t="s">
        <v>1279</v>
      </c>
      <c r="K307" t="s">
        <v>771</v>
      </c>
      <c r="L307" t="s">
        <v>27</v>
      </c>
      <c r="M307" t="s">
        <v>28</v>
      </c>
      <c r="N307" t="s">
        <v>1280</v>
      </c>
      <c r="O307" t="s">
        <v>27</v>
      </c>
      <c r="P307" t="s">
        <v>30</v>
      </c>
      <c r="Q307" t="s">
        <v>31</v>
      </c>
      <c r="R307" t="s">
        <v>32</v>
      </c>
      <c r="S307" t="s">
        <v>28</v>
      </c>
      <c r="T307" t="s">
        <v>1281</v>
      </c>
      <c r="U307" t="s">
        <v>1275</v>
      </c>
    </row>
    <row r="308" spans="1:21" x14ac:dyDescent="0.25">
      <c r="A308" t="s">
        <v>63</v>
      </c>
      <c r="B308" t="s">
        <v>64</v>
      </c>
      <c r="C308">
        <v>100</v>
      </c>
      <c r="D308">
        <v>1</v>
      </c>
      <c r="E308">
        <v>0</v>
      </c>
      <c r="F308" t="s">
        <v>1282</v>
      </c>
      <c r="G308">
        <v>200</v>
      </c>
      <c r="H308">
        <v>0</v>
      </c>
      <c r="I308" t="s">
        <v>445</v>
      </c>
      <c r="J308" t="s">
        <v>1283</v>
      </c>
      <c r="K308" t="s">
        <v>61</v>
      </c>
      <c r="L308" t="s">
        <v>27</v>
      </c>
      <c r="M308" t="s">
        <v>28</v>
      </c>
      <c r="N308" t="s">
        <v>1280</v>
      </c>
      <c r="O308" t="s">
        <v>27</v>
      </c>
      <c r="P308" t="s">
        <v>56</v>
      </c>
      <c r="Q308" t="s">
        <v>31</v>
      </c>
      <c r="R308" t="s">
        <v>57</v>
      </c>
      <c r="S308" t="s">
        <v>28</v>
      </c>
      <c r="T308" t="s">
        <v>1284</v>
      </c>
      <c r="U308" t="s">
        <v>1275</v>
      </c>
    </row>
    <row r="309" spans="1:21" x14ac:dyDescent="0.25">
      <c r="A309" t="s">
        <v>21</v>
      </c>
      <c r="B309" t="s">
        <v>22</v>
      </c>
      <c r="C309">
        <v>100</v>
      </c>
      <c r="D309">
        <v>1</v>
      </c>
      <c r="E309">
        <v>0</v>
      </c>
      <c r="F309" t="s">
        <v>1282</v>
      </c>
      <c r="G309">
        <v>200</v>
      </c>
      <c r="H309">
        <v>0</v>
      </c>
      <c r="I309" t="s">
        <v>445</v>
      </c>
      <c r="J309" t="s">
        <v>1283</v>
      </c>
      <c r="K309" t="s">
        <v>61</v>
      </c>
      <c r="L309" t="s">
        <v>27</v>
      </c>
      <c r="M309" t="s">
        <v>28</v>
      </c>
      <c r="N309" t="s">
        <v>1280</v>
      </c>
      <c r="O309" t="s">
        <v>27</v>
      </c>
      <c r="P309" t="s">
        <v>56</v>
      </c>
      <c r="Q309" t="s">
        <v>31</v>
      </c>
      <c r="R309" t="s">
        <v>57</v>
      </c>
      <c r="S309" t="s">
        <v>28</v>
      </c>
      <c r="T309" t="s">
        <v>1284</v>
      </c>
      <c r="U309" t="s">
        <v>1275</v>
      </c>
    </row>
    <row r="310" spans="1:21" x14ac:dyDescent="0.25">
      <c r="A310" t="s">
        <v>33</v>
      </c>
      <c r="B310" t="s">
        <v>34</v>
      </c>
      <c r="C310">
        <v>200</v>
      </c>
      <c r="D310">
        <v>1</v>
      </c>
      <c r="E310">
        <v>0</v>
      </c>
      <c r="F310" t="s">
        <v>1285</v>
      </c>
      <c r="G310">
        <v>200</v>
      </c>
      <c r="H310">
        <v>0</v>
      </c>
      <c r="I310" t="s">
        <v>24</v>
      </c>
      <c r="J310" t="s">
        <v>1286</v>
      </c>
      <c r="K310" t="s">
        <v>89</v>
      </c>
      <c r="L310" t="s">
        <v>27</v>
      </c>
      <c r="M310" t="s">
        <v>28</v>
      </c>
      <c r="N310" t="s">
        <v>1287</v>
      </c>
      <c r="O310" t="s">
        <v>27</v>
      </c>
      <c r="P310" t="s">
        <v>56</v>
      </c>
      <c r="Q310" t="s">
        <v>31</v>
      </c>
      <c r="R310" t="s">
        <v>57</v>
      </c>
      <c r="S310" t="s">
        <v>28</v>
      </c>
      <c r="T310" t="s">
        <v>1288</v>
      </c>
      <c r="U310" t="s">
        <v>1289</v>
      </c>
    </row>
    <row r="311" spans="1:21" x14ac:dyDescent="0.25">
      <c r="A311" t="s">
        <v>143</v>
      </c>
      <c r="B311" t="s">
        <v>144</v>
      </c>
      <c r="C311">
        <v>200</v>
      </c>
      <c r="D311">
        <v>1</v>
      </c>
      <c r="E311">
        <v>0</v>
      </c>
      <c r="F311" t="s">
        <v>1290</v>
      </c>
      <c r="G311">
        <v>200</v>
      </c>
      <c r="H311">
        <v>0</v>
      </c>
      <c r="I311" t="s">
        <v>24</v>
      </c>
      <c r="J311" t="s">
        <v>1291</v>
      </c>
      <c r="K311" t="s">
        <v>474</v>
      </c>
      <c r="L311" t="s">
        <v>27</v>
      </c>
      <c r="M311" t="s">
        <v>28</v>
      </c>
      <c r="N311" t="s">
        <v>1292</v>
      </c>
      <c r="O311" t="s">
        <v>27</v>
      </c>
      <c r="P311" t="s">
        <v>39</v>
      </c>
      <c r="Q311" t="s">
        <v>31</v>
      </c>
      <c r="R311" t="s">
        <v>32</v>
      </c>
      <c r="S311" t="s">
        <v>28</v>
      </c>
      <c r="T311" t="s">
        <v>1293</v>
      </c>
      <c r="U311" t="s">
        <v>1294</v>
      </c>
    </row>
    <row r="312" spans="1:21" x14ac:dyDescent="0.25">
      <c r="A312" t="s">
        <v>143</v>
      </c>
      <c r="B312" t="s">
        <v>144</v>
      </c>
      <c r="C312">
        <v>200</v>
      </c>
      <c r="D312">
        <v>1</v>
      </c>
      <c r="E312">
        <v>0</v>
      </c>
      <c r="F312" t="s">
        <v>1295</v>
      </c>
      <c r="G312">
        <v>200</v>
      </c>
      <c r="H312">
        <v>0</v>
      </c>
      <c r="I312" t="s">
        <v>24</v>
      </c>
      <c r="J312" t="s">
        <v>1296</v>
      </c>
      <c r="K312" t="s">
        <v>572</v>
      </c>
      <c r="L312" t="s">
        <v>27</v>
      </c>
      <c r="M312" t="s">
        <v>28</v>
      </c>
      <c r="N312" t="s">
        <v>1292</v>
      </c>
      <c r="O312" t="s">
        <v>27</v>
      </c>
      <c r="P312" t="s">
        <v>30</v>
      </c>
      <c r="Q312" t="s">
        <v>31</v>
      </c>
      <c r="R312" t="s">
        <v>32</v>
      </c>
      <c r="S312" t="s">
        <v>28</v>
      </c>
      <c r="T312" t="s">
        <v>1297</v>
      </c>
      <c r="U312" t="s">
        <v>1287</v>
      </c>
    </row>
    <row r="313" spans="1:21" x14ac:dyDescent="0.25">
      <c r="A313" t="s">
        <v>58</v>
      </c>
      <c r="B313" t="s">
        <v>58</v>
      </c>
      <c r="C313">
        <v>100</v>
      </c>
      <c r="D313">
        <v>1</v>
      </c>
      <c r="E313">
        <v>0</v>
      </c>
      <c r="F313" t="s">
        <v>1298</v>
      </c>
      <c r="G313">
        <v>200</v>
      </c>
      <c r="H313">
        <v>0</v>
      </c>
      <c r="I313" t="s">
        <v>24</v>
      </c>
      <c r="J313" t="s">
        <v>1299</v>
      </c>
      <c r="K313" t="s">
        <v>611</v>
      </c>
      <c r="L313" t="s">
        <v>27</v>
      </c>
      <c r="M313" t="s">
        <v>28</v>
      </c>
      <c r="N313" t="s">
        <v>1300</v>
      </c>
      <c r="O313" t="s">
        <v>27</v>
      </c>
      <c r="P313" t="s">
        <v>39</v>
      </c>
      <c r="Q313" t="s">
        <v>31</v>
      </c>
      <c r="R313" t="s">
        <v>32</v>
      </c>
      <c r="S313" t="s">
        <v>28</v>
      </c>
      <c r="T313" t="s">
        <v>1301</v>
      </c>
      <c r="U313" t="s">
        <v>1292</v>
      </c>
    </row>
    <row r="314" spans="1:21" x14ac:dyDescent="0.25">
      <c r="A314" t="s">
        <v>21</v>
      </c>
      <c r="B314" t="s">
        <v>22</v>
      </c>
      <c r="C314">
        <v>100</v>
      </c>
      <c r="D314">
        <v>1</v>
      </c>
      <c r="E314">
        <v>0</v>
      </c>
      <c r="F314" t="s">
        <v>1298</v>
      </c>
      <c r="G314">
        <v>200</v>
      </c>
      <c r="H314">
        <v>0</v>
      </c>
      <c r="I314" t="s">
        <v>24</v>
      </c>
      <c r="J314" t="s">
        <v>1299</v>
      </c>
      <c r="K314" t="s">
        <v>611</v>
      </c>
      <c r="L314" t="s">
        <v>27</v>
      </c>
      <c r="M314" t="s">
        <v>28</v>
      </c>
      <c r="N314" t="s">
        <v>1300</v>
      </c>
      <c r="O314" t="s">
        <v>27</v>
      </c>
      <c r="P314" t="s">
        <v>39</v>
      </c>
      <c r="Q314" t="s">
        <v>31</v>
      </c>
      <c r="R314" t="s">
        <v>32</v>
      </c>
      <c r="S314" t="s">
        <v>28</v>
      </c>
      <c r="T314" t="s">
        <v>1301</v>
      </c>
      <c r="U314" t="s">
        <v>1292</v>
      </c>
    </row>
    <row r="315" spans="1:21" x14ac:dyDescent="0.25">
      <c r="A315" t="s">
        <v>33</v>
      </c>
      <c r="B315" t="s">
        <v>34</v>
      </c>
      <c r="C315">
        <v>200</v>
      </c>
      <c r="D315">
        <v>1</v>
      </c>
      <c r="E315">
        <v>0</v>
      </c>
      <c r="F315" t="s">
        <v>1302</v>
      </c>
      <c r="G315">
        <v>200</v>
      </c>
      <c r="H315">
        <v>0</v>
      </c>
      <c r="I315" t="s">
        <v>24</v>
      </c>
      <c r="J315" t="s">
        <v>1303</v>
      </c>
      <c r="K315" t="s">
        <v>118</v>
      </c>
      <c r="L315" t="s">
        <v>27</v>
      </c>
      <c r="M315" t="s">
        <v>28</v>
      </c>
      <c r="N315" t="s">
        <v>1300</v>
      </c>
      <c r="O315" t="s">
        <v>27</v>
      </c>
      <c r="P315" t="s">
        <v>39</v>
      </c>
      <c r="Q315" t="s">
        <v>31</v>
      </c>
      <c r="R315" t="s">
        <v>32</v>
      </c>
      <c r="S315" t="s">
        <v>28</v>
      </c>
      <c r="T315" t="s">
        <v>1304</v>
      </c>
      <c r="U315" t="s">
        <v>1292</v>
      </c>
    </row>
    <row r="316" spans="1:21" x14ac:dyDescent="0.25">
      <c r="A316" t="s">
        <v>33</v>
      </c>
      <c r="B316" t="s">
        <v>34</v>
      </c>
      <c r="C316">
        <v>200</v>
      </c>
      <c r="D316">
        <v>1</v>
      </c>
      <c r="E316">
        <v>0</v>
      </c>
      <c r="F316" t="s">
        <v>1305</v>
      </c>
      <c r="G316">
        <v>200</v>
      </c>
      <c r="H316">
        <v>0</v>
      </c>
      <c r="I316" t="s">
        <v>445</v>
      </c>
      <c r="J316" t="s">
        <v>1306</v>
      </c>
      <c r="K316" t="s">
        <v>61</v>
      </c>
      <c r="L316" t="s">
        <v>27</v>
      </c>
      <c r="M316" t="s">
        <v>28</v>
      </c>
      <c r="N316" t="s">
        <v>1307</v>
      </c>
      <c r="O316" t="s">
        <v>27</v>
      </c>
      <c r="P316" t="s">
        <v>39</v>
      </c>
      <c r="Q316" t="s">
        <v>31</v>
      </c>
      <c r="R316" t="s">
        <v>32</v>
      </c>
      <c r="S316" t="s">
        <v>28</v>
      </c>
      <c r="T316" t="s">
        <v>1308</v>
      </c>
      <c r="U316" t="s">
        <v>1307</v>
      </c>
    </row>
    <row r="317" spans="1:21" x14ac:dyDescent="0.25">
      <c r="A317" t="s">
        <v>143</v>
      </c>
      <c r="B317" t="s">
        <v>144</v>
      </c>
      <c r="C317">
        <v>200</v>
      </c>
      <c r="D317">
        <v>1</v>
      </c>
      <c r="E317">
        <v>0</v>
      </c>
      <c r="F317" t="s">
        <v>1309</v>
      </c>
      <c r="G317">
        <v>200</v>
      </c>
      <c r="H317">
        <v>0</v>
      </c>
      <c r="I317" t="s">
        <v>24</v>
      </c>
      <c r="J317" t="s">
        <v>1310</v>
      </c>
      <c r="K317" t="s">
        <v>54</v>
      </c>
      <c r="L317" t="s">
        <v>27</v>
      </c>
      <c r="M317" t="s">
        <v>28</v>
      </c>
      <c r="N317" t="s">
        <v>1311</v>
      </c>
      <c r="O317" t="s">
        <v>27</v>
      </c>
      <c r="P317" t="s">
        <v>39</v>
      </c>
      <c r="Q317" t="s">
        <v>31</v>
      </c>
      <c r="R317" t="s">
        <v>32</v>
      </c>
      <c r="S317" t="s">
        <v>28</v>
      </c>
      <c r="T317" t="s">
        <v>1312</v>
      </c>
      <c r="U317" t="s">
        <v>1311</v>
      </c>
    </row>
    <row r="318" spans="1:21" x14ac:dyDescent="0.25">
      <c r="A318" t="s">
        <v>21</v>
      </c>
      <c r="B318" t="s">
        <v>22</v>
      </c>
      <c r="C318">
        <v>100</v>
      </c>
      <c r="D318">
        <v>1</v>
      </c>
      <c r="E318">
        <v>0</v>
      </c>
      <c r="F318" t="s">
        <v>1313</v>
      </c>
      <c r="G318">
        <v>106</v>
      </c>
      <c r="H318">
        <v>6</v>
      </c>
      <c r="I318" t="s">
        <v>445</v>
      </c>
      <c r="J318" t="s">
        <v>1314</v>
      </c>
      <c r="K318" t="s">
        <v>1315</v>
      </c>
      <c r="L318" t="s">
        <v>27</v>
      </c>
      <c r="M318" t="s">
        <v>28</v>
      </c>
      <c r="N318" t="s">
        <v>1316</v>
      </c>
      <c r="O318" t="s">
        <v>27</v>
      </c>
      <c r="P318" t="s">
        <v>39</v>
      </c>
      <c r="Q318" t="s">
        <v>31</v>
      </c>
      <c r="R318" t="s">
        <v>32</v>
      </c>
      <c r="S318" t="s">
        <v>28</v>
      </c>
      <c r="T318" t="s">
        <v>1317</v>
      </c>
      <c r="U318" t="s">
        <v>1316</v>
      </c>
    </row>
    <row r="319" spans="1:21" x14ac:dyDescent="0.25">
      <c r="A319" t="s">
        <v>70</v>
      </c>
      <c r="B319" t="s">
        <v>70</v>
      </c>
      <c r="C319">
        <v>330</v>
      </c>
      <c r="D319">
        <v>1</v>
      </c>
      <c r="E319">
        <v>0</v>
      </c>
      <c r="F319" t="s">
        <v>1318</v>
      </c>
      <c r="G319">
        <v>330</v>
      </c>
      <c r="H319">
        <v>0</v>
      </c>
      <c r="I319" t="s">
        <v>24</v>
      </c>
      <c r="J319" t="s">
        <v>1319</v>
      </c>
      <c r="K319" t="s">
        <v>325</v>
      </c>
      <c r="L319" t="s">
        <v>27</v>
      </c>
      <c r="M319" t="s">
        <v>28</v>
      </c>
      <c r="N319" t="s">
        <v>1320</v>
      </c>
      <c r="O319" t="s">
        <v>27</v>
      </c>
      <c r="P319" t="s">
        <v>39</v>
      </c>
      <c r="Q319" t="s">
        <v>31</v>
      </c>
      <c r="R319" t="s">
        <v>32</v>
      </c>
      <c r="S319" t="s">
        <v>28</v>
      </c>
      <c r="T319" t="s">
        <v>1321</v>
      </c>
      <c r="U319" t="s">
        <v>1320</v>
      </c>
    </row>
    <row r="320" spans="1:21" x14ac:dyDescent="0.25">
      <c r="A320" t="s">
        <v>33</v>
      </c>
      <c r="B320" t="s">
        <v>34</v>
      </c>
      <c r="C320">
        <v>200</v>
      </c>
      <c r="D320">
        <v>1</v>
      </c>
      <c r="E320">
        <v>0</v>
      </c>
      <c r="F320" t="s">
        <v>1322</v>
      </c>
      <c r="G320">
        <v>200</v>
      </c>
      <c r="H320">
        <v>0</v>
      </c>
      <c r="I320" t="s">
        <v>24</v>
      </c>
      <c r="J320" t="s">
        <v>1323</v>
      </c>
      <c r="K320" t="s">
        <v>342</v>
      </c>
      <c r="L320" t="s">
        <v>27</v>
      </c>
      <c r="M320" t="s">
        <v>28</v>
      </c>
      <c r="N320" t="s">
        <v>1324</v>
      </c>
      <c r="O320" t="s">
        <v>27</v>
      </c>
      <c r="P320" t="s">
        <v>39</v>
      </c>
      <c r="Q320" t="s">
        <v>31</v>
      </c>
      <c r="R320" t="s">
        <v>32</v>
      </c>
      <c r="S320" t="s">
        <v>28</v>
      </c>
      <c r="T320" t="s">
        <v>1325</v>
      </c>
      <c r="U320" t="s">
        <v>1324</v>
      </c>
    </row>
    <row r="321" spans="1:21" x14ac:dyDescent="0.25">
      <c r="A321" t="s">
        <v>40</v>
      </c>
      <c r="B321" t="s">
        <v>41</v>
      </c>
      <c r="C321">
        <v>110.3</v>
      </c>
      <c r="D321">
        <v>1</v>
      </c>
      <c r="E321">
        <v>0</v>
      </c>
      <c r="F321" t="s">
        <v>1326</v>
      </c>
      <c r="G321">
        <v>115.3</v>
      </c>
      <c r="H321">
        <v>5</v>
      </c>
      <c r="I321" t="s">
        <v>24</v>
      </c>
      <c r="J321" t="s">
        <v>1327</v>
      </c>
      <c r="K321" t="s">
        <v>1328</v>
      </c>
      <c r="L321" t="s">
        <v>1146</v>
      </c>
      <c r="M321" t="s">
        <v>1329</v>
      </c>
      <c r="N321" t="s">
        <v>1324</v>
      </c>
      <c r="O321" t="s">
        <v>27</v>
      </c>
      <c r="P321" t="s">
        <v>48</v>
      </c>
      <c r="Q321" t="s">
        <v>49</v>
      </c>
      <c r="R321" t="s">
        <v>50</v>
      </c>
      <c r="S321" t="s">
        <v>28</v>
      </c>
      <c r="T321" t="s">
        <v>1330</v>
      </c>
      <c r="U321" t="s">
        <v>1324</v>
      </c>
    </row>
    <row r="322" spans="1:21" x14ac:dyDescent="0.25">
      <c r="A322" t="s">
        <v>21</v>
      </c>
      <c r="B322" t="s">
        <v>22</v>
      </c>
      <c r="C322">
        <v>100</v>
      </c>
      <c r="D322">
        <v>1</v>
      </c>
      <c r="E322">
        <v>0</v>
      </c>
      <c r="F322" t="s">
        <v>1331</v>
      </c>
      <c r="G322">
        <v>129</v>
      </c>
      <c r="H322">
        <v>29</v>
      </c>
      <c r="I322" t="s">
        <v>24</v>
      </c>
      <c r="J322" t="s">
        <v>1332</v>
      </c>
      <c r="K322" t="s">
        <v>491</v>
      </c>
      <c r="L322" t="s">
        <v>27</v>
      </c>
      <c r="M322" t="s">
        <v>28</v>
      </c>
      <c r="N322" t="s">
        <v>1333</v>
      </c>
      <c r="O322" t="s">
        <v>27</v>
      </c>
      <c r="P322" t="s">
        <v>30</v>
      </c>
      <c r="Q322" t="s">
        <v>31</v>
      </c>
      <c r="R322" t="s">
        <v>32</v>
      </c>
      <c r="S322" t="s">
        <v>28</v>
      </c>
      <c r="T322" t="s">
        <v>1334</v>
      </c>
      <c r="U322" t="s">
        <v>1333</v>
      </c>
    </row>
    <row r="323" spans="1:21" x14ac:dyDescent="0.25">
      <c r="A323" t="s">
        <v>21</v>
      </c>
      <c r="B323" t="s">
        <v>22</v>
      </c>
      <c r="C323">
        <v>100</v>
      </c>
      <c r="D323">
        <v>1</v>
      </c>
      <c r="E323">
        <v>0</v>
      </c>
      <c r="F323" t="s">
        <v>1335</v>
      </c>
      <c r="G323">
        <v>200</v>
      </c>
      <c r="H323">
        <v>0</v>
      </c>
      <c r="I323" t="s">
        <v>24</v>
      </c>
      <c r="J323" t="s">
        <v>1336</v>
      </c>
      <c r="K323" t="s">
        <v>1198</v>
      </c>
      <c r="L323" t="s">
        <v>27</v>
      </c>
      <c r="M323" t="s">
        <v>28</v>
      </c>
      <c r="N323" t="s">
        <v>1337</v>
      </c>
      <c r="O323" t="s">
        <v>27</v>
      </c>
      <c r="P323" t="s">
        <v>56</v>
      </c>
      <c r="Q323" t="s">
        <v>31</v>
      </c>
      <c r="R323" t="s">
        <v>57</v>
      </c>
      <c r="S323" t="s">
        <v>28</v>
      </c>
      <c r="T323" t="s">
        <v>1338</v>
      </c>
      <c r="U323" t="s">
        <v>1337</v>
      </c>
    </row>
    <row r="324" spans="1:21" x14ac:dyDescent="0.25">
      <c r="A324" t="s">
        <v>134</v>
      </c>
      <c r="B324" t="s">
        <v>64</v>
      </c>
      <c r="C324">
        <v>100</v>
      </c>
      <c r="D324">
        <v>1</v>
      </c>
      <c r="E324">
        <v>0</v>
      </c>
      <c r="F324" t="s">
        <v>1335</v>
      </c>
      <c r="G324">
        <v>200</v>
      </c>
      <c r="H324">
        <v>0</v>
      </c>
      <c r="I324" t="s">
        <v>24</v>
      </c>
      <c r="J324" t="s">
        <v>1336</v>
      </c>
      <c r="K324" t="s">
        <v>1198</v>
      </c>
      <c r="L324" t="s">
        <v>27</v>
      </c>
      <c r="M324" t="s">
        <v>28</v>
      </c>
      <c r="N324" t="s">
        <v>1337</v>
      </c>
      <c r="O324" t="s">
        <v>27</v>
      </c>
      <c r="P324" t="s">
        <v>56</v>
      </c>
      <c r="Q324" t="s">
        <v>31</v>
      </c>
      <c r="R324" t="s">
        <v>57</v>
      </c>
      <c r="S324" t="s">
        <v>28</v>
      </c>
      <c r="T324" t="s">
        <v>1338</v>
      </c>
      <c r="U324" t="s">
        <v>1337</v>
      </c>
    </row>
    <row r="325" spans="1:21" x14ac:dyDescent="0.25">
      <c r="A325" t="s">
        <v>880</v>
      </c>
      <c r="B325" t="s">
        <v>881</v>
      </c>
      <c r="C325">
        <v>600</v>
      </c>
      <c r="D325">
        <v>1</v>
      </c>
      <c r="E325">
        <v>0</v>
      </c>
      <c r="F325" t="s">
        <v>1339</v>
      </c>
      <c r="G325">
        <v>645</v>
      </c>
      <c r="H325">
        <v>45</v>
      </c>
      <c r="I325" t="s">
        <v>24</v>
      </c>
      <c r="J325" t="s">
        <v>1340</v>
      </c>
      <c r="K325" t="s">
        <v>1341</v>
      </c>
      <c r="L325" t="s">
        <v>1342</v>
      </c>
      <c r="M325" t="s">
        <v>1343</v>
      </c>
      <c r="N325" t="s">
        <v>1344</v>
      </c>
      <c r="O325" t="s">
        <v>27</v>
      </c>
      <c r="P325" t="s">
        <v>193</v>
      </c>
      <c r="Q325" t="s">
        <v>85</v>
      </c>
      <c r="R325" t="s">
        <v>86</v>
      </c>
      <c r="S325" t="s">
        <v>28</v>
      </c>
      <c r="T325" t="s">
        <v>1345</v>
      </c>
      <c r="U325" t="s">
        <v>1344</v>
      </c>
    </row>
    <row r="326" spans="1:21" x14ac:dyDescent="0.25">
      <c r="A326" t="s">
        <v>635</v>
      </c>
      <c r="B326" t="s">
        <v>1129</v>
      </c>
      <c r="C326">
        <v>440.79</v>
      </c>
      <c r="D326">
        <v>1</v>
      </c>
      <c r="E326">
        <v>0</v>
      </c>
      <c r="F326" t="s">
        <v>1346</v>
      </c>
      <c r="G326">
        <v>813.56</v>
      </c>
      <c r="H326">
        <v>29</v>
      </c>
      <c r="I326" t="s">
        <v>105</v>
      </c>
      <c r="J326" t="s">
        <v>1347</v>
      </c>
      <c r="K326" t="s">
        <v>1348</v>
      </c>
      <c r="L326" t="s">
        <v>1349</v>
      </c>
      <c r="M326" t="s">
        <v>1350</v>
      </c>
      <c r="N326" t="s">
        <v>1351</v>
      </c>
      <c r="O326" t="s">
        <v>27</v>
      </c>
      <c r="P326" t="s">
        <v>48</v>
      </c>
      <c r="Q326" t="s">
        <v>49</v>
      </c>
      <c r="R326" t="s">
        <v>50</v>
      </c>
      <c r="S326" t="s">
        <v>28</v>
      </c>
      <c r="T326" t="s">
        <v>1352</v>
      </c>
      <c r="U326" t="s">
        <v>1351</v>
      </c>
    </row>
    <row r="327" spans="1:21" x14ac:dyDescent="0.25">
      <c r="A327" t="s">
        <v>1353</v>
      </c>
      <c r="B327" t="s">
        <v>1354</v>
      </c>
      <c r="C327">
        <v>114.6</v>
      </c>
      <c r="D327">
        <v>1</v>
      </c>
      <c r="E327">
        <v>0</v>
      </c>
      <c r="F327" t="s">
        <v>1346</v>
      </c>
      <c r="G327">
        <v>813.56</v>
      </c>
      <c r="H327">
        <v>29</v>
      </c>
      <c r="I327" t="s">
        <v>105</v>
      </c>
      <c r="J327" t="s">
        <v>1347</v>
      </c>
      <c r="K327" t="s">
        <v>1348</v>
      </c>
      <c r="L327" t="s">
        <v>1349</v>
      </c>
      <c r="M327" t="s">
        <v>1350</v>
      </c>
      <c r="N327" t="s">
        <v>1351</v>
      </c>
      <c r="O327" t="s">
        <v>27</v>
      </c>
      <c r="P327" t="s">
        <v>48</v>
      </c>
      <c r="Q327" t="s">
        <v>49</v>
      </c>
      <c r="R327" t="s">
        <v>50</v>
      </c>
      <c r="S327" t="s">
        <v>28</v>
      </c>
      <c r="T327" t="s">
        <v>1352</v>
      </c>
      <c r="U327" t="s">
        <v>1351</v>
      </c>
    </row>
    <row r="328" spans="1:21" x14ac:dyDescent="0.25">
      <c r="A328" t="s">
        <v>1353</v>
      </c>
      <c r="B328" t="s">
        <v>1354</v>
      </c>
      <c r="C328">
        <v>114.59</v>
      </c>
      <c r="D328">
        <v>1</v>
      </c>
      <c r="E328">
        <v>0</v>
      </c>
      <c r="F328" t="s">
        <v>1346</v>
      </c>
      <c r="G328">
        <v>813.56</v>
      </c>
      <c r="H328">
        <v>29</v>
      </c>
      <c r="I328" t="s">
        <v>105</v>
      </c>
      <c r="J328" t="s">
        <v>1347</v>
      </c>
      <c r="K328" t="s">
        <v>1348</v>
      </c>
      <c r="L328" t="s">
        <v>1349</v>
      </c>
      <c r="M328" t="s">
        <v>1350</v>
      </c>
      <c r="N328" t="s">
        <v>1351</v>
      </c>
      <c r="O328" t="s">
        <v>27</v>
      </c>
      <c r="P328" t="s">
        <v>48</v>
      </c>
      <c r="Q328" t="s">
        <v>49</v>
      </c>
      <c r="R328" t="s">
        <v>50</v>
      </c>
      <c r="S328" t="s">
        <v>28</v>
      </c>
      <c r="T328" t="s">
        <v>1352</v>
      </c>
      <c r="U328" t="s">
        <v>1351</v>
      </c>
    </row>
    <row r="329" spans="1:21" x14ac:dyDescent="0.25">
      <c r="A329" t="s">
        <v>1353</v>
      </c>
      <c r="B329" t="s">
        <v>1354</v>
      </c>
      <c r="C329">
        <v>114.58</v>
      </c>
      <c r="D329">
        <v>1</v>
      </c>
      <c r="E329">
        <v>0</v>
      </c>
      <c r="F329" t="s">
        <v>1346</v>
      </c>
      <c r="G329">
        <v>813.56</v>
      </c>
      <c r="H329">
        <v>29</v>
      </c>
      <c r="I329" t="s">
        <v>105</v>
      </c>
      <c r="J329" t="s">
        <v>1347</v>
      </c>
      <c r="K329" t="s">
        <v>1348</v>
      </c>
      <c r="L329" t="s">
        <v>1349</v>
      </c>
      <c r="M329" t="s">
        <v>1350</v>
      </c>
      <c r="N329" t="s">
        <v>1351</v>
      </c>
      <c r="O329" t="s">
        <v>27</v>
      </c>
      <c r="P329" t="s">
        <v>48</v>
      </c>
      <c r="Q329" t="s">
        <v>49</v>
      </c>
      <c r="R329" t="s">
        <v>50</v>
      </c>
      <c r="S329" t="s">
        <v>28</v>
      </c>
      <c r="T329" t="s">
        <v>1352</v>
      </c>
      <c r="U329" t="s">
        <v>1351</v>
      </c>
    </row>
    <row r="330" spans="1:21" x14ac:dyDescent="0.25">
      <c r="A330" t="s">
        <v>21</v>
      </c>
      <c r="B330" t="s">
        <v>22</v>
      </c>
      <c r="C330">
        <v>100</v>
      </c>
      <c r="D330">
        <v>1</v>
      </c>
      <c r="E330">
        <v>0</v>
      </c>
      <c r="F330" t="s">
        <v>1355</v>
      </c>
      <c r="G330">
        <v>106</v>
      </c>
      <c r="H330">
        <v>6</v>
      </c>
      <c r="I330" t="s">
        <v>24</v>
      </c>
      <c r="J330" t="s">
        <v>1356</v>
      </c>
      <c r="K330" t="s">
        <v>346</v>
      </c>
      <c r="L330" t="s">
        <v>27</v>
      </c>
      <c r="M330" t="s">
        <v>28</v>
      </c>
      <c r="N330" t="s">
        <v>1357</v>
      </c>
      <c r="O330" t="s">
        <v>27</v>
      </c>
      <c r="P330" t="s">
        <v>39</v>
      </c>
      <c r="Q330" t="s">
        <v>31</v>
      </c>
      <c r="R330" t="s">
        <v>32</v>
      </c>
      <c r="S330" t="s">
        <v>28</v>
      </c>
      <c r="T330" t="s">
        <v>1358</v>
      </c>
      <c r="U330" t="s">
        <v>1357</v>
      </c>
    </row>
    <row r="331" spans="1:21" x14ac:dyDescent="0.25">
      <c r="A331" t="s">
        <v>195</v>
      </c>
      <c r="B331" t="s">
        <v>1003</v>
      </c>
      <c r="C331">
        <v>118.59</v>
      </c>
      <c r="D331">
        <v>1</v>
      </c>
      <c r="E331">
        <v>0</v>
      </c>
      <c r="F331" t="s">
        <v>1359</v>
      </c>
      <c r="G331">
        <v>123.59</v>
      </c>
      <c r="H331">
        <v>5</v>
      </c>
      <c r="I331" t="s">
        <v>628</v>
      </c>
      <c r="J331" t="s">
        <v>1360</v>
      </c>
      <c r="K331" t="s">
        <v>1361</v>
      </c>
      <c r="L331" t="s">
        <v>1362</v>
      </c>
      <c r="M331" t="s">
        <v>1363</v>
      </c>
      <c r="N331" t="s">
        <v>1364</v>
      </c>
      <c r="O331" t="s">
        <v>27</v>
      </c>
      <c r="P331" t="s">
        <v>48</v>
      </c>
      <c r="Q331" t="s">
        <v>49</v>
      </c>
      <c r="R331" t="s">
        <v>50</v>
      </c>
      <c r="S331" t="s">
        <v>28</v>
      </c>
      <c r="T331" t="s">
        <v>1365</v>
      </c>
      <c r="U331" t="s">
        <v>1364</v>
      </c>
    </row>
    <row r="332" spans="1:21" x14ac:dyDescent="0.25">
      <c r="A332" t="s">
        <v>63</v>
      </c>
      <c r="B332" t="s">
        <v>64</v>
      </c>
      <c r="C332">
        <v>100</v>
      </c>
      <c r="D332">
        <v>2</v>
      </c>
      <c r="E332">
        <v>0</v>
      </c>
      <c r="F332" t="s">
        <v>1366</v>
      </c>
      <c r="G332">
        <v>200</v>
      </c>
      <c r="H332">
        <v>0</v>
      </c>
      <c r="I332" t="s">
        <v>140</v>
      </c>
      <c r="J332" t="s">
        <v>1367</v>
      </c>
      <c r="K332" t="s">
        <v>247</v>
      </c>
      <c r="L332" t="s">
        <v>27</v>
      </c>
      <c r="M332" t="s">
        <v>28</v>
      </c>
      <c r="N332" t="s">
        <v>1368</v>
      </c>
      <c r="O332" t="s">
        <v>27</v>
      </c>
      <c r="P332" t="s">
        <v>30</v>
      </c>
      <c r="Q332" t="s">
        <v>31</v>
      </c>
      <c r="R332" t="s">
        <v>32</v>
      </c>
      <c r="S332" t="s">
        <v>28</v>
      </c>
      <c r="T332" t="s">
        <v>1369</v>
      </c>
      <c r="U332" t="s">
        <v>1368</v>
      </c>
    </row>
    <row r="333" spans="1:21" x14ac:dyDescent="0.25">
      <c r="A333" t="s">
        <v>33</v>
      </c>
      <c r="B333" t="s">
        <v>34</v>
      </c>
      <c r="C333">
        <v>200</v>
      </c>
      <c r="D333">
        <v>1</v>
      </c>
      <c r="E333">
        <v>0</v>
      </c>
      <c r="F333" t="s">
        <v>1370</v>
      </c>
      <c r="G333">
        <v>200</v>
      </c>
      <c r="H333">
        <v>0</v>
      </c>
      <c r="I333" t="s">
        <v>24</v>
      </c>
      <c r="J333" t="s">
        <v>1371</v>
      </c>
      <c r="K333" t="s">
        <v>250</v>
      </c>
      <c r="L333" t="s">
        <v>27</v>
      </c>
      <c r="M333" t="s">
        <v>28</v>
      </c>
      <c r="N333" t="s">
        <v>1372</v>
      </c>
      <c r="O333" t="s">
        <v>27</v>
      </c>
      <c r="P333" t="s">
        <v>39</v>
      </c>
      <c r="Q333" t="s">
        <v>31</v>
      </c>
      <c r="R333" t="s">
        <v>32</v>
      </c>
      <c r="S333" t="s">
        <v>28</v>
      </c>
      <c r="T333" t="s">
        <v>1373</v>
      </c>
      <c r="U333" t="s">
        <v>1372</v>
      </c>
    </row>
    <row r="334" spans="1:21" x14ac:dyDescent="0.25">
      <c r="A334" t="s">
        <v>76</v>
      </c>
      <c r="B334" t="s">
        <v>77</v>
      </c>
      <c r="C334">
        <v>250</v>
      </c>
      <c r="D334">
        <v>2</v>
      </c>
      <c r="E334">
        <v>0</v>
      </c>
      <c r="F334" t="s">
        <v>1374</v>
      </c>
      <c r="G334">
        <v>575</v>
      </c>
      <c r="H334">
        <v>75</v>
      </c>
      <c r="I334" t="s">
        <v>24</v>
      </c>
      <c r="J334" t="s">
        <v>1375</v>
      </c>
      <c r="K334" t="s">
        <v>1376</v>
      </c>
      <c r="L334" t="s">
        <v>1377</v>
      </c>
      <c r="M334" t="s">
        <v>1378</v>
      </c>
      <c r="N334" t="s">
        <v>1379</v>
      </c>
      <c r="O334" t="s">
        <v>27</v>
      </c>
      <c r="P334" t="s">
        <v>84</v>
      </c>
      <c r="Q334" t="s">
        <v>85</v>
      </c>
      <c r="R334" t="s">
        <v>86</v>
      </c>
      <c r="S334" t="s">
        <v>28</v>
      </c>
      <c r="T334" t="s">
        <v>1380</v>
      </c>
      <c r="U334" t="s">
        <v>1379</v>
      </c>
    </row>
    <row r="335" spans="1:21" x14ac:dyDescent="0.25">
      <c r="A335" t="s">
        <v>33</v>
      </c>
      <c r="B335" t="s">
        <v>34</v>
      </c>
      <c r="C335">
        <v>200</v>
      </c>
      <c r="D335">
        <v>1</v>
      </c>
      <c r="E335">
        <v>0</v>
      </c>
      <c r="F335" t="s">
        <v>1381</v>
      </c>
      <c r="G335">
        <v>200</v>
      </c>
      <c r="H335">
        <v>0</v>
      </c>
      <c r="I335" t="s">
        <v>24</v>
      </c>
      <c r="J335" t="s">
        <v>893</v>
      </c>
      <c r="K335" t="s">
        <v>594</v>
      </c>
      <c r="L335" t="s">
        <v>27</v>
      </c>
      <c r="M335" t="s">
        <v>28</v>
      </c>
      <c r="N335" t="s">
        <v>1382</v>
      </c>
      <c r="O335" t="s">
        <v>27</v>
      </c>
      <c r="P335" t="s">
        <v>39</v>
      </c>
      <c r="Q335" t="s">
        <v>31</v>
      </c>
      <c r="R335" t="s">
        <v>32</v>
      </c>
      <c r="S335" t="s">
        <v>28</v>
      </c>
      <c r="T335" t="s">
        <v>1383</v>
      </c>
      <c r="U335" t="s">
        <v>1382</v>
      </c>
    </row>
    <row r="336" spans="1:21" x14ac:dyDescent="0.25">
      <c r="A336" t="s">
        <v>21</v>
      </c>
      <c r="B336" t="s">
        <v>22</v>
      </c>
      <c r="C336">
        <v>100</v>
      </c>
      <c r="D336">
        <v>1</v>
      </c>
      <c r="E336">
        <v>0</v>
      </c>
      <c r="F336" t="s">
        <v>1384</v>
      </c>
      <c r="G336">
        <v>106</v>
      </c>
      <c r="H336">
        <v>6</v>
      </c>
      <c r="I336" t="s">
        <v>24</v>
      </c>
      <c r="J336" t="s">
        <v>1385</v>
      </c>
      <c r="K336" t="s">
        <v>791</v>
      </c>
      <c r="L336" t="s">
        <v>27</v>
      </c>
      <c r="M336" t="s">
        <v>28</v>
      </c>
      <c r="N336" t="s">
        <v>1382</v>
      </c>
      <c r="O336" t="s">
        <v>27</v>
      </c>
      <c r="P336" t="s">
        <v>39</v>
      </c>
      <c r="Q336" t="s">
        <v>31</v>
      </c>
      <c r="R336" t="s">
        <v>32</v>
      </c>
      <c r="S336" t="s">
        <v>28</v>
      </c>
      <c r="T336" t="s">
        <v>1386</v>
      </c>
      <c r="U336" t="s">
        <v>1382</v>
      </c>
    </row>
    <row r="337" spans="1:21" x14ac:dyDescent="0.25">
      <c r="A337" t="s">
        <v>58</v>
      </c>
      <c r="B337" t="s">
        <v>103</v>
      </c>
      <c r="C337">
        <v>87.33</v>
      </c>
      <c r="D337">
        <v>1</v>
      </c>
      <c r="E337">
        <v>0</v>
      </c>
      <c r="F337" t="s">
        <v>1387</v>
      </c>
      <c r="G337">
        <v>92.33</v>
      </c>
      <c r="H337">
        <v>5</v>
      </c>
      <c r="I337" t="s">
        <v>105</v>
      </c>
      <c r="J337" t="s">
        <v>1388</v>
      </c>
      <c r="K337" t="s">
        <v>1389</v>
      </c>
      <c r="L337" t="s">
        <v>1390</v>
      </c>
      <c r="M337" t="s">
        <v>1391</v>
      </c>
      <c r="N337" t="s">
        <v>1392</v>
      </c>
      <c r="O337" t="s">
        <v>27</v>
      </c>
      <c r="P337" t="s">
        <v>48</v>
      </c>
      <c r="Q337" t="s">
        <v>49</v>
      </c>
      <c r="R337" t="s">
        <v>50</v>
      </c>
      <c r="S337" t="s">
        <v>28</v>
      </c>
      <c r="T337" t="s">
        <v>1393</v>
      </c>
      <c r="U337" t="s">
        <v>1392</v>
      </c>
    </row>
    <row r="338" spans="1:21" x14ac:dyDescent="0.25">
      <c r="A338" t="s">
        <v>475</v>
      </c>
      <c r="B338" t="s">
        <v>476</v>
      </c>
      <c r="C338">
        <v>199</v>
      </c>
      <c r="D338">
        <v>1</v>
      </c>
      <c r="E338">
        <v>0</v>
      </c>
      <c r="F338" t="s">
        <v>1394</v>
      </c>
      <c r="G338">
        <v>228</v>
      </c>
      <c r="H338">
        <v>29</v>
      </c>
      <c r="I338" t="s">
        <v>24</v>
      </c>
      <c r="J338" t="s">
        <v>1395</v>
      </c>
      <c r="K338" t="s">
        <v>1396</v>
      </c>
      <c r="L338" t="s">
        <v>1397</v>
      </c>
      <c r="M338" t="s">
        <v>1398</v>
      </c>
      <c r="N338" t="s">
        <v>1399</v>
      </c>
      <c r="O338" t="s">
        <v>27</v>
      </c>
      <c r="P338" t="s">
        <v>84</v>
      </c>
      <c r="Q338" t="s">
        <v>85</v>
      </c>
      <c r="R338" t="s">
        <v>86</v>
      </c>
      <c r="S338" t="s">
        <v>28</v>
      </c>
      <c r="T338" t="s">
        <v>1400</v>
      </c>
      <c r="U338" t="s">
        <v>1392</v>
      </c>
    </row>
    <row r="339" spans="1:21" x14ac:dyDescent="0.25">
      <c r="A339" t="s">
        <v>475</v>
      </c>
      <c r="B339" t="s">
        <v>476</v>
      </c>
      <c r="C339">
        <v>199</v>
      </c>
      <c r="D339">
        <v>1</v>
      </c>
      <c r="E339">
        <v>0</v>
      </c>
      <c r="F339" t="s">
        <v>1401</v>
      </c>
      <c r="G339">
        <v>244</v>
      </c>
      <c r="H339">
        <v>45</v>
      </c>
      <c r="I339" t="s">
        <v>24</v>
      </c>
      <c r="J339" t="s">
        <v>1402</v>
      </c>
      <c r="K339" t="s">
        <v>1403</v>
      </c>
      <c r="L339" t="s">
        <v>190</v>
      </c>
      <c r="M339" t="s">
        <v>1404</v>
      </c>
      <c r="N339" t="s">
        <v>1405</v>
      </c>
      <c r="O339" t="s">
        <v>27</v>
      </c>
      <c r="P339" t="s">
        <v>193</v>
      </c>
      <c r="Q339" t="s">
        <v>85</v>
      </c>
      <c r="R339" t="s">
        <v>86</v>
      </c>
      <c r="S339" t="s">
        <v>28</v>
      </c>
      <c r="T339" t="s">
        <v>1406</v>
      </c>
      <c r="U339" t="s">
        <v>1407</v>
      </c>
    </row>
    <row r="340" spans="1:21" x14ac:dyDescent="0.25">
      <c r="A340" t="s">
        <v>58</v>
      </c>
      <c r="B340" t="s">
        <v>103</v>
      </c>
      <c r="C340">
        <v>87.34</v>
      </c>
      <c r="D340">
        <v>1</v>
      </c>
      <c r="E340">
        <v>0</v>
      </c>
      <c r="F340" t="s">
        <v>1408</v>
      </c>
      <c r="G340">
        <v>363.33</v>
      </c>
      <c r="H340">
        <v>14</v>
      </c>
      <c r="I340" t="s">
        <v>105</v>
      </c>
      <c r="J340" t="s">
        <v>1388</v>
      </c>
      <c r="K340" t="s">
        <v>1389</v>
      </c>
      <c r="L340" t="s">
        <v>1390</v>
      </c>
      <c r="M340" t="s">
        <v>1391</v>
      </c>
      <c r="N340" t="s">
        <v>1407</v>
      </c>
      <c r="O340" t="s">
        <v>27</v>
      </c>
      <c r="P340" t="s">
        <v>48</v>
      </c>
      <c r="Q340" t="s">
        <v>49</v>
      </c>
      <c r="R340" t="s">
        <v>50</v>
      </c>
      <c r="S340" t="s">
        <v>28</v>
      </c>
      <c r="T340" t="s">
        <v>1409</v>
      </c>
      <c r="U340" t="s">
        <v>1407</v>
      </c>
    </row>
    <row r="341" spans="1:21" x14ac:dyDescent="0.25">
      <c r="A341" t="s">
        <v>58</v>
      </c>
      <c r="B341" t="s">
        <v>103</v>
      </c>
      <c r="C341">
        <v>87.33</v>
      </c>
      <c r="D341">
        <v>1</v>
      </c>
      <c r="E341">
        <v>0</v>
      </c>
      <c r="F341" t="s">
        <v>1408</v>
      </c>
      <c r="G341">
        <v>363.33</v>
      </c>
      <c r="H341">
        <v>14</v>
      </c>
      <c r="I341" t="s">
        <v>105</v>
      </c>
      <c r="J341" t="s">
        <v>1388</v>
      </c>
      <c r="K341" t="s">
        <v>1389</v>
      </c>
      <c r="L341" t="s">
        <v>1390</v>
      </c>
      <c r="M341" t="s">
        <v>1391</v>
      </c>
      <c r="N341" t="s">
        <v>1407</v>
      </c>
      <c r="O341" t="s">
        <v>27</v>
      </c>
      <c r="P341" t="s">
        <v>48</v>
      </c>
      <c r="Q341" t="s">
        <v>49</v>
      </c>
      <c r="R341" t="s">
        <v>50</v>
      </c>
      <c r="S341" t="s">
        <v>28</v>
      </c>
      <c r="T341" t="s">
        <v>1409</v>
      </c>
      <c r="U341" t="s">
        <v>1407</v>
      </c>
    </row>
    <row r="342" spans="1:21" x14ac:dyDescent="0.25">
      <c r="A342" t="s">
        <v>58</v>
      </c>
      <c r="B342" t="s">
        <v>103</v>
      </c>
      <c r="C342">
        <v>87.33</v>
      </c>
      <c r="D342">
        <v>1</v>
      </c>
      <c r="E342">
        <v>0</v>
      </c>
      <c r="F342" t="s">
        <v>1408</v>
      </c>
      <c r="G342">
        <v>363.33</v>
      </c>
      <c r="H342">
        <v>14</v>
      </c>
      <c r="I342" t="s">
        <v>105</v>
      </c>
      <c r="J342" t="s">
        <v>1388</v>
      </c>
      <c r="K342" t="s">
        <v>1389</v>
      </c>
      <c r="L342" t="s">
        <v>1390</v>
      </c>
      <c r="M342" t="s">
        <v>1391</v>
      </c>
      <c r="N342" t="s">
        <v>1407</v>
      </c>
      <c r="O342" t="s">
        <v>27</v>
      </c>
      <c r="P342" t="s">
        <v>48</v>
      </c>
      <c r="Q342" t="s">
        <v>49</v>
      </c>
      <c r="R342" t="s">
        <v>50</v>
      </c>
      <c r="S342" t="s">
        <v>28</v>
      </c>
      <c r="T342" t="s">
        <v>1409</v>
      </c>
      <c r="U342" t="s">
        <v>1407</v>
      </c>
    </row>
    <row r="343" spans="1:21" x14ac:dyDescent="0.25">
      <c r="A343" t="s">
        <v>58</v>
      </c>
      <c r="B343" t="s">
        <v>103</v>
      </c>
      <c r="C343">
        <v>87.33</v>
      </c>
      <c r="D343">
        <v>1</v>
      </c>
      <c r="E343">
        <v>0</v>
      </c>
      <c r="F343" t="s">
        <v>1408</v>
      </c>
      <c r="G343">
        <v>363.33</v>
      </c>
      <c r="H343">
        <v>14</v>
      </c>
      <c r="I343" t="s">
        <v>105</v>
      </c>
      <c r="J343" t="s">
        <v>1388</v>
      </c>
      <c r="K343" t="s">
        <v>1389</v>
      </c>
      <c r="L343" t="s">
        <v>1390</v>
      </c>
      <c r="M343" t="s">
        <v>1391</v>
      </c>
      <c r="N343" t="s">
        <v>1407</v>
      </c>
      <c r="O343" t="s">
        <v>27</v>
      </c>
      <c r="P343" t="s">
        <v>48</v>
      </c>
      <c r="Q343" t="s">
        <v>49</v>
      </c>
      <c r="R343" t="s">
        <v>50</v>
      </c>
      <c r="S343" t="s">
        <v>28</v>
      </c>
      <c r="T343" t="s">
        <v>1409</v>
      </c>
      <c r="U343" t="s">
        <v>1407</v>
      </c>
    </row>
    <row r="344" spans="1:21" x14ac:dyDescent="0.25">
      <c r="A344" t="s">
        <v>33</v>
      </c>
      <c r="B344" t="s">
        <v>34</v>
      </c>
      <c r="C344">
        <v>200</v>
      </c>
      <c r="D344">
        <v>1</v>
      </c>
      <c r="E344">
        <v>0</v>
      </c>
      <c r="F344" t="s">
        <v>1410</v>
      </c>
      <c r="G344">
        <v>200</v>
      </c>
      <c r="H344">
        <v>0</v>
      </c>
      <c r="I344" t="s">
        <v>24</v>
      </c>
      <c r="J344" t="s">
        <v>1411</v>
      </c>
      <c r="K344" t="s">
        <v>936</v>
      </c>
      <c r="L344" t="s">
        <v>27</v>
      </c>
      <c r="M344" t="s">
        <v>28</v>
      </c>
      <c r="N344" t="s">
        <v>1412</v>
      </c>
      <c r="O344" t="s">
        <v>27</v>
      </c>
      <c r="P344" t="s">
        <v>39</v>
      </c>
      <c r="Q344" t="s">
        <v>31</v>
      </c>
      <c r="R344" t="s">
        <v>32</v>
      </c>
      <c r="S344" t="s">
        <v>28</v>
      </c>
      <c r="T344" t="s">
        <v>1413</v>
      </c>
      <c r="U344" t="s">
        <v>1412</v>
      </c>
    </row>
    <row r="345" spans="1:21" x14ac:dyDescent="0.25">
      <c r="A345" t="s">
        <v>21</v>
      </c>
      <c r="B345" t="s">
        <v>22</v>
      </c>
      <c r="C345">
        <v>100</v>
      </c>
      <c r="D345">
        <v>1</v>
      </c>
      <c r="E345">
        <v>0</v>
      </c>
      <c r="F345" t="s">
        <v>1414</v>
      </c>
      <c r="G345">
        <v>106</v>
      </c>
      <c r="H345">
        <v>6</v>
      </c>
      <c r="I345" t="s">
        <v>445</v>
      </c>
      <c r="J345" t="s">
        <v>1415</v>
      </c>
      <c r="K345" t="s">
        <v>285</v>
      </c>
      <c r="L345" t="s">
        <v>27</v>
      </c>
      <c r="M345" t="s">
        <v>28</v>
      </c>
      <c r="N345" t="s">
        <v>1416</v>
      </c>
      <c r="O345" t="s">
        <v>27</v>
      </c>
      <c r="P345" t="s">
        <v>39</v>
      </c>
      <c r="Q345" t="s">
        <v>31</v>
      </c>
      <c r="R345" t="s">
        <v>32</v>
      </c>
      <c r="S345" t="s">
        <v>28</v>
      </c>
      <c r="T345" t="s">
        <v>1417</v>
      </c>
      <c r="U345" t="s">
        <v>1416</v>
      </c>
    </row>
    <row r="346" spans="1:21" x14ac:dyDescent="0.25">
      <c r="A346" t="s">
        <v>134</v>
      </c>
      <c r="B346" t="s">
        <v>64</v>
      </c>
      <c r="C346">
        <v>100</v>
      </c>
      <c r="D346">
        <v>2</v>
      </c>
      <c r="E346">
        <v>0</v>
      </c>
      <c r="F346" t="s">
        <v>1418</v>
      </c>
      <c r="G346">
        <v>200</v>
      </c>
      <c r="H346">
        <v>0</v>
      </c>
      <c r="I346" t="s">
        <v>24</v>
      </c>
      <c r="J346" t="s">
        <v>1419</v>
      </c>
      <c r="K346" t="s">
        <v>1420</v>
      </c>
      <c r="L346" t="s">
        <v>27</v>
      </c>
      <c r="M346" t="s">
        <v>28</v>
      </c>
      <c r="N346" t="s">
        <v>1421</v>
      </c>
      <c r="O346" t="s">
        <v>27</v>
      </c>
      <c r="P346" t="s">
        <v>39</v>
      </c>
      <c r="Q346" t="s">
        <v>31</v>
      </c>
      <c r="R346" t="s">
        <v>32</v>
      </c>
      <c r="S346" t="s">
        <v>28</v>
      </c>
      <c r="T346" t="s">
        <v>1422</v>
      </c>
      <c r="U346" t="s">
        <v>1421</v>
      </c>
    </row>
    <row r="347" spans="1:21" x14ac:dyDescent="0.25">
      <c r="A347" t="s">
        <v>456</v>
      </c>
      <c r="B347" t="s">
        <v>1178</v>
      </c>
      <c r="C347">
        <v>104.86</v>
      </c>
      <c r="D347">
        <v>1</v>
      </c>
      <c r="E347">
        <v>0</v>
      </c>
      <c r="F347" t="s">
        <v>1423</v>
      </c>
      <c r="G347">
        <v>319.58</v>
      </c>
      <c r="H347">
        <v>5</v>
      </c>
      <c r="I347" t="s">
        <v>628</v>
      </c>
      <c r="J347" t="s">
        <v>1424</v>
      </c>
      <c r="K347" t="s">
        <v>1425</v>
      </c>
      <c r="L347" t="s">
        <v>160</v>
      </c>
      <c r="M347" t="s">
        <v>1426</v>
      </c>
      <c r="N347" t="s">
        <v>1427</v>
      </c>
      <c r="O347" t="s">
        <v>27</v>
      </c>
      <c r="P347" t="s">
        <v>48</v>
      </c>
      <c r="Q347" t="s">
        <v>49</v>
      </c>
      <c r="R347" t="s">
        <v>50</v>
      </c>
      <c r="S347" t="s">
        <v>28</v>
      </c>
      <c r="T347" t="s">
        <v>1428</v>
      </c>
      <c r="U347" t="s">
        <v>1421</v>
      </c>
    </row>
    <row r="348" spans="1:21" x14ac:dyDescent="0.25">
      <c r="A348" t="s">
        <v>456</v>
      </c>
      <c r="B348" t="s">
        <v>1178</v>
      </c>
      <c r="C348">
        <v>104.86</v>
      </c>
      <c r="D348">
        <v>1</v>
      </c>
      <c r="E348">
        <v>0</v>
      </c>
      <c r="F348" t="s">
        <v>1423</v>
      </c>
      <c r="G348">
        <v>319.58</v>
      </c>
      <c r="H348">
        <v>5</v>
      </c>
      <c r="I348" t="s">
        <v>628</v>
      </c>
      <c r="J348" t="s">
        <v>1424</v>
      </c>
      <c r="K348" t="s">
        <v>1425</v>
      </c>
      <c r="L348" t="s">
        <v>160</v>
      </c>
      <c r="M348" t="s">
        <v>1426</v>
      </c>
      <c r="N348" t="s">
        <v>1427</v>
      </c>
      <c r="O348" t="s">
        <v>27</v>
      </c>
      <c r="P348" t="s">
        <v>48</v>
      </c>
      <c r="Q348" t="s">
        <v>49</v>
      </c>
      <c r="R348" t="s">
        <v>50</v>
      </c>
      <c r="S348" t="s">
        <v>28</v>
      </c>
      <c r="T348" t="s">
        <v>1428</v>
      </c>
      <c r="U348" t="s">
        <v>1421</v>
      </c>
    </row>
    <row r="349" spans="1:21" x14ac:dyDescent="0.25">
      <c r="A349" t="s">
        <v>456</v>
      </c>
      <c r="B349" t="s">
        <v>1178</v>
      </c>
      <c r="C349">
        <v>104.86</v>
      </c>
      <c r="D349">
        <v>1</v>
      </c>
      <c r="E349">
        <v>0</v>
      </c>
      <c r="F349" t="s">
        <v>1423</v>
      </c>
      <c r="G349">
        <v>319.58</v>
      </c>
      <c r="H349">
        <v>5</v>
      </c>
      <c r="I349" t="s">
        <v>628</v>
      </c>
      <c r="J349" t="s">
        <v>1424</v>
      </c>
      <c r="K349" t="s">
        <v>1425</v>
      </c>
      <c r="L349" t="s">
        <v>160</v>
      </c>
      <c r="M349" t="s">
        <v>1426</v>
      </c>
      <c r="N349" t="s">
        <v>1427</v>
      </c>
      <c r="O349" t="s">
        <v>27</v>
      </c>
      <c r="P349" t="s">
        <v>48</v>
      </c>
      <c r="Q349" t="s">
        <v>49</v>
      </c>
      <c r="R349" t="s">
        <v>50</v>
      </c>
      <c r="S349" t="s">
        <v>28</v>
      </c>
      <c r="T349" t="s">
        <v>1428</v>
      </c>
      <c r="U349" t="s">
        <v>1421</v>
      </c>
    </row>
    <row r="350" spans="1:21" x14ac:dyDescent="0.25">
      <c r="A350" t="s">
        <v>70</v>
      </c>
      <c r="B350" t="s">
        <v>70</v>
      </c>
      <c r="C350">
        <v>330</v>
      </c>
      <c r="D350">
        <v>1</v>
      </c>
      <c r="E350">
        <v>0</v>
      </c>
      <c r="F350" t="s">
        <v>1429</v>
      </c>
      <c r="G350">
        <v>330</v>
      </c>
      <c r="H350">
        <v>0</v>
      </c>
      <c r="I350" t="s">
        <v>24</v>
      </c>
      <c r="J350" t="s">
        <v>1430</v>
      </c>
      <c r="K350" t="s">
        <v>579</v>
      </c>
      <c r="L350" t="s">
        <v>27</v>
      </c>
      <c r="M350" t="s">
        <v>28</v>
      </c>
      <c r="N350" t="s">
        <v>1431</v>
      </c>
      <c r="O350" t="s">
        <v>27</v>
      </c>
      <c r="P350" t="s">
        <v>56</v>
      </c>
      <c r="Q350" t="s">
        <v>31</v>
      </c>
      <c r="R350" t="s">
        <v>57</v>
      </c>
      <c r="S350" t="s">
        <v>28</v>
      </c>
      <c r="T350" t="s">
        <v>1432</v>
      </c>
      <c r="U350" t="s">
        <v>1433</v>
      </c>
    </row>
    <row r="351" spans="1:21" x14ac:dyDescent="0.25">
      <c r="A351" t="s">
        <v>456</v>
      </c>
      <c r="B351" t="s">
        <v>1178</v>
      </c>
      <c r="C351">
        <v>119.84</v>
      </c>
      <c r="D351">
        <v>1</v>
      </c>
      <c r="E351">
        <v>0</v>
      </c>
      <c r="F351" t="s">
        <v>1434</v>
      </c>
      <c r="G351">
        <v>239.68</v>
      </c>
      <c r="H351">
        <v>0</v>
      </c>
      <c r="I351" t="s">
        <v>628</v>
      </c>
      <c r="J351" t="s">
        <v>1435</v>
      </c>
      <c r="K351" t="s">
        <v>1436</v>
      </c>
      <c r="L351" t="s">
        <v>1437</v>
      </c>
      <c r="M351" t="s">
        <v>1438</v>
      </c>
      <c r="N351" t="s">
        <v>1439</v>
      </c>
      <c r="O351" t="s">
        <v>27</v>
      </c>
      <c r="P351" t="s">
        <v>48</v>
      </c>
      <c r="Q351" t="s">
        <v>49</v>
      </c>
      <c r="R351" t="s">
        <v>50</v>
      </c>
      <c r="S351" t="s">
        <v>28</v>
      </c>
      <c r="T351" t="s">
        <v>1440</v>
      </c>
      <c r="U351" t="s">
        <v>1439</v>
      </c>
    </row>
    <row r="352" spans="1:21" x14ac:dyDescent="0.25">
      <c r="A352" t="s">
        <v>195</v>
      </c>
      <c r="B352" t="s">
        <v>1003</v>
      </c>
      <c r="C352">
        <v>119.84</v>
      </c>
      <c r="D352">
        <v>1</v>
      </c>
      <c r="E352">
        <v>0</v>
      </c>
      <c r="F352" t="s">
        <v>1434</v>
      </c>
      <c r="G352">
        <v>239.68</v>
      </c>
      <c r="H352">
        <v>0</v>
      </c>
      <c r="I352" t="s">
        <v>628</v>
      </c>
      <c r="J352" t="s">
        <v>1435</v>
      </c>
      <c r="K352" t="s">
        <v>1436</v>
      </c>
      <c r="L352" t="s">
        <v>1437</v>
      </c>
      <c r="M352" t="s">
        <v>1438</v>
      </c>
      <c r="N352" t="s">
        <v>1439</v>
      </c>
      <c r="O352" t="s">
        <v>27</v>
      </c>
      <c r="P352" t="s">
        <v>48</v>
      </c>
      <c r="Q352" t="s">
        <v>49</v>
      </c>
      <c r="R352" t="s">
        <v>50</v>
      </c>
      <c r="S352" t="s">
        <v>28</v>
      </c>
      <c r="T352" t="s">
        <v>1440</v>
      </c>
      <c r="U352" t="s">
        <v>1439</v>
      </c>
    </row>
    <row r="353" spans="1:21" x14ac:dyDescent="0.25">
      <c r="A353" t="s">
        <v>143</v>
      </c>
      <c r="B353" t="s">
        <v>144</v>
      </c>
      <c r="C353">
        <v>200</v>
      </c>
      <c r="D353">
        <v>1</v>
      </c>
      <c r="E353">
        <v>0</v>
      </c>
      <c r="F353" t="s">
        <v>1441</v>
      </c>
      <c r="G353">
        <v>200</v>
      </c>
      <c r="H353">
        <v>0</v>
      </c>
      <c r="I353" t="s">
        <v>24</v>
      </c>
      <c r="J353" t="s">
        <v>1442</v>
      </c>
      <c r="K353" t="s">
        <v>89</v>
      </c>
      <c r="L353" t="s">
        <v>27</v>
      </c>
      <c r="M353" t="s">
        <v>28</v>
      </c>
      <c r="N353" t="s">
        <v>1443</v>
      </c>
      <c r="O353" t="s">
        <v>27</v>
      </c>
      <c r="P353" t="s">
        <v>39</v>
      </c>
      <c r="Q353" t="s">
        <v>31</v>
      </c>
      <c r="R353" t="s">
        <v>32</v>
      </c>
      <c r="S353" t="s">
        <v>28</v>
      </c>
      <c r="T353" t="s">
        <v>1444</v>
      </c>
      <c r="U353" t="s">
        <v>1445</v>
      </c>
    </row>
    <row r="354" spans="1:21" x14ac:dyDescent="0.25">
      <c r="A354" t="s">
        <v>33</v>
      </c>
      <c r="B354" t="s">
        <v>34</v>
      </c>
      <c r="C354">
        <v>200</v>
      </c>
      <c r="D354">
        <v>1</v>
      </c>
      <c r="E354">
        <v>0</v>
      </c>
      <c r="F354" t="s">
        <v>1446</v>
      </c>
      <c r="G354">
        <v>200</v>
      </c>
      <c r="H354">
        <v>0</v>
      </c>
      <c r="I354" t="s">
        <v>445</v>
      </c>
      <c r="J354" t="s">
        <v>1447</v>
      </c>
      <c r="K354" t="s">
        <v>797</v>
      </c>
      <c r="L354" t="s">
        <v>27</v>
      </c>
      <c r="M354" t="s">
        <v>28</v>
      </c>
      <c r="N354" t="s">
        <v>1448</v>
      </c>
      <c r="O354" t="s">
        <v>27</v>
      </c>
      <c r="P354" t="s">
        <v>39</v>
      </c>
      <c r="Q354" t="s">
        <v>31</v>
      </c>
      <c r="R354" t="s">
        <v>32</v>
      </c>
      <c r="S354" t="s">
        <v>28</v>
      </c>
      <c r="T354" t="s">
        <v>1449</v>
      </c>
      <c r="U354" t="s">
        <v>1448</v>
      </c>
    </row>
    <row r="355" spans="1:21" x14ac:dyDescent="0.25">
      <c r="A355" t="s">
        <v>195</v>
      </c>
      <c r="B355" t="s">
        <v>1003</v>
      </c>
      <c r="C355">
        <v>119.84</v>
      </c>
      <c r="D355">
        <v>1</v>
      </c>
      <c r="E355">
        <v>0</v>
      </c>
      <c r="F355" t="s">
        <v>1450</v>
      </c>
      <c r="G355">
        <v>124.84</v>
      </c>
      <c r="H355">
        <v>5</v>
      </c>
      <c r="I355" t="s">
        <v>628</v>
      </c>
      <c r="J355" t="s">
        <v>1451</v>
      </c>
      <c r="K355" t="s">
        <v>1452</v>
      </c>
      <c r="L355" t="s">
        <v>1453</v>
      </c>
      <c r="M355" t="s">
        <v>1454</v>
      </c>
      <c r="N355" t="s">
        <v>1455</v>
      </c>
      <c r="O355" t="s">
        <v>27</v>
      </c>
      <c r="P355" t="s">
        <v>48</v>
      </c>
      <c r="Q355" t="s">
        <v>49</v>
      </c>
      <c r="R355" t="s">
        <v>50</v>
      </c>
      <c r="S355" t="s">
        <v>28</v>
      </c>
      <c r="T355" t="s">
        <v>1456</v>
      </c>
      <c r="U355" t="s">
        <v>1455</v>
      </c>
    </row>
    <row r="356" spans="1:21" x14ac:dyDescent="0.25">
      <c r="A356" t="s">
        <v>195</v>
      </c>
      <c r="B356" t="s">
        <v>1003</v>
      </c>
      <c r="C356">
        <v>109.84</v>
      </c>
      <c r="D356">
        <v>1</v>
      </c>
      <c r="E356">
        <v>0</v>
      </c>
      <c r="F356" t="s">
        <v>1457</v>
      </c>
      <c r="G356">
        <v>114.84</v>
      </c>
      <c r="H356">
        <v>5</v>
      </c>
      <c r="I356" t="s">
        <v>628</v>
      </c>
      <c r="J356" t="s">
        <v>1458</v>
      </c>
      <c r="K356" t="s">
        <v>1459</v>
      </c>
      <c r="L356" t="s">
        <v>190</v>
      </c>
      <c r="M356" t="s">
        <v>1460</v>
      </c>
      <c r="N356" t="s">
        <v>1461</v>
      </c>
      <c r="O356" t="s">
        <v>27</v>
      </c>
      <c r="P356" t="s">
        <v>48</v>
      </c>
      <c r="Q356" t="s">
        <v>49</v>
      </c>
      <c r="R356" t="s">
        <v>50</v>
      </c>
      <c r="S356" t="s">
        <v>28</v>
      </c>
      <c r="T356" t="s">
        <v>1462</v>
      </c>
      <c r="U356" t="s">
        <v>1461</v>
      </c>
    </row>
    <row r="357" spans="1:21" x14ac:dyDescent="0.25">
      <c r="A357" t="s">
        <v>143</v>
      </c>
      <c r="B357" t="s">
        <v>144</v>
      </c>
      <c r="C357">
        <v>200</v>
      </c>
      <c r="D357">
        <v>1</v>
      </c>
      <c r="E357">
        <v>0</v>
      </c>
      <c r="F357" t="s">
        <v>1463</v>
      </c>
      <c r="G357">
        <v>200</v>
      </c>
      <c r="H357">
        <v>0</v>
      </c>
      <c r="I357" t="s">
        <v>24</v>
      </c>
      <c r="J357" t="s">
        <v>1464</v>
      </c>
      <c r="K357" t="s">
        <v>37</v>
      </c>
      <c r="L357" t="s">
        <v>27</v>
      </c>
      <c r="M357" t="s">
        <v>28</v>
      </c>
      <c r="N357" t="s">
        <v>1465</v>
      </c>
      <c r="O357" t="s">
        <v>27</v>
      </c>
      <c r="P357" t="s">
        <v>39</v>
      </c>
      <c r="Q357" t="s">
        <v>31</v>
      </c>
      <c r="R357" t="s">
        <v>32</v>
      </c>
      <c r="S357" t="s">
        <v>28</v>
      </c>
      <c r="T357" t="s">
        <v>1466</v>
      </c>
      <c r="U357" t="s">
        <v>1465</v>
      </c>
    </row>
    <row r="358" spans="1:21" x14ac:dyDescent="0.25">
      <c r="A358" t="s">
        <v>21</v>
      </c>
      <c r="B358" t="s">
        <v>22</v>
      </c>
      <c r="C358">
        <v>100</v>
      </c>
      <c r="D358">
        <v>1</v>
      </c>
      <c r="E358">
        <v>0</v>
      </c>
      <c r="F358" t="s">
        <v>1467</v>
      </c>
      <c r="G358">
        <v>106</v>
      </c>
      <c r="H358">
        <v>6</v>
      </c>
      <c r="I358" t="s">
        <v>24</v>
      </c>
      <c r="J358" t="s">
        <v>1468</v>
      </c>
      <c r="K358" t="s">
        <v>311</v>
      </c>
      <c r="L358" t="s">
        <v>27</v>
      </c>
      <c r="M358" t="s">
        <v>28</v>
      </c>
      <c r="N358" t="s">
        <v>1469</v>
      </c>
      <c r="O358" t="s">
        <v>27</v>
      </c>
      <c r="P358" t="s">
        <v>39</v>
      </c>
      <c r="Q358" t="s">
        <v>31</v>
      </c>
      <c r="R358" t="s">
        <v>32</v>
      </c>
      <c r="S358" t="s">
        <v>28</v>
      </c>
      <c r="T358" t="s">
        <v>1470</v>
      </c>
      <c r="U358" t="s">
        <v>1469</v>
      </c>
    </row>
    <row r="359" spans="1:21" x14ac:dyDescent="0.25">
      <c r="A359" t="s">
        <v>143</v>
      </c>
      <c r="B359" t="s">
        <v>144</v>
      </c>
      <c r="C359">
        <v>200</v>
      </c>
      <c r="D359">
        <v>1</v>
      </c>
      <c r="E359">
        <v>0</v>
      </c>
      <c r="F359" t="s">
        <v>1471</v>
      </c>
      <c r="G359">
        <v>200</v>
      </c>
      <c r="H359">
        <v>0</v>
      </c>
      <c r="I359" t="s">
        <v>140</v>
      </c>
      <c r="J359" t="s">
        <v>1472</v>
      </c>
      <c r="K359" t="s">
        <v>758</v>
      </c>
      <c r="L359" t="s">
        <v>27</v>
      </c>
      <c r="M359" t="s">
        <v>28</v>
      </c>
      <c r="N359" t="s">
        <v>1473</v>
      </c>
      <c r="O359" t="s">
        <v>27</v>
      </c>
      <c r="P359" t="s">
        <v>30</v>
      </c>
      <c r="Q359" t="s">
        <v>31</v>
      </c>
      <c r="R359" t="s">
        <v>32</v>
      </c>
      <c r="S359" t="s">
        <v>28</v>
      </c>
      <c r="T359" t="s">
        <v>1474</v>
      </c>
      <c r="U359" t="s">
        <v>1473</v>
      </c>
    </row>
    <row r="360" spans="1:21" x14ac:dyDescent="0.25">
      <c r="A360" t="s">
        <v>21</v>
      </c>
      <c r="B360" t="s">
        <v>22</v>
      </c>
      <c r="C360">
        <v>100</v>
      </c>
      <c r="D360">
        <v>2</v>
      </c>
      <c r="E360">
        <v>0</v>
      </c>
      <c r="F360" t="s">
        <v>1475</v>
      </c>
      <c r="G360">
        <v>200</v>
      </c>
      <c r="H360">
        <v>0</v>
      </c>
      <c r="I360" t="s">
        <v>140</v>
      </c>
      <c r="J360" t="s">
        <v>1476</v>
      </c>
      <c r="K360" t="s">
        <v>89</v>
      </c>
      <c r="L360" t="s">
        <v>27</v>
      </c>
      <c r="M360" t="s">
        <v>28</v>
      </c>
      <c r="N360" t="s">
        <v>1477</v>
      </c>
      <c r="O360" t="s">
        <v>27</v>
      </c>
      <c r="P360" t="s">
        <v>30</v>
      </c>
      <c r="Q360" t="s">
        <v>31</v>
      </c>
      <c r="R360" t="s">
        <v>32</v>
      </c>
      <c r="S360" t="s">
        <v>28</v>
      </c>
      <c r="T360" t="s">
        <v>1478</v>
      </c>
      <c r="U360" t="s">
        <v>1477</v>
      </c>
    </row>
    <row r="361" spans="1:21" x14ac:dyDescent="0.25">
      <c r="A361" t="s">
        <v>134</v>
      </c>
      <c r="B361" t="s">
        <v>64</v>
      </c>
      <c r="C361">
        <v>100</v>
      </c>
      <c r="D361">
        <v>1</v>
      </c>
      <c r="E361">
        <v>0</v>
      </c>
      <c r="F361" t="s">
        <v>1479</v>
      </c>
      <c r="G361">
        <v>106</v>
      </c>
      <c r="H361">
        <v>6</v>
      </c>
      <c r="I361" t="s">
        <v>24</v>
      </c>
      <c r="J361" t="s">
        <v>825</v>
      </c>
      <c r="K361" t="s">
        <v>273</v>
      </c>
      <c r="L361" t="s">
        <v>27</v>
      </c>
      <c r="M361" t="s">
        <v>28</v>
      </c>
      <c r="N361" t="s">
        <v>1480</v>
      </c>
      <c r="O361" t="s">
        <v>27</v>
      </c>
      <c r="P361" t="s">
        <v>39</v>
      </c>
      <c r="Q361" t="s">
        <v>31</v>
      </c>
      <c r="R361" t="s">
        <v>32</v>
      </c>
      <c r="S361" t="s">
        <v>28</v>
      </c>
      <c r="T361" t="s">
        <v>1481</v>
      </c>
      <c r="U361" t="s">
        <v>1480</v>
      </c>
    </row>
    <row r="362" spans="1:21" x14ac:dyDescent="0.25">
      <c r="A362" t="s">
        <v>195</v>
      </c>
      <c r="B362" t="s">
        <v>1003</v>
      </c>
      <c r="C362">
        <v>119.84</v>
      </c>
      <c r="D362">
        <v>1</v>
      </c>
      <c r="E362">
        <v>0</v>
      </c>
      <c r="F362" t="s">
        <v>1482</v>
      </c>
      <c r="G362">
        <v>124.84</v>
      </c>
      <c r="H362">
        <v>5</v>
      </c>
      <c r="I362" t="s">
        <v>628</v>
      </c>
      <c r="J362" t="s">
        <v>1483</v>
      </c>
      <c r="K362" t="s">
        <v>1484</v>
      </c>
      <c r="L362" t="s">
        <v>1485</v>
      </c>
      <c r="M362" t="s">
        <v>1486</v>
      </c>
      <c r="N362" t="s">
        <v>1487</v>
      </c>
      <c r="O362" t="s">
        <v>27</v>
      </c>
      <c r="P362" t="s">
        <v>48</v>
      </c>
      <c r="Q362" t="s">
        <v>49</v>
      </c>
      <c r="R362" t="s">
        <v>50</v>
      </c>
      <c r="S362" t="s">
        <v>28</v>
      </c>
      <c r="T362" t="s">
        <v>1488</v>
      </c>
      <c r="U362" t="s">
        <v>1487</v>
      </c>
    </row>
    <row r="363" spans="1:21" x14ac:dyDescent="0.25">
      <c r="A363" t="s">
        <v>456</v>
      </c>
      <c r="B363" t="s">
        <v>1178</v>
      </c>
      <c r="C363">
        <v>149.80000000000001</v>
      </c>
      <c r="D363">
        <v>1</v>
      </c>
      <c r="E363">
        <v>0</v>
      </c>
      <c r="F363" t="s">
        <v>1489</v>
      </c>
      <c r="G363">
        <v>194.8</v>
      </c>
      <c r="H363">
        <v>45</v>
      </c>
      <c r="I363" t="s">
        <v>628</v>
      </c>
      <c r="J363" t="s">
        <v>1490</v>
      </c>
      <c r="K363" t="s">
        <v>1491</v>
      </c>
      <c r="L363" t="s">
        <v>631</v>
      </c>
      <c r="M363" t="s">
        <v>1492</v>
      </c>
      <c r="N363" t="s">
        <v>1493</v>
      </c>
      <c r="O363" t="s">
        <v>27</v>
      </c>
      <c r="P363" t="s">
        <v>48</v>
      </c>
      <c r="Q363" t="s">
        <v>49</v>
      </c>
      <c r="R363" t="s">
        <v>50</v>
      </c>
      <c r="S363" t="s">
        <v>28</v>
      </c>
      <c r="T363" t="s">
        <v>1494</v>
      </c>
      <c r="U363" t="s">
        <v>1493</v>
      </c>
    </row>
    <row r="364" spans="1:21" x14ac:dyDescent="0.25">
      <c r="A364" t="s">
        <v>58</v>
      </c>
      <c r="B364" t="s">
        <v>103</v>
      </c>
      <c r="C364">
        <v>90.43</v>
      </c>
      <c r="D364">
        <v>1</v>
      </c>
      <c r="E364">
        <v>0</v>
      </c>
      <c r="F364" t="s">
        <v>1495</v>
      </c>
      <c r="G364">
        <v>90.43</v>
      </c>
      <c r="H364">
        <v>0</v>
      </c>
      <c r="I364" t="s">
        <v>105</v>
      </c>
      <c r="J364" t="s">
        <v>1496</v>
      </c>
      <c r="K364" t="s">
        <v>1497</v>
      </c>
      <c r="L364" t="s">
        <v>1498</v>
      </c>
      <c r="M364" t="s">
        <v>1499</v>
      </c>
      <c r="N364" t="s">
        <v>1500</v>
      </c>
      <c r="O364" t="s">
        <v>27</v>
      </c>
      <c r="P364" t="s">
        <v>48</v>
      </c>
      <c r="Q364" t="s">
        <v>49</v>
      </c>
      <c r="R364" t="s">
        <v>50</v>
      </c>
      <c r="S364" t="s">
        <v>28</v>
      </c>
      <c r="T364" t="s">
        <v>1501</v>
      </c>
      <c r="U364" t="s">
        <v>1502</v>
      </c>
    </row>
    <row r="365" spans="1:21" x14ac:dyDescent="0.25">
      <c r="A365" t="s">
        <v>21</v>
      </c>
      <c r="B365" t="s">
        <v>22</v>
      </c>
      <c r="C365">
        <v>100</v>
      </c>
      <c r="D365">
        <v>1</v>
      </c>
      <c r="E365">
        <v>0</v>
      </c>
      <c r="F365" t="s">
        <v>1503</v>
      </c>
      <c r="G365">
        <v>195</v>
      </c>
      <c r="H365">
        <v>0</v>
      </c>
      <c r="I365" t="s">
        <v>24</v>
      </c>
      <c r="J365" t="s">
        <v>1504</v>
      </c>
      <c r="K365" t="s">
        <v>350</v>
      </c>
      <c r="L365" t="s">
        <v>27</v>
      </c>
      <c r="M365" t="s">
        <v>28</v>
      </c>
      <c r="N365" t="s">
        <v>1502</v>
      </c>
      <c r="O365" t="s">
        <v>27</v>
      </c>
      <c r="P365" t="s">
        <v>56</v>
      </c>
      <c r="Q365" t="s">
        <v>31</v>
      </c>
      <c r="R365" t="s">
        <v>57</v>
      </c>
      <c r="S365" t="s">
        <v>28</v>
      </c>
      <c r="T365" t="s">
        <v>1505</v>
      </c>
      <c r="U365" t="s">
        <v>1502</v>
      </c>
    </row>
    <row r="366" spans="1:21" x14ac:dyDescent="0.25">
      <c r="A366" t="s">
        <v>70</v>
      </c>
      <c r="B366" t="s">
        <v>70</v>
      </c>
      <c r="C366">
        <v>350</v>
      </c>
      <c r="D366">
        <v>1</v>
      </c>
      <c r="E366">
        <v>0</v>
      </c>
      <c r="F366" t="s">
        <v>1506</v>
      </c>
      <c r="G366">
        <v>350</v>
      </c>
      <c r="H366">
        <v>0</v>
      </c>
      <c r="I366" t="s">
        <v>140</v>
      </c>
      <c r="J366" t="s">
        <v>440</v>
      </c>
      <c r="K366" t="s">
        <v>61</v>
      </c>
      <c r="L366" t="s">
        <v>27</v>
      </c>
      <c r="M366" t="s">
        <v>28</v>
      </c>
      <c r="N366" t="s">
        <v>1507</v>
      </c>
      <c r="O366" t="s">
        <v>27</v>
      </c>
      <c r="P366" t="s">
        <v>30</v>
      </c>
      <c r="Q366" t="s">
        <v>31</v>
      </c>
      <c r="R366" t="s">
        <v>32</v>
      </c>
      <c r="S366" t="s">
        <v>28</v>
      </c>
      <c r="T366" t="s">
        <v>1508</v>
      </c>
      <c r="U366" t="s">
        <v>1507</v>
      </c>
    </row>
    <row r="367" spans="1:21" x14ac:dyDescent="0.25">
      <c r="A367" t="s">
        <v>243</v>
      </c>
      <c r="B367" t="s">
        <v>244</v>
      </c>
      <c r="C367">
        <v>200</v>
      </c>
      <c r="D367">
        <v>2</v>
      </c>
      <c r="E367">
        <v>0</v>
      </c>
      <c r="F367" t="s">
        <v>1509</v>
      </c>
      <c r="G367">
        <v>1200</v>
      </c>
      <c r="H367">
        <v>0</v>
      </c>
      <c r="I367" t="s">
        <v>445</v>
      </c>
      <c r="J367" t="s">
        <v>1510</v>
      </c>
      <c r="K367" t="s">
        <v>358</v>
      </c>
      <c r="L367" t="s">
        <v>27</v>
      </c>
      <c r="M367" t="s">
        <v>28</v>
      </c>
      <c r="N367" t="s">
        <v>1511</v>
      </c>
      <c r="O367" t="s">
        <v>27</v>
      </c>
      <c r="P367" t="s">
        <v>39</v>
      </c>
      <c r="Q367" t="s">
        <v>31</v>
      </c>
      <c r="R367" t="s">
        <v>32</v>
      </c>
      <c r="S367" t="s">
        <v>28</v>
      </c>
      <c r="T367" t="s">
        <v>1512</v>
      </c>
      <c r="U367" t="s">
        <v>1511</v>
      </c>
    </row>
    <row r="368" spans="1:21" x14ac:dyDescent="0.25">
      <c r="A368" t="s">
        <v>1513</v>
      </c>
      <c r="B368" t="s">
        <v>1514</v>
      </c>
      <c r="C368">
        <v>400</v>
      </c>
      <c r="D368">
        <v>2</v>
      </c>
      <c r="E368">
        <v>0</v>
      </c>
      <c r="F368" t="s">
        <v>1509</v>
      </c>
      <c r="G368">
        <v>1200</v>
      </c>
      <c r="H368">
        <v>0</v>
      </c>
      <c r="I368" t="s">
        <v>445</v>
      </c>
      <c r="J368" t="s">
        <v>1510</v>
      </c>
      <c r="K368" t="s">
        <v>358</v>
      </c>
      <c r="L368" t="s">
        <v>27</v>
      </c>
      <c r="M368" t="s">
        <v>28</v>
      </c>
      <c r="N368" t="s">
        <v>1511</v>
      </c>
      <c r="O368" t="s">
        <v>27</v>
      </c>
      <c r="P368" t="s">
        <v>39</v>
      </c>
      <c r="Q368" t="s">
        <v>31</v>
      </c>
      <c r="R368" t="s">
        <v>32</v>
      </c>
      <c r="S368" t="s">
        <v>28</v>
      </c>
      <c r="T368" t="s">
        <v>1512</v>
      </c>
      <c r="U368" t="s">
        <v>1511</v>
      </c>
    </row>
    <row r="369" spans="1:21" x14ac:dyDescent="0.25">
      <c r="A369" t="s">
        <v>58</v>
      </c>
      <c r="B369" t="s">
        <v>58</v>
      </c>
      <c r="C369">
        <v>100</v>
      </c>
      <c r="D369">
        <v>1</v>
      </c>
      <c r="E369">
        <v>0</v>
      </c>
      <c r="F369" t="s">
        <v>1515</v>
      </c>
      <c r="G369">
        <v>106</v>
      </c>
      <c r="H369">
        <v>6</v>
      </c>
      <c r="I369" t="s">
        <v>24</v>
      </c>
      <c r="J369" t="s">
        <v>1516</v>
      </c>
      <c r="K369" t="s">
        <v>791</v>
      </c>
      <c r="L369" t="s">
        <v>27</v>
      </c>
      <c r="M369" t="s">
        <v>28</v>
      </c>
      <c r="N369" t="s">
        <v>1517</v>
      </c>
      <c r="O369" t="s">
        <v>27</v>
      </c>
      <c r="P369" t="s">
        <v>56</v>
      </c>
      <c r="Q369" t="s">
        <v>31</v>
      </c>
      <c r="R369" t="s">
        <v>57</v>
      </c>
      <c r="S369" t="s">
        <v>28</v>
      </c>
      <c r="T369" t="s">
        <v>1518</v>
      </c>
      <c r="U369" t="s">
        <v>1517</v>
      </c>
    </row>
    <row r="370" spans="1:21" x14ac:dyDescent="0.25">
      <c r="A370" t="s">
        <v>58</v>
      </c>
      <c r="B370" t="s">
        <v>103</v>
      </c>
      <c r="C370">
        <v>90.43</v>
      </c>
      <c r="D370">
        <v>1</v>
      </c>
      <c r="E370">
        <v>0</v>
      </c>
      <c r="F370" t="s">
        <v>1519</v>
      </c>
      <c r="G370">
        <v>305.89</v>
      </c>
      <c r="H370">
        <v>24</v>
      </c>
      <c r="I370" t="s">
        <v>105</v>
      </c>
      <c r="J370" t="s">
        <v>1520</v>
      </c>
      <c r="K370" t="s">
        <v>1521</v>
      </c>
      <c r="L370" t="s">
        <v>1522</v>
      </c>
      <c r="M370" t="s">
        <v>1523</v>
      </c>
      <c r="N370" t="s">
        <v>1524</v>
      </c>
      <c r="O370" t="s">
        <v>27</v>
      </c>
      <c r="P370" t="s">
        <v>48</v>
      </c>
      <c r="Q370" t="s">
        <v>49</v>
      </c>
      <c r="R370" t="s">
        <v>50</v>
      </c>
      <c r="S370" t="s">
        <v>28</v>
      </c>
      <c r="T370" t="s">
        <v>1525</v>
      </c>
      <c r="U370" t="s">
        <v>1524</v>
      </c>
    </row>
    <row r="371" spans="1:21" x14ac:dyDescent="0.25">
      <c r="A371" t="s">
        <v>21</v>
      </c>
      <c r="B371" t="s">
        <v>1072</v>
      </c>
      <c r="C371">
        <v>100.83</v>
      </c>
      <c r="D371">
        <v>1</v>
      </c>
      <c r="E371">
        <v>0</v>
      </c>
      <c r="F371" t="s">
        <v>1519</v>
      </c>
      <c r="G371">
        <v>305.89</v>
      </c>
      <c r="H371">
        <v>24</v>
      </c>
      <c r="I371" t="s">
        <v>105</v>
      </c>
      <c r="J371" t="s">
        <v>1520</v>
      </c>
      <c r="K371" t="s">
        <v>1521</v>
      </c>
      <c r="L371" t="s">
        <v>1522</v>
      </c>
      <c r="M371" t="s">
        <v>1523</v>
      </c>
      <c r="N371" t="s">
        <v>1524</v>
      </c>
      <c r="O371" t="s">
        <v>27</v>
      </c>
      <c r="P371" t="s">
        <v>48</v>
      </c>
      <c r="Q371" t="s">
        <v>49</v>
      </c>
      <c r="R371" t="s">
        <v>50</v>
      </c>
      <c r="S371" t="s">
        <v>28</v>
      </c>
      <c r="T371" t="s">
        <v>1525</v>
      </c>
      <c r="U371" t="s">
        <v>1524</v>
      </c>
    </row>
    <row r="372" spans="1:21" x14ac:dyDescent="0.25">
      <c r="A372" t="s">
        <v>475</v>
      </c>
      <c r="B372" t="s">
        <v>476</v>
      </c>
      <c r="C372">
        <v>199</v>
      </c>
      <c r="D372">
        <v>1</v>
      </c>
      <c r="E372">
        <v>0</v>
      </c>
      <c r="F372" t="s">
        <v>1526</v>
      </c>
      <c r="G372">
        <v>228</v>
      </c>
      <c r="H372">
        <v>29</v>
      </c>
      <c r="I372" t="s">
        <v>24</v>
      </c>
      <c r="J372" t="s">
        <v>1395</v>
      </c>
      <c r="K372" t="s">
        <v>1396</v>
      </c>
      <c r="L372" t="s">
        <v>1397</v>
      </c>
      <c r="M372" t="s">
        <v>1398</v>
      </c>
      <c r="N372" t="s">
        <v>1407</v>
      </c>
      <c r="O372" t="s">
        <v>27</v>
      </c>
      <c r="P372" t="s">
        <v>84</v>
      </c>
      <c r="Q372" t="s">
        <v>85</v>
      </c>
      <c r="R372" t="s">
        <v>86</v>
      </c>
      <c r="S372" t="s">
        <v>28</v>
      </c>
      <c r="T372" t="s">
        <v>1527</v>
      </c>
      <c r="U372" t="s">
        <v>1528</v>
      </c>
    </row>
    <row r="373" spans="1:21" x14ac:dyDescent="0.25">
      <c r="A373" t="s">
        <v>33</v>
      </c>
      <c r="B373" t="s">
        <v>34</v>
      </c>
      <c r="C373">
        <v>200</v>
      </c>
      <c r="D373">
        <v>1</v>
      </c>
      <c r="E373">
        <v>0</v>
      </c>
      <c r="F373" t="s">
        <v>1529</v>
      </c>
      <c r="G373">
        <v>200</v>
      </c>
      <c r="H373">
        <v>0</v>
      </c>
      <c r="I373" t="s">
        <v>24</v>
      </c>
      <c r="J373" t="s">
        <v>1530</v>
      </c>
      <c r="K373" t="s">
        <v>73</v>
      </c>
      <c r="L373" t="s">
        <v>27</v>
      </c>
      <c r="M373" t="s">
        <v>28</v>
      </c>
      <c r="N373" t="s">
        <v>1531</v>
      </c>
      <c r="O373" t="s">
        <v>27</v>
      </c>
      <c r="P373" t="s">
        <v>39</v>
      </c>
      <c r="Q373" t="s">
        <v>31</v>
      </c>
      <c r="R373" t="s">
        <v>32</v>
      </c>
      <c r="S373" t="s">
        <v>28</v>
      </c>
      <c r="T373" t="s">
        <v>1532</v>
      </c>
      <c r="U373" t="s">
        <v>1531</v>
      </c>
    </row>
    <row r="374" spans="1:21" x14ac:dyDescent="0.25">
      <c r="A374" t="s">
        <v>456</v>
      </c>
      <c r="B374" t="s">
        <v>1178</v>
      </c>
      <c r="C374">
        <v>133.12</v>
      </c>
      <c r="D374">
        <v>1</v>
      </c>
      <c r="E374">
        <v>0</v>
      </c>
      <c r="F374" t="s">
        <v>1533</v>
      </c>
      <c r="G374">
        <v>266.24</v>
      </c>
      <c r="H374">
        <v>0</v>
      </c>
      <c r="I374" t="s">
        <v>628</v>
      </c>
      <c r="J374" t="s">
        <v>1534</v>
      </c>
      <c r="K374" t="s">
        <v>1535</v>
      </c>
      <c r="L374" t="s">
        <v>1349</v>
      </c>
      <c r="M374" t="s">
        <v>1536</v>
      </c>
      <c r="N374" t="s">
        <v>1537</v>
      </c>
      <c r="O374" t="s">
        <v>27</v>
      </c>
      <c r="P374" t="s">
        <v>48</v>
      </c>
      <c r="Q374" t="s">
        <v>49</v>
      </c>
      <c r="R374" t="s">
        <v>50</v>
      </c>
      <c r="S374" t="s">
        <v>28</v>
      </c>
      <c r="T374" t="s">
        <v>1538</v>
      </c>
      <c r="U374" t="s">
        <v>1537</v>
      </c>
    </row>
    <row r="375" spans="1:21" x14ac:dyDescent="0.25">
      <c r="A375" t="s">
        <v>456</v>
      </c>
      <c r="B375" t="s">
        <v>1178</v>
      </c>
      <c r="C375">
        <v>133.12</v>
      </c>
      <c r="D375">
        <v>1</v>
      </c>
      <c r="E375">
        <v>0</v>
      </c>
      <c r="F375" t="s">
        <v>1533</v>
      </c>
      <c r="G375">
        <v>266.24</v>
      </c>
      <c r="H375">
        <v>0</v>
      </c>
      <c r="I375" t="s">
        <v>628</v>
      </c>
      <c r="J375" t="s">
        <v>1534</v>
      </c>
      <c r="K375" t="s">
        <v>1535</v>
      </c>
      <c r="L375" t="s">
        <v>1349</v>
      </c>
      <c r="M375" t="s">
        <v>1536</v>
      </c>
      <c r="N375" t="s">
        <v>1537</v>
      </c>
      <c r="O375" t="s">
        <v>27</v>
      </c>
      <c r="P375" t="s">
        <v>48</v>
      </c>
      <c r="Q375" t="s">
        <v>49</v>
      </c>
      <c r="R375" t="s">
        <v>50</v>
      </c>
      <c r="S375" t="s">
        <v>28</v>
      </c>
      <c r="T375" t="s">
        <v>1538</v>
      </c>
      <c r="U375" t="s">
        <v>1537</v>
      </c>
    </row>
    <row r="376" spans="1:21" x14ac:dyDescent="0.25">
      <c r="A376" t="s">
        <v>143</v>
      </c>
      <c r="B376" t="s">
        <v>144</v>
      </c>
      <c r="C376">
        <v>200</v>
      </c>
      <c r="D376">
        <v>1</v>
      </c>
      <c r="E376">
        <v>0</v>
      </c>
      <c r="F376" t="s">
        <v>1539</v>
      </c>
      <c r="G376">
        <v>200</v>
      </c>
      <c r="H376">
        <v>0</v>
      </c>
      <c r="I376" t="s">
        <v>24</v>
      </c>
      <c r="J376" t="s">
        <v>1540</v>
      </c>
      <c r="K376" t="s">
        <v>418</v>
      </c>
      <c r="L376" t="s">
        <v>27</v>
      </c>
      <c r="M376" t="s">
        <v>28</v>
      </c>
      <c r="N376" t="s">
        <v>1541</v>
      </c>
      <c r="O376" t="s">
        <v>27</v>
      </c>
      <c r="P376" t="s">
        <v>39</v>
      </c>
      <c r="Q376" t="s">
        <v>31</v>
      </c>
      <c r="R376" t="s">
        <v>32</v>
      </c>
      <c r="S376" t="s">
        <v>28</v>
      </c>
      <c r="T376" t="s">
        <v>1542</v>
      </c>
      <c r="U376" t="s">
        <v>1541</v>
      </c>
    </row>
    <row r="377" spans="1:21" x14ac:dyDescent="0.25">
      <c r="A377" t="s">
        <v>134</v>
      </c>
      <c r="B377" t="s">
        <v>64</v>
      </c>
      <c r="C377">
        <v>100</v>
      </c>
      <c r="D377">
        <v>2</v>
      </c>
      <c r="E377">
        <v>0</v>
      </c>
      <c r="F377" t="s">
        <v>1543</v>
      </c>
      <c r="G377">
        <v>200</v>
      </c>
      <c r="H377">
        <v>0</v>
      </c>
      <c r="I377" t="s">
        <v>140</v>
      </c>
      <c r="J377" t="s">
        <v>1544</v>
      </c>
      <c r="K377" t="s">
        <v>273</v>
      </c>
      <c r="L377" t="s">
        <v>27</v>
      </c>
      <c r="M377" t="s">
        <v>28</v>
      </c>
      <c r="N377" t="s">
        <v>1545</v>
      </c>
      <c r="O377" t="s">
        <v>27</v>
      </c>
      <c r="P377" t="s">
        <v>30</v>
      </c>
      <c r="Q377" t="s">
        <v>31</v>
      </c>
      <c r="R377" t="s">
        <v>32</v>
      </c>
      <c r="S377" t="s">
        <v>28</v>
      </c>
      <c r="T377" t="s">
        <v>1546</v>
      </c>
      <c r="U377" t="s">
        <v>1545</v>
      </c>
    </row>
    <row r="378" spans="1:21" x14ac:dyDescent="0.25">
      <c r="A378" t="s">
        <v>33</v>
      </c>
      <c r="B378" t="s">
        <v>34</v>
      </c>
      <c r="C378">
        <v>200</v>
      </c>
      <c r="D378">
        <v>1</v>
      </c>
      <c r="E378">
        <v>0</v>
      </c>
      <c r="F378" t="s">
        <v>1547</v>
      </c>
      <c r="G378">
        <v>200</v>
      </c>
      <c r="H378">
        <v>0</v>
      </c>
      <c r="I378" t="s">
        <v>24</v>
      </c>
      <c r="J378" t="s">
        <v>1548</v>
      </c>
      <c r="K378" t="s">
        <v>89</v>
      </c>
      <c r="L378" t="s">
        <v>27</v>
      </c>
      <c r="M378" t="s">
        <v>28</v>
      </c>
      <c r="N378" t="s">
        <v>1549</v>
      </c>
      <c r="O378" t="s">
        <v>27</v>
      </c>
      <c r="P378" t="s">
        <v>39</v>
      </c>
      <c r="Q378" t="s">
        <v>31</v>
      </c>
      <c r="R378" t="s">
        <v>32</v>
      </c>
      <c r="S378" t="s">
        <v>28</v>
      </c>
      <c r="T378" t="s">
        <v>1550</v>
      </c>
      <c r="U378" t="s">
        <v>1549</v>
      </c>
    </row>
    <row r="379" spans="1:21" x14ac:dyDescent="0.25">
      <c r="A379" t="s">
        <v>33</v>
      </c>
      <c r="B379" t="s">
        <v>34</v>
      </c>
      <c r="C379">
        <v>200</v>
      </c>
      <c r="D379">
        <v>1</v>
      </c>
      <c r="E379">
        <v>0</v>
      </c>
      <c r="F379" t="s">
        <v>1551</v>
      </c>
      <c r="G379">
        <v>200</v>
      </c>
      <c r="H379">
        <v>0</v>
      </c>
      <c r="I379" t="s">
        <v>24</v>
      </c>
      <c r="J379" t="s">
        <v>1552</v>
      </c>
      <c r="K379" t="s">
        <v>346</v>
      </c>
      <c r="L379" t="s">
        <v>27</v>
      </c>
      <c r="M379" t="s">
        <v>28</v>
      </c>
      <c r="N379" t="s">
        <v>1553</v>
      </c>
      <c r="O379" t="s">
        <v>27</v>
      </c>
      <c r="P379" t="s">
        <v>39</v>
      </c>
      <c r="Q379" t="s">
        <v>31</v>
      </c>
      <c r="R379" t="s">
        <v>32</v>
      </c>
      <c r="S379" t="s">
        <v>28</v>
      </c>
      <c r="T379" t="s">
        <v>1554</v>
      </c>
      <c r="U379" t="s">
        <v>1553</v>
      </c>
    </row>
    <row r="380" spans="1:21" x14ac:dyDescent="0.25">
      <c r="A380" t="s">
        <v>134</v>
      </c>
      <c r="B380" t="s">
        <v>64</v>
      </c>
      <c r="C380">
        <v>100</v>
      </c>
      <c r="D380">
        <v>4</v>
      </c>
      <c r="E380">
        <v>0</v>
      </c>
      <c r="F380" t="s">
        <v>1555</v>
      </c>
      <c r="G380">
        <v>400</v>
      </c>
      <c r="H380">
        <v>0</v>
      </c>
      <c r="I380" t="s">
        <v>140</v>
      </c>
      <c r="J380" t="s">
        <v>1556</v>
      </c>
      <c r="K380" t="s">
        <v>37</v>
      </c>
      <c r="L380" t="s">
        <v>27</v>
      </c>
      <c r="M380" t="s">
        <v>28</v>
      </c>
      <c r="N380" t="s">
        <v>1557</v>
      </c>
      <c r="O380" t="s">
        <v>27</v>
      </c>
      <c r="P380" t="s">
        <v>30</v>
      </c>
      <c r="Q380" t="s">
        <v>31</v>
      </c>
      <c r="R380" t="s">
        <v>32</v>
      </c>
      <c r="S380" t="s">
        <v>28</v>
      </c>
      <c r="T380" t="s">
        <v>1558</v>
      </c>
      <c r="U380" t="s">
        <v>1559</v>
      </c>
    </row>
    <row r="381" spans="1:21" x14ac:dyDescent="0.25">
      <c r="A381" t="s">
        <v>195</v>
      </c>
      <c r="B381" t="s">
        <v>1003</v>
      </c>
      <c r="C381">
        <v>130.31</v>
      </c>
      <c r="D381">
        <v>1</v>
      </c>
      <c r="E381">
        <v>0</v>
      </c>
      <c r="F381" t="s">
        <v>1560</v>
      </c>
      <c r="G381">
        <v>135.31</v>
      </c>
      <c r="H381">
        <v>5</v>
      </c>
      <c r="I381" t="s">
        <v>628</v>
      </c>
      <c r="J381" t="s">
        <v>1561</v>
      </c>
      <c r="K381" t="s">
        <v>1562</v>
      </c>
      <c r="L381" t="s">
        <v>280</v>
      </c>
      <c r="M381" t="s">
        <v>1563</v>
      </c>
      <c r="N381" t="s">
        <v>1564</v>
      </c>
      <c r="O381" t="s">
        <v>27</v>
      </c>
      <c r="P381" t="s">
        <v>48</v>
      </c>
      <c r="Q381" t="s">
        <v>49</v>
      </c>
      <c r="R381" t="s">
        <v>50</v>
      </c>
      <c r="S381" t="s">
        <v>28</v>
      </c>
      <c r="T381" t="s">
        <v>1565</v>
      </c>
      <c r="U381" t="s">
        <v>1564</v>
      </c>
    </row>
    <row r="382" spans="1:21" x14ac:dyDescent="0.25">
      <c r="A382" t="s">
        <v>456</v>
      </c>
      <c r="B382" t="s">
        <v>1178</v>
      </c>
      <c r="C382">
        <v>129.46</v>
      </c>
      <c r="D382">
        <v>1</v>
      </c>
      <c r="E382">
        <v>0</v>
      </c>
      <c r="F382" t="s">
        <v>1566</v>
      </c>
      <c r="G382">
        <v>134.46</v>
      </c>
      <c r="H382">
        <v>5</v>
      </c>
      <c r="I382" t="s">
        <v>628</v>
      </c>
      <c r="J382" t="s">
        <v>1567</v>
      </c>
      <c r="K382" t="s">
        <v>1568</v>
      </c>
      <c r="L382" t="s">
        <v>1453</v>
      </c>
      <c r="M382" t="s">
        <v>1569</v>
      </c>
      <c r="N382" t="s">
        <v>1570</v>
      </c>
      <c r="O382" t="s">
        <v>27</v>
      </c>
      <c r="P382" t="s">
        <v>48</v>
      </c>
      <c r="Q382" t="s">
        <v>49</v>
      </c>
      <c r="R382" t="s">
        <v>50</v>
      </c>
      <c r="S382" t="s">
        <v>28</v>
      </c>
      <c r="T382" t="s">
        <v>1571</v>
      </c>
      <c r="U382" t="s">
        <v>1570</v>
      </c>
    </row>
    <row r="383" spans="1:21" x14ac:dyDescent="0.25">
      <c r="A383" t="s">
        <v>33</v>
      </c>
      <c r="B383" t="s">
        <v>34</v>
      </c>
      <c r="C383">
        <v>200</v>
      </c>
      <c r="D383">
        <v>1</v>
      </c>
      <c r="E383">
        <v>0</v>
      </c>
      <c r="F383" t="s">
        <v>1572</v>
      </c>
      <c r="G383">
        <v>200</v>
      </c>
      <c r="H383">
        <v>0</v>
      </c>
      <c r="I383" t="s">
        <v>445</v>
      </c>
      <c r="J383" t="s">
        <v>1573</v>
      </c>
      <c r="K383" t="s">
        <v>753</v>
      </c>
      <c r="L383" t="s">
        <v>27</v>
      </c>
      <c r="M383" t="s">
        <v>28</v>
      </c>
      <c r="N383" t="s">
        <v>1574</v>
      </c>
      <c r="O383" t="s">
        <v>27</v>
      </c>
      <c r="P383" t="s">
        <v>39</v>
      </c>
      <c r="Q383" t="s">
        <v>31</v>
      </c>
      <c r="R383" t="s">
        <v>32</v>
      </c>
      <c r="S383" t="s">
        <v>28</v>
      </c>
      <c r="T383" t="s">
        <v>1575</v>
      </c>
      <c r="U383" t="s">
        <v>1574</v>
      </c>
    </row>
    <row r="384" spans="1:21" x14ac:dyDescent="0.25">
      <c r="A384" t="s">
        <v>58</v>
      </c>
      <c r="B384" t="s">
        <v>58</v>
      </c>
      <c r="C384">
        <v>100</v>
      </c>
      <c r="D384">
        <v>2</v>
      </c>
      <c r="E384">
        <v>0</v>
      </c>
      <c r="F384" t="s">
        <v>1576</v>
      </c>
      <c r="G384">
        <v>200</v>
      </c>
      <c r="H384">
        <v>0</v>
      </c>
      <c r="I384" t="s">
        <v>140</v>
      </c>
      <c r="J384" t="s">
        <v>1577</v>
      </c>
      <c r="K384" t="s">
        <v>67</v>
      </c>
      <c r="L384" t="s">
        <v>27</v>
      </c>
      <c r="M384" t="s">
        <v>28</v>
      </c>
      <c r="N384" t="s">
        <v>1578</v>
      </c>
      <c r="O384" t="s">
        <v>27</v>
      </c>
      <c r="P384" t="s">
        <v>30</v>
      </c>
      <c r="Q384" t="s">
        <v>31</v>
      </c>
      <c r="R384" t="s">
        <v>32</v>
      </c>
      <c r="S384" t="s">
        <v>28</v>
      </c>
      <c r="T384" t="s">
        <v>1579</v>
      </c>
      <c r="U384" t="s">
        <v>1578</v>
      </c>
    </row>
    <row r="385" spans="1:21" x14ac:dyDescent="0.25">
      <c r="A385" t="s">
        <v>33</v>
      </c>
      <c r="B385" t="s">
        <v>34</v>
      </c>
      <c r="C385">
        <v>200</v>
      </c>
      <c r="D385">
        <v>1</v>
      </c>
      <c r="E385">
        <v>0</v>
      </c>
      <c r="F385" t="s">
        <v>1580</v>
      </c>
      <c r="G385">
        <v>200</v>
      </c>
      <c r="H385">
        <v>0</v>
      </c>
      <c r="I385" t="s">
        <v>24</v>
      </c>
      <c r="J385" t="s">
        <v>1581</v>
      </c>
      <c r="K385" t="s">
        <v>273</v>
      </c>
      <c r="L385" t="s">
        <v>27</v>
      </c>
      <c r="M385" t="s">
        <v>28</v>
      </c>
      <c r="N385" t="s">
        <v>1582</v>
      </c>
      <c r="O385" t="s">
        <v>27</v>
      </c>
      <c r="P385" t="s">
        <v>39</v>
      </c>
      <c r="Q385" t="s">
        <v>31</v>
      </c>
      <c r="R385" t="s">
        <v>32</v>
      </c>
      <c r="S385" t="s">
        <v>28</v>
      </c>
      <c r="T385" t="s">
        <v>1583</v>
      </c>
      <c r="U385" t="s">
        <v>1582</v>
      </c>
    </row>
    <row r="386" spans="1:21" x14ac:dyDescent="0.25">
      <c r="A386" t="s">
        <v>70</v>
      </c>
      <c r="B386" t="s">
        <v>70</v>
      </c>
      <c r="C386">
        <v>330</v>
      </c>
      <c r="D386">
        <v>1</v>
      </c>
      <c r="E386">
        <v>0</v>
      </c>
      <c r="F386" t="s">
        <v>1584</v>
      </c>
      <c r="G386">
        <v>330</v>
      </c>
      <c r="H386">
        <v>0</v>
      </c>
      <c r="I386" t="s">
        <v>445</v>
      </c>
      <c r="J386" t="s">
        <v>1585</v>
      </c>
      <c r="K386" t="s">
        <v>346</v>
      </c>
      <c r="L386" t="s">
        <v>27</v>
      </c>
      <c r="M386" t="s">
        <v>28</v>
      </c>
      <c r="N386" t="s">
        <v>1586</v>
      </c>
      <c r="O386" t="s">
        <v>27</v>
      </c>
      <c r="P386" t="s">
        <v>39</v>
      </c>
      <c r="Q386" t="s">
        <v>31</v>
      </c>
      <c r="R386" t="s">
        <v>32</v>
      </c>
      <c r="S386" t="s">
        <v>28</v>
      </c>
      <c r="T386" t="s">
        <v>1587</v>
      </c>
      <c r="U386" t="s">
        <v>1586</v>
      </c>
    </row>
    <row r="387" spans="1:21" x14ac:dyDescent="0.25">
      <c r="A387" t="s">
        <v>134</v>
      </c>
      <c r="B387" t="s">
        <v>64</v>
      </c>
      <c r="C387">
        <v>100</v>
      </c>
      <c r="D387">
        <v>1</v>
      </c>
      <c r="E387">
        <v>0</v>
      </c>
      <c r="F387" t="s">
        <v>1588</v>
      </c>
      <c r="G387">
        <v>106</v>
      </c>
      <c r="H387">
        <v>6</v>
      </c>
      <c r="I387" t="s">
        <v>24</v>
      </c>
      <c r="J387" t="s">
        <v>1589</v>
      </c>
      <c r="K387" t="s">
        <v>572</v>
      </c>
      <c r="L387" t="s">
        <v>27</v>
      </c>
      <c r="M387" t="s">
        <v>28</v>
      </c>
      <c r="N387" t="s">
        <v>1590</v>
      </c>
      <c r="O387" t="s">
        <v>27</v>
      </c>
      <c r="P387" t="s">
        <v>39</v>
      </c>
      <c r="Q387" t="s">
        <v>31</v>
      </c>
      <c r="R387" t="s">
        <v>32</v>
      </c>
      <c r="S387" t="s">
        <v>28</v>
      </c>
      <c r="T387" t="s">
        <v>1591</v>
      </c>
      <c r="U387" t="s">
        <v>1590</v>
      </c>
    </row>
    <row r="388" spans="1:21" x14ac:dyDescent="0.25">
      <c r="A388" t="s">
        <v>261</v>
      </c>
      <c r="B388" t="s">
        <v>1592</v>
      </c>
      <c r="C388">
        <v>218.97</v>
      </c>
      <c r="D388">
        <v>1</v>
      </c>
      <c r="E388">
        <v>0</v>
      </c>
      <c r="F388" t="s">
        <v>1593</v>
      </c>
      <c r="G388">
        <v>242.97</v>
      </c>
      <c r="H388">
        <v>24</v>
      </c>
      <c r="I388" t="s">
        <v>24</v>
      </c>
      <c r="J388" t="s">
        <v>1594</v>
      </c>
      <c r="K388" t="s">
        <v>1595</v>
      </c>
      <c r="L388" t="s">
        <v>81</v>
      </c>
      <c r="M388" t="s">
        <v>1596</v>
      </c>
      <c r="N388" t="s">
        <v>1597</v>
      </c>
      <c r="O388" t="s">
        <v>27</v>
      </c>
      <c r="P388" t="s">
        <v>48</v>
      </c>
      <c r="Q388" t="s">
        <v>49</v>
      </c>
      <c r="R388" t="s">
        <v>50</v>
      </c>
      <c r="S388" t="s">
        <v>28</v>
      </c>
      <c r="T388" t="s">
        <v>1598</v>
      </c>
      <c r="U388" t="s">
        <v>1599</v>
      </c>
    </row>
    <row r="389" spans="1:21" x14ac:dyDescent="0.25">
      <c r="A389" t="s">
        <v>63</v>
      </c>
      <c r="B389" t="s">
        <v>64</v>
      </c>
      <c r="C389">
        <v>100</v>
      </c>
      <c r="D389">
        <v>3</v>
      </c>
      <c r="E389">
        <v>0</v>
      </c>
      <c r="F389" t="s">
        <v>1600</v>
      </c>
      <c r="G389">
        <v>300</v>
      </c>
      <c r="H389">
        <v>0</v>
      </c>
      <c r="I389" t="s">
        <v>24</v>
      </c>
      <c r="J389" t="s">
        <v>1601</v>
      </c>
      <c r="K389" t="s">
        <v>1602</v>
      </c>
      <c r="L389" t="s">
        <v>27</v>
      </c>
      <c r="M389" t="s">
        <v>28</v>
      </c>
      <c r="N389" t="s">
        <v>1603</v>
      </c>
      <c r="O389" t="s">
        <v>27</v>
      </c>
      <c r="P389" t="s">
        <v>56</v>
      </c>
      <c r="Q389" t="s">
        <v>31</v>
      </c>
      <c r="R389" t="s">
        <v>57</v>
      </c>
      <c r="S389" t="s">
        <v>28</v>
      </c>
      <c r="T389" t="s">
        <v>1604</v>
      </c>
      <c r="U389" t="s">
        <v>1605</v>
      </c>
    </row>
    <row r="390" spans="1:21" x14ac:dyDescent="0.25">
      <c r="A390" t="s">
        <v>21</v>
      </c>
      <c r="B390" t="s">
        <v>22</v>
      </c>
      <c r="C390">
        <v>100</v>
      </c>
      <c r="D390">
        <v>1</v>
      </c>
      <c r="E390">
        <v>0</v>
      </c>
      <c r="F390" t="s">
        <v>1606</v>
      </c>
      <c r="G390">
        <v>129</v>
      </c>
      <c r="H390">
        <v>29</v>
      </c>
      <c r="I390" t="s">
        <v>445</v>
      </c>
      <c r="J390" t="s">
        <v>1607</v>
      </c>
      <c r="K390" t="s">
        <v>491</v>
      </c>
      <c r="L390" t="s">
        <v>27</v>
      </c>
      <c r="M390" t="s">
        <v>28</v>
      </c>
      <c r="N390" t="s">
        <v>1608</v>
      </c>
      <c r="O390" t="s">
        <v>27</v>
      </c>
      <c r="P390" t="s">
        <v>39</v>
      </c>
      <c r="Q390" t="s">
        <v>31</v>
      </c>
      <c r="R390" t="s">
        <v>32</v>
      </c>
      <c r="S390" t="s">
        <v>28</v>
      </c>
      <c r="T390" t="s">
        <v>1609</v>
      </c>
      <c r="U390" t="s">
        <v>1608</v>
      </c>
    </row>
    <row r="391" spans="1:21" x14ac:dyDescent="0.25">
      <c r="A391" t="s">
        <v>33</v>
      </c>
      <c r="B391" t="s">
        <v>34</v>
      </c>
      <c r="C391">
        <v>200</v>
      </c>
      <c r="D391">
        <v>1</v>
      </c>
      <c r="E391">
        <v>0</v>
      </c>
      <c r="F391" t="s">
        <v>1610</v>
      </c>
      <c r="G391">
        <v>200</v>
      </c>
      <c r="H391">
        <v>0</v>
      </c>
      <c r="I391" t="s">
        <v>445</v>
      </c>
      <c r="J391" t="s">
        <v>1611</v>
      </c>
      <c r="K391" t="s">
        <v>89</v>
      </c>
      <c r="L391" t="s">
        <v>27</v>
      </c>
      <c r="M391" t="s">
        <v>28</v>
      </c>
      <c r="N391" t="s">
        <v>1612</v>
      </c>
      <c r="O391" t="s">
        <v>27</v>
      </c>
      <c r="P391" t="s">
        <v>56</v>
      </c>
      <c r="Q391" t="s">
        <v>31</v>
      </c>
      <c r="R391" t="s">
        <v>57</v>
      </c>
      <c r="S391" t="s">
        <v>28</v>
      </c>
      <c r="T391" t="s">
        <v>1613</v>
      </c>
      <c r="U391" t="s">
        <v>1612</v>
      </c>
    </row>
    <row r="392" spans="1:21" x14ac:dyDescent="0.25">
      <c r="A392" t="s">
        <v>33</v>
      </c>
      <c r="B392" t="s">
        <v>34</v>
      </c>
      <c r="C392">
        <v>200</v>
      </c>
      <c r="D392">
        <v>1</v>
      </c>
      <c r="E392">
        <v>0</v>
      </c>
      <c r="F392" t="s">
        <v>1614</v>
      </c>
      <c r="G392">
        <v>200</v>
      </c>
      <c r="H392">
        <v>0</v>
      </c>
      <c r="I392" t="s">
        <v>445</v>
      </c>
      <c r="J392" t="s">
        <v>1615</v>
      </c>
      <c r="K392" t="s">
        <v>1616</v>
      </c>
      <c r="L392" t="s">
        <v>27</v>
      </c>
      <c r="M392" t="s">
        <v>28</v>
      </c>
      <c r="N392" t="s">
        <v>1617</v>
      </c>
      <c r="O392" t="s">
        <v>27</v>
      </c>
      <c r="P392" t="s">
        <v>39</v>
      </c>
      <c r="Q392" t="s">
        <v>31</v>
      </c>
      <c r="R392" t="s">
        <v>32</v>
      </c>
      <c r="S392" t="s">
        <v>28</v>
      </c>
      <c r="T392" t="s">
        <v>1618</v>
      </c>
      <c r="U392" t="s">
        <v>1617</v>
      </c>
    </row>
    <row r="393" spans="1:21" x14ac:dyDescent="0.25">
      <c r="A393" t="s">
        <v>143</v>
      </c>
      <c r="B393" t="s">
        <v>144</v>
      </c>
      <c r="C393">
        <v>200</v>
      </c>
      <c r="D393">
        <v>5</v>
      </c>
      <c r="E393">
        <v>0</v>
      </c>
      <c r="F393" t="s">
        <v>1619</v>
      </c>
      <c r="G393">
        <v>1000</v>
      </c>
      <c r="H393">
        <v>0</v>
      </c>
      <c r="I393" t="s">
        <v>140</v>
      </c>
      <c r="J393" t="s">
        <v>1620</v>
      </c>
      <c r="K393" t="s">
        <v>285</v>
      </c>
      <c r="L393" t="s">
        <v>27</v>
      </c>
      <c r="M393" t="s">
        <v>28</v>
      </c>
      <c r="N393" t="s">
        <v>1621</v>
      </c>
      <c r="O393" t="s">
        <v>27</v>
      </c>
      <c r="P393" t="s">
        <v>30</v>
      </c>
      <c r="Q393" t="s">
        <v>31</v>
      </c>
      <c r="R393" t="s">
        <v>32</v>
      </c>
      <c r="S393" t="s">
        <v>28</v>
      </c>
      <c r="T393" t="s">
        <v>1622</v>
      </c>
      <c r="U393" t="s">
        <v>1621</v>
      </c>
    </row>
    <row r="394" spans="1:21" x14ac:dyDescent="0.25">
      <c r="A394" t="s">
        <v>21</v>
      </c>
      <c r="B394" t="s">
        <v>22</v>
      </c>
      <c r="C394">
        <v>100</v>
      </c>
      <c r="D394">
        <v>1</v>
      </c>
      <c r="E394">
        <v>0</v>
      </c>
      <c r="F394" t="s">
        <v>1623</v>
      </c>
      <c r="G394">
        <v>106</v>
      </c>
      <c r="H394">
        <v>6</v>
      </c>
      <c r="I394" t="s">
        <v>140</v>
      </c>
      <c r="J394" t="s">
        <v>1624</v>
      </c>
      <c r="K394" t="s">
        <v>418</v>
      </c>
      <c r="L394" t="s">
        <v>27</v>
      </c>
      <c r="M394" t="s">
        <v>28</v>
      </c>
      <c r="N394" t="s">
        <v>1625</v>
      </c>
      <c r="O394" t="s">
        <v>27</v>
      </c>
      <c r="P394" t="s">
        <v>30</v>
      </c>
      <c r="Q394" t="s">
        <v>31</v>
      </c>
      <c r="R394" t="s">
        <v>32</v>
      </c>
      <c r="S394" t="s">
        <v>28</v>
      </c>
      <c r="T394" t="s">
        <v>1626</v>
      </c>
      <c r="U394" t="s">
        <v>1625</v>
      </c>
    </row>
    <row r="395" spans="1:21" x14ac:dyDescent="0.25">
      <c r="A395" t="s">
        <v>21</v>
      </c>
      <c r="B395" t="s">
        <v>22</v>
      </c>
      <c r="C395">
        <v>100</v>
      </c>
      <c r="D395">
        <v>1</v>
      </c>
      <c r="E395">
        <v>0</v>
      </c>
      <c r="F395" t="s">
        <v>1627</v>
      </c>
      <c r="G395">
        <v>200</v>
      </c>
      <c r="H395">
        <v>0</v>
      </c>
      <c r="I395" t="s">
        <v>140</v>
      </c>
      <c r="J395" t="s">
        <v>1628</v>
      </c>
      <c r="K395" t="s">
        <v>1629</v>
      </c>
      <c r="L395" t="s">
        <v>27</v>
      </c>
      <c r="M395" t="s">
        <v>28</v>
      </c>
      <c r="N395" t="s">
        <v>1630</v>
      </c>
      <c r="O395" t="s">
        <v>27</v>
      </c>
      <c r="P395" t="s">
        <v>30</v>
      </c>
      <c r="Q395" t="s">
        <v>31</v>
      </c>
      <c r="R395" t="s">
        <v>32</v>
      </c>
      <c r="S395" t="s">
        <v>28</v>
      </c>
      <c r="T395" t="s">
        <v>1631</v>
      </c>
      <c r="U395" t="s">
        <v>1630</v>
      </c>
    </row>
    <row r="396" spans="1:21" x14ac:dyDescent="0.25">
      <c r="A396" t="s">
        <v>63</v>
      </c>
      <c r="B396" t="s">
        <v>64</v>
      </c>
      <c r="C396">
        <v>100</v>
      </c>
      <c r="D396">
        <v>1</v>
      </c>
      <c r="E396">
        <v>0</v>
      </c>
      <c r="F396" t="s">
        <v>1627</v>
      </c>
      <c r="G396">
        <v>200</v>
      </c>
      <c r="H396">
        <v>0</v>
      </c>
      <c r="I396" t="s">
        <v>140</v>
      </c>
      <c r="J396" t="s">
        <v>1628</v>
      </c>
      <c r="K396" t="s">
        <v>1629</v>
      </c>
      <c r="L396" t="s">
        <v>27</v>
      </c>
      <c r="M396" t="s">
        <v>28</v>
      </c>
      <c r="N396" t="s">
        <v>1630</v>
      </c>
      <c r="O396" t="s">
        <v>27</v>
      </c>
      <c r="P396" t="s">
        <v>30</v>
      </c>
      <c r="Q396" t="s">
        <v>31</v>
      </c>
      <c r="R396" t="s">
        <v>32</v>
      </c>
      <c r="S396" t="s">
        <v>28</v>
      </c>
      <c r="T396" t="s">
        <v>1631</v>
      </c>
      <c r="U396" t="s">
        <v>1630</v>
      </c>
    </row>
    <row r="397" spans="1:21" x14ac:dyDescent="0.25">
      <c r="A397" t="s">
        <v>21</v>
      </c>
      <c r="B397" t="s">
        <v>22</v>
      </c>
      <c r="C397">
        <v>100</v>
      </c>
      <c r="D397">
        <v>1</v>
      </c>
      <c r="E397">
        <v>0</v>
      </c>
      <c r="F397" t="s">
        <v>1632</v>
      </c>
      <c r="G397">
        <v>100</v>
      </c>
      <c r="H397">
        <v>0</v>
      </c>
      <c r="I397" t="s">
        <v>445</v>
      </c>
      <c r="J397" t="s">
        <v>1633</v>
      </c>
      <c r="K397" t="s">
        <v>247</v>
      </c>
      <c r="L397" t="s">
        <v>27</v>
      </c>
      <c r="M397" t="s">
        <v>28</v>
      </c>
      <c r="N397" t="s">
        <v>1634</v>
      </c>
      <c r="O397" t="s">
        <v>27</v>
      </c>
      <c r="P397" t="s">
        <v>39</v>
      </c>
      <c r="Q397" t="s">
        <v>31</v>
      </c>
      <c r="R397" t="s">
        <v>32</v>
      </c>
      <c r="S397" t="s">
        <v>28</v>
      </c>
      <c r="T397" t="s">
        <v>1635</v>
      </c>
      <c r="U397" t="s">
        <v>1634</v>
      </c>
    </row>
    <row r="398" spans="1:21" x14ac:dyDescent="0.25">
      <c r="A398" t="s">
        <v>33</v>
      </c>
      <c r="B398" t="s">
        <v>34</v>
      </c>
      <c r="C398">
        <v>200</v>
      </c>
      <c r="D398">
        <v>1</v>
      </c>
      <c r="E398">
        <v>0</v>
      </c>
      <c r="F398" t="s">
        <v>1636</v>
      </c>
      <c r="G398">
        <v>200</v>
      </c>
      <c r="H398">
        <v>0</v>
      </c>
      <c r="I398" t="s">
        <v>24</v>
      </c>
      <c r="J398" t="s">
        <v>1637</v>
      </c>
      <c r="K398" t="s">
        <v>37</v>
      </c>
      <c r="L398" t="s">
        <v>27</v>
      </c>
      <c r="M398" t="s">
        <v>28</v>
      </c>
      <c r="N398" t="s">
        <v>1638</v>
      </c>
      <c r="O398" t="s">
        <v>27</v>
      </c>
      <c r="P398" t="s">
        <v>39</v>
      </c>
      <c r="Q398" t="s">
        <v>31</v>
      </c>
      <c r="R398" t="s">
        <v>32</v>
      </c>
      <c r="S398" t="s">
        <v>28</v>
      </c>
      <c r="T398" t="s">
        <v>1639</v>
      </c>
      <c r="U398" t="s">
        <v>1638</v>
      </c>
    </row>
    <row r="399" spans="1:21" x14ac:dyDescent="0.25">
      <c r="A399" t="s">
        <v>21</v>
      </c>
      <c r="B399" t="s">
        <v>22</v>
      </c>
      <c r="C399">
        <v>100</v>
      </c>
      <c r="D399">
        <v>2</v>
      </c>
      <c r="E399">
        <v>0</v>
      </c>
      <c r="F399" t="s">
        <v>1640</v>
      </c>
      <c r="G399">
        <v>200</v>
      </c>
      <c r="H399">
        <v>0</v>
      </c>
      <c r="I399" t="s">
        <v>140</v>
      </c>
      <c r="J399" t="s">
        <v>1641</v>
      </c>
      <c r="K399" t="s">
        <v>299</v>
      </c>
      <c r="L399" t="s">
        <v>27</v>
      </c>
      <c r="M399" t="s">
        <v>28</v>
      </c>
      <c r="N399" t="s">
        <v>1642</v>
      </c>
      <c r="O399" t="s">
        <v>27</v>
      </c>
      <c r="P399" t="s">
        <v>30</v>
      </c>
      <c r="Q399" t="s">
        <v>31</v>
      </c>
      <c r="R399" t="s">
        <v>32</v>
      </c>
      <c r="S399" t="s">
        <v>28</v>
      </c>
      <c r="T399" t="s">
        <v>1643</v>
      </c>
      <c r="U399" t="s">
        <v>1642</v>
      </c>
    </row>
    <row r="400" spans="1:21" x14ac:dyDescent="0.25">
      <c r="A400" t="s">
        <v>195</v>
      </c>
      <c r="B400" t="s">
        <v>1003</v>
      </c>
      <c r="C400">
        <v>102.17</v>
      </c>
      <c r="D400">
        <v>1</v>
      </c>
      <c r="E400">
        <v>0</v>
      </c>
      <c r="F400" t="s">
        <v>1644</v>
      </c>
      <c r="G400">
        <v>107.17</v>
      </c>
      <c r="H400">
        <v>5</v>
      </c>
      <c r="I400" t="s">
        <v>628</v>
      </c>
      <c r="J400" t="s">
        <v>1645</v>
      </c>
      <c r="K400" t="s">
        <v>1646</v>
      </c>
      <c r="L400" t="s">
        <v>1647</v>
      </c>
      <c r="M400" t="s">
        <v>1648</v>
      </c>
      <c r="N400" t="s">
        <v>1649</v>
      </c>
      <c r="O400" t="s">
        <v>27</v>
      </c>
      <c r="P400" t="s">
        <v>48</v>
      </c>
      <c r="Q400" t="s">
        <v>49</v>
      </c>
      <c r="R400" t="s">
        <v>50</v>
      </c>
      <c r="S400" t="s">
        <v>28</v>
      </c>
      <c r="T400" t="s">
        <v>1650</v>
      </c>
      <c r="U400" t="s">
        <v>1649</v>
      </c>
    </row>
    <row r="401" spans="1:21" x14ac:dyDescent="0.25">
      <c r="A401" t="s">
        <v>21</v>
      </c>
      <c r="B401" t="s">
        <v>22</v>
      </c>
      <c r="C401">
        <v>100</v>
      </c>
      <c r="D401">
        <v>1</v>
      </c>
      <c r="E401">
        <v>0</v>
      </c>
      <c r="F401" t="s">
        <v>1651</v>
      </c>
      <c r="G401">
        <v>106</v>
      </c>
      <c r="H401">
        <v>6</v>
      </c>
      <c r="I401" t="s">
        <v>445</v>
      </c>
      <c r="J401" t="s">
        <v>1652</v>
      </c>
      <c r="K401" t="s">
        <v>89</v>
      </c>
      <c r="L401" t="s">
        <v>27</v>
      </c>
      <c r="M401" t="s">
        <v>28</v>
      </c>
      <c r="N401" t="s">
        <v>1649</v>
      </c>
      <c r="O401" t="s">
        <v>27</v>
      </c>
      <c r="P401" t="s">
        <v>39</v>
      </c>
      <c r="Q401" t="s">
        <v>31</v>
      </c>
      <c r="R401" t="s">
        <v>32</v>
      </c>
      <c r="S401" t="s">
        <v>28</v>
      </c>
      <c r="T401" t="s">
        <v>1653</v>
      </c>
      <c r="U401" t="s">
        <v>1649</v>
      </c>
    </row>
    <row r="402" spans="1:21" x14ac:dyDescent="0.25">
      <c r="A402" t="s">
        <v>33</v>
      </c>
      <c r="B402" t="s">
        <v>34</v>
      </c>
      <c r="C402">
        <v>200</v>
      </c>
      <c r="D402">
        <v>1</v>
      </c>
      <c r="E402">
        <v>0</v>
      </c>
      <c r="F402" t="s">
        <v>1654</v>
      </c>
      <c r="G402">
        <v>229</v>
      </c>
      <c r="H402">
        <v>29</v>
      </c>
      <c r="I402" t="s">
        <v>24</v>
      </c>
      <c r="J402" t="s">
        <v>1655</v>
      </c>
      <c r="K402" t="s">
        <v>124</v>
      </c>
      <c r="L402" t="s">
        <v>27</v>
      </c>
      <c r="M402" t="s">
        <v>28</v>
      </c>
      <c r="N402" t="s">
        <v>1656</v>
      </c>
      <c r="O402" t="s">
        <v>27</v>
      </c>
      <c r="P402" t="s">
        <v>39</v>
      </c>
      <c r="Q402" t="s">
        <v>31</v>
      </c>
      <c r="R402" t="s">
        <v>32</v>
      </c>
      <c r="S402" t="s">
        <v>28</v>
      </c>
      <c r="T402" t="s">
        <v>1657</v>
      </c>
      <c r="U402" t="s">
        <v>1656</v>
      </c>
    </row>
    <row r="403" spans="1:21" x14ac:dyDescent="0.25">
      <c r="A403" t="s">
        <v>21</v>
      </c>
      <c r="B403" t="s">
        <v>22</v>
      </c>
      <c r="C403">
        <v>100</v>
      </c>
      <c r="D403">
        <v>1</v>
      </c>
      <c r="E403">
        <v>0</v>
      </c>
      <c r="F403" t="s">
        <v>1658</v>
      </c>
      <c r="G403">
        <v>106</v>
      </c>
      <c r="H403">
        <v>6</v>
      </c>
      <c r="I403" t="s">
        <v>24</v>
      </c>
      <c r="J403" t="s">
        <v>1659</v>
      </c>
      <c r="K403" t="s">
        <v>711</v>
      </c>
      <c r="L403" t="s">
        <v>27</v>
      </c>
      <c r="M403" t="s">
        <v>28</v>
      </c>
      <c r="N403" t="s">
        <v>1660</v>
      </c>
      <c r="O403" t="s">
        <v>27</v>
      </c>
      <c r="P403" t="s">
        <v>39</v>
      </c>
      <c r="Q403" t="s">
        <v>31</v>
      </c>
      <c r="R403" t="s">
        <v>32</v>
      </c>
      <c r="S403" t="s">
        <v>28</v>
      </c>
      <c r="T403" t="s">
        <v>1661</v>
      </c>
      <c r="U403" t="s">
        <v>1660</v>
      </c>
    </row>
    <row r="404" spans="1:21" x14ac:dyDescent="0.25">
      <c r="A404" t="s">
        <v>33</v>
      </c>
      <c r="B404" t="s">
        <v>34</v>
      </c>
      <c r="C404">
        <v>200</v>
      </c>
      <c r="D404">
        <v>1</v>
      </c>
      <c r="E404">
        <v>0</v>
      </c>
      <c r="F404" t="s">
        <v>1662</v>
      </c>
      <c r="G404">
        <v>200</v>
      </c>
      <c r="H404">
        <v>0</v>
      </c>
      <c r="I404" t="s">
        <v>445</v>
      </c>
      <c r="J404" t="s">
        <v>1663</v>
      </c>
      <c r="K404" t="s">
        <v>67</v>
      </c>
      <c r="L404" t="s">
        <v>27</v>
      </c>
      <c r="M404" t="s">
        <v>28</v>
      </c>
      <c r="N404" t="s">
        <v>1664</v>
      </c>
      <c r="O404" t="s">
        <v>27</v>
      </c>
      <c r="P404" t="s">
        <v>39</v>
      </c>
      <c r="Q404" t="s">
        <v>31</v>
      </c>
      <c r="R404" t="s">
        <v>32</v>
      </c>
      <c r="S404" t="s">
        <v>28</v>
      </c>
      <c r="T404" t="s">
        <v>1665</v>
      </c>
      <c r="U404" t="s">
        <v>1666</v>
      </c>
    </row>
    <row r="405" spans="1:21" x14ac:dyDescent="0.25">
      <c r="A405" t="s">
        <v>63</v>
      </c>
      <c r="B405" t="s">
        <v>64</v>
      </c>
      <c r="C405">
        <v>100</v>
      </c>
      <c r="D405">
        <v>1</v>
      </c>
      <c r="E405">
        <v>0</v>
      </c>
      <c r="F405" t="s">
        <v>1667</v>
      </c>
      <c r="G405">
        <v>100</v>
      </c>
      <c r="H405">
        <v>0</v>
      </c>
      <c r="I405" t="s">
        <v>24</v>
      </c>
      <c r="J405" t="s">
        <v>1668</v>
      </c>
      <c r="K405" t="s">
        <v>384</v>
      </c>
      <c r="L405" t="s">
        <v>27</v>
      </c>
      <c r="M405" t="s">
        <v>28</v>
      </c>
      <c r="N405" t="s">
        <v>1664</v>
      </c>
      <c r="O405" t="s">
        <v>27</v>
      </c>
      <c r="P405" t="s">
        <v>39</v>
      </c>
      <c r="Q405" t="s">
        <v>31</v>
      </c>
      <c r="R405" t="s">
        <v>32</v>
      </c>
      <c r="S405" t="s">
        <v>28</v>
      </c>
      <c r="T405" t="s">
        <v>1669</v>
      </c>
      <c r="U405" t="s">
        <v>1664</v>
      </c>
    </row>
    <row r="406" spans="1:21" x14ac:dyDescent="0.25">
      <c r="A406" t="s">
        <v>21</v>
      </c>
      <c r="B406" t="s">
        <v>22</v>
      </c>
      <c r="C406">
        <v>100</v>
      </c>
      <c r="D406">
        <v>3</v>
      </c>
      <c r="E406">
        <v>0</v>
      </c>
      <c r="F406" t="s">
        <v>1670</v>
      </c>
      <c r="G406">
        <v>300</v>
      </c>
      <c r="H406">
        <v>0</v>
      </c>
      <c r="I406" t="s">
        <v>445</v>
      </c>
      <c r="J406" t="s">
        <v>1671</v>
      </c>
      <c r="K406" t="s">
        <v>321</v>
      </c>
      <c r="L406" t="s">
        <v>27</v>
      </c>
      <c r="M406" t="s">
        <v>28</v>
      </c>
      <c r="N406" t="s">
        <v>1672</v>
      </c>
      <c r="O406" t="s">
        <v>27</v>
      </c>
      <c r="P406" t="s">
        <v>30</v>
      </c>
      <c r="Q406" t="s">
        <v>31</v>
      </c>
      <c r="R406" t="s">
        <v>32</v>
      </c>
      <c r="S406" t="s">
        <v>28</v>
      </c>
      <c r="T406" t="s">
        <v>1673</v>
      </c>
      <c r="U406" t="s">
        <v>1672</v>
      </c>
    </row>
    <row r="407" spans="1:21" x14ac:dyDescent="0.25">
      <c r="A407" t="s">
        <v>58</v>
      </c>
      <c r="B407" t="s">
        <v>103</v>
      </c>
      <c r="C407">
        <v>95.19</v>
      </c>
      <c r="D407">
        <v>1</v>
      </c>
      <c r="E407">
        <v>0</v>
      </c>
      <c r="F407" t="s">
        <v>1674</v>
      </c>
      <c r="G407">
        <v>292.57</v>
      </c>
      <c r="H407">
        <v>7</v>
      </c>
      <c r="I407" t="s">
        <v>105</v>
      </c>
      <c r="J407" t="s">
        <v>1675</v>
      </c>
      <c r="K407" t="s">
        <v>1676</v>
      </c>
      <c r="L407" t="s">
        <v>1677</v>
      </c>
      <c r="M407" t="s">
        <v>1678</v>
      </c>
      <c r="N407" t="s">
        <v>1679</v>
      </c>
      <c r="O407" t="s">
        <v>27</v>
      </c>
      <c r="P407" t="s">
        <v>48</v>
      </c>
      <c r="Q407" t="s">
        <v>49</v>
      </c>
      <c r="R407" t="s">
        <v>50</v>
      </c>
      <c r="S407" t="s">
        <v>28</v>
      </c>
      <c r="T407" t="s">
        <v>1680</v>
      </c>
      <c r="U407" t="s">
        <v>1681</v>
      </c>
    </row>
    <row r="408" spans="1:21" x14ac:dyDescent="0.25">
      <c r="A408" t="s">
        <v>58</v>
      </c>
      <c r="B408" t="s">
        <v>103</v>
      </c>
      <c r="C408">
        <v>95.19</v>
      </c>
      <c r="D408">
        <v>1</v>
      </c>
      <c r="E408">
        <v>0</v>
      </c>
      <c r="F408" t="s">
        <v>1674</v>
      </c>
      <c r="G408">
        <v>292.57</v>
      </c>
      <c r="H408">
        <v>7</v>
      </c>
      <c r="I408" t="s">
        <v>105</v>
      </c>
      <c r="J408" t="s">
        <v>1675</v>
      </c>
      <c r="K408" t="s">
        <v>1676</v>
      </c>
      <c r="L408" t="s">
        <v>1677</v>
      </c>
      <c r="M408" t="s">
        <v>1678</v>
      </c>
      <c r="N408" t="s">
        <v>1679</v>
      </c>
      <c r="O408" t="s">
        <v>27</v>
      </c>
      <c r="P408" t="s">
        <v>48</v>
      </c>
      <c r="Q408" t="s">
        <v>49</v>
      </c>
      <c r="R408" t="s">
        <v>50</v>
      </c>
      <c r="S408" t="s">
        <v>28</v>
      </c>
      <c r="T408" t="s">
        <v>1680</v>
      </c>
      <c r="U408" t="s">
        <v>1681</v>
      </c>
    </row>
    <row r="409" spans="1:21" x14ac:dyDescent="0.25">
      <c r="A409" t="s">
        <v>58</v>
      </c>
      <c r="B409" t="s">
        <v>103</v>
      </c>
      <c r="C409">
        <v>95.19</v>
      </c>
      <c r="D409">
        <v>1</v>
      </c>
      <c r="E409">
        <v>0</v>
      </c>
      <c r="F409" t="s">
        <v>1674</v>
      </c>
      <c r="G409">
        <v>292.57</v>
      </c>
      <c r="H409">
        <v>7</v>
      </c>
      <c r="I409" t="s">
        <v>105</v>
      </c>
      <c r="J409" t="s">
        <v>1675</v>
      </c>
      <c r="K409" t="s">
        <v>1676</v>
      </c>
      <c r="L409" t="s">
        <v>1677</v>
      </c>
      <c r="M409" t="s">
        <v>1678</v>
      </c>
      <c r="N409" t="s">
        <v>1679</v>
      </c>
      <c r="O409" t="s">
        <v>27</v>
      </c>
      <c r="P409" t="s">
        <v>48</v>
      </c>
      <c r="Q409" t="s">
        <v>49</v>
      </c>
      <c r="R409" t="s">
        <v>50</v>
      </c>
      <c r="S409" t="s">
        <v>28</v>
      </c>
      <c r="T409" t="s">
        <v>1680</v>
      </c>
      <c r="U409" t="s">
        <v>1681</v>
      </c>
    </row>
    <row r="410" spans="1:21" x14ac:dyDescent="0.25">
      <c r="A410" t="s">
        <v>21</v>
      </c>
      <c r="B410" t="s">
        <v>22</v>
      </c>
      <c r="C410">
        <v>100</v>
      </c>
      <c r="D410">
        <v>1</v>
      </c>
      <c r="E410">
        <v>0</v>
      </c>
      <c r="F410" t="s">
        <v>1682</v>
      </c>
      <c r="G410">
        <v>106</v>
      </c>
      <c r="H410">
        <v>6</v>
      </c>
      <c r="I410" t="s">
        <v>140</v>
      </c>
      <c r="J410" t="s">
        <v>1683</v>
      </c>
      <c r="K410" t="s">
        <v>350</v>
      </c>
      <c r="L410" t="s">
        <v>27</v>
      </c>
      <c r="M410" t="s">
        <v>28</v>
      </c>
      <c r="N410" t="s">
        <v>1684</v>
      </c>
      <c r="O410" t="s">
        <v>27</v>
      </c>
      <c r="P410" t="s">
        <v>30</v>
      </c>
      <c r="Q410" t="s">
        <v>31</v>
      </c>
      <c r="R410" t="s">
        <v>32</v>
      </c>
      <c r="S410" t="s">
        <v>28</v>
      </c>
      <c r="T410" t="s">
        <v>1685</v>
      </c>
      <c r="U410" t="s">
        <v>1686</v>
      </c>
    </row>
    <row r="411" spans="1:21" x14ac:dyDescent="0.25">
      <c r="A411" t="s">
        <v>33</v>
      </c>
      <c r="B411" t="s">
        <v>34</v>
      </c>
      <c r="C411">
        <v>200</v>
      </c>
      <c r="D411">
        <v>1</v>
      </c>
      <c r="E411">
        <v>0</v>
      </c>
      <c r="F411" t="s">
        <v>1687</v>
      </c>
      <c r="G411">
        <v>200</v>
      </c>
      <c r="H411">
        <v>0</v>
      </c>
      <c r="I411" t="s">
        <v>445</v>
      </c>
      <c r="J411" t="s">
        <v>1688</v>
      </c>
      <c r="K411" t="s">
        <v>1029</v>
      </c>
      <c r="L411" t="s">
        <v>27</v>
      </c>
      <c r="M411" t="s">
        <v>28</v>
      </c>
      <c r="N411" t="s">
        <v>1689</v>
      </c>
      <c r="O411" t="s">
        <v>27</v>
      </c>
      <c r="P411" t="s">
        <v>39</v>
      </c>
      <c r="Q411" t="s">
        <v>31</v>
      </c>
      <c r="R411" t="s">
        <v>32</v>
      </c>
      <c r="S411" t="s">
        <v>28</v>
      </c>
      <c r="T411" t="s">
        <v>1690</v>
      </c>
      <c r="U411" t="s">
        <v>1691</v>
      </c>
    </row>
    <row r="412" spans="1:21" x14ac:dyDescent="0.25">
      <c r="A412" t="s">
        <v>33</v>
      </c>
      <c r="B412" t="s">
        <v>34</v>
      </c>
      <c r="C412">
        <v>200</v>
      </c>
      <c r="D412">
        <v>1</v>
      </c>
      <c r="E412">
        <v>0</v>
      </c>
      <c r="F412" t="s">
        <v>1692</v>
      </c>
      <c r="G412">
        <v>200</v>
      </c>
      <c r="H412">
        <v>0</v>
      </c>
      <c r="I412" t="s">
        <v>24</v>
      </c>
      <c r="J412" t="s">
        <v>1693</v>
      </c>
      <c r="K412" t="s">
        <v>213</v>
      </c>
      <c r="L412" t="s">
        <v>27</v>
      </c>
      <c r="M412" t="s">
        <v>28</v>
      </c>
      <c r="N412" t="s">
        <v>1694</v>
      </c>
      <c r="O412" t="s">
        <v>27</v>
      </c>
      <c r="P412" t="s">
        <v>39</v>
      </c>
      <c r="Q412" t="s">
        <v>31</v>
      </c>
      <c r="R412" t="s">
        <v>32</v>
      </c>
      <c r="S412" t="s">
        <v>28</v>
      </c>
      <c r="T412" t="s">
        <v>1695</v>
      </c>
      <c r="U412" t="s">
        <v>1694</v>
      </c>
    </row>
    <row r="413" spans="1:21" x14ac:dyDescent="0.25">
      <c r="A413" t="s">
        <v>143</v>
      </c>
      <c r="B413" t="s">
        <v>144</v>
      </c>
      <c r="C413">
        <v>200</v>
      </c>
      <c r="D413">
        <v>1</v>
      </c>
      <c r="E413">
        <v>0</v>
      </c>
      <c r="F413" t="s">
        <v>1696</v>
      </c>
      <c r="G413">
        <v>200</v>
      </c>
      <c r="H413">
        <v>0</v>
      </c>
      <c r="I413" t="s">
        <v>140</v>
      </c>
      <c r="J413" t="s">
        <v>1697</v>
      </c>
      <c r="K413" t="s">
        <v>1107</v>
      </c>
      <c r="L413" t="s">
        <v>27</v>
      </c>
      <c r="M413" t="s">
        <v>28</v>
      </c>
      <c r="N413" t="s">
        <v>1698</v>
      </c>
      <c r="O413" t="s">
        <v>27</v>
      </c>
      <c r="P413" t="s">
        <v>30</v>
      </c>
      <c r="Q413" t="s">
        <v>31</v>
      </c>
      <c r="R413" t="s">
        <v>32</v>
      </c>
      <c r="S413" t="s">
        <v>28</v>
      </c>
      <c r="T413" t="s">
        <v>1699</v>
      </c>
      <c r="U413" t="s">
        <v>1698</v>
      </c>
    </row>
    <row r="414" spans="1:21" x14ac:dyDescent="0.25">
      <c r="A414" t="s">
        <v>63</v>
      </c>
      <c r="B414" t="s">
        <v>64</v>
      </c>
      <c r="C414">
        <v>100</v>
      </c>
      <c r="D414">
        <v>2</v>
      </c>
      <c r="E414">
        <v>0</v>
      </c>
      <c r="F414" t="s">
        <v>1700</v>
      </c>
      <c r="G414">
        <v>200</v>
      </c>
      <c r="H414">
        <v>0</v>
      </c>
      <c r="I414" t="s">
        <v>445</v>
      </c>
      <c r="J414" t="s">
        <v>1701</v>
      </c>
      <c r="K414" t="s">
        <v>54</v>
      </c>
      <c r="L414" t="s">
        <v>27</v>
      </c>
      <c r="M414" t="s">
        <v>28</v>
      </c>
      <c r="N414" t="s">
        <v>1702</v>
      </c>
      <c r="O414" t="s">
        <v>27</v>
      </c>
      <c r="P414" t="s">
        <v>39</v>
      </c>
      <c r="Q414" t="s">
        <v>31</v>
      </c>
      <c r="R414" t="s">
        <v>32</v>
      </c>
      <c r="S414" t="s">
        <v>28</v>
      </c>
      <c r="T414" t="s">
        <v>1703</v>
      </c>
      <c r="U414" t="s">
        <v>1702</v>
      </c>
    </row>
    <row r="415" spans="1:21" x14ac:dyDescent="0.25">
      <c r="A415" t="s">
        <v>76</v>
      </c>
      <c r="B415" t="s">
        <v>77</v>
      </c>
      <c r="C415">
        <v>250</v>
      </c>
      <c r="D415">
        <v>1</v>
      </c>
      <c r="E415">
        <v>0</v>
      </c>
      <c r="F415" t="s">
        <v>1704</v>
      </c>
      <c r="G415">
        <v>250</v>
      </c>
      <c r="H415">
        <v>0</v>
      </c>
      <c r="I415" t="s">
        <v>24</v>
      </c>
      <c r="J415" t="s">
        <v>1705</v>
      </c>
      <c r="K415" t="s">
        <v>1706</v>
      </c>
      <c r="L415" t="s">
        <v>1707</v>
      </c>
      <c r="M415" t="s">
        <v>1708</v>
      </c>
      <c r="N415" t="s">
        <v>1709</v>
      </c>
      <c r="O415" t="s">
        <v>27</v>
      </c>
      <c r="P415" t="s">
        <v>193</v>
      </c>
      <c r="Q415" t="s">
        <v>85</v>
      </c>
      <c r="R415" t="s">
        <v>86</v>
      </c>
      <c r="S415" t="s">
        <v>28</v>
      </c>
      <c r="T415" t="s">
        <v>1710</v>
      </c>
      <c r="U415" t="s">
        <v>1709</v>
      </c>
    </row>
    <row r="416" spans="1:21" x14ac:dyDescent="0.25">
      <c r="A416" t="s">
        <v>94</v>
      </c>
      <c r="B416" t="s">
        <v>95</v>
      </c>
      <c r="C416">
        <v>72.8</v>
      </c>
      <c r="D416">
        <v>1</v>
      </c>
      <c r="E416">
        <v>0</v>
      </c>
      <c r="F416" t="s">
        <v>1711</v>
      </c>
      <c r="G416">
        <v>282.39999999999998</v>
      </c>
      <c r="H416">
        <v>64</v>
      </c>
      <c r="I416" t="s">
        <v>24</v>
      </c>
      <c r="J416" t="s">
        <v>1712</v>
      </c>
      <c r="K416" t="s">
        <v>1713</v>
      </c>
      <c r="L416" t="s">
        <v>1714</v>
      </c>
      <c r="M416" t="s">
        <v>1715</v>
      </c>
      <c r="N416" t="s">
        <v>1716</v>
      </c>
      <c r="O416" t="s">
        <v>27</v>
      </c>
      <c r="P416" t="s">
        <v>48</v>
      </c>
      <c r="Q416" t="s">
        <v>49</v>
      </c>
      <c r="R416" t="s">
        <v>50</v>
      </c>
      <c r="S416" t="s">
        <v>28</v>
      </c>
      <c r="T416" t="s">
        <v>1717</v>
      </c>
      <c r="U416" t="s">
        <v>1718</v>
      </c>
    </row>
    <row r="417" spans="1:21" x14ac:dyDescent="0.25">
      <c r="A417" t="s">
        <v>94</v>
      </c>
      <c r="B417" t="s">
        <v>95</v>
      </c>
      <c r="C417">
        <v>72.8</v>
      </c>
      <c r="D417">
        <v>1</v>
      </c>
      <c r="E417">
        <v>0</v>
      </c>
      <c r="F417" t="s">
        <v>1711</v>
      </c>
      <c r="G417">
        <v>282.39999999999998</v>
      </c>
      <c r="H417">
        <v>64</v>
      </c>
      <c r="I417" t="s">
        <v>24</v>
      </c>
      <c r="J417" t="s">
        <v>1712</v>
      </c>
      <c r="K417" t="s">
        <v>1713</v>
      </c>
      <c r="L417" t="s">
        <v>1714</v>
      </c>
      <c r="M417" t="s">
        <v>1715</v>
      </c>
      <c r="N417" t="s">
        <v>1716</v>
      </c>
      <c r="O417" t="s">
        <v>27</v>
      </c>
      <c r="P417" t="s">
        <v>48</v>
      </c>
      <c r="Q417" t="s">
        <v>49</v>
      </c>
      <c r="R417" t="s">
        <v>50</v>
      </c>
      <c r="S417" t="s">
        <v>28</v>
      </c>
      <c r="T417" t="s">
        <v>1717</v>
      </c>
      <c r="U417" t="s">
        <v>1718</v>
      </c>
    </row>
    <row r="418" spans="1:21" x14ac:dyDescent="0.25">
      <c r="A418" t="s">
        <v>94</v>
      </c>
      <c r="B418" t="s">
        <v>95</v>
      </c>
      <c r="C418">
        <v>72.8</v>
      </c>
      <c r="D418">
        <v>1</v>
      </c>
      <c r="E418">
        <v>0</v>
      </c>
      <c r="F418" t="s">
        <v>1711</v>
      </c>
      <c r="G418">
        <v>282.39999999999998</v>
      </c>
      <c r="H418">
        <v>64</v>
      </c>
      <c r="I418" t="s">
        <v>24</v>
      </c>
      <c r="J418" t="s">
        <v>1712</v>
      </c>
      <c r="K418" t="s">
        <v>1713</v>
      </c>
      <c r="L418" t="s">
        <v>1714</v>
      </c>
      <c r="M418" t="s">
        <v>1715</v>
      </c>
      <c r="N418" t="s">
        <v>1716</v>
      </c>
      <c r="O418" t="s">
        <v>27</v>
      </c>
      <c r="P418" t="s">
        <v>48</v>
      </c>
      <c r="Q418" t="s">
        <v>49</v>
      </c>
      <c r="R418" t="s">
        <v>50</v>
      </c>
      <c r="S418" t="s">
        <v>28</v>
      </c>
      <c r="T418" t="s">
        <v>1717</v>
      </c>
      <c r="U418" t="s">
        <v>1718</v>
      </c>
    </row>
    <row r="419" spans="1:21" x14ac:dyDescent="0.25">
      <c r="A419" t="s">
        <v>195</v>
      </c>
      <c r="B419" t="s">
        <v>1003</v>
      </c>
      <c r="C419">
        <v>119.84</v>
      </c>
      <c r="D419">
        <v>1</v>
      </c>
      <c r="E419">
        <v>0</v>
      </c>
      <c r="F419" t="s">
        <v>1719</v>
      </c>
      <c r="G419">
        <v>119.84</v>
      </c>
      <c r="H419">
        <v>0</v>
      </c>
      <c r="I419" t="s">
        <v>628</v>
      </c>
      <c r="J419" t="s">
        <v>1720</v>
      </c>
      <c r="K419" t="s">
        <v>1721</v>
      </c>
      <c r="L419" t="s">
        <v>1722</v>
      </c>
      <c r="M419" t="s">
        <v>1723</v>
      </c>
      <c r="N419" t="s">
        <v>1724</v>
      </c>
      <c r="O419" t="s">
        <v>27</v>
      </c>
      <c r="P419" t="s">
        <v>48</v>
      </c>
      <c r="Q419" t="s">
        <v>49</v>
      </c>
      <c r="R419" t="s">
        <v>50</v>
      </c>
      <c r="S419" t="s">
        <v>28</v>
      </c>
      <c r="T419" t="s">
        <v>1725</v>
      </c>
      <c r="U419" t="s">
        <v>1726</v>
      </c>
    </row>
    <row r="420" spans="1:21" x14ac:dyDescent="0.25">
      <c r="A420" t="s">
        <v>94</v>
      </c>
      <c r="B420" t="s">
        <v>95</v>
      </c>
      <c r="C420">
        <v>62.4</v>
      </c>
      <c r="D420">
        <v>1</v>
      </c>
      <c r="E420">
        <v>0</v>
      </c>
      <c r="F420" t="s">
        <v>1727</v>
      </c>
      <c r="G420">
        <v>67.400000000000006</v>
      </c>
      <c r="H420">
        <v>5</v>
      </c>
      <c r="I420" t="s">
        <v>24</v>
      </c>
      <c r="J420" t="s">
        <v>1728</v>
      </c>
      <c r="K420" t="s">
        <v>1729</v>
      </c>
      <c r="L420" t="s">
        <v>1730</v>
      </c>
      <c r="M420" t="s">
        <v>1731</v>
      </c>
      <c r="N420" t="s">
        <v>1732</v>
      </c>
      <c r="O420" t="s">
        <v>27</v>
      </c>
      <c r="P420" t="s">
        <v>48</v>
      </c>
      <c r="Q420" t="s">
        <v>49</v>
      </c>
      <c r="R420" t="s">
        <v>50</v>
      </c>
      <c r="S420" t="s">
        <v>28</v>
      </c>
      <c r="T420" t="s">
        <v>1733</v>
      </c>
      <c r="U420" t="s">
        <v>1732</v>
      </c>
    </row>
    <row r="421" spans="1:21" x14ac:dyDescent="0.25">
      <c r="A421" t="s">
        <v>456</v>
      </c>
      <c r="B421" t="s">
        <v>1178</v>
      </c>
      <c r="C421">
        <v>127.33</v>
      </c>
      <c r="D421">
        <v>1</v>
      </c>
      <c r="E421">
        <v>0</v>
      </c>
      <c r="F421" t="s">
        <v>1734</v>
      </c>
      <c r="G421">
        <v>259.66000000000003</v>
      </c>
      <c r="H421">
        <v>5</v>
      </c>
      <c r="I421" t="s">
        <v>628</v>
      </c>
      <c r="J421" t="s">
        <v>1735</v>
      </c>
      <c r="K421" t="s">
        <v>1736</v>
      </c>
      <c r="L421" t="s">
        <v>1737</v>
      </c>
      <c r="M421" t="s">
        <v>1738</v>
      </c>
      <c r="N421" t="s">
        <v>1739</v>
      </c>
      <c r="O421" t="s">
        <v>27</v>
      </c>
      <c r="P421" t="s">
        <v>48</v>
      </c>
      <c r="Q421" t="s">
        <v>49</v>
      </c>
      <c r="R421" t="s">
        <v>50</v>
      </c>
      <c r="S421" t="s">
        <v>28</v>
      </c>
      <c r="T421" t="s">
        <v>1740</v>
      </c>
      <c r="U421" t="s">
        <v>1739</v>
      </c>
    </row>
    <row r="422" spans="1:21" x14ac:dyDescent="0.25">
      <c r="A422" t="s">
        <v>456</v>
      </c>
      <c r="B422" t="s">
        <v>1178</v>
      </c>
      <c r="C422">
        <v>127.33</v>
      </c>
      <c r="D422">
        <v>1</v>
      </c>
      <c r="E422">
        <v>0</v>
      </c>
      <c r="F422" t="s">
        <v>1734</v>
      </c>
      <c r="G422">
        <v>259.66000000000003</v>
      </c>
      <c r="H422">
        <v>5</v>
      </c>
      <c r="I422" t="s">
        <v>628</v>
      </c>
      <c r="J422" t="s">
        <v>1735</v>
      </c>
      <c r="K422" t="s">
        <v>1736</v>
      </c>
      <c r="L422" t="s">
        <v>1737</v>
      </c>
      <c r="M422" t="s">
        <v>1738</v>
      </c>
      <c r="N422" t="s">
        <v>1739</v>
      </c>
      <c r="O422" t="s">
        <v>27</v>
      </c>
      <c r="P422" t="s">
        <v>48</v>
      </c>
      <c r="Q422" t="s">
        <v>49</v>
      </c>
      <c r="R422" t="s">
        <v>50</v>
      </c>
      <c r="S422" t="s">
        <v>28</v>
      </c>
      <c r="T422" t="s">
        <v>1740</v>
      </c>
      <c r="U422" t="s">
        <v>1739</v>
      </c>
    </row>
    <row r="423" spans="1:21" x14ac:dyDescent="0.25">
      <c r="A423" t="s">
        <v>195</v>
      </c>
      <c r="B423" t="s">
        <v>196</v>
      </c>
      <c r="C423">
        <v>230</v>
      </c>
      <c r="D423">
        <v>1</v>
      </c>
      <c r="E423">
        <v>0</v>
      </c>
      <c r="F423" t="s">
        <v>1741</v>
      </c>
      <c r="G423">
        <v>259</v>
      </c>
      <c r="H423">
        <v>29</v>
      </c>
      <c r="I423" t="s">
        <v>445</v>
      </c>
      <c r="J423" t="s">
        <v>1742</v>
      </c>
      <c r="K423" t="s">
        <v>1743</v>
      </c>
      <c r="L423" t="s">
        <v>1677</v>
      </c>
      <c r="M423" t="s">
        <v>1744</v>
      </c>
      <c r="N423" t="s">
        <v>1745</v>
      </c>
      <c r="O423" t="s">
        <v>27</v>
      </c>
      <c r="P423" t="s">
        <v>193</v>
      </c>
      <c r="Q423" t="s">
        <v>85</v>
      </c>
      <c r="R423" t="s">
        <v>86</v>
      </c>
      <c r="S423" t="s">
        <v>28</v>
      </c>
      <c r="T423" t="s">
        <v>1746</v>
      </c>
      <c r="U423" t="s">
        <v>1747</v>
      </c>
    </row>
    <row r="424" spans="1:21" x14ac:dyDescent="0.25">
      <c r="A424" t="s">
        <v>21</v>
      </c>
      <c r="B424" t="s">
        <v>22</v>
      </c>
      <c r="C424">
        <v>100</v>
      </c>
      <c r="D424">
        <v>1</v>
      </c>
      <c r="E424">
        <v>0</v>
      </c>
      <c r="F424" t="s">
        <v>1748</v>
      </c>
      <c r="G424">
        <v>145</v>
      </c>
      <c r="H424">
        <v>45</v>
      </c>
      <c r="I424" t="s">
        <v>445</v>
      </c>
      <c r="J424" t="s">
        <v>1749</v>
      </c>
      <c r="K424" t="s">
        <v>418</v>
      </c>
      <c r="L424" t="s">
        <v>27</v>
      </c>
      <c r="M424" t="s">
        <v>28</v>
      </c>
      <c r="N424" t="s">
        <v>1750</v>
      </c>
      <c r="O424" t="s">
        <v>27</v>
      </c>
      <c r="P424" t="s">
        <v>39</v>
      </c>
      <c r="Q424" t="s">
        <v>31</v>
      </c>
      <c r="R424" t="s">
        <v>32</v>
      </c>
      <c r="S424" t="s">
        <v>28</v>
      </c>
      <c r="T424" t="s">
        <v>1751</v>
      </c>
      <c r="U424" t="s">
        <v>1750</v>
      </c>
    </row>
    <row r="425" spans="1:21" x14ac:dyDescent="0.25">
      <c r="A425" t="s">
        <v>21</v>
      </c>
      <c r="B425" t="s">
        <v>22</v>
      </c>
      <c r="C425">
        <v>100</v>
      </c>
      <c r="D425">
        <v>1</v>
      </c>
      <c r="E425">
        <v>0</v>
      </c>
      <c r="F425" t="s">
        <v>1752</v>
      </c>
      <c r="G425">
        <v>106</v>
      </c>
      <c r="H425">
        <v>6</v>
      </c>
      <c r="I425" t="s">
        <v>24</v>
      </c>
      <c r="J425" t="s">
        <v>1753</v>
      </c>
      <c r="K425" t="s">
        <v>237</v>
      </c>
      <c r="L425" t="s">
        <v>27</v>
      </c>
      <c r="M425" t="s">
        <v>28</v>
      </c>
      <c r="N425" t="s">
        <v>1754</v>
      </c>
      <c r="O425" t="s">
        <v>27</v>
      </c>
      <c r="P425" t="s">
        <v>39</v>
      </c>
      <c r="Q425" t="s">
        <v>31</v>
      </c>
      <c r="R425" t="s">
        <v>32</v>
      </c>
      <c r="S425" t="s">
        <v>28</v>
      </c>
      <c r="T425" t="s">
        <v>1755</v>
      </c>
      <c r="U425" t="s">
        <v>1754</v>
      </c>
    </row>
    <row r="426" spans="1:21" x14ac:dyDescent="0.25">
      <c r="A426" t="s">
        <v>33</v>
      </c>
      <c r="B426" t="s">
        <v>34</v>
      </c>
      <c r="C426">
        <v>200</v>
      </c>
      <c r="D426">
        <v>1</v>
      </c>
      <c r="E426">
        <v>0</v>
      </c>
      <c r="F426" t="s">
        <v>1756</v>
      </c>
      <c r="G426">
        <v>200</v>
      </c>
      <c r="H426">
        <v>0</v>
      </c>
      <c r="I426" t="s">
        <v>445</v>
      </c>
      <c r="J426" t="s">
        <v>1757</v>
      </c>
      <c r="K426" t="s">
        <v>250</v>
      </c>
      <c r="L426" t="s">
        <v>27</v>
      </c>
      <c r="M426" t="s">
        <v>28</v>
      </c>
      <c r="N426" t="s">
        <v>1758</v>
      </c>
      <c r="O426" t="s">
        <v>27</v>
      </c>
      <c r="P426" t="s">
        <v>39</v>
      </c>
      <c r="Q426" t="s">
        <v>31</v>
      </c>
      <c r="R426" t="s">
        <v>32</v>
      </c>
      <c r="S426" t="s">
        <v>28</v>
      </c>
      <c r="T426" t="s">
        <v>1759</v>
      </c>
      <c r="U426" t="s">
        <v>1758</v>
      </c>
    </row>
    <row r="427" spans="1:21" x14ac:dyDescent="0.25">
      <c r="A427" t="s">
        <v>70</v>
      </c>
      <c r="B427" t="s">
        <v>70</v>
      </c>
      <c r="C427">
        <v>330</v>
      </c>
      <c r="D427">
        <v>1</v>
      </c>
      <c r="E427">
        <v>0</v>
      </c>
      <c r="F427" t="s">
        <v>1760</v>
      </c>
      <c r="G427">
        <v>330</v>
      </c>
      <c r="H427">
        <v>0</v>
      </c>
      <c r="I427" t="s">
        <v>445</v>
      </c>
      <c r="J427" t="s">
        <v>1761</v>
      </c>
      <c r="K427" t="s">
        <v>37</v>
      </c>
      <c r="L427" t="s">
        <v>27</v>
      </c>
      <c r="M427" t="s">
        <v>28</v>
      </c>
      <c r="N427" t="s">
        <v>1758</v>
      </c>
      <c r="O427" t="s">
        <v>27</v>
      </c>
      <c r="P427" t="s">
        <v>39</v>
      </c>
      <c r="Q427" t="s">
        <v>31</v>
      </c>
      <c r="R427" t="s">
        <v>32</v>
      </c>
      <c r="S427" t="s">
        <v>28</v>
      </c>
      <c r="T427" t="s">
        <v>1762</v>
      </c>
      <c r="U427" t="s">
        <v>1758</v>
      </c>
    </row>
    <row r="428" spans="1:21" x14ac:dyDescent="0.25">
      <c r="A428" t="s">
        <v>456</v>
      </c>
      <c r="B428" t="s">
        <v>1178</v>
      </c>
      <c r="C428">
        <v>119.59</v>
      </c>
      <c r="D428">
        <v>1</v>
      </c>
      <c r="E428">
        <v>0</v>
      </c>
      <c r="F428" t="s">
        <v>1763</v>
      </c>
      <c r="G428">
        <v>119.59</v>
      </c>
      <c r="H428">
        <v>0</v>
      </c>
      <c r="I428" t="s">
        <v>628</v>
      </c>
      <c r="J428" t="s">
        <v>1764</v>
      </c>
      <c r="K428" t="s">
        <v>1765</v>
      </c>
      <c r="L428" t="s">
        <v>1766</v>
      </c>
      <c r="M428" t="s">
        <v>1767</v>
      </c>
      <c r="N428" t="s">
        <v>1758</v>
      </c>
      <c r="O428" t="s">
        <v>27</v>
      </c>
      <c r="P428" t="s">
        <v>48</v>
      </c>
      <c r="Q428" t="s">
        <v>49</v>
      </c>
      <c r="R428" t="s">
        <v>50</v>
      </c>
      <c r="S428" t="s">
        <v>28</v>
      </c>
      <c r="T428" t="s">
        <v>1768</v>
      </c>
      <c r="U428" t="s">
        <v>1769</v>
      </c>
    </row>
    <row r="429" spans="1:21" x14ac:dyDescent="0.25">
      <c r="A429" t="s">
        <v>58</v>
      </c>
      <c r="B429" t="s">
        <v>58</v>
      </c>
      <c r="C429">
        <v>100</v>
      </c>
      <c r="D429">
        <v>1</v>
      </c>
      <c r="E429">
        <v>0</v>
      </c>
      <c r="F429" t="s">
        <v>1770</v>
      </c>
      <c r="G429">
        <v>200</v>
      </c>
      <c r="H429">
        <v>0</v>
      </c>
      <c r="I429" t="s">
        <v>445</v>
      </c>
      <c r="J429" t="s">
        <v>1771</v>
      </c>
      <c r="K429" t="s">
        <v>1772</v>
      </c>
      <c r="L429" t="s">
        <v>27</v>
      </c>
      <c r="M429" t="s">
        <v>28</v>
      </c>
      <c r="N429" t="s">
        <v>1773</v>
      </c>
      <c r="O429" t="s">
        <v>27</v>
      </c>
      <c r="P429" t="s">
        <v>39</v>
      </c>
      <c r="Q429" t="s">
        <v>31</v>
      </c>
      <c r="R429" t="s">
        <v>32</v>
      </c>
      <c r="S429" t="s">
        <v>28</v>
      </c>
      <c r="T429" t="s">
        <v>1774</v>
      </c>
      <c r="U429" t="s">
        <v>1773</v>
      </c>
    </row>
    <row r="430" spans="1:21" x14ac:dyDescent="0.25">
      <c r="A430" t="s">
        <v>21</v>
      </c>
      <c r="B430" t="s">
        <v>22</v>
      </c>
      <c r="C430">
        <v>100</v>
      </c>
      <c r="D430">
        <v>1</v>
      </c>
      <c r="E430">
        <v>0</v>
      </c>
      <c r="F430" t="s">
        <v>1770</v>
      </c>
      <c r="G430">
        <v>200</v>
      </c>
      <c r="H430">
        <v>0</v>
      </c>
      <c r="I430" t="s">
        <v>445</v>
      </c>
      <c r="J430" t="s">
        <v>1771</v>
      </c>
      <c r="K430" t="s">
        <v>1772</v>
      </c>
      <c r="L430" t="s">
        <v>27</v>
      </c>
      <c r="M430" t="s">
        <v>28</v>
      </c>
      <c r="N430" t="s">
        <v>1773</v>
      </c>
      <c r="O430" t="s">
        <v>27</v>
      </c>
      <c r="P430" t="s">
        <v>39</v>
      </c>
      <c r="Q430" t="s">
        <v>31</v>
      </c>
      <c r="R430" t="s">
        <v>32</v>
      </c>
      <c r="S430" t="s">
        <v>28</v>
      </c>
      <c r="T430" t="s">
        <v>1774</v>
      </c>
      <c r="U430" t="s">
        <v>1773</v>
      </c>
    </row>
    <row r="431" spans="1:21" x14ac:dyDescent="0.25">
      <c r="A431" t="s">
        <v>58</v>
      </c>
      <c r="B431" t="s">
        <v>58</v>
      </c>
      <c r="C431">
        <v>100</v>
      </c>
      <c r="D431">
        <v>1</v>
      </c>
      <c r="E431">
        <v>0</v>
      </c>
      <c r="F431" t="s">
        <v>1775</v>
      </c>
      <c r="G431">
        <v>106</v>
      </c>
      <c r="H431">
        <v>6</v>
      </c>
      <c r="I431" t="s">
        <v>140</v>
      </c>
      <c r="J431" t="s">
        <v>1776</v>
      </c>
      <c r="K431" t="s">
        <v>209</v>
      </c>
      <c r="L431" t="s">
        <v>27</v>
      </c>
      <c r="M431" t="s">
        <v>28</v>
      </c>
      <c r="N431" t="s">
        <v>1777</v>
      </c>
      <c r="O431" t="s">
        <v>27</v>
      </c>
      <c r="P431" t="s">
        <v>30</v>
      </c>
      <c r="Q431" t="s">
        <v>31</v>
      </c>
      <c r="R431" t="s">
        <v>32</v>
      </c>
      <c r="S431" t="s">
        <v>28</v>
      </c>
      <c r="T431" t="s">
        <v>1778</v>
      </c>
      <c r="U431" t="s">
        <v>1777</v>
      </c>
    </row>
    <row r="432" spans="1:21" x14ac:dyDescent="0.25">
      <c r="A432" t="s">
        <v>21</v>
      </c>
      <c r="B432" t="s">
        <v>22</v>
      </c>
      <c r="C432">
        <v>100</v>
      </c>
      <c r="D432">
        <v>1</v>
      </c>
      <c r="E432">
        <v>0</v>
      </c>
      <c r="F432" t="s">
        <v>1779</v>
      </c>
      <c r="G432">
        <v>300</v>
      </c>
      <c r="H432">
        <v>0</v>
      </c>
      <c r="I432" t="s">
        <v>140</v>
      </c>
      <c r="J432" t="s">
        <v>1780</v>
      </c>
      <c r="K432" t="s">
        <v>701</v>
      </c>
      <c r="L432" t="s">
        <v>27</v>
      </c>
      <c r="M432" t="s">
        <v>28</v>
      </c>
      <c r="N432" t="s">
        <v>1781</v>
      </c>
      <c r="O432" t="s">
        <v>27</v>
      </c>
      <c r="P432" t="s">
        <v>30</v>
      </c>
      <c r="Q432" t="s">
        <v>31</v>
      </c>
      <c r="R432" t="s">
        <v>32</v>
      </c>
      <c r="S432" t="s">
        <v>28</v>
      </c>
      <c r="T432" t="s">
        <v>1782</v>
      </c>
      <c r="U432" t="s">
        <v>1781</v>
      </c>
    </row>
    <row r="433" spans="1:21" x14ac:dyDescent="0.25">
      <c r="A433" t="s">
        <v>63</v>
      </c>
      <c r="B433" t="s">
        <v>64</v>
      </c>
      <c r="C433">
        <v>100</v>
      </c>
      <c r="D433">
        <v>2</v>
      </c>
      <c r="E433">
        <v>0</v>
      </c>
      <c r="F433" t="s">
        <v>1779</v>
      </c>
      <c r="G433">
        <v>300</v>
      </c>
      <c r="H433">
        <v>0</v>
      </c>
      <c r="I433" t="s">
        <v>140</v>
      </c>
      <c r="J433" t="s">
        <v>1780</v>
      </c>
      <c r="K433" t="s">
        <v>701</v>
      </c>
      <c r="L433" t="s">
        <v>27</v>
      </c>
      <c r="M433" t="s">
        <v>28</v>
      </c>
      <c r="N433" t="s">
        <v>1781</v>
      </c>
      <c r="O433" t="s">
        <v>27</v>
      </c>
      <c r="P433" t="s">
        <v>30</v>
      </c>
      <c r="Q433" t="s">
        <v>31</v>
      </c>
      <c r="R433" t="s">
        <v>32</v>
      </c>
      <c r="S433" t="s">
        <v>28</v>
      </c>
      <c r="T433" t="s">
        <v>1782</v>
      </c>
      <c r="U433" t="s">
        <v>1781</v>
      </c>
    </row>
    <row r="434" spans="1:21" x14ac:dyDescent="0.25">
      <c r="A434" t="s">
        <v>33</v>
      </c>
      <c r="B434" t="s">
        <v>34</v>
      </c>
      <c r="C434">
        <v>200</v>
      </c>
      <c r="D434">
        <v>1</v>
      </c>
      <c r="E434">
        <v>0</v>
      </c>
      <c r="F434" t="s">
        <v>1783</v>
      </c>
      <c r="G434">
        <v>200</v>
      </c>
      <c r="H434">
        <v>0</v>
      </c>
      <c r="I434" t="s">
        <v>24</v>
      </c>
      <c r="J434" t="s">
        <v>1784</v>
      </c>
      <c r="K434" t="s">
        <v>384</v>
      </c>
      <c r="L434" t="s">
        <v>27</v>
      </c>
      <c r="M434" t="s">
        <v>28</v>
      </c>
      <c r="N434" t="s">
        <v>1785</v>
      </c>
      <c r="O434" t="s">
        <v>27</v>
      </c>
      <c r="P434" t="s">
        <v>39</v>
      </c>
      <c r="Q434" t="s">
        <v>31</v>
      </c>
      <c r="R434" t="s">
        <v>32</v>
      </c>
      <c r="S434" t="s">
        <v>28</v>
      </c>
      <c r="T434" t="s">
        <v>1786</v>
      </c>
      <c r="U434" t="s">
        <v>1785</v>
      </c>
    </row>
    <row r="435" spans="1:21" x14ac:dyDescent="0.25">
      <c r="A435" t="s">
        <v>143</v>
      </c>
      <c r="B435" t="s">
        <v>144</v>
      </c>
      <c r="C435">
        <v>200</v>
      </c>
      <c r="D435">
        <v>1</v>
      </c>
      <c r="E435">
        <v>0</v>
      </c>
      <c r="F435" t="s">
        <v>1787</v>
      </c>
      <c r="G435">
        <v>200</v>
      </c>
      <c r="H435">
        <v>0</v>
      </c>
      <c r="I435" t="s">
        <v>140</v>
      </c>
      <c r="J435" t="s">
        <v>1788</v>
      </c>
      <c r="K435" t="s">
        <v>89</v>
      </c>
      <c r="L435" t="s">
        <v>27</v>
      </c>
      <c r="M435" t="s">
        <v>28</v>
      </c>
      <c r="N435" t="s">
        <v>1789</v>
      </c>
      <c r="O435" t="s">
        <v>27</v>
      </c>
      <c r="P435" t="s">
        <v>30</v>
      </c>
      <c r="Q435" t="s">
        <v>31</v>
      </c>
      <c r="R435" t="s">
        <v>32</v>
      </c>
      <c r="S435" t="s">
        <v>28</v>
      </c>
      <c r="T435" t="s">
        <v>1790</v>
      </c>
      <c r="U435" t="s">
        <v>1789</v>
      </c>
    </row>
    <row r="436" spans="1:21" x14ac:dyDescent="0.25">
      <c r="A436" t="s">
        <v>33</v>
      </c>
      <c r="B436" t="s">
        <v>34</v>
      </c>
      <c r="C436">
        <v>200</v>
      </c>
      <c r="D436">
        <v>1</v>
      </c>
      <c r="E436">
        <v>0</v>
      </c>
      <c r="F436" t="s">
        <v>1791</v>
      </c>
      <c r="G436">
        <v>200</v>
      </c>
      <c r="H436">
        <v>0</v>
      </c>
      <c r="I436" t="s">
        <v>24</v>
      </c>
      <c r="J436" t="s">
        <v>1792</v>
      </c>
      <c r="K436" t="s">
        <v>1629</v>
      </c>
      <c r="L436" t="s">
        <v>27</v>
      </c>
      <c r="M436" t="s">
        <v>28</v>
      </c>
      <c r="N436" t="s">
        <v>1793</v>
      </c>
      <c r="O436" t="s">
        <v>27</v>
      </c>
      <c r="P436" t="s">
        <v>39</v>
      </c>
      <c r="Q436" t="s">
        <v>31</v>
      </c>
      <c r="R436" t="s">
        <v>32</v>
      </c>
      <c r="S436" t="s">
        <v>28</v>
      </c>
      <c r="T436" t="s">
        <v>1794</v>
      </c>
      <c r="U436" t="s">
        <v>1793</v>
      </c>
    </row>
    <row r="437" spans="1:21" x14ac:dyDescent="0.25">
      <c r="A437" t="s">
        <v>134</v>
      </c>
      <c r="B437" t="s">
        <v>64</v>
      </c>
      <c r="C437">
        <v>100</v>
      </c>
      <c r="D437">
        <v>3</v>
      </c>
      <c r="E437">
        <v>0</v>
      </c>
      <c r="F437" t="s">
        <v>1795</v>
      </c>
      <c r="G437">
        <v>300</v>
      </c>
      <c r="H437">
        <v>0</v>
      </c>
      <c r="I437" t="s">
        <v>445</v>
      </c>
      <c r="J437" t="s">
        <v>1796</v>
      </c>
      <c r="K437" t="s">
        <v>1797</v>
      </c>
      <c r="L437" t="s">
        <v>27</v>
      </c>
      <c r="M437" t="s">
        <v>28</v>
      </c>
      <c r="N437" t="s">
        <v>1798</v>
      </c>
      <c r="O437" t="s">
        <v>27</v>
      </c>
      <c r="P437" t="s">
        <v>39</v>
      </c>
      <c r="Q437" t="s">
        <v>31</v>
      </c>
      <c r="R437" t="s">
        <v>32</v>
      </c>
      <c r="S437" t="s">
        <v>28</v>
      </c>
      <c r="T437" t="s">
        <v>1799</v>
      </c>
      <c r="U437" t="s">
        <v>1800</v>
      </c>
    </row>
    <row r="438" spans="1:21" x14ac:dyDescent="0.25">
      <c r="A438" t="s">
        <v>21</v>
      </c>
      <c r="B438" t="s">
        <v>22</v>
      </c>
      <c r="C438">
        <v>100</v>
      </c>
      <c r="D438">
        <v>2</v>
      </c>
      <c r="E438">
        <v>0</v>
      </c>
      <c r="F438" t="s">
        <v>1801</v>
      </c>
      <c r="G438">
        <v>200</v>
      </c>
      <c r="H438">
        <v>0</v>
      </c>
      <c r="I438" t="s">
        <v>140</v>
      </c>
      <c r="J438" t="s">
        <v>1802</v>
      </c>
      <c r="K438" t="s">
        <v>299</v>
      </c>
      <c r="L438" t="s">
        <v>27</v>
      </c>
      <c r="M438" t="s">
        <v>28</v>
      </c>
      <c r="N438" t="s">
        <v>1803</v>
      </c>
      <c r="O438" t="s">
        <v>27</v>
      </c>
      <c r="P438" t="s">
        <v>30</v>
      </c>
      <c r="Q438" t="s">
        <v>31</v>
      </c>
      <c r="R438" t="s">
        <v>32</v>
      </c>
      <c r="S438" t="s">
        <v>28</v>
      </c>
      <c r="T438" t="s">
        <v>1804</v>
      </c>
      <c r="U438" t="s">
        <v>1805</v>
      </c>
    </row>
    <row r="439" spans="1:21" x14ac:dyDescent="0.25">
      <c r="A439" t="s">
        <v>909</v>
      </c>
      <c r="B439" t="s">
        <v>276</v>
      </c>
      <c r="C439">
        <v>223.42</v>
      </c>
      <c r="D439">
        <v>1</v>
      </c>
      <c r="E439">
        <v>0</v>
      </c>
      <c r="F439" t="s">
        <v>1806</v>
      </c>
      <c r="G439">
        <v>228.42</v>
      </c>
      <c r="H439">
        <v>5</v>
      </c>
      <c r="I439" t="s">
        <v>24</v>
      </c>
      <c r="J439" t="s">
        <v>1807</v>
      </c>
      <c r="K439" t="s">
        <v>1808</v>
      </c>
      <c r="L439" t="s">
        <v>1809</v>
      </c>
      <c r="M439" t="s">
        <v>1810</v>
      </c>
      <c r="N439" t="s">
        <v>1811</v>
      </c>
      <c r="O439" t="s">
        <v>27</v>
      </c>
      <c r="P439" t="s">
        <v>48</v>
      </c>
      <c r="Q439" t="s">
        <v>49</v>
      </c>
      <c r="R439" t="s">
        <v>50</v>
      </c>
      <c r="S439" t="s">
        <v>28</v>
      </c>
      <c r="T439" t="s">
        <v>1812</v>
      </c>
      <c r="U439" t="s">
        <v>1811</v>
      </c>
    </row>
    <row r="440" spans="1:21" x14ac:dyDescent="0.25">
      <c r="A440" t="s">
        <v>21</v>
      </c>
      <c r="B440" t="s">
        <v>22</v>
      </c>
      <c r="C440">
        <v>100</v>
      </c>
      <c r="D440">
        <v>2</v>
      </c>
      <c r="E440">
        <v>0</v>
      </c>
      <c r="F440" t="s">
        <v>1813</v>
      </c>
      <c r="G440">
        <v>200</v>
      </c>
      <c r="H440">
        <v>0</v>
      </c>
      <c r="I440" t="s">
        <v>140</v>
      </c>
      <c r="J440" t="s">
        <v>1814</v>
      </c>
      <c r="K440" t="s">
        <v>919</v>
      </c>
      <c r="L440" t="s">
        <v>27</v>
      </c>
      <c r="M440" t="s">
        <v>28</v>
      </c>
      <c r="N440" t="s">
        <v>1815</v>
      </c>
      <c r="O440" t="s">
        <v>27</v>
      </c>
      <c r="P440" t="s">
        <v>30</v>
      </c>
      <c r="Q440" t="s">
        <v>31</v>
      </c>
      <c r="R440" t="s">
        <v>32</v>
      </c>
      <c r="S440" t="s">
        <v>28</v>
      </c>
      <c r="T440" t="s">
        <v>1816</v>
      </c>
      <c r="U440" t="s">
        <v>1817</v>
      </c>
    </row>
    <row r="441" spans="1:21" x14ac:dyDescent="0.25">
      <c r="A441" t="s">
        <v>33</v>
      </c>
      <c r="B441" t="s">
        <v>34</v>
      </c>
      <c r="C441">
        <v>200</v>
      </c>
      <c r="D441">
        <v>1</v>
      </c>
      <c r="E441">
        <v>0</v>
      </c>
      <c r="F441" t="s">
        <v>1818</v>
      </c>
      <c r="G441">
        <v>200</v>
      </c>
      <c r="H441">
        <v>0</v>
      </c>
      <c r="I441" t="s">
        <v>24</v>
      </c>
      <c r="J441" t="s">
        <v>1819</v>
      </c>
      <c r="K441" t="s">
        <v>54</v>
      </c>
      <c r="L441" t="s">
        <v>27</v>
      </c>
      <c r="M441" t="s">
        <v>28</v>
      </c>
      <c r="N441" t="s">
        <v>1820</v>
      </c>
      <c r="O441" t="s">
        <v>27</v>
      </c>
      <c r="P441" t="s">
        <v>56</v>
      </c>
      <c r="Q441" t="s">
        <v>31</v>
      </c>
      <c r="R441" t="s">
        <v>57</v>
      </c>
      <c r="S441" t="s">
        <v>28</v>
      </c>
      <c r="T441" t="s">
        <v>1821</v>
      </c>
      <c r="U441" t="s">
        <v>1822</v>
      </c>
    </row>
    <row r="442" spans="1:21" x14ac:dyDescent="0.25">
      <c r="A442" t="s">
        <v>21</v>
      </c>
      <c r="B442" t="s">
        <v>22</v>
      </c>
      <c r="C442">
        <v>100</v>
      </c>
      <c r="D442">
        <v>2</v>
      </c>
      <c r="E442">
        <v>0</v>
      </c>
      <c r="F442" t="s">
        <v>1823</v>
      </c>
      <c r="G442">
        <v>200</v>
      </c>
      <c r="H442">
        <v>0</v>
      </c>
      <c r="I442" t="s">
        <v>140</v>
      </c>
      <c r="J442" t="s">
        <v>1824</v>
      </c>
      <c r="K442" t="s">
        <v>451</v>
      </c>
      <c r="L442" t="s">
        <v>27</v>
      </c>
      <c r="M442" t="s">
        <v>28</v>
      </c>
      <c r="N442" t="s">
        <v>1825</v>
      </c>
      <c r="O442" t="s">
        <v>27</v>
      </c>
      <c r="P442" t="s">
        <v>369</v>
      </c>
      <c r="Q442" t="s">
        <v>31</v>
      </c>
      <c r="R442" t="s">
        <v>57</v>
      </c>
      <c r="S442" t="s">
        <v>28</v>
      </c>
      <c r="T442" t="s">
        <v>1826</v>
      </c>
      <c r="U442" t="s">
        <v>1827</v>
      </c>
    </row>
    <row r="443" spans="1:21" x14ac:dyDescent="0.25">
      <c r="A443" t="s">
        <v>63</v>
      </c>
      <c r="B443" t="s">
        <v>64</v>
      </c>
      <c r="C443">
        <v>100</v>
      </c>
      <c r="D443">
        <v>1</v>
      </c>
      <c r="E443">
        <v>0</v>
      </c>
      <c r="F443" t="s">
        <v>1828</v>
      </c>
      <c r="G443">
        <v>106</v>
      </c>
      <c r="H443">
        <v>6</v>
      </c>
      <c r="I443" t="s">
        <v>445</v>
      </c>
      <c r="J443" t="s">
        <v>1829</v>
      </c>
      <c r="K443" t="s">
        <v>325</v>
      </c>
      <c r="L443" t="s">
        <v>27</v>
      </c>
      <c r="M443" t="s">
        <v>28</v>
      </c>
      <c r="N443" t="s">
        <v>1830</v>
      </c>
      <c r="O443" t="s">
        <v>27</v>
      </c>
      <c r="P443" t="s">
        <v>56</v>
      </c>
      <c r="Q443" t="s">
        <v>31</v>
      </c>
      <c r="R443" t="s">
        <v>57</v>
      </c>
      <c r="S443" t="s">
        <v>28</v>
      </c>
      <c r="T443" t="s">
        <v>1831</v>
      </c>
      <c r="U443" t="s">
        <v>1830</v>
      </c>
    </row>
    <row r="444" spans="1:21" x14ac:dyDescent="0.25">
      <c r="A444" t="s">
        <v>456</v>
      </c>
      <c r="B444" t="s">
        <v>457</v>
      </c>
      <c r="C444">
        <v>225</v>
      </c>
      <c r="D444">
        <v>2</v>
      </c>
      <c r="E444">
        <v>0</v>
      </c>
      <c r="F444" t="s">
        <v>1832</v>
      </c>
      <c r="G444">
        <v>508</v>
      </c>
      <c r="H444">
        <v>58</v>
      </c>
      <c r="I444" t="s">
        <v>445</v>
      </c>
      <c r="J444" t="s">
        <v>1833</v>
      </c>
      <c r="K444" t="s">
        <v>1834</v>
      </c>
      <c r="L444" t="s">
        <v>1835</v>
      </c>
      <c r="M444" t="s">
        <v>1836</v>
      </c>
      <c r="N444" t="s">
        <v>1837</v>
      </c>
      <c r="O444" t="s">
        <v>27</v>
      </c>
      <c r="P444" t="s">
        <v>193</v>
      </c>
      <c r="Q444" t="s">
        <v>85</v>
      </c>
      <c r="R444" t="s">
        <v>86</v>
      </c>
      <c r="S444" t="s">
        <v>28</v>
      </c>
      <c r="T444" t="s">
        <v>1838</v>
      </c>
      <c r="U444" t="s">
        <v>1839</v>
      </c>
    </row>
    <row r="445" spans="1:21" x14ac:dyDescent="0.25">
      <c r="A445" t="s">
        <v>21</v>
      </c>
      <c r="B445" t="s">
        <v>22</v>
      </c>
      <c r="C445">
        <v>100</v>
      </c>
      <c r="D445">
        <v>1</v>
      </c>
      <c r="E445">
        <v>0</v>
      </c>
      <c r="F445" t="s">
        <v>1840</v>
      </c>
      <c r="G445">
        <v>106</v>
      </c>
      <c r="H445">
        <v>6</v>
      </c>
      <c r="I445" t="s">
        <v>24</v>
      </c>
      <c r="J445" t="s">
        <v>1841</v>
      </c>
      <c r="K445" t="s">
        <v>451</v>
      </c>
      <c r="L445" t="s">
        <v>27</v>
      </c>
      <c r="M445" t="s">
        <v>28</v>
      </c>
      <c r="N445" t="s">
        <v>1842</v>
      </c>
      <c r="O445" t="s">
        <v>27</v>
      </c>
      <c r="P445" t="s">
        <v>39</v>
      </c>
      <c r="Q445" t="s">
        <v>31</v>
      </c>
      <c r="R445" t="s">
        <v>32</v>
      </c>
      <c r="S445" t="s">
        <v>28</v>
      </c>
      <c r="T445" t="s">
        <v>1843</v>
      </c>
      <c r="U445" t="s">
        <v>1844</v>
      </c>
    </row>
    <row r="446" spans="1:21" x14ac:dyDescent="0.25">
      <c r="A446" t="s">
        <v>21</v>
      </c>
      <c r="B446" t="s">
        <v>22</v>
      </c>
      <c r="C446">
        <v>100</v>
      </c>
      <c r="D446">
        <v>1</v>
      </c>
      <c r="E446">
        <v>0</v>
      </c>
      <c r="F446" t="s">
        <v>1845</v>
      </c>
      <c r="G446">
        <v>100</v>
      </c>
      <c r="H446">
        <v>0</v>
      </c>
      <c r="I446" t="s">
        <v>24</v>
      </c>
      <c r="J446" t="s">
        <v>1846</v>
      </c>
      <c r="K446" t="s">
        <v>384</v>
      </c>
      <c r="L446" t="s">
        <v>27</v>
      </c>
      <c r="M446" t="s">
        <v>28</v>
      </c>
      <c r="N446" t="s">
        <v>1815</v>
      </c>
      <c r="O446" t="s">
        <v>27</v>
      </c>
      <c r="P446" t="s">
        <v>39</v>
      </c>
      <c r="Q446" t="s">
        <v>31</v>
      </c>
      <c r="R446" t="s">
        <v>32</v>
      </c>
      <c r="S446" t="s">
        <v>28</v>
      </c>
      <c r="T446" t="s">
        <v>1847</v>
      </c>
      <c r="U446" t="s">
        <v>1815</v>
      </c>
    </row>
    <row r="447" spans="1:21" x14ac:dyDescent="0.25">
      <c r="A447" t="s">
        <v>58</v>
      </c>
      <c r="B447" t="s">
        <v>58</v>
      </c>
      <c r="C447">
        <v>100</v>
      </c>
      <c r="D447">
        <v>1</v>
      </c>
      <c r="E447">
        <v>0</v>
      </c>
      <c r="F447" t="s">
        <v>1848</v>
      </c>
      <c r="G447">
        <v>100</v>
      </c>
      <c r="H447">
        <v>0</v>
      </c>
      <c r="I447" t="s">
        <v>140</v>
      </c>
      <c r="J447" t="s">
        <v>1849</v>
      </c>
      <c r="K447" t="s">
        <v>372</v>
      </c>
      <c r="L447" t="s">
        <v>27</v>
      </c>
      <c r="M447" t="s">
        <v>28</v>
      </c>
      <c r="N447" t="s">
        <v>1850</v>
      </c>
      <c r="O447" t="s">
        <v>27</v>
      </c>
      <c r="P447" t="s">
        <v>30</v>
      </c>
      <c r="Q447" t="s">
        <v>31</v>
      </c>
      <c r="R447" t="s">
        <v>32</v>
      </c>
      <c r="S447" t="s">
        <v>28</v>
      </c>
      <c r="T447" t="s">
        <v>1851</v>
      </c>
      <c r="U447" t="s">
        <v>1850</v>
      </c>
    </row>
    <row r="448" spans="1:21" x14ac:dyDescent="0.25">
      <c r="A448" t="s">
        <v>76</v>
      </c>
      <c r="B448" t="s">
        <v>1852</v>
      </c>
      <c r="C448">
        <v>244.2</v>
      </c>
      <c r="D448">
        <v>1</v>
      </c>
      <c r="E448">
        <v>0</v>
      </c>
      <c r="F448" t="s">
        <v>1853</v>
      </c>
      <c r="G448">
        <v>268.2</v>
      </c>
      <c r="H448">
        <v>24</v>
      </c>
      <c r="I448" t="s">
        <v>24</v>
      </c>
      <c r="J448" t="s">
        <v>1854</v>
      </c>
      <c r="K448" t="s">
        <v>1855</v>
      </c>
      <c r="L448" t="s">
        <v>1856</v>
      </c>
      <c r="M448" t="s">
        <v>1857</v>
      </c>
      <c r="N448" t="s">
        <v>1858</v>
      </c>
      <c r="O448" t="s">
        <v>27</v>
      </c>
      <c r="P448" t="s">
        <v>48</v>
      </c>
      <c r="Q448" t="s">
        <v>49</v>
      </c>
      <c r="R448" t="s">
        <v>50</v>
      </c>
      <c r="S448" t="s">
        <v>28</v>
      </c>
      <c r="T448" t="s">
        <v>1859</v>
      </c>
      <c r="U448" t="s">
        <v>1858</v>
      </c>
    </row>
    <row r="449" spans="1:21" x14ac:dyDescent="0.25">
      <c r="A449" t="s">
        <v>143</v>
      </c>
      <c r="B449" t="s">
        <v>144</v>
      </c>
      <c r="C449">
        <v>200</v>
      </c>
      <c r="D449">
        <v>1</v>
      </c>
      <c r="E449">
        <v>0</v>
      </c>
      <c r="F449" t="s">
        <v>1860</v>
      </c>
      <c r="G449">
        <v>200</v>
      </c>
      <c r="H449">
        <v>0</v>
      </c>
      <c r="I449" t="s">
        <v>140</v>
      </c>
      <c r="J449" t="s">
        <v>1861</v>
      </c>
      <c r="K449" t="s">
        <v>325</v>
      </c>
      <c r="L449" t="s">
        <v>27</v>
      </c>
      <c r="M449" t="s">
        <v>28</v>
      </c>
      <c r="N449" t="s">
        <v>1862</v>
      </c>
      <c r="O449" t="s">
        <v>27</v>
      </c>
      <c r="P449" t="s">
        <v>30</v>
      </c>
      <c r="Q449" t="s">
        <v>31</v>
      </c>
      <c r="R449" t="s">
        <v>32</v>
      </c>
      <c r="S449" t="s">
        <v>28</v>
      </c>
      <c r="T449" t="s">
        <v>1863</v>
      </c>
      <c r="U449" t="s">
        <v>1862</v>
      </c>
    </row>
    <row r="450" spans="1:21" x14ac:dyDescent="0.25">
      <c r="A450" t="s">
        <v>275</v>
      </c>
      <c r="B450" t="s">
        <v>1864</v>
      </c>
      <c r="C450">
        <v>140</v>
      </c>
      <c r="D450">
        <v>1</v>
      </c>
      <c r="E450">
        <v>0</v>
      </c>
      <c r="F450" t="s">
        <v>1865</v>
      </c>
      <c r="G450">
        <v>310</v>
      </c>
      <c r="H450">
        <v>45</v>
      </c>
      <c r="I450" t="s">
        <v>24</v>
      </c>
      <c r="J450" t="s">
        <v>1866</v>
      </c>
      <c r="K450" t="s">
        <v>1867</v>
      </c>
      <c r="L450" t="s">
        <v>1868</v>
      </c>
      <c r="M450" t="s">
        <v>1869</v>
      </c>
      <c r="N450" t="s">
        <v>1870</v>
      </c>
      <c r="O450" t="s">
        <v>27</v>
      </c>
      <c r="P450" t="s">
        <v>84</v>
      </c>
      <c r="Q450" t="s">
        <v>85</v>
      </c>
      <c r="R450" t="s">
        <v>86</v>
      </c>
      <c r="S450" t="s">
        <v>28</v>
      </c>
      <c r="T450" t="s">
        <v>1871</v>
      </c>
      <c r="U450" t="s">
        <v>1870</v>
      </c>
    </row>
    <row r="451" spans="1:21" x14ac:dyDescent="0.25">
      <c r="A451" t="s">
        <v>58</v>
      </c>
      <c r="B451" t="s">
        <v>58</v>
      </c>
      <c r="C451">
        <v>100</v>
      </c>
      <c r="D451">
        <v>1</v>
      </c>
      <c r="E451">
        <v>0</v>
      </c>
      <c r="F451" t="s">
        <v>1872</v>
      </c>
      <c r="G451">
        <v>106</v>
      </c>
      <c r="H451">
        <v>6</v>
      </c>
      <c r="I451" t="s">
        <v>140</v>
      </c>
      <c r="J451" t="s">
        <v>1873</v>
      </c>
      <c r="K451" t="s">
        <v>839</v>
      </c>
      <c r="L451" t="s">
        <v>27</v>
      </c>
      <c r="M451" t="s">
        <v>28</v>
      </c>
      <c r="N451" t="s">
        <v>1874</v>
      </c>
      <c r="O451" t="s">
        <v>27</v>
      </c>
      <c r="P451" t="s">
        <v>30</v>
      </c>
      <c r="Q451" t="s">
        <v>31</v>
      </c>
      <c r="R451" t="s">
        <v>32</v>
      </c>
      <c r="S451" t="s">
        <v>28</v>
      </c>
      <c r="T451" t="s">
        <v>1875</v>
      </c>
      <c r="U451" t="s">
        <v>1874</v>
      </c>
    </row>
    <row r="452" spans="1:21" x14ac:dyDescent="0.25">
      <c r="A452" t="s">
        <v>21</v>
      </c>
      <c r="B452" t="s">
        <v>22</v>
      </c>
      <c r="C452">
        <v>100</v>
      </c>
      <c r="D452">
        <v>1</v>
      </c>
      <c r="E452">
        <v>0</v>
      </c>
      <c r="F452" t="s">
        <v>1876</v>
      </c>
      <c r="G452">
        <v>200</v>
      </c>
      <c r="H452">
        <v>0</v>
      </c>
      <c r="I452" t="s">
        <v>140</v>
      </c>
      <c r="J452" t="s">
        <v>1877</v>
      </c>
      <c r="K452" t="s">
        <v>1878</v>
      </c>
      <c r="L452" t="s">
        <v>27</v>
      </c>
      <c r="M452" t="s">
        <v>28</v>
      </c>
      <c r="N452" t="s">
        <v>1879</v>
      </c>
      <c r="O452" t="s">
        <v>27</v>
      </c>
      <c r="P452" t="s">
        <v>30</v>
      </c>
      <c r="Q452" t="s">
        <v>31</v>
      </c>
      <c r="R452" t="s">
        <v>32</v>
      </c>
      <c r="S452" t="s">
        <v>28</v>
      </c>
      <c r="T452" t="s">
        <v>1880</v>
      </c>
      <c r="U452" t="s">
        <v>1879</v>
      </c>
    </row>
    <row r="453" spans="1:21" x14ac:dyDescent="0.25">
      <c r="A453" t="s">
        <v>58</v>
      </c>
      <c r="B453" t="s">
        <v>58</v>
      </c>
      <c r="C453">
        <v>100</v>
      </c>
      <c r="D453">
        <v>1</v>
      </c>
      <c r="E453">
        <v>0</v>
      </c>
      <c r="F453" t="s">
        <v>1876</v>
      </c>
      <c r="G453">
        <v>200</v>
      </c>
      <c r="H453">
        <v>0</v>
      </c>
      <c r="I453" t="s">
        <v>140</v>
      </c>
      <c r="J453" t="s">
        <v>1877</v>
      </c>
      <c r="K453" t="s">
        <v>1878</v>
      </c>
      <c r="L453" t="s">
        <v>27</v>
      </c>
      <c r="M453" t="s">
        <v>28</v>
      </c>
      <c r="N453" t="s">
        <v>1879</v>
      </c>
      <c r="O453" t="s">
        <v>27</v>
      </c>
      <c r="P453" t="s">
        <v>30</v>
      </c>
      <c r="Q453" t="s">
        <v>31</v>
      </c>
      <c r="R453" t="s">
        <v>32</v>
      </c>
      <c r="S453" t="s">
        <v>28</v>
      </c>
      <c r="T453" t="s">
        <v>1880</v>
      </c>
      <c r="U453" t="s">
        <v>1879</v>
      </c>
    </row>
    <row r="454" spans="1:21" x14ac:dyDescent="0.25">
      <c r="A454" t="s">
        <v>58</v>
      </c>
      <c r="B454" t="s">
        <v>58</v>
      </c>
      <c r="C454">
        <v>100</v>
      </c>
      <c r="D454">
        <v>1</v>
      </c>
      <c r="E454">
        <v>0</v>
      </c>
      <c r="F454" t="s">
        <v>1881</v>
      </c>
      <c r="G454">
        <v>106</v>
      </c>
      <c r="H454">
        <v>6</v>
      </c>
      <c r="I454" t="s">
        <v>140</v>
      </c>
      <c r="J454" t="s">
        <v>1882</v>
      </c>
      <c r="K454" t="s">
        <v>37</v>
      </c>
      <c r="L454" t="s">
        <v>27</v>
      </c>
      <c r="M454" t="s">
        <v>28</v>
      </c>
      <c r="N454" t="s">
        <v>1883</v>
      </c>
      <c r="O454" t="s">
        <v>27</v>
      </c>
      <c r="P454" t="s">
        <v>30</v>
      </c>
      <c r="Q454" t="s">
        <v>31</v>
      </c>
      <c r="R454" t="s">
        <v>32</v>
      </c>
      <c r="S454" t="s">
        <v>28</v>
      </c>
      <c r="T454" t="s">
        <v>1884</v>
      </c>
      <c r="U454" t="s">
        <v>1879</v>
      </c>
    </row>
    <row r="455" spans="1:21" x14ac:dyDescent="0.25">
      <c r="A455" t="s">
        <v>70</v>
      </c>
      <c r="B455" t="s">
        <v>70</v>
      </c>
      <c r="C455">
        <v>350</v>
      </c>
      <c r="D455">
        <v>1</v>
      </c>
      <c r="E455">
        <v>0</v>
      </c>
      <c r="F455" t="s">
        <v>1885</v>
      </c>
      <c r="G455">
        <v>350</v>
      </c>
      <c r="H455">
        <v>0</v>
      </c>
      <c r="I455" t="s">
        <v>140</v>
      </c>
      <c r="J455" t="s">
        <v>1886</v>
      </c>
      <c r="K455" t="s">
        <v>54</v>
      </c>
      <c r="L455" t="s">
        <v>27</v>
      </c>
      <c r="M455" t="s">
        <v>28</v>
      </c>
      <c r="N455" t="s">
        <v>1887</v>
      </c>
      <c r="O455" t="s">
        <v>27</v>
      </c>
      <c r="P455" t="s">
        <v>30</v>
      </c>
      <c r="Q455" t="s">
        <v>31</v>
      </c>
      <c r="R455" t="s">
        <v>32</v>
      </c>
      <c r="S455" t="s">
        <v>28</v>
      </c>
      <c r="T455" t="s">
        <v>1888</v>
      </c>
      <c r="U455" t="s">
        <v>1887</v>
      </c>
    </row>
    <row r="456" spans="1:21" x14ac:dyDescent="0.25">
      <c r="A456" t="s">
        <v>21</v>
      </c>
      <c r="B456" t="s">
        <v>22</v>
      </c>
      <c r="C456">
        <v>100</v>
      </c>
      <c r="D456">
        <v>1</v>
      </c>
      <c r="E456">
        <v>0</v>
      </c>
      <c r="F456" t="s">
        <v>1889</v>
      </c>
      <c r="G456">
        <v>106</v>
      </c>
      <c r="H456">
        <v>6</v>
      </c>
      <c r="I456" t="s">
        <v>445</v>
      </c>
      <c r="J456" t="s">
        <v>1890</v>
      </c>
      <c r="K456" t="s">
        <v>67</v>
      </c>
      <c r="L456" t="s">
        <v>27</v>
      </c>
      <c r="M456" t="s">
        <v>28</v>
      </c>
      <c r="N456" t="s">
        <v>1891</v>
      </c>
      <c r="O456" t="s">
        <v>27</v>
      </c>
      <c r="P456" t="s">
        <v>56</v>
      </c>
      <c r="Q456" t="s">
        <v>31</v>
      </c>
      <c r="R456" t="s">
        <v>57</v>
      </c>
      <c r="S456" t="s">
        <v>28</v>
      </c>
      <c r="T456" t="s">
        <v>1892</v>
      </c>
      <c r="U456" t="s">
        <v>1891</v>
      </c>
    </row>
    <row r="457" spans="1:21" x14ac:dyDescent="0.25">
      <c r="A457" t="s">
        <v>21</v>
      </c>
      <c r="B457" t="s">
        <v>22</v>
      </c>
      <c r="C457">
        <v>100</v>
      </c>
      <c r="D457">
        <v>6</v>
      </c>
      <c r="E457">
        <v>0</v>
      </c>
      <c r="F457" t="s">
        <v>1893</v>
      </c>
      <c r="G457">
        <v>600</v>
      </c>
      <c r="H457">
        <v>0</v>
      </c>
      <c r="I457" t="s">
        <v>140</v>
      </c>
      <c r="J457" t="s">
        <v>1894</v>
      </c>
      <c r="K457" t="s">
        <v>1878</v>
      </c>
      <c r="L457" t="s">
        <v>27</v>
      </c>
      <c r="M457" t="s">
        <v>28</v>
      </c>
      <c r="N457" t="s">
        <v>1895</v>
      </c>
      <c r="O457" t="s">
        <v>27</v>
      </c>
      <c r="P457" t="s">
        <v>30</v>
      </c>
      <c r="Q457" t="s">
        <v>31</v>
      </c>
      <c r="R457" t="s">
        <v>32</v>
      </c>
      <c r="S457" t="s">
        <v>28</v>
      </c>
      <c r="T457" t="s">
        <v>1896</v>
      </c>
      <c r="U457" t="s">
        <v>1895</v>
      </c>
    </row>
    <row r="458" spans="1:21" x14ac:dyDescent="0.25">
      <c r="A458" t="s">
        <v>58</v>
      </c>
      <c r="B458" t="s">
        <v>103</v>
      </c>
      <c r="C458">
        <v>80.91</v>
      </c>
      <c r="D458">
        <v>1</v>
      </c>
      <c r="E458">
        <v>0</v>
      </c>
      <c r="F458" t="s">
        <v>1897</v>
      </c>
      <c r="G458">
        <v>85.91</v>
      </c>
      <c r="H458">
        <v>5</v>
      </c>
      <c r="I458" t="s">
        <v>105</v>
      </c>
      <c r="J458" t="s">
        <v>1898</v>
      </c>
      <c r="K458" t="s">
        <v>1899</v>
      </c>
      <c r="L458" t="s">
        <v>1900</v>
      </c>
      <c r="M458" t="s">
        <v>1901</v>
      </c>
      <c r="N458" t="s">
        <v>1902</v>
      </c>
      <c r="O458" t="s">
        <v>27</v>
      </c>
      <c r="P458" t="s">
        <v>48</v>
      </c>
      <c r="Q458" t="s">
        <v>49</v>
      </c>
      <c r="R458" t="s">
        <v>50</v>
      </c>
      <c r="S458" t="s">
        <v>28</v>
      </c>
      <c r="T458" t="s">
        <v>1903</v>
      </c>
      <c r="U458" t="s">
        <v>1902</v>
      </c>
    </row>
    <row r="459" spans="1:21" x14ac:dyDescent="0.25">
      <c r="A459" t="s">
        <v>456</v>
      </c>
      <c r="B459" t="s">
        <v>1178</v>
      </c>
      <c r="C459">
        <v>127.33</v>
      </c>
      <c r="D459">
        <v>1</v>
      </c>
      <c r="E459">
        <v>0</v>
      </c>
      <c r="F459" t="s">
        <v>1904</v>
      </c>
      <c r="G459">
        <v>259.66000000000003</v>
      </c>
      <c r="H459">
        <v>5</v>
      </c>
      <c r="I459" t="s">
        <v>628</v>
      </c>
      <c r="J459" t="s">
        <v>1905</v>
      </c>
      <c r="K459" t="s">
        <v>1906</v>
      </c>
      <c r="L459" t="s">
        <v>1907</v>
      </c>
      <c r="M459" t="s">
        <v>1908</v>
      </c>
      <c r="N459" t="s">
        <v>1909</v>
      </c>
      <c r="O459" t="s">
        <v>27</v>
      </c>
      <c r="P459" t="s">
        <v>48</v>
      </c>
      <c r="Q459" t="s">
        <v>49</v>
      </c>
      <c r="R459" t="s">
        <v>50</v>
      </c>
      <c r="S459" t="s">
        <v>28</v>
      </c>
      <c r="T459" t="s">
        <v>1910</v>
      </c>
      <c r="U459" t="s">
        <v>1909</v>
      </c>
    </row>
    <row r="460" spans="1:21" x14ac:dyDescent="0.25">
      <c r="A460" t="s">
        <v>195</v>
      </c>
      <c r="B460" t="s">
        <v>1003</v>
      </c>
      <c r="C460">
        <v>127.33</v>
      </c>
      <c r="D460">
        <v>1</v>
      </c>
      <c r="E460">
        <v>0</v>
      </c>
      <c r="F460" t="s">
        <v>1904</v>
      </c>
      <c r="G460">
        <v>259.66000000000003</v>
      </c>
      <c r="H460">
        <v>5</v>
      </c>
      <c r="I460" t="s">
        <v>628</v>
      </c>
      <c r="J460" t="s">
        <v>1905</v>
      </c>
      <c r="K460" t="s">
        <v>1906</v>
      </c>
      <c r="L460" t="s">
        <v>1907</v>
      </c>
      <c r="M460" t="s">
        <v>1908</v>
      </c>
      <c r="N460" t="s">
        <v>1909</v>
      </c>
      <c r="O460" t="s">
        <v>27</v>
      </c>
      <c r="P460" t="s">
        <v>48</v>
      </c>
      <c r="Q460" t="s">
        <v>49</v>
      </c>
      <c r="R460" t="s">
        <v>50</v>
      </c>
      <c r="S460" t="s">
        <v>28</v>
      </c>
      <c r="T460" t="s">
        <v>1910</v>
      </c>
      <c r="U460" t="s">
        <v>1909</v>
      </c>
    </row>
    <row r="461" spans="1:21" x14ac:dyDescent="0.25">
      <c r="A461" t="s">
        <v>134</v>
      </c>
      <c r="B461" t="s">
        <v>64</v>
      </c>
      <c r="C461">
        <v>100</v>
      </c>
      <c r="D461">
        <v>1</v>
      </c>
      <c r="E461">
        <v>0</v>
      </c>
      <c r="F461" t="s">
        <v>1911</v>
      </c>
      <c r="G461">
        <v>100</v>
      </c>
      <c r="H461">
        <v>0</v>
      </c>
      <c r="I461" t="s">
        <v>140</v>
      </c>
      <c r="J461" t="s">
        <v>264</v>
      </c>
      <c r="K461" t="s">
        <v>247</v>
      </c>
      <c r="L461" t="s">
        <v>27</v>
      </c>
      <c r="M461" t="s">
        <v>28</v>
      </c>
      <c r="N461" t="s">
        <v>1912</v>
      </c>
      <c r="O461" t="s">
        <v>27</v>
      </c>
      <c r="P461" t="s">
        <v>30</v>
      </c>
      <c r="Q461" t="s">
        <v>31</v>
      </c>
      <c r="R461" t="s">
        <v>32</v>
      </c>
      <c r="S461" t="s">
        <v>28</v>
      </c>
      <c r="T461" t="s">
        <v>1913</v>
      </c>
      <c r="U461" t="s">
        <v>1912</v>
      </c>
    </row>
    <row r="462" spans="1:21" x14ac:dyDescent="0.25">
      <c r="A462" t="s">
        <v>70</v>
      </c>
      <c r="B462" t="s">
        <v>70</v>
      </c>
      <c r="C462">
        <v>330</v>
      </c>
      <c r="D462">
        <v>1</v>
      </c>
      <c r="E462">
        <v>0</v>
      </c>
      <c r="F462" t="s">
        <v>1914</v>
      </c>
      <c r="G462">
        <v>330</v>
      </c>
      <c r="H462">
        <v>0</v>
      </c>
      <c r="I462" t="s">
        <v>24</v>
      </c>
      <c r="J462" t="s">
        <v>1915</v>
      </c>
      <c r="K462" t="s">
        <v>1916</v>
      </c>
      <c r="L462" t="s">
        <v>27</v>
      </c>
      <c r="M462" t="s">
        <v>28</v>
      </c>
      <c r="N462" t="s">
        <v>1917</v>
      </c>
      <c r="O462" t="s">
        <v>27</v>
      </c>
      <c r="P462" t="s">
        <v>39</v>
      </c>
      <c r="Q462" t="s">
        <v>31</v>
      </c>
      <c r="R462" t="s">
        <v>32</v>
      </c>
      <c r="S462" t="s">
        <v>28</v>
      </c>
      <c r="T462" t="s">
        <v>1918</v>
      </c>
      <c r="U462" t="s">
        <v>1917</v>
      </c>
    </row>
    <row r="463" spans="1:21" x14ac:dyDescent="0.25">
      <c r="A463" t="s">
        <v>33</v>
      </c>
      <c r="B463" t="s">
        <v>34</v>
      </c>
      <c r="C463">
        <v>200</v>
      </c>
      <c r="D463">
        <v>2</v>
      </c>
      <c r="E463">
        <v>0</v>
      </c>
      <c r="F463" t="s">
        <v>1919</v>
      </c>
      <c r="G463">
        <v>400</v>
      </c>
      <c r="H463">
        <v>0</v>
      </c>
      <c r="I463" t="s">
        <v>24</v>
      </c>
      <c r="J463" t="s">
        <v>1920</v>
      </c>
      <c r="K463" t="s">
        <v>89</v>
      </c>
      <c r="L463" t="s">
        <v>27</v>
      </c>
      <c r="M463" t="s">
        <v>28</v>
      </c>
      <c r="N463" t="s">
        <v>1917</v>
      </c>
      <c r="O463" t="s">
        <v>27</v>
      </c>
      <c r="P463" t="s">
        <v>39</v>
      </c>
      <c r="Q463" t="s">
        <v>31</v>
      </c>
      <c r="R463" t="s">
        <v>32</v>
      </c>
      <c r="S463" t="s">
        <v>28</v>
      </c>
      <c r="T463" t="s">
        <v>1921</v>
      </c>
      <c r="U463" t="s">
        <v>1917</v>
      </c>
    </row>
    <row r="464" spans="1:21" x14ac:dyDescent="0.25">
      <c r="A464" t="s">
        <v>143</v>
      </c>
      <c r="B464" t="s">
        <v>144</v>
      </c>
      <c r="C464">
        <v>200</v>
      </c>
      <c r="D464">
        <v>1</v>
      </c>
      <c r="E464">
        <v>0</v>
      </c>
      <c r="F464" t="s">
        <v>1922</v>
      </c>
      <c r="G464">
        <v>200</v>
      </c>
      <c r="H464">
        <v>0</v>
      </c>
      <c r="I464" t="s">
        <v>24</v>
      </c>
      <c r="J464" t="s">
        <v>1923</v>
      </c>
      <c r="K464" t="s">
        <v>113</v>
      </c>
      <c r="L464" t="s">
        <v>27</v>
      </c>
      <c r="M464" t="s">
        <v>28</v>
      </c>
      <c r="N464" t="s">
        <v>1924</v>
      </c>
      <c r="O464" t="s">
        <v>27</v>
      </c>
      <c r="P464" t="s">
        <v>39</v>
      </c>
      <c r="Q464" t="s">
        <v>31</v>
      </c>
      <c r="R464" t="s">
        <v>32</v>
      </c>
      <c r="S464" t="s">
        <v>28</v>
      </c>
      <c r="T464" t="s">
        <v>1925</v>
      </c>
      <c r="U464" t="s">
        <v>1924</v>
      </c>
    </row>
    <row r="465" spans="1:21" x14ac:dyDescent="0.25">
      <c r="A465" t="s">
        <v>58</v>
      </c>
      <c r="B465" t="s">
        <v>58</v>
      </c>
      <c r="C465">
        <v>100</v>
      </c>
      <c r="D465">
        <v>1</v>
      </c>
      <c r="E465">
        <v>0</v>
      </c>
      <c r="F465" t="s">
        <v>1926</v>
      </c>
      <c r="G465">
        <v>100</v>
      </c>
      <c r="H465">
        <v>0</v>
      </c>
      <c r="I465" t="s">
        <v>140</v>
      </c>
      <c r="J465" t="s">
        <v>1927</v>
      </c>
      <c r="K465" t="s">
        <v>753</v>
      </c>
      <c r="L465" t="s">
        <v>27</v>
      </c>
      <c r="M465" t="s">
        <v>28</v>
      </c>
      <c r="N465" t="s">
        <v>1928</v>
      </c>
      <c r="O465" t="s">
        <v>27</v>
      </c>
      <c r="P465" t="s">
        <v>30</v>
      </c>
      <c r="Q465" t="s">
        <v>31</v>
      </c>
      <c r="R465" t="s">
        <v>32</v>
      </c>
      <c r="S465" t="s">
        <v>28</v>
      </c>
      <c r="T465" t="s">
        <v>1929</v>
      </c>
      <c r="U465" t="s">
        <v>1928</v>
      </c>
    </row>
    <row r="466" spans="1:21" x14ac:dyDescent="0.25">
      <c r="A466" t="s">
        <v>21</v>
      </c>
      <c r="B466" t="s">
        <v>22</v>
      </c>
      <c r="C466">
        <v>100</v>
      </c>
      <c r="D466">
        <v>1</v>
      </c>
      <c r="E466">
        <v>0</v>
      </c>
      <c r="F466" t="s">
        <v>1930</v>
      </c>
      <c r="G466">
        <v>100</v>
      </c>
      <c r="H466">
        <v>0</v>
      </c>
      <c r="I466" t="s">
        <v>445</v>
      </c>
      <c r="J466" t="s">
        <v>1931</v>
      </c>
      <c r="K466" t="s">
        <v>124</v>
      </c>
      <c r="L466" t="s">
        <v>27</v>
      </c>
      <c r="M466" t="s">
        <v>28</v>
      </c>
      <c r="N466" t="s">
        <v>1932</v>
      </c>
      <c r="O466" t="s">
        <v>27</v>
      </c>
      <c r="P466" t="s">
        <v>39</v>
      </c>
      <c r="Q466" t="s">
        <v>31</v>
      </c>
      <c r="R466" t="s">
        <v>32</v>
      </c>
      <c r="S466" t="s">
        <v>28</v>
      </c>
      <c r="T466" t="s">
        <v>1933</v>
      </c>
      <c r="U466" t="s">
        <v>1932</v>
      </c>
    </row>
    <row r="467" spans="1:21" x14ac:dyDescent="0.25">
      <c r="A467" t="s">
        <v>58</v>
      </c>
      <c r="B467" t="s">
        <v>103</v>
      </c>
      <c r="C467">
        <v>80.91</v>
      </c>
      <c r="D467">
        <v>1</v>
      </c>
      <c r="E467">
        <v>0</v>
      </c>
      <c r="F467" t="s">
        <v>1934</v>
      </c>
      <c r="G467">
        <v>85.91</v>
      </c>
      <c r="H467">
        <v>5</v>
      </c>
      <c r="I467" t="s">
        <v>105</v>
      </c>
      <c r="J467" t="s">
        <v>1935</v>
      </c>
      <c r="K467" t="s">
        <v>1936</v>
      </c>
      <c r="L467" t="s">
        <v>1647</v>
      </c>
      <c r="M467" t="s">
        <v>1937</v>
      </c>
      <c r="N467" t="s">
        <v>1938</v>
      </c>
      <c r="O467" t="s">
        <v>27</v>
      </c>
      <c r="P467" t="s">
        <v>48</v>
      </c>
      <c r="Q467" t="s">
        <v>49</v>
      </c>
      <c r="R467" t="s">
        <v>50</v>
      </c>
      <c r="S467" t="s">
        <v>28</v>
      </c>
      <c r="T467" t="s">
        <v>1939</v>
      </c>
      <c r="U467" t="s">
        <v>1940</v>
      </c>
    </row>
    <row r="468" spans="1:21" x14ac:dyDescent="0.25">
      <c r="A468" t="s">
        <v>40</v>
      </c>
      <c r="B468" t="s">
        <v>41</v>
      </c>
      <c r="C468">
        <v>89.93</v>
      </c>
      <c r="D468">
        <v>1</v>
      </c>
      <c r="E468">
        <v>0</v>
      </c>
      <c r="F468" t="s">
        <v>1941</v>
      </c>
      <c r="G468">
        <v>144.93</v>
      </c>
      <c r="H468">
        <v>55</v>
      </c>
      <c r="I468" t="s">
        <v>24</v>
      </c>
      <c r="J468" t="s">
        <v>1942</v>
      </c>
      <c r="K468" t="s">
        <v>1943</v>
      </c>
      <c r="L468" t="s">
        <v>1944</v>
      </c>
      <c r="M468" t="s">
        <v>1945</v>
      </c>
      <c r="N468" t="s">
        <v>1946</v>
      </c>
      <c r="O468" t="s">
        <v>27</v>
      </c>
      <c r="P468" t="s">
        <v>48</v>
      </c>
      <c r="Q468" t="s">
        <v>49</v>
      </c>
      <c r="R468" t="s">
        <v>50</v>
      </c>
      <c r="S468" t="s">
        <v>28</v>
      </c>
      <c r="T468" t="s">
        <v>1947</v>
      </c>
      <c r="U468" t="s">
        <v>1946</v>
      </c>
    </row>
    <row r="469" spans="1:21" x14ac:dyDescent="0.25">
      <c r="A469" t="s">
        <v>33</v>
      </c>
      <c r="B469" t="s">
        <v>34</v>
      </c>
      <c r="C469">
        <v>200</v>
      </c>
      <c r="D469">
        <v>1</v>
      </c>
      <c r="E469">
        <v>0</v>
      </c>
      <c r="F469" t="s">
        <v>1948</v>
      </c>
      <c r="G469">
        <v>200</v>
      </c>
      <c r="H469">
        <v>0</v>
      </c>
      <c r="I469" t="s">
        <v>24</v>
      </c>
      <c r="J469" t="s">
        <v>1923</v>
      </c>
      <c r="K469" t="s">
        <v>113</v>
      </c>
      <c r="L469" t="s">
        <v>27</v>
      </c>
      <c r="M469" t="s">
        <v>28</v>
      </c>
      <c r="N469" t="s">
        <v>1949</v>
      </c>
      <c r="O469" t="s">
        <v>27</v>
      </c>
      <c r="P469" t="s">
        <v>39</v>
      </c>
      <c r="Q469" t="s">
        <v>31</v>
      </c>
      <c r="R469" t="s">
        <v>32</v>
      </c>
      <c r="S469" t="s">
        <v>28</v>
      </c>
      <c r="T469" t="s">
        <v>1950</v>
      </c>
      <c r="U469" t="s">
        <v>1949</v>
      </c>
    </row>
    <row r="470" spans="1:21" x14ac:dyDescent="0.25">
      <c r="A470" t="s">
        <v>33</v>
      </c>
      <c r="B470" t="s">
        <v>34</v>
      </c>
      <c r="C470">
        <v>200</v>
      </c>
      <c r="D470">
        <v>1</v>
      </c>
      <c r="E470">
        <v>0</v>
      </c>
      <c r="F470" t="s">
        <v>1951</v>
      </c>
      <c r="G470">
        <v>200</v>
      </c>
      <c r="H470">
        <v>0</v>
      </c>
      <c r="I470" t="s">
        <v>445</v>
      </c>
      <c r="J470" t="s">
        <v>1923</v>
      </c>
      <c r="K470" t="s">
        <v>113</v>
      </c>
      <c r="L470" t="s">
        <v>27</v>
      </c>
      <c r="M470" t="s">
        <v>28</v>
      </c>
      <c r="N470" t="s">
        <v>1949</v>
      </c>
      <c r="O470" t="s">
        <v>27</v>
      </c>
      <c r="P470" t="s">
        <v>39</v>
      </c>
      <c r="Q470" t="s">
        <v>31</v>
      </c>
      <c r="R470" t="s">
        <v>32</v>
      </c>
      <c r="S470" t="s">
        <v>28</v>
      </c>
      <c r="T470" t="s">
        <v>27</v>
      </c>
      <c r="U470" t="s">
        <v>1949</v>
      </c>
    </row>
    <row r="471" spans="1:21" x14ac:dyDescent="0.25">
      <c r="A471" t="s">
        <v>40</v>
      </c>
      <c r="B471" t="s">
        <v>41</v>
      </c>
      <c r="C471">
        <v>89.93</v>
      </c>
      <c r="D471">
        <v>1</v>
      </c>
      <c r="E471">
        <v>0</v>
      </c>
      <c r="F471" t="s">
        <v>1952</v>
      </c>
      <c r="G471">
        <v>94.93</v>
      </c>
      <c r="H471">
        <v>5</v>
      </c>
      <c r="I471" t="s">
        <v>24</v>
      </c>
      <c r="J471" t="s">
        <v>1953</v>
      </c>
      <c r="K471" t="s">
        <v>1954</v>
      </c>
      <c r="L471" t="s">
        <v>1955</v>
      </c>
      <c r="M471" t="s">
        <v>1956</v>
      </c>
      <c r="N471" t="s">
        <v>1949</v>
      </c>
      <c r="O471" t="s">
        <v>27</v>
      </c>
      <c r="P471" t="s">
        <v>48</v>
      </c>
      <c r="Q471" t="s">
        <v>49</v>
      </c>
      <c r="R471" t="s">
        <v>50</v>
      </c>
      <c r="S471" t="s">
        <v>28</v>
      </c>
      <c r="T471" t="s">
        <v>1957</v>
      </c>
      <c r="U471" t="s">
        <v>1949</v>
      </c>
    </row>
    <row r="472" spans="1:21" x14ac:dyDescent="0.25">
      <c r="A472" t="s">
        <v>21</v>
      </c>
      <c r="B472" t="s">
        <v>22</v>
      </c>
      <c r="C472">
        <v>100</v>
      </c>
      <c r="D472">
        <v>1</v>
      </c>
      <c r="E472">
        <v>0</v>
      </c>
      <c r="F472" t="s">
        <v>1958</v>
      </c>
      <c r="G472">
        <v>106</v>
      </c>
      <c r="H472">
        <v>6</v>
      </c>
      <c r="I472" t="s">
        <v>445</v>
      </c>
      <c r="J472" t="s">
        <v>1959</v>
      </c>
      <c r="K472" t="s">
        <v>54</v>
      </c>
      <c r="L472" t="s">
        <v>27</v>
      </c>
      <c r="M472" t="s">
        <v>28</v>
      </c>
      <c r="N472" t="s">
        <v>1949</v>
      </c>
      <c r="O472" t="s">
        <v>27</v>
      </c>
      <c r="P472" t="s">
        <v>39</v>
      </c>
      <c r="Q472" t="s">
        <v>31</v>
      </c>
      <c r="R472" t="s">
        <v>32</v>
      </c>
      <c r="S472" t="s">
        <v>28</v>
      </c>
      <c r="T472" t="s">
        <v>1960</v>
      </c>
      <c r="U472" t="s">
        <v>1949</v>
      </c>
    </row>
    <row r="473" spans="1:21" x14ac:dyDescent="0.25">
      <c r="A473" t="s">
        <v>143</v>
      </c>
      <c r="B473" t="s">
        <v>144</v>
      </c>
      <c r="C473">
        <v>200</v>
      </c>
      <c r="D473">
        <v>1</v>
      </c>
      <c r="E473">
        <v>0</v>
      </c>
      <c r="F473" t="s">
        <v>1961</v>
      </c>
      <c r="G473">
        <v>200</v>
      </c>
      <c r="H473">
        <v>0</v>
      </c>
      <c r="I473" t="s">
        <v>140</v>
      </c>
      <c r="J473" t="s">
        <v>1962</v>
      </c>
      <c r="K473" t="s">
        <v>321</v>
      </c>
      <c r="L473" t="s">
        <v>27</v>
      </c>
      <c r="M473" t="s">
        <v>28</v>
      </c>
      <c r="N473" t="s">
        <v>1963</v>
      </c>
      <c r="O473" t="s">
        <v>27</v>
      </c>
      <c r="P473" t="s">
        <v>30</v>
      </c>
      <c r="Q473" t="s">
        <v>31</v>
      </c>
      <c r="R473" t="s">
        <v>32</v>
      </c>
      <c r="S473" t="s">
        <v>28</v>
      </c>
      <c r="T473" t="s">
        <v>1964</v>
      </c>
      <c r="U473" t="s">
        <v>1963</v>
      </c>
    </row>
    <row r="474" spans="1:21" x14ac:dyDescent="0.25">
      <c r="A474" t="s">
        <v>21</v>
      </c>
      <c r="B474" t="s">
        <v>22</v>
      </c>
      <c r="C474">
        <v>100</v>
      </c>
      <c r="D474">
        <v>1</v>
      </c>
      <c r="E474">
        <v>0</v>
      </c>
      <c r="F474" t="s">
        <v>1965</v>
      </c>
      <c r="G474">
        <v>100</v>
      </c>
      <c r="H474">
        <v>0</v>
      </c>
      <c r="I474" t="s">
        <v>24</v>
      </c>
      <c r="J474" t="s">
        <v>1966</v>
      </c>
      <c r="K474" t="s">
        <v>753</v>
      </c>
      <c r="L474" t="s">
        <v>27</v>
      </c>
      <c r="M474" t="s">
        <v>28</v>
      </c>
      <c r="N474" t="s">
        <v>1967</v>
      </c>
      <c r="O474" t="s">
        <v>27</v>
      </c>
      <c r="P474" t="s">
        <v>39</v>
      </c>
      <c r="Q474" t="s">
        <v>31</v>
      </c>
      <c r="R474" t="s">
        <v>32</v>
      </c>
      <c r="S474" t="s">
        <v>28</v>
      </c>
      <c r="T474" t="s">
        <v>1968</v>
      </c>
      <c r="U474" t="s">
        <v>1967</v>
      </c>
    </row>
    <row r="475" spans="1:21" x14ac:dyDescent="0.25">
      <c r="A475" t="s">
        <v>76</v>
      </c>
      <c r="B475" t="s">
        <v>77</v>
      </c>
      <c r="C475">
        <v>230</v>
      </c>
      <c r="D475">
        <v>1</v>
      </c>
      <c r="E475">
        <v>0</v>
      </c>
      <c r="F475" t="s">
        <v>1969</v>
      </c>
      <c r="G475">
        <v>270</v>
      </c>
      <c r="H475">
        <v>45</v>
      </c>
      <c r="I475" t="s">
        <v>445</v>
      </c>
      <c r="J475" t="s">
        <v>1970</v>
      </c>
      <c r="K475" t="s">
        <v>1971</v>
      </c>
      <c r="L475" t="s">
        <v>1972</v>
      </c>
      <c r="M475" t="s">
        <v>1973</v>
      </c>
      <c r="N475" t="s">
        <v>1974</v>
      </c>
      <c r="O475" t="s">
        <v>27</v>
      </c>
      <c r="P475" t="s">
        <v>193</v>
      </c>
      <c r="Q475" t="s">
        <v>85</v>
      </c>
      <c r="R475" t="s">
        <v>86</v>
      </c>
      <c r="S475" t="s">
        <v>28</v>
      </c>
      <c r="T475" t="s">
        <v>1975</v>
      </c>
      <c r="U475" t="s">
        <v>1976</v>
      </c>
    </row>
    <row r="476" spans="1:21" x14ac:dyDescent="0.25">
      <c r="A476" t="s">
        <v>63</v>
      </c>
      <c r="B476" t="s">
        <v>64</v>
      </c>
      <c r="C476">
        <v>100</v>
      </c>
      <c r="D476">
        <v>1</v>
      </c>
      <c r="E476">
        <v>0</v>
      </c>
      <c r="F476" t="s">
        <v>1977</v>
      </c>
      <c r="G476">
        <v>106</v>
      </c>
      <c r="H476">
        <v>6</v>
      </c>
      <c r="I476" t="s">
        <v>24</v>
      </c>
      <c r="J476" t="s">
        <v>1962</v>
      </c>
      <c r="K476" t="s">
        <v>321</v>
      </c>
      <c r="L476" t="s">
        <v>27</v>
      </c>
      <c r="M476" t="s">
        <v>28</v>
      </c>
      <c r="N476" t="s">
        <v>1976</v>
      </c>
      <c r="O476" t="s">
        <v>27</v>
      </c>
      <c r="P476" t="s">
        <v>39</v>
      </c>
      <c r="Q476" t="s">
        <v>31</v>
      </c>
      <c r="R476" t="s">
        <v>32</v>
      </c>
      <c r="S476" t="s">
        <v>28</v>
      </c>
      <c r="T476" t="s">
        <v>1978</v>
      </c>
      <c r="U476" t="s">
        <v>1976</v>
      </c>
    </row>
    <row r="477" spans="1:21" x14ac:dyDescent="0.25">
      <c r="A477" t="s">
        <v>134</v>
      </c>
      <c r="B477" t="s">
        <v>64</v>
      </c>
      <c r="C477">
        <v>100</v>
      </c>
      <c r="D477">
        <v>3</v>
      </c>
      <c r="E477">
        <v>0</v>
      </c>
      <c r="F477" t="s">
        <v>1979</v>
      </c>
      <c r="G477">
        <v>300</v>
      </c>
      <c r="H477">
        <v>0</v>
      </c>
      <c r="I477" t="s">
        <v>24</v>
      </c>
      <c r="J477" t="s">
        <v>1980</v>
      </c>
      <c r="K477" t="s">
        <v>677</v>
      </c>
      <c r="L477" t="s">
        <v>27</v>
      </c>
      <c r="M477" t="s">
        <v>28</v>
      </c>
      <c r="N477" t="s">
        <v>1981</v>
      </c>
      <c r="O477" t="s">
        <v>27</v>
      </c>
      <c r="P477" t="s">
        <v>39</v>
      </c>
      <c r="Q477" t="s">
        <v>31</v>
      </c>
      <c r="R477" t="s">
        <v>32</v>
      </c>
      <c r="S477" t="s">
        <v>28</v>
      </c>
      <c r="T477" t="s">
        <v>1982</v>
      </c>
      <c r="U477" t="s">
        <v>1981</v>
      </c>
    </row>
    <row r="478" spans="1:21" x14ac:dyDescent="0.25">
      <c r="A478" t="s">
        <v>33</v>
      </c>
      <c r="B478" t="s">
        <v>34</v>
      </c>
      <c r="C478">
        <v>200</v>
      </c>
      <c r="D478">
        <v>1</v>
      </c>
      <c r="E478">
        <v>0</v>
      </c>
      <c r="F478" t="s">
        <v>1983</v>
      </c>
      <c r="G478">
        <v>200</v>
      </c>
      <c r="H478">
        <v>0</v>
      </c>
      <c r="I478" t="s">
        <v>445</v>
      </c>
      <c r="J478" t="s">
        <v>1984</v>
      </c>
      <c r="K478" t="s">
        <v>711</v>
      </c>
      <c r="L478" t="s">
        <v>27</v>
      </c>
      <c r="M478" t="s">
        <v>28</v>
      </c>
      <c r="N478" t="s">
        <v>1985</v>
      </c>
      <c r="O478" t="s">
        <v>27</v>
      </c>
      <c r="P478" t="s">
        <v>56</v>
      </c>
      <c r="Q478" t="s">
        <v>31</v>
      </c>
      <c r="R478" t="s">
        <v>57</v>
      </c>
      <c r="S478" t="s">
        <v>28</v>
      </c>
      <c r="T478" t="s">
        <v>1986</v>
      </c>
      <c r="U478" t="s">
        <v>1985</v>
      </c>
    </row>
    <row r="479" spans="1:21" x14ac:dyDescent="0.25">
      <c r="A479" t="s">
        <v>21</v>
      </c>
      <c r="B479" t="s">
        <v>22</v>
      </c>
      <c r="C479">
        <v>100</v>
      </c>
      <c r="D479">
        <v>2</v>
      </c>
      <c r="E479">
        <v>0</v>
      </c>
      <c r="F479" t="s">
        <v>1987</v>
      </c>
      <c r="G479">
        <v>200</v>
      </c>
      <c r="H479">
        <v>0</v>
      </c>
      <c r="I479" t="s">
        <v>24</v>
      </c>
      <c r="J479" t="s">
        <v>1988</v>
      </c>
      <c r="K479" t="s">
        <v>1989</v>
      </c>
      <c r="L479" t="s">
        <v>27</v>
      </c>
      <c r="M479" t="s">
        <v>28</v>
      </c>
      <c r="N479" t="s">
        <v>1990</v>
      </c>
      <c r="O479" t="s">
        <v>27</v>
      </c>
      <c r="P479" t="s">
        <v>39</v>
      </c>
      <c r="Q479" t="s">
        <v>31</v>
      </c>
      <c r="R479" t="s">
        <v>32</v>
      </c>
      <c r="S479" t="s">
        <v>28</v>
      </c>
      <c r="T479" t="s">
        <v>1991</v>
      </c>
      <c r="U479" t="s">
        <v>1990</v>
      </c>
    </row>
    <row r="480" spans="1:21" x14ac:dyDescent="0.25">
      <c r="A480" t="s">
        <v>195</v>
      </c>
      <c r="B480" t="s">
        <v>196</v>
      </c>
      <c r="C480">
        <v>250</v>
      </c>
      <c r="D480">
        <v>1</v>
      </c>
      <c r="E480">
        <v>0</v>
      </c>
      <c r="F480" t="s">
        <v>1992</v>
      </c>
      <c r="G480">
        <v>295</v>
      </c>
      <c r="H480">
        <v>45</v>
      </c>
      <c r="I480" t="s">
        <v>24</v>
      </c>
      <c r="J480" t="s">
        <v>1993</v>
      </c>
      <c r="K480" t="s">
        <v>1994</v>
      </c>
      <c r="L480" t="s">
        <v>925</v>
      </c>
      <c r="M480" t="s">
        <v>1995</v>
      </c>
      <c r="N480" t="s">
        <v>1946</v>
      </c>
      <c r="O480" t="s">
        <v>27</v>
      </c>
      <c r="P480" t="s">
        <v>193</v>
      </c>
      <c r="Q480" t="s">
        <v>85</v>
      </c>
      <c r="R480" t="s">
        <v>86</v>
      </c>
      <c r="S480" t="s">
        <v>28</v>
      </c>
      <c r="T480" t="s">
        <v>1996</v>
      </c>
      <c r="U480" t="s">
        <v>1997</v>
      </c>
    </row>
    <row r="481" spans="1:21" x14ac:dyDescent="0.25">
      <c r="A481" t="s">
        <v>58</v>
      </c>
      <c r="B481" t="s">
        <v>103</v>
      </c>
      <c r="C481">
        <v>90.43</v>
      </c>
      <c r="D481">
        <v>1</v>
      </c>
      <c r="E481">
        <v>0</v>
      </c>
      <c r="F481" t="s">
        <v>1998</v>
      </c>
      <c r="G481">
        <v>180.86</v>
      </c>
      <c r="H481">
        <v>0</v>
      </c>
      <c r="I481" t="s">
        <v>105</v>
      </c>
      <c r="J481" t="s">
        <v>1999</v>
      </c>
      <c r="K481" t="s">
        <v>2000</v>
      </c>
      <c r="L481" t="s">
        <v>2001</v>
      </c>
      <c r="M481" t="s">
        <v>2002</v>
      </c>
      <c r="N481" t="s">
        <v>2003</v>
      </c>
      <c r="O481" t="s">
        <v>27</v>
      </c>
      <c r="P481" t="s">
        <v>48</v>
      </c>
      <c r="Q481" t="s">
        <v>49</v>
      </c>
      <c r="R481" t="s">
        <v>50</v>
      </c>
      <c r="S481" t="s">
        <v>28</v>
      </c>
      <c r="T481" t="s">
        <v>2004</v>
      </c>
      <c r="U481" t="s">
        <v>2003</v>
      </c>
    </row>
    <row r="482" spans="1:21" x14ac:dyDescent="0.25">
      <c r="A482" t="s">
        <v>58</v>
      </c>
      <c r="B482" t="s">
        <v>103</v>
      </c>
      <c r="C482">
        <v>90.43</v>
      </c>
      <c r="D482">
        <v>1</v>
      </c>
      <c r="E482">
        <v>0</v>
      </c>
      <c r="F482" t="s">
        <v>1998</v>
      </c>
      <c r="G482">
        <v>180.86</v>
      </c>
      <c r="H482">
        <v>0</v>
      </c>
      <c r="I482" t="s">
        <v>105</v>
      </c>
      <c r="J482" t="s">
        <v>1999</v>
      </c>
      <c r="K482" t="s">
        <v>2000</v>
      </c>
      <c r="L482" t="s">
        <v>2001</v>
      </c>
      <c r="M482" t="s">
        <v>2002</v>
      </c>
      <c r="N482" t="s">
        <v>2003</v>
      </c>
      <c r="O482" t="s">
        <v>27</v>
      </c>
      <c r="P482" t="s">
        <v>48</v>
      </c>
      <c r="Q482" t="s">
        <v>49</v>
      </c>
      <c r="R482" t="s">
        <v>50</v>
      </c>
      <c r="S482" t="s">
        <v>28</v>
      </c>
      <c r="T482" t="s">
        <v>2004</v>
      </c>
      <c r="U482" t="s">
        <v>2003</v>
      </c>
    </row>
    <row r="483" spans="1:21" x14ac:dyDescent="0.25">
      <c r="A483" t="s">
        <v>58</v>
      </c>
      <c r="B483" t="s">
        <v>58</v>
      </c>
      <c r="C483">
        <v>100</v>
      </c>
      <c r="D483">
        <v>1</v>
      </c>
      <c r="E483">
        <v>0</v>
      </c>
      <c r="F483" t="s">
        <v>2005</v>
      </c>
      <c r="G483">
        <v>106</v>
      </c>
      <c r="H483">
        <v>6</v>
      </c>
      <c r="I483" t="s">
        <v>140</v>
      </c>
      <c r="J483" t="s">
        <v>2006</v>
      </c>
      <c r="K483" t="s">
        <v>1602</v>
      </c>
      <c r="L483" t="s">
        <v>27</v>
      </c>
      <c r="M483" t="s">
        <v>28</v>
      </c>
      <c r="N483" t="s">
        <v>2007</v>
      </c>
      <c r="O483" t="s">
        <v>27</v>
      </c>
      <c r="P483" t="s">
        <v>369</v>
      </c>
      <c r="Q483" t="s">
        <v>31</v>
      </c>
      <c r="R483" t="s">
        <v>57</v>
      </c>
      <c r="S483" t="s">
        <v>28</v>
      </c>
      <c r="T483" t="s">
        <v>2008</v>
      </c>
      <c r="U483" t="s">
        <v>2007</v>
      </c>
    </row>
    <row r="484" spans="1:21" x14ac:dyDescent="0.25">
      <c r="A484" t="s">
        <v>143</v>
      </c>
      <c r="B484" t="s">
        <v>144</v>
      </c>
      <c r="C484">
        <v>200</v>
      </c>
      <c r="D484">
        <v>1</v>
      </c>
      <c r="E484">
        <v>0</v>
      </c>
      <c r="F484" t="s">
        <v>2009</v>
      </c>
      <c r="G484">
        <v>200</v>
      </c>
      <c r="H484">
        <v>0</v>
      </c>
      <c r="I484" t="s">
        <v>140</v>
      </c>
      <c r="J484" t="s">
        <v>2010</v>
      </c>
      <c r="K484" t="s">
        <v>919</v>
      </c>
      <c r="L484" t="s">
        <v>27</v>
      </c>
      <c r="M484" t="s">
        <v>28</v>
      </c>
      <c r="N484" t="s">
        <v>2011</v>
      </c>
      <c r="O484" t="s">
        <v>27</v>
      </c>
      <c r="P484" t="s">
        <v>30</v>
      </c>
      <c r="Q484" t="s">
        <v>31</v>
      </c>
      <c r="R484" t="s">
        <v>32</v>
      </c>
      <c r="S484" t="s">
        <v>28</v>
      </c>
      <c r="T484" t="s">
        <v>2012</v>
      </c>
      <c r="U484" t="s">
        <v>2011</v>
      </c>
    </row>
    <row r="485" spans="1:21" x14ac:dyDescent="0.25">
      <c r="A485" t="s">
        <v>33</v>
      </c>
      <c r="B485" t="s">
        <v>34</v>
      </c>
      <c r="C485">
        <v>200</v>
      </c>
      <c r="D485">
        <v>1</v>
      </c>
      <c r="E485">
        <v>0</v>
      </c>
      <c r="F485" t="s">
        <v>2013</v>
      </c>
      <c r="G485">
        <v>200</v>
      </c>
      <c r="H485">
        <v>0</v>
      </c>
      <c r="I485" t="s">
        <v>24</v>
      </c>
      <c r="J485" t="s">
        <v>2014</v>
      </c>
      <c r="K485" t="s">
        <v>936</v>
      </c>
      <c r="L485" t="s">
        <v>27</v>
      </c>
      <c r="M485" t="s">
        <v>28</v>
      </c>
      <c r="N485" t="s">
        <v>2015</v>
      </c>
      <c r="O485" t="s">
        <v>27</v>
      </c>
      <c r="P485" t="s">
        <v>39</v>
      </c>
      <c r="Q485" t="s">
        <v>31</v>
      </c>
      <c r="R485" t="s">
        <v>32</v>
      </c>
      <c r="S485" t="s">
        <v>28</v>
      </c>
      <c r="T485" t="s">
        <v>2016</v>
      </c>
      <c r="U485" t="s">
        <v>2015</v>
      </c>
    </row>
    <row r="486" spans="1:21" x14ac:dyDescent="0.25">
      <c r="A486" t="s">
        <v>63</v>
      </c>
      <c r="B486" t="s">
        <v>64</v>
      </c>
      <c r="C486">
        <v>100</v>
      </c>
      <c r="D486">
        <v>1</v>
      </c>
      <c r="E486">
        <v>0</v>
      </c>
      <c r="F486" t="s">
        <v>2017</v>
      </c>
      <c r="G486">
        <v>106</v>
      </c>
      <c r="H486">
        <v>6</v>
      </c>
      <c r="I486" t="s">
        <v>140</v>
      </c>
      <c r="J486" t="s">
        <v>2018</v>
      </c>
      <c r="K486" t="s">
        <v>1878</v>
      </c>
      <c r="L486" t="s">
        <v>27</v>
      </c>
      <c r="M486" t="s">
        <v>28</v>
      </c>
      <c r="N486" t="s">
        <v>2019</v>
      </c>
      <c r="O486" t="s">
        <v>27</v>
      </c>
      <c r="P486" t="s">
        <v>30</v>
      </c>
      <c r="Q486" t="s">
        <v>31</v>
      </c>
      <c r="R486" t="s">
        <v>32</v>
      </c>
      <c r="S486" t="s">
        <v>28</v>
      </c>
      <c r="T486" t="s">
        <v>2020</v>
      </c>
      <c r="U486" t="s">
        <v>2019</v>
      </c>
    </row>
    <row r="487" spans="1:21" x14ac:dyDescent="0.25">
      <c r="A487" t="s">
        <v>195</v>
      </c>
      <c r="B487" t="s">
        <v>1003</v>
      </c>
      <c r="C487">
        <v>119.84</v>
      </c>
      <c r="D487">
        <v>1</v>
      </c>
      <c r="E487">
        <v>0</v>
      </c>
      <c r="F487" t="s">
        <v>2021</v>
      </c>
      <c r="G487">
        <v>124.84</v>
      </c>
      <c r="H487">
        <v>5</v>
      </c>
      <c r="I487" t="s">
        <v>628</v>
      </c>
      <c r="J487" t="s">
        <v>2022</v>
      </c>
      <c r="K487" t="s">
        <v>2023</v>
      </c>
      <c r="L487" t="s">
        <v>2024</v>
      </c>
      <c r="M487" t="s">
        <v>2025</v>
      </c>
      <c r="N487" t="s">
        <v>2026</v>
      </c>
      <c r="O487" t="s">
        <v>27</v>
      </c>
      <c r="P487" t="s">
        <v>48</v>
      </c>
      <c r="Q487" t="s">
        <v>49</v>
      </c>
      <c r="R487" t="s">
        <v>50</v>
      </c>
      <c r="S487" t="s">
        <v>28</v>
      </c>
      <c r="T487" t="s">
        <v>2027</v>
      </c>
      <c r="U487" t="s">
        <v>2026</v>
      </c>
    </row>
    <row r="488" spans="1:21" x14ac:dyDescent="0.25">
      <c r="A488" t="s">
        <v>21</v>
      </c>
      <c r="B488" t="s">
        <v>22</v>
      </c>
      <c r="C488">
        <v>100</v>
      </c>
      <c r="D488">
        <v>1</v>
      </c>
      <c r="E488">
        <v>0</v>
      </c>
      <c r="F488" t="s">
        <v>2028</v>
      </c>
      <c r="G488">
        <v>106</v>
      </c>
      <c r="H488">
        <v>6</v>
      </c>
      <c r="I488" t="s">
        <v>140</v>
      </c>
      <c r="J488" t="s">
        <v>2029</v>
      </c>
      <c r="K488" t="s">
        <v>89</v>
      </c>
      <c r="L488" t="s">
        <v>27</v>
      </c>
      <c r="M488" t="s">
        <v>28</v>
      </c>
      <c r="N488" t="s">
        <v>2030</v>
      </c>
      <c r="O488" t="s">
        <v>27</v>
      </c>
      <c r="P488" t="s">
        <v>30</v>
      </c>
      <c r="Q488" t="s">
        <v>31</v>
      </c>
      <c r="R488" t="s">
        <v>32</v>
      </c>
      <c r="S488" t="s">
        <v>28</v>
      </c>
      <c r="T488" t="s">
        <v>2031</v>
      </c>
      <c r="U488" t="s">
        <v>2030</v>
      </c>
    </row>
    <row r="489" spans="1:21" x14ac:dyDescent="0.25">
      <c r="A489" t="s">
        <v>456</v>
      </c>
      <c r="B489" t="s">
        <v>1178</v>
      </c>
      <c r="C489">
        <v>119.84</v>
      </c>
      <c r="D489">
        <v>1</v>
      </c>
      <c r="E489">
        <v>0</v>
      </c>
      <c r="F489" t="s">
        <v>2032</v>
      </c>
      <c r="G489">
        <v>119.84</v>
      </c>
      <c r="H489">
        <v>0</v>
      </c>
      <c r="I489" t="s">
        <v>628</v>
      </c>
      <c r="J489" t="s">
        <v>2033</v>
      </c>
      <c r="K489" t="s">
        <v>2034</v>
      </c>
      <c r="L489" t="s">
        <v>2035</v>
      </c>
      <c r="M489" t="s">
        <v>2036</v>
      </c>
      <c r="N489" t="s">
        <v>2037</v>
      </c>
      <c r="O489" t="s">
        <v>27</v>
      </c>
      <c r="P489" t="s">
        <v>48</v>
      </c>
      <c r="Q489" t="s">
        <v>49</v>
      </c>
      <c r="R489" t="s">
        <v>50</v>
      </c>
      <c r="S489" t="s">
        <v>28</v>
      </c>
      <c r="T489" t="s">
        <v>2038</v>
      </c>
      <c r="U489" t="s">
        <v>2037</v>
      </c>
    </row>
    <row r="490" spans="1:21" x14ac:dyDescent="0.25">
      <c r="A490" t="s">
        <v>58</v>
      </c>
      <c r="B490" t="s">
        <v>103</v>
      </c>
      <c r="C490">
        <v>90.43</v>
      </c>
      <c r="D490">
        <v>1</v>
      </c>
      <c r="E490">
        <v>0</v>
      </c>
      <c r="F490" t="s">
        <v>2039</v>
      </c>
      <c r="G490">
        <v>185.86</v>
      </c>
      <c r="H490">
        <v>5</v>
      </c>
      <c r="I490" t="s">
        <v>105</v>
      </c>
      <c r="J490" t="s">
        <v>2040</v>
      </c>
      <c r="K490" t="s">
        <v>2041</v>
      </c>
      <c r="L490" t="s">
        <v>2042</v>
      </c>
      <c r="M490" t="s">
        <v>2043</v>
      </c>
      <c r="N490" t="s">
        <v>2037</v>
      </c>
      <c r="O490" t="s">
        <v>27</v>
      </c>
      <c r="P490" t="s">
        <v>48</v>
      </c>
      <c r="Q490" t="s">
        <v>49</v>
      </c>
      <c r="R490" t="s">
        <v>50</v>
      </c>
      <c r="S490" t="s">
        <v>28</v>
      </c>
      <c r="T490" t="s">
        <v>2044</v>
      </c>
      <c r="U490" t="s">
        <v>2037</v>
      </c>
    </row>
    <row r="491" spans="1:21" x14ac:dyDescent="0.25">
      <c r="A491" t="s">
        <v>58</v>
      </c>
      <c r="B491" t="s">
        <v>103</v>
      </c>
      <c r="C491">
        <v>90.43</v>
      </c>
      <c r="D491">
        <v>1</v>
      </c>
      <c r="E491">
        <v>0</v>
      </c>
      <c r="F491" t="s">
        <v>2039</v>
      </c>
      <c r="G491">
        <v>185.86</v>
      </c>
      <c r="H491">
        <v>5</v>
      </c>
      <c r="I491" t="s">
        <v>105</v>
      </c>
      <c r="J491" t="s">
        <v>2040</v>
      </c>
      <c r="K491" t="s">
        <v>2041</v>
      </c>
      <c r="L491" t="s">
        <v>2042</v>
      </c>
      <c r="M491" t="s">
        <v>2043</v>
      </c>
      <c r="N491" t="s">
        <v>2037</v>
      </c>
      <c r="O491" t="s">
        <v>27</v>
      </c>
      <c r="P491" t="s">
        <v>48</v>
      </c>
      <c r="Q491" t="s">
        <v>49</v>
      </c>
      <c r="R491" t="s">
        <v>50</v>
      </c>
      <c r="S491" t="s">
        <v>28</v>
      </c>
      <c r="T491" t="s">
        <v>2044</v>
      </c>
      <c r="U491" t="s">
        <v>2037</v>
      </c>
    </row>
    <row r="492" spans="1:21" x14ac:dyDescent="0.25">
      <c r="A492" t="s">
        <v>635</v>
      </c>
      <c r="B492" t="s">
        <v>714</v>
      </c>
      <c r="C492">
        <v>436.74</v>
      </c>
      <c r="D492">
        <v>1</v>
      </c>
      <c r="E492">
        <v>0</v>
      </c>
      <c r="F492" t="s">
        <v>2045</v>
      </c>
      <c r="G492">
        <v>699.41</v>
      </c>
      <c r="H492">
        <v>14</v>
      </c>
      <c r="I492" t="s">
        <v>628</v>
      </c>
      <c r="J492" t="s">
        <v>2046</v>
      </c>
      <c r="K492" t="s">
        <v>2047</v>
      </c>
      <c r="L492" t="s">
        <v>2048</v>
      </c>
      <c r="M492" t="s">
        <v>2049</v>
      </c>
      <c r="N492" t="s">
        <v>2050</v>
      </c>
      <c r="O492" t="s">
        <v>27</v>
      </c>
      <c r="P492" t="s">
        <v>48</v>
      </c>
      <c r="Q492" t="s">
        <v>49</v>
      </c>
      <c r="R492" t="s">
        <v>50</v>
      </c>
      <c r="S492" t="s">
        <v>28</v>
      </c>
      <c r="T492" t="s">
        <v>2051</v>
      </c>
      <c r="U492" t="s">
        <v>2050</v>
      </c>
    </row>
    <row r="493" spans="1:21" x14ac:dyDescent="0.25">
      <c r="A493" t="s">
        <v>456</v>
      </c>
      <c r="B493" t="s">
        <v>1178</v>
      </c>
      <c r="C493">
        <v>124.34</v>
      </c>
      <c r="D493">
        <v>1</v>
      </c>
      <c r="E493">
        <v>0</v>
      </c>
      <c r="F493" t="s">
        <v>2045</v>
      </c>
      <c r="G493">
        <v>699.41</v>
      </c>
      <c r="H493">
        <v>14</v>
      </c>
      <c r="I493" t="s">
        <v>628</v>
      </c>
      <c r="J493" t="s">
        <v>2046</v>
      </c>
      <c r="K493" t="s">
        <v>2047</v>
      </c>
      <c r="L493" t="s">
        <v>2048</v>
      </c>
      <c r="M493" t="s">
        <v>2049</v>
      </c>
      <c r="N493" t="s">
        <v>2050</v>
      </c>
      <c r="O493" t="s">
        <v>27</v>
      </c>
      <c r="P493" t="s">
        <v>48</v>
      </c>
      <c r="Q493" t="s">
        <v>49</v>
      </c>
      <c r="R493" t="s">
        <v>50</v>
      </c>
      <c r="S493" t="s">
        <v>28</v>
      </c>
      <c r="T493" t="s">
        <v>2051</v>
      </c>
      <c r="U493" t="s">
        <v>2050</v>
      </c>
    </row>
    <row r="494" spans="1:21" x14ac:dyDescent="0.25">
      <c r="A494" t="s">
        <v>456</v>
      </c>
      <c r="B494" t="s">
        <v>1178</v>
      </c>
      <c r="C494">
        <v>124.33</v>
      </c>
      <c r="D494">
        <v>1</v>
      </c>
      <c r="E494">
        <v>0</v>
      </c>
      <c r="F494" t="s">
        <v>2045</v>
      </c>
      <c r="G494">
        <v>699.41</v>
      </c>
      <c r="H494">
        <v>14</v>
      </c>
      <c r="I494" t="s">
        <v>628</v>
      </c>
      <c r="J494" t="s">
        <v>2046</v>
      </c>
      <c r="K494" t="s">
        <v>2047</v>
      </c>
      <c r="L494" t="s">
        <v>2048</v>
      </c>
      <c r="M494" t="s">
        <v>2049</v>
      </c>
      <c r="N494" t="s">
        <v>2050</v>
      </c>
      <c r="O494" t="s">
        <v>27</v>
      </c>
      <c r="P494" t="s">
        <v>48</v>
      </c>
      <c r="Q494" t="s">
        <v>49</v>
      </c>
      <c r="R494" t="s">
        <v>50</v>
      </c>
      <c r="S494" t="s">
        <v>28</v>
      </c>
      <c r="T494" t="s">
        <v>2051</v>
      </c>
      <c r="U494" t="s">
        <v>2050</v>
      </c>
    </row>
    <row r="495" spans="1:21" x14ac:dyDescent="0.25">
      <c r="A495" t="s">
        <v>143</v>
      </c>
      <c r="B495" t="s">
        <v>144</v>
      </c>
      <c r="C495">
        <v>200</v>
      </c>
      <c r="D495">
        <v>1</v>
      </c>
      <c r="E495">
        <v>0</v>
      </c>
      <c r="F495" t="s">
        <v>2052</v>
      </c>
      <c r="G495">
        <v>200</v>
      </c>
      <c r="H495">
        <v>0</v>
      </c>
      <c r="I495" t="s">
        <v>445</v>
      </c>
      <c r="J495" t="s">
        <v>2053</v>
      </c>
      <c r="K495" t="s">
        <v>1878</v>
      </c>
      <c r="L495" t="s">
        <v>27</v>
      </c>
      <c r="M495" t="s">
        <v>28</v>
      </c>
      <c r="N495" t="s">
        <v>2054</v>
      </c>
      <c r="O495" t="s">
        <v>27</v>
      </c>
      <c r="P495" t="s">
        <v>56</v>
      </c>
      <c r="Q495" t="s">
        <v>31</v>
      </c>
      <c r="R495" t="s">
        <v>57</v>
      </c>
      <c r="S495" t="s">
        <v>28</v>
      </c>
      <c r="T495" t="s">
        <v>2055</v>
      </c>
      <c r="U495" t="s">
        <v>2054</v>
      </c>
    </row>
    <row r="496" spans="1:21" x14ac:dyDescent="0.25">
      <c r="A496" t="s">
        <v>1513</v>
      </c>
      <c r="B496" t="s">
        <v>1514</v>
      </c>
      <c r="C496">
        <v>400</v>
      </c>
      <c r="D496">
        <v>1</v>
      </c>
      <c r="E496">
        <v>0</v>
      </c>
      <c r="F496" t="s">
        <v>2056</v>
      </c>
      <c r="G496">
        <v>400</v>
      </c>
      <c r="H496">
        <v>0</v>
      </c>
      <c r="I496" t="s">
        <v>24</v>
      </c>
      <c r="J496" t="s">
        <v>2057</v>
      </c>
      <c r="K496" t="s">
        <v>797</v>
      </c>
      <c r="L496" t="s">
        <v>27</v>
      </c>
      <c r="M496" t="s">
        <v>28</v>
      </c>
      <c r="N496" t="s">
        <v>2058</v>
      </c>
      <c r="O496" t="s">
        <v>27</v>
      </c>
      <c r="P496" t="s">
        <v>39</v>
      </c>
      <c r="Q496" t="s">
        <v>31</v>
      </c>
      <c r="R496" t="s">
        <v>32</v>
      </c>
      <c r="S496" t="s">
        <v>28</v>
      </c>
      <c r="T496" t="s">
        <v>2059</v>
      </c>
      <c r="U496" t="s">
        <v>2058</v>
      </c>
    </row>
    <row r="497" spans="1:21" x14ac:dyDescent="0.25">
      <c r="A497" t="s">
        <v>143</v>
      </c>
      <c r="B497" t="s">
        <v>144</v>
      </c>
      <c r="C497">
        <v>200</v>
      </c>
      <c r="D497">
        <v>1</v>
      </c>
      <c r="E497">
        <v>0</v>
      </c>
      <c r="F497" t="s">
        <v>2060</v>
      </c>
      <c r="G497">
        <v>200</v>
      </c>
      <c r="H497">
        <v>0</v>
      </c>
      <c r="I497" t="s">
        <v>140</v>
      </c>
      <c r="J497" t="s">
        <v>2061</v>
      </c>
      <c r="K497" t="s">
        <v>321</v>
      </c>
      <c r="L497" t="s">
        <v>27</v>
      </c>
      <c r="M497" t="s">
        <v>28</v>
      </c>
      <c r="N497" t="s">
        <v>2062</v>
      </c>
      <c r="O497" t="s">
        <v>27</v>
      </c>
      <c r="P497" t="s">
        <v>30</v>
      </c>
      <c r="Q497" t="s">
        <v>31</v>
      </c>
      <c r="R497" t="s">
        <v>32</v>
      </c>
      <c r="S497" t="s">
        <v>28</v>
      </c>
      <c r="T497" t="s">
        <v>2063</v>
      </c>
      <c r="U497" t="s">
        <v>2062</v>
      </c>
    </row>
    <row r="498" spans="1:21" x14ac:dyDescent="0.25">
      <c r="A498" t="s">
        <v>21</v>
      </c>
      <c r="B498" t="s">
        <v>22</v>
      </c>
      <c r="C498">
        <v>100</v>
      </c>
      <c r="D498">
        <v>1</v>
      </c>
      <c r="E498">
        <v>0</v>
      </c>
      <c r="F498" t="s">
        <v>2064</v>
      </c>
      <c r="G498">
        <v>106</v>
      </c>
      <c r="H498">
        <v>6</v>
      </c>
      <c r="I498" t="s">
        <v>140</v>
      </c>
      <c r="J498" t="s">
        <v>2065</v>
      </c>
      <c r="K498" t="s">
        <v>839</v>
      </c>
      <c r="L498" t="s">
        <v>27</v>
      </c>
      <c r="M498" t="s">
        <v>28</v>
      </c>
      <c r="N498" t="s">
        <v>2066</v>
      </c>
      <c r="O498" t="s">
        <v>27</v>
      </c>
      <c r="P498" t="s">
        <v>30</v>
      </c>
      <c r="Q498" t="s">
        <v>31</v>
      </c>
      <c r="R498" t="s">
        <v>32</v>
      </c>
      <c r="S498" t="s">
        <v>28</v>
      </c>
      <c r="T498" t="s">
        <v>2067</v>
      </c>
      <c r="U498" t="s">
        <v>2066</v>
      </c>
    </row>
    <row r="499" spans="1:21" x14ac:dyDescent="0.25">
      <c r="A499" t="s">
        <v>21</v>
      </c>
      <c r="B499" t="s">
        <v>22</v>
      </c>
      <c r="C499">
        <v>100</v>
      </c>
      <c r="D499">
        <v>1</v>
      </c>
      <c r="E499">
        <v>0</v>
      </c>
      <c r="F499" t="s">
        <v>2068</v>
      </c>
      <c r="G499">
        <v>200</v>
      </c>
      <c r="H499">
        <v>0</v>
      </c>
      <c r="I499" t="s">
        <v>140</v>
      </c>
      <c r="J499" t="s">
        <v>2069</v>
      </c>
      <c r="K499" t="s">
        <v>474</v>
      </c>
      <c r="L499" t="s">
        <v>27</v>
      </c>
      <c r="M499" t="s">
        <v>28</v>
      </c>
      <c r="N499" t="s">
        <v>2070</v>
      </c>
      <c r="O499" t="s">
        <v>27</v>
      </c>
      <c r="P499" t="s">
        <v>30</v>
      </c>
      <c r="Q499" t="s">
        <v>31</v>
      </c>
      <c r="R499" t="s">
        <v>32</v>
      </c>
      <c r="S499" t="s">
        <v>28</v>
      </c>
      <c r="T499" t="s">
        <v>2071</v>
      </c>
      <c r="U499" t="s">
        <v>2072</v>
      </c>
    </row>
    <row r="500" spans="1:21" x14ac:dyDescent="0.25">
      <c r="A500" t="s">
        <v>58</v>
      </c>
      <c r="B500" t="s">
        <v>58</v>
      </c>
      <c r="C500">
        <v>100</v>
      </c>
      <c r="D500">
        <v>1</v>
      </c>
      <c r="E500">
        <v>0</v>
      </c>
      <c r="F500" t="s">
        <v>2068</v>
      </c>
      <c r="G500">
        <v>200</v>
      </c>
      <c r="H500">
        <v>0</v>
      </c>
      <c r="I500" t="s">
        <v>140</v>
      </c>
      <c r="J500" t="s">
        <v>2069</v>
      </c>
      <c r="K500" t="s">
        <v>474</v>
      </c>
      <c r="L500" t="s">
        <v>27</v>
      </c>
      <c r="M500" t="s">
        <v>28</v>
      </c>
      <c r="N500" t="s">
        <v>2070</v>
      </c>
      <c r="O500" t="s">
        <v>27</v>
      </c>
      <c r="P500" t="s">
        <v>30</v>
      </c>
      <c r="Q500" t="s">
        <v>31</v>
      </c>
      <c r="R500" t="s">
        <v>32</v>
      </c>
      <c r="S500" t="s">
        <v>28</v>
      </c>
      <c r="T500" t="s">
        <v>2071</v>
      </c>
      <c r="U500" t="s">
        <v>2072</v>
      </c>
    </row>
    <row r="501" spans="1:21" x14ac:dyDescent="0.25">
      <c r="A501" t="s">
        <v>58</v>
      </c>
      <c r="B501" t="s">
        <v>58</v>
      </c>
      <c r="C501">
        <v>100</v>
      </c>
      <c r="D501">
        <v>2</v>
      </c>
      <c r="E501">
        <v>0</v>
      </c>
      <c r="F501" t="s">
        <v>2073</v>
      </c>
      <c r="G501">
        <v>200</v>
      </c>
      <c r="H501">
        <v>0</v>
      </c>
      <c r="I501" t="s">
        <v>24</v>
      </c>
      <c r="J501" t="s">
        <v>2074</v>
      </c>
      <c r="K501" t="s">
        <v>791</v>
      </c>
      <c r="L501" t="s">
        <v>27</v>
      </c>
      <c r="M501" t="s">
        <v>28</v>
      </c>
      <c r="N501" t="s">
        <v>2070</v>
      </c>
      <c r="O501" t="s">
        <v>27</v>
      </c>
      <c r="P501" t="s">
        <v>56</v>
      </c>
      <c r="Q501" t="s">
        <v>31</v>
      </c>
      <c r="R501" t="s">
        <v>57</v>
      </c>
      <c r="S501" t="s">
        <v>28</v>
      </c>
      <c r="T501" t="s">
        <v>2075</v>
      </c>
      <c r="U501" t="s">
        <v>2070</v>
      </c>
    </row>
    <row r="502" spans="1:21" x14ac:dyDescent="0.25">
      <c r="A502" t="s">
        <v>63</v>
      </c>
      <c r="B502" t="s">
        <v>64</v>
      </c>
      <c r="C502">
        <v>100</v>
      </c>
      <c r="D502">
        <v>1</v>
      </c>
      <c r="E502">
        <v>0</v>
      </c>
      <c r="F502" t="s">
        <v>2076</v>
      </c>
      <c r="G502">
        <v>106</v>
      </c>
      <c r="H502">
        <v>6</v>
      </c>
      <c r="I502" t="s">
        <v>24</v>
      </c>
      <c r="J502" t="s">
        <v>2077</v>
      </c>
      <c r="K502" t="s">
        <v>37</v>
      </c>
      <c r="L502" t="s">
        <v>27</v>
      </c>
      <c r="M502" t="s">
        <v>28</v>
      </c>
      <c r="N502" t="s">
        <v>2078</v>
      </c>
      <c r="O502" t="s">
        <v>27</v>
      </c>
      <c r="P502" t="s">
        <v>56</v>
      </c>
      <c r="Q502" t="s">
        <v>31</v>
      </c>
      <c r="R502" t="s">
        <v>57</v>
      </c>
      <c r="S502" t="s">
        <v>28</v>
      </c>
      <c r="T502" t="s">
        <v>2079</v>
      </c>
      <c r="U502" t="s">
        <v>2078</v>
      </c>
    </row>
    <row r="503" spans="1:21" x14ac:dyDescent="0.25">
      <c r="A503" t="s">
        <v>21</v>
      </c>
      <c r="B503" t="s">
        <v>22</v>
      </c>
      <c r="C503">
        <v>100</v>
      </c>
      <c r="D503">
        <v>1</v>
      </c>
      <c r="E503">
        <v>0</v>
      </c>
      <c r="F503" t="s">
        <v>2080</v>
      </c>
      <c r="G503">
        <v>300</v>
      </c>
      <c r="H503">
        <v>0</v>
      </c>
      <c r="I503" t="s">
        <v>140</v>
      </c>
      <c r="J503" t="s">
        <v>935</v>
      </c>
      <c r="K503" t="s">
        <v>147</v>
      </c>
      <c r="L503" t="s">
        <v>27</v>
      </c>
      <c r="M503" t="s">
        <v>28</v>
      </c>
      <c r="N503" t="s">
        <v>2081</v>
      </c>
      <c r="O503" t="s">
        <v>27</v>
      </c>
      <c r="P503" t="s">
        <v>30</v>
      </c>
      <c r="Q503" t="s">
        <v>31</v>
      </c>
      <c r="R503" t="s">
        <v>32</v>
      </c>
      <c r="S503" t="s">
        <v>28</v>
      </c>
      <c r="T503" t="s">
        <v>2082</v>
      </c>
      <c r="U503" t="s">
        <v>2081</v>
      </c>
    </row>
    <row r="504" spans="1:21" x14ac:dyDescent="0.25">
      <c r="A504" t="s">
        <v>63</v>
      </c>
      <c r="B504" t="s">
        <v>64</v>
      </c>
      <c r="C504">
        <v>100</v>
      </c>
      <c r="D504">
        <v>1</v>
      </c>
      <c r="E504">
        <v>0</v>
      </c>
      <c r="F504" t="s">
        <v>2080</v>
      </c>
      <c r="G504">
        <v>300</v>
      </c>
      <c r="H504">
        <v>0</v>
      </c>
      <c r="I504" t="s">
        <v>140</v>
      </c>
      <c r="J504" t="s">
        <v>935</v>
      </c>
      <c r="K504" t="s">
        <v>147</v>
      </c>
      <c r="L504" t="s">
        <v>27</v>
      </c>
      <c r="M504" t="s">
        <v>28</v>
      </c>
      <c r="N504" t="s">
        <v>2081</v>
      </c>
      <c r="O504" t="s">
        <v>27</v>
      </c>
      <c r="P504" t="s">
        <v>30</v>
      </c>
      <c r="Q504" t="s">
        <v>31</v>
      </c>
      <c r="R504" t="s">
        <v>32</v>
      </c>
      <c r="S504" t="s">
        <v>28</v>
      </c>
      <c r="T504" t="s">
        <v>2082</v>
      </c>
      <c r="U504" t="s">
        <v>2081</v>
      </c>
    </row>
    <row r="505" spans="1:21" x14ac:dyDescent="0.25">
      <c r="A505" t="s">
        <v>58</v>
      </c>
      <c r="B505" t="s">
        <v>58</v>
      </c>
      <c r="C505">
        <v>100</v>
      </c>
      <c r="D505">
        <v>1</v>
      </c>
      <c r="E505">
        <v>0</v>
      </c>
      <c r="F505" t="s">
        <v>2080</v>
      </c>
      <c r="G505">
        <v>300</v>
      </c>
      <c r="H505">
        <v>0</v>
      </c>
      <c r="I505" t="s">
        <v>140</v>
      </c>
      <c r="J505" t="s">
        <v>935</v>
      </c>
      <c r="K505" t="s">
        <v>147</v>
      </c>
      <c r="L505" t="s">
        <v>27</v>
      </c>
      <c r="M505" t="s">
        <v>28</v>
      </c>
      <c r="N505" t="s">
        <v>2081</v>
      </c>
      <c r="O505" t="s">
        <v>27</v>
      </c>
      <c r="P505" t="s">
        <v>30</v>
      </c>
      <c r="Q505" t="s">
        <v>31</v>
      </c>
      <c r="R505" t="s">
        <v>32</v>
      </c>
      <c r="S505" t="s">
        <v>28</v>
      </c>
      <c r="T505" t="s">
        <v>2082</v>
      </c>
      <c r="U505" t="s">
        <v>2081</v>
      </c>
    </row>
    <row r="506" spans="1:21" x14ac:dyDescent="0.25">
      <c r="A506" t="s">
        <v>134</v>
      </c>
      <c r="B506" t="s">
        <v>64</v>
      </c>
      <c r="C506">
        <v>100</v>
      </c>
      <c r="D506">
        <v>1</v>
      </c>
      <c r="E506">
        <v>0</v>
      </c>
      <c r="F506" t="s">
        <v>2083</v>
      </c>
      <c r="G506">
        <v>106</v>
      </c>
      <c r="H506">
        <v>6</v>
      </c>
      <c r="I506" t="s">
        <v>445</v>
      </c>
      <c r="J506" t="s">
        <v>700</v>
      </c>
      <c r="K506" t="s">
        <v>325</v>
      </c>
      <c r="L506" t="s">
        <v>27</v>
      </c>
      <c r="M506" t="s">
        <v>28</v>
      </c>
      <c r="N506" t="s">
        <v>2084</v>
      </c>
      <c r="O506" t="s">
        <v>27</v>
      </c>
      <c r="P506" t="s">
        <v>39</v>
      </c>
      <c r="Q506" t="s">
        <v>31</v>
      </c>
      <c r="R506" t="s">
        <v>32</v>
      </c>
      <c r="S506" t="s">
        <v>28</v>
      </c>
      <c r="T506" t="s">
        <v>2085</v>
      </c>
      <c r="U506" t="s">
        <v>2084</v>
      </c>
    </row>
    <row r="507" spans="1:21" x14ac:dyDescent="0.25">
      <c r="A507" t="s">
        <v>70</v>
      </c>
      <c r="B507" t="s">
        <v>70</v>
      </c>
      <c r="C507">
        <v>350</v>
      </c>
      <c r="D507">
        <v>1</v>
      </c>
      <c r="E507">
        <v>0</v>
      </c>
      <c r="F507" t="s">
        <v>2086</v>
      </c>
      <c r="G507">
        <v>350</v>
      </c>
      <c r="H507">
        <v>0</v>
      </c>
      <c r="I507" t="s">
        <v>140</v>
      </c>
      <c r="J507" t="s">
        <v>2087</v>
      </c>
      <c r="K507" t="s">
        <v>124</v>
      </c>
      <c r="L507" t="s">
        <v>27</v>
      </c>
      <c r="M507" t="s">
        <v>28</v>
      </c>
      <c r="N507" t="s">
        <v>2084</v>
      </c>
      <c r="O507" t="s">
        <v>27</v>
      </c>
      <c r="P507" t="s">
        <v>30</v>
      </c>
      <c r="Q507" t="s">
        <v>31</v>
      </c>
      <c r="R507" t="s">
        <v>32</v>
      </c>
      <c r="S507" t="s">
        <v>28</v>
      </c>
      <c r="T507" t="s">
        <v>2088</v>
      </c>
      <c r="U507" t="s">
        <v>2084</v>
      </c>
    </row>
    <row r="508" spans="1:21" x14ac:dyDescent="0.25">
      <c r="A508" t="s">
        <v>1513</v>
      </c>
      <c r="B508" t="s">
        <v>1514</v>
      </c>
      <c r="C508">
        <v>400</v>
      </c>
      <c r="D508">
        <v>1</v>
      </c>
      <c r="E508">
        <v>0</v>
      </c>
      <c r="F508" t="s">
        <v>2089</v>
      </c>
      <c r="G508">
        <v>400</v>
      </c>
      <c r="H508">
        <v>0</v>
      </c>
      <c r="I508" t="s">
        <v>140</v>
      </c>
      <c r="J508" t="s">
        <v>2090</v>
      </c>
      <c r="K508" t="s">
        <v>67</v>
      </c>
      <c r="L508" t="s">
        <v>27</v>
      </c>
      <c r="M508" t="s">
        <v>28</v>
      </c>
      <c r="N508" t="s">
        <v>2091</v>
      </c>
      <c r="O508" t="s">
        <v>27</v>
      </c>
      <c r="P508" t="s">
        <v>30</v>
      </c>
      <c r="Q508" t="s">
        <v>31</v>
      </c>
      <c r="R508" t="s">
        <v>32</v>
      </c>
      <c r="S508" t="s">
        <v>28</v>
      </c>
      <c r="T508" t="s">
        <v>2092</v>
      </c>
      <c r="U508" t="s">
        <v>2093</v>
      </c>
    </row>
    <row r="509" spans="1:21" x14ac:dyDescent="0.25">
      <c r="A509" t="s">
        <v>33</v>
      </c>
      <c r="B509" t="s">
        <v>34</v>
      </c>
      <c r="C509">
        <v>200</v>
      </c>
      <c r="D509">
        <v>1</v>
      </c>
      <c r="E509">
        <v>0</v>
      </c>
      <c r="F509" t="s">
        <v>2094</v>
      </c>
      <c r="G509">
        <v>200</v>
      </c>
      <c r="H509">
        <v>0</v>
      </c>
      <c r="I509" t="s">
        <v>445</v>
      </c>
      <c r="J509" t="s">
        <v>2095</v>
      </c>
      <c r="K509" t="s">
        <v>936</v>
      </c>
      <c r="L509" t="s">
        <v>27</v>
      </c>
      <c r="M509" t="s">
        <v>28</v>
      </c>
      <c r="N509" t="s">
        <v>2096</v>
      </c>
      <c r="O509" t="s">
        <v>27</v>
      </c>
      <c r="P509" t="s">
        <v>39</v>
      </c>
      <c r="Q509" t="s">
        <v>31</v>
      </c>
      <c r="R509" t="s">
        <v>32</v>
      </c>
      <c r="S509" t="s">
        <v>28</v>
      </c>
      <c r="T509" t="s">
        <v>2097</v>
      </c>
      <c r="U509" t="s">
        <v>2096</v>
      </c>
    </row>
    <row r="510" spans="1:21" x14ac:dyDescent="0.25">
      <c r="A510" t="s">
        <v>33</v>
      </c>
      <c r="B510" t="s">
        <v>34</v>
      </c>
      <c r="C510">
        <v>200</v>
      </c>
      <c r="D510">
        <v>1</v>
      </c>
      <c r="E510">
        <v>0</v>
      </c>
      <c r="F510" t="s">
        <v>2098</v>
      </c>
      <c r="G510">
        <v>200</v>
      </c>
      <c r="H510">
        <v>0</v>
      </c>
      <c r="I510" t="s">
        <v>445</v>
      </c>
      <c r="J510" t="s">
        <v>2099</v>
      </c>
      <c r="K510" t="s">
        <v>372</v>
      </c>
      <c r="L510" t="s">
        <v>27</v>
      </c>
      <c r="M510" t="s">
        <v>28</v>
      </c>
      <c r="N510" t="s">
        <v>2100</v>
      </c>
      <c r="O510" t="s">
        <v>27</v>
      </c>
      <c r="P510" t="s">
        <v>39</v>
      </c>
      <c r="Q510" t="s">
        <v>31</v>
      </c>
      <c r="R510" t="s">
        <v>32</v>
      </c>
      <c r="S510" t="s">
        <v>28</v>
      </c>
      <c r="T510" t="s">
        <v>2101</v>
      </c>
      <c r="U510" t="s">
        <v>2100</v>
      </c>
    </row>
    <row r="511" spans="1:21" x14ac:dyDescent="0.25">
      <c r="A511" t="s">
        <v>456</v>
      </c>
      <c r="B511" t="s">
        <v>457</v>
      </c>
      <c r="C511">
        <v>225</v>
      </c>
      <c r="D511">
        <v>2</v>
      </c>
      <c r="E511">
        <v>0</v>
      </c>
      <c r="F511" t="s">
        <v>2102</v>
      </c>
      <c r="G511">
        <v>514</v>
      </c>
      <c r="H511">
        <v>64</v>
      </c>
      <c r="I511" t="s">
        <v>445</v>
      </c>
      <c r="J511" t="s">
        <v>2103</v>
      </c>
      <c r="K511" t="s">
        <v>2104</v>
      </c>
      <c r="L511" t="s">
        <v>2105</v>
      </c>
      <c r="M511" t="s">
        <v>926</v>
      </c>
      <c r="N511" t="s">
        <v>2106</v>
      </c>
      <c r="O511" t="s">
        <v>27</v>
      </c>
      <c r="P511" t="s">
        <v>193</v>
      </c>
      <c r="Q511" t="s">
        <v>85</v>
      </c>
      <c r="R511" t="s">
        <v>86</v>
      </c>
      <c r="S511" t="s">
        <v>28</v>
      </c>
      <c r="T511" t="s">
        <v>2107</v>
      </c>
      <c r="U511" t="s">
        <v>2108</v>
      </c>
    </row>
    <row r="512" spans="1:21" x14ac:dyDescent="0.25">
      <c r="A512" t="s">
        <v>21</v>
      </c>
      <c r="B512" t="s">
        <v>22</v>
      </c>
      <c r="C512">
        <v>100</v>
      </c>
      <c r="D512">
        <v>3</v>
      </c>
      <c r="E512">
        <v>0</v>
      </c>
      <c r="F512" t="s">
        <v>2109</v>
      </c>
      <c r="G512">
        <v>300</v>
      </c>
      <c r="H512">
        <v>0</v>
      </c>
      <c r="I512" t="s">
        <v>24</v>
      </c>
      <c r="J512" t="s">
        <v>522</v>
      </c>
      <c r="K512" t="s">
        <v>388</v>
      </c>
      <c r="L512" t="s">
        <v>27</v>
      </c>
      <c r="M512" t="s">
        <v>28</v>
      </c>
      <c r="N512" t="s">
        <v>2110</v>
      </c>
      <c r="O512" t="s">
        <v>27</v>
      </c>
      <c r="P512" t="s">
        <v>56</v>
      </c>
      <c r="Q512" t="s">
        <v>31</v>
      </c>
      <c r="R512" t="s">
        <v>57</v>
      </c>
      <c r="S512" t="s">
        <v>28</v>
      </c>
      <c r="T512" t="s">
        <v>2111</v>
      </c>
      <c r="U512" t="s">
        <v>2110</v>
      </c>
    </row>
    <row r="513" spans="1:21" x14ac:dyDescent="0.25">
      <c r="A513" t="s">
        <v>63</v>
      </c>
      <c r="B513" t="s">
        <v>64</v>
      </c>
      <c r="C513">
        <v>100</v>
      </c>
      <c r="D513">
        <v>1</v>
      </c>
      <c r="E513">
        <v>0</v>
      </c>
      <c r="F513" t="s">
        <v>2112</v>
      </c>
      <c r="G513">
        <v>200</v>
      </c>
      <c r="H513">
        <v>0</v>
      </c>
      <c r="I513" t="s">
        <v>140</v>
      </c>
      <c r="J513" t="s">
        <v>2113</v>
      </c>
      <c r="K513" t="s">
        <v>677</v>
      </c>
      <c r="L513" t="s">
        <v>27</v>
      </c>
      <c r="M513" t="s">
        <v>28</v>
      </c>
      <c r="N513" t="s">
        <v>2114</v>
      </c>
      <c r="O513" t="s">
        <v>27</v>
      </c>
      <c r="P513" t="s">
        <v>30</v>
      </c>
      <c r="Q513" t="s">
        <v>31</v>
      </c>
      <c r="R513" t="s">
        <v>32</v>
      </c>
      <c r="S513" t="s">
        <v>28</v>
      </c>
      <c r="T513" t="s">
        <v>2115</v>
      </c>
      <c r="U513" t="s">
        <v>2114</v>
      </c>
    </row>
    <row r="514" spans="1:21" x14ac:dyDescent="0.25">
      <c r="A514" t="s">
        <v>21</v>
      </c>
      <c r="B514" t="s">
        <v>22</v>
      </c>
      <c r="C514">
        <v>100</v>
      </c>
      <c r="D514">
        <v>1</v>
      </c>
      <c r="E514">
        <v>0</v>
      </c>
      <c r="F514" t="s">
        <v>2112</v>
      </c>
      <c r="G514">
        <v>200</v>
      </c>
      <c r="H514">
        <v>0</v>
      </c>
      <c r="I514" t="s">
        <v>140</v>
      </c>
      <c r="J514" t="s">
        <v>2113</v>
      </c>
      <c r="K514" t="s">
        <v>677</v>
      </c>
      <c r="L514" t="s">
        <v>27</v>
      </c>
      <c r="M514" t="s">
        <v>28</v>
      </c>
      <c r="N514" t="s">
        <v>2114</v>
      </c>
      <c r="O514" t="s">
        <v>27</v>
      </c>
      <c r="P514" t="s">
        <v>30</v>
      </c>
      <c r="Q514" t="s">
        <v>31</v>
      </c>
      <c r="R514" t="s">
        <v>32</v>
      </c>
      <c r="S514" t="s">
        <v>28</v>
      </c>
      <c r="T514" t="s">
        <v>2115</v>
      </c>
      <c r="U514" t="s">
        <v>2114</v>
      </c>
    </row>
    <row r="515" spans="1:21" x14ac:dyDescent="0.25">
      <c r="A515" t="s">
        <v>1513</v>
      </c>
      <c r="B515" t="s">
        <v>1514</v>
      </c>
      <c r="C515">
        <v>400</v>
      </c>
      <c r="D515">
        <v>1</v>
      </c>
      <c r="E515">
        <v>0</v>
      </c>
      <c r="F515" t="s">
        <v>2116</v>
      </c>
      <c r="G515">
        <v>400</v>
      </c>
      <c r="H515">
        <v>0</v>
      </c>
      <c r="I515" t="s">
        <v>140</v>
      </c>
      <c r="J515" t="s">
        <v>2117</v>
      </c>
      <c r="K515" t="s">
        <v>346</v>
      </c>
      <c r="L515" t="s">
        <v>27</v>
      </c>
      <c r="M515" t="s">
        <v>28</v>
      </c>
      <c r="N515" t="s">
        <v>2118</v>
      </c>
      <c r="O515" t="s">
        <v>27</v>
      </c>
      <c r="P515" t="s">
        <v>369</v>
      </c>
      <c r="Q515" t="s">
        <v>31</v>
      </c>
      <c r="R515" t="s">
        <v>57</v>
      </c>
      <c r="S515" t="s">
        <v>28</v>
      </c>
      <c r="T515" t="s">
        <v>2119</v>
      </c>
      <c r="U515" t="s">
        <v>2118</v>
      </c>
    </row>
    <row r="516" spans="1:21" x14ac:dyDescent="0.25">
      <c r="A516" t="s">
        <v>21</v>
      </c>
      <c r="B516" t="s">
        <v>22</v>
      </c>
      <c r="C516">
        <v>100</v>
      </c>
      <c r="D516">
        <v>1</v>
      </c>
      <c r="E516">
        <v>0</v>
      </c>
      <c r="F516" t="s">
        <v>2120</v>
      </c>
      <c r="G516">
        <v>106</v>
      </c>
      <c r="H516">
        <v>6</v>
      </c>
      <c r="I516" t="s">
        <v>24</v>
      </c>
      <c r="J516" t="s">
        <v>2121</v>
      </c>
      <c r="K516" t="s">
        <v>250</v>
      </c>
      <c r="L516" t="s">
        <v>27</v>
      </c>
      <c r="M516" t="s">
        <v>28</v>
      </c>
      <c r="N516" t="s">
        <v>2122</v>
      </c>
      <c r="O516" t="s">
        <v>27</v>
      </c>
      <c r="P516" t="s">
        <v>39</v>
      </c>
      <c r="Q516" t="s">
        <v>31</v>
      </c>
      <c r="R516" t="s">
        <v>32</v>
      </c>
      <c r="S516" t="s">
        <v>28</v>
      </c>
      <c r="T516" t="s">
        <v>2123</v>
      </c>
      <c r="U516" t="s">
        <v>2124</v>
      </c>
    </row>
    <row r="517" spans="1:21" x14ac:dyDescent="0.25">
      <c r="A517" t="s">
        <v>58</v>
      </c>
      <c r="B517" t="s">
        <v>58</v>
      </c>
      <c r="C517">
        <v>100</v>
      </c>
      <c r="D517">
        <v>13</v>
      </c>
      <c r="E517">
        <v>0</v>
      </c>
      <c r="F517" t="s">
        <v>2125</v>
      </c>
      <c r="G517">
        <v>1300</v>
      </c>
      <c r="H517">
        <v>0</v>
      </c>
      <c r="I517" t="s">
        <v>140</v>
      </c>
      <c r="J517" t="s">
        <v>2126</v>
      </c>
      <c r="K517" t="s">
        <v>124</v>
      </c>
      <c r="L517" t="s">
        <v>27</v>
      </c>
      <c r="M517" t="s">
        <v>28</v>
      </c>
      <c r="N517" t="s">
        <v>2127</v>
      </c>
      <c r="O517" t="s">
        <v>27</v>
      </c>
      <c r="P517" t="s">
        <v>30</v>
      </c>
      <c r="Q517" t="s">
        <v>31</v>
      </c>
      <c r="R517" t="s">
        <v>32</v>
      </c>
      <c r="S517" t="s">
        <v>28</v>
      </c>
      <c r="T517" t="s">
        <v>2128</v>
      </c>
      <c r="U517" t="s">
        <v>2127</v>
      </c>
    </row>
    <row r="518" spans="1:21" x14ac:dyDescent="0.25">
      <c r="A518" t="s">
        <v>143</v>
      </c>
      <c r="B518" t="s">
        <v>144</v>
      </c>
      <c r="C518">
        <v>200</v>
      </c>
      <c r="D518">
        <v>1</v>
      </c>
      <c r="E518">
        <v>0</v>
      </c>
      <c r="F518" t="s">
        <v>2129</v>
      </c>
      <c r="G518">
        <v>200</v>
      </c>
      <c r="H518">
        <v>0</v>
      </c>
      <c r="I518" t="s">
        <v>140</v>
      </c>
      <c r="J518" t="s">
        <v>2130</v>
      </c>
      <c r="K518" t="s">
        <v>384</v>
      </c>
      <c r="L518" t="s">
        <v>27</v>
      </c>
      <c r="M518" t="s">
        <v>28</v>
      </c>
      <c r="N518" t="s">
        <v>2131</v>
      </c>
      <c r="O518" t="s">
        <v>27</v>
      </c>
      <c r="P518" t="s">
        <v>30</v>
      </c>
      <c r="Q518" t="s">
        <v>31</v>
      </c>
      <c r="R518" t="s">
        <v>32</v>
      </c>
      <c r="S518" t="s">
        <v>28</v>
      </c>
      <c r="T518" t="s">
        <v>2132</v>
      </c>
      <c r="U518" t="s">
        <v>2127</v>
      </c>
    </row>
    <row r="519" spans="1:21" x14ac:dyDescent="0.25">
      <c r="A519" t="s">
        <v>456</v>
      </c>
      <c r="B519" t="s">
        <v>1178</v>
      </c>
      <c r="C519">
        <v>141.81</v>
      </c>
      <c r="D519">
        <v>1</v>
      </c>
      <c r="E519">
        <v>0</v>
      </c>
      <c r="F519" t="s">
        <v>2133</v>
      </c>
      <c r="G519">
        <v>141.81</v>
      </c>
      <c r="H519">
        <v>0</v>
      </c>
      <c r="I519" t="s">
        <v>628</v>
      </c>
      <c r="J519" t="s">
        <v>2134</v>
      </c>
      <c r="K519" t="s">
        <v>2135</v>
      </c>
      <c r="L519" t="s">
        <v>2136</v>
      </c>
      <c r="M519" t="s">
        <v>2137</v>
      </c>
      <c r="N519" t="s">
        <v>2138</v>
      </c>
      <c r="O519" t="s">
        <v>27</v>
      </c>
      <c r="P519" t="s">
        <v>48</v>
      </c>
      <c r="Q519" t="s">
        <v>49</v>
      </c>
      <c r="R519" t="s">
        <v>50</v>
      </c>
      <c r="S519" t="s">
        <v>28</v>
      </c>
      <c r="T519" t="s">
        <v>2139</v>
      </c>
      <c r="U519" t="s">
        <v>2138</v>
      </c>
    </row>
    <row r="520" spans="1:21" x14ac:dyDescent="0.25">
      <c r="A520" t="s">
        <v>21</v>
      </c>
      <c r="B520" t="s">
        <v>22</v>
      </c>
      <c r="C520">
        <v>100</v>
      </c>
      <c r="D520">
        <v>1</v>
      </c>
      <c r="E520">
        <v>0</v>
      </c>
      <c r="F520" t="s">
        <v>2140</v>
      </c>
      <c r="G520">
        <v>200</v>
      </c>
      <c r="H520">
        <v>0</v>
      </c>
      <c r="I520" t="s">
        <v>140</v>
      </c>
      <c r="J520" t="s">
        <v>2141</v>
      </c>
      <c r="K520" t="s">
        <v>1629</v>
      </c>
      <c r="L520" t="s">
        <v>27</v>
      </c>
      <c r="M520" t="s">
        <v>28</v>
      </c>
      <c r="N520" t="s">
        <v>2142</v>
      </c>
      <c r="O520" t="s">
        <v>27</v>
      </c>
      <c r="P520" t="s">
        <v>30</v>
      </c>
      <c r="Q520" t="s">
        <v>31</v>
      </c>
      <c r="R520" t="s">
        <v>32</v>
      </c>
      <c r="S520" t="s">
        <v>28</v>
      </c>
      <c r="T520" t="s">
        <v>2143</v>
      </c>
      <c r="U520" t="s">
        <v>2142</v>
      </c>
    </row>
    <row r="521" spans="1:21" x14ac:dyDescent="0.25">
      <c r="A521" t="s">
        <v>134</v>
      </c>
      <c r="B521" t="s">
        <v>64</v>
      </c>
      <c r="C521">
        <v>100</v>
      </c>
      <c r="D521">
        <v>1</v>
      </c>
      <c r="E521">
        <v>0</v>
      </c>
      <c r="F521" t="s">
        <v>2140</v>
      </c>
      <c r="G521">
        <v>200</v>
      </c>
      <c r="H521">
        <v>0</v>
      </c>
      <c r="I521" t="s">
        <v>140</v>
      </c>
      <c r="J521" t="s">
        <v>2141</v>
      </c>
      <c r="K521" t="s">
        <v>1629</v>
      </c>
      <c r="L521" t="s">
        <v>27</v>
      </c>
      <c r="M521" t="s">
        <v>28</v>
      </c>
      <c r="N521" t="s">
        <v>2142</v>
      </c>
      <c r="O521" t="s">
        <v>27</v>
      </c>
      <c r="P521" t="s">
        <v>30</v>
      </c>
      <c r="Q521" t="s">
        <v>31</v>
      </c>
      <c r="R521" t="s">
        <v>32</v>
      </c>
      <c r="S521" t="s">
        <v>28</v>
      </c>
      <c r="T521" t="s">
        <v>2143</v>
      </c>
      <c r="U521" t="s">
        <v>2142</v>
      </c>
    </row>
    <row r="522" spans="1:21" x14ac:dyDescent="0.25">
      <c r="A522" t="s">
        <v>2144</v>
      </c>
      <c r="B522" t="s">
        <v>2145</v>
      </c>
      <c r="C522">
        <v>112.44</v>
      </c>
      <c r="D522">
        <v>1</v>
      </c>
      <c r="E522">
        <v>0</v>
      </c>
      <c r="F522" t="s">
        <v>2146</v>
      </c>
      <c r="G522">
        <v>117.44</v>
      </c>
      <c r="H522">
        <v>5</v>
      </c>
      <c r="I522" t="s">
        <v>720</v>
      </c>
      <c r="J522" t="s">
        <v>2147</v>
      </c>
      <c r="K522" t="s">
        <v>2148</v>
      </c>
      <c r="L522" t="s">
        <v>2149</v>
      </c>
      <c r="M522" t="s">
        <v>2150</v>
      </c>
      <c r="N522" t="s">
        <v>2151</v>
      </c>
      <c r="O522" t="s">
        <v>27</v>
      </c>
      <c r="P522" t="s">
        <v>48</v>
      </c>
      <c r="Q522" t="s">
        <v>49</v>
      </c>
      <c r="R522" t="s">
        <v>50</v>
      </c>
      <c r="S522" t="s">
        <v>28</v>
      </c>
      <c r="T522" t="s">
        <v>2152</v>
      </c>
      <c r="U522" t="s">
        <v>2151</v>
      </c>
    </row>
    <row r="523" spans="1:21" x14ac:dyDescent="0.25">
      <c r="A523" t="s">
        <v>456</v>
      </c>
      <c r="B523" t="s">
        <v>718</v>
      </c>
      <c r="C523">
        <v>220</v>
      </c>
      <c r="D523">
        <v>1</v>
      </c>
      <c r="E523">
        <v>0</v>
      </c>
      <c r="F523" t="s">
        <v>2153</v>
      </c>
      <c r="G523">
        <v>220</v>
      </c>
      <c r="H523">
        <v>0</v>
      </c>
      <c r="I523" t="s">
        <v>720</v>
      </c>
      <c r="J523" t="s">
        <v>2154</v>
      </c>
      <c r="K523" t="s">
        <v>2155</v>
      </c>
      <c r="L523" t="s">
        <v>2156</v>
      </c>
      <c r="M523" t="s">
        <v>2157</v>
      </c>
      <c r="N523" t="s">
        <v>2158</v>
      </c>
      <c r="O523" t="s">
        <v>27</v>
      </c>
      <c r="P523" t="s">
        <v>48</v>
      </c>
      <c r="Q523" t="s">
        <v>49</v>
      </c>
      <c r="R523" t="s">
        <v>50</v>
      </c>
      <c r="S523" t="s">
        <v>28</v>
      </c>
      <c r="T523" t="s">
        <v>2159</v>
      </c>
      <c r="U523" t="s">
        <v>2160</v>
      </c>
    </row>
    <row r="524" spans="1:21" x14ac:dyDescent="0.25">
      <c r="A524" t="s">
        <v>195</v>
      </c>
      <c r="B524" t="s">
        <v>1003</v>
      </c>
      <c r="C524">
        <v>119.84</v>
      </c>
      <c r="D524">
        <v>1</v>
      </c>
      <c r="E524">
        <v>0</v>
      </c>
      <c r="F524" t="s">
        <v>2161</v>
      </c>
      <c r="G524">
        <v>124.84</v>
      </c>
      <c r="H524">
        <v>5</v>
      </c>
      <c r="I524" t="s">
        <v>628</v>
      </c>
      <c r="J524" t="s">
        <v>2162</v>
      </c>
      <c r="K524" t="s">
        <v>2163</v>
      </c>
      <c r="L524" t="s">
        <v>1907</v>
      </c>
      <c r="M524" t="s">
        <v>2164</v>
      </c>
      <c r="N524" t="s">
        <v>2165</v>
      </c>
      <c r="O524" t="s">
        <v>27</v>
      </c>
      <c r="P524" t="s">
        <v>48</v>
      </c>
      <c r="Q524" t="s">
        <v>49</v>
      </c>
      <c r="R524" t="s">
        <v>50</v>
      </c>
      <c r="S524" t="s">
        <v>28</v>
      </c>
      <c r="T524" t="s">
        <v>2166</v>
      </c>
      <c r="U524" t="s">
        <v>2167</v>
      </c>
    </row>
    <row r="525" spans="1:21" x14ac:dyDescent="0.25">
      <c r="A525" t="s">
        <v>2168</v>
      </c>
      <c r="B525" t="s">
        <v>2169</v>
      </c>
      <c r="C525">
        <v>25.5</v>
      </c>
      <c r="D525">
        <v>1</v>
      </c>
      <c r="E525">
        <v>0</v>
      </c>
      <c r="F525" t="s">
        <v>2170</v>
      </c>
      <c r="G525">
        <v>25.5</v>
      </c>
      <c r="H525">
        <v>0</v>
      </c>
      <c r="I525" t="s">
        <v>24</v>
      </c>
      <c r="J525" t="s">
        <v>2171</v>
      </c>
      <c r="K525" t="s">
        <v>2172</v>
      </c>
      <c r="L525" t="s">
        <v>2173</v>
      </c>
      <c r="M525" t="s">
        <v>2174</v>
      </c>
      <c r="N525" t="s">
        <v>2158</v>
      </c>
      <c r="O525" t="s">
        <v>27</v>
      </c>
      <c r="P525" t="s">
        <v>48</v>
      </c>
      <c r="Q525" t="s">
        <v>49</v>
      </c>
      <c r="R525" t="s">
        <v>50</v>
      </c>
      <c r="S525" t="s">
        <v>28</v>
      </c>
      <c r="T525" t="s">
        <v>2175</v>
      </c>
      <c r="U525" t="s">
        <v>2167</v>
      </c>
    </row>
    <row r="526" spans="1:21" x14ac:dyDescent="0.25">
      <c r="A526" t="s">
        <v>21</v>
      </c>
      <c r="B526" t="s">
        <v>22</v>
      </c>
      <c r="C526">
        <v>100</v>
      </c>
      <c r="D526">
        <v>2</v>
      </c>
      <c r="E526">
        <v>0</v>
      </c>
      <c r="F526" t="s">
        <v>2176</v>
      </c>
      <c r="G526">
        <v>200</v>
      </c>
      <c r="H526">
        <v>0</v>
      </c>
      <c r="I526" t="s">
        <v>140</v>
      </c>
      <c r="J526" t="s">
        <v>2177</v>
      </c>
      <c r="K526" t="s">
        <v>594</v>
      </c>
      <c r="L526" t="s">
        <v>27</v>
      </c>
      <c r="M526" t="s">
        <v>28</v>
      </c>
      <c r="N526" t="s">
        <v>2167</v>
      </c>
      <c r="O526" t="s">
        <v>27</v>
      </c>
      <c r="P526" t="s">
        <v>30</v>
      </c>
      <c r="Q526" t="s">
        <v>31</v>
      </c>
      <c r="R526" t="s">
        <v>32</v>
      </c>
      <c r="S526" t="s">
        <v>28</v>
      </c>
      <c r="T526" t="s">
        <v>2178</v>
      </c>
      <c r="U526" t="s">
        <v>2167</v>
      </c>
    </row>
    <row r="527" spans="1:21" x14ac:dyDescent="0.25">
      <c r="A527" t="s">
        <v>63</v>
      </c>
      <c r="B527" t="s">
        <v>64</v>
      </c>
      <c r="C527">
        <v>100</v>
      </c>
      <c r="D527">
        <v>1</v>
      </c>
      <c r="E527">
        <v>0</v>
      </c>
      <c r="F527" t="s">
        <v>2179</v>
      </c>
      <c r="G527">
        <v>100</v>
      </c>
      <c r="H527">
        <v>0</v>
      </c>
      <c r="I527" t="s">
        <v>445</v>
      </c>
      <c r="J527" t="s">
        <v>2180</v>
      </c>
      <c r="K527" t="s">
        <v>247</v>
      </c>
      <c r="L527" t="s">
        <v>27</v>
      </c>
      <c r="M527" t="s">
        <v>28</v>
      </c>
      <c r="N527" t="s">
        <v>2181</v>
      </c>
      <c r="O527" t="s">
        <v>27</v>
      </c>
      <c r="P527" t="s">
        <v>39</v>
      </c>
      <c r="Q527" t="s">
        <v>31</v>
      </c>
      <c r="R527" t="s">
        <v>32</v>
      </c>
      <c r="S527" t="s">
        <v>28</v>
      </c>
      <c r="T527" t="s">
        <v>2182</v>
      </c>
      <c r="U527" t="s">
        <v>2181</v>
      </c>
    </row>
    <row r="528" spans="1:21" x14ac:dyDescent="0.25">
      <c r="A528" t="s">
        <v>635</v>
      </c>
      <c r="B528" t="s">
        <v>714</v>
      </c>
      <c r="C528">
        <v>447.27</v>
      </c>
      <c r="D528">
        <v>1</v>
      </c>
      <c r="E528">
        <v>0</v>
      </c>
      <c r="F528" t="s">
        <v>2183</v>
      </c>
      <c r="G528">
        <v>461.27</v>
      </c>
      <c r="H528">
        <v>14</v>
      </c>
      <c r="I528" t="s">
        <v>628</v>
      </c>
      <c r="J528" t="s">
        <v>2184</v>
      </c>
      <c r="K528" t="s">
        <v>2185</v>
      </c>
      <c r="L528" t="s">
        <v>2186</v>
      </c>
      <c r="M528" t="s">
        <v>2187</v>
      </c>
      <c r="N528" t="s">
        <v>2181</v>
      </c>
      <c r="O528" t="s">
        <v>27</v>
      </c>
      <c r="P528" t="s">
        <v>48</v>
      </c>
      <c r="Q528" t="s">
        <v>49</v>
      </c>
      <c r="R528" t="s">
        <v>50</v>
      </c>
      <c r="S528" t="s">
        <v>28</v>
      </c>
      <c r="T528" t="s">
        <v>2188</v>
      </c>
      <c r="U528" t="s">
        <v>2181</v>
      </c>
    </row>
    <row r="529" spans="1:21" x14ac:dyDescent="0.25">
      <c r="A529" t="s">
        <v>143</v>
      </c>
      <c r="B529" t="s">
        <v>144</v>
      </c>
      <c r="C529">
        <v>200</v>
      </c>
      <c r="D529">
        <v>1</v>
      </c>
      <c r="E529">
        <v>0</v>
      </c>
      <c r="F529" t="s">
        <v>2189</v>
      </c>
      <c r="G529">
        <v>200</v>
      </c>
      <c r="H529">
        <v>0</v>
      </c>
      <c r="I529" t="s">
        <v>140</v>
      </c>
      <c r="J529" t="s">
        <v>2190</v>
      </c>
      <c r="K529" t="s">
        <v>2191</v>
      </c>
      <c r="L529" t="s">
        <v>27</v>
      </c>
      <c r="M529" t="s">
        <v>28</v>
      </c>
      <c r="N529" t="s">
        <v>2192</v>
      </c>
      <c r="O529" t="s">
        <v>27</v>
      </c>
      <c r="P529" t="s">
        <v>30</v>
      </c>
      <c r="Q529" t="s">
        <v>31</v>
      </c>
      <c r="R529" t="s">
        <v>32</v>
      </c>
      <c r="S529" t="s">
        <v>28</v>
      </c>
      <c r="T529" t="s">
        <v>2193</v>
      </c>
      <c r="U529" t="s">
        <v>2192</v>
      </c>
    </row>
    <row r="530" spans="1:21" x14ac:dyDescent="0.25">
      <c r="A530" t="s">
        <v>143</v>
      </c>
      <c r="B530" t="s">
        <v>144</v>
      </c>
      <c r="C530">
        <v>200</v>
      </c>
      <c r="D530">
        <v>1</v>
      </c>
      <c r="E530">
        <v>0</v>
      </c>
      <c r="F530" t="s">
        <v>2194</v>
      </c>
      <c r="G530">
        <v>200</v>
      </c>
      <c r="H530">
        <v>0</v>
      </c>
      <c r="I530" t="s">
        <v>140</v>
      </c>
      <c r="J530" t="s">
        <v>2195</v>
      </c>
      <c r="K530" t="s">
        <v>241</v>
      </c>
      <c r="L530" t="s">
        <v>27</v>
      </c>
      <c r="M530" t="s">
        <v>28</v>
      </c>
      <c r="N530" t="s">
        <v>2196</v>
      </c>
      <c r="O530" t="s">
        <v>27</v>
      </c>
      <c r="P530" t="s">
        <v>30</v>
      </c>
      <c r="Q530" t="s">
        <v>31</v>
      </c>
      <c r="R530" t="s">
        <v>32</v>
      </c>
      <c r="S530" t="s">
        <v>28</v>
      </c>
      <c r="T530" t="s">
        <v>2197</v>
      </c>
      <c r="U530" t="s">
        <v>2196</v>
      </c>
    </row>
    <row r="531" spans="1:21" x14ac:dyDescent="0.25">
      <c r="A531" t="s">
        <v>70</v>
      </c>
      <c r="B531" t="s">
        <v>70</v>
      </c>
      <c r="C531">
        <v>330</v>
      </c>
      <c r="D531">
        <v>2</v>
      </c>
      <c r="E531">
        <v>0</v>
      </c>
      <c r="F531" t="s">
        <v>2198</v>
      </c>
      <c r="G531">
        <v>660</v>
      </c>
      <c r="H531">
        <v>0</v>
      </c>
      <c r="I531" t="s">
        <v>24</v>
      </c>
      <c r="J531" t="s">
        <v>2199</v>
      </c>
      <c r="K531" t="s">
        <v>285</v>
      </c>
      <c r="L531" t="s">
        <v>27</v>
      </c>
      <c r="M531" t="s">
        <v>28</v>
      </c>
      <c r="N531" t="s">
        <v>2200</v>
      </c>
      <c r="O531" t="s">
        <v>27</v>
      </c>
      <c r="P531" t="s">
        <v>39</v>
      </c>
      <c r="Q531" t="s">
        <v>31</v>
      </c>
      <c r="R531" t="s">
        <v>32</v>
      </c>
      <c r="S531" t="s">
        <v>2201</v>
      </c>
      <c r="T531" t="s">
        <v>2202</v>
      </c>
      <c r="U531" t="s">
        <v>2200</v>
      </c>
    </row>
    <row r="532" spans="1:21" x14ac:dyDescent="0.25">
      <c r="A532" t="s">
        <v>33</v>
      </c>
      <c r="B532" t="s">
        <v>34</v>
      </c>
      <c r="C532">
        <v>200</v>
      </c>
      <c r="D532">
        <v>1</v>
      </c>
      <c r="E532">
        <v>0</v>
      </c>
      <c r="F532" t="s">
        <v>2203</v>
      </c>
      <c r="G532">
        <v>200</v>
      </c>
      <c r="H532">
        <v>0</v>
      </c>
      <c r="I532" t="s">
        <v>24</v>
      </c>
      <c r="J532" t="s">
        <v>2204</v>
      </c>
      <c r="K532" t="s">
        <v>237</v>
      </c>
      <c r="L532" t="s">
        <v>27</v>
      </c>
      <c r="M532" t="s">
        <v>28</v>
      </c>
      <c r="N532" t="s">
        <v>2205</v>
      </c>
      <c r="O532" t="s">
        <v>27</v>
      </c>
      <c r="P532" t="s">
        <v>30</v>
      </c>
      <c r="Q532" t="s">
        <v>31</v>
      </c>
      <c r="R532" t="s">
        <v>32</v>
      </c>
      <c r="S532" t="s">
        <v>28</v>
      </c>
      <c r="T532" t="s">
        <v>2206</v>
      </c>
      <c r="U532" t="s">
        <v>2205</v>
      </c>
    </row>
    <row r="533" spans="1:21" x14ac:dyDescent="0.25">
      <c r="A533" t="s">
        <v>21</v>
      </c>
      <c r="B533" t="s">
        <v>22</v>
      </c>
      <c r="C533">
        <v>100</v>
      </c>
      <c r="D533">
        <v>1</v>
      </c>
      <c r="E533">
        <v>0</v>
      </c>
      <c r="F533" t="s">
        <v>2207</v>
      </c>
      <c r="G533">
        <v>100</v>
      </c>
      <c r="H533">
        <v>0</v>
      </c>
      <c r="I533" t="s">
        <v>445</v>
      </c>
      <c r="J533" t="s">
        <v>2208</v>
      </c>
      <c r="K533" t="s">
        <v>213</v>
      </c>
      <c r="L533" t="s">
        <v>27</v>
      </c>
      <c r="M533" t="s">
        <v>28</v>
      </c>
      <c r="N533" t="s">
        <v>2209</v>
      </c>
      <c r="O533" t="s">
        <v>27</v>
      </c>
      <c r="P533" t="s">
        <v>39</v>
      </c>
      <c r="Q533" t="s">
        <v>31</v>
      </c>
      <c r="R533" t="s">
        <v>32</v>
      </c>
      <c r="S533" t="s">
        <v>28</v>
      </c>
      <c r="T533" t="s">
        <v>2210</v>
      </c>
      <c r="U533" t="s">
        <v>2209</v>
      </c>
    </row>
    <row r="534" spans="1:21" x14ac:dyDescent="0.25">
      <c r="A534" t="s">
        <v>58</v>
      </c>
      <c r="B534" t="s">
        <v>58</v>
      </c>
      <c r="C534">
        <v>100</v>
      </c>
      <c r="D534">
        <v>2</v>
      </c>
      <c r="E534">
        <v>0</v>
      </c>
      <c r="F534" t="s">
        <v>2211</v>
      </c>
      <c r="G534">
        <v>200</v>
      </c>
      <c r="H534">
        <v>0</v>
      </c>
      <c r="I534" t="s">
        <v>140</v>
      </c>
      <c r="J534" t="s">
        <v>2212</v>
      </c>
      <c r="K534" t="s">
        <v>331</v>
      </c>
      <c r="L534" t="s">
        <v>27</v>
      </c>
      <c r="M534" t="s">
        <v>28</v>
      </c>
      <c r="N534" t="s">
        <v>2213</v>
      </c>
      <c r="O534" t="s">
        <v>27</v>
      </c>
      <c r="P534" t="s">
        <v>30</v>
      </c>
      <c r="Q534" t="s">
        <v>31</v>
      </c>
      <c r="R534" t="s">
        <v>32</v>
      </c>
      <c r="S534" t="s">
        <v>28</v>
      </c>
      <c r="T534" t="s">
        <v>2214</v>
      </c>
      <c r="U534" t="s">
        <v>2213</v>
      </c>
    </row>
    <row r="535" spans="1:21" x14ac:dyDescent="0.25">
      <c r="A535" t="s">
        <v>1513</v>
      </c>
      <c r="B535" t="s">
        <v>1514</v>
      </c>
      <c r="C535">
        <v>400</v>
      </c>
      <c r="D535">
        <v>1</v>
      </c>
      <c r="E535">
        <v>0</v>
      </c>
      <c r="F535" t="s">
        <v>2215</v>
      </c>
      <c r="G535">
        <v>400</v>
      </c>
      <c r="H535">
        <v>0</v>
      </c>
      <c r="I535" t="s">
        <v>24</v>
      </c>
      <c r="J535" t="s">
        <v>2216</v>
      </c>
      <c r="K535" t="s">
        <v>2217</v>
      </c>
      <c r="L535" t="s">
        <v>27</v>
      </c>
      <c r="M535" t="s">
        <v>28</v>
      </c>
      <c r="N535" t="s">
        <v>2218</v>
      </c>
      <c r="O535" t="s">
        <v>27</v>
      </c>
      <c r="P535" t="s">
        <v>39</v>
      </c>
      <c r="Q535" t="s">
        <v>31</v>
      </c>
      <c r="R535" t="s">
        <v>32</v>
      </c>
      <c r="S535" t="s">
        <v>28</v>
      </c>
      <c r="T535" t="s">
        <v>2219</v>
      </c>
      <c r="U535" t="s">
        <v>2218</v>
      </c>
    </row>
    <row r="536" spans="1:21" x14ac:dyDescent="0.25">
      <c r="A536" t="s">
        <v>134</v>
      </c>
      <c r="B536" t="s">
        <v>64</v>
      </c>
      <c r="C536">
        <v>100</v>
      </c>
      <c r="D536">
        <v>1</v>
      </c>
      <c r="E536">
        <v>0</v>
      </c>
      <c r="F536" t="s">
        <v>2220</v>
      </c>
      <c r="G536">
        <v>200</v>
      </c>
      <c r="H536">
        <v>0</v>
      </c>
      <c r="I536" t="s">
        <v>140</v>
      </c>
      <c r="J536" t="s">
        <v>2221</v>
      </c>
      <c r="K536" t="s">
        <v>350</v>
      </c>
      <c r="L536" t="s">
        <v>27</v>
      </c>
      <c r="M536" t="s">
        <v>28</v>
      </c>
      <c r="N536" t="s">
        <v>2218</v>
      </c>
      <c r="O536" t="s">
        <v>27</v>
      </c>
      <c r="P536" t="s">
        <v>30</v>
      </c>
      <c r="Q536" t="s">
        <v>31</v>
      </c>
      <c r="R536" t="s">
        <v>32</v>
      </c>
      <c r="S536" t="s">
        <v>28</v>
      </c>
      <c r="T536" t="s">
        <v>2222</v>
      </c>
      <c r="U536" t="s">
        <v>2218</v>
      </c>
    </row>
    <row r="537" spans="1:21" x14ac:dyDescent="0.25">
      <c r="A537" t="s">
        <v>63</v>
      </c>
      <c r="B537" t="s">
        <v>64</v>
      </c>
      <c r="C537">
        <v>100</v>
      </c>
      <c r="D537">
        <v>1</v>
      </c>
      <c r="E537">
        <v>0</v>
      </c>
      <c r="F537" t="s">
        <v>2220</v>
      </c>
      <c r="G537">
        <v>200</v>
      </c>
      <c r="H537">
        <v>0</v>
      </c>
      <c r="I537" t="s">
        <v>140</v>
      </c>
      <c r="J537" t="s">
        <v>2221</v>
      </c>
      <c r="K537" t="s">
        <v>350</v>
      </c>
      <c r="L537" t="s">
        <v>27</v>
      </c>
      <c r="M537" t="s">
        <v>28</v>
      </c>
      <c r="N537" t="s">
        <v>2218</v>
      </c>
      <c r="O537" t="s">
        <v>27</v>
      </c>
      <c r="P537" t="s">
        <v>30</v>
      </c>
      <c r="Q537" t="s">
        <v>31</v>
      </c>
      <c r="R537" t="s">
        <v>32</v>
      </c>
      <c r="S537" t="s">
        <v>28</v>
      </c>
      <c r="T537" t="s">
        <v>2222</v>
      </c>
      <c r="U537" t="s">
        <v>2218</v>
      </c>
    </row>
    <row r="538" spans="1:21" x14ac:dyDescent="0.25">
      <c r="A538" t="s">
        <v>70</v>
      </c>
      <c r="B538" t="s">
        <v>70</v>
      </c>
      <c r="C538">
        <v>330</v>
      </c>
      <c r="D538">
        <v>1</v>
      </c>
      <c r="E538">
        <v>0</v>
      </c>
      <c r="F538" t="s">
        <v>2223</v>
      </c>
      <c r="G538">
        <v>330</v>
      </c>
      <c r="H538">
        <v>0</v>
      </c>
      <c r="I538" t="s">
        <v>24</v>
      </c>
      <c r="J538" t="s">
        <v>2224</v>
      </c>
      <c r="K538" t="s">
        <v>237</v>
      </c>
      <c r="L538" t="s">
        <v>27</v>
      </c>
      <c r="M538" t="s">
        <v>28</v>
      </c>
      <c r="N538" t="s">
        <v>2225</v>
      </c>
      <c r="O538" t="s">
        <v>27</v>
      </c>
      <c r="P538" t="s">
        <v>56</v>
      </c>
      <c r="Q538" t="s">
        <v>31</v>
      </c>
      <c r="R538" t="s">
        <v>57</v>
      </c>
      <c r="S538" t="s">
        <v>28</v>
      </c>
      <c r="T538" t="s">
        <v>2226</v>
      </c>
      <c r="U538" t="s">
        <v>2225</v>
      </c>
    </row>
    <row r="539" spans="1:21" x14ac:dyDescent="0.25">
      <c r="A539" t="s">
        <v>21</v>
      </c>
      <c r="B539" t="s">
        <v>22</v>
      </c>
      <c r="C539">
        <v>100</v>
      </c>
      <c r="D539">
        <v>1</v>
      </c>
      <c r="E539">
        <v>0</v>
      </c>
      <c r="F539" t="s">
        <v>2227</v>
      </c>
      <c r="G539">
        <v>106</v>
      </c>
      <c r="H539">
        <v>6</v>
      </c>
      <c r="I539" t="s">
        <v>24</v>
      </c>
      <c r="J539" t="s">
        <v>2228</v>
      </c>
      <c r="K539" t="s">
        <v>1602</v>
      </c>
      <c r="L539" t="s">
        <v>27</v>
      </c>
      <c r="M539" t="s">
        <v>28</v>
      </c>
      <c r="N539" t="s">
        <v>2229</v>
      </c>
      <c r="O539" t="s">
        <v>27</v>
      </c>
      <c r="P539" t="s">
        <v>39</v>
      </c>
      <c r="Q539" t="s">
        <v>31</v>
      </c>
      <c r="R539" t="s">
        <v>32</v>
      </c>
      <c r="S539" t="s">
        <v>28</v>
      </c>
      <c r="T539" t="s">
        <v>2230</v>
      </c>
      <c r="U539" t="s">
        <v>2229</v>
      </c>
    </row>
    <row r="540" spans="1:21" x14ac:dyDescent="0.25">
      <c r="A540" t="s">
        <v>63</v>
      </c>
      <c r="B540" t="s">
        <v>64</v>
      </c>
      <c r="C540">
        <v>100</v>
      </c>
      <c r="D540">
        <v>1</v>
      </c>
      <c r="E540">
        <v>0</v>
      </c>
      <c r="F540" t="s">
        <v>2231</v>
      </c>
      <c r="G540">
        <v>106</v>
      </c>
      <c r="H540">
        <v>6</v>
      </c>
      <c r="I540" t="s">
        <v>140</v>
      </c>
      <c r="J540" t="s">
        <v>2232</v>
      </c>
      <c r="K540" t="s">
        <v>89</v>
      </c>
      <c r="L540" t="s">
        <v>27</v>
      </c>
      <c r="M540" t="s">
        <v>28</v>
      </c>
      <c r="N540" t="s">
        <v>2229</v>
      </c>
      <c r="O540" t="s">
        <v>27</v>
      </c>
      <c r="P540" t="s">
        <v>30</v>
      </c>
      <c r="Q540" t="s">
        <v>31</v>
      </c>
      <c r="R540" t="s">
        <v>32</v>
      </c>
      <c r="S540" t="s">
        <v>28</v>
      </c>
      <c r="T540" t="s">
        <v>2233</v>
      </c>
      <c r="U540" t="s">
        <v>2229</v>
      </c>
    </row>
    <row r="541" spans="1:21" x14ac:dyDescent="0.25">
      <c r="A541" t="s">
        <v>58</v>
      </c>
      <c r="B541" t="s">
        <v>103</v>
      </c>
      <c r="C541">
        <v>80.91</v>
      </c>
      <c r="D541">
        <v>1</v>
      </c>
      <c r="E541">
        <v>0</v>
      </c>
      <c r="F541" t="s">
        <v>2234</v>
      </c>
      <c r="G541">
        <v>85.91</v>
      </c>
      <c r="H541">
        <v>5</v>
      </c>
      <c r="I541" t="s">
        <v>105</v>
      </c>
      <c r="J541" t="s">
        <v>2235</v>
      </c>
      <c r="K541" t="s">
        <v>2236</v>
      </c>
      <c r="L541" t="s">
        <v>2237</v>
      </c>
      <c r="M541" t="s">
        <v>2238</v>
      </c>
      <c r="N541" t="s">
        <v>2239</v>
      </c>
      <c r="O541" t="s">
        <v>27</v>
      </c>
      <c r="P541" t="s">
        <v>48</v>
      </c>
      <c r="Q541" t="s">
        <v>49</v>
      </c>
      <c r="R541" t="s">
        <v>50</v>
      </c>
      <c r="S541" t="s">
        <v>28</v>
      </c>
      <c r="T541" t="s">
        <v>2240</v>
      </c>
      <c r="U541" t="s">
        <v>2239</v>
      </c>
    </row>
    <row r="542" spans="1:21" x14ac:dyDescent="0.25">
      <c r="A542" t="s">
        <v>493</v>
      </c>
      <c r="B542" t="s">
        <v>494</v>
      </c>
      <c r="C542">
        <v>149</v>
      </c>
      <c r="D542">
        <v>1</v>
      </c>
      <c r="E542">
        <v>0</v>
      </c>
      <c r="F542" t="s">
        <v>2241</v>
      </c>
      <c r="G542">
        <v>149</v>
      </c>
      <c r="H542">
        <v>0</v>
      </c>
      <c r="I542" t="s">
        <v>140</v>
      </c>
      <c r="J542" t="s">
        <v>2242</v>
      </c>
      <c r="K542" t="s">
        <v>2243</v>
      </c>
      <c r="L542" t="s">
        <v>27</v>
      </c>
      <c r="M542" t="s">
        <v>28</v>
      </c>
      <c r="N542" t="s">
        <v>2244</v>
      </c>
      <c r="O542" t="s">
        <v>27</v>
      </c>
      <c r="P542" t="s">
        <v>30</v>
      </c>
      <c r="Q542" t="s">
        <v>31</v>
      </c>
      <c r="R542" t="s">
        <v>32</v>
      </c>
      <c r="S542" t="s">
        <v>28</v>
      </c>
      <c r="T542" t="s">
        <v>2245</v>
      </c>
      <c r="U542" t="s">
        <v>2244</v>
      </c>
    </row>
    <row r="543" spans="1:21" x14ac:dyDescent="0.25">
      <c r="A543" t="s">
        <v>21</v>
      </c>
      <c r="B543" t="s">
        <v>22</v>
      </c>
      <c r="C543">
        <v>100</v>
      </c>
      <c r="D543">
        <v>1</v>
      </c>
      <c r="E543">
        <v>0</v>
      </c>
      <c r="F543" t="s">
        <v>2246</v>
      </c>
      <c r="G543">
        <v>106</v>
      </c>
      <c r="H543">
        <v>6</v>
      </c>
      <c r="I543" t="s">
        <v>24</v>
      </c>
      <c r="J543" t="s">
        <v>2247</v>
      </c>
      <c r="K543" t="s">
        <v>89</v>
      </c>
      <c r="L543" t="s">
        <v>27</v>
      </c>
      <c r="M543" t="s">
        <v>28</v>
      </c>
      <c r="N543" t="s">
        <v>2248</v>
      </c>
      <c r="O543" t="s">
        <v>27</v>
      </c>
      <c r="P543" t="s">
        <v>39</v>
      </c>
      <c r="Q543" t="s">
        <v>31</v>
      </c>
      <c r="R543" t="s">
        <v>32</v>
      </c>
      <c r="S543" t="s">
        <v>28</v>
      </c>
      <c r="T543" t="s">
        <v>2249</v>
      </c>
      <c r="U543" t="s">
        <v>2250</v>
      </c>
    </row>
    <row r="544" spans="1:21" x14ac:dyDescent="0.25">
      <c r="A544" t="s">
        <v>58</v>
      </c>
      <c r="B544" t="s">
        <v>58</v>
      </c>
      <c r="C544">
        <v>100</v>
      </c>
      <c r="D544">
        <v>1</v>
      </c>
      <c r="E544">
        <v>0</v>
      </c>
      <c r="F544" t="s">
        <v>2251</v>
      </c>
      <c r="G544">
        <v>106</v>
      </c>
      <c r="H544">
        <v>6</v>
      </c>
      <c r="I544" t="s">
        <v>445</v>
      </c>
      <c r="J544" t="s">
        <v>2252</v>
      </c>
      <c r="K544" t="s">
        <v>37</v>
      </c>
      <c r="L544" t="s">
        <v>27</v>
      </c>
      <c r="M544" t="s">
        <v>28</v>
      </c>
      <c r="N544" t="s">
        <v>2253</v>
      </c>
      <c r="O544" t="s">
        <v>27</v>
      </c>
      <c r="P544" t="s">
        <v>39</v>
      </c>
      <c r="Q544" t="s">
        <v>31</v>
      </c>
      <c r="R544" t="s">
        <v>32</v>
      </c>
      <c r="S544" t="s">
        <v>28</v>
      </c>
      <c r="T544" t="s">
        <v>2254</v>
      </c>
      <c r="U544" t="s">
        <v>2253</v>
      </c>
    </row>
    <row r="545" spans="1:21" x14ac:dyDescent="0.25">
      <c r="A545" t="s">
        <v>143</v>
      </c>
      <c r="B545" t="s">
        <v>144</v>
      </c>
      <c r="C545">
        <v>200</v>
      </c>
      <c r="D545">
        <v>1</v>
      </c>
      <c r="E545">
        <v>0</v>
      </c>
      <c r="F545" t="s">
        <v>2255</v>
      </c>
      <c r="G545">
        <v>200</v>
      </c>
      <c r="H545">
        <v>0</v>
      </c>
      <c r="I545" t="s">
        <v>445</v>
      </c>
      <c r="J545" t="s">
        <v>2256</v>
      </c>
      <c r="K545" t="s">
        <v>26</v>
      </c>
      <c r="L545" t="s">
        <v>27</v>
      </c>
      <c r="M545" t="s">
        <v>28</v>
      </c>
      <c r="N545" t="s">
        <v>2253</v>
      </c>
      <c r="O545" t="s">
        <v>27</v>
      </c>
      <c r="P545" t="s">
        <v>56</v>
      </c>
      <c r="Q545" t="s">
        <v>31</v>
      </c>
      <c r="R545" t="s">
        <v>57</v>
      </c>
      <c r="S545" t="s">
        <v>28</v>
      </c>
      <c r="T545" t="s">
        <v>2257</v>
      </c>
      <c r="U545" t="s">
        <v>2258</v>
      </c>
    </row>
    <row r="546" spans="1:21" x14ac:dyDescent="0.25">
      <c r="A546" t="s">
        <v>33</v>
      </c>
      <c r="B546" t="s">
        <v>34</v>
      </c>
      <c r="C546">
        <v>200</v>
      </c>
      <c r="D546">
        <v>1</v>
      </c>
      <c r="E546">
        <v>0</v>
      </c>
      <c r="F546" t="s">
        <v>2259</v>
      </c>
      <c r="G546">
        <v>200</v>
      </c>
      <c r="H546">
        <v>0</v>
      </c>
      <c r="I546" t="s">
        <v>24</v>
      </c>
      <c r="J546" t="s">
        <v>2260</v>
      </c>
      <c r="K546" t="s">
        <v>677</v>
      </c>
      <c r="L546" t="s">
        <v>27</v>
      </c>
      <c r="M546" t="s">
        <v>28</v>
      </c>
      <c r="N546" t="s">
        <v>2261</v>
      </c>
      <c r="O546" t="s">
        <v>27</v>
      </c>
      <c r="P546" t="s">
        <v>56</v>
      </c>
      <c r="Q546" t="s">
        <v>31</v>
      </c>
      <c r="R546" t="s">
        <v>57</v>
      </c>
      <c r="S546" t="s">
        <v>28</v>
      </c>
      <c r="T546" t="s">
        <v>2262</v>
      </c>
      <c r="U546" t="s">
        <v>2263</v>
      </c>
    </row>
    <row r="547" spans="1:21" x14ac:dyDescent="0.25">
      <c r="A547" t="s">
        <v>456</v>
      </c>
      <c r="B547" t="s">
        <v>1178</v>
      </c>
      <c r="C547">
        <v>142.31</v>
      </c>
      <c r="D547">
        <v>1</v>
      </c>
      <c r="E547">
        <v>0</v>
      </c>
      <c r="F547" t="s">
        <v>2264</v>
      </c>
      <c r="G547">
        <v>147.31</v>
      </c>
      <c r="H547">
        <v>5</v>
      </c>
      <c r="I547" t="s">
        <v>628</v>
      </c>
      <c r="J547" t="s">
        <v>2265</v>
      </c>
      <c r="K547" t="s">
        <v>2266</v>
      </c>
      <c r="L547" t="s">
        <v>1146</v>
      </c>
      <c r="M547" t="s">
        <v>2267</v>
      </c>
      <c r="N547" t="s">
        <v>2268</v>
      </c>
      <c r="O547" t="s">
        <v>27</v>
      </c>
      <c r="P547" t="s">
        <v>48</v>
      </c>
      <c r="Q547" t="s">
        <v>49</v>
      </c>
      <c r="R547" t="s">
        <v>50</v>
      </c>
      <c r="S547" t="s">
        <v>28</v>
      </c>
      <c r="T547" t="s">
        <v>2269</v>
      </c>
      <c r="U547" t="s">
        <v>2268</v>
      </c>
    </row>
    <row r="548" spans="1:21" x14ac:dyDescent="0.25">
      <c r="A548" t="s">
        <v>33</v>
      </c>
      <c r="B548" t="s">
        <v>34</v>
      </c>
      <c r="C548">
        <v>200</v>
      </c>
      <c r="D548">
        <v>1</v>
      </c>
      <c r="E548">
        <v>0</v>
      </c>
      <c r="F548" t="s">
        <v>2270</v>
      </c>
      <c r="G548">
        <v>200</v>
      </c>
      <c r="H548">
        <v>0</v>
      </c>
      <c r="I548" t="s">
        <v>24</v>
      </c>
      <c r="J548" t="s">
        <v>2271</v>
      </c>
      <c r="K548" t="s">
        <v>26</v>
      </c>
      <c r="L548" t="s">
        <v>27</v>
      </c>
      <c r="M548" t="s">
        <v>28</v>
      </c>
      <c r="N548" t="s">
        <v>2268</v>
      </c>
      <c r="O548" t="s">
        <v>27</v>
      </c>
      <c r="P548" t="s">
        <v>39</v>
      </c>
      <c r="Q548" t="s">
        <v>31</v>
      </c>
      <c r="R548" t="s">
        <v>32</v>
      </c>
      <c r="S548" t="s">
        <v>28</v>
      </c>
      <c r="T548" t="s">
        <v>2272</v>
      </c>
      <c r="U548" t="s">
        <v>2268</v>
      </c>
    </row>
    <row r="549" spans="1:21" x14ac:dyDescent="0.25">
      <c r="A549" t="s">
        <v>63</v>
      </c>
      <c r="B549" t="s">
        <v>64</v>
      </c>
      <c r="C549">
        <v>100</v>
      </c>
      <c r="D549">
        <v>1</v>
      </c>
      <c r="E549">
        <v>0</v>
      </c>
      <c r="F549" t="s">
        <v>2273</v>
      </c>
      <c r="G549">
        <v>300</v>
      </c>
      <c r="H549">
        <v>0</v>
      </c>
      <c r="I549" t="s">
        <v>140</v>
      </c>
      <c r="J549" t="s">
        <v>53</v>
      </c>
      <c r="K549" t="s">
        <v>936</v>
      </c>
      <c r="L549" t="s">
        <v>27</v>
      </c>
      <c r="M549" t="s">
        <v>28</v>
      </c>
      <c r="N549" t="s">
        <v>2274</v>
      </c>
      <c r="O549" t="s">
        <v>27</v>
      </c>
      <c r="P549" t="s">
        <v>30</v>
      </c>
      <c r="Q549" t="s">
        <v>31</v>
      </c>
      <c r="R549" t="s">
        <v>32</v>
      </c>
      <c r="S549" t="s">
        <v>28</v>
      </c>
      <c r="T549" t="s">
        <v>2275</v>
      </c>
      <c r="U549" t="s">
        <v>2276</v>
      </c>
    </row>
    <row r="550" spans="1:21" x14ac:dyDescent="0.25">
      <c r="A550" t="s">
        <v>58</v>
      </c>
      <c r="B550" t="s">
        <v>58</v>
      </c>
      <c r="C550">
        <v>100</v>
      </c>
      <c r="D550">
        <v>2</v>
      </c>
      <c r="E550">
        <v>0</v>
      </c>
      <c r="F550" t="s">
        <v>2273</v>
      </c>
      <c r="G550">
        <v>300</v>
      </c>
      <c r="H550">
        <v>0</v>
      </c>
      <c r="I550" t="s">
        <v>140</v>
      </c>
      <c r="J550" t="s">
        <v>53</v>
      </c>
      <c r="K550" t="s">
        <v>936</v>
      </c>
      <c r="L550" t="s">
        <v>27</v>
      </c>
      <c r="M550" t="s">
        <v>28</v>
      </c>
      <c r="N550" t="s">
        <v>2274</v>
      </c>
      <c r="O550" t="s">
        <v>27</v>
      </c>
      <c r="P550" t="s">
        <v>30</v>
      </c>
      <c r="Q550" t="s">
        <v>31</v>
      </c>
      <c r="R550" t="s">
        <v>32</v>
      </c>
      <c r="S550" t="s">
        <v>28</v>
      </c>
      <c r="T550" t="s">
        <v>2275</v>
      </c>
      <c r="U550" t="s">
        <v>2276</v>
      </c>
    </row>
    <row r="551" spans="1:21" x14ac:dyDescent="0.25">
      <c r="A551" t="s">
        <v>143</v>
      </c>
      <c r="B551" t="s">
        <v>144</v>
      </c>
      <c r="C551">
        <v>200</v>
      </c>
      <c r="D551">
        <v>1</v>
      </c>
      <c r="E551">
        <v>0</v>
      </c>
      <c r="F551" t="s">
        <v>2277</v>
      </c>
      <c r="G551">
        <v>200</v>
      </c>
      <c r="H551">
        <v>0</v>
      </c>
      <c r="I551" t="s">
        <v>140</v>
      </c>
      <c r="J551" t="s">
        <v>2278</v>
      </c>
      <c r="K551" t="s">
        <v>67</v>
      </c>
      <c r="L551" t="s">
        <v>27</v>
      </c>
      <c r="M551" t="s">
        <v>28</v>
      </c>
      <c r="N551" t="s">
        <v>2279</v>
      </c>
      <c r="O551" t="s">
        <v>27</v>
      </c>
      <c r="P551" t="s">
        <v>30</v>
      </c>
      <c r="Q551" t="s">
        <v>31</v>
      </c>
      <c r="R551" t="s">
        <v>32</v>
      </c>
      <c r="S551" t="s">
        <v>28</v>
      </c>
      <c r="T551" t="s">
        <v>2280</v>
      </c>
      <c r="U551" t="s">
        <v>2281</v>
      </c>
    </row>
    <row r="552" spans="1:21" x14ac:dyDescent="0.25">
      <c r="A552" t="s">
        <v>58</v>
      </c>
      <c r="B552" t="s">
        <v>58</v>
      </c>
      <c r="C552">
        <v>150</v>
      </c>
      <c r="D552">
        <v>1</v>
      </c>
      <c r="E552">
        <v>0</v>
      </c>
      <c r="F552" t="s">
        <v>2282</v>
      </c>
      <c r="G552">
        <v>179</v>
      </c>
      <c r="H552">
        <v>29</v>
      </c>
      <c r="I552" t="s">
        <v>445</v>
      </c>
      <c r="J552" t="s">
        <v>2283</v>
      </c>
      <c r="K552" t="s">
        <v>2284</v>
      </c>
      <c r="L552" t="s">
        <v>2285</v>
      </c>
      <c r="M552" t="s">
        <v>2286</v>
      </c>
      <c r="N552" t="s">
        <v>2279</v>
      </c>
      <c r="O552" t="s">
        <v>27</v>
      </c>
      <c r="P552" t="s">
        <v>193</v>
      </c>
      <c r="Q552" t="s">
        <v>85</v>
      </c>
      <c r="R552" t="s">
        <v>86</v>
      </c>
      <c r="S552" t="s">
        <v>28</v>
      </c>
      <c r="T552" t="s">
        <v>2287</v>
      </c>
      <c r="U552" t="s">
        <v>2279</v>
      </c>
    </row>
    <row r="553" spans="1:21" x14ac:dyDescent="0.25">
      <c r="A553" t="s">
        <v>195</v>
      </c>
      <c r="B553" t="s">
        <v>1003</v>
      </c>
      <c r="C553">
        <v>119.84</v>
      </c>
      <c r="D553">
        <v>1</v>
      </c>
      <c r="E553">
        <v>0</v>
      </c>
      <c r="F553" t="s">
        <v>2288</v>
      </c>
      <c r="G553">
        <v>124.84</v>
      </c>
      <c r="H553">
        <v>5</v>
      </c>
      <c r="I553" t="s">
        <v>628</v>
      </c>
      <c r="J553" t="s">
        <v>2289</v>
      </c>
      <c r="K553" t="s">
        <v>2290</v>
      </c>
      <c r="L553" t="s">
        <v>2291</v>
      </c>
      <c r="M553" t="s">
        <v>2292</v>
      </c>
      <c r="N553" t="s">
        <v>2293</v>
      </c>
      <c r="O553" t="s">
        <v>27</v>
      </c>
      <c r="P553" t="s">
        <v>48</v>
      </c>
      <c r="Q553" t="s">
        <v>49</v>
      </c>
      <c r="R553" t="s">
        <v>50</v>
      </c>
      <c r="S553" t="s">
        <v>28</v>
      </c>
      <c r="T553" t="s">
        <v>2294</v>
      </c>
      <c r="U553" t="s">
        <v>2293</v>
      </c>
    </row>
    <row r="554" spans="1:21" x14ac:dyDescent="0.25">
      <c r="A554" t="s">
        <v>2295</v>
      </c>
      <c r="B554" t="s">
        <v>2296</v>
      </c>
      <c r="C554">
        <v>195.2</v>
      </c>
      <c r="D554">
        <v>1</v>
      </c>
      <c r="E554">
        <v>0</v>
      </c>
      <c r="F554" t="s">
        <v>2297</v>
      </c>
      <c r="G554">
        <v>195.2</v>
      </c>
      <c r="H554">
        <v>0</v>
      </c>
      <c r="I554" t="s">
        <v>720</v>
      </c>
      <c r="J554" t="s">
        <v>2298</v>
      </c>
      <c r="K554" t="s">
        <v>2299</v>
      </c>
      <c r="L554" t="s">
        <v>2300</v>
      </c>
      <c r="M554" t="s">
        <v>2301</v>
      </c>
      <c r="N554" t="s">
        <v>2302</v>
      </c>
      <c r="O554" t="s">
        <v>27</v>
      </c>
      <c r="P554" t="s">
        <v>48</v>
      </c>
      <c r="Q554" t="s">
        <v>49</v>
      </c>
      <c r="R554" t="s">
        <v>50</v>
      </c>
      <c r="S554" t="s">
        <v>28</v>
      </c>
      <c r="T554" t="s">
        <v>27</v>
      </c>
      <c r="U554" t="s">
        <v>2302</v>
      </c>
    </row>
    <row r="555" spans="1:21" x14ac:dyDescent="0.25">
      <c r="A555" t="s">
        <v>70</v>
      </c>
      <c r="B555" t="s">
        <v>70</v>
      </c>
      <c r="C555">
        <v>350</v>
      </c>
      <c r="D555">
        <v>1</v>
      </c>
      <c r="E555">
        <v>0</v>
      </c>
      <c r="F555" t="s">
        <v>2303</v>
      </c>
      <c r="G555">
        <v>450</v>
      </c>
      <c r="H555">
        <v>0</v>
      </c>
      <c r="I555" t="s">
        <v>140</v>
      </c>
      <c r="J555" t="s">
        <v>2304</v>
      </c>
      <c r="K555" t="s">
        <v>37</v>
      </c>
      <c r="L555" t="s">
        <v>27</v>
      </c>
      <c r="M555" t="s">
        <v>28</v>
      </c>
      <c r="N555" t="s">
        <v>2305</v>
      </c>
      <c r="O555" t="s">
        <v>27</v>
      </c>
      <c r="P555" t="s">
        <v>30</v>
      </c>
      <c r="Q555" t="s">
        <v>31</v>
      </c>
      <c r="R555" t="s">
        <v>32</v>
      </c>
      <c r="S555" t="s">
        <v>28</v>
      </c>
      <c r="T555" t="s">
        <v>2306</v>
      </c>
      <c r="U555" t="s">
        <v>2305</v>
      </c>
    </row>
    <row r="556" spans="1:21" x14ac:dyDescent="0.25">
      <c r="A556" t="s">
        <v>21</v>
      </c>
      <c r="B556" t="s">
        <v>22</v>
      </c>
      <c r="C556">
        <v>100</v>
      </c>
      <c r="D556">
        <v>1</v>
      </c>
      <c r="E556">
        <v>0</v>
      </c>
      <c r="F556" t="s">
        <v>2303</v>
      </c>
      <c r="G556">
        <v>450</v>
      </c>
      <c r="H556">
        <v>0</v>
      </c>
      <c r="I556" t="s">
        <v>140</v>
      </c>
      <c r="J556" t="s">
        <v>2304</v>
      </c>
      <c r="K556" t="s">
        <v>37</v>
      </c>
      <c r="L556" t="s">
        <v>27</v>
      </c>
      <c r="M556" t="s">
        <v>28</v>
      </c>
      <c r="N556" t="s">
        <v>2305</v>
      </c>
      <c r="O556" t="s">
        <v>27</v>
      </c>
      <c r="P556" t="s">
        <v>30</v>
      </c>
      <c r="Q556" t="s">
        <v>31</v>
      </c>
      <c r="R556" t="s">
        <v>32</v>
      </c>
      <c r="S556" t="s">
        <v>28</v>
      </c>
      <c r="T556" t="s">
        <v>2306</v>
      </c>
      <c r="U556" t="s">
        <v>2305</v>
      </c>
    </row>
    <row r="557" spans="1:21" x14ac:dyDescent="0.25">
      <c r="A557" t="s">
        <v>2307</v>
      </c>
      <c r="B557" t="s">
        <v>2308</v>
      </c>
      <c r="C557">
        <v>400</v>
      </c>
      <c r="D557">
        <v>1</v>
      </c>
      <c r="E557">
        <v>0</v>
      </c>
      <c r="F557" t="s">
        <v>2309</v>
      </c>
      <c r="G557">
        <v>400</v>
      </c>
      <c r="H557">
        <v>0</v>
      </c>
      <c r="I557" t="s">
        <v>24</v>
      </c>
      <c r="J557" t="s">
        <v>2310</v>
      </c>
      <c r="K557" t="s">
        <v>118</v>
      </c>
      <c r="L557" t="s">
        <v>27</v>
      </c>
      <c r="M557" t="s">
        <v>28</v>
      </c>
      <c r="N557" t="s">
        <v>2311</v>
      </c>
      <c r="O557" t="s">
        <v>27</v>
      </c>
      <c r="P557" t="s">
        <v>39</v>
      </c>
      <c r="Q557" t="s">
        <v>31</v>
      </c>
      <c r="R557" t="s">
        <v>32</v>
      </c>
      <c r="S557" t="s">
        <v>28</v>
      </c>
      <c r="T557" t="s">
        <v>2312</v>
      </c>
      <c r="U557" t="s">
        <v>2311</v>
      </c>
    </row>
    <row r="558" spans="1:21" x14ac:dyDescent="0.25">
      <c r="A558" t="s">
        <v>21</v>
      </c>
      <c r="B558" t="s">
        <v>22</v>
      </c>
      <c r="C558">
        <v>100</v>
      </c>
      <c r="D558">
        <v>2</v>
      </c>
      <c r="E558">
        <v>0</v>
      </c>
      <c r="F558" t="s">
        <v>2313</v>
      </c>
      <c r="G558">
        <v>200</v>
      </c>
      <c r="H558">
        <v>0</v>
      </c>
      <c r="I558" t="s">
        <v>24</v>
      </c>
      <c r="J558" t="s">
        <v>2314</v>
      </c>
      <c r="K558" t="s">
        <v>1029</v>
      </c>
      <c r="L558" t="s">
        <v>27</v>
      </c>
      <c r="M558" t="s">
        <v>28</v>
      </c>
      <c r="N558" t="s">
        <v>2315</v>
      </c>
      <c r="O558" t="s">
        <v>27</v>
      </c>
      <c r="P558" t="s">
        <v>39</v>
      </c>
      <c r="Q558" t="s">
        <v>31</v>
      </c>
      <c r="R558" t="s">
        <v>32</v>
      </c>
      <c r="S558" t="s">
        <v>28</v>
      </c>
      <c r="T558" t="s">
        <v>2316</v>
      </c>
      <c r="U558" t="s">
        <v>2315</v>
      </c>
    </row>
    <row r="559" spans="1:21" x14ac:dyDescent="0.25">
      <c r="A559" t="s">
        <v>456</v>
      </c>
      <c r="B559" t="s">
        <v>1178</v>
      </c>
      <c r="C559">
        <v>119.84</v>
      </c>
      <c r="D559">
        <v>1</v>
      </c>
      <c r="E559">
        <v>0</v>
      </c>
      <c r="F559" t="s">
        <v>2317</v>
      </c>
      <c r="G559">
        <v>124.84</v>
      </c>
      <c r="H559">
        <v>5</v>
      </c>
      <c r="I559" t="s">
        <v>628</v>
      </c>
      <c r="J559" t="s">
        <v>2318</v>
      </c>
      <c r="K559" t="s">
        <v>2319</v>
      </c>
      <c r="L559" t="s">
        <v>1076</v>
      </c>
      <c r="M559" t="s">
        <v>2320</v>
      </c>
      <c r="N559" t="s">
        <v>2321</v>
      </c>
      <c r="O559" t="s">
        <v>27</v>
      </c>
      <c r="P559" t="s">
        <v>48</v>
      </c>
      <c r="Q559" t="s">
        <v>49</v>
      </c>
      <c r="R559" t="s">
        <v>50</v>
      </c>
      <c r="S559" t="s">
        <v>28</v>
      </c>
      <c r="T559" t="s">
        <v>2322</v>
      </c>
      <c r="U559" t="s">
        <v>2321</v>
      </c>
    </row>
    <row r="560" spans="1:21" x14ac:dyDescent="0.25">
      <c r="A560" t="s">
        <v>195</v>
      </c>
      <c r="B560" t="s">
        <v>1003</v>
      </c>
      <c r="C560">
        <v>119.84</v>
      </c>
      <c r="D560">
        <v>1</v>
      </c>
      <c r="E560">
        <v>0</v>
      </c>
      <c r="F560" t="s">
        <v>2323</v>
      </c>
      <c r="G560">
        <v>124.84</v>
      </c>
      <c r="H560">
        <v>5</v>
      </c>
      <c r="I560" t="s">
        <v>628</v>
      </c>
      <c r="J560" t="s">
        <v>2324</v>
      </c>
      <c r="K560" t="s">
        <v>2325</v>
      </c>
      <c r="L560" t="s">
        <v>2326</v>
      </c>
      <c r="M560" t="s">
        <v>2327</v>
      </c>
      <c r="N560" t="s">
        <v>2328</v>
      </c>
      <c r="O560" t="s">
        <v>27</v>
      </c>
      <c r="P560" t="s">
        <v>48</v>
      </c>
      <c r="Q560" t="s">
        <v>49</v>
      </c>
      <c r="R560" t="s">
        <v>50</v>
      </c>
      <c r="S560" t="s">
        <v>28</v>
      </c>
      <c r="T560" t="s">
        <v>2329</v>
      </c>
      <c r="U560" t="s">
        <v>2328</v>
      </c>
    </row>
    <row r="561" spans="1:21" x14ac:dyDescent="0.25">
      <c r="A561" t="s">
        <v>195</v>
      </c>
      <c r="B561" t="s">
        <v>1003</v>
      </c>
      <c r="C561">
        <v>142.31</v>
      </c>
      <c r="D561">
        <v>1</v>
      </c>
      <c r="E561">
        <v>0</v>
      </c>
      <c r="F561" t="s">
        <v>2330</v>
      </c>
      <c r="G561">
        <v>147.31</v>
      </c>
      <c r="H561">
        <v>5</v>
      </c>
      <c r="I561" t="s">
        <v>628</v>
      </c>
      <c r="J561" t="s">
        <v>2331</v>
      </c>
      <c r="K561" t="s">
        <v>2332</v>
      </c>
      <c r="L561" t="s">
        <v>2333</v>
      </c>
      <c r="M561" t="s">
        <v>2334</v>
      </c>
      <c r="N561" t="s">
        <v>2328</v>
      </c>
      <c r="O561" t="s">
        <v>27</v>
      </c>
      <c r="P561" t="s">
        <v>48</v>
      </c>
      <c r="Q561" t="s">
        <v>49</v>
      </c>
      <c r="R561" t="s">
        <v>50</v>
      </c>
      <c r="S561" t="s">
        <v>28</v>
      </c>
      <c r="T561" t="s">
        <v>2335</v>
      </c>
      <c r="U561" t="s">
        <v>2328</v>
      </c>
    </row>
    <row r="562" spans="1:21" x14ac:dyDescent="0.25">
      <c r="A562" t="s">
        <v>134</v>
      </c>
      <c r="B562" t="s">
        <v>64</v>
      </c>
      <c r="C562">
        <v>100</v>
      </c>
      <c r="D562">
        <v>1</v>
      </c>
      <c r="E562">
        <v>0</v>
      </c>
      <c r="F562" t="s">
        <v>2336</v>
      </c>
      <c r="G562">
        <v>200</v>
      </c>
      <c r="H562">
        <v>0</v>
      </c>
      <c r="I562" t="s">
        <v>140</v>
      </c>
      <c r="J562" t="s">
        <v>2337</v>
      </c>
      <c r="K562" t="s">
        <v>67</v>
      </c>
      <c r="L562" t="s">
        <v>27</v>
      </c>
      <c r="M562" t="s">
        <v>28</v>
      </c>
      <c r="N562" t="s">
        <v>2338</v>
      </c>
      <c r="O562" t="s">
        <v>27</v>
      </c>
      <c r="P562" t="s">
        <v>30</v>
      </c>
      <c r="Q562" t="s">
        <v>31</v>
      </c>
      <c r="R562" t="s">
        <v>32</v>
      </c>
      <c r="S562" t="s">
        <v>28</v>
      </c>
      <c r="T562" t="s">
        <v>2339</v>
      </c>
      <c r="U562" t="s">
        <v>2340</v>
      </c>
    </row>
    <row r="563" spans="1:21" x14ac:dyDescent="0.25">
      <c r="A563" t="s">
        <v>63</v>
      </c>
      <c r="B563" t="s">
        <v>64</v>
      </c>
      <c r="C563">
        <v>100</v>
      </c>
      <c r="D563">
        <v>1</v>
      </c>
      <c r="E563">
        <v>0</v>
      </c>
      <c r="F563" t="s">
        <v>2336</v>
      </c>
      <c r="G563">
        <v>200</v>
      </c>
      <c r="H563">
        <v>0</v>
      </c>
      <c r="I563" t="s">
        <v>140</v>
      </c>
      <c r="J563" t="s">
        <v>2337</v>
      </c>
      <c r="K563" t="s">
        <v>67</v>
      </c>
      <c r="L563" t="s">
        <v>27</v>
      </c>
      <c r="M563" t="s">
        <v>28</v>
      </c>
      <c r="N563" t="s">
        <v>2338</v>
      </c>
      <c r="O563" t="s">
        <v>27</v>
      </c>
      <c r="P563" t="s">
        <v>30</v>
      </c>
      <c r="Q563" t="s">
        <v>31</v>
      </c>
      <c r="R563" t="s">
        <v>32</v>
      </c>
      <c r="S563" t="s">
        <v>28</v>
      </c>
      <c r="T563" t="s">
        <v>2339</v>
      </c>
      <c r="U563" t="s">
        <v>2340</v>
      </c>
    </row>
    <row r="564" spans="1:21" x14ac:dyDescent="0.25">
      <c r="A564" t="s">
        <v>143</v>
      </c>
      <c r="B564" t="s">
        <v>144</v>
      </c>
      <c r="C564">
        <v>200</v>
      </c>
      <c r="D564">
        <v>1</v>
      </c>
      <c r="E564">
        <v>0</v>
      </c>
      <c r="F564" t="s">
        <v>2341</v>
      </c>
      <c r="G564">
        <v>200</v>
      </c>
      <c r="H564">
        <v>0</v>
      </c>
      <c r="I564" t="s">
        <v>445</v>
      </c>
      <c r="J564" t="s">
        <v>2342</v>
      </c>
      <c r="K564" t="s">
        <v>653</v>
      </c>
      <c r="L564" t="s">
        <v>27</v>
      </c>
      <c r="M564" t="s">
        <v>28</v>
      </c>
      <c r="N564" t="s">
        <v>2343</v>
      </c>
      <c r="O564" t="s">
        <v>27</v>
      </c>
      <c r="P564" t="s">
        <v>39</v>
      </c>
      <c r="Q564" t="s">
        <v>31</v>
      </c>
      <c r="R564" t="s">
        <v>32</v>
      </c>
      <c r="S564" t="s">
        <v>28</v>
      </c>
      <c r="T564" t="s">
        <v>2344</v>
      </c>
      <c r="U564" t="s">
        <v>2343</v>
      </c>
    </row>
    <row r="565" spans="1:21" x14ac:dyDescent="0.25">
      <c r="A565" t="s">
        <v>21</v>
      </c>
      <c r="B565" t="s">
        <v>22</v>
      </c>
      <c r="C565">
        <v>100</v>
      </c>
      <c r="D565">
        <v>1</v>
      </c>
      <c r="E565">
        <v>0</v>
      </c>
      <c r="F565" t="s">
        <v>2345</v>
      </c>
      <c r="G565">
        <v>106</v>
      </c>
      <c r="H565">
        <v>6</v>
      </c>
      <c r="I565" t="s">
        <v>445</v>
      </c>
      <c r="J565" t="s">
        <v>2346</v>
      </c>
      <c r="K565" t="s">
        <v>285</v>
      </c>
      <c r="L565" t="s">
        <v>27</v>
      </c>
      <c r="M565" t="s">
        <v>28</v>
      </c>
      <c r="N565" t="s">
        <v>2347</v>
      </c>
      <c r="O565" t="s">
        <v>27</v>
      </c>
      <c r="P565" t="s">
        <v>39</v>
      </c>
      <c r="Q565" t="s">
        <v>31</v>
      </c>
      <c r="R565" t="s">
        <v>32</v>
      </c>
      <c r="S565" t="s">
        <v>28</v>
      </c>
      <c r="T565" t="s">
        <v>2348</v>
      </c>
      <c r="U565" t="s">
        <v>2347</v>
      </c>
    </row>
    <row r="566" spans="1:21" x14ac:dyDescent="0.25">
      <c r="A566" t="s">
        <v>33</v>
      </c>
      <c r="B566" t="s">
        <v>34</v>
      </c>
      <c r="C566">
        <v>200</v>
      </c>
      <c r="D566">
        <v>1</v>
      </c>
      <c r="E566">
        <v>0</v>
      </c>
      <c r="F566" t="s">
        <v>2349</v>
      </c>
      <c r="G566">
        <v>200</v>
      </c>
      <c r="H566">
        <v>0</v>
      </c>
      <c r="I566" t="s">
        <v>445</v>
      </c>
      <c r="J566" t="s">
        <v>2350</v>
      </c>
      <c r="K566" t="s">
        <v>171</v>
      </c>
      <c r="L566" t="s">
        <v>27</v>
      </c>
      <c r="M566" t="s">
        <v>28</v>
      </c>
      <c r="N566" t="s">
        <v>2351</v>
      </c>
      <c r="O566" t="s">
        <v>27</v>
      </c>
      <c r="P566" t="s">
        <v>39</v>
      </c>
      <c r="Q566" t="s">
        <v>31</v>
      </c>
      <c r="R566" t="s">
        <v>32</v>
      </c>
      <c r="S566" t="s">
        <v>28</v>
      </c>
      <c r="T566" t="s">
        <v>2352</v>
      </c>
      <c r="U566" t="s">
        <v>2351</v>
      </c>
    </row>
    <row r="567" spans="1:21" x14ac:dyDescent="0.25">
      <c r="A567" t="s">
        <v>21</v>
      </c>
      <c r="B567" t="s">
        <v>22</v>
      </c>
      <c r="C567">
        <v>100</v>
      </c>
      <c r="D567">
        <v>1</v>
      </c>
      <c r="E567">
        <v>0</v>
      </c>
      <c r="F567" t="s">
        <v>2353</v>
      </c>
      <c r="G567">
        <v>156</v>
      </c>
      <c r="H567">
        <v>56</v>
      </c>
      <c r="I567" t="s">
        <v>445</v>
      </c>
      <c r="J567" t="s">
        <v>2354</v>
      </c>
      <c r="K567" t="s">
        <v>611</v>
      </c>
      <c r="L567" t="s">
        <v>27</v>
      </c>
      <c r="M567" t="s">
        <v>28</v>
      </c>
      <c r="N567" t="s">
        <v>2355</v>
      </c>
      <c r="O567" t="s">
        <v>27</v>
      </c>
      <c r="P567" t="s">
        <v>39</v>
      </c>
      <c r="Q567" t="s">
        <v>31</v>
      </c>
      <c r="R567" t="s">
        <v>32</v>
      </c>
      <c r="S567" t="s">
        <v>28</v>
      </c>
      <c r="T567" t="s">
        <v>2356</v>
      </c>
      <c r="U567" t="s">
        <v>2355</v>
      </c>
    </row>
    <row r="568" spans="1:21" x14ac:dyDescent="0.25">
      <c r="A568" t="s">
        <v>21</v>
      </c>
      <c r="B568" t="s">
        <v>22</v>
      </c>
      <c r="C568">
        <v>100</v>
      </c>
      <c r="D568">
        <v>1</v>
      </c>
      <c r="E568">
        <v>0</v>
      </c>
      <c r="F568" t="s">
        <v>2357</v>
      </c>
      <c r="G568">
        <v>169</v>
      </c>
      <c r="H568">
        <v>0</v>
      </c>
      <c r="I568" t="s">
        <v>24</v>
      </c>
      <c r="J568" t="s">
        <v>2358</v>
      </c>
      <c r="K568" t="s">
        <v>346</v>
      </c>
      <c r="L568" t="s">
        <v>27</v>
      </c>
      <c r="M568" t="s">
        <v>28</v>
      </c>
      <c r="N568" t="s">
        <v>2359</v>
      </c>
      <c r="O568" t="s">
        <v>27</v>
      </c>
      <c r="P568" t="s">
        <v>56</v>
      </c>
      <c r="Q568" t="s">
        <v>31</v>
      </c>
      <c r="R568" t="s">
        <v>57</v>
      </c>
      <c r="S568" t="s">
        <v>28</v>
      </c>
      <c r="T568" t="s">
        <v>2360</v>
      </c>
      <c r="U568" t="s">
        <v>2361</v>
      </c>
    </row>
    <row r="569" spans="1:21" x14ac:dyDescent="0.25">
      <c r="A569" t="s">
        <v>456</v>
      </c>
      <c r="B569" t="s">
        <v>1178</v>
      </c>
      <c r="C569">
        <v>104.86</v>
      </c>
      <c r="D569">
        <v>1</v>
      </c>
      <c r="E569">
        <v>0</v>
      </c>
      <c r="F569" t="s">
        <v>2362</v>
      </c>
      <c r="G569">
        <v>214.72</v>
      </c>
      <c r="H569">
        <v>5</v>
      </c>
      <c r="I569" t="s">
        <v>628</v>
      </c>
      <c r="J569" t="s">
        <v>2363</v>
      </c>
      <c r="K569" t="s">
        <v>2364</v>
      </c>
      <c r="L569" t="s">
        <v>2365</v>
      </c>
      <c r="M569" t="s">
        <v>2366</v>
      </c>
      <c r="N569" t="s">
        <v>2367</v>
      </c>
      <c r="O569" t="s">
        <v>27</v>
      </c>
      <c r="P569" t="s">
        <v>48</v>
      </c>
      <c r="Q569" t="s">
        <v>49</v>
      </c>
      <c r="R569" t="s">
        <v>50</v>
      </c>
      <c r="S569" t="s">
        <v>28</v>
      </c>
      <c r="T569" t="s">
        <v>2368</v>
      </c>
      <c r="U569" t="s">
        <v>2367</v>
      </c>
    </row>
    <row r="570" spans="1:21" x14ac:dyDescent="0.25">
      <c r="A570" t="s">
        <v>456</v>
      </c>
      <c r="B570" t="s">
        <v>1178</v>
      </c>
      <c r="C570">
        <v>104.86</v>
      </c>
      <c r="D570">
        <v>1</v>
      </c>
      <c r="E570">
        <v>0</v>
      </c>
      <c r="F570" t="s">
        <v>2362</v>
      </c>
      <c r="G570">
        <v>214.72</v>
      </c>
      <c r="H570">
        <v>5</v>
      </c>
      <c r="I570" t="s">
        <v>628</v>
      </c>
      <c r="J570" t="s">
        <v>2363</v>
      </c>
      <c r="K570" t="s">
        <v>2364</v>
      </c>
      <c r="L570" t="s">
        <v>2365</v>
      </c>
      <c r="M570" t="s">
        <v>2366</v>
      </c>
      <c r="N570" t="s">
        <v>2367</v>
      </c>
      <c r="O570" t="s">
        <v>27</v>
      </c>
      <c r="P570" t="s">
        <v>48</v>
      </c>
      <c r="Q570" t="s">
        <v>49</v>
      </c>
      <c r="R570" t="s">
        <v>50</v>
      </c>
      <c r="S570" t="s">
        <v>28</v>
      </c>
      <c r="T570" t="s">
        <v>2368</v>
      </c>
      <c r="U570" t="s">
        <v>2367</v>
      </c>
    </row>
    <row r="571" spans="1:21" x14ac:dyDescent="0.25">
      <c r="A571" t="s">
        <v>143</v>
      </c>
      <c r="B571" t="s">
        <v>144</v>
      </c>
      <c r="C571">
        <v>200</v>
      </c>
      <c r="D571">
        <v>1</v>
      </c>
      <c r="E571">
        <v>0</v>
      </c>
      <c r="F571" t="s">
        <v>2369</v>
      </c>
      <c r="G571">
        <v>200</v>
      </c>
      <c r="H571">
        <v>0</v>
      </c>
      <c r="I571" t="s">
        <v>445</v>
      </c>
      <c r="J571" t="s">
        <v>2370</v>
      </c>
      <c r="K571" t="s">
        <v>213</v>
      </c>
      <c r="L571" t="s">
        <v>27</v>
      </c>
      <c r="M571" t="s">
        <v>28</v>
      </c>
      <c r="N571" t="s">
        <v>2371</v>
      </c>
      <c r="O571" t="s">
        <v>27</v>
      </c>
      <c r="P571" t="s">
        <v>39</v>
      </c>
      <c r="Q571" t="s">
        <v>31</v>
      </c>
      <c r="R571" t="s">
        <v>32</v>
      </c>
      <c r="S571" t="s">
        <v>28</v>
      </c>
      <c r="T571" t="s">
        <v>2372</v>
      </c>
      <c r="U571" t="s">
        <v>2371</v>
      </c>
    </row>
    <row r="572" spans="1:21" x14ac:dyDescent="0.25">
      <c r="A572" t="s">
        <v>63</v>
      </c>
      <c r="B572" t="s">
        <v>64</v>
      </c>
      <c r="C572">
        <v>100</v>
      </c>
      <c r="D572">
        <v>2</v>
      </c>
      <c r="E572">
        <v>0</v>
      </c>
      <c r="F572" t="s">
        <v>2373</v>
      </c>
      <c r="G572">
        <v>200</v>
      </c>
      <c r="H572">
        <v>0</v>
      </c>
      <c r="I572" t="s">
        <v>24</v>
      </c>
      <c r="J572" t="s">
        <v>2374</v>
      </c>
      <c r="K572" t="s">
        <v>384</v>
      </c>
      <c r="L572" t="s">
        <v>27</v>
      </c>
      <c r="M572" t="s">
        <v>28</v>
      </c>
      <c r="N572" t="s">
        <v>2375</v>
      </c>
      <c r="O572" t="s">
        <v>27</v>
      </c>
      <c r="P572" t="s">
        <v>39</v>
      </c>
      <c r="Q572" t="s">
        <v>31</v>
      </c>
      <c r="R572" t="s">
        <v>32</v>
      </c>
      <c r="S572" t="s">
        <v>28</v>
      </c>
      <c r="T572" t="s">
        <v>2376</v>
      </c>
      <c r="U572" t="s">
        <v>2377</v>
      </c>
    </row>
    <row r="573" spans="1:21" x14ac:dyDescent="0.25">
      <c r="A573" t="s">
        <v>134</v>
      </c>
      <c r="B573" t="s">
        <v>64</v>
      </c>
      <c r="C573">
        <v>100</v>
      </c>
      <c r="D573">
        <v>1</v>
      </c>
      <c r="E573">
        <v>0</v>
      </c>
      <c r="F573" t="s">
        <v>2378</v>
      </c>
      <c r="G573">
        <v>106</v>
      </c>
      <c r="H573">
        <v>6</v>
      </c>
      <c r="I573" t="s">
        <v>445</v>
      </c>
      <c r="J573" t="s">
        <v>2379</v>
      </c>
      <c r="K573" t="s">
        <v>118</v>
      </c>
      <c r="L573" t="s">
        <v>27</v>
      </c>
      <c r="M573" t="s">
        <v>28</v>
      </c>
      <c r="N573" t="s">
        <v>2380</v>
      </c>
      <c r="O573" t="s">
        <v>27</v>
      </c>
      <c r="P573" t="s">
        <v>39</v>
      </c>
      <c r="Q573" t="s">
        <v>31</v>
      </c>
      <c r="R573" t="s">
        <v>32</v>
      </c>
      <c r="S573" t="s">
        <v>28</v>
      </c>
      <c r="T573" t="s">
        <v>2381</v>
      </c>
      <c r="U573" t="s">
        <v>2380</v>
      </c>
    </row>
    <row r="574" spans="1:21" x14ac:dyDescent="0.25">
      <c r="A574" t="s">
        <v>33</v>
      </c>
      <c r="B574" t="s">
        <v>34</v>
      </c>
      <c r="C574">
        <v>200</v>
      </c>
      <c r="D574">
        <v>1</v>
      </c>
      <c r="E574">
        <v>0</v>
      </c>
      <c r="F574" t="s">
        <v>2382</v>
      </c>
      <c r="G574">
        <v>200</v>
      </c>
      <c r="H574">
        <v>0</v>
      </c>
      <c r="I574" t="s">
        <v>445</v>
      </c>
      <c r="J574" t="s">
        <v>2383</v>
      </c>
      <c r="K574" t="s">
        <v>113</v>
      </c>
      <c r="L574" t="s">
        <v>27</v>
      </c>
      <c r="M574" t="s">
        <v>28</v>
      </c>
      <c r="N574" t="s">
        <v>2384</v>
      </c>
      <c r="O574" t="s">
        <v>27</v>
      </c>
      <c r="P574" t="s">
        <v>39</v>
      </c>
      <c r="Q574" t="s">
        <v>31</v>
      </c>
      <c r="R574" t="s">
        <v>32</v>
      </c>
      <c r="S574" t="s">
        <v>28</v>
      </c>
      <c r="T574" t="s">
        <v>2385</v>
      </c>
      <c r="U574" t="s">
        <v>2384</v>
      </c>
    </row>
    <row r="575" spans="1:21" x14ac:dyDescent="0.25">
      <c r="A575" t="s">
        <v>195</v>
      </c>
      <c r="B575" t="s">
        <v>1003</v>
      </c>
      <c r="C575">
        <v>116.85</v>
      </c>
      <c r="D575">
        <v>1</v>
      </c>
      <c r="E575">
        <v>0</v>
      </c>
      <c r="F575" t="s">
        <v>2386</v>
      </c>
      <c r="G575">
        <v>881.91</v>
      </c>
      <c r="H575">
        <v>64</v>
      </c>
      <c r="I575" t="s">
        <v>628</v>
      </c>
      <c r="J575" t="s">
        <v>2387</v>
      </c>
      <c r="K575" t="s">
        <v>2388</v>
      </c>
      <c r="L575" t="s">
        <v>504</v>
      </c>
      <c r="M575" t="s">
        <v>2389</v>
      </c>
      <c r="N575" t="s">
        <v>2390</v>
      </c>
      <c r="O575" t="s">
        <v>27</v>
      </c>
      <c r="P575" t="s">
        <v>48</v>
      </c>
      <c r="Q575" t="s">
        <v>49</v>
      </c>
      <c r="R575" t="s">
        <v>50</v>
      </c>
      <c r="S575" t="s">
        <v>28</v>
      </c>
      <c r="T575" t="s">
        <v>27</v>
      </c>
      <c r="U575" t="s">
        <v>2391</v>
      </c>
    </row>
    <row r="576" spans="1:21" x14ac:dyDescent="0.25">
      <c r="A576" t="s">
        <v>195</v>
      </c>
      <c r="B576" t="s">
        <v>1003</v>
      </c>
      <c r="C576">
        <v>116.84</v>
      </c>
      <c r="D576">
        <v>1</v>
      </c>
      <c r="E576">
        <v>0</v>
      </c>
      <c r="F576" t="s">
        <v>2386</v>
      </c>
      <c r="G576">
        <v>881.91</v>
      </c>
      <c r="H576">
        <v>64</v>
      </c>
      <c r="I576" t="s">
        <v>628</v>
      </c>
      <c r="J576" t="s">
        <v>2387</v>
      </c>
      <c r="K576" t="s">
        <v>2388</v>
      </c>
      <c r="L576" t="s">
        <v>504</v>
      </c>
      <c r="M576" t="s">
        <v>2389</v>
      </c>
      <c r="N576" t="s">
        <v>2390</v>
      </c>
      <c r="O576" t="s">
        <v>27</v>
      </c>
      <c r="P576" t="s">
        <v>48</v>
      </c>
      <c r="Q576" t="s">
        <v>49</v>
      </c>
      <c r="R576" t="s">
        <v>50</v>
      </c>
      <c r="S576" t="s">
        <v>28</v>
      </c>
      <c r="T576" t="s">
        <v>27</v>
      </c>
      <c r="U576" t="s">
        <v>2391</v>
      </c>
    </row>
    <row r="577" spans="1:21" x14ac:dyDescent="0.25">
      <c r="A577" t="s">
        <v>195</v>
      </c>
      <c r="B577" t="s">
        <v>1003</v>
      </c>
      <c r="C577">
        <v>116.85</v>
      </c>
      <c r="D577">
        <v>1</v>
      </c>
      <c r="E577">
        <v>0</v>
      </c>
      <c r="F577" t="s">
        <v>2386</v>
      </c>
      <c r="G577">
        <v>881.91</v>
      </c>
      <c r="H577">
        <v>64</v>
      </c>
      <c r="I577" t="s">
        <v>628</v>
      </c>
      <c r="J577" t="s">
        <v>2387</v>
      </c>
      <c r="K577" t="s">
        <v>2388</v>
      </c>
      <c r="L577" t="s">
        <v>504</v>
      </c>
      <c r="M577" t="s">
        <v>2389</v>
      </c>
      <c r="N577" t="s">
        <v>2390</v>
      </c>
      <c r="O577" t="s">
        <v>27</v>
      </c>
      <c r="P577" t="s">
        <v>48</v>
      </c>
      <c r="Q577" t="s">
        <v>49</v>
      </c>
      <c r="R577" t="s">
        <v>50</v>
      </c>
      <c r="S577" t="s">
        <v>28</v>
      </c>
      <c r="T577" t="s">
        <v>27</v>
      </c>
      <c r="U577" t="s">
        <v>2391</v>
      </c>
    </row>
    <row r="578" spans="1:21" x14ac:dyDescent="0.25">
      <c r="A578" t="s">
        <v>195</v>
      </c>
      <c r="B578" t="s">
        <v>1003</v>
      </c>
      <c r="C578">
        <v>116.84</v>
      </c>
      <c r="D578">
        <v>1</v>
      </c>
      <c r="E578">
        <v>0</v>
      </c>
      <c r="F578" t="s">
        <v>2386</v>
      </c>
      <c r="G578">
        <v>881.91</v>
      </c>
      <c r="H578">
        <v>64</v>
      </c>
      <c r="I578" t="s">
        <v>628</v>
      </c>
      <c r="J578" t="s">
        <v>2387</v>
      </c>
      <c r="K578" t="s">
        <v>2388</v>
      </c>
      <c r="L578" t="s">
        <v>504</v>
      </c>
      <c r="M578" t="s">
        <v>2389</v>
      </c>
      <c r="N578" t="s">
        <v>2390</v>
      </c>
      <c r="O578" t="s">
        <v>27</v>
      </c>
      <c r="P578" t="s">
        <v>48</v>
      </c>
      <c r="Q578" t="s">
        <v>49</v>
      </c>
      <c r="R578" t="s">
        <v>50</v>
      </c>
      <c r="S578" t="s">
        <v>28</v>
      </c>
      <c r="T578" t="s">
        <v>27</v>
      </c>
      <c r="U578" t="s">
        <v>2391</v>
      </c>
    </row>
    <row r="579" spans="1:21" x14ac:dyDescent="0.25">
      <c r="A579" t="s">
        <v>195</v>
      </c>
      <c r="B579" t="s">
        <v>1003</v>
      </c>
      <c r="C579">
        <v>116.85</v>
      </c>
      <c r="D579">
        <v>1</v>
      </c>
      <c r="E579">
        <v>0</v>
      </c>
      <c r="F579" t="s">
        <v>2386</v>
      </c>
      <c r="G579">
        <v>881.91</v>
      </c>
      <c r="H579">
        <v>64</v>
      </c>
      <c r="I579" t="s">
        <v>628</v>
      </c>
      <c r="J579" t="s">
        <v>2387</v>
      </c>
      <c r="K579" t="s">
        <v>2388</v>
      </c>
      <c r="L579" t="s">
        <v>504</v>
      </c>
      <c r="M579" t="s">
        <v>2389</v>
      </c>
      <c r="N579" t="s">
        <v>2390</v>
      </c>
      <c r="O579" t="s">
        <v>27</v>
      </c>
      <c r="P579" t="s">
        <v>48</v>
      </c>
      <c r="Q579" t="s">
        <v>49</v>
      </c>
      <c r="R579" t="s">
        <v>50</v>
      </c>
      <c r="S579" t="s">
        <v>28</v>
      </c>
      <c r="T579" t="s">
        <v>27</v>
      </c>
      <c r="U579" t="s">
        <v>2391</v>
      </c>
    </row>
    <row r="580" spans="1:21" x14ac:dyDescent="0.25">
      <c r="A580" t="s">
        <v>195</v>
      </c>
      <c r="B580" t="s">
        <v>1003</v>
      </c>
      <c r="C580">
        <v>116.84</v>
      </c>
      <c r="D580">
        <v>1</v>
      </c>
      <c r="E580">
        <v>0</v>
      </c>
      <c r="F580" t="s">
        <v>2386</v>
      </c>
      <c r="G580">
        <v>881.91</v>
      </c>
      <c r="H580">
        <v>64</v>
      </c>
      <c r="I580" t="s">
        <v>628</v>
      </c>
      <c r="J580" t="s">
        <v>2387</v>
      </c>
      <c r="K580" t="s">
        <v>2388</v>
      </c>
      <c r="L580" t="s">
        <v>504</v>
      </c>
      <c r="M580" t="s">
        <v>2389</v>
      </c>
      <c r="N580" t="s">
        <v>2390</v>
      </c>
      <c r="O580" t="s">
        <v>27</v>
      </c>
      <c r="P580" t="s">
        <v>48</v>
      </c>
      <c r="Q580" t="s">
        <v>49</v>
      </c>
      <c r="R580" t="s">
        <v>50</v>
      </c>
      <c r="S580" t="s">
        <v>28</v>
      </c>
      <c r="T580" t="s">
        <v>27</v>
      </c>
      <c r="U580" t="s">
        <v>2391</v>
      </c>
    </row>
    <row r="581" spans="1:21" x14ac:dyDescent="0.25">
      <c r="A581" t="s">
        <v>195</v>
      </c>
      <c r="B581" t="s">
        <v>1003</v>
      </c>
      <c r="C581">
        <v>116.84</v>
      </c>
      <c r="D581">
        <v>1</v>
      </c>
      <c r="E581">
        <v>0</v>
      </c>
      <c r="F581" t="s">
        <v>2386</v>
      </c>
      <c r="G581">
        <v>881.91</v>
      </c>
      <c r="H581">
        <v>64</v>
      </c>
      <c r="I581" t="s">
        <v>628</v>
      </c>
      <c r="J581" t="s">
        <v>2387</v>
      </c>
      <c r="K581" t="s">
        <v>2388</v>
      </c>
      <c r="L581" t="s">
        <v>504</v>
      </c>
      <c r="M581" t="s">
        <v>2389</v>
      </c>
      <c r="N581" t="s">
        <v>2390</v>
      </c>
      <c r="O581" t="s">
        <v>27</v>
      </c>
      <c r="P581" t="s">
        <v>48</v>
      </c>
      <c r="Q581" t="s">
        <v>49</v>
      </c>
      <c r="R581" t="s">
        <v>50</v>
      </c>
      <c r="S581" t="s">
        <v>28</v>
      </c>
      <c r="T581" t="s">
        <v>27</v>
      </c>
      <c r="U581" t="s">
        <v>2391</v>
      </c>
    </row>
    <row r="582" spans="1:21" x14ac:dyDescent="0.25">
      <c r="A582" t="s">
        <v>21</v>
      </c>
      <c r="B582" t="s">
        <v>22</v>
      </c>
      <c r="C582">
        <v>100</v>
      </c>
      <c r="D582">
        <v>1</v>
      </c>
      <c r="E582">
        <v>0</v>
      </c>
      <c r="F582" t="s">
        <v>2392</v>
      </c>
      <c r="G582">
        <v>106</v>
      </c>
      <c r="H582">
        <v>6</v>
      </c>
      <c r="I582" t="s">
        <v>445</v>
      </c>
      <c r="J582" t="s">
        <v>2393</v>
      </c>
      <c r="K582" t="s">
        <v>321</v>
      </c>
      <c r="L582" t="s">
        <v>27</v>
      </c>
      <c r="M582" t="s">
        <v>28</v>
      </c>
      <c r="N582" t="s">
        <v>2394</v>
      </c>
      <c r="O582" t="s">
        <v>27</v>
      </c>
      <c r="P582" t="s">
        <v>39</v>
      </c>
      <c r="Q582" t="s">
        <v>31</v>
      </c>
      <c r="R582" t="s">
        <v>32</v>
      </c>
      <c r="S582" t="s">
        <v>28</v>
      </c>
      <c r="T582" t="s">
        <v>2395</v>
      </c>
      <c r="U582" t="s">
        <v>2394</v>
      </c>
    </row>
    <row r="583" spans="1:21" x14ac:dyDescent="0.25">
      <c r="A583" t="s">
        <v>456</v>
      </c>
      <c r="B583" t="s">
        <v>1178</v>
      </c>
      <c r="C583">
        <v>112.35</v>
      </c>
      <c r="D583">
        <v>1</v>
      </c>
      <c r="E583">
        <v>0</v>
      </c>
      <c r="F583" t="s">
        <v>2396</v>
      </c>
      <c r="G583">
        <v>112.35</v>
      </c>
      <c r="H583">
        <v>0</v>
      </c>
      <c r="I583" t="s">
        <v>628</v>
      </c>
      <c r="J583" t="s">
        <v>2397</v>
      </c>
      <c r="K583" t="s">
        <v>2398</v>
      </c>
      <c r="L583" t="s">
        <v>2399</v>
      </c>
      <c r="M583" t="s">
        <v>2400</v>
      </c>
      <c r="N583" t="s">
        <v>2401</v>
      </c>
      <c r="O583" t="s">
        <v>27</v>
      </c>
      <c r="P583" t="s">
        <v>48</v>
      </c>
      <c r="Q583" t="s">
        <v>49</v>
      </c>
      <c r="R583" t="s">
        <v>50</v>
      </c>
      <c r="S583" t="s">
        <v>28</v>
      </c>
      <c r="T583" t="s">
        <v>2402</v>
      </c>
      <c r="U583" t="s">
        <v>2401</v>
      </c>
    </row>
    <row r="584" spans="1:21" x14ac:dyDescent="0.25">
      <c r="A584" t="s">
        <v>21</v>
      </c>
      <c r="B584" t="s">
        <v>22</v>
      </c>
      <c r="C584">
        <v>100</v>
      </c>
      <c r="D584">
        <v>1</v>
      </c>
      <c r="E584">
        <v>0</v>
      </c>
      <c r="F584" t="s">
        <v>2403</v>
      </c>
      <c r="G584">
        <v>145</v>
      </c>
      <c r="H584">
        <v>45</v>
      </c>
      <c r="I584" t="s">
        <v>24</v>
      </c>
      <c r="J584" t="s">
        <v>2404</v>
      </c>
      <c r="K584" t="s">
        <v>61</v>
      </c>
      <c r="L584" t="s">
        <v>27</v>
      </c>
      <c r="M584" t="s">
        <v>28</v>
      </c>
      <c r="N584" t="s">
        <v>2405</v>
      </c>
      <c r="O584" t="s">
        <v>27</v>
      </c>
      <c r="P584" t="s">
        <v>39</v>
      </c>
      <c r="Q584" t="s">
        <v>31</v>
      </c>
      <c r="R584" t="s">
        <v>32</v>
      </c>
      <c r="S584" t="s">
        <v>28</v>
      </c>
      <c r="T584" t="s">
        <v>2406</v>
      </c>
      <c r="U584" t="s">
        <v>2405</v>
      </c>
    </row>
    <row r="585" spans="1:21" x14ac:dyDescent="0.25">
      <c r="A585" t="s">
        <v>195</v>
      </c>
      <c r="B585" t="s">
        <v>196</v>
      </c>
      <c r="C585">
        <v>230</v>
      </c>
      <c r="D585">
        <v>1</v>
      </c>
      <c r="E585">
        <v>0</v>
      </c>
      <c r="F585" t="s">
        <v>2407</v>
      </c>
      <c r="G585">
        <v>259</v>
      </c>
      <c r="H585">
        <v>29</v>
      </c>
      <c r="I585" t="s">
        <v>445</v>
      </c>
      <c r="J585" t="s">
        <v>2408</v>
      </c>
      <c r="K585" t="s">
        <v>2409</v>
      </c>
      <c r="L585" t="s">
        <v>2410</v>
      </c>
      <c r="M585" t="s">
        <v>2411</v>
      </c>
      <c r="N585" t="s">
        <v>2412</v>
      </c>
      <c r="O585" t="s">
        <v>27</v>
      </c>
      <c r="P585" t="s">
        <v>84</v>
      </c>
      <c r="Q585" t="s">
        <v>85</v>
      </c>
      <c r="R585" t="s">
        <v>86</v>
      </c>
      <c r="S585" t="s">
        <v>28</v>
      </c>
      <c r="T585" t="s">
        <v>2413</v>
      </c>
      <c r="U585" t="s">
        <v>2412</v>
      </c>
    </row>
    <row r="586" spans="1:21" x14ac:dyDescent="0.25">
      <c r="A586" t="s">
        <v>33</v>
      </c>
      <c r="B586" t="s">
        <v>34</v>
      </c>
      <c r="C586">
        <v>200</v>
      </c>
      <c r="D586">
        <v>1</v>
      </c>
      <c r="E586">
        <v>0</v>
      </c>
      <c r="F586" t="s">
        <v>2414</v>
      </c>
      <c r="G586">
        <v>200</v>
      </c>
      <c r="H586">
        <v>0</v>
      </c>
      <c r="I586" t="s">
        <v>445</v>
      </c>
      <c r="J586" t="s">
        <v>2415</v>
      </c>
      <c r="K586" t="s">
        <v>2416</v>
      </c>
      <c r="L586" t="s">
        <v>27</v>
      </c>
      <c r="M586" t="s">
        <v>28</v>
      </c>
      <c r="N586" t="s">
        <v>2417</v>
      </c>
      <c r="O586" t="s">
        <v>27</v>
      </c>
      <c r="P586" t="s">
        <v>39</v>
      </c>
      <c r="Q586" t="s">
        <v>31</v>
      </c>
      <c r="R586" t="s">
        <v>32</v>
      </c>
      <c r="S586" t="s">
        <v>28</v>
      </c>
      <c r="T586" t="s">
        <v>2418</v>
      </c>
      <c r="U586" t="s">
        <v>2417</v>
      </c>
    </row>
    <row r="587" spans="1:21" x14ac:dyDescent="0.25">
      <c r="A587" t="s">
        <v>21</v>
      </c>
      <c r="B587" t="s">
        <v>22</v>
      </c>
      <c r="C587">
        <v>100</v>
      </c>
      <c r="D587">
        <v>1</v>
      </c>
      <c r="E587">
        <v>0</v>
      </c>
      <c r="F587" t="s">
        <v>2419</v>
      </c>
      <c r="G587">
        <v>106</v>
      </c>
      <c r="H587">
        <v>6</v>
      </c>
      <c r="I587" t="s">
        <v>24</v>
      </c>
      <c r="J587" t="s">
        <v>2420</v>
      </c>
      <c r="K587" t="s">
        <v>1602</v>
      </c>
      <c r="L587" t="s">
        <v>27</v>
      </c>
      <c r="M587" t="s">
        <v>28</v>
      </c>
      <c r="N587" t="s">
        <v>2421</v>
      </c>
      <c r="O587" t="s">
        <v>27</v>
      </c>
      <c r="P587" t="s">
        <v>39</v>
      </c>
      <c r="Q587" t="s">
        <v>31</v>
      </c>
      <c r="R587" t="s">
        <v>32</v>
      </c>
      <c r="S587" t="s">
        <v>28</v>
      </c>
      <c r="T587" t="s">
        <v>2422</v>
      </c>
      <c r="U587" t="s">
        <v>2421</v>
      </c>
    </row>
    <row r="588" spans="1:21" x14ac:dyDescent="0.25">
      <c r="A588" t="s">
        <v>58</v>
      </c>
      <c r="B588" t="s">
        <v>2423</v>
      </c>
      <c r="C588">
        <v>132.47</v>
      </c>
      <c r="D588">
        <v>1</v>
      </c>
      <c r="E588">
        <v>0</v>
      </c>
      <c r="F588" t="s">
        <v>2424</v>
      </c>
      <c r="G588">
        <v>137.47</v>
      </c>
      <c r="H588">
        <v>5</v>
      </c>
      <c r="I588" t="s">
        <v>24</v>
      </c>
      <c r="J588" t="s">
        <v>2425</v>
      </c>
      <c r="K588" t="s">
        <v>2426</v>
      </c>
      <c r="L588" t="s">
        <v>2427</v>
      </c>
      <c r="M588" t="s">
        <v>2428</v>
      </c>
      <c r="N588" t="s">
        <v>2429</v>
      </c>
      <c r="O588" t="s">
        <v>27</v>
      </c>
      <c r="P588" t="s">
        <v>48</v>
      </c>
      <c r="Q588" t="s">
        <v>49</v>
      </c>
      <c r="R588" t="s">
        <v>50</v>
      </c>
      <c r="S588" t="s">
        <v>28</v>
      </c>
      <c r="T588" t="s">
        <v>2430</v>
      </c>
      <c r="U588" t="s">
        <v>2429</v>
      </c>
    </row>
    <row r="589" spans="1:21" x14ac:dyDescent="0.25">
      <c r="A589" t="s">
        <v>143</v>
      </c>
      <c r="B589" t="s">
        <v>144</v>
      </c>
      <c r="C589">
        <v>200</v>
      </c>
      <c r="D589">
        <v>1</v>
      </c>
      <c r="E589">
        <v>0</v>
      </c>
      <c r="F589" t="s">
        <v>2431</v>
      </c>
      <c r="G589">
        <v>200</v>
      </c>
      <c r="H589">
        <v>0</v>
      </c>
      <c r="I589" t="s">
        <v>445</v>
      </c>
      <c r="J589" t="s">
        <v>2432</v>
      </c>
      <c r="K589" t="s">
        <v>342</v>
      </c>
      <c r="L589" t="s">
        <v>27</v>
      </c>
      <c r="M589" t="s">
        <v>28</v>
      </c>
      <c r="N589" t="s">
        <v>2433</v>
      </c>
      <c r="O589" t="s">
        <v>27</v>
      </c>
      <c r="P589" t="s">
        <v>56</v>
      </c>
      <c r="Q589" t="s">
        <v>31</v>
      </c>
      <c r="R589" t="s">
        <v>57</v>
      </c>
      <c r="S589" t="s">
        <v>28</v>
      </c>
      <c r="T589" t="s">
        <v>2434</v>
      </c>
      <c r="U589" t="s">
        <v>2433</v>
      </c>
    </row>
    <row r="590" spans="1:21" x14ac:dyDescent="0.25">
      <c r="A590" t="s">
        <v>21</v>
      </c>
      <c r="B590" t="s">
        <v>22</v>
      </c>
      <c r="C590">
        <v>100</v>
      </c>
      <c r="D590">
        <v>1</v>
      </c>
      <c r="E590">
        <v>0</v>
      </c>
      <c r="F590" t="s">
        <v>2435</v>
      </c>
      <c r="G590">
        <v>106</v>
      </c>
      <c r="H590">
        <v>6</v>
      </c>
      <c r="I590" t="s">
        <v>24</v>
      </c>
      <c r="J590" t="s">
        <v>2436</v>
      </c>
      <c r="K590" t="s">
        <v>89</v>
      </c>
      <c r="L590" t="s">
        <v>27</v>
      </c>
      <c r="M590" t="s">
        <v>28</v>
      </c>
      <c r="N590" t="s">
        <v>2437</v>
      </c>
      <c r="O590" t="s">
        <v>27</v>
      </c>
      <c r="P590" t="s">
        <v>56</v>
      </c>
      <c r="Q590" t="s">
        <v>31</v>
      </c>
      <c r="R590" t="s">
        <v>57</v>
      </c>
      <c r="S590" t="s">
        <v>28</v>
      </c>
      <c r="T590" t="s">
        <v>2438</v>
      </c>
      <c r="U590" t="s">
        <v>2439</v>
      </c>
    </row>
    <row r="591" spans="1:21" x14ac:dyDescent="0.25">
      <c r="A591" t="s">
        <v>21</v>
      </c>
      <c r="B591" t="s">
        <v>22</v>
      </c>
      <c r="C591">
        <v>100</v>
      </c>
      <c r="D591">
        <v>2</v>
      </c>
      <c r="E591">
        <v>0</v>
      </c>
      <c r="F591" t="s">
        <v>2440</v>
      </c>
      <c r="G591">
        <v>200</v>
      </c>
      <c r="H591">
        <v>0</v>
      </c>
      <c r="I591" t="s">
        <v>140</v>
      </c>
      <c r="J591" t="s">
        <v>2441</v>
      </c>
      <c r="K591" t="s">
        <v>2442</v>
      </c>
      <c r="L591" t="s">
        <v>27</v>
      </c>
      <c r="M591" t="s">
        <v>28</v>
      </c>
      <c r="N591" t="s">
        <v>2443</v>
      </c>
      <c r="O591" t="s">
        <v>27</v>
      </c>
      <c r="P591" t="s">
        <v>369</v>
      </c>
      <c r="Q591" t="s">
        <v>31</v>
      </c>
      <c r="R591" t="s">
        <v>57</v>
      </c>
      <c r="S591" t="s">
        <v>28</v>
      </c>
      <c r="T591" t="s">
        <v>2444</v>
      </c>
      <c r="U591" t="s">
        <v>2443</v>
      </c>
    </row>
    <row r="592" spans="1:21" x14ac:dyDescent="0.25">
      <c r="A592" t="s">
        <v>635</v>
      </c>
      <c r="B592" t="s">
        <v>714</v>
      </c>
      <c r="C592">
        <v>413.86</v>
      </c>
      <c r="D592">
        <v>1</v>
      </c>
      <c r="E592">
        <v>0</v>
      </c>
      <c r="F592" t="s">
        <v>2445</v>
      </c>
      <c r="G592">
        <v>427.86</v>
      </c>
      <c r="H592">
        <v>14</v>
      </c>
      <c r="I592" t="s">
        <v>628</v>
      </c>
      <c r="J592" t="s">
        <v>2446</v>
      </c>
      <c r="K592" t="s">
        <v>2447</v>
      </c>
      <c r="L592" t="s">
        <v>1809</v>
      </c>
      <c r="M592" t="s">
        <v>2448</v>
      </c>
      <c r="N592" t="s">
        <v>2449</v>
      </c>
      <c r="O592" t="s">
        <v>27</v>
      </c>
      <c r="P592" t="s">
        <v>48</v>
      </c>
      <c r="Q592" t="s">
        <v>49</v>
      </c>
      <c r="R592" t="s">
        <v>50</v>
      </c>
      <c r="S592" t="s">
        <v>28</v>
      </c>
      <c r="T592" t="s">
        <v>2450</v>
      </c>
      <c r="U592" t="s">
        <v>2449</v>
      </c>
    </row>
    <row r="593" spans="1:21" x14ac:dyDescent="0.25">
      <c r="A593" t="s">
        <v>143</v>
      </c>
      <c r="B593" t="s">
        <v>144</v>
      </c>
      <c r="C593">
        <v>200</v>
      </c>
      <c r="D593">
        <v>1</v>
      </c>
      <c r="E593">
        <v>0</v>
      </c>
      <c r="F593" t="s">
        <v>2451</v>
      </c>
      <c r="G593">
        <v>200</v>
      </c>
      <c r="H593">
        <v>0</v>
      </c>
      <c r="I593" t="s">
        <v>140</v>
      </c>
      <c r="J593" t="s">
        <v>2452</v>
      </c>
      <c r="K593" t="s">
        <v>753</v>
      </c>
      <c r="L593" t="s">
        <v>27</v>
      </c>
      <c r="M593" t="s">
        <v>28</v>
      </c>
      <c r="N593" t="s">
        <v>2453</v>
      </c>
      <c r="O593" t="s">
        <v>27</v>
      </c>
      <c r="P593" t="s">
        <v>30</v>
      </c>
      <c r="Q593" t="s">
        <v>31</v>
      </c>
      <c r="R593" t="s">
        <v>32</v>
      </c>
      <c r="S593" t="s">
        <v>28</v>
      </c>
      <c r="T593" t="s">
        <v>2454</v>
      </c>
      <c r="U593" t="s">
        <v>2453</v>
      </c>
    </row>
    <row r="594" spans="1:21" x14ac:dyDescent="0.25">
      <c r="A594" t="s">
        <v>58</v>
      </c>
      <c r="B594" t="s">
        <v>58</v>
      </c>
      <c r="C594">
        <v>100</v>
      </c>
      <c r="D594">
        <v>1</v>
      </c>
      <c r="E594">
        <v>0</v>
      </c>
      <c r="F594" t="s">
        <v>2455</v>
      </c>
      <c r="G594">
        <v>200</v>
      </c>
      <c r="H594">
        <v>0</v>
      </c>
      <c r="I594" t="s">
        <v>24</v>
      </c>
      <c r="J594" t="s">
        <v>2456</v>
      </c>
      <c r="K594" t="s">
        <v>61</v>
      </c>
      <c r="L594" t="s">
        <v>27</v>
      </c>
      <c r="M594" t="s">
        <v>28</v>
      </c>
      <c r="N594" t="s">
        <v>2453</v>
      </c>
      <c r="O594" t="s">
        <v>27</v>
      </c>
      <c r="P594" t="s">
        <v>56</v>
      </c>
      <c r="Q594" t="s">
        <v>31</v>
      </c>
      <c r="R594" t="s">
        <v>57</v>
      </c>
      <c r="S594" t="s">
        <v>28</v>
      </c>
      <c r="T594" t="s">
        <v>2457</v>
      </c>
      <c r="U594" t="s">
        <v>2453</v>
      </c>
    </row>
    <row r="595" spans="1:21" x14ac:dyDescent="0.25">
      <c r="A595" t="s">
        <v>63</v>
      </c>
      <c r="B595" t="s">
        <v>64</v>
      </c>
      <c r="C595">
        <v>100</v>
      </c>
      <c r="D595">
        <v>1</v>
      </c>
      <c r="E595">
        <v>0</v>
      </c>
      <c r="F595" t="s">
        <v>2455</v>
      </c>
      <c r="G595">
        <v>200</v>
      </c>
      <c r="H595">
        <v>0</v>
      </c>
      <c r="I595" t="s">
        <v>24</v>
      </c>
      <c r="J595" t="s">
        <v>2456</v>
      </c>
      <c r="K595" t="s">
        <v>61</v>
      </c>
      <c r="L595" t="s">
        <v>27</v>
      </c>
      <c r="M595" t="s">
        <v>28</v>
      </c>
      <c r="N595" t="s">
        <v>2453</v>
      </c>
      <c r="O595" t="s">
        <v>27</v>
      </c>
      <c r="P595" t="s">
        <v>56</v>
      </c>
      <c r="Q595" t="s">
        <v>31</v>
      </c>
      <c r="R595" t="s">
        <v>57</v>
      </c>
      <c r="S595" t="s">
        <v>28</v>
      </c>
      <c r="T595" t="s">
        <v>2457</v>
      </c>
      <c r="U595" t="s">
        <v>2453</v>
      </c>
    </row>
    <row r="596" spans="1:21" x14ac:dyDescent="0.25">
      <c r="A596" t="s">
        <v>21</v>
      </c>
      <c r="B596" t="s">
        <v>22</v>
      </c>
      <c r="C596">
        <v>100</v>
      </c>
      <c r="D596">
        <v>1</v>
      </c>
      <c r="E596">
        <v>0</v>
      </c>
      <c r="F596" t="s">
        <v>2458</v>
      </c>
      <c r="G596">
        <v>145</v>
      </c>
      <c r="H596">
        <v>45</v>
      </c>
      <c r="I596" t="s">
        <v>24</v>
      </c>
      <c r="J596" t="s">
        <v>1894</v>
      </c>
      <c r="K596" t="s">
        <v>250</v>
      </c>
      <c r="L596" t="s">
        <v>27</v>
      </c>
      <c r="M596" t="s">
        <v>28</v>
      </c>
      <c r="N596" t="s">
        <v>2459</v>
      </c>
      <c r="O596" t="s">
        <v>27</v>
      </c>
      <c r="P596" t="s">
        <v>56</v>
      </c>
      <c r="Q596" t="s">
        <v>31</v>
      </c>
      <c r="R596" t="s">
        <v>57</v>
      </c>
      <c r="S596" t="s">
        <v>28</v>
      </c>
      <c r="T596" t="s">
        <v>2460</v>
      </c>
      <c r="U596" t="s">
        <v>2459</v>
      </c>
    </row>
    <row r="597" spans="1:21" x14ac:dyDescent="0.25">
      <c r="A597" t="s">
        <v>635</v>
      </c>
      <c r="B597" t="s">
        <v>714</v>
      </c>
      <c r="C597">
        <v>447.27</v>
      </c>
      <c r="D597">
        <v>1</v>
      </c>
      <c r="E597">
        <v>0</v>
      </c>
      <c r="F597" t="s">
        <v>2461</v>
      </c>
      <c r="G597">
        <v>461.27</v>
      </c>
      <c r="H597">
        <v>14</v>
      </c>
      <c r="I597" t="s">
        <v>628</v>
      </c>
      <c r="J597" t="s">
        <v>1111</v>
      </c>
      <c r="K597" t="s">
        <v>1112</v>
      </c>
      <c r="L597" t="s">
        <v>1113</v>
      </c>
      <c r="M597" t="s">
        <v>1114</v>
      </c>
      <c r="N597" t="s">
        <v>2462</v>
      </c>
      <c r="O597" t="s">
        <v>27</v>
      </c>
      <c r="P597" t="s">
        <v>48</v>
      </c>
      <c r="Q597" t="s">
        <v>49</v>
      </c>
      <c r="R597" t="s">
        <v>50</v>
      </c>
      <c r="S597" t="s">
        <v>28</v>
      </c>
      <c r="T597" t="s">
        <v>2463</v>
      </c>
      <c r="U597" t="s">
        <v>2462</v>
      </c>
    </row>
    <row r="598" spans="1:21" x14ac:dyDescent="0.25">
      <c r="A598" t="s">
        <v>21</v>
      </c>
      <c r="B598" t="s">
        <v>22</v>
      </c>
      <c r="C598">
        <v>100</v>
      </c>
      <c r="D598">
        <v>2</v>
      </c>
      <c r="E598">
        <v>0</v>
      </c>
      <c r="F598" t="s">
        <v>2464</v>
      </c>
      <c r="G598">
        <v>200</v>
      </c>
      <c r="H598">
        <v>0</v>
      </c>
      <c r="I598" t="s">
        <v>24</v>
      </c>
      <c r="J598" t="s">
        <v>2465</v>
      </c>
      <c r="K598" t="s">
        <v>1198</v>
      </c>
      <c r="L598" t="s">
        <v>27</v>
      </c>
      <c r="M598" t="s">
        <v>28</v>
      </c>
      <c r="N598" t="s">
        <v>2466</v>
      </c>
      <c r="O598" t="s">
        <v>27</v>
      </c>
      <c r="P598" t="s">
        <v>56</v>
      </c>
      <c r="Q598" t="s">
        <v>31</v>
      </c>
      <c r="R598" t="s">
        <v>57</v>
      </c>
      <c r="S598" t="s">
        <v>28</v>
      </c>
      <c r="T598" t="s">
        <v>2467</v>
      </c>
      <c r="U598" t="s">
        <v>2466</v>
      </c>
    </row>
    <row r="599" spans="1:21" x14ac:dyDescent="0.25">
      <c r="A599" t="s">
        <v>21</v>
      </c>
      <c r="B599" t="s">
        <v>22</v>
      </c>
      <c r="C599">
        <v>100</v>
      </c>
      <c r="D599">
        <v>1</v>
      </c>
      <c r="E599">
        <v>0</v>
      </c>
      <c r="F599" t="s">
        <v>2468</v>
      </c>
      <c r="G599">
        <v>165</v>
      </c>
      <c r="H599">
        <v>0</v>
      </c>
      <c r="I599" t="s">
        <v>445</v>
      </c>
      <c r="J599" t="s">
        <v>2469</v>
      </c>
      <c r="K599" t="s">
        <v>2470</v>
      </c>
      <c r="L599" t="s">
        <v>27</v>
      </c>
      <c r="M599" t="s">
        <v>28</v>
      </c>
      <c r="N599" t="s">
        <v>2471</v>
      </c>
      <c r="O599" t="s">
        <v>27</v>
      </c>
      <c r="P599" t="s">
        <v>39</v>
      </c>
      <c r="Q599" t="s">
        <v>31</v>
      </c>
      <c r="R599" t="s">
        <v>32</v>
      </c>
      <c r="S599" t="s">
        <v>28</v>
      </c>
      <c r="T599" t="s">
        <v>2472</v>
      </c>
      <c r="U599" t="s">
        <v>2466</v>
      </c>
    </row>
    <row r="600" spans="1:21" x14ac:dyDescent="0.25">
      <c r="A600" t="s">
        <v>94</v>
      </c>
      <c r="B600" t="s">
        <v>95</v>
      </c>
      <c r="C600">
        <v>74.400000000000006</v>
      </c>
      <c r="D600">
        <v>1</v>
      </c>
      <c r="E600">
        <v>0</v>
      </c>
      <c r="F600" t="s">
        <v>2473</v>
      </c>
      <c r="G600">
        <v>148.80000000000001</v>
      </c>
      <c r="H600">
        <v>0</v>
      </c>
      <c r="I600" t="s">
        <v>24</v>
      </c>
      <c r="J600" t="s">
        <v>2474</v>
      </c>
      <c r="K600" t="s">
        <v>2475</v>
      </c>
      <c r="L600" t="s">
        <v>2476</v>
      </c>
      <c r="M600" t="s">
        <v>28</v>
      </c>
      <c r="N600" t="s">
        <v>27</v>
      </c>
      <c r="O600" t="s">
        <v>27</v>
      </c>
      <c r="P600" t="s">
        <v>48</v>
      </c>
      <c r="Q600" t="s">
        <v>49</v>
      </c>
      <c r="R600" t="s">
        <v>27</v>
      </c>
      <c r="S600" t="s">
        <v>28</v>
      </c>
      <c r="T600" t="s">
        <v>27</v>
      </c>
      <c r="U600" t="s">
        <v>2477</v>
      </c>
    </row>
    <row r="601" spans="1:21" x14ac:dyDescent="0.25">
      <c r="A601" t="s">
        <v>94</v>
      </c>
      <c r="B601" t="s">
        <v>95</v>
      </c>
      <c r="C601">
        <v>74.400000000000006</v>
      </c>
      <c r="D601">
        <v>1</v>
      </c>
      <c r="E601">
        <v>0</v>
      </c>
      <c r="F601" t="s">
        <v>2473</v>
      </c>
      <c r="G601">
        <v>148.80000000000001</v>
      </c>
      <c r="H601">
        <v>0</v>
      </c>
      <c r="I601" t="s">
        <v>24</v>
      </c>
      <c r="J601" t="s">
        <v>2474</v>
      </c>
      <c r="K601" t="s">
        <v>2475</v>
      </c>
      <c r="L601" t="s">
        <v>2476</v>
      </c>
      <c r="M601" t="s">
        <v>28</v>
      </c>
      <c r="N601" t="s">
        <v>27</v>
      </c>
      <c r="O601" t="s">
        <v>27</v>
      </c>
      <c r="P601" t="s">
        <v>48</v>
      </c>
      <c r="Q601" t="s">
        <v>49</v>
      </c>
      <c r="R601" t="s">
        <v>27</v>
      </c>
      <c r="S601" t="s">
        <v>28</v>
      </c>
      <c r="T601" t="s">
        <v>27</v>
      </c>
      <c r="U601" t="s">
        <v>2477</v>
      </c>
    </row>
    <row r="602" spans="1:21" x14ac:dyDescent="0.25">
      <c r="A602" t="s">
        <v>21</v>
      </c>
      <c r="B602" t="s">
        <v>22</v>
      </c>
      <c r="C602">
        <v>100</v>
      </c>
      <c r="D602">
        <v>1</v>
      </c>
      <c r="E602">
        <v>0</v>
      </c>
      <c r="F602" t="s">
        <v>2478</v>
      </c>
      <c r="G602">
        <v>106</v>
      </c>
      <c r="H602">
        <v>6</v>
      </c>
      <c r="I602" t="s">
        <v>24</v>
      </c>
      <c r="J602" t="s">
        <v>2479</v>
      </c>
      <c r="K602" t="s">
        <v>54</v>
      </c>
      <c r="L602" t="s">
        <v>27</v>
      </c>
      <c r="M602" t="s">
        <v>28</v>
      </c>
      <c r="N602" t="s">
        <v>2480</v>
      </c>
      <c r="O602" t="s">
        <v>27</v>
      </c>
      <c r="P602" t="s">
        <v>39</v>
      </c>
      <c r="Q602" t="s">
        <v>31</v>
      </c>
      <c r="R602" t="s">
        <v>32</v>
      </c>
      <c r="S602" t="s">
        <v>28</v>
      </c>
      <c r="T602" t="s">
        <v>2481</v>
      </c>
      <c r="U602" t="s">
        <v>2482</v>
      </c>
    </row>
    <row r="603" spans="1:21" x14ac:dyDescent="0.25">
      <c r="A603" t="s">
        <v>33</v>
      </c>
      <c r="B603" t="s">
        <v>34</v>
      </c>
      <c r="C603">
        <v>200</v>
      </c>
      <c r="D603">
        <v>1</v>
      </c>
      <c r="E603">
        <v>0</v>
      </c>
      <c r="F603" t="s">
        <v>2483</v>
      </c>
      <c r="G603">
        <v>200</v>
      </c>
      <c r="H603">
        <v>0</v>
      </c>
      <c r="I603" t="s">
        <v>140</v>
      </c>
      <c r="J603" t="s">
        <v>2484</v>
      </c>
      <c r="K603" t="s">
        <v>1629</v>
      </c>
      <c r="L603" t="s">
        <v>27</v>
      </c>
      <c r="M603" t="s">
        <v>28</v>
      </c>
      <c r="N603" t="s">
        <v>2485</v>
      </c>
      <c r="O603" t="s">
        <v>27</v>
      </c>
      <c r="P603" t="s">
        <v>369</v>
      </c>
      <c r="Q603" t="s">
        <v>31</v>
      </c>
      <c r="R603" t="s">
        <v>57</v>
      </c>
      <c r="S603" t="s">
        <v>28</v>
      </c>
      <c r="T603" t="s">
        <v>2486</v>
      </c>
      <c r="U603" t="s">
        <v>2487</v>
      </c>
    </row>
    <row r="604" spans="1:21" x14ac:dyDescent="0.25">
      <c r="A604" t="s">
        <v>58</v>
      </c>
      <c r="B604" t="s">
        <v>58</v>
      </c>
      <c r="C604">
        <v>100</v>
      </c>
      <c r="D604">
        <v>2</v>
      </c>
      <c r="E604">
        <v>0</v>
      </c>
      <c r="F604" t="s">
        <v>2488</v>
      </c>
      <c r="G604">
        <v>200</v>
      </c>
      <c r="H604">
        <v>0</v>
      </c>
      <c r="I604" t="s">
        <v>24</v>
      </c>
      <c r="J604" t="s">
        <v>2489</v>
      </c>
      <c r="K604" t="s">
        <v>89</v>
      </c>
      <c r="L604" t="s">
        <v>27</v>
      </c>
      <c r="M604" t="s">
        <v>28</v>
      </c>
      <c r="N604" t="s">
        <v>2490</v>
      </c>
      <c r="O604" t="s">
        <v>27</v>
      </c>
      <c r="P604" t="s">
        <v>56</v>
      </c>
      <c r="Q604" t="s">
        <v>31</v>
      </c>
      <c r="R604" t="s">
        <v>57</v>
      </c>
      <c r="S604" t="s">
        <v>28</v>
      </c>
      <c r="T604" t="s">
        <v>2491</v>
      </c>
      <c r="U604" t="s">
        <v>2490</v>
      </c>
    </row>
    <row r="605" spans="1:21" x14ac:dyDescent="0.25">
      <c r="A605" t="s">
        <v>63</v>
      </c>
      <c r="B605" t="s">
        <v>64</v>
      </c>
      <c r="C605">
        <v>100</v>
      </c>
      <c r="D605">
        <v>3</v>
      </c>
      <c r="E605">
        <v>0</v>
      </c>
      <c r="F605" t="s">
        <v>2492</v>
      </c>
      <c r="G605">
        <v>300</v>
      </c>
      <c r="H605">
        <v>0</v>
      </c>
      <c r="I605" t="s">
        <v>140</v>
      </c>
      <c r="J605" t="s">
        <v>2493</v>
      </c>
      <c r="K605" t="s">
        <v>285</v>
      </c>
      <c r="L605" t="s">
        <v>27</v>
      </c>
      <c r="M605" t="s">
        <v>28</v>
      </c>
      <c r="N605" t="s">
        <v>2494</v>
      </c>
      <c r="O605" t="s">
        <v>27</v>
      </c>
      <c r="P605" t="s">
        <v>369</v>
      </c>
      <c r="Q605" t="s">
        <v>31</v>
      </c>
      <c r="R605" t="s">
        <v>57</v>
      </c>
      <c r="S605" t="s">
        <v>28</v>
      </c>
      <c r="T605" t="s">
        <v>2495</v>
      </c>
      <c r="U605" t="s">
        <v>2496</v>
      </c>
    </row>
    <row r="606" spans="1:21" x14ac:dyDescent="0.25">
      <c r="A606" t="s">
        <v>143</v>
      </c>
      <c r="B606" t="s">
        <v>144</v>
      </c>
      <c r="C606">
        <v>200</v>
      </c>
      <c r="D606">
        <v>1</v>
      </c>
      <c r="E606">
        <v>0</v>
      </c>
      <c r="F606" t="s">
        <v>2497</v>
      </c>
      <c r="G606">
        <v>200</v>
      </c>
      <c r="H606">
        <v>0</v>
      </c>
      <c r="I606" t="s">
        <v>140</v>
      </c>
      <c r="J606" t="s">
        <v>2498</v>
      </c>
      <c r="K606" t="s">
        <v>247</v>
      </c>
      <c r="L606" t="s">
        <v>27</v>
      </c>
      <c r="M606" t="s">
        <v>28</v>
      </c>
      <c r="N606" t="s">
        <v>2499</v>
      </c>
      <c r="O606" t="s">
        <v>27</v>
      </c>
      <c r="P606" t="s">
        <v>30</v>
      </c>
      <c r="Q606" t="s">
        <v>31</v>
      </c>
      <c r="R606" t="s">
        <v>32</v>
      </c>
      <c r="S606" t="s">
        <v>28</v>
      </c>
      <c r="T606" t="s">
        <v>2500</v>
      </c>
      <c r="U606" t="s">
        <v>2499</v>
      </c>
    </row>
    <row r="607" spans="1:21" x14ac:dyDescent="0.25">
      <c r="A607" t="s">
        <v>58</v>
      </c>
      <c r="B607" t="s">
        <v>58</v>
      </c>
      <c r="C607">
        <v>150</v>
      </c>
      <c r="D607">
        <v>2</v>
      </c>
      <c r="E607">
        <v>0</v>
      </c>
      <c r="F607" t="s">
        <v>2501</v>
      </c>
      <c r="G607">
        <v>335</v>
      </c>
      <c r="H607">
        <v>35</v>
      </c>
      <c r="I607" t="s">
        <v>24</v>
      </c>
      <c r="J607" t="s">
        <v>873</v>
      </c>
      <c r="K607" t="s">
        <v>2502</v>
      </c>
      <c r="L607" t="s">
        <v>1076</v>
      </c>
      <c r="M607" t="s">
        <v>2503</v>
      </c>
      <c r="N607" t="s">
        <v>2504</v>
      </c>
      <c r="O607" t="s">
        <v>27</v>
      </c>
      <c r="P607" t="s">
        <v>84</v>
      </c>
      <c r="Q607" t="s">
        <v>85</v>
      </c>
      <c r="R607" t="s">
        <v>86</v>
      </c>
      <c r="S607" t="s">
        <v>28</v>
      </c>
      <c r="T607" t="s">
        <v>2505</v>
      </c>
      <c r="U607" t="s">
        <v>2504</v>
      </c>
    </row>
    <row r="608" spans="1:21" x14ac:dyDescent="0.25">
      <c r="A608" t="s">
        <v>58</v>
      </c>
      <c r="B608" t="s">
        <v>103</v>
      </c>
      <c r="C608">
        <v>78.14</v>
      </c>
      <c r="D608">
        <v>1</v>
      </c>
      <c r="E608">
        <v>0</v>
      </c>
      <c r="F608" t="s">
        <v>2506</v>
      </c>
      <c r="G608">
        <v>78.14</v>
      </c>
      <c r="H608">
        <v>0</v>
      </c>
      <c r="I608" t="s">
        <v>105</v>
      </c>
      <c r="J608" t="s">
        <v>2507</v>
      </c>
      <c r="K608" t="s">
        <v>2508</v>
      </c>
      <c r="L608" t="s">
        <v>1437</v>
      </c>
      <c r="M608" t="s">
        <v>2509</v>
      </c>
      <c r="N608" t="s">
        <v>2510</v>
      </c>
      <c r="O608" t="s">
        <v>27</v>
      </c>
      <c r="P608" t="s">
        <v>48</v>
      </c>
      <c r="Q608" t="s">
        <v>49</v>
      </c>
      <c r="R608" t="s">
        <v>50</v>
      </c>
      <c r="S608" t="s">
        <v>28</v>
      </c>
      <c r="T608" t="s">
        <v>2511</v>
      </c>
      <c r="U608" t="s">
        <v>2510</v>
      </c>
    </row>
    <row r="609" spans="1:21" x14ac:dyDescent="0.25">
      <c r="A609" t="s">
        <v>134</v>
      </c>
      <c r="B609" t="s">
        <v>64</v>
      </c>
      <c r="C609">
        <v>100</v>
      </c>
      <c r="D609">
        <v>1</v>
      </c>
      <c r="E609">
        <v>0</v>
      </c>
      <c r="F609" t="s">
        <v>2512</v>
      </c>
      <c r="G609">
        <v>200</v>
      </c>
      <c r="H609">
        <v>0</v>
      </c>
      <c r="I609" t="s">
        <v>445</v>
      </c>
      <c r="J609" t="s">
        <v>2513</v>
      </c>
      <c r="K609" t="s">
        <v>358</v>
      </c>
      <c r="L609" t="s">
        <v>27</v>
      </c>
      <c r="M609" t="s">
        <v>28</v>
      </c>
      <c r="N609" t="s">
        <v>2514</v>
      </c>
      <c r="O609" t="s">
        <v>27</v>
      </c>
      <c r="P609" t="s">
        <v>56</v>
      </c>
      <c r="Q609" t="s">
        <v>31</v>
      </c>
      <c r="R609" t="s">
        <v>57</v>
      </c>
      <c r="S609" t="s">
        <v>28</v>
      </c>
      <c r="T609" t="s">
        <v>2515</v>
      </c>
      <c r="U609" t="s">
        <v>2510</v>
      </c>
    </row>
    <row r="610" spans="1:21" x14ac:dyDescent="0.25">
      <c r="A610" t="s">
        <v>21</v>
      </c>
      <c r="B610" t="s">
        <v>22</v>
      </c>
      <c r="C610">
        <v>100</v>
      </c>
      <c r="D610">
        <v>1</v>
      </c>
      <c r="E610">
        <v>0</v>
      </c>
      <c r="F610" t="s">
        <v>2512</v>
      </c>
      <c r="G610">
        <v>200</v>
      </c>
      <c r="H610">
        <v>0</v>
      </c>
      <c r="I610" t="s">
        <v>445</v>
      </c>
      <c r="J610" t="s">
        <v>2513</v>
      </c>
      <c r="K610" t="s">
        <v>358</v>
      </c>
      <c r="L610" t="s">
        <v>27</v>
      </c>
      <c r="M610" t="s">
        <v>28</v>
      </c>
      <c r="N610" t="s">
        <v>2514</v>
      </c>
      <c r="O610" t="s">
        <v>27</v>
      </c>
      <c r="P610" t="s">
        <v>56</v>
      </c>
      <c r="Q610" t="s">
        <v>31</v>
      </c>
      <c r="R610" t="s">
        <v>57</v>
      </c>
      <c r="S610" t="s">
        <v>28</v>
      </c>
      <c r="T610" t="s">
        <v>2515</v>
      </c>
      <c r="U610" t="s">
        <v>2510</v>
      </c>
    </row>
    <row r="611" spans="1:21" x14ac:dyDescent="0.25">
      <c r="A611" t="s">
        <v>456</v>
      </c>
      <c r="B611" t="s">
        <v>1178</v>
      </c>
      <c r="C611">
        <v>119.84</v>
      </c>
      <c r="D611">
        <v>1</v>
      </c>
      <c r="E611">
        <v>0</v>
      </c>
      <c r="F611" t="s">
        <v>2516</v>
      </c>
      <c r="G611">
        <v>239.68</v>
      </c>
      <c r="H611">
        <v>0</v>
      </c>
      <c r="I611" t="s">
        <v>628</v>
      </c>
      <c r="J611" t="s">
        <v>2517</v>
      </c>
      <c r="K611" t="s">
        <v>2518</v>
      </c>
      <c r="L611" t="s">
        <v>2519</v>
      </c>
      <c r="M611" t="s">
        <v>2520</v>
      </c>
      <c r="N611" t="s">
        <v>2521</v>
      </c>
      <c r="O611" t="s">
        <v>27</v>
      </c>
      <c r="P611" t="s">
        <v>48</v>
      </c>
      <c r="Q611" t="s">
        <v>49</v>
      </c>
      <c r="R611" t="s">
        <v>50</v>
      </c>
      <c r="S611" t="s">
        <v>28</v>
      </c>
      <c r="T611" t="s">
        <v>2522</v>
      </c>
      <c r="U611" t="s">
        <v>2521</v>
      </c>
    </row>
    <row r="612" spans="1:21" x14ac:dyDescent="0.25">
      <c r="A612" t="s">
        <v>456</v>
      </c>
      <c r="B612" t="s">
        <v>1178</v>
      </c>
      <c r="C612">
        <v>119.84</v>
      </c>
      <c r="D612">
        <v>1</v>
      </c>
      <c r="E612">
        <v>0</v>
      </c>
      <c r="F612" t="s">
        <v>2516</v>
      </c>
      <c r="G612">
        <v>239.68</v>
      </c>
      <c r="H612">
        <v>0</v>
      </c>
      <c r="I612" t="s">
        <v>628</v>
      </c>
      <c r="J612" t="s">
        <v>2517</v>
      </c>
      <c r="K612" t="s">
        <v>2518</v>
      </c>
      <c r="L612" t="s">
        <v>2519</v>
      </c>
      <c r="M612" t="s">
        <v>2520</v>
      </c>
      <c r="N612" t="s">
        <v>2521</v>
      </c>
      <c r="O612" t="s">
        <v>27</v>
      </c>
      <c r="P612" t="s">
        <v>48</v>
      </c>
      <c r="Q612" t="s">
        <v>49</v>
      </c>
      <c r="R612" t="s">
        <v>50</v>
      </c>
      <c r="S612" t="s">
        <v>28</v>
      </c>
      <c r="T612" t="s">
        <v>2522</v>
      </c>
      <c r="U612" t="s">
        <v>2521</v>
      </c>
    </row>
    <row r="613" spans="1:21" x14ac:dyDescent="0.25">
      <c r="A613" t="s">
        <v>143</v>
      </c>
      <c r="B613" t="s">
        <v>144</v>
      </c>
      <c r="C613">
        <v>200</v>
      </c>
      <c r="D613">
        <v>1</v>
      </c>
      <c r="E613">
        <v>0</v>
      </c>
      <c r="F613" t="s">
        <v>2523</v>
      </c>
      <c r="G613">
        <v>200</v>
      </c>
      <c r="H613">
        <v>0</v>
      </c>
      <c r="I613" t="s">
        <v>445</v>
      </c>
      <c r="J613" t="s">
        <v>2524</v>
      </c>
      <c r="K613" t="s">
        <v>321</v>
      </c>
      <c r="L613" t="s">
        <v>27</v>
      </c>
      <c r="M613" t="s">
        <v>28</v>
      </c>
      <c r="N613" t="s">
        <v>2525</v>
      </c>
      <c r="O613" t="s">
        <v>27</v>
      </c>
      <c r="P613" t="s">
        <v>39</v>
      </c>
      <c r="Q613" t="s">
        <v>31</v>
      </c>
      <c r="R613" t="s">
        <v>32</v>
      </c>
      <c r="S613" t="s">
        <v>28</v>
      </c>
      <c r="T613" t="s">
        <v>2526</v>
      </c>
      <c r="U613" t="s">
        <v>2525</v>
      </c>
    </row>
    <row r="614" spans="1:21" x14ac:dyDescent="0.25">
      <c r="A614" t="s">
        <v>58</v>
      </c>
      <c r="B614" t="s">
        <v>103</v>
      </c>
      <c r="C614">
        <v>78.14</v>
      </c>
      <c r="D614">
        <v>1</v>
      </c>
      <c r="E614">
        <v>0</v>
      </c>
      <c r="F614" t="s">
        <v>2527</v>
      </c>
      <c r="G614">
        <v>290.04000000000002</v>
      </c>
      <c r="H614">
        <v>14</v>
      </c>
      <c r="I614" t="s">
        <v>105</v>
      </c>
      <c r="J614" t="s">
        <v>2528</v>
      </c>
      <c r="K614" t="s">
        <v>2529</v>
      </c>
      <c r="L614" t="s">
        <v>2530</v>
      </c>
      <c r="M614" t="s">
        <v>2531</v>
      </c>
      <c r="N614" t="s">
        <v>2532</v>
      </c>
      <c r="O614" t="s">
        <v>27</v>
      </c>
      <c r="P614" t="s">
        <v>48</v>
      </c>
      <c r="Q614" t="s">
        <v>49</v>
      </c>
      <c r="R614" t="s">
        <v>50</v>
      </c>
      <c r="S614" t="s">
        <v>28</v>
      </c>
      <c r="T614" t="s">
        <v>2533</v>
      </c>
      <c r="U614" t="s">
        <v>2532</v>
      </c>
    </row>
    <row r="615" spans="1:21" x14ac:dyDescent="0.25">
      <c r="A615" t="s">
        <v>58</v>
      </c>
      <c r="B615" t="s">
        <v>103</v>
      </c>
      <c r="C615">
        <v>74.88</v>
      </c>
      <c r="D615">
        <v>1</v>
      </c>
      <c r="E615">
        <v>0</v>
      </c>
      <c r="F615" t="s">
        <v>2534</v>
      </c>
      <c r="G615">
        <v>94.8</v>
      </c>
      <c r="H615">
        <v>5</v>
      </c>
      <c r="I615" t="s">
        <v>105</v>
      </c>
      <c r="J615" t="s">
        <v>2535</v>
      </c>
      <c r="K615" t="s">
        <v>2536</v>
      </c>
      <c r="L615" t="s">
        <v>2537</v>
      </c>
      <c r="M615" t="s">
        <v>2538</v>
      </c>
      <c r="N615" t="s">
        <v>2532</v>
      </c>
      <c r="O615" t="s">
        <v>27</v>
      </c>
      <c r="P615" t="s">
        <v>48</v>
      </c>
      <c r="Q615" t="s">
        <v>49</v>
      </c>
      <c r="R615" t="s">
        <v>50</v>
      </c>
      <c r="S615" t="s">
        <v>28</v>
      </c>
      <c r="T615" t="s">
        <v>2539</v>
      </c>
      <c r="U615" t="s">
        <v>2532</v>
      </c>
    </row>
    <row r="616" spans="1:21" x14ac:dyDescent="0.25">
      <c r="A616" t="s">
        <v>21</v>
      </c>
      <c r="B616" t="s">
        <v>22</v>
      </c>
      <c r="C616">
        <v>100</v>
      </c>
      <c r="D616">
        <v>1</v>
      </c>
      <c r="E616">
        <v>0</v>
      </c>
      <c r="F616" t="s">
        <v>2540</v>
      </c>
      <c r="G616">
        <v>145</v>
      </c>
      <c r="H616">
        <v>45</v>
      </c>
      <c r="I616" t="s">
        <v>445</v>
      </c>
      <c r="J616" t="s">
        <v>2541</v>
      </c>
      <c r="K616" t="s">
        <v>594</v>
      </c>
      <c r="L616" t="s">
        <v>27</v>
      </c>
      <c r="M616" t="s">
        <v>28</v>
      </c>
      <c r="N616" t="s">
        <v>2542</v>
      </c>
      <c r="O616" t="s">
        <v>27</v>
      </c>
      <c r="P616" t="s">
        <v>39</v>
      </c>
      <c r="Q616" t="s">
        <v>31</v>
      </c>
      <c r="R616" t="s">
        <v>32</v>
      </c>
      <c r="S616" t="s">
        <v>28</v>
      </c>
      <c r="T616" t="s">
        <v>2543</v>
      </c>
      <c r="U616" t="s">
        <v>2542</v>
      </c>
    </row>
    <row r="617" spans="1:21" x14ac:dyDescent="0.25">
      <c r="A617" t="s">
        <v>33</v>
      </c>
      <c r="B617" t="s">
        <v>34</v>
      </c>
      <c r="C617">
        <v>200</v>
      </c>
      <c r="D617">
        <v>1</v>
      </c>
      <c r="E617">
        <v>0</v>
      </c>
      <c r="F617" t="s">
        <v>2544</v>
      </c>
      <c r="G617">
        <v>200</v>
      </c>
      <c r="H617">
        <v>0</v>
      </c>
      <c r="I617" t="s">
        <v>445</v>
      </c>
      <c r="J617" t="s">
        <v>2545</v>
      </c>
      <c r="K617" t="s">
        <v>797</v>
      </c>
      <c r="L617" t="s">
        <v>27</v>
      </c>
      <c r="M617" t="s">
        <v>28</v>
      </c>
      <c r="N617" t="s">
        <v>2546</v>
      </c>
      <c r="O617" t="s">
        <v>27</v>
      </c>
      <c r="P617" t="s">
        <v>39</v>
      </c>
      <c r="Q617" t="s">
        <v>31</v>
      </c>
      <c r="R617" t="s">
        <v>32</v>
      </c>
      <c r="S617" t="s">
        <v>28</v>
      </c>
      <c r="T617" t="s">
        <v>2547</v>
      </c>
      <c r="U617" t="s">
        <v>2546</v>
      </c>
    </row>
    <row r="618" spans="1:21" x14ac:dyDescent="0.25">
      <c r="A618" t="s">
        <v>456</v>
      </c>
      <c r="B618" t="s">
        <v>1178</v>
      </c>
      <c r="C618">
        <v>102.36</v>
      </c>
      <c r="D618">
        <v>1</v>
      </c>
      <c r="E618">
        <v>0</v>
      </c>
      <c r="F618" t="s">
        <v>2548</v>
      </c>
      <c r="G618">
        <v>209.72</v>
      </c>
      <c r="H618">
        <v>5</v>
      </c>
      <c r="I618" t="s">
        <v>628</v>
      </c>
      <c r="J618" t="s">
        <v>2549</v>
      </c>
      <c r="K618" t="s">
        <v>2550</v>
      </c>
      <c r="L618" t="s">
        <v>2024</v>
      </c>
      <c r="M618" t="s">
        <v>2551</v>
      </c>
      <c r="N618" t="s">
        <v>2552</v>
      </c>
      <c r="O618" t="s">
        <v>27</v>
      </c>
      <c r="P618" t="s">
        <v>48</v>
      </c>
      <c r="Q618" t="s">
        <v>49</v>
      </c>
      <c r="R618" t="s">
        <v>50</v>
      </c>
      <c r="S618" t="s">
        <v>28</v>
      </c>
      <c r="T618" t="s">
        <v>2553</v>
      </c>
      <c r="U618" t="s">
        <v>2552</v>
      </c>
    </row>
    <row r="619" spans="1:21" x14ac:dyDescent="0.25">
      <c r="A619" t="s">
        <v>456</v>
      </c>
      <c r="B619" t="s">
        <v>1178</v>
      </c>
      <c r="C619">
        <v>102.36</v>
      </c>
      <c r="D619">
        <v>1</v>
      </c>
      <c r="E619">
        <v>0</v>
      </c>
      <c r="F619" t="s">
        <v>2548</v>
      </c>
      <c r="G619">
        <v>209.72</v>
      </c>
      <c r="H619">
        <v>5</v>
      </c>
      <c r="I619" t="s">
        <v>628</v>
      </c>
      <c r="J619" t="s">
        <v>2549</v>
      </c>
      <c r="K619" t="s">
        <v>2550</v>
      </c>
      <c r="L619" t="s">
        <v>2024</v>
      </c>
      <c r="M619" t="s">
        <v>2551</v>
      </c>
      <c r="N619" t="s">
        <v>2552</v>
      </c>
      <c r="O619" t="s">
        <v>27</v>
      </c>
      <c r="P619" t="s">
        <v>48</v>
      </c>
      <c r="Q619" t="s">
        <v>49</v>
      </c>
      <c r="R619" t="s">
        <v>50</v>
      </c>
      <c r="S619" t="s">
        <v>28</v>
      </c>
      <c r="T619" t="s">
        <v>2553</v>
      </c>
      <c r="U619" t="s">
        <v>2552</v>
      </c>
    </row>
    <row r="620" spans="1:21" x14ac:dyDescent="0.25">
      <c r="A620" t="s">
        <v>58</v>
      </c>
      <c r="B620" t="s">
        <v>58</v>
      </c>
      <c r="C620">
        <v>150</v>
      </c>
      <c r="D620">
        <v>1</v>
      </c>
      <c r="E620">
        <v>0</v>
      </c>
      <c r="F620" t="s">
        <v>2554</v>
      </c>
      <c r="G620">
        <v>600</v>
      </c>
      <c r="H620">
        <v>0</v>
      </c>
      <c r="I620" t="s">
        <v>445</v>
      </c>
      <c r="J620" t="s">
        <v>2555</v>
      </c>
      <c r="K620" t="s">
        <v>2556</v>
      </c>
      <c r="L620" t="s">
        <v>2557</v>
      </c>
      <c r="M620" t="s">
        <v>2558</v>
      </c>
      <c r="N620" t="s">
        <v>2559</v>
      </c>
      <c r="O620" t="s">
        <v>27</v>
      </c>
      <c r="P620" t="s">
        <v>84</v>
      </c>
      <c r="Q620" t="s">
        <v>85</v>
      </c>
      <c r="R620" t="s">
        <v>86</v>
      </c>
      <c r="S620" t="s">
        <v>28</v>
      </c>
      <c r="T620" t="s">
        <v>2560</v>
      </c>
      <c r="U620" t="s">
        <v>2561</v>
      </c>
    </row>
    <row r="621" spans="1:21" x14ac:dyDescent="0.25">
      <c r="A621" t="s">
        <v>456</v>
      </c>
      <c r="B621" t="s">
        <v>457</v>
      </c>
      <c r="C621">
        <v>225</v>
      </c>
      <c r="D621">
        <v>2</v>
      </c>
      <c r="E621">
        <v>0</v>
      </c>
      <c r="F621" t="s">
        <v>2554</v>
      </c>
      <c r="G621">
        <v>600</v>
      </c>
      <c r="H621">
        <v>0</v>
      </c>
      <c r="I621" t="s">
        <v>445</v>
      </c>
      <c r="J621" t="s">
        <v>2555</v>
      </c>
      <c r="K621" t="s">
        <v>2556</v>
      </c>
      <c r="L621" t="s">
        <v>2557</v>
      </c>
      <c r="M621" t="s">
        <v>2558</v>
      </c>
      <c r="N621" t="s">
        <v>2559</v>
      </c>
      <c r="O621" t="s">
        <v>27</v>
      </c>
      <c r="P621" t="s">
        <v>84</v>
      </c>
      <c r="Q621" t="s">
        <v>85</v>
      </c>
      <c r="R621" t="s">
        <v>86</v>
      </c>
      <c r="S621" t="s">
        <v>28</v>
      </c>
      <c r="T621" t="s">
        <v>2560</v>
      </c>
      <c r="U621" t="s">
        <v>2561</v>
      </c>
    </row>
    <row r="622" spans="1:21" x14ac:dyDescent="0.25">
      <c r="A622" t="s">
        <v>58</v>
      </c>
      <c r="B622" t="s">
        <v>103</v>
      </c>
      <c r="C622">
        <v>74.680000000000007</v>
      </c>
      <c r="D622">
        <v>1</v>
      </c>
      <c r="E622">
        <v>0</v>
      </c>
      <c r="F622" t="s">
        <v>2562</v>
      </c>
      <c r="G622">
        <v>79.680000000000007</v>
      </c>
      <c r="H622">
        <v>5</v>
      </c>
      <c r="I622" t="s">
        <v>105</v>
      </c>
      <c r="J622" t="s">
        <v>2563</v>
      </c>
      <c r="K622" t="s">
        <v>2564</v>
      </c>
      <c r="L622" t="s">
        <v>2565</v>
      </c>
      <c r="M622" t="s">
        <v>2566</v>
      </c>
      <c r="N622" t="s">
        <v>2567</v>
      </c>
      <c r="O622" t="s">
        <v>27</v>
      </c>
      <c r="P622" t="s">
        <v>48</v>
      </c>
      <c r="Q622" t="s">
        <v>49</v>
      </c>
      <c r="R622" t="s">
        <v>50</v>
      </c>
      <c r="S622" t="s">
        <v>28</v>
      </c>
      <c r="T622" t="s">
        <v>2568</v>
      </c>
      <c r="U622" t="s">
        <v>2567</v>
      </c>
    </row>
    <row r="623" spans="1:21" x14ac:dyDescent="0.25">
      <c r="A623" t="s">
        <v>33</v>
      </c>
      <c r="B623" t="s">
        <v>34</v>
      </c>
      <c r="C623">
        <v>200</v>
      </c>
      <c r="D623">
        <v>1</v>
      </c>
      <c r="E623">
        <v>0</v>
      </c>
      <c r="F623" t="s">
        <v>2569</v>
      </c>
      <c r="G623">
        <v>285</v>
      </c>
      <c r="H623">
        <v>0</v>
      </c>
      <c r="I623" t="s">
        <v>140</v>
      </c>
      <c r="J623" t="s">
        <v>2570</v>
      </c>
      <c r="K623" t="s">
        <v>384</v>
      </c>
      <c r="L623" t="s">
        <v>27</v>
      </c>
      <c r="M623" t="s">
        <v>28</v>
      </c>
      <c r="N623" t="s">
        <v>2571</v>
      </c>
      <c r="O623" t="s">
        <v>27</v>
      </c>
      <c r="P623" t="s">
        <v>369</v>
      </c>
      <c r="Q623" t="s">
        <v>31</v>
      </c>
      <c r="R623" t="s">
        <v>57</v>
      </c>
      <c r="S623" t="s">
        <v>28</v>
      </c>
      <c r="T623" t="s">
        <v>2572</v>
      </c>
      <c r="U623" t="s">
        <v>2571</v>
      </c>
    </row>
    <row r="624" spans="1:21" x14ac:dyDescent="0.25">
      <c r="A624" t="s">
        <v>134</v>
      </c>
      <c r="B624" t="s">
        <v>64</v>
      </c>
      <c r="C624">
        <v>100</v>
      </c>
      <c r="D624">
        <v>2</v>
      </c>
      <c r="E624">
        <v>0</v>
      </c>
      <c r="F624" t="s">
        <v>2573</v>
      </c>
      <c r="G624">
        <v>200</v>
      </c>
      <c r="H624">
        <v>0</v>
      </c>
      <c r="I624" t="s">
        <v>24</v>
      </c>
      <c r="J624" t="s">
        <v>2574</v>
      </c>
      <c r="K624" t="s">
        <v>321</v>
      </c>
      <c r="L624" t="s">
        <v>27</v>
      </c>
      <c r="M624" t="s">
        <v>28</v>
      </c>
      <c r="N624" t="s">
        <v>2575</v>
      </c>
      <c r="O624" t="s">
        <v>27</v>
      </c>
      <c r="P624" t="s">
        <v>39</v>
      </c>
      <c r="Q624" t="s">
        <v>31</v>
      </c>
      <c r="R624" t="s">
        <v>32</v>
      </c>
      <c r="S624" t="s">
        <v>28</v>
      </c>
      <c r="T624" t="s">
        <v>2576</v>
      </c>
      <c r="U624" t="s">
        <v>2575</v>
      </c>
    </row>
    <row r="625" spans="1:21" x14ac:dyDescent="0.25">
      <c r="A625" t="s">
        <v>195</v>
      </c>
      <c r="B625" t="s">
        <v>1003</v>
      </c>
      <c r="C625">
        <v>119.84</v>
      </c>
      <c r="D625">
        <v>1</v>
      </c>
      <c r="E625">
        <v>0</v>
      </c>
      <c r="F625" t="s">
        <v>2577</v>
      </c>
      <c r="G625">
        <v>124.84</v>
      </c>
      <c r="H625">
        <v>5</v>
      </c>
      <c r="I625" t="s">
        <v>628</v>
      </c>
      <c r="J625" t="s">
        <v>2578</v>
      </c>
      <c r="K625" t="s">
        <v>2579</v>
      </c>
      <c r="L625" t="s">
        <v>1146</v>
      </c>
      <c r="M625" t="s">
        <v>2580</v>
      </c>
      <c r="N625" t="s">
        <v>2581</v>
      </c>
      <c r="O625" t="s">
        <v>27</v>
      </c>
      <c r="P625" t="s">
        <v>48</v>
      </c>
      <c r="Q625" t="s">
        <v>49</v>
      </c>
      <c r="R625" t="s">
        <v>50</v>
      </c>
      <c r="S625" t="s">
        <v>28</v>
      </c>
      <c r="T625" t="s">
        <v>2582</v>
      </c>
      <c r="U625" t="s">
        <v>2583</v>
      </c>
    </row>
    <row r="626" spans="1:21" x14ac:dyDescent="0.25">
      <c r="A626" t="s">
        <v>70</v>
      </c>
      <c r="B626" t="s">
        <v>70</v>
      </c>
      <c r="C626">
        <v>330</v>
      </c>
      <c r="D626">
        <v>1</v>
      </c>
      <c r="E626">
        <v>0</v>
      </c>
      <c r="F626" t="s">
        <v>2584</v>
      </c>
      <c r="G626">
        <v>330</v>
      </c>
      <c r="H626">
        <v>0</v>
      </c>
      <c r="I626" t="s">
        <v>24</v>
      </c>
      <c r="J626" t="s">
        <v>2585</v>
      </c>
      <c r="K626" t="s">
        <v>418</v>
      </c>
      <c r="L626" t="s">
        <v>27</v>
      </c>
      <c r="M626" t="s">
        <v>28</v>
      </c>
      <c r="N626" t="s">
        <v>2586</v>
      </c>
      <c r="O626" t="s">
        <v>27</v>
      </c>
      <c r="P626" t="s">
        <v>30</v>
      </c>
      <c r="Q626" t="s">
        <v>31</v>
      </c>
      <c r="R626" t="s">
        <v>32</v>
      </c>
      <c r="S626" t="s">
        <v>28</v>
      </c>
      <c r="T626" t="s">
        <v>2587</v>
      </c>
      <c r="U626" t="s">
        <v>2586</v>
      </c>
    </row>
    <row r="627" spans="1:21" x14ac:dyDescent="0.25">
      <c r="A627" t="s">
        <v>456</v>
      </c>
      <c r="B627" t="s">
        <v>1178</v>
      </c>
      <c r="C627">
        <v>142.31</v>
      </c>
      <c r="D627">
        <v>1</v>
      </c>
      <c r="E627">
        <v>0</v>
      </c>
      <c r="F627" t="s">
        <v>2588</v>
      </c>
      <c r="G627">
        <v>147.31</v>
      </c>
      <c r="H627">
        <v>5</v>
      </c>
      <c r="I627" t="s">
        <v>628</v>
      </c>
      <c r="J627" t="s">
        <v>2589</v>
      </c>
      <c r="K627" t="s">
        <v>2590</v>
      </c>
      <c r="L627" t="s">
        <v>461</v>
      </c>
      <c r="M627" t="s">
        <v>2591</v>
      </c>
      <c r="N627" t="s">
        <v>2592</v>
      </c>
      <c r="O627" t="s">
        <v>27</v>
      </c>
      <c r="P627" t="s">
        <v>48</v>
      </c>
      <c r="Q627" t="s">
        <v>49</v>
      </c>
      <c r="R627" t="s">
        <v>50</v>
      </c>
      <c r="S627" t="s">
        <v>28</v>
      </c>
      <c r="T627" t="s">
        <v>2593</v>
      </c>
      <c r="U627" t="s">
        <v>2592</v>
      </c>
    </row>
    <row r="628" spans="1:21" x14ac:dyDescent="0.25">
      <c r="A628" t="s">
        <v>58</v>
      </c>
      <c r="B628" t="s">
        <v>58</v>
      </c>
      <c r="C628">
        <v>100</v>
      </c>
      <c r="D628">
        <v>1</v>
      </c>
      <c r="E628">
        <v>0</v>
      </c>
      <c r="F628" t="s">
        <v>2594</v>
      </c>
      <c r="G628">
        <v>100</v>
      </c>
      <c r="H628">
        <v>0</v>
      </c>
      <c r="I628" t="s">
        <v>140</v>
      </c>
      <c r="J628" t="s">
        <v>2595</v>
      </c>
      <c r="K628" t="s">
        <v>491</v>
      </c>
      <c r="L628" t="s">
        <v>27</v>
      </c>
      <c r="M628" t="s">
        <v>28</v>
      </c>
      <c r="N628" t="s">
        <v>2596</v>
      </c>
      <c r="O628" t="s">
        <v>27</v>
      </c>
      <c r="P628" t="s">
        <v>30</v>
      </c>
      <c r="Q628" t="s">
        <v>31</v>
      </c>
      <c r="R628" t="s">
        <v>32</v>
      </c>
      <c r="S628" t="s">
        <v>28</v>
      </c>
      <c r="T628" t="s">
        <v>2597</v>
      </c>
      <c r="U628" t="s">
        <v>2596</v>
      </c>
    </row>
    <row r="629" spans="1:21" x14ac:dyDescent="0.25">
      <c r="A629" t="s">
        <v>21</v>
      </c>
      <c r="B629" t="s">
        <v>22</v>
      </c>
      <c r="C629">
        <v>100</v>
      </c>
      <c r="D629">
        <v>1</v>
      </c>
      <c r="E629">
        <v>0</v>
      </c>
      <c r="F629" t="s">
        <v>2598</v>
      </c>
      <c r="G629">
        <v>106</v>
      </c>
      <c r="H629">
        <v>6</v>
      </c>
      <c r="I629" t="s">
        <v>140</v>
      </c>
      <c r="J629" t="s">
        <v>2599</v>
      </c>
      <c r="K629" t="s">
        <v>250</v>
      </c>
      <c r="L629" t="s">
        <v>27</v>
      </c>
      <c r="M629" t="s">
        <v>28</v>
      </c>
      <c r="N629" t="s">
        <v>2600</v>
      </c>
      <c r="O629" t="s">
        <v>27</v>
      </c>
      <c r="P629" t="s">
        <v>369</v>
      </c>
      <c r="Q629" t="s">
        <v>31</v>
      </c>
      <c r="R629" t="s">
        <v>57</v>
      </c>
      <c r="S629" t="s">
        <v>28</v>
      </c>
      <c r="T629" t="s">
        <v>2601</v>
      </c>
      <c r="U629" t="s">
        <v>2600</v>
      </c>
    </row>
    <row r="630" spans="1:21" x14ac:dyDescent="0.25">
      <c r="A630" t="s">
        <v>21</v>
      </c>
      <c r="B630" t="s">
        <v>22</v>
      </c>
      <c r="C630">
        <v>100</v>
      </c>
      <c r="D630">
        <v>1</v>
      </c>
      <c r="E630">
        <v>0</v>
      </c>
      <c r="F630" t="s">
        <v>2602</v>
      </c>
      <c r="G630">
        <v>129</v>
      </c>
      <c r="H630">
        <v>29</v>
      </c>
      <c r="I630" t="s">
        <v>24</v>
      </c>
      <c r="J630" t="s">
        <v>2603</v>
      </c>
      <c r="K630" t="s">
        <v>124</v>
      </c>
      <c r="L630" t="s">
        <v>27</v>
      </c>
      <c r="M630" t="s">
        <v>28</v>
      </c>
      <c r="N630" t="s">
        <v>2604</v>
      </c>
      <c r="O630" t="s">
        <v>27</v>
      </c>
      <c r="P630" t="s">
        <v>39</v>
      </c>
      <c r="Q630" t="s">
        <v>31</v>
      </c>
      <c r="R630" t="s">
        <v>32</v>
      </c>
      <c r="S630" t="s">
        <v>28</v>
      </c>
      <c r="T630" t="s">
        <v>2605</v>
      </c>
      <c r="U630" t="s">
        <v>2606</v>
      </c>
    </row>
    <row r="631" spans="1:21" x14ac:dyDescent="0.25">
      <c r="A631" t="s">
        <v>33</v>
      </c>
      <c r="B631" t="s">
        <v>34</v>
      </c>
      <c r="C631">
        <v>200</v>
      </c>
      <c r="D631">
        <v>1</v>
      </c>
      <c r="E631">
        <v>0</v>
      </c>
      <c r="F631" t="s">
        <v>2607</v>
      </c>
      <c r="G631">
        <v>200</v>
      </c>
      <c r="H631">
        <v>0</v>
      </c>
      <c r="I631" t="s">
        <v>24</v>
      </c>
      <c r="J631" t="s">
        <v>2608</v>
      </c>
      <c r="K631" t="s">
        <v>791</v>
      </c>
      <c r="L631" t="s">
        <v>27</v>
      </c>
      <c r="M631" t="s">
        <v>28</v>
      </c>
      <c r="N631" t="s">
        <v>2609</v>
      </c>
      <c r="O631" t="s">
        <v>27</v>
      </c>
      <c r="P631" t="s">
        <v>56</v>
      </c>
      <c r="Q631" t="s">
        <v>31</v>
      </c>
      <c r="R631" t="s">
        <v>57</v>
      </c>
      <c r="S631" t="s">
        <v>28</v>
      </c>
      <c r="T631" t="s">
        <v>2610</v>
      </c>
      <c r="U631" t="s">
        <v>2609</v>
      </c>
    </row>
    <row r="632" spans="1:21" x14ac:dyDescent="0.25">
      <c r="A632" t="s">
        <v>21</v>
      </c>
      <c r="B632" t="s">
        <v>22</v>
      </c>
      <c r="C632">
        <v>100</v>
      </c>
      <c r="D632">
        <v>1</v>
      </c>
      <c r="E632">
        <v>0</v>
      </c>
      <c r="F632" t="s">
        <v>2611</v>
      </c>
      <c r="G632">
        <v>106</v>
      </c>
      <c r="H632">
        <v>6</v>
      </c>
      <c r="I632" t="s">
        <v>24</v>
      </c>
      <c r="J632" t="s">
        <v>2612</v>
      </c>
      <c r="K632" t="s">
        <v>73</v>
      </c>
      <c r="L632" t="s">
        <v>27</v>
      </c>
      <c r="M632" t="s">
        <v>28</v>
      </c>
      <c r="N632" t="s">
        <v>2613</v>
      </c>
      <c r="O632" t="s">
        <v>27</v>
      </c>
      <c r="P632" t="s">
        <v>39</v>
      </c>
      <c r="Q632" t="s">
        <v>31</v>
      </c>
      <c r="R632" t="s">
        <v>32</v>
      </c>
      <c r="S632" t="s">
        <v>28</v>
      </c>
      <c r="T632" t="s">
        <v>2614</v>
      </c>
      <c r="U632" t="s">
        <v>2615</v>
      </c>
    </row>
    <row r="633" spans="1:21" x14ac:dyDescent="0.25">
      <c r="A633" t="s">
        <v>21</v>
      </c>
      <c r="B633" t="s">
        <v>22</v>
      </c>
      <c r="C633">
        <v>100</v>
      </c>
      <c r="D633">
        <v>2</v>
      </c>
      <c r="E633">
        <v>0</v>
      </c>
      <c r="F633" t="s">
        <v>2616</v>
      </c>
      <c r="G633">
        <v>200</v>
      </c>
      <c r="H633">
        <v>0</v>
      </c>
      <c r="I633" t="s">
        <v>24</v>
      </c>
      <c r="J633" t="s">
        <v>2617</v>
      </c>
      <c r="K633" t="s">
        <v>124</v>
      </c>
      <c r="L633" t="s">
        <v>27</v>
      </c>
      <c r="M633" t="s">
        <v>28</v>
      </c>
      <c r="N633" t="s">
        <v>2618</v>
      </c>
      <c r="O633" t="s">
        <v>27</v>
      </c>
      <c r="P633" t="s">
        <v>39</v>
      </c>
      <c r="Q633" t="s">
        <v>31</v>
      </c>
      <c r="R633" t="s">
        <v>32</v>
      </c>
      <c r="S633" t="s">
        <v>28</v>
      </c>
      <c r="T633" t="s">
        <v>2619</v>
      </c>
      <c r="U633" t="s">
        <v>2618</v>
      </c>
    </row>
    <row r="634" spans="1:21" x14ac:dyDescent="0.25">
      <c r="A634" t="s">
        <v>134</v>
      </c>
      <c r="B634" t="s">
        <v>64</v>
      </c>
      <c r="C634">
        <v>100</v>
      </c>
      <c r="D634">
        <v>1</v>
      </c>
      <c r="E634">
        <v>0</v>
      </c>
      <c r="F634" t="s">
        <v>2620</v>
      </c>
      <c r="G634">
        <v>106</v>
      </c>
      <c r="H634">
        <v>6</v>
      </c>
      <c r="I634" t="s">
        <v>24</v>
      </c>
      <c r="J634" t="s">
        <v>2621</v>
      </c>
      <c r="K634" t="s">
        <v>89</v>
      </c>
      <c r="L634" t="s">
        <v>27</v>
      </c>
      <c r="M634" t="s">
        <v>28</v>
      </c>
      <c r="N634" t="s">
        <v>2622</v>
      </c>
      <c r="O634" t="s">
        <v>27</v>
      </c>
      <c r="P634" t="s">
        <v>39</v>
      </c>
      <c r="Q634" t="s">
        <v>31</v>
      </c>
      <c r="R634" t="s">
        <v>32</v>
      </c>
      <c r="S634" t="s">
        <v>28</v>
      </c>
      <c r="T634" t="s">
        <v>2623</v>
      </c>
      <c r="U634" t="s">
        <v>2624</v>
      </c>
    </row>
    <row r="635" spans="1:21" x14ac:dyDescent="0.25">
      <c r="A635" t="s">
        <v>456</v>
      </c>
      <c r="B635" t="s">
        <v>1178</v>
      </c>
      <c r="C635">
        <v>127.42</v>
      </c>
      <c r="D635">
        <v>1</v>
      </c>
      <c r="E635">
        <v>0</v>
      </c>
      <c r="F635" t="s">
        <v>2625</v>
      </c>
      <c r="G635">
        <v>127.42</v>
      </c>
      <c r="H635">
        <v>0</v>
      </c>
      <c r="I635" t="s">
        <v>628</v>
      </c>
      <c r="J635" t="s">
        <v>2626</v>
      </c>
      <c r="K635" t="s">
        <v>2627</v>
      </c>
      <c r="L635" t="s">
        <v>868</v>
      </c>
      <c r="M635" t="s">
        <v>2628</v>
      </c>
      <c r="N635" t="s">
        <v>2622</v>
      </c>
      <c r="O635" t="s">
        <v>27</v>
      </c>
      <c r="P635" t="s">
        <v>48</v>
      </c>
      <c r="Q635" t="s">
        <v>49</v>
      </c>
      <c r="R635" t="s">
        <v>50</v>
      </c>
      <c r="S635" t="s">
        <v>28</v>
      </c>
      <c r="T635" t="s">
        <v>2629</v>
      </c>
      <c r="U635" t="s">
        <v>2622</v>
      </c>
    </row>
    <row r="636" spans="1:21" x14ac:dyDescent="0.25">
      <c r="A636" t="s">
        <v>58</v>
      </c>
      <c r="B636" t="s">
        <v>58</v>
      </c>
      <c r="C636">
        <v>100</v>
      </c>
      <c r="D636">
        <v>1</v>
      </c>
      <c r="E636">
        <v>0</v>
      </c>
      <c r="F636" t="s">
        <v>2630</v>
      </c>
      <c r="G636">
        <v>200</v>
      </c>
      <c r="H636">
        <v>0</v>
      </c>
      <c r="I636" t="s">
        <v>24</v>
      </c>
      <c r="J636" t="s">
        <v>2631</v>
      </c>
      <c r="K636" t="s">
        <v>358</v>
      </c>
      <c r="L636" t="s">
        <v>27</v>
      </c>
      <c r="M636" t="s">
        <v>28</v>
      </c>
      <c r="N636" t="s">
        <v>2632</v>
      </c>
      <c r="O636" t="s">
        <v>27</v>
      </c>
      <c r="P636" t="s">
        <v>39</v>
      </c>
      <c r="Q636" t="s">
        <v>31</v>
      </c>
      <c r="R636" t="s">
        <v>32</v>
      </c>
      <c r="S636" t="s">
        <v>28</v>
      </c>
      <c r="T636" t="s">
        <v>2633</v>
      </c>
      <c r="U636" t="s">
        <v>2632</v>
      </c>
    </row>
    <row r="637" spans="1:21" x14ac:dyDescent="0.25">
      <c r="A637" t="s">
        <v>21</v>
      </c>
      <c r="B637" t="s">
        <v>22</v>
      </c>
      <c r="C637">
        <v>100</v>
      </c>
      <c r="D637">
        <v>1</v>
      </c>
      <c r="E637">
        <v>0</v>
      </c>
      <c r="F637" t="s">
        <v>2630</v>
      </c>
      <c r="G637">
        <v>200</v>
      </c>
      <c r="H637">
        <v>0</v>
      </c>
      <c r="I637" t="s">
        <v>24</v>
      </c>
      <c r="J637" t="s">
        <v>2631</v>
      </c>
      <c r="K637" t="s">
        <v>358</v>
      </c>
      <c r="L637" t="s">
        <v>27</v>
      </c>
      <c r="M637" t="s">
        <v>28</v>
      </c>
      <c r="N637" t="s">
        <v>2632</v>
      </c>
      <c r="O637" t="s">
        <v>27</v>
      </c>
      <c r="P637" t="s">
        <v>39</v>
      </c>
      <c r="Q637" t="s">
        <v>31</v>
      </c>
      <c r="R637" t="s">
        <v>32</v>
      </c>
      <c r="S637" t="s">
        <v>28</v>
      </c>
      <c r="T637" t="s">
        <v>2633</v>
      </c>
      <c r="U637" t="s">
        <v>2632</v>
      </c>
    </row>
    <row r="638" spans="1:21" x14ac:dyDescent="0.25">
      <c r="A638" t="s">
        <v>134</v>
      </c>
      <c r="B638" t="s">
        <v>64</v>
      </c>
      <c r="C638">
        <v>100</v>
      </c>
      <c r="D638">
        <v>1</v>
      </c>
      <c r="E638">
        <v>0</v>
      </c>
      <c r="F638" t="s">
        <v>2634</v>
      </c>
      <c r="G638">
        <v>106</v>
      </c>
      <c r="H638">
        <v>6</v>
      </c>
      <c r="I638" t="s">
        <v>24</v>
      </c>
      <c r="J638" t="s">
        <v>2635</v>
      </c>
      <c r="K638" t="s">
        <v>936</v>
      </c>
      <c r="L638" t="s">
        <v>27</v>
      </c>
      <c r="M638" t="s">
        <v>28</v>
      </c>
      <c r="N638" t="s">
        <v>2632</v>
      </c>
      <c r="O638" t="s">
        <v>27</v>
      </c>
      <c r="P638" t="s">
        <v>39</v>
      </c>
      <c r="Q638" t="s">
        <v>31</v>
      </c>
      <c r="R638" t="s">
        <v>32</v>
      </c>
      <c r="S638" t="s">
        <v>28</v>
      </c>
      <c r="T638" t="s">
        <v>2636</v>
      </c>
      <c r="U638" t="s">
        <v>2632</v>
      </c>
    </row>
    <row r="639" spans="1:21" x14ac:dyDescent="0.25">
      <c r="A639" t="s">
        <v>58</v>
      </c>
      <c r="B639" t="s">
        <v>58</v>
      </c>
      <c r="C639">
        <v>150</v>
      </c>
      <c r="D639">
        <v>1</v>
      </c>
      <c r="E639">
        <v>0</v>
      </c>
      <c r="F639" t="s">
        <v>2637</v>
      </c>
      <c r="G639">
        <v>331</v>
      </c>
      <c r="H639">
        <v>41</v>
      </c>
      <c r="I639" t="s">
        <v>24</v>
      </c>
      <c r="J639" t="s">
        <v>2555</v>
      </c>
      <c r="K639" t="s">
        <v>2638</v>
      </c>
      <c r="L639" t="s">
        <v>2639</v>
      </c>
      <c r="M639" t="s">
        <v>1836</v>
      </c>
      <c r="N639" t="s">
        <v>2632</v>
      </c>
      <c r="O639" t="s">
        <v>27</v>
      </c>
      <c r="P639" t="s">
        <v>84</v>
      </c>
      <c r="Q639" t="s">
        <v>85</v>
      </c>
      <c r="R639" t="s">
        <v>86</v>
      </c>
      <c r="S639" t="s">
        <v>28</v>
      </c>
      <c r="T639" t="s">
        <v>2640</v>
      </c>
      <c r="U639" t="s">
        <v>2641</v>
      </c>
    </row>
    <row r="640" spans="1:21" x14ac:dyDescent="0.25">
      <c r="A640" t="s">
        <v>275</v>
      </c>
      <c r="B640" t="s">
        <v>1864</v>
      </c>
      <c r="C640">
        <v>140</v>
      </c>
      <c r="D640">
        <v>1</v>
      </c>
      <c r="E640">
        <v>0</v>
      </c>
      <c r="F640" t="s">
        <v>2637</v>
      </c>
      <c r="G640">
        <v>331</v>
      </c>
      <c r="H640">
        <v>41</v>
      </c>
      <c r="I640" t="s">
        <v>24</v>
      </c>
      <c r="J640" t="s">
        <v>2555</v>
      </c>
      <c r="K640" t="s">
        <v>2638</v>
      </c>
      <c r="L640" t="s">
        <v>2639</v>
      </c>
      <c r="M640" t="s">
        <v>1836</v>
      </c>
      <c r="N640" t="s">
        <v>2632</v>
      </c>
      <c r="O640" t="s">
        <v>27</v>
      </c>
      <c r="P640" t="s">
        <v>84</v>
      </c>
      <c r="Q640" t="s">
        <v>85</v>
      </c>
      <c r="R640" t="s">
        <v>86</v>
      </c>
      <c r="S640" t="s">
        <v>28</v>
      </c>
      <c r="T640" t="s">
        <v>2640</v>
      </c>
      <c r="U640" t="s">
        <v>2641</v>
      </c>
    </row>
    <row r="641" spans="1:21" x14ac:dyDescent="0.25">
      <c r="A641" t="s">
        <v>134</v>
      </c>
      <c r="B641" t="s">
        <v>64</v>
      </c>
      <c r="C641">
        <v>100</v>
      </c>
      <c r="D641">
        <v>1</v>
      </c>
      <c r="E641">
        <v>0</v>
      </c>
      <c r="F641" t="s">
        <v>2642</v>
      </c>
      <c r="G641">
        <v>106</v>
      </c>
      <c r="H641">
        <v>6</v>
      </c>
      <c r="I641" t="s">
        <v>445</v>
      </c>
      <c r="J641" t="s">
        <v>2643</v>
      </c>
      <c r="K641" t="s">
        <v>89</v>
      </c>
      <c r="L641" t="s">
        <v>27</v>
      </c>
      <c r="M641" t="s">
        <v>28</v>
      </c>
      <c r="N641" t="s">
        <v>2644</v>
      </c>
      <c r="O641" t="s">
        <v>27</v>
      </c>
      <c r="P641" t="s">
        <v>39</v>
      </c>
      <c r="Q641" t="s">
        <v>31</v>
      </c>
      <c r="R641" t="s">
        <v>32</v>
      </c>
      <c r="S641" t="s">
        <v>28</v>
      </c>
      <c r="T641" t="s">
        <v>2645</v>
      </c>
      <c r="U641" t="s">
        <v>2646</v>
      </c>
    </row>
    <row r="642" spans="1:21" x14ac:dyDescent="0.25">
      <c r="A642" t="s">
        <v>58</v>
      </c>
      <c r="B642" t="s">
        <v>58</v>
      </c>
      <c r="C642">
        <v>150</v>
      </c>
      <c r="D642">
        <v>1</v>
      </c>
      <c r="E642">
        <v>0</v>
      </c>
      <c r="F642" t="s">
        <v>2647</v>
      </c>
      <c r="G642">
        <v>1943</v>
      </c>
      <c r="H642">
        <v>134</v>
      </c>
      <c r="I642" t="s">
        <v>24</v>
      </c>
      <c r="J642" t="s">
        <v>1395</v>
      </c>
      <c r="K642" t="s">
        <v>2648</v>
      </c>
      <c r="L642" t="s">
        <v>2649</v>
      </c>
      <c r="M642" t="s">
        <v>1398</v>
      </c>
      <c r="N642" t="s">
        <v>2650</v>
      </c>
      <c r="O642" t="s">
        <v>27</v>
      </c>
      <c r="P642" t="s">
        <v>84</v>
      </c>
      <c r="Q642" t="s">
        <v>85</v>
      </c>
      <c r="R642" t="s">
        <v>86</v>
      </c>
      <c r="S642" t="s">
        <v>28</v>
      </c>
      <c r="T642" t="s">
        <v>2651</v>
      </c>
      <c r="U642" t="s">
        <v>2650</v>
      </c>
    </row>
    <row r="643" spans="1:21" x14ac:dyDescent="0.25">
      <c r="A643" t="s">
        <v>76</v>
      </c>
      <c r="B643" t="s">
        <v>77</v>
      </c>
      <c r="C643">
        <v>250</v>
      </c>
      <c r="D643">
        <v>2</v>
      </c>
      <c r="E643">
        <v>0</v>
      </c>
      <c r="F643" t="s">
        <v>2647</v>
      </c>
      <c r="G643">
        <v>1943</v>
      </c>
      <c r="H643">
        <v>134</v>
      </c>
      <c r="I643" t="s">
        <v>24</v>
      </c>
      <c r="J643" t="s">
        <v>1395</v>
      </c>
      <c r="K643" t="s">
        <v>2648</v>
      </c>
      <c r="L643" t="s">
        <v>2649</v>
      </c>
      <c r="M643" t="s">
        <v>1398</v>
      </c>
      <c r="N643" t="s">
        <v>2650</v>
      </c>
      <c r="O643" t="s">
        <v>27</v>
      </c>
      <c r="P643" t="s">
        <v>84</v>
      </c>
      <c r="Q643" t="s">
        <v>85</v>
      </c>
      <c r="R643" t="s">
        <v>86</v>
      </c>
      <c r="S643" t="s">
        <v>28</v>
      </c>
      <c r="T643" t="s">
        <v>2651</v>
      </c>
      <c r="U643" t="s">
        <v>2650</v>
      </c>
    </row>
    <row r="644" spans="1:21" x14ac:dyDescent="0.25">
      <c r="A644" t="s">
        <v>635</v>
      </c>
      <c r="B644" t="s">
        <v>636</v>
      </c>
      <c r="C644">
        <v>800</v>
      </c>
      <c r="D644">
        <v>1</v>
      </c>
      <c r="E644">
        <v>0</v>
      </c>
      <c r="F644" t="s">
        <v>2647</v>
      </c>
      <c r="G644">
        <v>1943</v>
      </c>
      <c r="H644">
        <v>134</v>
      </c>
      <c r="I644" t="s">
        <v>24</v>
      </c>
      <c r="J644" t="s">
        <v>1395</v>
      </c>
      <c r="K644" t="s">
        <v>2648</v>
      </c>
      <c r="L644" t="s">
        <v>2649</v>
      </c>
      <c r="M644" t="s">
        <v>1398</v>
      </c>
      <c r="N644" t="s">
        <v>2650</v>
      </c>
      <c r="O644" t="s">
        <v>27</v>
      </c>
      <c r="P644" t="s">
        <v>84</v>
      </c>
      <c r="Q644" t="s">
        <v>85</v>
      </c>
      <c r="R644" t="s">
        <v>86</v>
      </c>
      <c r="S644" t="s">
        <v>28</v>
      </c>
      <c r="T644" t="s">
        <v>2651</v>
      </c>
      <c r="U644" t="s">
        <v>2650</v>
      </c>
    </row>
    <row r="645" spans="1:21" x14ac:dyDescent="0.25">
      <c r="A645" t="s">
        <v>475</v>
      </c>
      <c r="B645" t="s">
        <v>476</v>
      </c>
      <c r="C645">
        <v>199</v>
      </c>
      <c r="D645">
        <v>1</v>
      </c>
      <c r="E645">
        <v>0</v>
      </c>
      <c r="F645" t="s">
        <v>2647</v>
      </c>
      <c r="G645">
        <v>1943</v>
      </c>
      <c r="H645">
        <v>134</v>
      </c>
      <c r="I645" t="s">
        <v>24</v>
      </c>
      <c r="J645" t="s">
        <v>1395</v>
      </c>
      <c r="K645" t="s">
        <v>2648</v>
      </c>
      <c r="L645" t="s">
        <v>2649</v>
      </c>
      <c r="M645" t="s">
        <v>1398</v>
      </c>
      <c r="N645" t="s">
        <v>2650</v>
      </c>
      <c r="O645" t="s">
        <v>27</v>
      </c>
      <c r="P645" t="s">
        <v>84</v>
      </c>
      <c r="Q645" t="s">
        <v>85</v>
      </c>
      <c r="R645" t="s">
        <v>86</v>
      </c>
      <c r="S645" t="s">
        <v>28</v>
      </c>
      <c r="T645" t="s">
        <v>2651</v>
      </c>
      <c r="U645" t="s">
        <v>2650</v>
      </c>
    </row>
    <row r="646" spans="1:21" x14ac:dyDescent="0.25">
      <c r="A646" t="s">
        <v>185</v>
      </c>
      <c r="B646" t="s">
        <v>186</v>
      </c>
      <c r="C646">
        <v>160</v>
      </c>
      <c r="D646">
        <v>1</v>
      </c>
      <c r="E646">
        <v>0</v>
      </c>
      <c r="F646" t="s">
        <v>2652</v>
      </c>
      <c r="G646">
        <v>160</v>
      </c>
      <c r="H646">
        <v>0</v>
      </c>
      <c r="I646" t="s">
        <v>24</v>
      </c>
      <c r="J646" t="s">
        <v>2653</v>
      </c>
      <c r="K646" t="s">
        <v>2654</v>
      </c>
      <c r="L646" t="s">
        <v>777</v>
      </c>
      <c r="M646" t="s">
        <v>1973</v>
      </c>
      <c r="N646" t="s">
        <v>2650</v>
      </c>
      <c r="O646" t="s">
        <v>27</v>
      </c>
      <c r="P646" t="s">
        <v>84</v>
      </c>
      <c r="Q646" t="s">
        <v>85</v>
      </c>
      <c r="R646" t="s">
        <v>86</v>
      </c>
      <c r="S646" t="s">
        <v>28</v>
      </c>
      <c r="T646" t="s">
        <v>2655</v>
      </c>
      <c r="U646" t="s">
        <v>2650</v>
      </c>
    </row>
    <row r="647" spans="1:21" x14ac:dyDescent="0.25">
      <c r="A647" t="s">
        <v>456</v>
      </c>
      <c r="B647" t="s">
        <v>1178</v>
      </c>
      <c r="C647">
        <v>112.35</v>
      </c>
      <c r="D647">
        <v>1</v>
      </c>
      <c r="E647">
        <v>0</v>
      </c>
      <c r="F647" t="s">
        <v>2656</v>
      </c>
      <c r="G647">
        <v>117.35</v>
      </c>
      <c r="H647">
        <v>5</v>
      </c>
      <c r="I647" t="s">
        <v>628</v>
      </c>
      <c r="J647" t="s">
        <v>2657</v>
      </c>
      <c r="K647" t="s">
        <v>2658</v>
      </c>
      <c r="L647" t="s">
        <v>2659</v>
      </c>
      <c r="M647" t="s">
        <v>2660</v>
      </c>
      <c r="N647" t="s">
        <v>2661</v>
      </c>
      <c r="O647" t="s">
        <v>27</v>
      </c>
      <c r="P647" t="s">
        <v>48</v>
      </c>
      <c r="Q647" t="s">
        <v>49</v>
      </c>
      <c r="R647" t="s">
        <v>50</v>
      </c>
      <c r="S647" t="s">
        <v>28</v>
      </c>
      <c r="T647" t="s">
        <v>2662</v>
      </c>
      <c r="U647" t="s">
        <v>2661</v>
      </c>
    </row>
    <row r="648" spans="1:21" x14ac:dyDescent="0.25">
      <c r="A648" t="s">
        <v>21</v>
      </c>
      <c r="B648" t="s">
        <v>22</v>
      </c>
      <c r="C648">
        <v>100</v>
      </c>
      <c r="D648">
        <v>1</v>
      </c>
      <c r="E648">
        <v>0</v>
      </c>
      <c r="F648" t="s">
        <v>2663</v>
      </c>
      <c r="G648">
        <v>106</v>
      </c>
      <c r="H648">
        <v>6</v>
      </c>
      <c r="I648" t="s">
        <v>24</v>
      </c>
      <c r="J648" t="s">
        <v>2664</v>
      </c>
      <c r="K648" t="s">
        <v>273</v>
      </c>
      <c r="L648" t="s">
        <v>27</v>
      </c>
      <c r="M648" t="s">
        <v>28</v>
      </c>
      <c r="N648" t="s">
        <v>2665</v>
      </c>
      <c r="O648" t="s">
        <v>27</v>
      </c>
      <c r="P648" t="s">
        <v>56</v>
      </c>
      <c r="Q648" t="s">
        <v>31</v>
      </c>
      <c r="R648" t="s">
        <v>57</v>
      </c>
      <c r="S648" t="s">
        <v>28</v>
      </c>
      <c r="T648" t="s">
        <v>2666</v>
      </c>
      <c r="U648" t="s">
        <v>2667</v>
      </c>
    </row>
    <row r="649" spans="1:21" x14ac:dyDescent="0.25">
      <c r="A649" t="s">
        <v>185</v>
      </c>
      <c r="B649" t="s">
        <v>186</v>
      </c>
      <c r="C649">
        <v>160</v>
      </c>
      <c r="D649">
        <v>1</v>
      </c>
      <c r="E649">
        <v>0</v>
      </c>
      <c r="F649" t="s">
        <v>2668</v>
      </c>
      <c r="G649">
        <v>160</v>
      </c>
      <c r="H649">
        <v>0</v>
      </c>
      <c r="I649" t="s">
        <v>24</v>
      </c>
      <c r="J649" t="s">
        <v>2669</v>
      </c>
      <c r="K649" t="s">
        <v>2670</v>
      </c>
      <c r="L649" t="s">
        <v>2671</v>
      </c>
      <c r="M649" t="s">
        <v>2672</v>
      </c>
      <c r="N649" t="s">
        <v>2665</v>
      </c>
      <c r="O649" t="s">
        <v>27</v>
      </c>
      <c r="P649" t="s">
        <v>84</v>
      </c>
      <c r="Q649" t="s">
        <v>85</v>
      </c>
      <c r="R649" t="s">
        <v>86</v>
      </c>
      <c r="S649" t="s">
        <v>28</v>
      </c>
      <c r="T649" t="s">
        <v>2673</v>
      </c>
      <c r="U649" t="s">
        <v>2674</v>
      </c>
    </row>
    <row r="650" spans="1:21" x14ac:dyDescent="0.25">
      <c r="A650" t="s">
        <v>635</v>
      </c>
      <c r="B650" t="s">
        <v>714</v>
      </c>
      <c r="C650">
        <v>468.47</v>
      </c>
      <c r="D650">
        <v>1</v>
      </c>
      <c r="E650">
        <v>0</v>
      </c>
      <c r="F650" t="s">
        <v>2675</v>
      </c>
      <c r="G650">
        <v>1469.4</v>
      </c>
      <c r="H650">
        <v>64</v>
      </c>
      <c r="I650" t="s">
        <v>628</v>
      </c>
      <c r="J650" t="s">
        <v>2676</v>
      </c>
      <c r="K650" t="s">
        <v>2677</v>
      </c>
      <c r="L650" t="s">
        <v>1737</v>
      </c>
      <c r="M650" t="s">
        <v>2678</v>
      </c>
      <c r="N650" t="s">
        <v>2679</v>
      </c>
      <c r="O650" t="s">
        <v>27</v>
      </c>
      <c r="P650" t="s">
        <v>48</v>
      </c>
      <c r="Q650" t="s">
        <v>49</v>
      </c>
      <c r="R650" t="s">
        <v>50</v>
      </c>
      <c r="S650" t="s">
        <v>28</v>
      </c>
      <c r="T650" t="s">
        <v>2680</v>
      </c>
      <c r="U650" t="s">
        <v>2679</v>
      </c>
    </row>
    <row r="651" spans="1:21" x14ac:dyDescent="0.25">
      <c r="A651" t="s">
        <v>635</v>
      </c>
      <c r="B651" t="s">
        <v>714</v>
      </c>
      <c r="C651">
        <v>468.46</v>
      </c>
      <c r="D651">
        <v>1</v>
      </c>
      <c r="E651">
        <v>0</v>
      </c>
      <c r="F651" t="s">
        <v>2675</v>
      </c>
      <c r="G651">
        <v>1469.4</v>
      </c>
      <c r="H651">
        <v>64</v>
      </c>
      <c r="I651" t="s">
        <v>628</v>
      </c>
      <c r="J651" t="s">
        <v>2676</v>
      </c>
      <c r="K651" t="s">
        <v>2677</v>
      </c>
      <c r="L651" t="s">
        <v>1737</v>
      </c>
      <c r="M651" t="s">
        <v>2678</v>
      </c>
      <c r="N651" t="s">
        <v>2679</v>
      </c>
      <c r="O651" t="s">
        <v>27</v>
      </c>
      <c r="P651" t="s">
        <v>48</v>
      </c>
      <c r="Q651" t="s">
        <v>49</v>
      </c>
      <c r="R651" t="s">
        <v>50</v>
      </c>
      <c r="S651" t="s">
        <v>28</v>
      </c>
      <c r="T651" t="s">
        <v>2680</v>
      </c>
      <c r="U651" t="s">
        <v>2679</v>
      </c>
    </row>
    <row r="652" spans="1:21" x14ac:dyDescent="0.25">
      <c r="A652" t="s">
        <v>635</v>
      </c>
      <c r="B652" t="s">
        <v>714</v>
      </c>
      <c r="C652">
        <v>468.47</v>
      </c>
      <c r="D652">
        <v>1</v>
      </c>
      <c r="E652">
        <v>0</v>
      </c>
      <c r="F652" t="s">
        <v>2675</v>
      </c>
      <c r="G652">
        <v>1469.4</v>
      </c>
      <c r="H652">
        <v>64</v>
      </c>
      <c r="I652" t="s">
        <v>628</v>
      </c>
      <c r="J652" t="s">
        <v>2676</v>
      </c>
      <c r="K652" t="s">
        <v>2677</v>
      </c>
      <c r="L652" t="s">
        <v>1737</v>
      </c>
      <c r="M652" t="s">
        <v>2678</v>
      </c>
      <c r="N652" t="s">
        <v>2679</v>
      </c>
      <c r="O652" t="s">
        <v>27</v>
      </c>
      <c r="P652" t="s">
        <v>48</v>
      </c>
      <c r="Q652" t="s">
        <v>49</v>
      </c>
      <c r="R652" t="s">
        <v>50</v>
      </c>
      <c r="S652" t="s">
        <v>28</v>
      </c>
      <c r="T652" t="s">
        <v>2680</v>
      </c>
      <c r="U652" t="s">
        <v>2679</v>
      </c>
    </row>
    <row r="653" spans="1:21" x14ac:dyDescent="0.25">
      <c r="A653" t="s">
        <v>58</v>
      </c>
      <c r="B653" t="s">
        <v>2423</v>
      </c>
      <c r="C653">
        <v>130.81</v>
      </c>
      <c r="D653">
        <v>1</v>
      </c>
      <c r="E653">
        <v>0</v>
      </c>
      <c r="F653" t="s">
        <v>2681</v>
      </c>
      <c r="G653">
        <v>419.41</v>
      </c>
      <c r="H653">
        <v>27</v>
      </c>
      <c r="I653" t="s">
        <v>24</v>
      </c>
      <c r="J653" t="s">
        <v>2682</v>
      </c>
      <c r="K653" t="s">
        <v>2683</v>
      </c>
      <c r="L653" t="s">
        <v>2684</v>
      </c>
      <c r="M653" t="s">
        <v>2685</v>
      </c>
      <c r="N653" t="s">
        <v>2686</v>
      </c>
      <c r="O653" t="s">
        <v>27</v>
      </c>
      <c r="P653" t="s">
        <v>48</v>
      </c>
      <c r="Q653" t="s">
        <v>49</v>
      </c>
      <c r="R653" t="s">
        <v>50</v>
      </c>
      <c r="S653" t="s">
        <v>28</v>
      </c>
      <c r="T653" t="s">
        <v>2687</v>
      </c>
      <c r="U653" t="s">
        <v>2686</v>
      </c>
    </row>
    <row r="654" spans="1:21" x14ac:dyDescent="0.25">
      <c r="A654" t="s">
        <v>58</v>
      </c>
      <c r="B654" t="s">
        <v>2423</v>
      </c>
      <c r="C654">
        <v>130.80000000000001</v>
      </c>
      <c r="D654">
        <v>1</v>
      </c>
      <c r="E654">
        <v>0</v>
      </c>
      <c r="F654" t="s">
        <v>2681</v>
      </c>
      <c r="G654">
        <v>419.41</v>
      </c>
      <c r="H654">
        <v>27</v>
      </c>
      <c r="I654" t="s">
        <v>24</v>
      </c>
      <c r="J654" t="s">
        <v>2682</v>
      </c>
      <c r="K654" t="s">
        <v>2683</v>
      </c>
      <c r="L654" t="s">
        <v>2684</v>
      </c>
      <c r="M654" t="s">
        <v>2685</v>
      </c>
      <c r="N654" t="s">
        <v>2686</v>
      </c>
      <c r="O654" t="s">
        <v>27</v>
      </c>
      <c r="P654" t="s">
        <v>48</v>
      </c>
      <c r="Q654" t="s">
        <v>49</v>
      </c>
      <c r="R654" t="s">
        <v>50</v>
      </c>
      <c r="S654" t="s">
        <v>28</v>
      </c>
      <c r="T654" t="s">
        <v>2687</v>
      </c>
      <c r="U654" t="s">
        <v>2686</v>
      </c>
    </row>
    <row r="655" spans="1:21" x14ac:dyDescent="0.25">
      <c r="A655" t="s">
        <v>58</v>
      </c>
      <c r="B655" t="s">
        <v>2423</v>
      </c>
      <c r="C655">
        <v>130.80000000000001</v>
      </c>
      <c r="D655">
        <v>1</v>
      </c>
      <c r="E655">
        <v>0</v>
      </c>
      <c r="F655" t="s">
        <v>2681</v>
      </c>
      <c r="G655">
        <v>419.41</v>
      </c>
      <c r="H655">
        <v>27</v>
      </c>
      <c r="I655" t="s">
        <v>24</v>
      </c>
      <c r="J655" t="s">
        <v>2682</v>
      </c>
      <c r="K655" t="s">
        <v>2683</v>
      </c>
      <c r="L655" t="s">
        <v>2684</v>
      </c>
      <c r="M655" t="s">
        <v>2685</v>
      </c>
      <c r="N655" t="s">
        <v>2686</v>
      </c>
      <c r="O655" t="s">
        <v>27</v>
      </c>
      <c r="P655" t="s">
        <v>48</v>
      </c>
      <c r="Q655" t="s">
        <v>49</v>
      </c>
      <c r="R655" t="s">
        <v>50</v>
      </c>
      <c r="S655" t="s">
        <v>28</v>
      </c>
      <c r="T655" t="s">
        <v>2687</v>
      </c>
      <c r="U655" t="s">
        <v>2686</v>
      </c>
    </row>
    <row r="656" spans="1:21" x14ac:dyDescent="0.25">
      <c r="A656" t="s">
        <v>21</v>
      </c>
      <c r="B656" t="s">
        <v>22</v>
      </c>
      <c r="C656">
        <v>100</v>
      </c>
      <c r="D656">
        <v>1</v>
      </c>
      <c r="E656">
        <v>0</v>
      </c>
      <c r="F656" t="s">
        <v>2688</v>
      </c>
      <c r="G656">
        <v>106</v>
      </c>
      <c r="H656">
        <v>6</v>
      </c>
      <c r="I656" t="s">
        <v>24</v>
      </c>
      <c r="J656" t="s">
        <v>2689</v>
      </c>
      <c r="K656" t="s">
        <v>67</v>
      </c>
      <c r="L656" t="s">
        <v>27</v>
      </c>
      <c r="M656" t="s">
        <v>28</v>
      </c>
      <c r="N656" t="s">
        <v>2690</v>
      </c>
      <c r="O656" t="s">
        <v>27</v>
      </c>
      <c r="P656" t="s">
        <v>39</v>
      </c>
      <c r="Q656" t="s">
        <v>31</v>
      </c>
      <c r="R656" t="s">
        <v>32</v>
      </c>
      <c r="S656" t="s">
        <v>28</v>
      </c>
      <c r="T656" t="s">
        <v>2691</v>
      </c>
      <c r="U656" t="s">
        <v>2690</v>
      </c>
    </row>
    <row r="657" spans="1:21" x14ac:dyDescent="0.25">
      <c r="A657" t="s">
        <v>456</v>
      </c>
      <c r="B657" t="s">
        <v>1178</v>
      </c>
      <c r="C657">
        <v>119.84</v>
      </c>
      <c r="D657">
        <v>1</v>
      </c>
      <c r="E657">
        <v>0</v>
      </c>
      <c r="F657" t="s">
        <v>2692</v>
      </c>
      <c r="G657">
        <v>124.84</v>
      </c>
      <c r="H657">
        <v>5</v>
      </c>
      <c r="I657" t="s">
        <v>628</v>
      </c>
      <c r="J657" t="s">
        <v>2693</v>
      </c>
      <c r="K657" t="s">
        <v>2694</v>
      </c>
      <c r="L657" t="s">
        <v>2695</v>
      </c>
      <c r="M657" t="s">
        <v>2696</v>
      </c>
      <c r="N657" t="s">
        <v>2697</v>
      </c>
      <c r="O657" t="s">
        <v>27</v>
      </c>
      <c r="P657" t="s">
        <v>48</v>
      </c>
      <c r="Q657" t="s">
        <v>49</v>
      </c>
      <c r="R657" t="s">
        <v>50</v>
      </c>
      <c r="S657" t="s">
        <v>28</v>
      </c>
      <c r="T657" t="s">
        <v>2698</v>
      </c>
      <c r="U657" t="s">
        <v>2697</v>
      </c>
    </row>
    <row r="658" spans="1:21" x14ac:dyDescent="0.25">
      <c r="A658" t="s">
        <v>33</v>
      </c>
      <c r="B658" t="s">
        <v>34</v>
      </c>
      <c r="C658">
        <v>200</v>
      </c>
      <c r="D658">
        <v>1</v>
      </c>
      <c r="E658">
        <v>0</v>
      </c>
      <c r="F658" t="s">
        <v>2699</v>
      </c>
      <c r="G658">
        <v>200</v>
      </c>
      <c r="H658">
        <v>0</v>
      </c>
      <c r="I658" t="s">
        <v>24</v>
      </c>
      <c r="J658" t="s">
        <v>2700</v>
      </c>
      <c r="K658" t="s">
        <v>1038</v>
      </c>
      <c r="L658" t="s">
        <v>27</v>
      </c>
      <c r="M658" t="s">
        <v>28</v>
      </c>
      <c r="N658" t="s">
        <v>2701</v>
      </c>
      <c r="O658" t="s">
        <v>27</v>
      </c>
      <c r="P658" t="s">
        <v>39</v>
      </c>
      <c r="Q658" t="s">
        <v>31</v>
      </c>
      <c r="R658" t="s">
        <v>32</v>
      </c>
      <c r="S658" t="s">
        <v>28</v>
      </c>
      <c r="T658" t="s">
        <v>2702</v>
      </c>
      <c r="U658" t="s">
        <v>2701</v>
      </c>
    </row>
    <row r="659" spans="1:21" x14ac:dyDescent="0.25">
      <c r="A659" t="s">
        <v>2703</v>
      </c>
      <c r="B659" t="s">
        <v>2704</v>
      </c>
      <c r="C659">
        <v>358.92</v>
      </c>
      <c r="D659">
        <v>1</v>
      </c>
      <c r="E659">
        <v>0</v>
      </c>
      <c r="F659" t="s">
        <v>2705</v>
      </c>
      <c r="G659">
        <v>1170.75</v>
      </c>
      <c r="H659">
        <v>94</v>
      </c>
      <c r="I659" t="s">
        <v>24</v>
      </c>
      <c r="J659" t="s">
        <v>2706</v>
      </c>
      <c r="K659" t="s">
        <v>2707</v>
      </c>
      <c r="L659" t="s">
        <v>2708</v>
      </c>
      <c r="M659" t="s">
        <v>2709</v>
      </c>
      <c r="N659" t="s">
        <v>2710</v>
      </c>
      <c r="O659" t="s">
        <v>27</v>
      </c>
      <c r="P659" t="s">
        <v>48</v>
      </c>
      <c r="Q659" t="s">
        <v>49</v>
      </c>
      <c r="R659" t="s">
        <v>50</v>
      </c>
      <c r="S659" t="s">
        <v>28</v>
      </c>
      <c r="T659" t="s">
        <v>2711</v>
      </c>
      <c r="U659" t="s">
        <v>2710</v>
      </c>
    </row>
    <row r="660" spans="1:21" x14ac:dyDescent="0.25">
      <c r="A660" t="s">
        <v>2703</v>
      </c>
      <c r="B660" t="s">
        <v>2704</v>
      </c>
      <c r="C660">
        <v>358.91</v>
      </c>
      <c r="D660">
        <v>1</v>
      </c>
      <c r="E660">
        <v>0</v>
      </c>
      <c r="F660" t="s">
        <v>2705</v>
      </c>
      <c r="G660">
        <v>1170.75</v>
      </c>
      <c r="H660">
        <v>94</v>
      </c>
      <c r="I660" t="s">
        <v>24</v>
      </c>
      <c r="J660" t="s">
        <v>2706</v>
      </c>
      <c r="K660" t="s">
        <v>2707</v>
      </c>
      <c r="L660" t="s">
        <v>2708</v>
      </c>
      <c r="M660" t="s">
        <v>2709</v>
      </c>
      <c r="N660" t="s">
        <v>2710</v>
      </c>
      <c r="O660" t="s">
        <v>27</v>
      </c>
      <c r="P660" t="s">
        <v>48</v>
      </c>
      <c r="Q660" t="s">
        <v>49</v>
      </c>
      <c r="R660" t="s">
        <v>50</v>
      </c>
      <c r="S660" t="s">
        <v>28</v>
      </c>
      <c r="T660" t="s">
        <v>2711</v>
      </c>
      <c r="U660" t="s">
        <v>2710</v>
      </c>
    </row>
    <row r="661" spans="1:21" x14ac:dyDescent="0.25">
      <c r="A661" t="s">
        <v>2703</v>
      </c>
      <c r="B661" t="s">
        <v>2704</v>
      </c>
      <c r="C661">
        <v>358.92</v>
      </c>
      <c r="D661">
        <v>1</v>
      </c>
      <c r="E661">
        <v>0</v>
      </c>
      <c r="F661" t="s">
        <v>2705</v>
      </c>
      <c r="G661">
        <v>1170.75</v>
      </c>
      <c r="H661">
        <v>94</v>
      </c>
      <c r="I661" t="s">
        <v>24</v>
      </c>
      <c r="J661" t="s">
        <v>2706</v>
      </c>
      <c r="K661" t="s">
        <v>2707</v>
      </c>
      <c r="L661" t="s">
        <v>2708</v>
      </c>
      <c r="M661" t="s">
        <v>2709</v>
      </c>
      <c r="N661" t="s">
        <v>2710</v>
      </c>
      <c r="O661" t="s">
        <v>27</v>
      </c>
      <c r="P661" t="s">
        <v>48</v>
      </c>
      <c r="Q661" t="s">
        <v>49</v>
      </c>
      <c r="R661" t="s">
        <v>50</v>
      </c>
      <c r="S661" t="s">
        <v>28</v>
      </c>
      <c r="T661" t="s">
        <v>2711</v>
      </c>
      <c r="U661" t="s">
        <v>2710</v>
      </c>
    </row>
    <row r="662" spans="1:21" x14ac:dyDescent="0.25">
      <c r="A662" t="s">
        <v>94</v>
      </c>
      <c r="B662" t="s">
        <v>95</v>
      </c>
      <c r="C662">
        <v>74.400000000000006</v>
      </c>
      <c r="D662">
        <v>1</v>
      </c>
      <c r="E662">
        <v>0</v>
      </c>
      <c r="F662" t="s">
        <v>2712</v>
      </c>
      <c r="G662">
        <v>79.400000000000006</v>
      </c>
      <c r="H662">
        <v>5</v>
      </c>
      <c r="I662" t="s">
        <v>24</v>
      </c>
      <c r="J662" t="s">
        <v>2713</v>
      </c>
      <c r="K662" t="s">
        <v>2714</v>
      </c>
      <c r="L662" t="s">
        <v>516</v>
      </c>
      <c r="M662" t="s">
        <v>2715</v>
      </c>
      <c r="N662" t="s">
        <v>2716</v>
      </c>
      <c r="O662" t="s">
        <v>27</v>
      </c>
      <c r="P662" t="s">
        <v>48</v>
      </c>
      <c r="Q662" t="s">
        <v>49</v>
      </c>
      <c r="R662" t="s">
        <v>50</v>
      </c>
      <c r="S662" t="s">
        <v>28</v>
      </c>
      <c r="T662" t="s">
        <v>2717</v>
      </c>
      <c r="U662" t="s">
        <v>2716</v>
      </c>
    </row>
    <row r="663" spans="1:21" x14ac:dyDescent="0.25">
      <c r="A663" t="s">
        <v>21</v>
      </c>
      <c r="B663" t="s">
        <v>22</v>
      </c>
      <c r="C663">
        <v>100</v>
      </c>
      <c r="D663">
        <v>1</v>
      </c>
      <c r="E663">
        <v>0</v>
      </c>
      <c r="F663" t="s">
        <v>2718</v>
      </c>
      <c r="G663">
        <v>106</v>
      </c>
      <c r="H663">
        <v>6</v>
      </c>
      <c r="I663" t="s">
        <v>24</v>
      </c>
      <c r="J663" t="s">
        <v>2719</v>
      </c>
      <c r="K663" t="s">
        <v>37</v>
      </c>
      <c r="L663" t="s">
        <v>27</v>
      </c>
      <c r="M663" t="s">
        <v>28</v>
      </c>
      <c r="N663" t="s">
        <v>2720</v>
      </c>
      <c r="O663" t="s">
        <v>27</v>
      </c>
      <c r="P663" t="s">
        <v>39</v>
      </c>
      <c r="Q663" t="s">
        <v>31</v>
      </c>
      <c r="R663" t="s">
        <v>32</v>
      </c>
      <c r="S663" t="s">
        <v>28</v>
      </c>
      <c r="T663" t="s">
        <v>2721</v>
      </c>
      <c r="U663" t="s">
        <v>2720</v>
      </c>
    </row>
    <row r="664" spans="1:21" x14ac:dyDescent="0.25">
      <c r="A664" t="s">
        <v>456</v>
      </c>
      <c r="B664" t="s">
        <v>1178</v>
      </c>
      <c r="C664">
        <v>119.84</v>
      </c>
      <c r="D664">
        <v>1</v>
      </c>
      <c r="E664">
        <v>0</v>
      </c>
      <c r="F664" t="s">
        <v>2722</v>
      </c>
      <c r="G664">
        <v>124.84</v>
      </c>
      <c r="H664">
        <v>5</v>
      </c>
      <c r="I664" t="s">
        <v>628</v>
      </c>
      <c r="J664" t="s">
        <v>2723</v>
      </c>
      <c r="K664" t="s">
        <v>2724</v>
      </c>
      <c r="L664" t="s">
        <v>480</v>
      </c>
      <c r="M664" t="s">
        <v>2725</v>
      </c>
      <c r="N664" t="s">
        <v>2726</v>
      </c>
      <c r="O664" t="s">
        <v>27</v>
      </c>
      <c r="P664" t="s">
        <v>48</v>
      </c>
      <c r="Q664" t="s">
        <v>49</v>
      </c>
      <c r="R664" t="s">
        <v>50</v>
      </c>
      <c r="S664" t="s">
        <v>28</v>
      </c>
      <c r="T664" t="s">
        <v>2727</v>
      </c>
      <c r="U664" t="s">
        <v>2720</v>
      </c>
    </row>
    <row r="665" spans="1:21" x14ac:dyDescent="0.25">
      <c r="A665" t="s">
        <v>195</v>
      </c>
      <c r="B665" t="s">
        <v>1003</v>
      </c>
      <c r="C665">
        <v>114.84</v>
      </c>
      <c r="D665">
        <v>1</v>
      </c>
      <c r="E665">
        <v>0</v>
      </c>
      <c r="F665" t="s">
        <v>2728</v>
      </c>
      <c r="G665">
        <v>119.84</v>
      </c>
      <c r="H665">
        <v>5</v>
      </c>
      <c r="I665" t="s">
        <v>628</v>
      </c>
      <c r="J665" t="s">
        <v>2729</v>
      </c>
      <c r="K665" t="s">
        <v>2730</v>
      </c>
      <c r="L665" t="s">
        <v>99</v>
      </c>
      <c r="M665" t="s">
        <v>2731</v>
      </c>
      <c r="N665" t="s">
        <v>2732</v>
      </c>
      <c r="O665" t="s">
        <v>27</v>
      </c>
      <c r="P665" t="s">
        <v>48</v>
      </c>
      <c r="Q665" t="s">
        <v>49</v>
      </c>
      <c r="R665" t="s">
        <v>50</v>
      </c>
      <c r="S665" t="s">
        <v>28</v>
      </c>
      <c r="T665" t="s">
        <v>2733</v>
      </c>
      <c r="U665" t="s">
        <v>2732</v>
      </c>
    </row>
    <row r="666" spans="1:21" x14ac:dyDescent="0.25">
      <c r="A666" t="s">
        <v>456</v>
      </c>
      <c r="B666" t="s">
        <v>1178</v>
      </c>
      <c r="C666">
        <v>127.33</v>
      </c>
      <c r="D666">
        <v>1</v>
      </c>
      <c r="E666">
        <v>0</v>
      </c>
      <c r="F666" t="s">
        <v>2734</v>
      </c>
      <c r="G666">
        <v>362.31</v>
      </c>
      <c r="H666">
        <v>14</v>
      </c>
      <c r="I666" t="s">
        <v>628</v>
      </c>
      <c r="J666" t="s">
        <v>2735</v>
      </c>
      <c r="K666" t="s">
        <v>2736</v>
      </c>
      <c r="L666" t="s">
        <v>2737</v>
      </c>
      <c r="M666" t="s">
        <v>2738</v>
      </c>
      <c r="N666" t="s">
        <v>2732</v>
      </c>
      <c r="O666" t="s">
        <v>27</v>
      </c>
      <c r="P666" t="s">
        <v>48</v>
      </c>
      <c r="Q666" t="s">
        <v>49</v>
      </c>
      <c r="R666" t="s">
        <v>50</v>
      </c>
      <c r="S666" t="s">
        <v>28</v>
      </c>
      <c r="T666" t="s">
        <v>2739</v>
      </c>
      <c r="U666" t="s">
        <v>2732</v>
      </c>
    </row>
    <row r="667" spans="1:21" x14ac:dyDescent="0.25">
      <c r="A667" t="s">
        <v>195</v>
      </c>
      <c r="B667" t="s">
        <v>1003</v>
      </c>
      <c r="C667">
        <v>110.49</v>
      </c>
      <c r="D667">
        <v>1</v>
      </c>
      <c r="E667">
        <v>0</v>
      </c>
      <c r="F667" t="s">
        <v>2734</v>
      </c>
      <c r="G667">
        <v>362.31</v>
      </c>
      <c r="H667">
        <v>14</v>
      </c>
      <c r="I667" t="s">
        <v>628</v>
      </c>
      <c r="J667" t="s">
        <v>2735</v>
      </c>
      <c r="K667" t="s">
        <v>2736</v>
      </c>
      <c r="L667" t="s">
        <v>2737</v>
      </c>
      <c r="M667" t="s">
        <v>2738</v>
      </c>
      <c r="N667" t="s">
        <v>2732</v>
      </c>
      <c r="O667" t="s">
        <v>27</v>
      </c>
      <c r="P667" t="s">
        <v>48</v>
      </c>
      <c r="Q667" t="s">
        <v>49</v>
      </c>
      <c r="R667" t="s">
        <v>50</v>
      </c>
      <c r="S667" t="s">
        <v>28</v>
      </c>
      <c r="T667" t="s">
        <v>2739</v>
      </c>
      <c r="U667" t="s">
        <v>2732</v>
      </c>
    </row>
    <row r="668" spans="1:21" x14ac:dyDescent="0.25">
      <c r="A668" t="s">
        <v>195</v>
      </c>
      <c r="B668" t="s">
        <v>1003</v>
      </c>
      <c r="C668">
        <v>110.49</v>
      </c>
      <c r="D668">
        <v>1</v>
      </c>
      <c r="E668">
        <v>0</v>
      </c>
      <c r="F668" t="s">
        <v>2734</v>
      </c>
      <c r="G668">
        <v>362.31</v>
      </c>
      <c r="H668">
        <v>14</v>
      </c>
      <c r="I668" t="s">
        <v>628</v>
      </c>
      <c r="J668" t="s">
        <v>2735</v>
      </c>
      <c r="K668" t="s">
        <v>2736</v>
      </c>
      <c r="L668" t="s">
        <v>2737</v>
      </c>
      <c r="M668" t="s">
        <v>2738</v>
      </c>
      <c r="N668" t="s">
        <v>2732</v>
      </c>
      <c r="O668" t="s">
        <v>27</v>
      </c>
      <c r="P668" t="s">
        <v>48</v>
      </c>
      <c r="Q668" t="s">
        <v>49</v>
      </c>
      <c r="R668" t="s">
        <v>50</v>
      </c>
      <c r="S668" t="s">
        <v>28</v>
      </c>
      <c r="T668" t="s">
        <v>2739</v>
      </c>
      <c r="U668" t="s">
        <v>2732</v>
      </c>
    </row>
    <row r="669" spans="1:21" x14ac:dyDescent="0.25">
      <c r="A669" t="s">
        <v>33</v>
      </c>
      <c r="B669" t="s">
        <v>34</v>
      </c>
      <c r="C669">
        <v>200</v>
      </c>
      <c r="D669">
        <v>1</v>
      </c>
      <c r="E669">
        <v>0</v>
      </c>
      <c r="F669" t="s">
        <v>2740</v>
      </c>
      <c r="G669">
        <v>200</v>
      </c>
      <c r="H669">
        <v>0</v>
      </c>
      <c r="I669" t="s">
        <v>24</v>
      </c>
      <c r="J669" t="s">
        <v>1089</v>
      </c>
      <c r="K669" t="s">
        <v>960</v>
      </c>
      <c r="L669" t="s">
        <v>27</v>
      </c>
      <c r="M669" t="s">
        <v>28</v>
      </c>
      <c r="N669" t="s">
        <v>2741</v>
      </c>
      <c r="O669" t="s">
        <v>27</v>
      </c>
      <c r="P669" t="s">
        <v>39</v>
      </c>
      <c r="Q669" t="s">
        <v>31</v>
      </c>
      <c r="R669" t="s">
        <v>32</v>
      </c>
      <c r="S669" t="s">
        <v>28</v>
      </c>
      <c r="T669" t="s">
        <v>2742</v>
      </c>
      <c r="U669" t="s">
        <v>2741</v>
      </c>
    </row>
    <row r="670" spans="1:21" x14ac:dyDescent="0.25">
      <c r="A670" t="s">
        <v>21</v>
      </c>
      <c r="B670" t="s">
        <v>22</v>
      </c>
      <c r="C670">
        <v>100</v>
      </c>
      <c r="D670">
        <v>1</v>
      </c>
      <c r="E670">
        <v>0</v>
      </c>
      <c r="F670" t="s">
        <v>2743</v>
      </c>
      <c r="G670">
        <v>200</v>
      </c>
      <c r="H670">
        <v>0</v>
      </c>
      <c r="I670" t="s">
        <v>445</v>
      </c>
      <c r="J670" t="s">
        <v>2744</v>
      </c>
      <c r="K670" t="s">
        <v>118</v>
      </c>
      <c r="L670" t="s">
        <v>27</v>
      </c>
      <c r="M670" t="s">
        <v>28</v>
      </c>
      <c r="N670" t="s">
        <v>2741</v>
      </c>
      <c r="O670" t="s">
        <v>27</v>
      </c>
      <c r="P670" t="s">
        <v>39</v>
      </c>
      <c r="Q670" t="s">
        <v>31</v>
      </c>
      <c r="R670" t="s">
        <v>32</v>
      </c>
      <c r="S670" t="s">
        <v>28</v>
      </c>
      <c r="T670" t="s">
        <v>2745</v>
      </c>
      <c r="U670" t="s">
        <v>2741</v>
      </c>
    </row>
    <row r="671" spans="1:21" x14ac:dyDescent="0.25">
      <c r="A671" t="s">
        <v>63</v>
      </c>
      <c r="B671" t="s">
        <v>64</v>
      </c>
      <c r="C671">
        <v>100</v>
      </c>
      <c r="D671">
        <v>1</v>
      </c>
      <c r="E671">
        <v>0</v>
      </c>
      <c r="F671" t="s">
        <v>2743</v>
      </c>
      <c r="G671">
        <v>200</v>
      </c>
      <c r="H671">
        <v>0</v>
      </c>
      <c r="I671" t="s">
        <v>445</v>
      </c>
      <c r="J671" t="s">
        <v>2744</v>
      </c>
      <c r="K671" t="s">
        <v>118</v>
      </c>
      <c r="L671" t="s">
        <v>27</v>
      </c>
      <c r="M671" t="s">
        <v>28</v>
      </c>
      <c r="N671" t="s">
        <v>2741</v>
      </c>
      <c r="O671" t="s">
        <v>27</v>
      </c>
      <c r="P671" t="s">
        <v>39</v>
      </c>
      <c r="Q671" t="s">
        <v>31</v>
      </c>
      <c r="R671" t="s">
        <v>32</v>
      </c>
      <c r="S671" t="s">
        <v>28</v>
      </c>
      <c r="T671" t="s">
        <v>2745</v>
      </c>
      <c r="U671" t="s">
        <v>2741</v>
      </c>
    </row>
    <row r="672" spans="1:21" x14ac:dyDescent="0.25">
      <c r="A672" t="s">
        <v>58</v>
      </c>
      <c r="B672" t="s">
        <v>103</v>
      </c>
      <c r="C672">
        <v>78.14</v>
      </c>
      <c r="D672">
        <v>1</v>
      </c>
      <c r="E672">
        <v>0</v>
      </c>
      <c r="F672" t="s">
        <v>2746</v>
      </c>
      <c r="G672">
        <v>611.89</v>
      </c>
      <c r="H672">
        <v>24</v>
      </c>
      <c r="I672" t="s">
        <v>105</v>
      </c>
      <c r="J672" t="s">
        <v>2747</v>
      </c>
      <c r="K672" t="s">
        <v>2748</v>
      </c>
      <c r="L672" t="s">
        <v>2749</v>
      </c>
      <c r="M672" t="s">
        <v>2750</v>
      </c>
      <c r="N672" t="s">
        <v>2751</v>
      </c>
      <c r="O672" t="s">
        <v>27</v>
      </c>
      <c r="P672" t="s">
        <v>48</v>
      </c>
      <c r="Q672" t="s">
        <v>49</v>
      </c>
      <c r="R672" t="s">
        <v>50</v>
      </c>
      <c r="S672" t="s">
        <v>28</v>
      </c>
      <c r="T672" t="s">
        <v>2752</v>
      </c>
      <c r="U672" t="s">
        <v>2751</v>
      </c>
    </row>
    <row r="673" spans="1:21" x14ac:dyDescent="0.25">
      <c r="A673" t="s">
        <v>58</v>
      </c>
      <c r="B673" t="s">
        <v>103</v>
      </c>
      <c r="C673">
        <v>78.14</v>
      </c>
      <c r="D673">
        <v>1</v>
      </c>
      <c r="E673">
        <v>0</v>
      </c>
      <c r="F673" t="s">
        <v>2746</v>
      </c>
      <c r="G673">
        <v>611.89</v>
      </c>
      <c r="H673">
        <v>24</v>
      </c>
      <c r="I673" t="s">
        <v>105</v>
      </c>
      <c r="J673" t="s">
        <v>2747</v>
      </c>
      <c r="K673" t="s">
        <v>2748</v>
      </c>
      <c r="L673" t="s">
        <v>2749</v>
      </c>
      <c r="M673" t="s">
        <v>2750</v>
      </c>
      <c r="N673" t="s">
        <v>2751</v>
      </c>
      <c r="O673" t="s">
        <v>27</v>
      </c>
      <c r="P673" t="s">
        <v>48</v>
      </c>
      <c r="Q673" t="s">
        <v>49</v>
      </c>
      <c r="R673" t="s">
        <v>50</v>
      </c>
      <c r="S673" t="s">
        <v>28</v>
      </c>
      <c r="T673" t="s">
        <v>2752</v>
      </c>
      <c r="U673" t="s">
        <v>2751</v>
      </c>
    </row>
    <row r="674" spans="1:21" x14ac:dyDescent="0.25">
      <c r="A674" t="s">
        <v>635</v>
      </c>
      <c r="B674" t="s">
        <v>1129</v>
      </c>
      <c r="C674">
        <v>431.61</v>
      </c>
      <c r="D674">
        <v>1</v>
      </c>
      <c r="E674">
        <v>0</v>
      </c>
      <c r="F674" t="s">
        <v>2746</v>
      </c>
      <c r="G674">
        <v>611.89</v>
      </c>
      <c r="H674">
        <v>24</v>
      </c>
      <c r="I674" t="s">
        <v>105</v>
      </c>
      <c r="J674" t="s">
        <v>2747</v>
      </c>
      <c r="K674" t="s">
        <v>2748</v>
      </c>
      <c r="L674" t="s">
        <v>2749</v>
      </c>
      <c r="M674" t="s">
        <v>2750</v>
      </c>
      <c r="N674" t="s">
        <v>2751</v>
      </c>
      <c r="O674" t="s">
        <v>27</v>
      </c>
      <c r="P674" t="s">
        <v>48</v>
      </c>
      <c r="Q674" t="s">
        <v>49</v>
      </c>
      <c r="R674" t="s">
        <v>50</v>
      </c>
      <c r="S674" t="s">
        <v>28</v>
      </c>
      <c r="T674" t="s">
        <v>2752</v>
      </c>
      <c r="U674" t="s">
        <v>2751</v>
      </c>
    </row>
    <row r="675" spans="1:21" x14ac:dyDescent="0.25">
      <c r="A675" t="s">
        <v>33</v>
      </c>
      <c r="B675" t="s">
        <v>34</v>
      </c>
      <c r="C675">
        <v>200</v>
      </c>
      <c r="D675">
        <v>1</v>
      </c>
      <c r="E675">
        <v>0</v>
      </c>
      <c r="F675" t="s">
        <v>2753</v>
      </c>
      <c r="G675">
        <v>200</v>
      </c>
      <c r="H675">
        <v>0</v>
      </c>
      <c r="I675" t="s">
        <v>24</v>
      </c>
      <c r="J675" t="s">
        <v>2754</v>
      </c>
      <c r="K675" t="s">
        <v>73</v>
      </c>
      <c r="L675" t="s">
        <v>27</v>
      </c>
      <c r="M675" t="s">
        <v>28</v>
      </c>
      <c r="N675" t="s">
        <v>2755</v>
      </c>
      <c r="O675" t="s">
        <v>27</v>
      </c>
      <c r="P675" t="s">
        <v>39</v>
      </c>
      <c r="Q675" t="s">
        <v>31</v>
      </c>
      <c r="R675" t="s">
        <v>32</v>
      </c>
      <c r="S675" t="s">
        <v>28</v>
      </c>
      <c r="T675" t="s">
        <v>2756</v>
      </c>
      <c r="U675" t="s">
        <v>2755</v>
      </c>
    </row>
    <row r="676" spans="1:21" x14ac:dyDescent="0.25">
      <c r="A676" t="s">
        <v>143</v>
      </c>
      <c r="B676" t="s">
        <v>144</v>
      </c>
      <c r="C676">
        <v>200</v>
      </c>
      <c r="D676">
        <v>2</v>
      </c>
      <c r="E676">
        <v>0</v>
      </c>
      <c r="F676" t="s">
        <v>2757</v>
      </c>
      <c r="G676">
        <v>400</v>
      </c>
      <c r="H676">
        <v>0</v>
      </c>
      <c r="I676" t="s">
        <v>140</v>
      </c>
      <c r="J676" t="s">
        <v>825</v>
      </c>
      <c r="K676" t="s">
        <v>653</v>
      </c>
      <c r="L676" t="s">
        <v>27</v>
      </c>
      <c r="M676" t="s">
        <v>28</v>
      </c>
      <c r="N676" t="s">
        <v>2758</v>
      </c>
      <c r="O676" t="s">
        <v>27</v>
      </c>
      <c r="P676" t="s">
        <v>30</v>
      </c>
      <c r="Q676" t="s">
        <v>31</v>
      </c>
      <c r="R676" t="s">
        <v>32</v>
      </c>
      <c r="S676" t="s">
        <v>28</v>
      </c>
      <c r="T676" t="s">
        <v>2759</v>
      </c>
      <c r="U676" t="s">
        <v>2758</v>
      </c>
    </row>
    <row r="677" spans="1:21" x14ac:dyDescent="0.25">
      <c r="A677" t="s">
        <v>21</v>
      </c>
      <c r="B677" t="s">
        <v>22</v>
      </c>
      <c r="C677">
        <v>100</v>
      </c>
      <c r="D677">
        <v>1</v>
      </c>
      <c r="E677">
        <v>0</v>
      </c>
      <c r="F677" t="s">
        <v>2760</v>
      </c>
      <c r="G677">
        <v>106</v>
      </c>
      <c r="H677">
        <v>6</v>
      </c>
      <c r="I677" t="s">
        <v>24</v>
      </c>
      <c r="J677" t="s">
        <v>2761</v>
      </c>
      <c r="K677" t="s">
        <v>294</v>
      </c>
      <c r="L677" t="s">
        <v>27</v>
      </c>
      <c r="M677" t="s">
        <v>28</v>
      </c>
      <c r="N677" t="s">
        <v>2762</v>
      </c>
      <c r="O677" t="s">
        <v>27</v>
      </c>
      <c r="P677" t="s">
        <v>39</v>
      </c>
      <c r="Q677" t="s">
        <v>31</v>
      </c>
      <c r="R677" t="s">
        <v>32</v>
      </c>
      <c r="S677" t="s">
        <v>28</v>
      </c>
      <c r="T677" t="s">
        <v>2763</v>
      </c>
      <c r="U677" t="s">
        <v>2762</v>
      </c>
    </row>
    <row r="678" spans="1:21" x14ac:dyDescent="0.25">
      <c r="A678" t="s">
        <v>63</v>
      </c>
      <c r="B678" t="s">
        <v>64</v>
      </c>
      <c r="C678">
        <v>100</v>
      </c>
      <c r="D678">
        <v>1</v>
      </c>
      <c r="E678">
        <v>0</v>
      </c>
      <c r="F678" t="s">
        <v>2764</v>
      </c>
      <c r="G678">
        <v>100</v>
      </c>
      <c r="H678">
        <v>0</v>
      </c>
      <c r="I678" t="s">
        <v>445</v>
      </c>
      <c r="J678" t="s">
        <v>2765</v>
      </c>
      <c r="K678" t="s">
        <v>26</v>
      </c>
      <c r="L678" t="s">
        <v>27</v>
      </c>
      <c r="M678" t="s">
        <v>28</v>
      </c>
      <c r="N678" t="s">
        <v>2762</v>
      </c>
      <c r="O678" t="s">
        <v>27</v>
      </c>
      <c r="P678" t="s">
        <v>39</v>
      </c>
      <c r="Q678" t="s">
        <v>31</v>
      </c>
      <c r="R678" t="s">
        <v>32</v>
      </c>
      <c r="S678" t="s">
        <v>28</v>
      </c>
      <c r="T678" t="s">
        <v>2766</v>
      </c>
      <c r="U678" t="s">
        <v>2762</v>
      </c>
    </row>
    <row r="679" spans="1:21" x14ac:dyDescent="0.25">
      <c r="A679" t="s">
        <v>21</v>
      </c>
      <c r="B679" t="s">
        <v>22</v>
      </c>
      <c r="C679">
        <v>100</v>
      </c>
      <c r="D679">
        <v>2</v>
      </c>
      <c r="E679">
        <v>0</v>
      </c>
      <c r="F679" t="s">
        <v>2767</v>
      </c>
      <c r="G679">
        <v>200</v>
      </c>
      <c r="H679">
        <v>0</v>
      </c>
      <c r="I679" t="s">
        <v>445</v>
      </c>
      <c r="J679" t="s">
        <v>2768</v>
      </c>
      <c r="K679" t="s">
        <v>213</v>
      </c>
      <c r="L679" t="s">
        <v>27</v>
      </c>
      <c r="M679" t="s">
        <v>28</v>
      </c>
      <c r="N679" t="s">
        <v>2769</v>
      </c>
      <c r="O679" t="s">
        <v>27</v>
      </c>
      <c r="P679" t="s">
        <v>39</v>
      </c>
      <c r="Q679" t="s">
        <v>31</v>
      </c>
      <c r="R679" t="s">
        <v>32</v>
      </c>
      <c r="S679" t="s">
        <v>28</v>
      </c>
      <c r="T679" t="s">
        <v>2770</v>
      </c>
      <c r="U679" t="s">
        <v>2769</v>
      </c>
    </row>
    <row r="680" spans="1:21" x14ac:dyDescent="0.25">
      <c r="A680" t="s">
        <v>21</v>
      </c>
      <c r="B680" t="s">
        <v>22</v>
      </c>
      <c r="C680">
        <v>100</v>
      </c>
      <c r="D680">
        <v>2</v>
      </c>
      <c r="E680">
        <v>0</v>
      </c>
      <c r="F680" t="s">
        <v>2771</v>
      </c>
      <c r="G680">
        <v>200</v>
      </c>
      <c r="H680">
        <v>0</v>
      </c>
      <c r="I680" t="s">
        <v>24</v>
      </c>
      <c r="J680" t="s">
        <v>2768</v>
      </c>
      <c r="K680" t="s">
        <v>213</v>
      </c>
      <c r="L680" t="s">
        <v>27</v>
      </c>
      <c r="M680" t="s">
        <v>28</v>
      </c>
      <c r="N680" t="s">
        <v>2769</v>
      </c>
      <c r="O680" t="s">
        <v>27</v>
      </c>
      <c r="P680" t="s">
        <v>39</v>
      </c>
      <c r="Q680" t="s">
        <v>31</v>
      </c>
      <c r="R680" t="s">
        <v>32</v>
      </c>
      <c r="S680" t="s">
        <v>28</v>
      </c>
      <c r="T680" t="s">
        <v>2770</v>
      </c>
      <c r="U680" t="s">
        <v>2769</v>
      </c>
    </row>
    <row r="681" spans="1:21" x14ac:dyDescent="0.25">
      <c r="A681" t="s">
        <v>195</v>
      </c>
      <c r="B681" t="s">
        <v>1003</v>
      </c>
      <c r="C681">
        <v>119.84</v>
      </c>
      <c r="D681">
        <v>1</v>
      </c>
      <c r="E681">
        <v>0</v>
      </c>
      <c r="F681" t="s">
        <v>2772</v>
      </c>
      <c r="G681">
        <v>124.84</v>
      </c>
      <c r="H681">
        <v>5</v>
      </c>
      <c r="I681" t="s">
        <v>628</v>
      </c>
      <c r="J681" t="s">
        <v>2773</v>
      </c>
      <c r="K681" t="s">
        <v>2774</v>
      </c>
      <c r="L681" t="s">
        <v>2775</v>
      </c>
      <c r="M681" t="s">
        <v>2776</v>
      </c>
      <c r="N681" t="s">
        <v>2777</v>
      </c>
      <c r="O681" t="s">
        <v>27</v>
      </c>
      <c r="P681" t="s">
        <v>48</v>
      </c>
      <c r="Q681" t="s">
        <v>49</v>
      </c>
      <c r="R681" t="s">
        <v>50</v>
      </c>
      <c r="S681" t="s">
        <v>28</v>
      </c>
      <c r="T681" t="s">
        <v>2778</v>
      </c>
      <c r="U681" t="s">
        <v>2777</v>
      </c>
    </row>
    <row r="682" spans="1:21" x14ac:dyDescent="0.25">
      <c r="A682" t="s">
        <v>21</v>
      </c>
      <c r="B682" t="s">
        <v>22</v>
      </c>
      <c r="C682">
        <v>100</v>
      </c>
      <c r="D682">
        <v>1</v>
      </c>
      <c r="E682">
        <v>0</v>
      </c>
      <c r="F682" t="s">
        <v>2779</v>
      </c>
      <c r="G682">
        <v>106</v>
      </c>
      <c r="H682">
        <v>6</v>
      </c>
      <c r="I682" t="s">
        <v>24</v>
      </c>
      <c r="J682" t="s">
        <v>2780</v>
      </c>
      <c r="K682" t="s">
        <v>37</v>
      </c>
      <c r="L682" t="s">
        <v>27</v>
      </c>
      <c r="M682" t="s">
        <v>28</v>
      </c>
      <c r="N682" t="s">
        <v>2781</v>
      </c>
      <c r="O682" t="s">
        <v>27</v>
      </c>
      <c r="P682" t="s">
        <v>39</v>
      </c>
      <c r="Q682" t="s">
        <v>31</v>
      </c>
      <c r="R682" t="s">
        <v>32</v>
      </c>
      <c r="S682" t="s">
        <v>28</v>
      </c>
      <c r="T682" t="s">
        <v>2782</v>
      </c>
      <c r="U682" t="s">
        <v>2781</v>
      </c>
    </row>
    <row r="683" spans="1:21" x14ac:dyDescent="0.25">
      <c r="A683" t="s">
        <v>134</v>
      </c>
      <c r="B683" t="s">
        <v>64</v>
      </c>
      <c r="C683">
        <v>100</v>
      </c>
      <c r="D683">
        <v>2</v>
      </c>
      <c r="E683">
        <v>0</v>
      </c>
      <c r="F683" t="s">
        <v>2783</v>
      </c>
      <c r="G683">
        <v>200</v>
      </c>
      <c r="H683">
        <v>0</v>
      </c>
      <c r="I683" t="s">
        <v>24</v>
      </c>
      <c r="J683" t="s">
        <v>2784</v>
      </c>
      <c r="K683" t="s">
        <v>960</v>
      </c>
      <c r="L683" t="s">
        <v>27</v>
      </c>
      <c r="M683" t="s">
        <v>28</v>
      </c>
      <c r="N683" t="s">
        <v>2785</v>
      </c>
      <c r="O683" t="s">
        <v>27</v>
      </c>
      <c r="P683" t="s">
        <v>39</v>
      </c>
      <c r="Q683" t="s">
        <v>31</v>
      </c>
      <c r="R683" t="s">
        <v>32</v>
      </c>
      <c r="S683" t="s">
        <v>28</v>
      </c>
      <c r="T683" t="s">
        <v>2786</v>
      </c>
      <c r="U683" t="s">
        <v>2785</v>
      </c>
    </row>
    <row r="684" spans="1:21" x14ac:dyDescent="0.25">
      <c r="A684" t="s">
        <v>143</v>
      </c>
      <c r="B684" t="s">
        <v>144</v>
      </c>
      <c r="C684">
        <v>200</v>
      </c>
      <c r="D684">
        <v>1</v>
      </c>
      <c r="E684">
        <v>0</v>
      </c>
      <c r="F684" t="s">
        <v>2787</v>
      </c>
      <c r="G684">
        <v>200</v>
      </c>
      <c r="H684">
        <v>0</v>
      </c>
      <c r="I684" t="s">
        <v>445</v>
      </c>
      <c r="J684" t="s">
        <v>2788</v>
      </c>
      <c r="K684" t="s">
        <v>594</v>
      </c>
      <c r="L684" t="s">
        <v>27</v>
      </c>
      <c r="M684" t="s">
        <v>28</v>
      </c>
      <c r="N684" t="s">
        <v>2789</v>
      </c>
      <c r="O684" t="s">
        <v>27</v>
      </c>
      <c r="P684" t="s">
        <v>39</v>
      </c>
      <c r="Q684" t="s">
        <v>31</v>
      </c>
      <c r="R684" t="s">
        <v>32</v>
      </c>
      <c r="S684" t="s">
        <v>28</v>
      </c>
      <c r="T684" t="s">
        <v>2790</v>
      </c>
      <c r="U684" t="s">
        <v>2789</v>
      </c>
    </row>
    <row r="685" spans="1:21" x14ac:dyDescent="0.25">
      <c r="A685" t="s">
        <v>195</v>
      </c>
      <c r="B685" t="s">
        <v>1003</v>
      </c>
      <c r="C685">
        <v>118.84</v>
      </c>
      <c r="D685">
        <v>1</v>
      </c>
      <c r="E685">
        <v>0</v>
      </c>
      <c r="F685" t="s">
        <v>2791</v>
      </c>
      <c r="G685">
        <v>123.84</v>
      </c>
      <c r="H685">
        <v>5</v>
      </c>
      <c r="I685" t="s">
        <v>628</v>
      </c>
      <c r="J685" t="s">
        <v>2792</v>
      </c>
      <c r="K685" t="s">
        <v>2793</v>
      </c>
      <c r="L685" t="s">
        <v>2794</v>
      </c>
      <c r="M685" t="s">
        <v>2795</v>
      </c>
      <c r="N685" t="s">
        <v>2796</v>
      </c>
      <c r="O685" t="s">
        <v>27</v>
      </c>
      <c r="P685" t="s">
        <v>48</v>
      </c>
      <c r="Q685" t="s">
        <v>49</v>
      </c>
      <c r="R685" t="s">
        <v>50</v>
      </c>
      <c r="S685" t="s">
        <v>28</v>
      </c>
      <c r="T685" t="s">
        <v>2797</v>
      </c>
      <c r="U685" t="s">
        <v>2796</v>
      </c>
    </row>
    <row r="686" spans="1:21" x14ac:dyDescent="0.25">
      <c r="A686" t="s">
        <v>33</v>
      </c>
      <c r="B686" t="s">
        <v>34</v>
      </c>
      <c r="C686">
        <v>200</v>
      </c>
      <c r="D686">
        <v>1</v>
      </c>
      <c r="E686">
        <v>0</v>
      </c>
      <c r="F686" t="s">
        <v>2798</v>
      </c>
      <c r="G686">
        <v>200</v>
      </c>
      <c r="H686">
        <v>0</v>
      </c>
      <c r="I686" t="s">
        <v>445</v>
      </c>
      <c r="J686" t="s">
        <v>2799</v>
      </c>
      <c r="K686" t="s">
        <v>37</v>
      </c>
      <c r="L686" t="s">
        <v>27</v>
      </c>
      <c r="M686" t="s">
        <v>28</v>
      </c>
      <c r="N686" t="s">
        <v>2800</v>
      </c>
      <c r="O686" t="s">
        <v>27</v>
      </c>
      <c r="P686" t="s">
        <v>39</v>
      </c>
      <c r="Q686" t="s">
        <v>31</v>
      </c>
      <c r="R686" t="s">
        <v>32</v>
      </c>
      <c r="S686" t="s">
        <v>28</v>
      </c>
      <c r="T686" t="s">
        <v>2801</v>
      </c>
      <c r="U686" t="s">
        <v>2802</v>
      </c>
    </row>
    <row r="687" spans="1:21" x14ac:dyDescent="0.25">
      <c r="A687" t="s">
        <v>21</v>
      </c>
      <c r="B687" t="s">
        <v>22</v>
      </c>
      <c r="C687">
        <v>100</v>
      </c>
      <c r="D687">
        <v>1</v>
      </c>
      <c r="E687">
        <v>0</v>
      </c>
      <c r="F687" t="s">
        <v>2803</v>
      </c>
      <c r="G687">
        <v>106</v>
      </c>
      <c r="H687">
        <v>6</v>
      </c>
      <c r="I687" t="s">
        <v>140</v>
      </c>
      <c r="J687" t="s">
        <v>2804</v>
      </c>
      <c r="K687" t="s">
        <v>89</v>
      </c>
      <c r="L687" t="s">
        <v>27</v>
      </c>
      <c r="M687" t="s">
        <v>28</v>
      </c>
      <c r="N687" t="s">
        <v>2800</v>
      </c>
      <c r="O687" t="s">
        <v>27</v>
      </c>
      <c r="P687" t="s">
        <v>30</v>
      </c>
      <c r="Q687" t="s">
        <v>31</v>
      </c>
      <c r="R687" t="s">
        <v>32</v>
      </c>
      <c r="S687" t="s">
        <v>28</v>
      </c>
      <c r="T687" t="s">
        <v>2805</v>
      </c>
      <c r="U687" t="s">
        <v>2800</v>
      </c>
    </row>
    <row r="688" spans="1:21" x14ac:dyDescent="0.25">
      <c r="A688" t="s">
        <v>21</v>
      </c>
      <c r="B688" t="s">
        <v>22</v>
      </c>
      <c r="C688">
        <v>100</v>
      </c>
      <c r="D688">
        <v>1</v>
      </c>
      <c r="E688">
        <v>0</v>
      </c>
      <c r="F688" t="s">
        <v>2806</v>
      </c>
      <c r="G688">
        <v>106</v>
      </c>
      <c r="H688">
        <v>6</v>
      </c>
      <c r="I688" t="s">
        <v>140</v>
      </c>
      <c r="J688" t="s">
        <v>2807</v>
      </c>
      <c r="K688" t="s">
        <v>37</v>
      </c>
      <c r="L688" t="s">
        <v>27</v>
      </c>
      <c r="M688" t="s">
        <v>28</v>
      </c>
      <c r="N688" t="s">
        <v>2808</v>
      </c>
      <c r="O688" t="s">
        <v>27</v>
      </c>
      <c r="P688" t="s">
        <v>30</v>
      </c>
      <c r="Q688" t="s">
        <v>31</v>
      </c>
      <c r="R688" t="s">
        <v>32</v>
      </c>
      <c r="S688" t="s">
        <v>28</v>
      </c>
      <c r="T688" t="s">
        <v>2809</v>
      </c>
      <c r="U688" t="s">
        <v>2808</v>
      </c>
    </row>
    <row r="689" spans="1:21" x14ac:dyDescent="0.25">
      <c r="A689" t="s">
        <v>33</v>
      </c>
      <c r="B689" t="s">
        <v>34</v>
      </c>
      <c r="C689">
        <v>200</v>
      </c>
      <c r="D689">
        <v>1</v>
      </c>
      <c r="E689">
        <v>0</v>
      </c>
      <c r="F689" t="s">
        <v>2810</v>
      </c>
      <c r="G689">
        <v>200</v>
      </c>
      <c r="H689">
        <v>0</v>
      </c>
      <c r="I689" t="s">
        <v>445</v>
      </c>
      <c r="J689" t="s">
        <v>2811</v>
      </c>
      <c r="K689" t="s">
        <v>250</v>
      </c>
      <c r="L689" t="s">
        <v>27</v>
      </c>
      <c r="M689" t="s">
        <v>28</v>
      </c>
      <c r="N689" t="s">
        <v>2812</v>
      </c>
      <c r="O689" t="s">
        <v>27</v>
      </c>
      <c r="P689" t="s">
        <v>39</v>
      </c>
      <c r="Q689" t="s">
        <v>31</v>
      </c>
      <c r="R689" t="s">
        <v>32</v>
      </c>
      <c r="S689" t="s">
        <v>28</v>
      </c>
      <c r="T689" t="s">
        <v>2813</v>
      </c>
      <c r="U689" t="s">
        <v>2812</v>
      </c>
    </row>
    <row r="690" spans="1:21" x14ac:dyDescent="0.25">
      <c r="A690" t="s">
        <v>195</v>
      </c>
      <c r="B690" t="s">
        <v>1003</v>
      </c>
      <c r="C690">
        <v>104.86</v>
      </c>
      <c r="D690">
        <v>1</v>
      </c>
      <c r="E690">
        <v>0</v>
      </c>
      <c r="F690" t="s">
        <v>2814</v>
      </c>
      <c r="G690">
        <v>233.72</v>
      </c>
      <c r="H690">
        <v>24</v>
      </c>
      <c r="I690" t="s">
        <v>628</v>
      </c>
      <c r="J690" t="s">
        <v>2815</v>
      </c>
      <c r="K690" t="s">
        <v>2816</v>
      </c>
      <c r="L690" t="s">
        <v>640</v>
      </c>
      <c r="M690" t="s">
        <v>2817</v>
      </c>
      <c r="N690" t="s">
        <v>2818</v>
      </c>
      <c r="O690" t="s">
        <v>27</v>
      </c>
      <c r="P690" t="s">
        <v>48</v>
      </c>
      <c r="Q690" t="s">
        <v>49</v>
      </c>
      <c r="R690" t="s">
        <v>50</v>
      </c>
      <c r="S690" t="s">
        <v>28</v>
      </c>
      <c r="T690" t="s">
        <v>2819</v>
      </c>
      <c r="U690" t="s">
        <v>2818</v>
      </c>
    </row>
    <row r="691" spans="1:21" x14ac:dyDescent="0.25">
      <c r="A691" t="s">
        <v>195</v>
      </c>
      <c r="B691" t="s">
        <v>1003</v>
      </c>
      <c r="C691">
        <v>104.86</v>
      </c>
      <c r="D691">
        <v>1</v>
      </c>
      <c r="E691">
        <v>0</v>
      </c>
      <c r="F691" t="s">
        <v>2814</v>
      </c>
      <c r="G691">
        <v>233.72</v>
      </c>
      <c r="H691">
        <v>24</v>
      </c>
      <c r="I691" t="s">
        <v>628</v>
      </c>
      <c r="J691" t="s">
        <v>2815</v>
      </c>
      <c r="K691" t="s">
        <v>2816</v>
      </c>
      <c r="L691" t="s">
        <v>640</v>
      </c>
      <c r="M691" t="s">
        <v>2817</v>
      </c>
      <c r="N691" t="s">
        <v>2818</v>
      </c>
      <c r="O691" t="s">
        <v>27</v>
      </c>
      <c r="P691" t="s">
        <v>48</v>
      </c>
      <c r="Q691" t="s">
        <v>49</v>
      </c>
      <c r="R691" t="s">
        <v>50</v>
      </c>
      <c r="S691" t="s">
        <v>28</v>
      </c>
      <c r="T691" t="s">
        <v>2819</v>
      </c>
      <c r="U691" t="s">
        <v>2818</v>
      </c>
    </row>
    <row r="692" spans="1:21" x14ac:dyDescent="0.25">
      <c r="A692" t="s">
        <v>2820</v>
      </c>
      <c r="B692" t="s">
        <v>2821</v>
      </c>
      <c r="C692">
        <v>100</v>
      </c>
      <c r="D692">
        <v>3</v>
      </c>
      <c r="E692">
        <v>0</v>
      </c>
      <c r="F692" t="s">
        <v>2822</v>
      </c>
      <c r="G692">
        <v>300</v>
      </c>
      <c r="H692">
        <v>0</v>
      </c>
      <c r="I692" t="s">
        <v>140</v>
      </c>
      <c r="J692" t="s">
        <v>2823</v>
      </c>
      <c r="K692" t="s">
        <v>418</v>
      </c>
      <c r="L692" t="s">
        <v>27</v>
      </c>
      <c r="M692" t="s">
        <v>28</v>
      </c>
      <c r="N692" t="s">
        <v>2824</v>
      </c>
      <c r="O692" t="s">
        <v>27</v>
      </c>
      <c r="P692" t="s">
        <v>30</v>
      </c>
      <c r="Q692" t="s">
        <v>31</v>
      </c>
      <c r="R692" t="s">
        <v>32</v>
      </c>
      <c r="S692" t="s">
        <v>28</v>
      </c>
      <c r="T692" t="s">
        <v>2825</v>
      </c>
      <c r="U692" t="s">
        <v>2824</v>
      </c>
    </row>
    <row r="693" spans="1:21" x14ac:dyDescent="0.25">
      <c r="A693" t="s">
        <v>2820</v>
      </c>
      <c r="B693" t="s">
        <v>2821</v>
      </c>
      <c r="C693">
        <v>100</v>
      </c>
      <c r="D693">
        <v>1</v>
      </c>
      <c r="E693">
        <v>0</v>
      </c>
      <c r="F693" t="s">
        <v>2826</v>
      </c>
      <c r="G693">
        <v>125</v>
      </c>
      <c r="H693">
        <v>25</v>
      </c>
      <c r="I693" t="s">
        <v>140</v>
      </c>
      <c r="J693" t="s">
        <v>2827</v>
      </c>
      <c r="K693" t="s">
        <v>1602</v>
      </c>
      <c r="L693" t="s">
        <v>27</v>
      </c>
      <c r="M693" t="s">
        <v>28</v>
      </c>
      <c r="N693" t="s">
        <v>2824</v>
      </c>
      <c r="O693" t="s">
        <v>27</v>
      </c>
      <c r="P693" t="s">
        <v>30</v>
      </c>
      <c r="Q693" t="s">
        <v>31</v>
      </c>
      <c r="R693" t="s">
        <v>32</v>
      </c>
      <c r="S693" t="s">
        <v>28</v>
      </c>
      <c r="T693" t="s">
        <v>2828</v>
      </c>
      <c r="U693" t="s">
        <v>2824</v>
      </c>
    </row>
    <row r="694" spans="1:21" x14ac:dyDescent="0.25">
      <c r="A694" t="s">
        <v>21</v>
      </c>
      <c r="B694" t="s">
        <v>22</v>
      </c>
      <c r="C694">
        <v>100</v>
      </c>
      <c r="D694">
        <v>1</v>
      </c>
      <c r="E694">
        <v>0</v>
      </c>
      <c r="F694" t="s">
        <v>2829</v>
      </c>
      <c r="G694">
        <v>100</v>
      </c>
      <c r="H694">
        <v>0</v>
      </c>
      <c r="I694" t="s">
        <v>140</v>
      </c>
      <c r="J694" t="s">
        <v>2830</v>
      </c>
      <c r="K694" t="s">
        <v>342</v>
      </c>
      <c r="L694" t="s">
        <v>27</v>
      </c>
      <c r="M694" t="s">
        <v>28</v>
      </c>
      <c r="N694" t="s">
        <v>2831</v>
      </c>
      <c r="O694" t="s">
        <v>27</v>
      </c>
      <c r="P694" t="s">
        <v>369</v>
      </c>
      <c r="Q694" t="s">
        <v>31</v>
      </c>
      <c r="R694" t="s">
        <v>57</v>
      </c>
      <c r="S694" t="s">
        <v>28</v>
      </c>
      <c r="T694" t="s">
        <v>2832</v>
      </c>
      <c r="U694" t="s">
        <v>2833</v>
      </c>
    </row>
    <row r="695" spans="1:21" x14ac:dyDescent="0.25">
      <c r="A695" t="s">
        <v>143</v>
      </c>
      <c r="B695" t="s">
        <v>144</v>
      </c>
      <c r="C695">
        <v>200</v>
      </c>
      <c r="D695">
        <v>1</v>
      </c>
      <c r="E695">
        <v>0</v>
      </c>
      <c r="F695" t="s">
        <v>2834</v>
      </c>
      <c r="G695">
        <v>200</v>
      </c>
      <c r="H695">
        <v>0</v>
      </c>
      <c r="I695" t="s">
        <v>24</v>
      </c>
      <c r="J695" t="s">
        <v>2835</v>
      </c>
      <c r="K695" t="s">
        <v>118</v>
      </c>
      <c r="L695" t="s">
        <v>27</v>
      </c>
      <c r="M695" t="s">
        <v>28</v>
      </c>
      <c r="N695" t="s">
        <v>2836</v>
      </c>
      <c r="O695" t="s">
        <v>27</v>
      </c>
      <c r="P695" t="s">
        <v>56</v>
      </c>
      <c r="Q695" t="s">
        <v>31</v>
      </c>
      <c r="R695" t="s">
        <v>57</v>
      </c>
      <c r="S695" t="s">
        <v>28</v>
      </c>
      <c r="T695" t="s">
        <v>2837</v>
      </c>
      <c r="U695" t="s">
        <v>2836</v>
      </c>
    </row>
    <row r="696" spans="1:21" x14ac:dyDescent="0.25">
      <c r="A696" t="s">
        <v>21</v>
      </c>
      <c r="B696" t="s">
        <v>22</v>
      </c>
      <c r="C696">
        <v>100</v>
      </c>
      <c r="D696">
        <v>1</v>
      </c>
      <c r="E696">
        <v>0</v>
      </c>
      <c r="F696" t="s">
        <v>2838</v>
      </c>
      <c r="G696">
        <v>106</v>
      </c>
      <c r="H696">
        <v>6</v>
      </c>
      <c r="I696" t="s">
        <v>140</v>
      </c>
      <c r="J696" t="s">
        <v>2839</v>
      </c>
      <c r="K696" t="s">
        <v>89</v>
      </c>
      <c r="L696" t="s">
        <v>27</v>
      </c>
      <c r="M696" t="s">
        <v>28</v>
      </c>
      <c r="N696" t="s">
        <v>2840</v>
      </c>
      <c r="O696" t="s">
        <v>27</v>
      </c>
      <c r="P696" t="s">
        <v>369</v>
      </c>
      <c r="Q696" t="s">
        <v>31</v>
      </c>
      <c r="R696" t="s">
        <v>57</v>
      </c>
      <c r="S696" t="s">
        <v>28</v>
      </c>
      <c r="T696" t="s">
        <v>2841</v>
      </c>
      <c r="U696" t="s">
        <v>2840</v>
      </c>
    </row>
    <row r="697" spans="1:21" x14ac:dyDescent="0.25">
      <c r="A697" t="s">
        <v>33</v>
      </c>
      <c r="B697" t="s">
        <v>34</v>
      </c>
      <c r="C697">
        <v>200</v>
      </c>
      <c r="D697">
        <v>1</v>
      </c>
      <c r="E697">
        <v>0</v>
      </c>
      <c r="F697" t="s">
        <v>2842</v>
      </c>
      <c r="G697">
        <v>200</v>
      </c>
      <c r="H697">
        <v>0</v>
      </c>
      <c r="I697" t="s">
        <v>445</v>
      </c>
      <c r="J697" t="s">
        <v>2843</v>
      </c>
      <c r="K697" t="s">
        <v>54</v>
      </c>
      <c r="L697" t="s">
        <v>27</v>
      </c>
      <c r="M697" t="s">
        <v>28</v>
      </c>
      <c r="N697" t="s">
        <v>2840</v>
      </c>
      <c r="O697" t="s">
        <v>27</v>
      </c>
      <c r="P697" t="s">
        <v>39</v>
      </c>
      <c r="Q697" t="s">
        <v>31</v>
      </c>
      <c r="R697" t="s">
        <v>32</v>
      </c>
      <c r="S697" t="s">
        <v>28</v>
      </c>
      <c r="T697" t="s">
        <v>2844</v>
      </c>
      <c r="U697" t="s">
        <v>2840</v>
      </c>
    </row>
    <row r="698" spans="1:21" x14ac:dyDescent="0.25">
      <c r="A698" t="s">
        <v>21</v>
      </c>
      <c r="B698" t="s">
        <v>22</v>
      </c>
      <c r="C698">
        <v>100</v>
      </c>
      <c r="D698">
        <v>1</v>
      </c>
      <c r="E698">
        <v>0</v>
      </c>
      <c r="F698" t="s">
        <v>2845</v>
      </c>
      <c r="G698">
        <v>106</v>
      </c>
      <c r="H698">
        <v>6</v>
      </c>
      <c r="I698" t="s">
        <v>140</v>
      </c>
      <c r="J698" t="s">
        <v>2846</v>
      </c>
      <c r="K698" t="s">
        <v>346</v>
      </c>
      <c r="L698" t="s">
        <v>27</v>
      </c>
      <c r="M698" t="s">
        <v>28</v>
      </c>
      <c r="N698" t="s">
        <v>2847</v>
      </c>
      <c r="O698" t="s">
        <v>27</v>
      </c>
      <c r="P698" t="s">
        <v>30</v>
      </c>
      <c r="Q698" t="s">
        <v>31</v>
      </c>
      <c r="R698" t="s">
        <v>32</v>
      </c>
      <c r="S698" t="s">
        <v>28</v>
      </c>
      <c r="T698" t="s">
        <v>2848</v>
      </c>
      <c r="U698" t="s">
        <v>2847</v>
      </c>
    </row>
    <row r="699" spans="1:21" x14ac:dyDescent="0.25">
      <c r="A699" t="s">
        <v>94</v>
      </c>
      <c r="B699" t="s">
        <v>95</v>
      </c>
      <c r="C699">
        <v>74.400000000000006</v>
      </c>
      <c r="D699">
        <v>1</v>
      </c>
      <c r="E699">
        <v>0</v>
      </c>
      <c r="F699" t="s">
        <v>2849</v>
      </c>
      <c r="G699">
        <v>247.2</v>
      </c>
      <c r="H699">
        <v>24</v>
      </c>
      <c r="I699" t="s">
        <v>24</v>
      </c>
      <c r="J699" t="s">
        <v>2850</v>
      </c>
      <c r="K699" t="s">
        <v>2851</v>
      </c>
      <c r="L699" t="s">
        <v>190</v>
      </c>
      <c r="M699" t="s">
        <v>2852</v>
      </c>
      <c r="N699" t="s">
        <v>2840</v>
      </c>
      <c r="O699" t="s">
        <v>27</v>
      </c>
      <c r="P699" t="s">
        <v>48</v>
      </c>
      <c r="Q699" t="s">
        <v>49</v>
      </c>
      <c r="R699" t="s">
        <v>50</v>
      </c>
      <c r="S699" t="s">
        <v>28</v>
      </c>
      <c r="T699" t="s">
        <v>2853</v>
      </c>
      <c r="U699" t="s">
        <v>2847</v>
      </c>
    </row>
    <row r="700" spans="1:21" x14ac:dyDescent="0.25">
      <c r="A700" t="s">
        <v>94</v>
      </c>
      <c r="B700" t="s">
        <v>95</v>
      </c>
      <c r="C700">
        <v>74.400000000000006</v>
      </c>
      <c r="D700">
        <v>1</v>
      </c>
      <c r="E700">
        <v>0</v>
      </c>
      <c r="F700" t="s">
        <v>2849</v>
      </c>
      <c r="G700">
        <v>247.2</v>
      </c>
      <c r="H700">
        <v>24</v>
      </c>
      <c r="I700" t="s">
        <v>24</v>
      </c>
      <c r="J700" t="s">
        <v>2850</v>
      </c>
      <c r="K700" t="s">
        <v>2851</v>
      </c>
      <c r="L700" t="s">
        <v>190</v>
      </c>
      <c r="M700" t="s">
        <v>2852</v>
      </c>
      <c r="N700" t="s">
        <v>2840</v>
      </c>
      <c r="O700" t="s">
        <v>27</v>
      </c>
      <c r="P700" t="s">
        <v>48</v>
      </c>
      <c r="Q700" t="s">
        <v>49</v>
      </c>
      <c r="R700" t="s">
        <v>50</v>
      </c>
      <c r="S700" t="s">
        <v>28</v>
      </c>
      <c r="T700" t="s">
        <v>2853</v>
      </c>
      <c r="U700" t="s">
        <v>2847</v>
      </c>
    </row>
    <row r="701" spans="1:21" x14ac:dyDescent="0.25">
      <c r="A701" t="s">
        <v>94</v>
      </c>
      <c r="B701" t="s">
        <v>95</v>
      </c>
      <c r="C701">
        <v>74.400000000000006</v>
      </c>
      <c r="D701">
        <v>1</v>
      </c>
      <c r="E701">
        <v>0</v>
      </c>
      <c r="F701" t="s">
        <v>2849</v>
      </c>
      <c r="G701">
        <v>247.2</v>
      </c>
      <c r="H701">
        <v>24</v>
      </c>
      <c r="I701" t="s">
        <v>24</v>
      </c>
      <c r="J701" t="s">
        <v>2850</v>
      </c>
      <c r="K701" t="s">
        <v>2851</v>
      </c>
      <c r="L701" t="s">
        <v>190</v>
      </c>
      <c r="M701" t="s">
        <v>2852</v>
      </c>
      <c r="N701" t="s">
        <v>2840</v>
      </c>
      <c r="O701" t="s">
        <v>27</v>
      </c>
      <c r="P701" t="s">
        <v>48</v>
      </c>
      <c r="Q701" t="s">
        <v>49</v>
      </c>
      <c r="R701" t="s">
        <v>50</v>
      </c>
      <c r="S701" t="s">
        <v>28</v>
      </c>
      <c r="T701" t="s">
        <v>2853</v>
      </c>
      <c r="U701" t="s">
        <v>2847</v>
      </c>
    </row>
    <row r="702" spans="1:21" x14ac:dyDescent="0.25">
      <c r="A702" t="s">
        <v>2295</v>
      </c>
      <c r="B702" t="s">
        <v>2854</v>
      </c>
      <c r="C702">
        <v>160.61000000000001</v>
      </c>
      <c r="D702">
        <v>1</v>
      </c>
      <c r="E702">
        <v>0</v>
      </c>
      <c r="F702" t="s">
        <v>2855</v>
      </c>
      <c r="G702">
        <v>165.61</v>
      </c>
      <c r="H702">
        <v>5</v>
      </c>
      <c r="I702" t="s">
        <v>2856</v>
      </c>
      <c r="J702" t="s">
        <v>2857</v>
      </c>
      <c r="K702" t="s">
        <v>2858</v>
      </c>
      <c r="L702" t="s">
        <v>2859</v>
      </c>
      <c r="M702" t="s">
        <v>2860</v>
      </c>
      <c r="N702" t="s">
        <v>2861</v>
      </c>
      <c r="O702" t="s">
        <v>27</v>
      </c>
      <c r="P702" t="s">
        <v>48</v>
      </c>
      <c r="Q702" t="s">
        <v>49</v>
      </c>
      <c r="R702" t="s">
        <v>50</v>
      </c>
      <c r="S702" t="s">
        <v>28</v>
      </c>
      <c r="T702" t="s">
        <v>2862</v>
      </c>
      <c r="U702" t="s">
        <v>2861</v>
      </c>
    </row>
    <row r="703" spans="1:21" x14ac:dyDescent="0.25">
      <c r="A703" t="s">
        <v>33</v>
      </c>
      <c r="B703" t="s">
        <v>34</v>
      </c>
      <c r="C703">
        <v>200</v>
      </c>
      <c r="D703">
        <v>1</v>
      </c>
      <c r="E703">
        <v>0</v>
      </c>
      <c r="F703" t="s">
        <v>2863</v>
      </c>
      <c r="G703">
        <v>200</v>
      </c>
      <c r="H703">
        <v>0</v>
      </c>
      <c r="I703" t="s">
        <v>24</v>
      </c>
      <c r="J703" t="s">
        <v>2864</v>
      </c>
      <c r="K703" t="s">
        <v>2865</v>
      </c>
      <c r="L703" t="s">
        <v>27</v>
      </c>
      <c r="M703" t="s">
        <v>28</v>
      </c>
      <c r="N703" t="s">
        <v>2866</v>
      </c>
      <c r="O703" t="s">
        <v>27</v>
      </c>
      <c r="P703" t="s">
        <v>56</v>
      </c>
      <c r="Q703" t="s">
        <v>31</v>
      </c>
      <c r="R703" t="s">
        <v>57</v>
      </c>
      <c r="S703" t="s">
        <v>28</v>
      </c>
      <c r="T703" t="s">
        <v>2867</v>
      </c>
      <c r="U703" t="s">
        <v>2868</v>
      </c>
    </row>
    <row r="704" spans="1:21" x14ac:dyDescent="0.25">
      <c r="A704" t="s">
        <v>63</v>
      </c>
      <c r="B704" t="s">
        <v>64</v>
      </c>
      <c r="C704">
        <v>100</v>
      </c>
      <c r="D704">
        <v>1</v>
      </c>
      <c r="E704">
        <v>0</v>
      </c>
      <c r="F704" t="s">
        <v>2869</v>
      </c>
      <c r="G704">
        <v>129</v>
      </c>
      <c r="H704">
        <v>29</v>
      </c>
      <c r="I704" t="s">
        <v>445</v>
      </c>
      <c r="J704" t="s">
        <v>2870</v>
      </c>
      <c r="K704" t="s">
        <v>247</v>
      </c>
      <c r="L704" t="s">
        <v>27</v>
      </c>
      <c r="M704" t="s">
        <v>28</v>
      </c>
      <c r="N704" t="s">
        <v>2871</v>
      </c>
      <c r="O704" t="s">
        <v>27</v>
      </c>
      <c r="P704" t="s">
        <v>39</v>
      </c>
      <c r="Q704" t="s">
        <v>31</v>
      </c>
      <c r="R704" t="s">
        <v>32</v>
      </c>
      <c r="S704" t="s">
        <v>28</v>
      </c>
      <c r="T704" t="s">
        <v>2872</v>
      </c>
      <c r="U704" t="s">
        <v>2871</v>
      </c>
    </row>
    <row r="705" spans="1:21" x14ac:dyDescent="0.25">
      <c r="A705" t="s">
        <v>2873</v>
      </c>
      <c r="B705" t="s">
        <v>2874</v>
      </c>
      <c r="C705">
        <v>280</v>
      </c>
      <c r="D705">
        <v>1</v>
      </c>
      <c r="E705">
        <v>0</v>
      </c>
      <c r="F705" t="s">
        <v>2875</v>
      </c>
      <c r="G705">
        <v>321</v>
      </c>
      <c r="H705">
        <v>41</v>
      </c>
      <c r="I705" t="s">
        <v>445</v>
      </c>
      <c r="J705" t="s">
        <v>2876</v>
      </c>
      <c r="K705" t="s">
        <v>2877</v>
      </c>
      <c r="L705" t="s">
        <v>2878</v>
      </c>
      <c r="M705" t="s">
        <v>2879</v>
      </c>
      <c r="N705" t="s">
        <v>2880</v>
      </c>
      <c r="O705" t="s">
        <v>27</v>
      </c>
      <c r="P705" t="s">
        <v>84</v>
      </c>
      <c r="Q705" t="s">
        <v>85</v>
      </c>
      <c r="R705" t="s">
        <v>86</v>
      </c>
      <c r="S705" t="s">
        <v>28</v>
      </c>
      <c r="T705" t="s">
        <v>2881</v>
      </c>
      <c r="U705" t="s">
        <v>2880</v>
      </c>
    </row>
    <row r="706" spans="1:21" x14ac:dyDescent="0.25">
      <c r="A706" t="s">
        <v>58</v>
      </c>
      <c r="B706" t="s">
        <v>58</v>
      </c>
      <c r="C706">
        <v>130</v>
      </c>
      <c r="D706">
        <v>1</v>
      </c>
      <c r="E706">
        <v>0</v>
      </c>
      <c r="F706" t="s">
        <v>2882</v>
      </c>
      <c r="G706">
        <v>363</v>
      </c>
      <c r="H706">
        <v>3</v>
      </c>
      <c r="I706" t="s">
        <v>445</v>
      </c>
      <c r="J706" t="s">
        <v>2883</v>
      </c>
      <c r="K706" t="s">
        <v>2884</v>
      </c>
      <c r="L706" t="s">
        <v>2885</v>
      </c>
      <c r="M706" t="s">
        <v>2886</v>
      </c>
      <c r="N706" t="s">
        <v>2880</v>
      </c>
      <c r="O706" t="s">
        <v>27</v>
      </c>
      <c r="P706" t="s">
        <v>84</v>
      </c>
      <c r="Q706" t="s">
        <v>85</v>
      </c>
      <c r="R706" t="s">
        <v>86</v>
      </c>
      <c r="S706" t="s">
        <v>28</v>
      </c>
      <c r="T706" t="s">
        <v>2887</v>
      </c>
      <c r="U706" t="s">
        <v>2880</v>
      </c>
    </row>
    <row r="707" spans="1:21" x14ac:dyDescent="0.25">
      <c r="A707" t="s">
        <v>195</v>
      </c>
      <c r="B707" t="s">
        <v>196</v>
      </c>
      <c r="C707">
        <v>230</v>
      </c>
      <c r="D707">
        <v>1</v>
      </c>
      <c r="E707">
        <v>0</v>
      </c>
      <c r="F707" t="s">
        <v>2882</v>
      </c>
      <c r="G707">
        <v>363</v>
      </c>
      <c r="H707">
        <v>3</v>
      </c>
      <c r="I707" t="s">
        <v>445</v>
      </c>
      <c r="J707" t="s">
        <v>2883</v>
      </c>
      <c r="K707" t="s">
        <v>2884</v>
      </c>
      <c r="L707" t="s">
        <v>2885</v>
      </c>
      <c r="M707" t="s">
        <v>2886</v>
      </c>
      <c r="N707" t="s">
        <v>2880</v>
      </c>
      <c r="O707" t="s">
        <v>27</v>
      </c>
      <c r="P707" t="s">
        <v>84</v>
      </c>
      <c r="Q707" t="s">
        <v>85</v>
      </c>
      <c r="R707" t="s">
        <v>86</v>
      </c>
      <c r="S707" t="s">
        <v>28</v>
      </c>
      <c r="T707" t="s">
        <v>2887</v>
      </c>
      <c r="U707" t="s">
        <v>2880</v>
      </c>
    </row>
    <row r="708" spans="1:21" x14ac:dyDescent="0.25">
      <c r="A708" t="s">
        <v>21</v>
      </c>
      <c r="B708" t="s">
        <v>22</v>
      </c>
      <c r="C708">
        <v>100</v>
      </c>
      <c r="D708">
        <v>1</v>
      </c>
      <c r="E708">
        <v>0</v>
      </c>
      <c r="F708" t="s">
        <v>2888</v>
      </c>
      <c r="G708">
        <v>106</v>
      </c>
      <c r="H708">
        <v>6</v>
      </c>
      <c r="I708" t="s">
        <v>24</v>
      </c>
      <c r="J708" t="s">
        <v>2889</v>
      </c>
      <c r="K708" t="s">
        <v>118</v>
      </c>
      <c r="L708" t="s">
        <v>27</v>
      </c>
      <c r="M708" t="s">
        <v>28</v>
      </c>
      <c r="N708" t="s">
        <v>2880</v>
      </c>
      <c r="O708" t="s">
        <v>27</v>
      </c>
      <c r="P708" t="s">
        <v>39</v>
      </c>
      <c r="Q708" t="s">
        <v>31</v>
      </c>
      <c r="R708" t="s">
        <v>32</v>
      </c>
      <c r="S708" t="s">
        <v>28</v>
      </c>
      <c r="T708" t="s">
        <v>2890</v>
      </c>
      <c r="U708" t="s">
        <v>2880</v>
      </c>
    </row>
    <row r="709" spans="1:21" x14ac:dyDescent="0.25">
      <c r="A709" t="s">
        <v>21</v>
      </c>
      <c r="B709" t="s">
        <v>22</v>
      </c>
      <c r="C709">
        <v>100</v>
      </c>
      <c r="D709">
        <v>1</v>
      </c>
      <c r="E709">
        <v>0</v>
      </c>
      <c r="F709" t="s">
        <v>2891</v>
      </c>
      <c r="G709">
        <v>100</v>
      </c>
      <c r="H709">
        <v>0</v>
      </c>
      <c r="I709" t="s">
        <v>24</v>
      </c>
      <c r="J709" t="s">
        <v>2892</v>
      </c>
      <c r="K709" t="s">
        <v>384</v>
      </c>
      <c r="L709" t="s">
        <v>27</v>
      </c>
      <c r="M709" t="s">
        <v>28</v>
      </c>
      <c r="N709" t="s">
        <v>2893</v>
      </c>
      <c r="O709" t="s">
        <v>27</v>
      </c>
      <c r="P709" t="s">
        <v>39</v>
      </c>
      <c r="Q709" t="s">
        <v>31</v>
      </c>
      <c r="R709" t="s">
        <v>32</v>
      </c>
      <c r="S709" t="s">
        <v>28</v>
      </c>
      <c r="T709" t="s">
        <v>2894</v>
      </c>
      <c r="U709" t="s">
        <v>2893</v>
      </c>
    </row>
    <row r="710" spans="1:21" x14ac:dyDescent="0.25">
      <c r="A710" t="s">
        <v>21</v>
      </c>
      <c r="B710" t="s">
        <v>22</v>
      </c>
      <c r="C710">
        <v>100</v>
      </c>
      <c r="D710">
        <v>1</v>
      </c>
      <c r="E710">
        <v>0</v>
      </c>
      <c r="F710" t="s">
        <v>2895</v>
      </c>
      <c r="G710">
        <v>106</v>
      </c>
      <c r="H710">
        <v>6</v>
      </c>
      <c r="I710" t="s">
        <v>24</v>
      </c>
      <c r="J710" t="s">
        <v>2896</v>
      </c>
      <c r="K710" t="s">
        <v>2897</v>
      </c>
      <c r="L710" t="s">
        <v>27</v>
      </c>
      <c r="M710" t="s">
        <v>28</v>
      </c>
      <c r="N710" t="s">
        <v>2898</v>
      </c>
      <c r="O710" t="s">
        <v>27</v>
      </c>
      <c r="P710" t="s">
        <v>39</v>
      </c>
      <c r="Q710" t="s">
        <v>31</v>
      </c>
      <c r="R710" t="s">
        <v>32</v>
      </c>
      <c r="S710" t="s">
        <v>28</v>
      </c>
      <c r="T710" t="s">
        <v>2899</v>
      </c>
      <c r="U710" t="s">
        <v>2898</v>
      </c>
    </row>
    <row r="711" spans="1:21" x14ac:dyDescent="0.25">
      <c r="A711" t="s">
        <v>21</v>
      </c>
      <c r="B711" t="s">
        <v>22</v>
      </c>
      <c r="C711">
        <v>100</v>
      </c>
      <c r="D711">
        <v>1</v>
      </c>
      <c r="E711">
        <v>0</v>
      </c>
      <c r="F711" t="s">
        <v>2900</v>
      </c>
      <c r="G711">
        <v>106</v>
      </c>
      <c r="H711">
        <v>6</v>
      </c>
      <c r="I711" t="s">
        <v>24</v>
      </c>
      <c r="J711" t="s">
        <v>2901</v>
      </c>
      <c r="K711" t="s">
        <v>1190</v>
      </c>
      <c r="L711" t="s">
        <v>27</v>
      </c>
      <c r="M711" t="s">
        <v>28</v>
      </c>
      <c r="N711" t="s">
        <v>2902</v>
      </c>
      <c r="O711" t="s">
        <v>27</v>
      </c>
      <c r="P711" t="s">
        <v>30</v>
      </c>
      <c r="Q711" t="s">
        <v>31</v>
      </c>
      <c r="R711" t="s">
        <v>32</v>
      </c>
      <c r="S711" t="s">
        <v>28</v>
      </c>
      <c r="T711" t="s">
        <v>2903</v>
      </c>
      <c r="U711" t="s">
        <v>2902</v>
      </c>
    </row>
    <row r="712" spans="1:21" x14ac:dyDescent="0.25">
      <c r="A712" t="s">
        <v>475</v>
      </c>
      <c r="B712" t="s">
        <v>476</v>
      </c>
      <c r="C712">
        <v>199</v>
      </c>
      <c r="D712">
        <v>2</v>
      </c>
      <c r="E712">
        <v>0</v>
      </c>
      <c r="F712" t="s">
        <v>2904</v>
      </c>
      <c r="G712">
        <v>446</v>
      </c>
      <c r="H712">
        <v>48</v>
      </c>
      <c r="I712" t="s">
        <v>24</v>
      </c>
      <c r="J712" t="s">
        <v>2905</v>
      </c>
      <c r="K712" t="s">
        <v>2906</v>
      </c>
      <c r="L712" t="s">
        <v>2291</v>
      </c>
      <c r="M712" t="s">
        <v>2907</v>
      </c>
      <c r="N712" t="s">
        <v>2908</v>
      </c>
      <c r="O712" t="s">
        <v>27</v>
      </c>
      <c r="P712" t="s">
        <v>193</v>
      </c>
      <c r="Q712" t="s">
        <v>85</v>
      </c>
      <c r="R712" t="s">
        <v>86</v>
      </c>
      <c r="S712" t="s">
        <v>28</v>
      </c>
      <c r="T712" t="s">
        <v>2909</v>
      </c>
      <c r="U712" t="s">
        <v>2908</v>
      </c>
    </row>
    <row r="713" spans="1:21" x14ac:dyDescent="0.25">
      <c r="A713" t="s">
        <v>21</v>
      </c>
      <c r="B713" t="s">
        <v>22</v>
      </c>
      <c r="C713">
        <v>100</v>
      </c>
      <c r="D713">
        <v>1</v>
      </c>
      <c r="E713">
        <v>0</v>
      </c>
      <c r="F713" t="s">
        <v>2910</v>
      </c>
      <c r="G713">
        <v>129</v>
      </c>
      <c r="H713">
        <v>29</v>
      </c>
      <c r="I713" t="s">
        <v>140</v>
      </c>
      <c r="J713" t="s">
        <v>2911</v>
      </c>
      <c r="K713" t="s">
        <v>124</v>
      </c>
      <c r="L713" t="s">
        <v>27</v>
      </c>
      <c r="M713" t="s">
        <v>28</v>
      </c>
      <c r="N713" t="s">
        <v>2912</v>
      </c>
      <c r="O713" t="s">
        <v>27</v>
      </c>
      <c r="P713" t="s">
        <v>30</v>
      </c>
      <c r="Q713" t="s">
        <v>31</v>
      </c>
      <c r="R713" t="s">
        <v>32</v>
      </c>
      <c r="S713" t="s">
        <v>28</v>
      </c>
      <c r="T713" t="s">
        <v>2913</v>
      </c>
      <c r="U713" t="s">
        <v>2912</v>
      </c>
    </row>
    <row r="714" spans="1:21" x14ac:dyDescent="0.25">
      <c r="A714" t="s">
        <v>456</v>
      </c>
      <c r="B714" t="s">
        <v>1178</v>
      </c>
      <c r="C714">
        <v>142.31</v>
      </c>
      <c r="D714">
        <v>1</v>
      </c>
      <c r="E714">
        <v>0</v>
      </c>
      <c r="F714" t="s">
        <v>2914</v>
      </c>
      <c r="G714">
        <v>147.31</v>
      </c>
      <c r="H714">
        <v>5</v>
      </c>
      <c r="I714" t="s">
        <v>628</v>
      </c>
      <c r="J714" t="s">
        <v>2915</v>
      </c>
      <c r="K714" t="s">
        <v>2916</v>
      </c>
      <c r="L714" t="s">
        <v>99</v>
      </c>
      <c r="M714" t="s">
        <v>2917</v>
      </c>
      <c r="N714" t="s">
        <v>2918</v>
      </c>
      <c r="O714" t="s">
        <v>27</v>
      </c>
      <c r="P714" t="s">
        <v>48</v>
      </c>
      <c r="Q714" t="s">
        <v>49</v>
      </c>
      <c r="R714" t="s">
        <v>50</v>
      </c>
      <c r="S714" t="s">
        <v>28</v>
      </c>
      <c r="T714" t="s">
        <v>2919</v>
      </c>
      <c r="U714" t="s">
        <v>2918</v>
      </c>
    </row>
    <row r="715" spans="1:21" x14ac:dyDescent="0.25">
      <c r="A715" t="s">
        <v>58</v>
      </c>
      <c r="B715" t="s">
        <v>58</v>
      </c>
      <c r="C715">
        <v>100</v>
      </c>
      <c r="D715">
        <v>1</v>
      </c>
      <c r="E715">
        <v>0</v>
      </c>
      <c r="F715" t="s">
        <v>2920</v>
      </c>
      <c r="G715">
        <v>129</v>
      </c>
      <c r="H715">
        <v>29</v>
      </c>
      <c r="I715" t="s">
        <v>140</v>
      </c>
      <c r="J715" t="s">
        <v>2354</v>
      </c>
      <c r="K715" t="s">
        <v>753</v>
      </c>
      <c r="L715" t="s">
        <v>27</v>
      </c>
      <c r="M715" t="s">
        <v>28</v>
      </c>
      <c r="N715" t="s">
        <v>2918</v>
      </c>
      <c r="O715" t="s">
        <v>27</v>
      </c>
      <c r="P715" t="s">
        <v>369</v>
      </c>
      <c r="Q715" t="s">
        <v>31</v>
      </c>
      <c r="R715" t="s">
        <v>57</v>
      </c>
      <c r="S715" t="s">
        <v>28</v>
      </c>
      <c r="T715" t="s">
        <v>2921</v>
      </c>
      <c r="U715" t="s">
        <v>2922</v>
      </c>
    </row>
    <row r="716" spans="1:21" x14ac:dyDescent="0.25">
      <c r="A716" t="s">
        <v>63</v>
      </c>
      <c r="B716" t="s">
        <v>64</v>
      </c>
      <c r="C716">
        <v>100</v>
      </c>
      <c r="D716">
        <v>1</v>
      </c>
      <c r="E716">
        <v>0</v>
      </c>
      <c r="F716" t="s">
        <v>2923</v>
      </c>
      <c r="G716">
        <v>100</v>
      </c>
      <c r="H716">
        <v>0</v>
      </c>
      <c r="I716" t="s">
        <v>445</v>
      </c>
      <c r="J716" t="s">
        <v>2924</v>
      </c>
      <c r="K716" t="s">
        <v>758</v>
      </c>
      <c r="L716" t="s">
        <v>27</v>
      </c>
      <c r="M716" t="s">
        <v>28</v>
      </c>
      <c r="N716" t="s">
        <v>2925</v>
      </c>
      <c r="O716" t="s">
        <v>27</v>
      </c>
      <c r="P716" t="s">
        <v>39</v>
      </c>
      <c r="Q716" t="s">
        <v>31</v>
      </c>
      <c r="R716" t="s">
        <v>32</v>
      </c>
      <c r="S716" t="s">
        <v>28</v>
      </c>
      <c r="T716" t="s">
        <v>2926</v>
      </c>
      <c r="U716" t="s">
        <v>2925</v>
      </c>
    </row>
    <row r="717" spans="1:21" x14ac:dyDescent="0.25">
      <c r="A717" t="s">
        <v>40</v>
      </c>
      <c r="B717" t="s">
        <v>41</v>
      </c>
      <c r="C717">
        <v>89.93</v>
      </c>
      <c r="D717">
        <v>1</v>
      </c>
      <c r="E717">
        <v>0</v>
      </c>
      <c r="F717" t="s">
        <v>2927</v>
      </c>
      <c r="G717">
        <v>94.93</v>
      </c>
      <c r="H717">
        <v>5</v>
      </c>
      <c r="I717" t="s">
        <v>24</v>
      </c>
      <c r="J717" t="s">
        <v>2928</v>
      </c>
      <c r="K717" t="s">
        <v>2929</v>
      </c>
      <c r="L717" t="s">
        <v>2930</v>
      </c>
      <c r="M717" t="s">
        <v>2931</v>
      </c>
      <c r="N717" t="s">
        <v>2932</v>
      </c>
      <c r="O717" t="s">
        <v>27</v>
      </c>
      <c r="P717" t="s">
        <v>48</v>
      </c>
      <c r="Q717" t="s">
        <v>49</v>
      </c>
      <c r="R717" t="s">
        <v>50</v>
      </c>
      <c r="S717" t="s">
        <v>28</v>
      </c>
      <c r="T717" t="s">
        <v>2933</v>
      </c>
      <c r="U717" t="s">
        <v>2932</v>
      </c>
    </row>
    <row r="718" spans="1:21" x14ac:dyDescent="0.25">
      <c r="A718" t="s">
        <v>21</v>
      </c>
      <c r="B718" t="s">
        <v>22</v>
      </c>
      <c r="C718">
        <v>100</v>
      </c>
      <c r="D718">
        <v>2</v>
      </c>
      <c r="E718">
        <v>0</v>
      </c>
      <c r="F718" t="s">
        <v>2934</v>
      </c>
      <c r="G718">
        <v>200</v>
      </c>
      <c r="H718">
        <v>0</v>
      </c>
      <c r="I718" t="s">
        <v>24</v>
      </c>
      <c r="J718" t="s">
        <v>2935</v>
      </c>
      <c r="K718" t="s">
        <v>299</v>
      </c>
      <c r="L718" t="s">
        <v>27</v>
      </c>
      <c r="M718" t="s">
        <v>28</v>
      </c>
      <c r="N718" t="s">
        <v>2936</v>
      </c>
      <c r="O718" t="s">
        <v>27</v>
      </c>
      <c r="P718" t="s">
        <v>39</v>
      </c>
      <c r="Q718" t="s">
        <v>31</v>
      </c>
      <c r="R718" t="s">
        <v>32</v>
      </c>
      <c r="S718" t="s">
        <v>28</v>
      </c>
      <c r="T718" t="s">
        <v>2937</v>
      </c>
      <c r="U718" t="s">
        <v>2936</v>
      </c>
    </row>
    <row r="719" spans="1:21" x14ac:dyDescent="0.25">
      <c r="A719" t="s">
        <v>2820</v>
      </c>
      <c r="B719" t="s">
        <v>2821</v>
      </c>
      <c r="C719">
        <v>100</v>
      </c>
      <c r="D719">
        <v>4</v>
      </c>
      <c r="E719">
        <v>0</v>
      </c>
      <c r="F719" t="s">
        <v>2938</v>
      </c>
      <c r="G719">
        <v>414</v>
      </c>
      <c r="H719">
        <v>14</v>
      </c>
      <c r="I719" t="s">
        <v>140</v>
      </c>
      <c r="J719" t="s">
        <v>2939</v>
      </c>
      <c r="K719" t="s">
        <v>1029</v>
      </c>
      <c r="L719" t="s">
        <v>27</v>
      </c>
      <c r="M719" t="s">
        <v>28</v>
      </c>
      <c r="N719" t="s">
        <v>2940</v>
      </c>
      <c r="O719" t="s">
        <v>27</v>
      </c>
      <c r="P719" t="s">
        <v>30</v>
      </c>
      <c r="Q719" t="s">
        <v>31</v>
      </c>
      <c r="R719" t="s">
        <v>32</v>
      </c>
      <c r="S719" t="s">
        <v>28</v>
      </c>
      <c r="T719" t="s">
        <v>2941</v>
      </c>
      <c r="U719" t="s">
        <v>2940</v>
      </c>
    </row>
    <row r="720" spans="1:21" x14ac:dyDescent="0.25">
      <c r="A720" t="s">
        <v>21</v>
      </c>
      <c r="B720" t="s">
        <v>22</v>
      </c>
      <c r="C720">
        <v>100</v>
      </c>
      <c r="D720">
        <v>1</v>
      </c>
      <c r="E720">
        <v>0</v>
      </c>
      <c r="F720" t="s">
        <v>2942</v>
      </c>
      <c r="G720">
        <v>106</v>
      </c>
      <c r="H720">
        <v>6</v>
      </c>
      <c r="I720" t="s">
        <v>24</v>
      </c>
      <c r="J720" t="s">
        <v>2943</v>
      </c>
      <c r="K720" t="s">
        <v>321</v>
      </c>
      <c r="L720" t="s">
        <v>27</v>
      </c>
      <c r="M720" t="s">
        <v>28</v>
      </c>
      <c r="N720" t="s">
        <v>2936</v>
      </c>
      <c r="O720" t="s">
        <v>27</v>
      </c>
      <c r="P720" t="s">
        <v>56</v>
      </c>
      <c r="Q720" t="s">
        <v>31</v>
      </c>
      <c r="R720" t="s">
        <v>57</v>
      </c>
      <c r="S720" t="s">
        <v>28</v>
      </c>
      <c r="T720" t="s">
        <v>2944</v>
      </c>
      <c r="U720" t="s">
        <v>2945</v>
      </c>
    </row>
    <row r="721" spans="1:21" x14ac:dyDescent="0.25">
      <c r="A721" t="s">
        <v>2946</v>
      </c>
      <c r="B721" t="s">
        <v>2947</v>
      </c>
      <c r="C721">
        <v>100</v>
      </c>
      <c r="D721">
        <v>1</v>
      </c>
      <c r="E721">
        <v>0</v>
      </c>
      <c r="F721" t="s">
        <v>2948</v>
      </c>
      <c r="G721">
        <v>106</v>
      </c>
      <c r="H721">
        <v>6</v>
      </c>
      <c r="I721" t="s">
        <v>140</v>
      </c>
      <c r="J721" t="s">
        <v>2949</v>
      </c>
      <c r="K721" t="s">
        <v>241</v>
      </c>
      <c r="L721" t="s">
        <v>27</v>
      </c>
      <c r="M721" t="s">
        <v>28</v>
      </c>
      <c r="N721" t="s">
        <v>2950</v>
      </c>
      <c r="O721" t="s">
        <v>27</v>
      </c>
      <c r="P721" t="s">
        <v>30</v>
      </c>
      <c r="Q721" t="s">
        <v>31</v>
      </c>
      <c r="R721" t="s">
        <v>32</v>
      </c>
      <c r="S721" t="s">
        <v>28</v>
      </c>
      <c r="T721" t="s">
        <v>2951</v>
      </c>
      <c r="U721" t="s">
        <v>2950</v>
      </c>
    </row>
    <row r="722" spans="1:21" x14ac:dyDescent="0.25">
      <c r="A722" t="s">
        <v>58</v>
      </c>
      <c r="B722" t="s">
        <v>58</v>
      </c>
      <c r="C722">
        <v>100</v>
      </c>
      <c r="D722">
        <v>1</v>
      </c>
      <c r="E722">
        <v>0</v>
      </c>
      <c r="F722" t="s">
        <v>2952</v>
      </c>
      <c r="G722">
        <v>106</v>
      </c>
      <c r="H722">
        <v>6</v>
      </c>
      <c r="I722" t="s">
        <v>140</v>
      </c>
      <c r="J722" t="s">
        <v>2953</v>
      </c>
      <c r="K722" t="s">
        <v>466</v>
      </c>
      <c r="L722" t="s">
        <v>27</v>
      </c>
      <c r="M722" t="s">
        <v>28</v>
      </c>
      <c r="N722" t="s">
        <v>2954</v>
      </c>
      <c r="O722" t="s">
        <v>27</v>
      </c>
      <c r="P722" t="s">
        <v>30</v>
      </c>
      <c r="Q722" t="s">
        <v>31</v>
      </c>
      <c r="R722" t="s">
        <v>32</v>
      </c>
      <c r="S722" t="s">
        <v>28</v>
      </c>
      <c r="T722" t="s">
        <v>2955</v>
      </c>
      <c r="U722" t="s">
        <v>2954</v>
      </c>
    </row>
    <row r="723" spans="1:21" x14ac:dyDescent="0.25">
      <c r="A723" t="s">
        <v>21</v>
      </c>
      <c r="B723" t="s">
        <v>22</v>
      </c>
      <c r="C723">
        <v>100</v>
      </c>
      <c r="D723">
        <v>1</v>
      </c>
      <c r="E723">
        <v>0</v>
      </c>
      <c r="F723" t="s">
        <v>2956</v>
      </c>
      <c r="G723">
        <v>106</v>
      </c>
      <c r="H723">
        <v>6</v>
      </c>
      <c r="I723" t="s">
        <v>24</v>
      </c>
      <c r="J723" t="s">
        <v>2957</v>
      </c>
      <c r="K723" t="s">
        <v>285</v>
      </c>
      <c r="L723" t="s">
        <v>27</v>
      </c>
      <c r="M723" t="s">
        <v>28</v>
      </c>
      <c r="N723" t="s">
        <v>2958</v>
      </c>
      <c r="O723" t="s">
        <v>27</v>
      </c>
      <c r="P723" t="s">
        <v>369</v>
      </c>
      <c r="Q723" t="s">
        <v>31</v>
      </c>
      <c r="R723" t="s">
        <v>57</v>
      </c>
      <c r="S723" t="s">
        <v>28</v>
      </c>
      <c r="T723" t="s">
        <v>2959</v>
      </c>
      <c r="U723" t="s">
        <v>2958</v>
      </c>
    </row>
    <row r="724" spans="1:21" x14ac:dyDescent="0.25">
      <c r="A724" t="s">
        <v>58</v>
      </c>
      <c r="B724" t="s">
        <v>58</v>
      </c>
      <c r="C724">
        <v>150</v>
      </c>
      <c r="D724">
        <v>1</v>
      </c>
      <c r="E724">
        <v>0</v>
      </c>
      <c r="F724" t="s">
        <v>2960</v>
      </c>
      <c r="G724">
        <v>455</v>
      </c>
      <c r="H724">
        <v>45</v>
      </c>
      <c r="I724" t="s">
        <v>24</v>
      </c>
      <c r="J724" t="s">
        <v>866</v>
      </c>
      <c r="K724" t="s">
        <v>2961</v>
      </c>
      <c r="L724" t="s">
        <v>160</v>
      </c>
      <c r="M724" t="s">
        <v>1836</v>
      </c>
      <c r="N724" t="s">
        <v>2962</v>
      </c>
      <c r="O724" t="s">
        <v>27</v>
      </c>
      <c r="P724" t="s">
        <v>84</v>
      </c>
      <c r="Q724" t="s">
        <v>85</v>
      </c>
      <c r="R724" t="s">
        <v>86</v>
      </c>
      <c r="S724" t="s">
        <v>28</v>
      </c>
      <c r="T724" t="s">
        <v>2963</v>
      </c>
      <c r="U724" t="s">
        <v>2964</v>
      </c>
    </row>
    <row r="725" spans="1:21" x14ac:dyDescent="0.25">
      <c r="A725" t="s">
        <v>499</v>
      </c>
      <c r="B725" t="s">
        <v>500</v>
      </c>
      <c r="C725">
        <v>130</v>
      </c>
      <c r="D725">
        <v>1</v>
      </c>
      <c r="E725">
        <v>0</v>
      </c>
      <c r="F725" t="s">
        <v>2960</v>
      </c>
      <c r="G725">
        <v>455</v>
      </c>
      <c r="H725">
        <v>45</v>
      </c>
      <c r="I725" t="s">
        <v>24</v>
      </c>
      <c r="J725" t="s">
        <v>866</v>
      </c>
      <c r="K725" t="s">
        <v>2961</v>
      </c>
      <c r="L725" t="s">
        <v>160</v>
      </c>
      <c r="M725" t="s">
        <v>1836</v>
      </c>
      <c r="N725" t="s">
        <v>2962</v>
      </c>
      <c r="O725" t="s">
        <v>27</v>
      </c>
      <c r="P725" t="s">
        <v>84</v>
      </c>
      <c r="Q725" t="s">
        <v>85</v>
      </c>
      <c r="R725" t="s">
        <v>86</v>
      </c>
      <c r="S725" t="s">
        <v>28</v>
      </c>
      <c r="T725" t="s">
        <v>2963</v>
      </c>
      <c r="U725" t="s">
        <v>2962</v>
      </c>
    </row>
    <row r="726" spans="1:21" x14ac:dyDescent="0.25">
      <c r="A726" t="s">
        <v>456</v>
      </c>
      <c r="B726" t="s">
        <v>1178</v>
      </c>
      <c r="C726">
        <v>119.84</v>
      </c>
      <c r="D726">
        <v>1</v>
      </c>
      <c r="E726">
        <v>0</v>
      </c>
      <c r="F726" t="s">
        <v>2965</v>
      </c>
      <c r="G726">
        <v>124.84</v>
      </c>
      <c r="H726">
        <v>5</v>
      </c>
      <c r="I726" t="s">
        <v>628</v>
      </c>
      <c r="J726" t="s">
        <v>2966</v>
      </c>
      <c r="K726" t="s">
        <v>2967</v>
      </c>
      <c r="L726" t="s">
        <v>2968</v>
      </c>
      <c r="M726" t="s">
        <v>2969</v>
      </c>
      <c r="N726" t="s">
        <v>2970</v>
      </c>
      <c r="O726" t="s">
        <v>27</v>
      </c>
      <c r="P726" t="s">
        <v>48</v>
      </c>
      <c r="Q726" t="s">
        <v>49</v>
      </c>
      <c r="R726" t="s">
        <v>50</v>
      </c>
      <c r="S726" t="s">
        <v>28</v>
      </c>
      <c r="T726" t="s">
        <v>2971</v>
      </c>
      <c r="U726" t="s">
        <v>2972</v>
      </c>
    </row>
    <row r="727" spans="1:21" x14ac:dyDescent="0.25">
      <c r="A727" t="s">
        <v>58</v>
      </c>
      <c r="B727" t="s">
        <v>58</v>
      </c>
      <c r="C727">
        <v>100</v>
      </c>
      <c r="D727">
        <v>1</v>
      </c>
      <c r="E727">
        <v>0</v>
      </c>
      <c r="F727" t="s">
        <v>2973</v>
      </c>
      <c r="G727">
        <v>100</v>
      </c>
      <c r="H727">
        <v>0</v>
      </c>
      <c r="I727" t="s">
        <v>24</v>
      </c>
      <c r="J727" t="s">
        <v>2974</v>
      </c>
      <c r="K727" t="s">
        <v>237</v>
      </c>
      <c r="L727" t="s">
        <v>27</v>
      </c>
      <c r="M727" t="s">
        <v>28</v>
      </c>
      <c r="N727" t="s">
        <v>2975</v>
      </c>
      <c r="O727" t="s">
        <v>27</v>
      </c>
      <c r="P727" t="s">
        <v>39</v>
      </c>
      <c r="Q727" t="s">
        <v>31</v>
      </c>
      <c r="R727" t="s">
        <v>32</v>
      </c>
      <c r="S727" t="s">
        <v>28</v>
      </c>
      <c r="T727" t="s">
        <v>2976</v>
      </c>
      <c r="U727" t="s">
        <v>2975</v>
      </c>
    </row>
    <row r="728" spans="1:21" x14ac:dyDescent="0.25">
      <c r="A728" t="s">
        <v>63</v>
      </c>
      <c r="B728" t="s">
        <v>64</v>
      </c>
      <c r="C728">
        <v>100</v>
      </c>
      <c r="D728">
        <v>1</v>
      </c>
      <c r="E728">
        <v>0</v>
      </c>
      <c r="F728" t="s">
        <v>2977</v>
      </c>
      <c r="G728">
        <v>106</v>
      </c>
      <c r="H728">
        <v>6</v>
      </c>
      <c r="I728" t="s">
        <v>445</v>
      </c>
      <c r="J728" t="s">
        <v>2978</v>
      </c>
      <c r="K728" t="s">
        <v>350</v>
      </c>
      <c r="L728" t="s">
        <v>27</v>
      </c>
      <c r="M728" t="s">
        <v>28</v>
      </c>
      <c r="N728" t="s">
        <v>2979</v>
      </c>
      <c r="O728" t="s">
        <v>27</v>
      </c>
      <c r="P728" t="s">
        <v>39</v>
      </c>
      <c r="Q728" t="s">
        <v>31</v>
      </c>
      <c r="R728" t="s">
        <v>32</v>
      </c>
      <c r="S728" t="s">
        <v>28</v>
      </c>
      <c r="T728" t="s">
        <v>2980</v>
      </c>
      <c r="U728" t="s">
        <v>2979</v>
      </c>
    </row>
    <row r="729" spans="1:21" x14ac:dyDescent="0.25">
      <c r="A729" t="s">
        <v>21</v>
      </c>
      <c r="B729" t="s">
        <v>22</v>
      </c>
      <c r="C729">
        <v>100</v>
      </c>
      <c r="D729">
        <v>1</v>
      </c>
      <c r="E729">
        <v>0</v>
      </c>
      <c r="F729" t="s">
        <v>2981</v>
      </c>
      <c r="G729">
        <v>106</v>
      </c>
      <c r="H729">
        <v>6</v>
      </c>
      <c r="I729" t="s">
        <v>445</v>
      </c>
      <c r="J729" t="s">
        <v>2982</v>
      </c>
      <c r="K729" t="s">
        <v>466</v>
      </c>
      <c r="L729" t="s">
        <v>27</v>
      </c>
      <c r="M729" t="s">
        <v>28</v>
      </c>
      <c r="N729" t="s">
        <v>2979</v>
      </c>
      <c r="O729" t="s">
        <v>27</v>
      </c>
      <c r="P729" t="s">
        <v>39</v>
      </c>
      <c r="Q729" t="s">
        <v>31</v>
      </c>
      <c r="R729" t="s">
        <v>32</v>
      </c>
      <c r="S729" t="s">
        <v>28</v>
      </c>
      <c r="T729" t="s">
        <v>2983</v>
      </c>
      <c r="U729" t="s">
        <v>2979</v>
      </c>
    </row>
    <row r="730" spans="1:21" x14ac:dyDescent="0.25">
      <c r="A730" t="s">
        <v>63</v>
      </c>
      <c r="B730" t="s">
        <v>64</v>
      </c>
      <c r="C730">
        <v>130</v>
      </c>
      <c r="D730">
        <v>1</v>
      </c>
      <c r="E730">
        <v>0</v>
      </c>
      <c r="F730" t="s">
        <v>2984</v>
      </c>
      <c r="G730">
        <v>714</v>
      </c>
      <c r="H730">
        <v>64</v>
      </c>
      <c r="I730" t="s">
        <v>445</v>
      </c>
      <c r="J730" t="s">
        <v>2985</v>
      </c>
      <c r="K730" t="s">
        <v>2986</v>
      </c>
      <c r="L730" t="s">
        <v>555</v>
      </c>
      <c r="M730" t="s">
        <v>2987</v>
      </c>
      <c r="N730" t="s">
        <v>2979</v>
      </c>
      <c r="O730" t="s">
        <v>27</v>
      </c>
      <c r="P730" t="s">
        <v>84</v>
      </c>
      <c r="Q730" t="s">
        <v>85</v>
      </c>
      <c r="R730" t="s">
        <v>86</v>
      </c>
      <c r="S730" t="s">
        <v>28</v>
      </c>
      <c r="T730" t="s">
        <v>2988</v>
      </c>
      <c r="U730" t="s">
        <v>2989</v>
      </c>
    </row>
    <row r="731" spans="1:21" x14ac:dyDescent="0.25">
      <c r="A731" t="s">
        <v>134</v>
      </c>
      <c r="B731" t="s">
        <v>64</v>
      </c>
      <c r="C731">
        <v>130</v>
      </c>
      <c r="D731">
        <v>2</v>
      </c>
      <c r="E731">
        <v>0</v>
      </c>
      <c r="F731" t="s">
        <v>2984</v>
      </c>
      <c r="G731">
        <v>714</v>
      </c>
      <c r="H731">
        <v>64</v>
      </c>
      <c r="I731" t="s">
        <v>445</v>
      </c>
      <c r="J731" t="s">
        <v>2985</v>
      </c>
      <c r="K731" t="s">
        <v>2986</v>
      </c>
      <c r="L731" t="s">
        <v>555</v>
      </c>
      <c r="M731" t="s">
        <v>2987</v>
      </c>
      <c r="N731" t="s">
        <v>2979</v>
      </c>
      <c r="O731" t="s">
        <v>27</v>
      </c>
      <c r="P731" t="s">
        <v>84</v>
      </c>
      <c r="Q731" t="s">
        <v>85</v>
      </c>
      <c r="R731" t="s">
        <v>86</v>
      </c>
      <c r="S731" t="s">
        <v>28</v>
      </c>
      <c r="T731" t="s">
        <v>2988</v>
      </c>
      <c r="U731" t="s">
        <v>2989</v>
      </c>
    </row>
    <row r="732" spans="1:21" x14ac:dyDescent="0.25">
      <c r="A732" t="s">
        <v>2990</v>
      </c>
      <c r="B732" t="s">
        <v>2991</v>
      </c>
      <c r="C732">
        <v>260</v>
      </c>
      <c r="D732">
        <v>1</v>
      </c>
      <c r="E732">
        <v>0</v>
      </c>
      <c r="F732" t="s">
        <v>2984</v>
      </c>
      <c r="G732">
        <v>714</v>
      </c>
      <c r="H732">
        <v>64</v>
      </c>
      <c r="I732" t="s">
        <v>445</v>
      </c>
      <c r="J732" t="s">
        <v>2985</v>
      </c>
      <c r="K732" t="s">
        <v>2986</v>
      </c>
      <c r="L732" t="s">
        <v>555</v>
      </c>
      <c r="M732" t="s">
        <v>2987</v>
      </c>
      <c r="N732" t="s">
        <v>2979</v>
      </c>
      <c r="O732" t="s">
        <v>27</v>
      </c>
      <c r="P732" t="s">
        <v>84</v>
      </c>
      <c r="Q732" t="s">
        <v>85</v>
      </c>
      <c r="R732" t="s">
        <v>86</v>
      </c>
      <c r="S732" t="s">
        <v>28</v>
      </c>
      <c r="T732" t="s">
        <v>2988</v>
      </c>
      <c r="U732" t="s">
        <v>2989</v>
      </c>
    </row>
    <row r="733" spans="1:21" x14ac:dyDescent="0.25">
      <c r="A733" t="s">
        <v>63</v>
      </c>
      <c r="B733" t="s">
        <v>64</v>
      </c>
      <c r="C733">
        <v>100</v>
      </c>
      <c r="D733">
        <v>3</v>
      </c>
      <c r="E733">
        <v>0</v>
      </c>
      <c r="F733" t="s">
        <v>2992</v>
      </c>
      <c r="G733">
        <v>300</v>
      </c>
      <c r="H733">
        <v>0</v>
      </c>
      <c r="I733" t="s">
        <v>140</v>
      </c>
      <c r="J733" t="s">
        <v>2993</v>
      </c>
      <c r="K733" t="s">
        <v>26</v>
      </c>
      <c r="L733" t="s">
        <v>27</v>
      </c>
      <c r="M733" t="s">
        <v>28</v>
      </c>
      <c r="N733" t="s">
        <v>2994</v>
      </c>
      <c r="O733" t="s">
        <v>27</v>
      </c>
      <c r="P733" t="s">
        <v>30</v>
      </c>
      <c r="Q733" t="s">
        <v>31</v>
      </c>
      <c r="R733" t="s">
        <v>32</v>
      </c>
      <c r="S733" t="s">
        <v>28</v>
      </c>
      <c r="T733" t="s">
        <v>2995</v>
      </c>
      <c r="U733" t="s">
        <v>2994</v>
      </c>
    </row>
    <row r="734" spans="1:21" x14ac:dyDescent="0.25">
      <c r="A734" t="s">
        <v>21</v>
      </c>
      <c r="B734" t="s">
        <v>22</v>
      </c>
      <c r="C734">
        <v>100</v>
      </c>
      <c r="D734">
        <v>1</v>
      </c>
      <c r="E734">
        <v>0</v>
      </c>
      <c r="F734" t="s">
        <v>2996</v>
      </c>
      <c r="G734">
        <v>100</v>
      </c>
      <c r="H734">
        <v>0</v>
      </c>
      <c r="I734" t="s">
        <v>24</v>
      </c>
      <c r="J734" t="s">
        <v>2997</v>
      </c>
      <c r="K734" t="s">
        <v>753</v>
      </c>
      <c r="L734" t="s">
        <v>27</v>
      </c>
      <c r="M734" t="s">
        <v>28</v>
      </c>
      <c r="N734" t="s">
        <v>2998</v>
      </c>
      <c r="O734" t="s">
        <v>27</v>
      </c>
      <c r="P734" t="s">
        <v>39</v>
      </c>
      <c r="Q734" t="s">
        <v>31</v>
      </c>
      <c r="R734" t="s">
        <v>32</v>
      </c>
      <c r="S734" t="s">
        <v>28</v>
      </c>
      <c r="T734" t="s">
        <v>2999</v>
      </c>
      <c r="U734" t="s">
        <v>2998</v>
      </c>
    </row>
    <row r="735" spans="1:21" x14ac:dyDescent="0.25">
      <c r="A735" t="s">
        <v>635</v>
      </c>
      <c r="B735" t="s">
        <v>714</v>
      </c>
      <c r="C735">
        <v>447.27</v>
      </c>
      <c r="D735">
        <v>1</v>
      </c>
      <c r="E735">
        <v>0</v>
      </c>
      <c r="F735" t="s">
        <v>3000</v>
      </c>
      <c r="G735">
        <v>461.27</v>
      </c>
      <c r="H735">
        <v>14</v>
      </c>
      <c r="I735" t="s">
        <v>628</v>
      </c>
      <c r="J735" t="s">
        <v>2425</v>
      </c>
      <c r="K735" t="s">
        <v>2426</v>
      </c>
      <c r="L735" t="s">
        <v>2427</v>
      </c>
      <c r="M735" t="s">
        <v>2428</v>
      </c>
      <c r="N735" t="s">
        <v>3001</v>
      </c>
      <c r="O735" t="s">
        <v>27</v>
      </c>
      <c r="P735" t="s">
        <v>48</v>
      </c>
      <c r="Q735" t="s">
        <v>49</v>
      </c>
      <c r="R735" t="s">
        <v>50</v>
      </c>
      <c r="S735" t="s">
        <v>28</v>
      </c>
      <c r="T735" t="s">
        <v>3002</v>
      </c>
      <c r="U735" t="s">
        <v>3001</v>
      </c>
    </row>
    <row r="736" spans="1:21" x14ac:dyDescent="0.25">
      <c r="A736" t="s">
        <v>70</v>
      </c>
      <c r="B736" t="s">
        <v>70</v>
      </c>
      <c r="C736">
        <v>330</v>
      </c>
      <c r="D736">
        <v>1</v>
      </c>
      <c r="E736">
        <v>0</v>
      </c>
      <c r="F736" t="s">
        <v>3003</v>
      </c>
      <c r="G736">
        <v>330</v>
      </c>
      <c r="H736">
        <v>0</v>
      </c>
      <c r="I736" t="s">
        <v>24</v>
      </c>
      <c r="J736" t="s">
        <v>3004</v>
      </c>
      <c r="K736" t="s">
        <v>325</v>
      </c>
      <c r="L736" t="s">
        <v>27</v>
      </c>
      <c r="M736" t="s">
        <v>28</v>
      </c>
      <c r="N736" t="s">
        <v>3005</v>
      </c>
      <c r="O736" t="s">
        <v>27</v>
      </c>
      <c r="P736" t="s">
        <v>39</v>
      </c>
      <c r="Q736" t="s">
        <v>31</v>
      </c>
      <c r="R736" t="s">
        <v>32</v>
      </c>
      <c r="S736" t="s">
        <v>28</v>
      </c>
      <c r="T736" t="s">
        <v>3006</v>
      </c>
      <c r="U736" t="s">
        <v>3007</v>
      </c>
    </row>
    <row r="737" spans="1:21" x14ac:dyDescent="0.25">
      <c r="A737" t="s">
        <v>134</v>
      </c>
      <c r="B737" t="s">
        <v>64</v>
      </c>
      <c r="C737">
        <v>100</v>
      </c>
      <c r="D737">
        <v>1</v>
      </c>
      <c r="E737">
        <v>0</v>
      </c>
      <c r="F737" t="s">
        <v>3008</v>
      </c>
      <c r="G737">
        <v>129</v>
      </c>
      <c r="H737">
        <v>29</v>
      </c>
      <c r="I737" t="s">
        <v>445</v>
      </c>
      <c r="J737" t="s">
        <v>3009</v>
      </c>
      <c r="K737" t="s">
        <v>758</v>
      </c>
      <c r="L737" t="s">
        <v>27</v>
      </c>
      <c r="M737" t="s">
        <v>28</v>
      </c>
      <c r="N737" t="s">
        <v>3010</v>
      </c>
      <c r="O737" t="s">
        <v>27</v>
      </c>
      <c r="P737" t="s">
        <v>39</v>
      </c>
      <c r="Q737" t="s">
        <v>31</v>
      </c>
      <c r="R737" t="s">
        <v>32</v>
      </c>
      <c r="S737" t="s">
        <v>28</v>
      </c>
      <c r="T737" t="s">
        <v>3011</v>
      </c>
      <c r="U737" t="s">
        <v>3010</v>
      </c>
    </row>
    <row r="738" spans="1:21" x14ac:dyDescent="0.25">
      <c r="A738" t="s">
        <v>21</v>
      </c>
      <c r="B738" t="s">
        <v>22</v>
      </c>
      <c r="C738">
        <v>100</v>
      </c>
      <c r="D738">
        <v>1</v>
      </c>
      <c r="E738">
        <v>0</v>
      </c>
      <c r="F738" t="s">
        <v>3012</v>
      </c>
      <c r="G738">
        <v>145</v>
      </c>
      <c r="H738">
        <v>45</v>
      </c>
      <c r="I738" t="s">
        <v>445</v>
      </c>
      <c r="J738" t="s">
        <v>3013</v>
      </c>
      <c r="K738" t="s">
        <v>151</v>
      </c>
      <c r="L738" t="s">
        <v>27</v>
      </c>
      <c r="M738" t="s">
        <v>28</v>
      </c>
      <c r="N738" t="s">
        <v>3014</v>
      </c>
      <c r="O738" t="s">
        <v>27</v>
      </c>
      <c r="P738" t="s">
        <v>39</v>
      </c>
      <c r="Q738" t="s">
        <v>31</v>
      </c>
      <c r="R738" t="s">
        <v>32</v>
      </c>
      <c r="S738" t="s">
        <v>28</v>
      </c>
      <c r="T738" t="s">
        <v>3015</v>
      </c>
      <c r="U738" t="s">
        <v>3014</v>
      </c>
    </row>
    <row r="739" spans="1:21" x14ac:dyDescent="0.25">
      <c r="A739" t="s">
        <v>21</v>
      </c>
      <c r="B739" t="s">
        <v>22</v>
      </c>
      <c r="C739">
        <v>100</v>
      </c>
      <c r="D739">
        <v>1</v>
      </c>
      <c r="E739">
        <v>0</v>
      </c>
      <c r="F739" t="s">
        <v>3016</v>
      </c>
      <c r="G739">
        <v>106</v>
      </c>
      <c r="H739">
        <v>6</v>
      </c>
      <c r="I739" t="s">
        <v>445</v>
      </c>
      <c r="J739" t="s">
        <v>3017</v>
      </c>
      <c r="K739" t="s">
        <v>137</v>
      </c>
      <c r="L739" t="s">
        <v>27</v>
      </c>
      <c r="M739" t="s">
        <v>28</v>
      </c>
      <c r="N739" t="s">
        <v>3018</v>
      </c>
      <c r="O739" t="s">
        <v>27</v>
      </c>
      <c r="P739" t="s">
        <v>39</v>
      </c>
      <c r="Q739" t="s">
        <v>31</v>
      </c>
      <c r="R739" t="s">
        <v>32</v>
      </c>
      <c r="S739" t="s">
        <v>28</v>
      </c>
      <c r="T739" t="s">
        <v>3019</v>
      </c>
      <c r="U739" t="s">
        <v>3018</v>
      </c>
    </row>
    <row r="740" spans="1:21" x14ac:dyDescent="0.25">
      <c r="A740" t="s">
        <v>143</v>
      </c>
      <c r="B740" t="s">
        <v>144</v>
      </c>
      <c r="C740">
        <v>200</v>
      </c>
      <c r="D740">
        <v>1</v>
      </c>
      <c r="E740">
        <v>0</v>
      </c>
      <c r="F740" t="s">
        <v>3020</v>
      </c>
      <c r="G740">
        <v>200</v>
      </c>
      <c r="H740">
        <v>0</v>
      </c>
      <c r="I740" t="s">
        <v>140</v>
      </c>
      <c r="J740" t="s">
        <v>3021</v>
      </c>
      <c r="K740" t="s">
        <v>250</v>
      </c>
      <c r="L740" t="s">
        <v>27</v>
      </c>
      <c r="M740" t="s">
        <v>28</v>
      </c>
      <c r="N740" t="s">
        <v>3022</v>
      </c>
      <c r="O740" t="s">
        <v>27</v>
      </c>
      <c r="P740" t="s">
        <v>30</v>
      </c>
      <c r="Q740" t="s">
        <v>31</v>
      </c>
      <c r="R740" t="s">
        <v>32</v>
      </c>
      <c r="S740" t="s">
        <v>28</v>
      </c>
      <c r="T740" t="s">
        <v>3023</v>
      </c>
      <c r="U740" t="s">
        <v>3022</v>
      </c>
    </row>
    <row r="741" spans="1:21" x14ac:dyDescent="0.25">
      <c r="A741" t="s">
        <v>33</v>
      </c>
      <c r="B741" t="s">
        <v>34</v>
      </c>
      <c r="C741">
        <v>200</v>
      </c>
      <c r="D741">
        <v>1</v>
      </c>
      <c r="E741">
        <v>0</v>
      </c>
      <c r="F741" t="s">
        <v>3024</v>
      </c>
      <c r="G741">
        <v>200</v>
      </c>
      <c r="H741">
        <v>0</v>
      </c>
      <c r="I741" t="s">
        <v>140</v>
      </c>
      <c r="J741" t="s">
        <v>3025</v>
      </c>
      <c r="K741" t="s">
        <v>753</v>
      </c>
      <c r="L741" t="s">
        <v>27</v>
      </c>
      <c r="M741" t="s">
        <v>28</v>
      </c>
      <c r="N741" t="s">
        <v>3026</v>
      </c>
      <c r="O741" t="s">
        <v>27</v>
      </c>
      <c r="P741" t="s">
        <v>30</v>
      </c>
      <c r="Q741" t="s">
        <v>31</v>
      </c>
      <c r="R741" t="s">
        <v>32</v>
      </c>
      <c r="S741" t="s">
        <v>28</v>
      </c>
      <c r="T741" t="s">
        <v>3027</v>
      </c>
      <c r="U741" t="s">
        <v>3028</v>
      </c>
    </row>
    <row r="742" spans="1:21" x14ac:dyDescent="0.25">
      <c r="A742" t="s">
        <v>58</v>
      </c>
      <c r="B742" t="s">
        <v>58</v>
      </c>
      <c r="C742">
        <v>130</v>
      </c>
      <c r="D742">
        <v>2</v>
      </c>
      <c r="E742">
        <v>0</v>
      </c>
      <c r="F742" t="s">
        <v>3029</v>
      </c>
      <c r="G742">
        <v>745</v>
      </c>
      <c r="H742">
        <v>0</v>
      </c>
      <c r="I742" t="s">
        <v>445</v>
      </c>
      <c r="J742" t="s">
        <v>3030</v>
      </c>
      <c r="K742" t="s">
        <v>3031</v>
      </c>
      <c r="L742" t="s">
        <v>3032</v>
      </c>
      <c r="M742" t="s">
        <v>3033</v>
      </c>
      <c r="N742" t="s">
        <v>3028</v>
      </c>
      <c r="O742" t="s">
        <v>27</v>
      </c>
      <c r="P742" t="s">
        <v>193</v>
      </c>
      <c r="Q742" t="s">
        <v>85</v>
      </c>
      <c r="R742" t="s">
        <v>86</v>
      </c>
      <c r="S742" t="s">
        <v>28</v>
      </c>
      <c r="T742" t="s">
        <v>3034</v>
      </c>
      <c r="U742" t="s">
        <v>3028</v>
      </c>
    </row>
    <row r="743" spans="1:21" x14ac:dyDescent="0.25">
      <c r="A743" t="s">
        <v>63</v>
      </c>
      <c r="B743" t="s">
        <v>64</v>
      </c>
      <c r="C743">
        <v>130</v>
      </c>
      <c r="D743">
        <v>2</v>
      </c>
      <c r="E743">
        <v>0</v>
      </c>
      <c r="F743" t="s">
        <v>3029</v>
      </c>
      <c r="G743">
        <v>745</v>
      </c>
      <c r="H743">
        <v>0</v>
      </c>
      <c r="I743" t="s">
        <v>445</v>
      </c>
      <c r="J743" t="s">
        <v>3030</v>
      </c>
      <c r="K743" t="s">
        <v>3031</v>
      </c>
      <c r="L743" t="s">
        <v>3032</v>
      </c>
      <c r="M743" t="s">
        <v>3033</v>
      </c>
      <c r="N743" t="s">
        <v>3028</v>
      </c>
      <c r="O743" t="s">
        <v>27</v>
      </c>
      <c r="P743" t="s">
        <v>193</v>
      </c>
      <c r="Q743" t="s">
        <v>85</v>
      </c>
      <c r="R743" t="s">
        <v>86</v>
      </c>
      <c r="S743" t="s">
        <v>28</v>
      </c>
      <c r="T743" t="s">
        <v>3034</v>
      </c>
      <c r="U743" t="s">
        <v>3028</v>
      </c>
    </row>
    <row r="744" spans="1:21" x14ac:dyDescent="0.25">
      <c r="A744" t="s">
        <v>456</v>
      </c>
      <c r="B744" t="s">
        <v>457</v>
      </c>
      <c r="C744">
        <v>225</v>
      </c>
      <c r="D744">
        <v>1</v>
      </c>
      <c r="E744">
        <v>0</v>
      </c>
      <c r="F744" t="s">
        <v>3029</v>
      </c>
      <c r="G744">
        <v>745</v>
      </c>
      <c r="H744">
        <v>0</v>
      </c>
      <c r="I744" t="s">
        <v>445</v>
      </c>
      <c r="J744" t="s">
        <v>3030</v>
      </c>
      <c r="K744" t="s">
        <v>3031</v>
      </c>
      <c r="L744" t="s">
        <v>3032</v>
      </c>
      <c r="M744" t="s">
        <v>3033</v>
      </c>
      <c r="N744" t="s">
        <v>3028</v>
      </c>
      <c r="O744" t="s">
        <v>27</v>
      </c>
      <c r="P744" t="s">
        <v>193</v>
      </c>
      <c r="Q744" t="s">
        <v>85</v>
      </c>
      <c r="R744" t="s">
        <v>86</v>
      </c>
      <c r="S744" t="s">
        <v>28</v>
      </c>
      <c r="T744" t="s">
        <v>3034</v>
      </c>
      <c r="U744" t="s">
        <v>3028</v>
      </c>
    </row>
    <row r="745" spans="1:21" x14ac:dyDescent="0.25">
      <c r="A745" t="s">
        <v>21</v>
      </c>
      <c r="B745" t="s">
        <v>22</v>
      </c>
      <c r="C745">
        <v>100</v>
      </c>
      <c r="D745">
        <v>1</v>
      </c>
      <c r="E745">
        <v>0</v>
      </c>
      <c r="F745" t="s">
        <v>3035</v>
      </c>
      <c r="G745">
        <v>100</v>
      </c>
      <c r="H745">
        <v>0</v>
      </c>
      <c r="I745" t="s">
        <v>24</v>
      </c>
      <c r="J745" t="s">
        <v>3036</v>
      </c>
      <c r="K745" t="s">
        <v>672</v>
      </c>
      <c r="L745" t="s">
        <v>27</v>
      </c>
      <c r="M745" t="s">
        <v>28</v>
      </c>
      <c r="N745" t="s">
        <v>3037</v>
      </c>
      <c r="O745" t="s">
        <v>27</v>
      </c>
      <c r="P745" t="s">
        <v>39</v>
      </c>
      <c r="Q745" t="s">
        <v>31</v>
      </c>
      <c r="R745" t="s">
        <v>32</v>
      </c>
      <c r="S745" t="s">
        <v>28</v>
      </c>
      <c r="T745" t="s">
        <v>3038</v>
      </c>
      <c r="U745" t="s">
        <v>3037</v>
      </c>
    </row>
    <row r="746" spans="1:21" x14ac:dyDescent="0.25">
      <c r="A746" t="s">
        <v>143</v>
      </c>
      <c r="B746" t="s">
        <v>144</v>
      </c>
      <c r="C746">
        <v>200</v>
      </c>
      <c r="D746">
        <v>1</v>
      </c>
      <c r="E746">
        <v>0</v>
      </c>
      <c r="F746" t="s">
        <v>3039</v>
      </c>
      <c r="G746">
        <v>345</v>
      </c>
      <c r="H746">
        <v>45</v>
      </c>
      <c r="I746" t="s">
        <v>140</v>
      </c>
      <c r="J746" t="s">
        <v>3040</v>
      </c>
      <c r="K746" t="s">
        <v>311</v>
      </c>
      <c r="L746" t="s">
        <v>27</v>
      </c>
      <c r="M746" t="s">
        <v>28</v>
      </c>
      <c r="N746" t="s">
        <v>3041</v>
      </c>
      <c r="O746" t="s">
        <v>27</v>
      </c>
      <c r="P746" t="s">
        <v>30</v>
      </c>
      <c r="Q746" t="s">
        <v>31</v>
      </c>
      <c r="R746" t="s">
        <v>32</v>
      </c>
      <c r="S746" t="s">
        <v>28</v>
      </c>
      <c r="T746" t="s">
        <v>3042</v>
      </c>
      <c r="U746" t="s">
        <v>3037</v>
      </c>
    </row>
    <row r="747" spans="1:21" x14ac:dyDescent="0.25">
      <c r="A747" t="s">
        <v>21</v>
      </c>
      <c r="B747" t="s">
        <v>22</v>
      </c>
      <c r="C747">
        <v>100</v>
      </c>
      <c r="D747">
        <v>1</v>
      </c>
      <c r="E747">
        <v>0</v>
      </c>
      <c r="F747" t="s">
        <v>3039</v>
      </c>
      <c r="G747">
        <v>345</v>
      </c>
      <c r="H747">
        <v>45</v>
      </c>
      <c r="I747" t="s">
        <v>140</v>
      </c>
      <c r="J747" t="s">
        <v>3040</v>
      </c>
      <c r="K747" t="s">
        <v>311</v>
      </c>
      <c r="L747" t="s">
        <v>27</v>
      </c>
      <c r="M747" t="s">
        <v>28</v>
      </c>
      <c r="N747" t="s">
        <v>3041</v>
      </c>
      <c r="O747" t="s">
        <v>27</v>
      </c>
      <c r="P747" t="s">
        <v>30</v>
      </c>
      <c r="Q747" t="s">
        <v>31</v>
      </c>
      <c r="R747" t="s">
        <v>32</v>
      </c>
      <c r="S747" t="s">
        <v>28</v>
      </c>
      <c r="T747" t="s">
        <v>3042</v>
      </c>
      <c r="U747" t="s">
        <v>3026</v>
      </c>
    </row>
    <row r="748" spans="1:21" x14ac:dyDescent="0.25">
      <c r="A748" t="s">
        <v>33</v>
      </c>
      <c r="B748" t="s">
        <v>34</v>
      </c>
      <c r="C748">
        <v>200</v>
      </c>
      <c r="D748">
        <v>1</v>
      </c>
      <c r="E748">
        <v>0</v>
      </c>
      <c r="F748" t="s">
        <v>3043</v>
      </c>
      <c r="G748">
        <v>200</v>
      </c>
      <c r="H748">
        <v>0</v>
      </c>
      <c r="I748" t="s">
        <v>24</v>
      </c>
      <c r="J748" t="s">
        <v>3044</v>
      </c>
      <c r="K748" t="s">
        <v>73</v>
      </c>
      <c r="L748" t="s">
        <v>27</v>
      </c>
      <c r="M748" t="s">
        <v>28</v>
      </c>
      <c r="N748" t="s">
        <v>3045</v>
      </c>
      <c r="O748" t="s">
        <v>27</v>
      </c>
      <c r="P748" t="s">
        <v>39</v>
      </c>
      <c r="Q748" t="s">
        <v>31</v>
      </c>
      <c r="R748" t="s">
        <v>32</v>
      </c>
      <c r="S748" t="s">
        <v>28</v>
      </c>
      <c r="T748" t="s">
        <v>3046</v>
      </c>
      <c r="U748" t="s">
        <v>3047</v>
      </c>
    </row>
    <row r="749" spans="1:21" x14ac:dyDescent="0.25">
      <c r="A749" t="s">
        <v>143</v>
      </c>
      <c r="B749" t="s">
        <v>144</v>
      </c>
      <c r="C749">
        <v>200</v>
      </c>
      <c r="D749">
        <v>1</v>
      </c>
      <c r="E749">
        <v>0</v>
      </c>
      <c r="F749" t="s">
        <v>3048</v>
      </c>
      <c r="G749">
        <v>200</v>
      </c>
      <c r="H749">
        <v>0</v>
      </c>
      <c r="I749" t="s">
        <v>140</v>
      </c>
      <c r="J749" t="s">
        <v>3049</v>
      </c>
      <c r="K749" t="s">
        <v>124</v>
      </c>
      <c r="L749" t="s">
        <v>27</v>
      </c>
      <c r="M749" t="s">
        <v>28</v>
      </c>
      <c r="N749" t="s">
        <v>3050</v>
      </c>
      <c r="O749" t="s">
        <v>27</v>
      </c>
      <c r="P749" t="s">
        <v>30</v>
      </c>
      <c r="Q749" t="s">
        <v>31</v>
      </c>
      <c r="R749" t="s">
        <v>32</v>
      </c>
      <c r="S749" t="s">
        <v>28</v>
      </c>
      <c r="T749" t="s">
        <v>3051</v>
      </c>
      <c r="U749" t="s">
        <v>3052</v>
      </c>
    </row>
    <row r="750" spans="1:21" x14ac:dyDescent="0.25">
      <c r="A750" t="s">
        <v>195</v>
      </c>
      <c r="B750" t="s">
        <v>1003</v>
      </c>
      <c r="C750">
        <v>129.52000000000001</v>
      </c>
      <c r="D750">
        <v>1</v>
      </c>
      <c r="E750">
        <v>0</v>
      </c>
      <c r="F750" t="s">
        <v>3053</v>
      </c>
      <c r="G750">
        <v>477.56</v>
      </c>
      <c r="H750">
        <v>89</v>
      </c>
      <c r="I750" t="s">
        <v>628</v>
      </c>
      <c r="J750" t="s">
        <v>3054</v>
      </c>
      <c r="K750" t="s">
        <v>3055</v>
      </c>
      <c r="L750" t="s">
        <v>3056</v>
      </c>
      <c r="M750" t="s">
        <v>3057</v>
      </c>
      <c r="N750" t="s">
        <v>3058</v>
      </c>
      <c r="O750" t="s">
        <v>27</v>
      </c>
      <c r="P750" t="s">
        <v>48</v>
      </c>
      <c r="Q750" t="s">
        <v>49</v>
      </c>
      <c r="R750" t="s">
        <v>50</v>
      </c>
      <c r="S750" t="s">
        <v>28</v>
      </c>
      <c r="T750" t="s">
        <v>3059</v>
      </c>
      <c r="U750" t="s">
        <v>3058</v>
      </c>
    </row>
    <row r="751" spans="1:21" x14ac:dyDescent="0.25">
      <c r="A751" t="s">
        <v>195</v>
      </c>
      <c r="B751" t="s">
        <v>1003</v>
      </c>
      <c r="C751">
        <v>129.52000000000001</v>
      </c>
      <c r="D751">
        <v>1</v>
      </c>
      <c r="E751">
        <v>0</v>
      </c>
      <c r="F751" t="s">
        <v>3053</v>
      </c>
      <c r="G751">
        <v>477.56</v>
      </c>
      <c r="H751">
        <v>89</v>
      </c>
      <c r="I751" t="s">
        <v>628</v>
      </c>
      <c r="J751" t="s">
        <v>3054</v>
      </c>
      <c r="K751" t="s">
        <v>3055</v>
      </c>
      <c r="L751" t="s">
        <v>3056</v>
      </c>
      <c r="M751" t="s">
        <v>3057</v>
      </c>
      <c r="N751" t="s">
        <v>3058</v>
      </c>
      <c r="O751" t="s">
        <v>27</v>
      </c>
      <c r="P751" t="s">
        <v>48</v>
      </c>
      <c r="Q751" t="s">
        <v>49</v>
      </c>
      <c r="R751" t="s">
        <v>50</v>
      </c>
      <c r="S751" t="s">
        <v>28</v>
      </c>
      <c r="T751" t="s">
        <v>3059</v>
      </c>
      <c r="U751" t="s">
        <v>3058</v>
      </c>
    </row>
    <row r="752" spans="1:21" x14ac:dyDescent="0.25">
      <c r="A752" t="s">
        <v>195</v>
      </c>
      <c r="B752" t="s">
        <v>1003</v>
      </c>
      <c r="C752">
        <v>129.52000000000001</v>
      </c>
      <c r="D752">
        <v>1</v>
      </c>
      <c r="E752">
        <v>0</v>
      </c>
      <c r="F752" t="s">
        <v>3053</v>
      </c>
      <c r="G752">
        <v>477.56</v>
      </c>
      <c r="H752">
        <v>89</v>
      </c>
      <c r="I752" t="s">
        <v>628</v>
      </c>
      <c r="J752" t="s">
        <v>3054</v>
      </c>
      <c r="K752" t="s">
        <v>3055</v>
      </c>
      <c r="L752" t="s">
        <v>3056</v>
      </c>
      <c r="M752" t="s">
        <v>3057</v>
      </c>
      <c r="N752" t="s">
        <v>3058</v>
      </c>
      <c r="O752" t="s">
        <v>27</v>
      </c>
      <c r="P752" t="s">
        <v>48</v>
      </c>
      <c r="Q752" t="s">
        <v>49</v>
      </c>
      <c r="R752" t="s">
        <v>50</v>
      </c>
      <c r="S752" t="s">
        <v>28</v>
      </c>
      <c r="T752" t="s">
        <v>3059</v>
      </c>
      <c r="U752" t="s">
        <v>3058</v>
      </c>
    </row>
    <row r="753" spans="1:21" x14ac:dyDescent="0.25">
      <c r="A753" t="s">
        <v>21</v>
      </c>
      <c r="B753" t="s">
        <v>22</v>
      </c>
      <c r="C753">
        <v>100</v>
      </c>
      <c r="D753">
        <v>1</v>
      </c>
      <c r="E753">
        <v>0</v>
      </c>
      <c r="F753" t="s">
        <v>3060</v>
      </c>
      <c r="G753">
        <v>106</v>
      </c>
      <c r="H753">
        <v>6</v>
      </c>
      <c r="I753" t="s">
        <v>24</v>
      </c>
      <c r="J753" t="s">
        <v>3061</v>
      </c>
      <c r="K753" t="s">
        <v>451</v>
      </c>
      <c r="L753" t="s">
        <v>27</v>
      </c>
      <c r="M753" t="s">
        <v>28</v>
      </c>
      <c r="N753" t="s">
        <v>3062</v>
      </c>
      <c r="O753" t="s">
        <v>27</v>
      </c>
      <c r="P753" t="s">
        <v>39</v>
      </c>
      <c r="Q753" t="s">
        <v>31</v>
      </c>
      <c r="R753" t="s">
        <v>32</v>
      </c>
      <c r="S753" t="s">
        <v>28</v>
      </c>
      <c r="T753" t="s">
        <v>3063</v>
      </c>
      <c r="U753" t="s">
        <v>3058</v>
      </c>
    </row>
    <row r="754" spans="1:21" x14ac:dyDescent="0.25">
      <c r="A754" t="s">
        <v>33</v>
      </c>
      <c r="B754" t="s">
        <v>34</v>
      </c>
      <c r="C754">
        <v>200</v>
      </c>
      <c r="D754">
        <v>1</v>
      </c>
      <c r="E754">
        <v>0</v>
      </c>
      <c r="F754" t="s">
        <v>3064</v>
      </c>
      <c r="G754">
        <v>200</v>
      </c>
      <c r="H754">
        <v>0</v>
      </c>
      <c r="I754" t="s">
        <v>445</v>
      </c>
      <c r="J754" t="s">
        <v>3049</v>
      </c>
      <c r="K754" t="s">
        <v>124</v>
      </c>
      <c r="L754" t="s">
        <v>27</v>
      </c>
      <c r="M754" t="s">
        <v>28</v>
      </c>
      <c r="N754" t="s">
        <v>3062</v>
      </c>
      <c r="O754" t="s">
        <v>27</v>
      </c>
      <c r="P754" t="s">
        <v>39</v>
      </c>
      <c r="Q754" t="s">
        <v>31</v>
      </c>
      <c r="R754" t="s">
        <v>32</v>
      </c>
      <c r="S754" t="s">
        <v>28</v>
      </c>
      <c r="T754" t="s">
        <v>3065</v>
      </c>
      <c r="U754" t="s">
        <v>3066</v>
      </c>
    </row>
    <row r="755" spans="1:21" x14ac:dyDescent="0.25">
      <c r="A755" t="s">
        <v>134</v>
      </c>
      <c r="B755" t="s">
        <v>64</v>
      </c>
      <c r="C755">
        <v>100</v>
      </c>
      <c r="D755">
        <v>1</v>
      </c>
      <c r="E755">
        <v>0</v>
      </c>
      <c r="F755" t="s">
        <v>3067</v>
      </c>
      <c r="G755">
        <v>200</v>
      </c>
      <c r="H755">
        <v>0</v>
      </c>
      <c r="I755" t="s">
        <v>445</v>
      </c>
      <c r="J755" t="s">
        <v>3068</v>
      </c>
      <c r="K755" t="s">
        <v>118</v>
      </c>
      <c r="L755" t="s">
        <v>27</v>
      </c>
      <c r="M755" t="s">
        <v>28</v>
      </c>
      <c r="N755" t="s">
        <v>3062</v>
      </c>
      <c r="O755" t="s">
        <v>27</v>
      </c>
      <c r="P755" t="s">
        <v>39</v>
      </c>
      <c r="Q755" t="s">
        <v>31</v>
      </c>
      <c r="R755" t="s">
        <v>32</v>
      </c>
      <c r="S755" t="s">
        <v>28</v>
      </c>
      <c r="T755" t="s">
        <v>3069</v>
      </c>
      <c r="U755" t="s">
        <v>3066</v>
      </c>
    </row>
    <row r="756" spans="1:21" x14ac:dyDescent="0.25">
      <c r="A756" t="s">
        <v>21</v>
      </c>
      <c r="B756" t="s">
        <v>22</v>
      </c>
      <c r="C756">
        <v>100</v>
      </c>
      <c r="D756">
        <v>1</v>
      </c>
      <c r="E756">
        <v>0</v>
      </c>
      <c r="F756" t="s">
        <v>3067</v>
      </c>
      <c r="G756">
        <v>200</v>
      </c>
      <c r="H756">
        <v>0</v>
      </c>
      <c r="I756" t="s">
        <v>445</v>
      </c>
      <c r="J756" t="s">
        <v>3068</v>
      </c>
      <c r="K756" t="s">
        <v>118</v>
      </c>
      <c r="L756" t="s">
        <v>27</v>
      </c>
      <c r="M756" t="s">
        <v>28</v>
      </c>
      <c r="N756" t="s">
        <v>3062</v>
      </c>
      <c r="O756" t="s">
        <v>27</v>
      </c>
      <c r="P756" t="s">
        <v>39</v>
      </c>
      <c r="Q756" t="s">
        <v>31</v>
      </c>
      <c r="R756" t="s">
        <v>32</v>
      </c>
      <c r="S756" t="s">
        <v>28</v>
      </c>
      <c r="T756" t="s">
        <v>3069</v>
      </c>
      <c r="U756" t="s">
        <v>3066</v>
      </c>
    </row>
    <row r="757" spans="1:21" x14ac:dyDescent="0.25">
      <c r="A757" t="s">
        <v>21</v>
      </c>
      <c r="B757" t="s">
        <v>22</v>
      </c>
      <c r="C757">
        <v>100</v>
      </c>
      <c r="D757">
        <v>1</v>
      </c>
      <c r="E757">
        <v>0</v>
      </c>
      <c r="F757" t="s">
        <v>3070</v>
      </c>
      <c r="G757">
        <v>106</v>
      </c>
      <c r="H757">
        <v>6</v>
      </c>
      <c r="I757" t="s">
        <v>24</v>
      </c>
      <c r="J757" t="s">
        <v>3071</v>
      </c>
      <c r="K757" t="s">
        <v>3072</v>
      </c>
      <c r="L757" t="s">
        <v>27</v>
      </c>
      <c r="M757" t="s">
        <v>28</v>
      </c>
      <c r="N757" t="s">
        <v>3073</v>
      </c>
      <c r="O757" t="s">
        <v>27</v>
      </c>
      <c r="P757" t="s">
        <v>56</v>
      </c>
      <c r="Q757" t="s">
        <v>31</v>
      </c>
      <c r="R757" t="s">
        <v>57</v>
      </c>
      <c r="S757" t="s">
        <v>28</v>
      </c>
      <c r="T757" t="s">
        <v>3074</v>
      </c>
      <c r="U757" t="s">
        <v>3075</v>
      </c>
    </row>
    <row r="758" spans="1:21" x14ac:dyDescent="0.25">
      <c r="A758" t="s">
        <v>58</v>
      </c>
      <c r="B758" t="s">
        <v>103</v>
      </c>
      <c r="C758">
        <v>80.91</v>
      </c>
      <c r="D758">
        <v>1</v>
      </c>
      <c r="E758">
        <v>0</v>
      </c>
      <c r="F758" t="s">
        <v>3076</v>
      </c>
      <c r="G758">
        <v>85.91</v>
      </c>
      <c r="H758">
        <v>5</v>
      </c>
      <c r="I758" t="s">
        <v>105</v>
      </c>
      <c r="J758" t="s">
        <v>3077</v>
      </c>
      <c r="K758" t="s">
        <v>3078</v>
      </c>
      <c r="L758" t="s">
        <v>1453</v>
      </c>
      <c r="M758" t="s">
        <v>3079</v>
      </c>
      <c r="N758" t="s">
        <v>3041</v>
      </c>
      <c r="O758" t="s">
        <v>27</v>
      </c>
      <c r="P758" t="s">
        <v>48</v>
      </c>
      <c r="Q758" t="s">
        <v>49</v>
      </c>
      <c r="R758" t="s">
        <v>50</v>
      </c>
      <c r="S758" t="s">
        <v>28</v>
      </c>
      <c r="T758" t="s">
        <v>3080</v>
      </c>
      <c r="U758" t="s">
        <v>3041</v>
      </c>
    </row>
    <row r="759" spans="1:21" x14ac:dyDescent="0.25">
      <c r="A759" t="s">
        <v>143</v>
      </c>
      <c r="B759" t="s">
        <v>144</v>
      </c>
      <c r="C759">
        <v>200</v>
      </c>
      <c r="D759">
        <v>1</v>
      </c>
      <c r="E759">
        <v>0</v>
      </c>
      <c r="F759" t="s">
        <v>3081</v>
      </c>
      <c r="G759">
        <v>300</v>
      </c>
      <c r="H759">
        <v>0</v>
      </c>
      <c r="I759" t="s">
        <v>140</v>
      </c>
      <c r="J759" t="s">
        <v>3082</v>
      </c>
      <c r="K759" t="s">
        <v>89</v>
      </c>
      <c r="L759" t="s">
        <v>27</v>
      </c>
      <c r="M759" t="s">
        <v>28</v>
      </c>
      <c r="N759" t="s">
        <v>3083</v>
      </c>
      <c r="O759" t="s">
        <v>27</v>
      </c>
      <c r="P759" t="s">
        <v>369</v>
      </c>
      <c r="Q759" t="s">
        <v>31</v>
      </c>
      <c r="R759" t="s">
        <v>57</v>
      </c>
      <c r="S759" t="s">
        <v>28</v>
      </c>
      <c r="T759" t="s">
        <v>3084</v>
      </c>
      <c r="U759" t="s">
        <v>3062</v>
      </c>
    </row>
    <row r="760" spans="1:21" x14ac:dyDescent="0.25">
      <c r="A760" t="s">
        <v>58</v>
      </c>
      <c r="B760" t="s">
        <v>58</v>
      </c>
      <c r="C760">
        <v>100</v>
      </c>
      <c r="D760">
        <v>1</v>
      </c>
      <c r="E760">
        <v>0</v>
      </c>
      <c r="F760" t="s">
        <v>3081</v>
      </c>
      <c r="G760">
        <v>300</v>
      </c>
      <c r="H760">
        <v>0</v>
      </c>
      <c r="I760" t="s">
        <v>140</v>
      </c>
      <c r="J760" t="s">
        <v>3082</v>
      </c>
      <c r="K760" t="s">
        <v>89</v>
      </c>
      <c r="L760" t="s">
        <v>27</v>
      </c>
      <c r="M760" t="s">
        <v>28</v>
      </c>
      <c r="N760" t="s">
        <v>3083</v>
      </c>
      <c r="O760" t="s">
        <v>27</v>
      </c>
      <c r="P760" t="s">
        <v>369</v>
      </c>
      <c r="Q760" t="s">
        <v>31</v>
      </c>
      <c r="R760" t="s">
        <v>57</v>
      </c>
      <c r="S760" t="s">
        <v>28</v>
      </c>
      <c r="T760" t="s">
        <v>3084</v>
      </c>
      <c r="U760" t="s">
        <v>3062</v>
      </c>
    </row>
    <row r="761" spans="1:21" x14ac:dyDescent="0.25">
      <c r="A761" t="s">
        <v>21</v>
      </c>
      <c r="B761" t="s">
        <v>22</v>
      </c>
      <c r="C761">
        <v>100</v>
      </c>
      <c r="D761">
        <v>1</v>
      </c>
      <c r="E761">
        <v>0</v>
      </c>
      <c r="F761" t="s">
        <v>3085</v>
      </c>
      <c r="G761">
        <v>106</v>
      </c>
      <c r="H761">
        <v>6</v>
      </c>
      <c r="I761" t="s">
        <v>445</v>
      </c>
      <c r="J761" t="s">
        <v>3086</v>
      </c>
      <c r="K761" t="s">
        <v>250</v>
      </c>
      <c r="L761" t="s">
        <v>27</v>
      </c>
      <c r="M761" t="s">
        <v>28</v>
      </c>
      <c r="N761" t="s">
        <v>3087</v>
      </c>
      <c r="O761" t="s">
        <v>27</v>
      </c>
      <c r="P761" t="s">
        <v>56</v>
      </c>
      <c r="Q761" t="s">
        <v>31</v>
      </c>
      <c r="R761" t="s">
        <v>57</v>
      </c>
      <c r="S761" t="s">
        <v>28</v>
      </c>
      <c r="T761" t="s">
        <v>3088</v>
      </c>
      <c r="U761" t="s">
        <v>3083</v>
      </c>
    </row>
    <row r="762" spans="1:21" x14ac:dyDescent="0.25">
      <c r="A762" t="s">
        <v>33</v>
      </c>
      <c r="B762" t="s">
        <v>34</v>
      </c>
      <c r="C762">
        <v>200</v>
      </c>
      <c r="D762">
        <v>1</v>
      </c>
      <c r="E762">
        <v>0</v>
      </c>
      <c r="F762" t="s">
        <v>3089</v>
      </c>
      <c r="G762">
        <v>200</v>
      </c>
      <c r="H762">
        <v>0</v>
      </c>
      <c r="I762" t="s">
        <v>445</v>
      </c>
      <c r="J762" t="s">
        <v>3090</v>
      </c>
      <c r="K762" t="s">
        <v>384</v>
      </c>
      <c r="L762" t="s">
        <v>27</v>
      </c>
      <c r="M762" t="s">
        <v>28</v>
      </c>
      <c r="N762" t="s">
        <v>3091</v>
      </c>
      <c r="O762" t="s">
        <v>27</v>
      </c>
      <c r="P762" t="s">
        <v>39</v>
      </c>
      <c r="Q762" t="s">
        <v>31</v>
      </c>
      <c r="R762" t="s">
        <v>32</v>
      </c>
      <c r="S762" t="s">
        <v>28</v>
      </c>
      <c r="T762" t="s">
        <v>3092</v>
      </c>
      <c r="U762" t="s">
        <v>3083</v>
      </c>
    </row>
    <row r="763" spans="1:21" x14ac:dyDescent="0.25">
      <c r="A763" t="s">
        <v>63</v>
      </c>
      <c r="B763" t="s">
        <v>64</v>
      </c>
      <c r="C763">
        <v>100</v>
      </c>
      <c r="D763">
        <v>1</v>
      </c>
      <c r="E763">
        <v>0</v>
      </c>
      <c r="F763" t="s">
        <v>3093</v>
      </c>
      <c r="G763">
        <v>100</v>
      </c>
      <c r="H763">
        <v>0</v>
      </c>
      <c r="I763" t="s">
        <v>445</v>
      </c>
      <c r="J763" t="s">
        <v>3094</v>
      </c>
      <c r="K763" t="s">
        <v>753</v>
      </c>
      <c r="L763" t="s">
        <v>27</v>
      </c>
      <c r="M763" t="s">
        <v>28</v>
      </c>
      <c r="N763" t="s">
        <v>3095</v>
      </c>
      <c r="O763" t="s">
        <v>27</v>
      </c>
      <c r="P763" t="s">
        <v>56</v>
      </c>
      <c r="Q763" t="s">
        <v>31</v>
      </c>
      <c r="R763" t="s">
        <v>57</v>
      </c>
      <c r="S763" t="s">
        <v>28</v>
      </c>
      <c r="T763" t="s">
        <v>3096</v>
      </c>
      <c r="U763" t="s">
        <v>3083</v>
      </c>
    </row>
    <row r="764" spans="1:21" x14ac:dyDescent="0.25">
      <c r="A764" t="s">
        <v>33</v>
      </c>
      <c r="B764" t="s">
        <v>34</v>
      </c>
      <c r="C764">
        <v>200</v>
      </c>
      <c r="D764">
        <v>1</v>
      </c>
      <c r="E764">
        <v>0</v>
      </c>
      <c r="F764" t="s">
        <v>3097</v>
      </c>
      <c r="G764">
        <v>200</v>
      </c>
      <c r="H764">
        <v>0</v>
      </c>
      <c r="I764" t="s">
        <v>445</v>
      </c>
      <c r="J764" t="s">
        <v>3098</v>
      </c>
      <c r="K764" t="s">
        <v>771</v>
      </c>
      <c r="L764" t="s">
        <v>27</v>
      </c>
      <c r="M764" t="s">
        <v>28</v>
      </c>
      <c r="N764" t="s">
        <v>3099</v>
      </c>
      <c r="O764" t="s">
        <v>27</v>
      </c>
      <c r="P764" t="s">
        <v>39</v>
      </c>
      <c r="Q764" t="s">
        <v>31</v>
      </c>
      <c r="R764" t="s">
        <v>32</v>
      </c>
      <c r="S764" t="s">
        <v>28</v>
      </c>
      <c r="T764" t="s">
        <v>3100</v>
      </c>
      <c r="U764" t="s">
        <v>3101</v>
      </c>
    </row>
    <row r="765" spans="1:21" x14ac:dyDescent="0.25">
      <c r="A765" t="s">
        <v>21</v>
      </c>
      <c r="B765" t="s">
        <v>22</v>
      </c>
      <c r="C765">
        <v>100</v>
      </c>
      <c r="D765">
        <v>1</v>
      </c>
      <c r="E765">
        <v>0</v>
      </c>
      <c r="F765" t="s">
        <v>3102</v>
      </c>
      <c r="G765">
        <v>290</v>
      </c>
      <c r="H765">
        <v>0</v>
      </c>
      <c r="I765" t="s">
        <v>445</v>
      </c>
      <c r="J765" t="s">
        <v>3103</v>
      </c>
      <c r="K765" t="s">
        <v>346</v>
      </c>
      <c r="L765" t="s">
        <v>27</v>
      </c>
      <c r="M765" t="s">
        <v>28</v>
      </c>
      <c r="N765" t="s">
        <v>3104</v>
      </c>
      <c r="O765" t="s">
        <v>27</v>
      </c>
      <c r="P765" t="s">
        <v>39</v>
      </c>
      <c r="Q765" t="s">
        <v>31</v>
      </c>
      <c r="R765" t="s">
        <v>32</v>
      </c>
      <c r="S765" t="s">
        <v>28</v>
      </c>
      <c r="T765" t="s">
        <v>3105</v>
      </c>
      <c r="U765" t="s">
        <v>3101</v>
      </c>
    </row>
    <row r="766" spans="1:21" x14ac:dyDescent="0.25">
      <c r="A766" t="s">
        <v>2873</v>
      </c>
      <c r="B766" t="s">
        <v>3106</v>
      </c>
      <c r="C766">
        <v>232.24</v>
      </c>
      <c r="D766">
        <v>1</v>
      </c>
      <c r="E766">
        <v>0</v>
      </c>
      <c r="F766" t="s">
        <v>3107</v>
      </c>
      <c r="G766">
        <v>232.24</v>
      </c>
      <c r="H766">
        <v>0</v>
      </c>
      <c r="I766" t="s">
        <v>720</v>
      </c>
      <c r="J766" t="s">
        <v>2298</v>
      </c>
      <c r="K766" t="s">
        <v>2299</v>
      </c>
      <c r="L766" t="s">
        <v>2300</v>
      </c>
      <c r="M766" t="s">
        <v>2301</v>
      </c>
      <c r="N766" t="s">
        <v>3108</v>
      </c>
      <c r="O766" t="s">
        <v>27</v>
      </c>
      <c r="P766" t="s">
        <v>48</v>
      </c>
      <c r="Q766" t="s">
        <v>49</v>
      </c>
      <c r="R766" t="s">
        <v>50</v>
      </c>
      <c r="S766" t="s">
        <v>28</v>
      </c>
      <c r="T766" t="s">
        <v>27</v>
      </c>
      <c r="U766" t="s">
        <v>3108</v>
      </c>
    </row>
    <row r="767" spans="1:21" x14ac:dyDescent="0.25">
      <c r="A767" t="s">
        <v>33</v>
      </c>
      <c r="B767" t="s">
        <v>34</v>
      </c>
      <c r="C767">
        <v>200</v>
      </c>
      <c r="D767">
        <v>1</v>
      </c>
      <c r="E767">
        <v>0</v>
      </c>
      <c r="F767" t="s">
        <v>3109</v>
      </c>
      <c r="G767">
        <v>200</v>
      </c>
      <c r="H767">
        <v>0</v>
      </c>
      <c r="I767" t="s">
        <v>24</v>
      </c>
      <c r="J767" t="s">
        <v>3110</v>
      </c>
      <c r="K767" t="s">
        <v>358</v>
      </c>
      <c r="L767" t="s">
        <v>27</v>
      </c>
      <c r="M767" t="s">
        <v>28</v>
      </c>
      <c r="N767" t="s">
        <v>3111</v>
      </c>
      <c r="O767" t="s">
        <v>27</v>
      </c>
      <c r="P767" t="s">
        <v>39</v>
      </c>
      <c r="Q767" t="s">
        <v>31</v>
      </c>
      <c r="R767" t="s">
        <v>32</v>
      </c>
      <c r="S767" t="s">
        <v>28</v>
      </c>
      <c r="T767" t="s">
        <v>3112</v>
      </c>
      <c r="U767" t="s">
        <v>3111</v>
      </c>
    </row>
    <row r="768" spans="1:21" x14ac:dyDescent="0.25">
      <c r="A768" t="s">
        <v>94</v>
      </c>
      <c r="B768" t="s">
        <v>95</v>
      </c>
      <c r="C768">
        <v>74.400000000000006</v>
      </c>
      <c r="D768">
        <v>1</v>
      </c>
      <c r="E768">
        <v>0</v>
      </c>
      <c r="F768" t="s">
        <v>3113</v>
      </c>
      <c r="G768">
        <v>79.400000000000006</v>
      </c>
      <c r="H768">
        <v>5</v>
      </c>
      <c r="I768" t="s">
        <v>24</v>
      </c>
      <c r="J768" t="s">
        <v>3114</v>
      </c>
      <c r="K768" t="s">
        <v>3115</v>
      </c>
      <c r="L768" t="s">
        <v>885</v>
      </c>
      <c r="M768" t="s">
        <v>3116</v>
      </c>
      <c r="N768" t="s">
        <v>3117</v>
      </c>
      <c r="O768" t="s">
        <v>27</v>
      </c>
      <c r="P768" t="s">
        <v>48</v>
      </c>
      <c r="Q768" t="s">
        <v>49</v>
      </c>
      <c r="R768" t="s">
        <v>50</v>
      </c>
      <c r="S768" t="s">
        <v>28</v>
      </c>
      <c r="T768" t="s">
        <v>3118</v>
      </c>
      <c r="U768" t="s">
        <v>3117</v>
      </c>
    </row>
    <row r="769" spans="1:21" x14ac:dyDescent="0.25">
      <c r="A769" t="s">
        <v>456</v>
      </c>
      <c r="B769" t="s">
        <v>1178</v>
      </c>
      <c r="C769">
        <v>149.80000000000001</v>
      </c>
      <c r="D769">
        <v>1</v>
      </c>
      <c r="E769">
        <v>0</v>
      </c>
      <c r="F769" t="s">
        <v>3119</v>
      </c>
      <c r="G769">
        <v>194.8</v>
      </c>
      <c r="H769">
        <v>45</v>
      </c>
      <c r="I769" t="s">
        <v>628</v>
      </c>
      <c r="J769" t="s">
        <v>3120</v>
      </c>
      <c r="K769" t="s">
        <v>3121</v>
      </c>
      <c r="L769" t="s">
        <v>3122</v>
      </c>
      <c r="M769" t="s">
        <v>3123</v>
      </c>
      <c r="N769" t="s">
        <v>3124</v>
      </c>
      <c r="O769" t="s">
        <v>27</v>
      </c>
      <c r="P769" t="s">
        <v>48</v>
      </c>
      <c r="Q769" t="s">
        <v>49</v>
      </c>
      <c r="R769" t="s">
        <v>50</v>
      </c>
      <c r="S769" t="s">
        <v>28</v>
      </c>
      <c r="T769" t="s">
        <v>3125</v>
      </c>
      <c r="U769" t="s">
        <v>3124</v>
      </c>
    </row>
    <row r="770" spans="1:21" x14ac:dyDescent="0.25">
      <c r="A770" t="s">
        <v>21</v>
      </c>
      <c r="B770" t="s">
        <v>22</v>
      </c>
      <c r="C770">
        <v>100</v>
      </c>
      <c r="D770">
        <v>1</v>
      </c>
      <c r="E770">
        <v>0</v>
      </c>
      <c r="F770" t="s">
        <v>3126</v>
      </c>
      <c r="G770">
        <v>500</v>
      </c>
      <c r="H770">
        <v>0</v>
      </c>
      <c r="I770" t="s">
        <v>140</v>
      </c>
      <c r="J770" t="s">
        <v>3127</v>
      </c>
      <c r="K770" t="s">
        <v>418</v>
      </c>
      <c r="L770" t="s">
        <v>27</v>
      </c>
      <c r="M770" t="s">
        <v>28</v>
      </c>
      <c r="N770" t="s">
        <v>3128</v>
      </c>
      <c r="O770" t="s">
        <v>27</v>
      </c>
      <c r="P770" t="s">
        <v>369</v>
      </c>
      <c r="Q770" t="s">
        <v>31</v>
      </c>
      <c r="R770" t="s">
        <v>57</v>
      </c>
      <c r="S770" t="s">
        <v>28</v>
      </c>
      <c r="T770" t="s">
        <v>3129</v>
      </c>
      <c r="U770" t="s">
        <v>3130</v>
      </c>
    </row>
    <row r="771" spans="1:21" x14ac:dyDescent="0.25">
      <c r="A771" t="s">
        <v>33</v>
      </c>
      <c r="B771" t="s">
        <v>34</v>
      </c>
      <c r="C771">
        <v>200</v>
      </c>
      <c r="D771">
        <v>1</v>
      </c>
      <c r="E771">
        <v>0</v>
      </c>
      <c r="F771" t="s">
        <v>3126</v>
      </c>
      <c r="G771">
        <v>500</v>
      </c>
      <c r="H771">
        <v>0</v>
      </c>
      <c r="I771" t="s">
        <v>140</v>
      </c>
      <c r="J771" t="s">
        <v>3127</v>
      </c>
      <c r="K771" t="s">
        <v>418</v>
      </c>
      <c r="L771" t="s">
        <v>27</v>
      </c>
      <c r="M771" t="s">
        <v>28</v>
      </c>
      <c r="N771" t="s">
        <v>3128</v>
      </c>
      <c r="O771" t="s">
        <v>27</v>
      </c>
      <c r="P771" t="s">
        <v>369</v>
      </c>
      <c r="Q771" t="s">
        <v>31</v>
      </c>
      <c r="R771" t="s">
        <v>57</v>
      </c>
      <c r="S771" t="s">
        <v>28</v>
      </c>
      <c r="T771" t="s">
        <v>3129</v>
      </c>
      <c r="U771" t="s">
        <v>3130</v>
      </c>
    </row>
    <row r="772" spans="1:21" x14ac:dyDescent="0.25">
      <c r="A772" t="s">
        <v>134</v>
      </c>
      <c r="B772" t="s">
        <v>64</v>
      </c>
      <c r="C772">
        <v>100</v>
      </c>
      <c r="D772">
        <v>1</v>
      </c>
      <c r="E772">
        <v>0</v>
      </c>
      <c r="F772" t="s">
        <v>3126</v>
      </c>
      <c r="G772">
        <v>500</v>
      </c>
      <c r="H772">
        <v>0</v>
      </c>
      <c r="I772" t="s">
        <v>140</v>
      </c>
      <c r="J772" t="s">
        <v>3127</v>
      </c>
      <c r="K772" t="s">
        <v>418</v>
      </c>
      <c r="L772" t="s">
        <v>27</v>
      </c>
      <c r="M772" t="s">
        <v>28</v>
      </c>
      <c r="N772" t="s">
        <v>3128</v>
      </c>
      <c r="O772" t="s">
        <v>27</v>
      </c>
      <c r="P772" t="s">
        <v>369</v>
      </c>
      <c r="Q772" t="s">
        <v>31</v>
      </c>
      <c r="R772" t="s">
        <v>57</v>
      </c>
      <c r="S772" t="s">
        <v>28</v>
      </c>
      <c r="T772" t="s">
        <v>3129</v>
      </c>
      <c r="U772" t="s">
        <v>3130</v>
      </c>
    </row>
    <row r="773" spans="1:21" x14ac:dyDescent="0.25">
      <c r="A773" t="s">
        <v>63</v>
      </c>
      <c r="B773" t="s">
        <v>64</v>
      </c>
      <c r="C773">
        <v>100</v>
      </c>
      <c r="D773">
        <v>1</v>
      </c>
      <c r="E773">
        <v>0</v>
      </c>
      <c r="F773" t="s">
        <v>3126</v>
      </c>
      <c r="G773">
        <v>500</v>
      </c>
      <c r="H773">
        <v>0</v>
      </c>
      <c r="I773" t="s">
        <v>140</v>
      </c>
      <c r="J773" t="s">
        <v>3127</v>
      </c>
      <c r="K773" t="s">
        <v>418</v>
      </c>
      <c r="L773" t="s">
        <v>27</v>
      </c>
      <c r="M773" t="s">
        <v>28</v>
      </c>
      <c r="N773" t="s">
        <v>3128</v>
      </c>
      <c r="O773" t="s">
        <v>27</v>
      </c>
      <c r="P773" t="s">
        <v>369</v>
      </c>
      <c r="Q773" t="s">
        <v>31</v>
      </c>
      <c r="R773" t="s">
        <v>57</v>
      </c>
      <c r="S773" t="s">
        <v>28</v>
      </c>
      <c r="T773" t="s">
        <v>3129</v>
      </c>
      <c r="U773" t="s">
        <v>3130</v>
      </c>
    </row>
    <row r="774" spans="1:21" x14ac:dyDescent="0.25">
      <c r="A774" t="s">
        <v>21</v>
      </c>
      <c r="B774" t="s">
        <v>22</v>
      </c>
      <c r="C774">
        <v>100</v>
      </c>
      <c r="D774">
        <v>1</v>
      </c>
      <c r="E774">
        <v>0</v>
      </c>
      <c r="F774" t="s">
        <v>3131</v>
      </c>
      <c r="G774">
        <v>200</v>
      </c>
      <c r="H774">
        <v>0</v>
      </c>
      <c r="I774" t="s">
        <v>445</v>
      </c>
      <c r="J774" t="s">
        <v>3132</v>
      </c>
      <c r="K774" t="s">
        <v>124</v>
      </c>
      <c r="L774" t="s">
        <v>27</v>
      </c>
      <c r="M774" t="s">
        <v>28</v>
      </c>
      <c r="N774" t="s">
        <v>3133</v>
      </c>
      <c r="O774" t="s">
        <v>27</v>
      </c>
      <c r="P774" t="s">
        <v>39</v>
      </c>
      <c r="Q774" t="s">
        <v>31</v>
      </c>
      <c r="R774" t="s">
        <v>32</v>
      </c>
      <c r="S774" t="s">
        <v>28</v>
      </c>
      <c r="T774" t="s">
        <v>3134</v>
      </c>
      <c r="U774" t="s">
        <v>3133</v>
      </c>
    </row>
    <row r="775" spans="1:21" x14ac:dyDescent="0.25">
      <c r="A775" t="s">
        <v>58</v>
      </c>
      <c r="B775" t="s">
        <v>58</v>
      </c>
      <c r="C775">
        <v>100</v>
      </c>
      <c r="D775">
        <v>1</v>
      </c>
      <c r="E775">
        <v>0</v>
      </c>
      <c r="F775" t="s">
        <v>3131</v>
      </c>
      <c r="G775">
        <v>200</v>
      </c>
      <c r="H775">
        <v>0</v>
      </c>
      <c r="I775" t="s">
        <v>445</v>
      </c>
      <c r="J775" t="s">
        <v>3132</v>
      </c>
      <c r="K775" t="s">
        <v>124</v>
      </c>
      <c r="L775" t="s">
        <v>27</v>
      </c>
      <c r="M775" t="s">
        <v>28</v>
      </c>
      <c r="N775" t="s">
        <v>3133</v>
      </c>
      <c r="O775" t="s">
        <v>27</v>
      </c>
      <c r="P775" t="s">
        <v>39</v>
      </c>
      <c r="Q775" t="s">
        <v>31</v>
      </c>
      <c r="R775" t="s">
        <v>32</v>
      </c>
      <c r="S775" t="s">
        <v>28</v>
      </c>
      <c r="T775" t="s">
        <v>3134</v>
      </c>
      <c r="U775" t="s">
        <v>3133</v>
      </c>
    </row>
    <row r="776" spans="1:21" x14ac:dyDescent="0.25">
      <c r="A776" t="s">
        <v>70</v>
      </c>
      <c r="B776" t="s">
        <v>70</v>
      </c>
      <c r="C776">
        <v>350</v>
      </c>
      <c r="D776">
        <v>1</v>
      </c>
      <c r="E776">
        <v>0</v>
      </c>
      <c r="F776" t="s">
        <v>3135</v>
      </c>
      <c r="G776">
        <v>350</v>
      </c>
      <c r="H776">
        <v>0</v>
      </c>
      <c r="I776" t="s">
        <v>140</v>
      </c>
      <c r="J776" t="s">
        <v>3136</v>
      </c>
      <c r="K776" t="s">
        <v>834</v>
      </c>
      <c r="L776" t="s">
        <v>27</v>
      </c>
      <c r="M776" t="s">
        <v>28</v>
      </c>
      <c r="N776" t="s">
        <v>3137</v>
      </c>
      <c r="O776" t="s">
        <v>27</v>
      </c>
      <c r="P776" t="s">
        <v>30</v>
      </c>
      <c r="Q776" t="s">
        <v>31</v>
      </c>
      <c r="R776" t="s">
        <v>32</v>
      </c>
      <c r="S776" t="s">
        <v>28</v>
      </c>
      <c r="T776" t="s">
        <v>3138</v>
      </c>
      <c r="U776" t="s">
        <v>3137</v>
      </c>
    </row>
    <row r="777" spans="1:21" x14ac:dyDescent="0.25">
      <c r="A777" t="s">
        <v>21</v>
      </c>
      <c r="B777" t="s">
        <v>22</v>
      </c>
      <c r="C777">
        <v>100</v>
      </c>
      <c r="D777">
        <v>2</v>
      </c>
      <c r="E777">
        <v>0</v>
      </c>
      <c r="F777" t="s">
        <v>3139</v>
      </c>
      <c r="G777">
        <v>200</v>
      </c>
      <c r="H777">
        <v>0</v>
      </c>
      <c r="I777" t="s">
        <v>140</v>
      </c>
      <c r="J777" t="s">
        <v>3140</v>
      </c>
      <c r="K777" t="s">
        <v>384</v>
      </c>
      <c r="L777" t="s">
        <v>27</v>
      </c>
      <c r="M777" t="s">
        <v>28</v>
      </c>
      <c r="N777" t="s">
        <v>3137</v>
      </c>
      <c r="O777" t="s">
        <v>27</v>
      </c>
      <c r="P777" t="s">
        <v>30</v>
      </c>
      <c r="Q777" t="s">
        <v>31</v>
      </c>
      <c r="R777" t="s">
        <v>32</v>
      </c>
      <c r="S777" t="s">
        <v>28</v>
      </c>
      <c r="T777" t="s">
        <v>3141</v>
      </c>
      <c r="U777" t="s">
        <v>3137</v>
      </c>
    </row>
    <row r="778" spans="1:21" x14ac:dyDescent="0.25">
      <c r="A778" t="s">
        <v>58</v>
      </c>
      <c r="B778" t="s">
        <v>58</v>
      </c>
      <c r="C778">
        <v>100</v>
      </c>
      <c r="D778">
        <v>1</v>
      </c>
      <c r="E778">
        <v>0</v>
      </c>
      <c r="F778" t="s">
        <v>3142</v>
      </c>
      <c r="G778">
        <v>100</v>
      </c>
      <c r="H778">
        <v>0</v>
      </c>
      <c r="I778" t="s">
        <v>24</v>
      </c>
      <c r="J778" t="s">
        <v>3132</v>
      </c>
      <c r="K778" t="s">
        <v>388</v>
      </c>
      <c r="L778" t="s">
        <v>27</v>
      </c>
      <c r="M778" t="s">
        <v>28</v>
      </c>
      <c r="N778" t="s">
        <v>3137</v>
      </c>
      <c r="O778" t="s">
        <v>27</v>
      </c>
      <c r="P778" t="s">
        <v>39</v>
      </c>
      <c r="Q778" t="s">
        <v>31</v>
      </c>
      <c r="R778" t="s">
        <v>32</v>
      </c>
      <c r="S778" t="s">
        <v>28</v>
      </c>
      <c r="T778" t="s">
        <v>3143</v>
      </c>
      <c r="U778" t="s">
        <v>3137</v>
      </c>
    </row>
    <row r="779" spans="1:21" x14ac:dyDescent="0.25">
      <c r="A779" t="s">
        <v>21</v>
      </c>
      <c r="B779" t="s">
        <v>22</v>
      </c>
      <c r="C779">
        <v>100</v>
      </c>
      <c r="D779">
        <v>1</v>
      </c>
      <c r="E779">
        <v>0</v>
      </c>
      <c r="F779" t="s">
        <v>3144</v>
      </c>
      <c r="G779">
        <v>200</v>
      </c>
      <c r="H779">
        <v>0</v>
      </c>
      <c r="I779" t="s">
        <v>140</v>
      </c>
      <c r="J779" t="s">
        <v>3145</v>
      </c>
      <c r="K779" t="s">
        <v>384</v>
      </c>
      <c r="L779" t="s">
        <v>27</v>
      </c>
      <c r="M779" t="s">
        <v>28</v>
      </c>
      <c r="N779" t="s">
        <v>3137</v>
      </c>
      <c r="O779" t="s">
        <v>27</v>
      </c>
      <c r="P779" t="s">
        <v>369</v>
      </c>
      <c r="Q779" t="s">
        <v>31</v>
      </c>
      <c r="R779" t="s">
        <v>57</v>
      </c>
      <c r="S779" t="s">
        <v>28</v>
      </c>
      <c r="T779" t="s">
        <v>3146</v>
      </c>
      <c r="U779" t="s">
        <v>3147</v>
      </c>
    </row>
    <row r="780" spans="1:21" x14ac:dyDescent="0.25">
      <c r="A780" t="s">
        <v>58</v>
      </c>
      <c r="B780" t="s">
        <v>58</v>
      </c>
      <c r="C780">
        <v>100</v>
      </c>
      <c r="D780">
        <v>1</v>
      </c>
      <c r="E780">
        <v>0</v>
      </c>
      <c r="F780" t="s">
        <v>3144</v>
      </c>
      <c r="G780">
        <v>200</v>
      </c>
      <c r="H780">
        <v>0</v>
      </c>
      <c r="I780" t="s">
        <v>140</v>
      </c>
      <c r="J780" t="s">
        <v>3145</v>
      </c>
      <c r="K780" t="s">
        <v>384</v>
      </c>
      <c r="L780" t="s">
        <v>27</v>
      </c>
      <c r="M780" t="s">
        <v>28</v>
      </c>
      <c r="N780" t="s">
        <v>3137</v>
      </c>
      <c r="O780" t="s">
        <v>27</v>
      </c>
      <c r="P780" t="s">
        <v>369</v>
      </c>
      <c r="Q780" t="s">
        <v>31</v>
      </c>
      <c r="R780" t="s">
        <v>57</v>
      </c>
      <c r="S780" t="s">
        <v>28</v>
      </c>
      <c r="T780" t="s">
        <v>3146</v>
      </c>
      <c r="U780" t="s">
        <v>3147</v>
      </c>
    </row>
    <row r="781" spans="1:21" x14ac:dyDescent="0.25">
      <c r="A781" t="s">
        <v>70</v>
      </c>
      <c r="B781" t="s">
        <v>70</v>
      </c>
      <c r="C781">
        <v>330</v>
      </c>
      <c r="D781">
        <v>1</v>
      </c>
      <c r="E781">
        <v>0</v>
      </c>
      <c r="F781" t="s">
        <v>3148</v>
      </c>
      <c r="G781">
        <v>330</v>
      </c>
      <c r="H781">
        <v>0</v>
      </c>
      <c r="I781" t="s">
        <v>445</v>
      </c>
      <c r="J781" t="s">
        <v>3149</v>
      </c>
      <c r="K781" t="s">
        <v>3150</v>
      </c>
      <c r="L781" t="s">
        <v>27</v>
      </c>
      <c r="M781" t="s">
        <v>28</v>
      </c>
      <c r="N781" t="s">
        <v>3151</v>
      </c>
      <c r="O781" t="s">
        <v>27</v>
      </c>
      <c r="P781" t="s">
        <v>39</v>
      </c>
      <c r="Q781" t="s">
        <v>31</v>
      </c>
      <c r="R781" t="s">
        <v>32</v>
      </c>
      <c r="S781" t="s">
        <v>28</v>
      </c>
      <c r="T781" t="s">
        <v>3152</v>
      </c>
      <c r="U781" t="s">
        <v>3153</v>
      </c>
    </row>
    <row r="782" spans="1:21" x14ac:dyDescent="0.25">
      <c r="A782" t="s">
        <v>635</v>
      </c>
      <c r="B782" t="s">
        <v>1129</v>
      </c>
      <c r="C782">
        <v>458.76</v>
      </c>
      <c r="D782">
        <v>1</v>
      </c>
      <c r="E782">
        <v>0</v>
      </c>
      <c r="F782" t="s">
        <v>3154</v>
      </c>
      <c r="G782">
        <v>458.76</v>
      </c>
      <c r="H782">
        <v>0</v>
      </c>
      <c r="I782" t="s">
        <v>105</v>
      </c>
      <c r="J782" t="s">
        <v>3155</v>
      </c>
      <c r="K782" t="s">
        <v>3156</v>
      </c>
      <c r="L782" t="s">
        <v>3157</v>
      </c>
      <c r="M782" t="s">
        <v>3158</v>
      </c>
      <c r="N782" t="s">
        <v>3159</v>
      </c>
      <c r="O782" t="s">
        <v>27</v>
      </c>
      <c r="P782" t="s">
        <v>48</v>
      </c>
      <c r="Q782" t="s">
        <v>49</v>
      </c>
      <c r="R782" t="s">
        <v>50</v>
      </c>
      <c r="S782" t="s">
        <v>28</v>
      </c>
      <c r="T782" t="s">
        <v>3160</v>
      </c>
      <c r="U782" t="s">
        <v>3159</v>
      </c>
    </row>
    <row r="783" spans="1:21" x14ac:dyDescent="0.25">
      <c r="A783" t="s">
        <v>143</v>
      </c>
      <c r="B783" t="s">
        <v>144</v>
      </c>
      <c r="C783">
        <v>200</v>
      </c>
      <c r="D783">
        <v>1</v>
      </c>
      <c r="E783">
        <v>0</v>
      </c>
      <c r="F783" t="s">
        <v>3161</v>
      </c>
      <c r="G783">
        <v>200</v>
      </c>
      <c r="H783">
        <v>0</v>
      </c>
      <c r="I783" t="s">
        <v>24</v>
      </c>
      <c r="J783" t="s">
        <v>3162</v>
      </c>
      <c r="K783" t="s">
        <v>118</v>
      </c>
      <c r="L783" t="s">
        <v>27</v>
      </c>
      <c r="M783" t="s">
        <v>28</v>
      </c>
      <c r="N783" t="s">
        <v>3163</v>
      </c>
      <c r="O783" t="s">
        <v>27</v>
      </c>
      <c r="P783" t="s">
        <v>39</v>
      </c>
      <c r="Q783" t="s">
        <v>31</v>
      </c>
      <c r="R783" t="s">
        <v>32</v>
      </c>
      <c r="S783" t="s">
        <v>28</v>
      </c>
      <c r="T783" t="s">
        <v>3164</v>
      </c>
      <c r="U783" t="s">
        <v>3163</v>
      </c>
    </row>
    <row r="784" spans="1:21" x14ac:dyDescent="0.25">
      <c r="A784" t="s">
        <v>33</v>
      </c>
      <c r="B784" t="s">
        <v>34</v>
      </c>
      <c r="C784">
        <v>200</v>
      </c>
      <c r="D784">
        <v>1</v>
      </c>
      <c r="E784">
        <v>0</v>
      </c>
      <c r="F784" t="s">
        <v>3165</v>
      </c>
      <c r="G784">
        <v>200</v>
      </c>
      <c r="H784">
        <v>0</v>
      </c>
      <c r="I784" t="s">
        <v>445</v>
      </c>
      <c r="J784" t="s">
        <v>3166</v>
      </c>
      <c r="K784" t="s">
        <v>325</v>
      </c>
      <c r="L784" t="s">
        <v>27</v>
      </c>
      <c r="M784" t="s">
        <v>28</v>
      </c>
      <c r="N784" t="s">
        <v>3167</v>
      </c>
      <c r="O784" t="s">
        <v>27</v>
      </c>
      <c r="P784" t="s">
        <v>39</v>
      </c>
      <c r="Q784" t="s">
        <v>31</v>
      </c>
      <c r="R784" t="s">
        <v>32</v>
      </c>
      <c r="S784" t="s">
        <v>28</v>
      </c>
      <c r="T784" t="s">
        <v>3168</v>
      </c>
      <c r="U784" t="s">
        <v>3167</v>
      </c>
    </row>
    <row r="785" spans="1:21" x14ac:dyDescent="0.25">
      <c r="A785" t="s">
        <v>195</v>
      </c>
      <c r="B785" t="s">
        <v>1003</v>
      </c>
      <c r="C785">
        <v>119.84</v>
      </c>
      <c r="D785">
        <v>1</v>
      </c>
      <c r="E785">
        <v>0</v>
      </c>
      <c r="F785" t="s">
        <v>3169</v>
      </c>
      <c r="G785">
        <v>124.84</v>
      </c>
      <c r="H785">
        <v>5</v>
      </c>
      <c r="I785" t="s">
        <v>628</v>
      </c>
      <c r="J785" t="s">
        <v>3170</v>
      </c>
      <c r="K785" t="s">
        <v>3171</v>
      </c>
      <c r="L785" t="s">
        <v>3172</v>
      </c>
      <c r="M785" t="s">
        <v>3173</v>
      </c>
      <c r="N785" t="s">
        <v>3167</v>
      </c>
      <c r="O785" t="s">
        <v>27</v>
      </c>
      <c r="P785" t="s">
        <v>48</v>
      </c>
      <c r="Q785" t="s">
        <v>49</v>
      </c>
      <c r="R785" t="s">
        <v>50</v>
      </c>
      <c r="S785" t="s">
        <v>28</v>
      </c>
      <c r="T785" t="s">
        <v>3174</v>
      </c>
      <c r="U785" t="s">
        <v>3167</v>
      </c>
    </row>
    <row r="786" spans="1:21" x14ac:dyDescent="0.25">
      <c r="A786" t="s">
        <v>143</v>
      </c>
      <c r="B786" t="s">
        <v>144</v>
      </c>
      <c r="C786">
        <v>200</v>
      </c>
      <c r="D786">
        <v>1</v>
      </c>
      <c r="E786">
        <v>0</v>
      </c>
      <c r="F786" t="s">
        <v>3175</v>
      </c>
      <c r="G786">
        <v>200</v>
      </c>
      <c r="H786">
        <v>0</v>
      </c>
      <c r="I786" t="s">
        <v>24</v>
      </c>
      <c r="J786" t="s">
        <v>3176</v>
      </c>
      <c r="K786" t="s">
        <v>67</v>
      </c>
      <c r="L786" t="s">
        <v>27</v>
      </c>
      <c r="M786" t="s">
        <v>28</v>
      </c>
      <c r="N786" t="s">
        <v>3177</v>
      </c>
      <c r="O786" t="s">
        <v>27</v>
      </c>
      <c r="P786" t="s">
        <v>39</v>
      </c>
      <c r="Q786" t="s">
        <v>31</v>
      </c>
      <c r="R786" t="s">
        <v>32</v>
      </c>
      <c r="S786" t="s">
        <v>28</v>
      </c>
      <c r="T786" t="s">
        <v>3178</v>
      </c>
      <c r="U786" t="s">
        <v>3177</v>
      </c>
    </row>
    <row r="787" spans="1:21" x14ac:dyDescent="0.25">
      <c r="A787" t="s">
        <v>2820</v>
      </c>
      <c r="B787" t="s">
        <v>2821</v>
      </c>
      <c r="C787">
        <v>100</v>
      </c>
      <c r="D787">
        <v>1</v>
      </c>
      <c r="E787">
        <v>0</v>
      </c>
      <c r="F787" t="s">
        <v>3179</v>
      </c>
      <c r="G787">
        <v>200</v>
      </c>
      <c r="H787">
        <v>0</v>
      </c>
      <c r="I787" t="s">
        <v>140</v>
      </c>
      <c r="J787" t="s">
        <v>3180</v>
      </c>
      <c r="K787" t="s">
        <v>753</v>
      </c>
      <c r="L787" t="s">
        <v>27</v>
      </c>
      <c r="M787" t="s">
        <v>28</v>
      </c>
      <c r="N787" t="s">
        <v>3181</v>
      </c>
      <c r="O787" t="s">
        <v>27</v>
      </c>
      <c r="P787" t="s">
        <v>30</v>
      </c>
      <c r="Q787" t="s">
        <v>31</v>
      </c>
      <c r="R787" t="s">
        <v>32</v>
      </c>
      <c r="S787" t="s">
        <v>28</v>
      </c>
      <c r="T787" t="s">
        <v>3182</v>
      </c>
      <c r="U787" t="s">
        <v>3181</v>
      </c>
    </row>
    <row r="788" spans="1:21" x14ac:dyDescent="0.25">
      <c r="A788" t="s">
        <v>21</v>
      </c>
      <c r="B788" t="s">
        <v>22</v>
      </c>
      <c r="C788">
        <v>100</v>
      </c>
      <c r="D788">
        <v>1</v>
      </c>
      <c r="E788">
        <v>0</v>
      </c>
      <c r="F788" t="s">
        <v>3179</v>
      </c>
      <c r="G788">
        <v>200</v>
      </c>
      <c r="H788">
        <v>0</v>
      </c>
      <c r="I788" t="s">
        <v>140</v>
      </c>
      <c r="J788" t="s">
        <v>3180</v>
      </c>
      <c r="K788" t="s">
        <v>753</v>
      </c>
      <c r="L788" t="s">
        <v>27</v>
      </c>
      <c r="M788" t="s">
        <v>28</v>
      </c>
      <c r="N788" t="s">
        <v>3181</v>
      </c>
      <c r="O788" t="s">
        <v>27</v>
      </c>
      <c r="P788" t="s">
        <v>30</v>
      </c>
      <c r="Q788" t="s">
        <v>31</v>
      </c>
      <c r="R788" t="s">
        <v>32</v>
      </c>
      <c r="S788" t="s">
        <v>28</v>
      </c>
      <c r="T788" t="s">
        <v>3182</v>
      </c>
      <c r="U788" t="s">
        <v>3181</v>
      </c>
    </row>
    <row r="789" spans="1:21" x14ac:dyDescent="0.25">
      <c r="A789" t="s">
        <v>58</v>
      </c>
      <c r="B789" t="s">
        <v>58</v>
      </c>
      <c r="C789">
        <v>100</v>
      </c>
      <c r="D789">
        <v>1</v>
      </c>
      <c r="E789">
        <v>0</v>
      </c>
      <c r="F789" t="s">
        <v>3183</v>
      </c>
      <c r="G789">
        <v>200</v>
      </c>
      <c r="H789">
        <v>0</v>
      </c>
      <c r="I789" t="s">
        <v>445</v>
      </c>
      <c r="J789" t="s">
        <v>3184</v>
      </c>
      <c r="K789" t="s">
        <v>919</v>
      </c>
      <c r="L789" t="s">
        <v>27</v>
      </c>
      <c r="M789" t="s">
        <v>28</v>
      </c>
      <c r="N789" t="s">
        <v>3185</v>
      </c>
      <c r="O789" t="s">
        <v>27</v>
      </c>
      <c r="P789" t="s">
        <v>56</v>
      </c>
      <c r="Q789" t="s">
        <v>31</v>
      </c>
      <c r="R789" t="s">
        <v>57</v>
      </c>
      <c r="S789" t="s">
        <v>28</v>
      </c>
      <c r="T789" t="s">
        <v>3186</v>
      </c>
      <c r="U789" t="s">
        <v>3187</v>
      </c>
    </row>
    <row r="790" spans="1:21" x14ac:dyDescent="0.25">
      <c r="A790" t="s">
        <v>134</v>
      </c>
      <c r="B790" t="s">
        <v>64</v>
      </c>
      <c r="C790">
        <v>100</v>
      </c>
      <c r="D790">
        <v>1</v>
      </c>
      <c r="E790">
        <v>0</v>
      </c>
      <c r="F790" t="s">
        <v>3183</v>
      </c>
      <c r="G790">
        <v>200</v>
      </c>
      <c r="H790">
        <v>0</v>
      </c>
      <c r="I790" t="s">
        <v>445</v>
      </c>
      <c r="J790" t="s">
        <v>3184</v>
      </c>
      <c r="K790" t="s">
        <v>919</v>
      </c>
      <c r="L790" t="s">
        <v>27</v>
      </c>
      <c r="M790" t="s">
        <v>28</v>
      </c>
      <c r="N790" t="s">
        <v>3185</v>
      </c>
      <c r="O790" t="s">
        <v>27</v>
      </c>
      <c r="P790" t="s">
        <v>56</v>
      </c>
      <c r="Q790" t="s">
        <v>31</v>
      </c>
      <c r="R790" t="s">
        <v>57</v>
      </c>
      <c r="S790" t="s">
        <v>28</v>
      </c>
      <c r="T790" t="s">
        <v>3186</v>
      </c>
      <c r="U790" t="s">
        <v>3187</v>
      </c>
    </row>
    <row r="791" spans="1:21" x14ac:dyDescent="0.25">
      <c r="A791" t="s">
        <v>21</v>
      </c>
      <c r="B791" t="s">
        <v>22</v>
      </c>
      <c r="C791">
        <v>100</v>
      </c>
      <c r="D791">
        <v>1</v>
      </c>
      <c r="E791">
        <v>0</v>
      </c>
      <c r="F791" t="s">
        <v>3188</v>
      </c>
      <c r="G791">
        <v>145</v>
      </c>
      <c r="H791">
        <v>45</v>
      </c>
      <c r="I791" t="s">
        <v>24</v>
      </c>
      <c r="J791" t="s">
        <v>3189</v>
      </c>
      <c r="K791" t="s">
        <v>711</v>
      </c>
      <c r="L791" t="s">
        <v>27</v>
      </c>
      <c r="M791" t="s">
        <v>28</v>
      </c>
      <c r="N791" t="s">
        <v>3187</v>
      </c>
      <c r="O791" t="s">
        <v>27</v>
      </c>
      <c r="P791" t="s">
        <v>39</v>
      </c>
      <c r="Q791" t="s">
        <v>31</v>
      </c>
      <c r="R791" t="s">
        <v>32</v>
      </c>
      <c r="S791" t="s">
        <v>28</v>
      </c>
      <c r="T791" t="s">
        <v>3190</v>
      </c>
      <c r="U791" t="s">
        <v>3187</v>
      </c>
    </row>
    <row r="792" spans="1:21" x14ac:dyDescent="0.25">
      <c r="A792" t="s">
        <v>94</v>
      </c>
      <c r="B792" t="s">
        <v>95</v>
      </c>
      <c r="C792">
        <v>62.4</v>
      </c>
      <c r="D792">
        <v>1</v>
      </c>
      <c r="E792">
        <v>0</v>
      </c>
      <c r="F792" t="s">
        <v>3191</v>
      </c>
      <c r="G792">
        <v>67.400000000000006</v>
      </c>
      <c r="H792">
        <v>5</v>
      </c>
      <c r="I792" t="s">
        <v>24</v>
      </c>
      <c r="J792" t="s">
        <v>3192</v>
      </c>
      <c r="K792" t="s">
        <v>3193</v>
      </c>
      <c r="L792" t="s">
        <v>1730</v>
      </c>
      <c r="M792" t="s">
        <v>3194</v>
      </c>
      <c r="N792" t="s">
        <v>3195</v>
      </c>
      <c r="O792" t="s">
        <v>27</v>
      </c>
      <c r="P792" t="s">
        <v>48</v>
      </c>
      <c r="Q792" t="s">
        <v>49</v>
      </c>
      <c r="R792" t="s">
        <v>50</v>
      </c>
      <c r="S792" t="s">
        <v>28</v>
      </c>
      <c r="T792" t="s">
        <v>3196</v>
      </c>
      <c r="U792" t="s">
        <v>3195</v>
      </c>
    </row>
    <row r="793" spans="1:21" x14ac:dyDescent="0.25">
      <c r="A793" t="s">
        <v>70</v>
      </c>
      <c r="B793" t="s">
        <v>70</v>
      </c>
      <c r="C793">
        <v>330</v>
      </c>
      <c r="D793">
        <v>1</v>
      </c>
      <c r="E793">
        <v>0</v>
      </c>
      <c r="F793" t="s">
        <v>3197</v>
      </c>
      <c r="G793">
        <v>330</v>
      </c>
      <c r="H793">
        <v>0</v>
      </c>
      <c r="I793" t="s">
        <v>445</v>
      </c>
      <c r="J793" t="s">
        <v>3198</v>
      </c>
      <c r="K793" t="s">
        <v>175</v>
      </c>
      <c r="L793" t="s">
        <v>27</v>
      </c>
      <c r="M793" t="s">
        <v>28</v>
      </c>
      <c r="N793" t="s">
        <v>3199</v>
      </c>
      <c r="O793" t="s">
        <v>27</v>
      </c>
      <c r="P793" t="s">
        <v>39</v>
      </c>
      <c r="Q793" t="s">
        <v>31</v>
      </c>
      <c r="R793" t="s">
        <v>32</v>
      </c>
      <c r="S793" t="s">
        <v>28</v>
      </c>
      <c r="T793" t="s">
        <v>3200</v>
      </c>
      <c r="U793" t="s">
        <v>3199</v>
      </c>
    </row>
    <row r="794" spans="1:21" x14ac:dyDescent="0.25">
      <c r="A794" t="s">
        <v>635</v>
      </c>
      <c r="B794" t="s">
        <v>714</v>
      </c>
      <c r="C794">
        <v>473.58</v>
      </c>
      <c r="D794">
        <v>1</v>
      </c>
      <c r="E794">
        <v>0</v>
      </c>
      <c r="F794" t="s">
        <v>3201</v>
      </c>
      <c r="G794">
        <v>497.58</v>
      </c>
      <c r="H794">
        <v>24</v>
      </c>
      <c r="I794" t="s">
        <v>628</v>
      </c>
      <c r="J794" t="s">
        <v>3202</v>
      </c>
      <c r="K794" t="s">
        <v>3203</v>
      </c>
      <c r="L794" t="s">
        <v>3204</v>
      </c>
      <c r="M794" t="s">
        <v>3205</v>
      </c>
      <c r="N794" t="s">
        <v>3199</v>
      </c>
      <c r="O794" t="s">
        <v>27</v>
      </c>
      <c r="P794" t="s">
        <v>48</v>
      </c>
      <c r="Q794" t="s">
        <v>49</v>
      </c>
      <c r="R794" t="s">
        <v>50</v>
      </c>
      <c r="S794" t="s">
        <v>28</v>
      </c>
      <c r="T794" t="s">
        <v>3206</v>
      </c>
      <c r="U794" t="s">
        <v>3199</v>
      </c>
    </row>
    <row r="795" spans="1:21" x14ac:dyDescent="0.25">
      <c r="A795" t="s">
        <v>195</v>
      </c>
      <c r="B795" t="s">
        <v>1003</v>
      </c>
      <c r="C795">
        <v>148.6</v>
      </c>
      <c r="D795">
        <v>1</v>
      </c>
      <c r="E795">
        <v>0</v>
      </c>
      <c r="F795" t="s">
        <v>3207</v>
      </c>
      <c r="G795">
        <v>148.6</v>
      </c>
      <c r="H795">
        <v>0</v>
      </c>
      <c r="I795" t="s">
        <v>628</v>
      </c>
      <c r="J795" t="s">
        <v>3208</v>
      </c>
      <c r="K795" t="s">
        <v>3209</v>
      </c>
      <c r="L795" t="s">
        <v>3210</v>
      </c>
      <c r="M795" t="s">
        <v>3211</v>
      </c>
      <c r="N795" t="s">
        <v>3212</v>
      </c>
      <c r="O795" t="s">
        <v>27</v>
      </c>
      <c r="P795" t="s">
        <v>48</v>
      </c>
      <c r="Q795" t="s">
        <v>49</v>
      </c>
      <c r="R795" t="s">
        <v>50</v>
      </c>
      <c r="S795" t="s">
        <v>28</v>
      </c>
      <c r="T795" t="s">
        <v>3213</v>
      </c>
      <c r="U795" t="s">
        <v>3212</v>
      </c>
    </row>
    <row r="796" spans="1:21" x14ac:dyDescent="0.25">
      <c r="A796" t="s">
        <v>21</v>
      </c>
      <c r="B796" t="s">
        <v>22</v>
      </c>
      <c r="C796">
        <v>100</v>
      </c>
      <c r="D796">
        <v>1</v>
      </c>
      <c r="E796">
        <v>0</v>
      </c>
      <c r="F796" t="s">
        <v>3214</v>
      </c>
      <c r="G796">
        <v>106</v>
      </c>
      <c r="H796">
        <v>6</v>
      </c>
      <c r="I796" t="s">
        <v>140</v>
      </c>
      <c r="J796" t="s">
        <v>3215</v>
      </c>
      <c r="K796" t="s">
        <v>118</v>
      </c>
      <c r="L796" t="s">
        <v>27</v>
      </c>
      <c r="M796" t="s">
        <v>28</v>
      </c>
      <c r="N796" t="s">
        <v>3216</v>
      </c>
      <c r="O796" t="s">
        <v>27</v>
      </c>
      <c r="P796" t="s">
        <v>30</v>
      </c>
      <c r="Q796" t="s">
        <v>31</v>
      </c>
      <c r="R796" t="s">
        <v>32</v>
      </c>
      <c r="S796" t="s">
        <v>28</v>
      </c>
      <c r="T796" t="s">
        <v>3217</v>
      </c>
      <c r="U796" t="s">
        <v>3216</v>
      </c>
    </row>
    <row r="797" spans="1:21" x14ac:dyDescent="0.25">
      <c r="A797" t="s">
        <v>456</v>
      </c>
      <c r="B797" t="s">
        <v>1178</v>
      </c>
      <c r="C797">
        <v>127.33</v>
      </c>
      <c r="D797">
        <v>1</v>
      </c>
      <c r="E797">
        <v>0</v>
      </c>
      <c r="F797" t="s">
        <v>3218</v>
      </c>
      <c r="G797">
        <v>254.66</v>
      </c>
      <c r="H797">
        <v>0</v>
      </c>
      <c r="I797" t="s">
        <v>628</v>
      </c>
      <c r="J797" t="s">
        <v>3208</v>
      </c>
      <c r="K797" t="s">
        <v>3209</v>
      </c>
      <c r="L797" t="s">
        <v>3210</v>
      </c>
      <c r="M797" t="s">
        <v>3211</v>
      </c>
      <c r="N797" t="s">
        <v>3219</v>
      </c>
      <c r="O797" t="s">
        <v>27</v>
      </c>
      <c r="P797" t="s">
        <v>48</v>
      </c>
      <c r="Q797" t="s">
        <v>49</v>
      </c>
      <c r="R797" t="s">
        <v>50</v>
      </c>
      <c r="S797" t="s">
        <v>28</v>
      </c>
      <c r="T797" t="s">
        <v>3220</v>
      </c>
      <c r="U797" t="s">
        <v>3219</v>
      </c>
    </row>
    <row r="798" spans="1:21" x14ac:dyDescent="0.25">
      <c r="A798" t="s">
        <v>456</v>
      </c>
      <c r="B798" t="s">
        <v>1178</v>
      </c>
      <c r="C798">
        <v>127.33</v>
      </c>
      <c r="D798">
        <v>1</v>
      </c>
      <c r="E798">
        <v>0</v>
      </c>
      <c r="F798" t="s">
        <v>3218</v>
      </c>
      <c r="G798">
        <v>254.66</v>
      </c>
      <c r="H798">
        <v>0</v>
      </c>
      <c r="I798" t="s">
        <v>628</v>
      </c>
      <c r="J798" t="s">
        <v>3208</v>
      </c>
      <c r="K798" t="s">
        <v>3209</v>
      </c>
      <c r="L798" t="s">
        <v>3210</v>
      </c>
      <c r="M798" t="s">
        <v>3211</v>
      </c>
      <c r="N798" t="s">
        <v>3219</v>
      </c>
      <c r="O798" t="s">
        <v>27</v>
      </c>
      <c r="P798" t="s">
        <v>48</v>
      </c>
      <c r="Q798" t="s">
        <v>49</v>
      </c>
      <c r="R798" t="s">
        <v>50</v>
      </c>
      <c r="S798" t="s">
        <v>28</v>
      </c>
      <c r="T798" t="s">
        <v>3220</v>
      </c>
      <c r="U798" t="s">
        <v>3219</v>
      </c>
    </row>
    <row r="799" spans="1:21" x14ac:dyDescent="0.25">
      <c r="A799" t="s">
        <v>143</v>
      </c>
      <c r="B799" t="s">
        <v>144</v>
      </c>
      <c r="C799">
        <v>200</v>
      </c>
      <c r="D799">
        <v>1</v>
      </c>
      <c r="E799">
        <v>0</v>
      </c>
      <c r="F799" t="s">
        <v>3221</v>
      </c>
      <c r="G799">
        <v>200</v>
      </c>
      <c r="H799">
        <v>0</v>
      </c>
      <c r="I799" t="s">
        <v>24</v>
      </c>
      <c r="J799" t="s">
        <v>3222</v>
      </c>
      <c r="K799" t="s">
        <v>61</v>
      </c>
      <c r="L799" t="s">
        <v>27</v>
      </c>
      <c r="M799" t="s">
        <v>28</v>
      </c>
      <c r="N799" t="s">
        <v>3223</v>
      </c>
      <c r="O799" t="s">
        <v>27</v>
      </c>
      <c r="P799" t="s">
        <v>39</v>
      </c>
      <c r="Q799" t="s">
        <v>31</v>
      </c>
      <c r="R799" t="s">
        <v>32</v>
      </c>
      <c r="S799" t="s">
        <v>28</v>
      </c>
      <c r="T799" t="s">
        <v>3224</v>
      </c>
      <c r="U799" t="s">
        <v>3223</v>
      </c>
    </row>
    <row r="800" spans="1:21" x14ac:dyDescent="0.25">
      <c r="A800" t="s">
        <v>456</v>
      </c>
      <c r="B800" t="s">
        <v>1178</v>
      </c>
      <c r="C800">
        <v>127.31</v>
      </c>
      <c r="D800">
        <v>1</v>
      </c>
      <c r="E800">
        <v>0</v>
      </c>
      <c r="F800" t="s">
        <v>3225</v>
      </c>
      <c r="G800">
        <v>127.31</v>
      </c>
      <c r="H800">
        <v>0</v>
      </c>
      <c r="I800" t="s">
        <v>628</v>
      </c>
      <c r="J800" t="s">
        <v>3226</v>
      </c>
      <c r="K800" t="s">
        <v>3227</v>
      </c>
      <c r="L800" t="s">
        <v>3228</v>
      </c>
      <c r="M800" t="s">
        <v>3229</v>
      </c>
      <c r="N800" t="s">
        <v>3230</v>
      </c>
      <c r="O800" t="s">
        <v>27</v>
      </c>
      <c r="P800" t="s">
        <v>48</v>
      </c>
      <c r="Q800" t="s">
        <v>49</v>
      </c>
      <c r="R800" t="s">
        <v>50</v>
      </c>
      <c r="S800" t="s">
        <v>28</v>
      </c>
      <c r="T800" t="s">
        <v>3231</v>
      </c>
      <c r="U800" t="s">
        <v>3232</v>
      </c>
    </row>
    <row r="801" spans="1:21" x14ac:dyDescent="0.25">
      <c r="A801" t="s">
        <v>21</v>
      </c>
      <c r="B801" t="s">
        <v>22</v>
      </c>
      <c r="C801">
        <v>100</v>
      </c>
      <c r="D801">
        <v>1</v>
      </c>
      <c r="E801">
        <v>0</v>
      </c>
      <c r="F801" t="s">
        <v>3233</v>
      </c>
      <c r="G801">
        <v>106</v>
      </c>
      <c r="H801">
        <v>6</v>
      </c>
      <c r="I801" t="s">
        <v>445</v>
      </c>
      <c r="J801" t="s">
        <v>3234</v>
      </c>
      <c r="K801" t="s">
        <v>241</v>
      </c>
      <c r="L801" t="s">
        <v>27</v>
      </c>
      <c r="M801" t="s">
        <v>28</v>
      </c>
      <c r="N801" t="s">
        <v>3235</v>
      </c>
      <c r="O801" t="s">
        <v>27</v>
      </c>
      <c r="P801" t="s">
        <v>39</v>
      </c>
      <c r="Q801" t="s">
        <v>31</v>
      </c>
      <c r="R801" t="s">
        <v>32</v>
      </c>
      <c r="S801" t="s">
        <v>28</v>
      </c>
      <c r="T801" t="s">
        <v>3236</v>
      </c>
      <c r="U801" t="s">
        <v>3235</v>
      </c>
    </row>
    <row r="802" spans="1:21" x14ac:dyDescent="0.25">
      <c r="A802" t="s">
        <v>635</v>
      </c>
      <c r="B802" t="s">
        <v>3237</v>
      </c>
      <c r="C802">
        <v>741.5</v>
      </c>
      <c r="D802">
        <v>1</v>
      </c>
      <c r="E802">
        <v>0</v>
      </c>
      <c r="F802" t="s">
        <v>3238</v>
      </c>
      <c r="G802">
        <v>805.5</v>
      </c>
      <c r="H802">
        <v>64</v>
      </c>
      <c r="I802" t="s">
        <v>24</v>
      </c>
      <c r="J802" t="s">
        <v>3239</v>
      </c>
      <c r="K802" t="s">
        <v>3240</v>
      </c>
      <c r="L802" t="s">
        <v>3241</v>
      </c>
      <c r="M802" t="s">
        <v>28</v>
      </c>
      <c r="N802" t="s">
        <v>27</v>
      </c>
      <c r="O802" t="s">
        <v>27</v>
      </c>
      <c r="P802" t="s">
        <v>48</v>
      </c>
      <c r="Q802" t="s">
        <v>49</v>
      </c>
      <c r="R802" t="s">
        <v>27</v>
      </c>
      <c r="S802" t="s">
        <v>28</v>
      </c>
      <c r="T802" t="s">
        <v>27</v>
      </c>
      <c r="U802" t="s">
        <v>3242</v>
      </c>
    </row>
    <row r="803" spans="1:21" x14ac:dyDescent="0.25">
      <c r="A803" t="s">
        <v>70</v>
      </c>
      <c r="B803" t="s">
        <v>70</v>
      </c>
      <c r="C803">
        <v>330</v>
      </c>
      <c r="D803">
        <v>1</v>
      </c>
      <c r="E803">
        <v>0</v>
      </c>
      <c r="F803" t="s">
        <v>3243</v>
      </c>
      <c r="G803">
        <v>330</v>
      </c>
      <c r="H803">
        <v>0</v>
      </c>
      <c r="I803" t="s">
        <v>24</v>
      </c>
      <c r="J803" t="s">
        <v>700</v>
      </c>
      <c r="K803" t="s">
        <v>3244</v>
      </c>
      <c r="L803" t="s">
        <v>27</v>
      </c>
      <c r="M803" t="s">
        <v>28</v>
      </c>
      <c r="N803" t="s">
        <v>3245</v>
      </c>
      <c r="O803" t="s">
        <v>27</v>
      </c>
      <c r="P803" t="s">
        <v>39</v>
      </c>
      <c r="Q803" t="s">
        <v>31</v>
      </c>
      <c r="R803" t="s">
        <v>32</v>
      </c>
      <c r="S803" t="s">
        <v>28</v>
      </c>
      <c r="T803" t="s">
        <v>3246</v>
      </c>
      <c r="U803" t="s">
        <v>3245</v>
      </c>
    </row>
    <row r="804" spans="1:21" x14ac:dyDescent="0.25">
      <c r="A804" t="s">
        <v>243</v>
      </c>
      <c r="B804" t="s">
        <v>244</v>
      </c>
      <c r="C804">
        <v>200</v>
      </c>
      <c r="D804">
        <v>1</v>
      </c>
      <c r="E804">
        <v>0</v>
      </c>
      <c r="F804" t="s">
        <v>3247</v>
      </c>
      <c r="G804">
        <v>200</v>
      </c>
      <c r="H804">
        <v>0</v>
      </c>
      <c r="I804" t="s">
        <v>24</v>
      </c>
      <c r="J804" t="s">
        <v>3248</v>
      </c>
      <c r="K804" t="s">
        <v>311</v>
      </c>
      <c r="L804" t="s">
        <v>27</v>
      </c>
      <c r="M804" t="s">
        <v>28</v>
      </c>
      <c r="N804" t="s">
        <v>3249</v>
      </c>
      <c r="O804" t="s">
        <v>27</v>
      </c>
      <c r="P804" t="s">
        <v>56</v>
      </c>
      <c r="Q804" t="s">
        <v>31</v>
      </c>
      <c r="R804" t="s">
        <v>57</v>
      </c>
      <c r="S804" t="s">
        <v>28</v>
      </c>
      <c r="T804" t="s">
        <v>3250</v>
      </c>
      <c r="U804" t="s">
        <v>3249</v>
      </c>
    </row>
    <row r="805" spans="1:21" x14ac:dyDescent="0.25">
      <c r="A805" t="s">
        <v>456</v>
      </c>
      <c r="B805" t="s">
        <v>1178</v>
      </c>
      <c r="C805">
        <v>119.84</v>
      </c>
      <c r="D805">
        <v>1</v>
      </c>
      <c r="E805">
        <v>0</v>
      </c>
      <c r="F805" t="s">
        <v>3251</v>
      </c>
      <c r="G805">
        <v>124.84</v>
      </c>
      <c r="H805">
        <v>5</v>
      </c>
      <c r="I805" t="s">
        <v>628</v>
      </c>
      <c r="J805" t="s">
        <v>3252</v>
      </c>
      <c r="K805" t="s">
        <v>3253</v>
      </c>
      <c r="L805" t="s">
        <v>1485</v>
      </c>
      <c r="M805" t="s">
        <v>3254</v>
      </c>
      <c r="N805" t="s">
        <v>3255</v>
      </c>
      <c r="O805" t="s">
        <v>27</v>
      </c>
      <c r="P805" t="s">
        <v>48</v>
      </c>
      <c r="Q805" t="s">
        <v>49</v>
      </c>
      <c r="R805" t="s">
        <v>50</v>
      </c>
      <c r="S805" t="s">
        <v>28</v>
      </c>
      <c r="T805" t="s">
        <v>3256</v>
      </c>
      <c r="U805" t="s">
        <v>3255</v>
      </c>
    </row>
    <row r="806" spans="1:21" x14ac:dyDescent="0.25">
      <c r="A806" t="s">
        <v>33</v>
      </c>
      <c r="B806" t="s">
        <v>34</v>
      </c>
      <c r="C806">
        <v>200</v>
      </c>
      <c r="D806">
        <v>1</v>
      </c>
      <c r="E806">
        <v>0</v>
      </c>
      <c r="F806" t="s">
        <v>3257</v>
      </c>
      <c r="G806">
        <v>200</v>
      </c>
      <c r="H806">
        <v>0</v>
      </c>
      <c r="I806" t="s">
        <v>24</v>
      </c>
      <c r="J806" t="s">
        <v>3258</v>
      </c>
      <c r="K806" t="s">
        <v>171</v>
      </c>
      <c r="L806" t="s">
        <v>27</v>
      </c>
      <c r="M806" t="s">
        <v>28</v>
      </c>
      <c r="N806" t="s">
        <v>3259</v>
      </c>
      <c r="O806" t="s">
        <v>27</v>
      </c>
      <c r="P806" t="s">
        <v>39</v>
      </c>
      <c r="Q806" t="s">
        <v>31</v>
      </c>
      <c r="R806" t="s">
        <v>32</v>
      </c>
      <c r="S806" t="s">
        <v>28</v>
      </c>
      <c r="T806" t="s">
        <v>3260</v>
      </c>
      <c r="U806" t="s">
        <v>3259</v>
      </c>
    </row>
    <row r="807" spans="1:21" x14ac:dyDescent="0.25">
      <c r="A807" t="s">
        <v>195</v>
      </c>
      <c r="B807" t="s">
        <v>1003</v>
      </c>
      <c r="C807">
        <v>118.09</v>
      </c>
      <c r="D807">
        <v>1</v>
      </c>
      <c r="E807">
        <v>0</v>
      </c>
      <c r="F807" t="s">
        <v>3261</v>
      </c>
      <c r="G807">
        <v>118.09</v>
      </c>
      <c r="H807">
        <v>0</v>
      </c>
      <c r="I807" t="s">
        <v>628</v>
      </c>
      <c r="J807" t="s">
        <v>3262</v>
      </c>
      <c r="K807" t="s">
        <v>3263</v>
      </c>
      <c r="L807" t="s">
        <v>3264</v>
      </c>
      <c r="M807" t="s">
        <v>3265</v>
      </c>
      <c r="N807" t="s">
        <v>3266</v>
      </c>
      <c r="O807" t="s">
        <v>27</v>
      </c>
      <c r="P807" t="s">
        <v>48</v>
      </c>
      <c r="Q807" t="s">
        <v>49</v>
      </c>
      <c r="R807" t="s">
        <v>50</v>
      </c>
      <c r="S807" t="s">
        <v>28</v>
      </c>
      <c r="T807" t="s">
        <v>3267</v>
      </c>
      <c r="U807" t="s">
        <v>3266</v>
      </c>
    </row>
    <row r="808" spans="1:21" x14ac:dyDescent="0.25">
      <c r="A808" t="s">
        <v>1513</v>
      </c>
      <c r="B808" t="s">
        <v>1514</v>
      </c>
      <c r="C808">
        <v>400</v>
      </c>
      <c r="D808">
        <v>1</v>
      </c>
      <c r="E808">
        <v>0</v>
      </c>
      <c r="F808" t="s">
        <v>3268</v>
      </c>
      <c r="G808">
        <v>400</v>
      </c>
      <c r="H808">
        <v>0</v>
      </c>
      <c r="I808" t="s">
        <v>140</v>
      </c>
      <c r="J808" t="s">
        <v>3269</v>
      </c>
      <c r="K808" t="s">
        <v>89</v>
      </c>
      <c r="L808" t="s">
        <v>27</v>
      </c>
      <c r="M808" t="s">
        <v>28</v>
      </c>
      <c r="N808" t="s">
        <v>3270</v>
      </c>
      <c r="O808" t="s">
        <v>27</v>
      </c>
      <c r="P808" t="s">
        <v>369</v>
      </c>
      <c r="Q808" t="s">
        <v>31</v>
      </c>
      <c r="R808" t="s">
        <v>57</v>
      </c>
      <c r="S808" t="s">
        <v>28</v>
      </c>
      <c r="T808" t="s">
        <v>3271</v>
      </c>
      <c r="U808" t="s">
        <v>3270</v>
      </c>
    </row>
    <row r="809" spans="1:21" x14ac:dyDescent="0.25">
      <c r="A809" t="s">
        <v>143</v>
      </c>
      <c r="B809" t="s">
        <v>144</v>
      </c>
      <c r="C809">
        <v>200</v>
      </c>
      <c r="D809">
        <v>1</v>
      </c>
      <c r="E809">
        <v>0</v>
      </c>
      <c r="F809" t="s">
        <v>3272</v>
      </c>
      <c r="G809">
        <v>200</v>
      </c>
      <c r="H809">
        <v>0</v>
      </c>
      <c r="I809" t="s">
        <v>140</v>
      </c>
      <c r="J809" t="s">
        <v>3273</v>
      </c>
      <c r="K809" t="s">
        <v>2243</v>
      </c>
      <c r="L809" t="s">
        <v>27</v>
      </c>
      <c r="M809" t="s">
        <v>28</v>
      </c>
      <c r="N809" t="s">
        <v>3274</v>
      </c>
      <c r="O809" t="s">
        <v>27</v>
      </c>
      <c r="P809" t="s">
        <v>30</v>
      </c>
      <c r="Q809" t="s">
        <v>31</v>
      </c>
      <c r="R809" t="s">
        <v>32</v>
      </c>
      <c r="S809" t="s">
        <v>28</v>
      </c>
      <c r="T809" t="s">
        <v>3275</v>
      </c>
      <c r="U809" t="s">
        <v>3274</v>
      </c>
    </row>
    <row r="810" spans="1:21" x14ac:dyDescent="0.25">
      <c r="A810" t="s">
        <v>58</v>
      </c>
      <c r="B810" t="s">
        <v>58</v>
      </c>
      <c r="C810">
        <v>100</v>
      </c>
      <c r="D810">
        <v>1</v>
      </c>
      <c r="E810">
        <v>0</v>
      </c>
      <c r="F810" t="s">
        <v>3276</v>
      </c>
      <c r="G810">
        <v>106</v>
      </c>
      <c r="H810">
        <v>6</v>
      </c>
      <c r="I810" t="s">
        <v>445</v>
      </c>
      <c r="J810" t="s">
        <v>3277</v>
      </c>
      <c r="K810" t="s">
        <v>37</v>
      </c>
      <c r="L810" t="s">
        <v>27</v>
      </c>
      <c r="M810" t="s">
        <v>28</v>
      </c>
      <c r="N810" t="s">
        <v>3278</v>
      </c>
      <c r="O810" t="s">
        <v>27</v>
      </c>
      <c r="P810" t="s">
        <v>56</v>
      </c>
      <c r="Q810" t="s">
        <v>31</v>
      </c>
      <c r="R810" t="s">
        <v>57</v>
      </c>
      <c r="S810" t="s">
        <v>28</v>
      </c>
      <c r="T810" t="s">
        <v>3279</v>
      </c>
      <c r="U810" t="s">
        <v>3278</v>
      </c>
    </row>
    <row r="811" spans="1:21" x14ac:dyDescent="0.25">
      <c r="A811" t="s">
        <v>456</v>
      </c>
      <c r="B811" t="s">
        <v>1178</v>
      </c>
      <c r="C811">
        <v>103.73</v>
      </c>
      <c r="D811">
        <v>1</v>
      </c>
      <c r="E811">
        <v>0</v>
      </c>
      <c r="F811" t="s">
        <v>3280</v>
      </c>
      <c r="G811">
        <v>414.88</v>
      </c>
      <c r="H811">
        <v>0</v>
      </c>
      <c r="I811" t="s">
        <v>628</v>
      </c>
      <c r="J811" t="s">
        <v>3281</v>
      </c>
      <c r="K811" t="s">
        <v>3282</v>
      </c>
      <c r="L811" t="s">
        <v>3283</v>
      </c>
      <c r="M811" t="s">
        <v>3284</v>
      </c>
      <c r="N811" t="s">
        <v>3278</v>
      </c>
      <c r="O811" t="s">
        <v>27</v>
      </c>
      <c r="P811" t="s">
        <v>48</v>
      </c>
      <c r="Q811" t="s">
        <v>49</v>
      </c>
      <c r="R811" t="s">
        <v>50</v>
      </c>
      <c r="S811" t="s">
        <v>28</v>
      </c>
      <c r="T811" t="s">
        <v>3285</v>
      </c>
      <c r="U811" t="s">
        <v>3278</v>
      </c>
    </row>
    <row r="812" spans="1:21" x14ac:dyDescent="0.25">
      <c r="A812" t="s">
        <v>456</v>
      </c>
      <c r="B812" t="s">
        <v>1178</v>
      </c>
      <c r="C812">
        <v>103.72</v>
      </c>
      <c r="D812">
        <v>1</v>
      </c>
      <c r="E812">
        <v>0</v>
      </c>
      <c r="F812" t="s">
        <v>3280</v>
      </c>
      <c r="G812">
        <v>414.88</v>
      </c>
      <c r="H812">
        <v>0</v>
      </c>
      <c r="I812" t="s">
        <v>628</v>
      </c>
      <c r="J812" t="s">
        <v>3281</v>
      </c>
      <c r="K812" t="s">
        <v>3282</v>
      </c>
      <c r="L812" t="s">
        <v>3283</v>
      </c>
      <c r="M812" t="s">
        <v>3284</v>
      </c>
      <c r="N812" t="s">
        <v>3278</v>
      </c>
      <c r="O812" t="s">
        <v>27</v>
      </c>
      <c r="P812" t="s">
        <v>48</v>
      </c>
      <c r="Q812" t="s">
        <v>49</v>
      </c>
      <c r="R812" t="s">
        <v>50</v>
      </c>
      <c r="S812" t="s">
        <v>28</v>
      </c>
      <c r="T812" t="s">
        <v>3285</v>
      </c>
      <c r="U812" t="s">
        <v>3278</v>
      </c>
    </row>
    <row r="813" spans="1:21" x14ac:dyDescent="0.25">
      <c r="A813" t="s">
        <v>456</v>
      </c>
      <c r="B813" t="s">
        <v>1178</v>
      </c>
      <c r="C813">
        <v>103.72</v>
      </c>
      <c r="D813">
        <v>1</v>
      </c>
      <c r="E813">
        <v>0</v>
      </c>
      <c r="F813" t="s">
        <v>3280</v>
      </c>
      <c r="G813">
        <v>414.88</v>
      </c>
      <c r="H813">
        <v>0</v>
      </c>
      <c r="I813" t="s">
        <v>628</v>
      </c>
      <c r="J813" t="s">
        <v>3281</v>
      </c>
      <c r="K813" t="s">
        <v>3282</v>
      </c>
      <c r="L813" t="s">
        <v>3283</v>
      </c>
      <c r="M813" t="s">
        <v>3284</v>
      </c>
      <c r="N813" t="s">
        <v>3278</v>
      </c>
      <c r="O813" t="s">
        <v>27</v>
      </c>
      <c r="P813" t="s">
        <v>48</v>
      </c>
      <c r="Q813" t="s">
        <v>49</v>
      </c>
      <c r="R813" t="s">
        <v>50</v>
      </c>
      <c r="S813" t="s">
        <v>28</v>
      </c>
      <c r="T813" t="s">
        <v>3285</v>
      </c>
      <c r="U813" t="s">
        <v>3278</v>
      </c>
    </row>
    <row r="814" spans="1:21" x14ac:dyDescent="0.25">
      <c r="A814" t="s">
        <v>456</v>
      </c>
      <c r="B814" t="s">
        <v>1178</v>
      </c>
      <c r="C814">
        <v>103.71</v>
      </c>
      <c r="D814">
        <v>1</v>
      </c>
      <c r="E814">
        <v>0</v>
      </c>
      <c r="F814" t="s">
        <v>3280</v>
      </c>
      <c r="G814">
        <v>414.88</v>
      </c>
      <c r="H814">
        <v>0</v>
      </c>
      <c r="I814" t="s">
        <v>628</v>
      </c>
      <c r="J814" t="s">
        <v>3281</v>
      </c>
      <c r="K814" t="s">
        <v>3282</v>
      </c>
      <c r="L814" t="s">
        <v>3283</v>
      </c>
      <c r="M814" t="s">
        <v>3284</v>
      </c>
      <c r="N814" t="s">
        <v>3278</v>
      </c>
      <c r="O814" t="s">
        <v>27</v>
      </c>
      <c r="P814" t="s">
        <v>48</v>
      </c>
      <c r="Q814" t="s">
        <v>49</v>
      </c>
      <c r="R814" t="s">
        <v>50</v>
      </c>
      <c r="S814" t="s">
        <v>28</v>
      </c>
      <c r="T814" t="s">
        <v>3285</v>
      </c>
      <c r="U814" t="s">
        <v>3278</v>
      </c>
    </row>
    <row r="815" spans="1:21" x14ac:dyDescent="0.25">
      <c r="A815" t="s">
        <v>2295</v>
      </c>
      <c r="B815" t="s">
        <v>3286</v>
      </c>
      <c r="C815">
        <v>199</v>
      </c>
      <c r="D815">
        <v>1</v>
      </c>
      <c r="E815">
        <v>0</v>
      </c>
      <c r="F815" t="s">
        <v>3287</v>
      </c>
      <c r="G815">
        <v>199</v>
      </c>
      <c r="H815">
        <v>0</v>
      </c>
      <c r="I815" t="s">
        <v>24</v>
      </c>
      <c r="J815" t="s">
        <v>3288</v>
      </c>
      <c r="K815" t="s">
        <v>3289</v>
      </c>
      <c r="L815" t="s">
        <v>3290</v>
      </c>
      <c r="M815" t="s">
        <v>1708</v>
      </c>
      <c r="N815" t="s">
        <v>3278</v>
      </c>
      <c r="O815" t="s">
        <v>27</v>
      </c>
      <c r="P815" t="s">
        <v>84</v>
      </c>
      <c r="Q815" t="s">
        <v>85</v>
      </c>
      <c r="R815" t="s">
        <v>86</v>
      </c>
      <c r="S815" t="s">
        <v>28</v>
      </c>
      <c r="T815" t="s">
        <v>3291</v>
      </c>
      <c r="U815" t="s">
        <v>3278</v>
      </c>
    </row>
    <row r="816" spans="1:21" x14ac:dyDescent="0.25">
      <c r="A816" t="s">
        <v>195</v>
      </c>
      <c r="B816" t="s">
        <v>1003</v>
      </c>
      <c r="C816">
        <v>116.85</v>
      </c>
      <c r="D816">
        <v>1</v>
      </c>
      <c r="E816">
        <v>0</v>
      </c>
      <c r="F816" t="s">
        <v>3292</v>
      </c>
      <c r="G816">
        <v>881.91</v>
      </c>
      <c r="H816">
        <v>64</v>
      </c>
      <c r="I816" t="s">
        <v>628</v>
      </c>
      <c r="J816" t="s">
        <v>2387</v>
      </c>
      <c r="K816" t="s">
        <v>2388</v>
      </c>
      <c r="L816" t="s">
        <v>504</v>
      </c>
      <c r="M816" t="s">
        <v>2389</v>
      </c>
      <c r="N816" t="s">
        <v>3293</v>
      </c>
      <c r="O816" t="s">
        <v>27</v>
      </c>
      <c r="P816" t="s">
        <v>48</v>
      </c>
      <c r="Q816" t="s">
        <v>49</v>
      </c>
      <c r="R816" t="s">
        <v>50</v>
      </c>
      <c r="S816" t="s">
        <v>28</v>
      </c>
      <c r="T816" t="s">
        <v>3294</v>
      </c>
      <c r="U816" t="s">
        <v>3295</v>
      </c>
    </row>
    <row r="817" spans="1:21" x14ac:dyDescent="0.25">
      <c r="A817" t="s">
        <v>195</v>
      </c>
      <c r="B817" t="s">
        <v>1003</v>
      </c>
      <c r="C817">
        <v>116.84</v>
      </c>
      <c r="D817">
        <v>1</v>
      </c>
      <c r="E817">
        <v>0</v>
      </c>
      <c r="F817" t="s">
        <v>3292</v>
      </c>
      <c r="G817">
        <v>881.91</v>
      </c>
      <c r="H817">
        <v>64</v>
      </c>
      <c r="I817" t="s">
        <v>628</v>
      </c>
      <c r="J817" t="s">
        <v>2387</v>
      </c>
      <c r="K817" t="s">
        <v>2388</v>
      </c>
      <c r="L817" t="s">
        <v>504</v>
      </c>
      <c r="M817" t="s">
        <v>2389</v>
      </c>
      <c r="N817" t="s">
        <v>3293</v>
      </c>
      <c r="O817" t="s">
        <v>27</v>
      </c>
      <c r="P817" t="s">
        <v>48</v>
      </c>
      <c r="Q817" t="s">
        <v>49</v>
      </c>
      <c r="R817" t="s">
        <v>50</v>
      </c>
      <c r="S817" t="s">
        <v>28</v>
      </c>
      <c r="T817" t="s">
        <v>3294</v>
      </c>
      <c r="U817" t="s">
        <v>3295</v>
      </c>
    </row>
    <row r="818" spans="1:21" x14ac:dyDescent="0.25">
      <c r="A818" t="s">
        <v>195</v>
      </c>
      <c r="B818" t="s">
        <v>1003</v>
      </c>
      <c r="C818">
        <v>116.85</v>
      </c>
      <c r="D818">
        <v>1</v>
      </c>
      <c r="E818">
        <v>0</v>
      </c>
      <c r="F818" t="s">
        <v>3292</v>
      </c>
      <c r="G818">
        <v>881.91</v>
      </c>
      <c r="H818">
        <v>64</v>
      </c>
      <c r="I818" t="s">
        <v>628</v>
      </c>
      <c r="J818" t="s">
        <v>2387</v>
      </c>
      <c r="K818" t="s">
        <v>2388</v>
      </c>
      <c r="L818" t="s">
        <v>504</v>
      </c>
      <c r="M818" t="s">
        <v>2389</v>
      </c>
      <c r="N818" t="s">
        <v>3293</v>
      </c>
      <c r="O818" t="s">
        <v>27</v>
      </c>
      <c r="P818" t="s">
        <v>48</v>
      </c>
      <c r="Q818" t="s">
        <v>49</v>
      </c>
      <c r="R818" t="s">
        <v>50</v>
      </c>
      <c r="S818" t="s">
        <v>28</v>
      </c>
      <c r="T818" t="s">
        <v>3294</v>
      </c>
      <c r="U818" t="s">
        <v>3295</v>
      </c>
    </row>
    <row r="819" spans="1:21" x14ac:dyDescent="0.25">
      <c r="A819" t="s">
        <v>195</v>
      </c>
      <c r="B819" t="s">
        <v>1003</v>
      </c>
      <c r="C819">
        <v>116.84</v>
      </c>
      <c r="D819">
        <v>1</v>
      </c>
      <c r="E819">
        <v>0</v>
      </c>
      <c r="F819" t="s">
        <v>3292</v>
      </c>
      <c r="G819">
        <v>881.91</v>
      </c>
      <c r="H819">
        <v>64</v>
      </c>
      <c r="I819" t="s">
        <v>628</v>
      </c>
      <c r="J819" t="s">
        <v>2387</v>
      </c>
      <c r="K819" t="s">
        <v>2388</v>
      </c>
      <c r="L819" t="s">
        <v>504</v>
      </c>
      <c r="M819" t="s">
        <v>2389</v>
      </c>
      <c r="N819" t="s">
        <v>3293</v>
      </c>
      <c r="O819" t="s">
        <v>27</v>
      </c>
      <c r="P819" t="s">
        <v>48</v>
      </c>
      <c r="Q819" t="s">
        <v>49</v>
      </c>
      <c r="R819" t="s">
        <v>50</v>
      </c>
      <c r="S819" t="s">
        <v>28</v>
      </c>
      <c r="T819" t="s">
        <v>3294</v>
      </c>
      <c r="U819" t="s">
        <v>3295</v>
      </c>
    </row>
    <row r="820" spans="1:21" x14ac:dyDescent="0.25">
      <c r="A820" t="s">
        <v>195</v>
      </c>
      <c r="B820" t="s">
        <v>1003</v>
      </c>
      <c r="C820">
        <v>116.85</v>
      </c>
      <c r="D820">
        <v>1</v>
      </c>
      <c r="E820">
        <v>0</v>
      </c>
      <c r="F820" t="s">
        <v>3292</v>
      </c>
      <c r="G820">
        <v>881.91</v>
      </c>
      <c r="H820">
        <v>64</v>
      </c>
      <c r="I820" t="s">
        <v>628</v>
      </c>
      <c r="J820" t="s">
        <v>2387</v>
      </c>
      <c r="K820" t="s">
        <v>2388</v>
      </c>
      <c r="L820" t="s">
        <v>504</v>
      </c>
      <c r="M820" t="s">
        <v>2389</v>
      </c>
      <c r="N820" t="s">
        <v>3293</v>
      </c>
      <c r="O820" t="s">
        <v>27</v>
      </c>
      <c r="P820" t="s">
        <v>48</v>
      </c>
      <c r="Q820" t="s">
        <v>49</v>
      </c>
      <c r="R820" t="s">
        <v>50</v>
      </c>
      <c r="S820" t="s">
        <v>28</v>
      </c>
      <c r="T820" t="s">
        <v>3294</v>
      </c>
      <c r="U820" t="s">
        <v>3295</v>
      </c>
    </row>
    <row r="821" spans="1:21" x14ac:dyDescent="0.25">
      <c r="A821" t="s">
        <v>195</v>
      </c>
      <c r="B821" t="s">
        <v>1003</v>
      </c>
      <c r="C821">
        <v>116.84</v>
      </c>
      <c r="D821">
        <v>1</v>
      </c>
      <c r="E821">
        <v>0</v>
      </c>
      <c r="F821" t="s">
        <v>3292</v>
      </c>
      <c r="G821">
        <v>881.91</v>
      </c>
      <c r="H821">
        <v>64</v>
      </c>
      <c r="I821" t="s">
        <v>628</v>
      </c>
      <c r="J821" t="s">
        <v>2387</v>
      </c>
      <c r="K821" t="s">
        <v>2388</v>
      </c>
      <c r="L821" t="s">
        <v>504</v>
      </c>
      <c r="M821" t="s">
        <v>2389</v>
      </c>
      <c r="N821" t="s">
        <v>3293</v>
      </c>
      <c r="O821" t="s">
        <v>27</v>
      </c>
      <c r="P821" t="s">
        <v>48</v>
      </c>
      <c r="Q821" t="s">
        <v>49</v>
      </c>
      <c r="R821" t="s">
        <v>50</v>
      </c>
      <c r="S821" t="s">
        <v>28</v>
      </c>
      <c r="T821" t="s">
        <v>3294</v>
      </c>
      <c r="U821" t="s">
        <v>3295</v>
      </c>
    </row>
    <row r="822" spans="1:21" x14ac:dyDescent="0.25">
      <c r="A822" t="s">
        <v>195</v>
      </c>
      <c r="B822" t="s">
        <v>1003</v>
      </c>
      <c r="C822">
        <v>116.84</v>
      </c>
      <c r="D822">
        <v>1</v>
      </c>
      <c r="E822">
        <v>0</v>
      </c>
      <c r="F822" t="s">
        <v>3292</v>
      </c>
      <c r="G822">
        <v>881.91</v>
      </c>
      <c r="H822">
        <v>64</v>
      </c>
      <c r="I822" t="s">
        <v>628</v>
      </c>
      <c r="J822" t="s">
        <v>2387</v>
      </c>
      <c r="K822" t="s">
        <v>2388</v>
      </c>
      <c r="L822" t="s">
        <v>504</v>
      </c>
      <c r="M822" t="s">
        <v>2389</v>
      </c>
      <c r="N822" t="s">
        <v>3293</v>
      </c>
      <c r="O822" t="s">
        <v>27</v>
      </c>
      <c r="P822" t="s">
        <v>48</v>
      </c>
      <c r="Q822" t="s">
        <v>49</v>
      </c>
      <c r="R822" t="s">
        <v>50</v>
      </c>
      <c r="S822" t="s">
        <v>28</v>
      </c>
      <c r="T822" t="s">
        <v>3294</v>
      </c>
      <c r="U822" t="s">
        <v>3295</v>
      </c>
    </row>
    <row r="823" spans="1:21" x14ac:dyDescent="0.25">
      <c r="A823" t="s">
        <v>134</v>
      </c>
      <c r="B823" t="s">
        <v>64</v>
      </c>
      <c r="C823">
        <v>100</v>
      </c>
      <c r="D823">
        <v>2</v>
      </c>
      <c r="E823">
        <v>0</v>
      </c>
      <c r="F823" t="s">
        <v>3296</v>
      </c>
      <c r="G823">
        <v>200</v>
      </c>
      <c r="H823">
        <v>0</v>
      </c>
      <c r="I823" t="s">
        <v>24</v>
      </c>
      <c r="J823" t="s">
        <v>3297</v>
      </c>
      <c r="K823" t="s">
        <v>384</v>
      </c>
      <c r="L823" t="s">
        <v>27</v>
      </c>
      <c r="M823" t="s">
        <v>28</v>
      </c>
      <c r="N823" t="s">
        <v>3298</v>
      </c>
      <c r="O823" t="s">
        <v>27</v>
      </c>
      <c r="P823" t="s">
        <v>39</v>
      </c>
      <c r="Q823" t="s">
        <v>31</v>
      </c>
      <c r="R823" t="s">
        <v>32</v>
      </c>
      <c r="S823" t="s">
        <v>28</v>
      </c>
      <c r="T823" t="s">
        <v>3299</v>
      </c>
      <c r="U823" t="s">
        <v>3300</v>
      </c>
    </row>
    <row r="824" spans="1:21" x14ac:dyDescent="0.25">
      <c r="A824" t="s">
        <v>40</v>
      </c>
      <c r="B824" t="s">
        <v>41</v>
      </c>
      <c r="C824">
        <v>89.93</v>
      </c>
      <c r="D824">
        <v>1</v>
      </c>
      <c r="E824">
        <v>0</v>
      </c>
      <c r="F824" t="s">
        <v>3301</v>
      </c>
      <c r="G824">
        <v>89.93</v>
      </c>
      <c r="H824">
        <v>0</v>
      </c>
      <c r="I824" t="s">
        <v>24</v>
      </c>
      <c r="J824" t="s">
        <v>3302</v>
      </c>
      <c r="K824" t="s">
        <v>3303</v>
      </c>
      <c r="L824" t="s">
        <v>2476</v>
      </c>
      <c r="M824" t="s">
        <v>3304</v>
      </c>
      <c r="N824" t="s">
        <v>3305</v>
      </c>
      <c r="O824" t="s">
        <v>27</v>
      </c>
      <c r="P824" t="s">
        <v>48</v>
      </c>
      <c r="Q824" t="s">
        <v>49</v>
      </c>
      <c r="R824" t="s">
        <v>50</v>
      </c>
      <c r="S824" t="s">
        <v>28</v>
      </c>
      <c r="T824" t="s">
        <v>3306</v>
      </c>
      <c r="U824" t="s">
        <v>3305</v>
      </c>
    </row>
    <row r="825" spans="1:21" x14ac:dyDescent="0.25">
      <c r="A825" t="s">
        <v>40</v>
      </c>
      <c r="B825" t="s">
        <v>41</v>
      </c>
      <c r="C825">
        <v>89.93</v>
      </c>
      <c r="D825">
        <v>1</v>
      </c>
      <c r="E825">
        <v>0</v>
      </c>
      <c r="F825" t="s">
        <v>3307</v>
      </c>
      <c r="G825">
        <v>94.93</v>
      </c>
      <c r="H825">
        <v>5</v>
      </c>
      <c r="I825" t="s">
        <v>24</v>
      </c>
      <c r="J825" t="s">
        <v>3308</v>
      </c>
      <c r="K825" t="s">
        <v>3309</v>
      </c>
      <c r="L825" t="s">
        <v>461</v>
      </c>
      <c r="M825" t="s">
        <v>3310</v>
      </c>
      <c r="N825" t="s">
        <v>3305</v>
      </c>
      <c r="O825" t="s">
        <v>27</v>
      </c>
      <c r="P825" t="s">
        <v>48</v>
      </c>
      <c r="Q825" t="s">
        <v>49</v>
      </c>
      <c r="R825" t="s">
        <v>50</v>
      </c>
      <c r="S825" t="s">
        <v>28</v>
      </c>
      <c r="T825" t="s">
        <v>3311</v>
      </c>
      <c r="U825" t="s">
        <v>3312</v>
      </c>
    </row>
    <row r="826" spans="1:21" x14ac:dyDescent="0.25">
      <c r="A826" t="s">
        <v>261</v>
      </c>
      <c r="B826" t="s">
        <v>1592</v>
      </c>
      <c r="C826">
        <v>223.78</v>
      </c>
      <c r="D826">
        <v>1</v>
      </c>
      <c r="E826">
        <v>0</v>
      </c>
      <c r="F826" t="s">
        <v>3313</v>
      </c>
      <c r="G826">
        <v>247.78</v>
      </c>
      <c r="H826">
        <v>24</v>
      </c>
      <c r="I826" t="s">
        <v>24</v>
      </c>
      <c r="J826" t="s">
        <v>3314</v>
      </c>
      <c r="K826" t="s">
        <v>3315</v>
      </c>
      <c r="L826" t="s">
        <v>3316</v>
      </c>
      <c r="M826" t="s">
        <v>3317</v>
      </c>
      <c r="N826" t="s">
        <v>3318</v>
      </c>
      <c r="O826" t="s">
        <v>27</v>
      </c>
      <c r="P826" t="s">
        <v>48</v>
      </c>
      <c r="Q826" t="s">
        <v>49</v>
      </c>
      <c r="R826" t="s">
        <v>50</v>
      </c>
      <c r="S826" t="s">
        <v>28</v>
      </c>
      <c r="T826" t="s">
        <v>3319</v>
      </c>
      <c r="U826" t="s">
        <v>3312</v>
      </c>
    </row>
    <row r="827" spans="1:21" x14ac:dyDescent="0.25">
      <c r="A827" t="s">
        <v>70</v>
      </c>
      <c r="B827" t="s">
        <v>70</v>
      </c>
      <c r="C827">
        <v>350</v>
      </c>
      <c r="D827">
        <v>1</v>
      </c>
      <c r="E827">
        <v>0</v>
      </c>
      <c r="F827" t="s">
        <v>3320</v>
      </c>
      <c r="G827">
        <v>350</v>
      </c>
      <c r="H827">
        <v>0</v>
      </c>
      <c r="I827" t="s">
        <v>140</v>
      </c>
      <c r="J827" t="s">
        <v>3321</v>
      </c>
      <c r="K827" t="s">
        <v>672</v>
      </c>
      <c r="L827" t="s">
        <v>27</v>
      </c>
      <c r="M827" t="s">
        <v>28</v>
      </c>
      <c r="N827" t="s">
        <v>3322</v>
      </c>
      <c r="O827" t="s">
        <v>27</v>
      </c>
      <c r="P827" t="s">
        <v>30</v>
      </c>
      <c r="Q827" t="s">
        <v>31</v>
      </c>
      <c r="R827" t="s">
        <v>32</v>
      </c>
      <c r="S827" t="s">
        <v>28</v>
      </c>
      <c r="T827" t="s">
        <v>3323</v>
      </c>
      <c r="U827" t="s">
        <v>3324</v>
      </c>
    </row>
    <row r="828" spans="1:21" x14ac:dyDescent="0.25">
      <c r="A828" t="s">
        <v>21</v>
      </c>
      <c r="B828" t="s">
        <v>22</v>
      </c>
      <c r="C828">
        <v>100</v>
      </c>
      <c r="D828">
        <v>2</v>
      </c>
      <c r="E828">
        <v>0</v>
      </c>
      <c r="F828" t="s">
        <v>3325</v>
      </c>
      <c r="G828">
        <v>200</v>
      </c>
      <c r="H828">
        <v>0</v>
      </c>
      <c r="I828" t="s">
        <v>24</v>
      </c>
      <c r="J828" t="s">
        <v>3326</v>
      </c>
      <c r="K828" t="s">
        <v>1198</v>
      </c>
      <c r="L828" t="s">
        <v>27</v>
      </c>
      <c r="M828" t="s">
        <v>28</v>
      </c>
      <c r="N828" t="s">
        <v>3324</v>
      </c>
      <c r="O828" t="s">
        <v>27</v>
      </c>
      <c r="P828" t="s">
        <v>56</v>
      </c>
      <c r="Q828" t="s">
        <v>31</v>
      </c>
      <c r="R828" t="s">
        <v>57</v>
      </c>
      <c r="S828" t="s">
        <v>28</v>
      </c>
      <c r="T828" t="s">
        <v>3327</v>
      </c>
      <c r="U828" t="s">
        <v>3322</v>
      </c>
    </row>
    <row r="829" spans="1:21" x14ac:dyDescent="0.25">
      <c r="A829" t="s">
        <v>33</v>
      </c>
      <c r="B829" t="s">
        <v>34</v>
      </c>
      <c r="C829">
        <v>200</v>
      </c>
      <c r="D829">
        <v>1</v>
      </c>
      <c r="E829">
        <v>0</v>
      </c>
      <c r="F829" t="s">
        <v>3328</v>
      </c>
      <c r="G829">
        <v>200</v>
      </c>
      <c r="H829">
        <v>0</v>
      </c>
      <c r="I829" t="s">
        <v>445</v>
      </c>
      <c r="J829" t="s">
        <v>3329</v>
      </c>
      <c r="K829" t="s">
        <v>711</v>
      </c>
      <c r="L829" t="s">
        <v>27</v>
      </c>
      <c r="M829" t="s">
        <v>28</v>
      </c>
      <c r="N829" t="s">
        <v>3322</v>
      </c>
      <c r="O829" t="s">
        <v>27</v>
      </c>
      <c r="P829" t="s">
        <v>39</v>
      </c>
      <c r="Q829" t="s">
        <v>31</v>
      </c>
      <c r="R829" t="s">
        <v>32</v>
      </c>
      <c r="S829" t="s">
        <v>28</v>
      </c>
      <c r="T829" t="s">
        <v>3330</v>
      </c>
      <c r="U829" t="s">
        <v>3322</v>
      </c>
    </row>
    <row r="830" spans="1:21" x14ac:dyDescent="0.25">
      <c r="A830" t="s">
        <v>21</v>
      </c>
      <c r="B830" t="s">
        <v>22</v>
      </c>
      <c r="C830">
        <v>100</v>
      </c>
      <c r="D830">
        <v>1</v>
      </c>
      <c r="E830">
        <v>0</v>
      </c>
      <c r="F830" t="s">
        <v>3331</v>
      </c>
      <c r="G830">
        <v>106</v>
      </c>
      <c r="H830">
        <v>6</v>
      </c>
      <c r="I830" t="s">
        <v>445</v>
      </c>
      <c r="J830" t="s">
        <v>3332</v>
      </c>
      <c r="K830" t="s">
        <v>579</v>
      </c>
      <c r="L830" t="s">
        <v>27</v>
      </c>
      <c r="M830" t="s">
        <v>28</v>
      </c>
      <c r="N830" t="s">
        <v>3333</v>
      </c>
      <c r="O830" t="s">
        <v>27</v>
      </c>
      <c r="P830" t="s">
        <v>39</v>
      </c>
      <c r="Q830" t="s">
        <v>31</v>
      </c>
      <c r="R830" t="s">
        <v>32</v>
      </c>
      <c r="S830" t="s">
        <v>28</v>
      </c>
      <c r="T830" t="s">
        <v>3334</v>
      </c>
      <c r="U830" t="s">
        <v>3333</v>
      </c>
    </row>
    <row r="831" spans="1:21" x14ac:dyDescent="0.25">
      <c r="A831" t="s">
        <v>143</v>
      </c>
      <c r="B831" t="s">
        <v>144</v>
      </c>
      <c r="C831">
        <v>200</v>
      </c>
      <c r="D831">
        <v>1</v>
      </c>
      <c r="E831">
        <v>0</v>
      </c>
      <c r="F831" t="s">
        <v>3335</v>
      </c>
      <c r="G831">
        <v>200</v>
      </c>
      <c r="H831">
        <v>0</v>
      </c>
      <c r="I831" t="s">
        <v>140</v>
      </c>
      <c r="J831" t="s">
        <v>535</v>
      </c>
      <c r="K831" t="s">
        <v>273</v>
      </c>
      <c r="L831" t="s">
        <v>27</v>
      </c>
      <c r="M831" t="s">
        <v>28</v>
      </c>
      <c r="N831" t="s">
        <v>3333</v>
      </c>
      <c r="O831" t="s">
        <v>27</v>
      </c>
      <c r="P831" t="s">
        <v>30</v>
      </c>
      <c r="Q831" t="s">
        <v>31</v>
      </c>
      <c r="R831" t="s">
        <v>32</v>
      </c>
      <c r="S831" t="s">
        <v>28</v>
      </c>
      <c r="T831" t="s">
        <v>3336</v>
      </c>
      <c r="U831" t="s">
        <v>3333</v>
      </c>
    </row>
    <row r="832" spans="1:21" x14ac:dyDescent="0.25">
      <c r="A832" t="s">
        <v>63</v>
      </c>
      <c r="B832" t="s">
        <v>64</v>
      </c>
      <c r="C832">
        <v>100</v>
      </c>
      <c r="D832">
        <v>1</v>
      </c>
      <c r="E832">
        <v>0</v>
      </c>
      <c r="F832" t="s">
        <v>3337</v>
      </c>
      <c r="G832">
        <v>145</v>
      </c>
      <c r="H832">
        <v>45</v>
      </c>
      <c r="I832" t="s">
        <v>24</v>
      </c>
      <c r="J832" t="s">
        <v>3338</v>
      </c>
      <c r="K832" t="s">
        <v>241</v>
      </c>
      <c r="L832" t="s">
        <v>27</v>
      </c>
      <c r="M832" t="s">
        <v>28</v>
      </c>
      <c r="N832" t="s">
        <v>3339</v>
      </c>
      <c r="O832" t="s">
        <v>27</v>
      </c>
      <c r="P832" t="s">
        <v>39</v>
      </c>
      <c r="Q832" t="s">
        <v>31</v>
      </c>
      <c r="R832" t="s">
        <v>32</v>
      </c>
      <c r="S832" t="s">
        <v>28</v>
      </c>
      <c r="T832" t="s">
        <v>3340</v>
      </c>
      <c r="U832" t="s">
        <v>3339</v>
      </c>
    </row>
    <row r="833" spans="1:21" x14ac:dyDescent="0.25">
      <c r="A833" t="s">
        <v>134</v>
      </c>
      <c r="B833" t="s">
        <v>64</v>
      </c>
      <c r="C833">
        <v>150</v>
      </c>
      <c r="D833">
        <v>1</v>
      </c>
      <c r="E833">
        <v>0</v>
      </c>
      <c r="F833" t="s">
        <v>3341</v>
      </c>
      <c r="G833">
        <v>185</v>
      </c>
      <c r="H833">
        <v>35</v>
      </c>
      <c r="I833" t="s">
        <v>24</v>
      </c>
      <c r="J833" t="s">
        <v>188</v>
      </c>
      <c r="K833" t="s">
        <v>3342</v>
      </c>
      <c r="L833" t="s">
        <v>640</v>
      </c>
      <c r="M833" t="s">
        <v>3343</v>
      </c>
      <c r="N833" t="s">
        <v>3344</v>
      </c>
      <c r="O833" t="s">
        <v>27</v>
      </c>
      <c r="P833" t="s">
        <v>193</v>
      </c>
      <c r="Q833" t="s">
        <v>85</v>
      </c>
      <c r="R833" t="s">
        <v>86</v>
      </c>
      <c r="S833" t="s">
        <v>28</v>
      </c>
      <c r="T833" t="s">
        <v>3345</v>
      </c>
      <c r="U833" t="s">
        <v>3344</v>
      </c>
    </row>
    <row r="834" spans="1:21" x14ac:dyDescent="0.25">
      <c r="A834" t="s">
        <v>21</v>
      </c>
      <c r="B834" t="s">
        <v>22</v>
      </c>
      <c r="C834">
        <v>100</v>
      </c>
      <c r="D834">
        <v>1</v>
      </c>
      <c r="E834">
        <v>0</v>
      </c>
      <c r="F834" t="s">
        <v>3346</v>
      </c>
      <c r="G834">
        <v>106</v>
      </c>
      <c r="H834">
        <v>6</v>
      </c>
      <c r="I834" t="s">
        <v>445</v>
      </c>
      <c r="J834" t="s">
        <v>3347</v>
      </c>
      <c r="K834" t="s">
        <v>3348</v>
      </c>
      <c r="L834" t="s">
        <v>27</v>
      </c>
      <c r="M834" t="s">
        <v>28</v>
      </c>
      <c r="N834" t="s">
        <v>3349</v>
      </c>
      <c r="O834" t="s">
        <v>27</v>
      </c>
      <c r="P834" t="s">
        <v>39</v>
      </c>
      <c r="Q834" t="s">
        <v>31</v>
      </c>
      <c r="R834" t="s">
        <v>32</v>
      </c>
      <c r="S834" t="s">
        <v>28</v>
      </c>
      <c r="T834" t="s">
        <v>3350</v>
      </c>
      <c r="U834" t="s">
        <v>3349</v>
      </c>
    </row>
    <row r="835" spans="1:21" x14ac:dyDescent="0.25">
      <c r="A835" t="s">
        <v>21</v>
      </c>
      <c r="B835" t="s">
        <v>22</v>
      </c>
      <c r="C835">
        <v>100</v>
      </c>
      <c r="D835">
        <v>1</v>
      </c>
      <c r="E835">
        <v>0</v>
      </c>
      <c r="F835" t="s">
        <v>3351</v>
      </c>
      <c r="G835">
        <v>106</v>
      </c>
      <c r="H835">
        <v>6</v>
      </c>
      <c r="I835" t="s">
        <v>24</v>
      </c>
      <c r="J835" t="s">
        <v>3352</v>
      </c>
      <c r="K835" t="s">
        <v>711</v>
      </c>
      <c r="L835" t="s">
        <v>27</v>
      </c>
      <c r="M835" t="s">
        <v>28</v>
      </c>
      <c r="N835" t="s">
        <v>3353</v>
      </c>
      <c r="O835" t="s">
        <v>27</v>
      </c>
      <c r="P835" t="s">
        <v>39</v>
      </c>
      <c r="Q835" t="s">
        <v>31</v>
      </c>
      <c r="R835" t="s">
        <v>32</v>
      </c>
      <c r="S835" t="s">
        <v>28</v>
      </c>
      <c r="T835" t="s">
        <v>3354</v>
      </c>
      <c r="U835" t="s">
        <v>3353</v>
      </c>
    </row>
    <row r="836" spans="1:21" x14ac:dyDescent="0.25">
      <c r="A836" t="s">
        <v>625</v>
      </c>
      <c r="B836" t="s">
        <v>3355</v>
      </c>
      <c r="C836">
        <v>1600</v>
      </c>
      <c r="D836">
        <v>1</v>
      </c>
      <c r="E836">
        <v>0</v>
      </c>
      <c r="F836" t="s">
        <v>3356</v>
      </c>
      <c r="G836">
        <v>1704</v>
      </c>
      <c r="H836">
        <v>104</v>
      </c>
      <c r="I836" t="s">
        <v>24</v>
      </c>
      <c r="J836" t="s">
        <v>3357</v>
      </c>
      <c r="K836" t="s">
        <v>3358</v>
      </c>
      <c r="L836" t="s">
        <v>219</v>
      </c>
      <c r="M836" t="s">
        <v>1744</v>
      </c>
      <c r="N836" t="s">
        <v>3359</v>
      </c>
      <c r="O836" t="s">
        <v>27</v>
      </c>
      <c r="P836" t="s">
        <v>193</v>
      </c>
      <c r="Q836" t="s">
        <v>85</v>
      </c>
      <c r="R836" t="s">
        <v>86</v>
      </c>
      <c r="S836" t="s">
        <v>28</v>
      </c>
      <c r="T836" t="s">
        <v>3360</v>
      </c>
      <c r="U836" t="s">
        <v>3361</v>
      </c>
    </row>
    <row r="837" spans="1:21" x14ac:dyDescent="0.25">
      <c r="A837" t="s">
        <v>21</v>
      </c>
      <c r="B837" t="s">
        <v>22</v>
      </c>
      <c r="C837">
        <v>100</v>
      </c>
      <c r="D837">
        <v>2</v>
      </c>
      <c r="E837">
        <v>0</v>
      </c>
      <c r="F837" t="s">
        <v>3362</v>
      </c>
      <c r="G837">
        <v>200</v>
      </c>
      <c r="H837">
        <v>0</v>
      </c>
      <c r="I837" t="s">
        <v>445</v>
      </c>
      <c r="J837" t="s">
        <v>3363</v>
      </c>
      <c r="K837" t="s">
        <v>250</v>
      </c>
      <c r="L837" t="s">
        <v>27</v>
      </c>
      <c r="M837" t="s">
        <v>28</v>
      </c>
      <c r="N837" t="s">
        <v>3364</v>
      </c>
      <c r="O837" t="s">
        <v>27</v>
      </c>
      <c r="P837" t="s">
        <v>39</v>
      </c>
      <c r="Q837" t="s">
        <v>31</v>
      </c>
      <c r="R837" t="s">
        <v>32</v>
      </c>
      <c r="S837" t="s">
        <v>28</v>
      </c>
      <c r="T837" t="s">
        <v>3365</v>
      </c>
      <c r="U837" t="s">
        <v>3364</v>
      </c>
    </row>
    <row r="838" spans="1:21" x14ac:dyDescent="0.25">
      <c r="A838" t="s">
        <v>195</v>
      </c>
      <c r="B838" t="s">
        <v>1003</v>
      </c>
      <c r="C838">
        <v>112.35</v>
      </c>
      <c r="D838">
        <v>1</v>
      </c>
      <c r="E838">
        <v>0</v>
      </c>
      <c r="F838" t="s">
        <v>3366</v>
      </c>
      <c r="G838">
        <v>117.35</v>
      </c>
      <c r="H838">
        <v>5</v>
      </c>
      <c r="I838" t="s">
        <v>628</v>
      </c>
      <c r="J838" t="s">
        <v>3367</v>
      </c>
      <c r="K838" t="s">
        <v>3368</v>
      </c>
      <c r="L838" t="s">
        <v>2530</v>
      </c>
      <c r="M838" t="s">
        <v>3369</v>
      </c>
      <c r="N838" t="s">
        <v>3364</v>
      </c>
      <c r="O838" t="s">
        <v>27</v>
      </c>
      <c r="P838" t="s">
        <v>48</v>
      </c>
      <c r="Q838" t="s">
        <v>49</v>
      </c>
      <c r="R838" t="s">
        <v>50</v>
      </c>
      <c r="S838" t="s">
        <v>28</v>
      </c>
      <c r="T838" t="s">
        <v>3370</v>
      </c>
      <c r="U838" t="s">
        <v>3371</v>
      </c>
    </row>
    <row r="839" spans="1:21" x14ac:dyDescent="0.25">
      <c r="A839" t="s">
        <v>195</v>
      </c>
      <c r="B839" t="s">
        <v>1003</v>
      </c>
      <c r="C839">
        <v>112.35</v>
      </c>
      <c r="D839">
        <v>1</v>
      </c>
      <c r="E839">
        <v>0</v>
      </c>
      <c r="F839" t="s">
        <v>3372</v>
      </c>
      <c r="G839">
        <v>117.35</v>
      </c>
      <c r="H839">
        <v>5</v>
      </c>
      <c r="I839" t="s">
        <v>628</v>
      </c>
      <c r="J839" t="s">
        <v>3373</v>
      </c>
      <c r="K839" t="s">
        <v>3374</v>
      </c>
      <c r="L839" t="s">
        <v>3375</v>
      </c>
      <c r="M839" t="s">
        <v>3376</v>
      </c>
      <c r="N839" t="s">
        <v>3371</v>
      </c>
      <c r="O839" t="s">
        <v>27</v>
      </c>
      <c r="P839" t="s">
        <v>48</v>
      </c>
      <c r="Q839" t="s">
        <v>49</v>
      </c>
      <c r="R839" t="s">
        <v>50</v>
      </c>
      <c r="S839" t="s">
        <v>28</v>
      </c>
      <c r="T839" t="s">
        <v>3377</v>
      </c>
      <c r="U839" t="s">
        <v>3371</v>
      </c>
    </row>
    <row r="840" spans="1:21" x14ac:dyDescent="0.25">
      <c r="A840" t="s">
        <v>33</v>
      </c>
      <c r="B840" t="s">
        <v>34</v>
      </c>
      <c r="C840">
        <v>200</v>
      </c>
      <c r="D840">
        <v>1</v>
      </c>
      <c r="E840">
        <v>0</v>
      </c>
      <c r="F840" t="s">
        <v>3378</v>
      </c>
      <c r="G840">
        <v>200</v>
      </c>
      <c r="H840">
        <v>0</v>
      </c>
      <c r="I840" t="s">
        <v>24</v>
      </c>
      <c r="J840" t="s">
        <v>3379</v>
      </c>
      <c r="K840" t="s">
        <v>451</v>
      </c>
      <c r="L840" t="s">
        <v>27</v>
      </c>
      <c r="M840" t="s">
        <v>28</v>
      </c>
      <c r="N840" t="s">
        <v>3371</v>
      </c>
      <c r="O840" t="s">
        <v>27</v>
      </c>
      <c r="P840" t="s">
        <v>39</v>
      </c>
      <c r="Q840" t="s">
        <v>31</v>
      </c>
      <c r="R840" t="s">
        <v>32</v>
      </c>
      <c r="S840" t="s">
        <v>28</v>
      </c>
      <c r="T840" t="s">
        <v>3380</v>
      </c>
      <c r="U840" t="s">
        <v>3371</v>
      </c>
    </row>
    <row r="841" spans="1:21" x14ac:dyDescent="0.25">
      <c r="A841" t="s">
        <v>63</v>
      </c>
      <c r="B841" t="s">
        <v>64</v>
      </c>
      <c r="C841">
        <v>100</v>
      </c>
      <c r="D841">
        <v>1</v>
      </c>
      <c r="E841">
        <v>0</v>
      </c>
      <c r="F841" t="s">
        <v>3381</v>
      </c>
      <c r="G841">
        <v>200</v>
      </c>
      <c r="H841">
        <v>0</v>
      </c>
      <c r="I841" t="s">
        <v>445</v>
      </c>
      <c r="J841" t="s">
        <v>3382</v>
      </c>
      <c r="K841" t="s">
        <v>1315</v>
      </c>
      <c r="L841" t="s">
        <v>27</v>
      </c>
      <c r="M841" t="s">
        <v>28</v>
      </c>
      <c r="N841" t="s">
        <v>3371</v>
      </c>
      <c r="O841" t="s">
        <v>27</v>
      </c>
      <c r="P841" t="s">
        <v>39</v>
      </c>
      <c r="Q841" t="s">
        <v>31</v>
      </c>
      <c r="R841" t="s">
        <v>32</v>
      </c>
      <c r="S841" t="s">
        <v>28</v>
      </c>
      <c r="T841" t="s">
        <v>3383</v>
      </c>
      <c r="U841" t="s">
        <v>3371</v>
      </c>
    </row>
    <row r="842" spans="1:21" x14ac:dyDescent="0.25">
      <c r="A842" t="s">
        <v>134</v>
      </c>
      <c r="B842" t="s">
        <v>64</v>
      </c>
      <c r="C842">
        <v>100</v>
      </c>
      <c r="D842">
        <v>1</v>
      </c>
      <c r="E842">
        <v>0</v>
      </c>
      <c r="F842" t="s">
        <v>3381</v>
      </c>
      <c r="G842">
        <v>200</v>
      </c>
      <c r="H842">
        <v>0</v>
      </c>
      <c r="I842" t="s">
        <v>445</v>
      </c>
      <c r="J842" t="s">
        <v>3382</v>
      </c>
      <c r="K842" t="s">
        <v>1315</v>
      </c>
      <c r="L842" t="s">
        <v>27</v>
      </c>
      <c r="M842" t="s">
        <v>28</v>
      </c>
      <c r="N842" t="s">
        <v>3371</v>
      </c>
      <c r="O842" t="s">
        <v>27</v>
      </c>
      <c r="P842" t="s">
        <v>39</v>
      </c>
      <c r="Q842" t="s">
        <v>31</v>
      </c>
      <c r="R842" t="s">
        <v>32</v>
      </c>
      <c r="S842" t="s">
        <v>28</v>
      </c>
      <c r="T842" t="s">
        <v>3383</v>
      </c>
      <c r="U842" t="s">
        <v>3371</v>
      </c>
    </row>
    <row r="843" spans="1:21" x14ac:dyDescent="0.25">
      <c r="A843" t="s">
        <v>2295</v>
      </c>
      <c r="B843" t="s">
        <v>3286</v>
      </c>
      <c r="C843">
        <v>199</v>
      </c>
      <c r="D843">
        <v>1</v>
      </c>
      <c r="E843">
        <v>0</v>
      </c>
      <c r="F843" t="s">
        <v>3384</v>
      </c>
      <c r="G843">
        <v>199</v>
      </c>
      <c r="H843">
        <v>0</v>
      </c>
      <c r="I843" t="s">
        <v>24</v>
      </c>
      <c r="J843" t="s">
        <v>3385</v>
      </c>
      <c r="K843" t="s">
        <v>3386</v>
      </c>
      <c r="L843" t="s">
        <v>3387</v>
      </c>
      <c r="M843" t="s">
        <v>1973</v>
      </c>
      <c r="N843" t="s">
        <v>3388</v>
      </c>
      <c r="O843" t="s">
        <v>27</v>
      </c>
      <c r="P843" t="s">
        <v>193</v>
      </c>
      <c r="Q843" t="s">
        <v>85</v>
      </c>
      <c r="R843" t="s">
        <v>86</v>
      </c>
      <c r="S843" t="s">
        <v>28</v>
      </c>
      <c r="T843" t="s">
        <v>3389</v>
      </c>
      <c r="U843" t="s">
        <v>3390</v>
      </c>
    </row>
    <row r="844" spans="1:21" x14ac:dyDescent="0.25">
      <c r="A844" t="s">
        <v>63</v>
      </c>
      <c r="B844" t="s">
        <v>64</v>
      </c>
      <c r="C844">
        <v>100</v>
      </c>
      <c r="D844">
        <v>2</v>
      </c>
      <c r="E844">
        <v>0</v>
      </c>
      <c r="F844" t="s">
        <v>3391</v>
      </c>
      <c r="G844">
        <v>200</v>
      </c>
      <c r="H844">
        <v>0</v>
      </c>
      <c r="I844" t="s">
        <v>445</v>
      </c>
      <c r="J844" t="s">
        <v>3392</v>
      </c>
      <c r="K844" t="s">
        <v>418</v>
      </c>
      <c r="L844" t="s">
        <v>27</v>
      </c>
      <c r="M844" t="s">
        <v>28</v>
      </c>
      <c r="N844" t="s">
        <v>3393</v>
      </c>
      <c r="O844" t="s">
        <v>27</v>
      </c>
      <c r="P844" t="s">
        <v>39</v>
      </c>
      <c r="Q844" t="s">
        <v>31</v>
      </c>
      <c r="R844" t="s">
        <v>32</v>
      </c>
      <c r="S844" t="s">
        <v>28</v>
      </c>
      <c r="T844" t="s">
        <v>3394</v>
      </c>
      <c r="U844" t="s">
        <v>3395</v>
      </c>
    </row>
    <row r="845" spans="1:21" x14ac:dyDescent="0.25">
      <c r="A845" t="s">
        <v>195</v>
      </c>
      <c r="B845" t="s">
        <v>1003</v>
      </c>
      <c r="C845">
        <v>112.35</v>
      </c>
      <c r="D845">
        <v>1</v>
      </c>
      <c r="E845">
        <v>0</v>
      </c>
      <c r="F845" t="s">
        <v>3396</v>
      </c>
      <c r="G845">
        <v>117.35</v>
      </c>
      <c r="H845">
        <v>5</v>
      </c>
      <c r="I845" t="s">
        <v>628</v>
      </c>
      <c r="J845" t="s">
        <v>3397</v>
      </c>
      <c r="K845" t="s">
        <v>3398</v>
      </c>
      <c r="L845" t="s">
        <v>1868</v>
      </c>
      <c r="M845" t="s">
        <v>3399</v>
      </c>
      <c r="N845" t="s">
        <v>3400</v>
      </c>
      <c r="O845" t="s">
        <v>27</v>
      </c>
      <c r="P845" t="s">
        <v>48</v>
      </c>
      <c r="Q845" t="s">
        <v>49</v>
      </c>
      <c r="R845" t="s">
        <v>50</v>
      </c>
      <c r="S845" t="s">
        <v>28</v>
      </c>
      <c r="T845" t="s">
        <v>3401</v>
      </c>
      <c r="U845" t="s">
        <v>3402</v>
      </c>
    </row>
    <row r="846" spans="1:21" x14ac:dyDescent="0.25">
      <c r="A846" t="s">
        <v>2295</v>
      </c>
      <c r="B846" t="s">
        <v>3286</v>
      </c>
      <c r="C846">
        <v>199</v>
      </c>
      <c r="D846">
        <v>1</v>
      </c>
      <c r="E846">
        <v>0</v>
      </c>
      <c r="F846" t="s">
        <v>3403</v>
      </c>
      <c r="G846">
        <v>240</v>
      </c>
      <c r="H846">
        <v>41</v>
      </c>
      <c r="I846" t="s">
        <v>24</v>
      </c>
      <c r="J846" t="s">
        <v>3404</v>
      </c>
      <c r="K846" t="s">
        <v>3405</v>
      </c>
      <c r="L846" t="s">
        <v>3406</v>
      </c>
      <c r="M846" t="s">
        <v>1708</v>
      </c>
      <c r="N846" t="s">
        <v>3407</v>
      </c>
      <c r="O846" t="s">
        <v>27</v>
      </c>
      <c r="P846" t="s">
        <v>84</v>
      </c>
      <c r="Q846" t="s">
        <v>85</v>
      </c>
      <c r="R846" t="s">
        <v>86</v>
      </c>
      <c r="S846" t="s">
        <v>28</v>
      </c>
      <c r="T846" t="s">
        <v>3408</v>
      </c>
      <c r="U846" t="s">
        <v>3409</v>
      </c>
    </row>
    <row r="847" spans="1:21" x14ac:dyDescent="0.25">
      <c r="A847" t="s">
        <v>2295</v>
      </c>
      <c r="B847" t="s">
        <v>3286</v>
      </c>
      <c r="C847">
        <v>199</v>
      </c>
      <c r="D847">
        <v>1</v>
      </c>
      <c r="E847">
        <v>0</v>
      </c>
      <c r="F847" t="s">
        <v>3410</v>
      </c>
      <c r="G847">
        <v>279</v>
      </c>
      <c r="H847">
        <v>0</v>
      </c>
      <c r="I847" t="s">
        <v>24</v>
      </c>
      <c r="J847" t="s">
        <v>3411</v>
      </c>
      <c r="K847" t="s">
        <v>3412</v>
      </c>
      <c r="L847" t="s">
        <v>1437</v>
      </c>
      <c r="M847" t="s">
        <v>3413</v>
      </c>
      <c r="N847" t="s">
        <v>3414</v>
      </c>
      <c r="O847" t="s">
        <v>27</v>
      </c>
      <c r="P847" t="s">
        <v>84</v>
      </c>
      <c r="Q847" t="s">
        <v>85</v>
      </c>
      <c r="R847" t="s">
        <v>86</v>
      </c>
      <c r="S847" t="s">
        <v>28</v>
      </c>
      <c r="T847" t="s">
        <v>3415</v>
      </c>
      <c r="U847" t="s">
        <v>3416</v>
      </c>
    </row>
    <row r="848" spans="1:21" x14ac:dyDescent="0.25">
      <c r="A848" t="s">
        <v>33</v>
      </c>
      <c r="B848" t="s">
        <v>34</v>
      </c>
      <c r="C848">
        <v>200</v>
      </c>
      <c r="D848">
        <v>1</v>
      </c>
      <c r="E848">
        <v>0</v>
      </c>
      <c r="F848" t="s">
        <v>3417</v>
      </c>
      <c r="G848">
        <v>200</v>
      </c>
      <c r="H848">
        <v>0</v>
      </c>
      <c r="I848" t="s">
        <v>445</v>
      </c>
      <c r="J848" t="s">
        <v>3418</v>
      </c>
      <c r="K848" t="s">
        <v>346</v>
      </c>
      <c r="L848" t="s">
        <v>27</v>
      </c>
      <c r="M848" t="s">
        <v>28</v>
      </c>
      <c r="N848" t="s">
        <v>3419</v>
      </c>
      <c r="O848" t="s">
        <v>27</v>
      </c>
      <c r="P848" t="s">
        <v>39</v>
      </c>
      <c r="Q848" t="s">
        <v>31</v>
      </c>
      <c r="R848" t="s">
        <v>32</v>
      </c>
      <c r="S848" t="s">
        <v>28</v>
      </c>
      <c r="T848" t="s">
        <v>3420</v>
      </c>
      <c r="U848" t="s">
        <v>3419</v>
      </c>
    </row>
    <row r="849" spans="1:21" x14ac:dyDescent="0.25">
      <c r="A849" t="s">
        <v>475</v>
      </c>
      <c r="B849" t="s">
        <v>476</v>
      </c>
      <c r="C849">
        <v>186</v>
      </c>
      <c r="D849">
        <v>1</v>
      </c>
      <c r="E849">
        <v>0</v>
      </c>
      <c r="F849" t="s">
        <v>3421</v>
      </c>
      <c r="G849">
        <v>191</v>
      </c>
      <c r="H849">
        <v>5</v>
      </c>
      <c r="I849" t="s">
        <v>24</v>
      </c>
      <c r="J849" t="s">
        <v>3422</v>
      </c>
      <c r="K849" t="s">
        <v>3423</v>
      </c>
      <c r="L849" t="s">
        <v>3424</v>
      </c>
      <c r="M849" t="s">
        <v>3425</v>
      </c>
      <c r="N849" t="s">
        <v>3419</v>
      </c>
      <c r="O849" t="s">
        <v>27</v>
      </c>
      <c r="P849" t="s">
        <v>48</v>
      </c>
      <c r="Q849" t="s">
        <v>49</v>
      </c>
      <c r="R849" t="s">
        <v>50</v>
      </c>
      <c r="S849" t="s">
        <v>28</v>
      </c>
      <c r="T849" t="s">
        <v>3426</v>
      </c>
      <c r="U849" t="s">
        <v>3419</v>
      </c>
    </row>
    <row r="850" spans="1:21" x14ac:dyDescent="0.25">
      <c r="A850" t="s">
        <v>21</v>
      </c>
      <c r="B850" t="s">
        <v>22</v>
      </c>
      <c r="C850">
        <v>100</v>
      </c>
      <c r="D850">
        <v>1</v>
      </c>
      <c r="E850">
        <v>0</v>
      </c>
      <c r="F850" t="s">
        <v>3427</v>
      </c>
      <c r="G850">
        <v>106</v>
      </c>
      <c r="H850">
        <v>6</v>
      </c>
      <c r="I850" t="s">
        <v>445</v>
      </c>
      <c r="J850" t="s">
        <v>3428</v>
      </c>
      <c r="K850" t="s">
        <v>919</v>
      </c>
      <c r="L850" t="s">
        <v>27</v>
      </c>
      <c r="M850" t="s">
        <v>28</v>
      </c>
      <c r="N850" t="s">
        <v>3429</v>
      </c>
      <c r="O850" t="s">
        <v>27</v>
      </c>
      <c r="P850" t="s">
        <v>39</v>
      </c>
      <c r="Q850" t="s">
        <v>31</v>
      </c>
      <c r="R850" t="s">
        <v>32</v>
      </c>
      <c r="S850" t="s">
        <v>28</v>
      </c>
      <c r="T850" t="s">
        <v>3430</v>
      </c>
      <c r="U850" t="s">
        <v>3429</v>
      </c>
    </row>
    <row r="851" spans="1:21" x14ac:dyDescent="0.25">
      <c r="A851" t="s">
        <v>33</v>
      </c>
      <c r="B851" t="s">
        <v>34</v>
      </c>
      <c r="C851">
        <v>200</v>
      </c>
      <c r="D851">
        <v>1</v>
      </c>
      <c r="E851">
        <v>0</v>
      </c>
      <c r="F851" t="s">
        <v>3431</v>
      </c>
      <c r="G851">
        <v>200</v>
      </c>
      <c r="H851">
        <v>0</v>
      </c>
      <c r="I851" t="s">
        <v>445</v>
      </c>
      <c r="J851" t="s">
        <v>3432</v>
      </c>
      <c r="K851" t="s">
        <v>89</v>
      </c>
      <c r="L851" t="s">
        <v>27</v>
      </c>
      <c r="M851" t="s">
        <v>28</v>
      </c>
      <c r="N851" t="s">
        <v>3433</v>
      </c>
      <c r="O851" t="s">
        <v>27</v>
      </c>
      <c r="P851" t="s">
        <v>39</v>
      </c>
      <c r="Q851" t="s">
        <v>31</v>
      </c>
      <c r="R851" t="s">
        <v>32</v>
      </c>
      <c r="S851" t="s">
        <v>28</v>
      </c>
      <c r="T851" t="s">
        <v>3434</v>
      </c>
      <c r="U851" t="s">
        <v>3433</v>
      </c>
    </row>
    <row r="852" spans="1:21" x14ac:dyDescent="0.25">
      <c r="A852" t="s">
        <v>33</v>
      </c>
      <c r="B852" t="s">
        <v>34</v>
      </c>
      <c r="C852">
        <v>200</v>
      </c>
      <c r="D852">
        <v>1</v>
      </c>
      <c r="E852">
        <v>0</v>
      </c>
      <c r="F852" t="s">
        <v>3435</v>
      </c>
      <c r="G852">
        <v>200</v>
      </c>
      <c r="H852">
        <v>0</v>
      </c>
      <c r="I852" t="s">
        <v>445</v>
      </c>
      <c r="J852" t="s">
        <v>3436</v>
      </c>
      <c r="K852" t="s">
        <v>237</v>
      </c>
      <c r="L852" t="s">
        <v>27</v>
      </c>
      <c r="M852" t="s">
        <v>28</v>
      </c>
      <c r="N852" t="s">
        <v>3437</v>
      </c>
      <c r="O852" t="s">
        <v>27</v>
      </c>
      <c r="P852" t="s">
        <v>56</v>
      </c>
      <c r="Q852" t="s">
        <v>31</v>
      </c>
      <c r="R852" t="s">
        <v>57</v>
      </c>
      <c r="S852" t="s">
        <v>28</v>
      </c>
      <c r="T852" t="s">
        <v>3438</v>
      </c>
      <c r="U852" t="s">
        <v>3439</v>
      </c>
    </row>
    <row r="853" spans="1:21" x14ac:dyDescent="0.25">
      <c r="A853" t="s">
        <v>21</v>
      </c>
      <c r="B853" t="s">
        <v>22</v>
      </c>
      <c r="C853">
        <v>100</v>
      </c>
      <c r="D853">
        <v>1</v>
      </c>
      <c r="E853">
        <v>0</v>
      </c>
      <c r="F853" t="s">
        <v>3440</v>
      </c>
      <c r="G853">
        <v>100</v>
      </c>
      <c r="H853">
        <v>0</v>
      </c>
      <c r="I853" t="s">
        <v>24</v>
      </c>
      <c r="J853" t="s">
        <v>3441</v>
      </c>
      <c r="K853" t="s">
        <v>299</v>
      </c>
      <c r="L853" t="s">
        <v>27</v>
      </c>
      <c r="M853" t="s">
        <v>28</v>
      </c>
      <c r="N853" t="s">
        <v>3442</v>
      </c>
      <c r="O853" t="s">
        <v>27</v>
      </c>
      <c r="P853" t="s">
        <v>39</v>
      </c>
      <c r="Q853" t="s">
        <v>31</v>
      </c>
      <c r="R853" t="s">
        <v>32</v>
      </c>
      <c r="S853" t="s">
        <v>28</v>
      </c>
      <c r="T853" t="s">
        <v>3443</v>
      </c>
      <c r="U853" t="s">
        <v>3442</v>
      </c>
    </row>
    <row r="854" spans="1:21" x14ac:dyDescent="0.25">
      <c r="A854" t="s">
        <v>635</v>
      </c>
      <c r="B854" t="s">
        <v>714</v>
      </c>
      <c r="C854">
        <v>473.58</v>
      </c>
      <c r="D854">
        <v>1</v>
      </c>
      <c r="E854">
        <v>0</v>
      </c>
      <c r="F854" t="s">
        <v>3444</v>
      </c>
      <c r="G854">
        <v>487.58</v>
      </c>
      <c r="H854">
        <v>14</v>
      </c>
      <c r="I854" t="s">
        <v>628</v>
      </c>
      <c r="J854" t="s">
        <v>3445</v>
      </c>
      <c r="K854" t="s">
        <v>3446</v>
      </c>
      <c r="L854" t="s">
        <v>3447</v>
      </c>
      <c r="M854" t="s">
        <v>3448</v>
      </c>
      <c r="N854" t="s">
        <v>3449</v>
      </c>
      <c r="O854" t="s">
        <v>27</v>
      </c>
      <c r="P854" t="s">
        <v>48</v>
      </c>
      <c r="Q854" t="s">
        <v>49</v>
      </c>
      <c r="R854" t="s">
        <v>50</v>
      </c>
      <c r="S854" t="s">
        <v>28</v>
      </c>
      <c r="T854" t="s">
        <v>3450</v>
      </c>
      <c r="U854" t="s">
        <v>3449</v>
      </c>
    </row>
    <row r="855" spans="1:21" x14ac:dyDescent="0.25">
      <c r="A855" t="s">
        <v>21</v>
      </c>
      <c r="B855" t="s">
        <v>22</v>
      </c>
      <c r="C855">
        <v>100</v>
      </c>
      <c r="D855">
        <v>1</v>
      </c>
      <c r="E855">
        <v>0</v>
      </c>
      <c r="F855" t="s">
        <v>3451</v>
      </c>
      <c r="G855">
        <v>145</v>
      </c>
      <c r="H855">
        <v>45</v>
      </c>
      <c r="I855" t="s">
        <v>445</v>
      </c>
      <c r="J855" t="s">
        <v>3452</v>
      </c>
      <c r="K855" t="s">
        <v>67</v>
      </c>
      <c r="L855" t="s">
        <v>27</v>
      </c>
      <c r="M855" t="s">
        <v>28</v>
      </c>
      <c r="N855" t="s">
        <v>3453</v>
      </c>
      <c r="O855" t="s">
        <v>27</v>
      </c>
      <c r="P855" t="s">
        <v>39</v>
      </c>
      <c r="Q855" t="s">
        <v>31</v>
      </c>
      <c r="R855" t="s">
        <v>32</v>
      </c>
      <c r="S855" t="s">
        <v>28</v>
      </c>
      <c r="T855" t="s">
        <v>3454</v>
      </c>
      <c r="U855" t="s">
        <v>3453</v>
      </c>
    </row>
    <row r="856" spans="1:21" x14ac:dyDescent="0.25">
      <c r="A856" t="s">
        <v>58</v>
      </c>
      <c r="B856" t="s">
        <v>58</v>
      </c>
      <c r="C856">
        <v>130</v>
      </c>
      <c r="D856">
        <v>1</v>
      </c>
      <c r="E856">
        <v>0</v>
      </c>
      <c r="F856" t="s">
        <v>3455</v>
      </c>
      <c r="G856">
        <v>133</v>
      </c>
      <c r="H856">
        <v>3</v>
      </c>
      <c r="I856" t="s">
        <v>445</v>
      </c>
      <c r="J856" t="s">
        <v>3456</v>
      </c>
      <c r="K856" t="s">
        <v>3457</v>
      </c>
      <c r="L856" t="s">
        <v>3458</v>
      </c>
      <c r="M856" t="s">
        <v>1147</v>
      </c>
      <c r="N856" t="s">
        <v>3453</v>
      </c>
      <c r="O856" t="s">
        <v>27</v>
      </c>
      <c r="P856" t="s">
        <v>84</v>
      </c>
      <c r="Q856" t="s">
        <v>85</v>
      </c>
      <c r="R856" t="s">
        <v>86</v>
      </c>
      <c r="S856" t="s">
        <v>28</v>
      </c>
      <c r="T856" t="s">
        <v>3459</v>
      </c>
      <c r="U856" t="s">
        <v>3460</v>
      </c>
    </row>
    <row r="857" spans="1:21" x14ac:dyDescent="0.25">
      <c r="A857" t="s">
        <v>195</v>
      </c>
      <c r="B857" t="s">
        <v>1003</v>
      </c>
      <c r="C857">
        <v>112.35</v>
      </c>
      <c r="D857">
        <v>1</v>
      </c>
      <c r="E857">
        <v>0</v>
      </c>
      <c r="F857" t="s">
        <v>3461</v>
      </c>
      <c r="G857">
        <v>117.35</v>
      </c>
      <c r="H857">
        <v>5</v>
      </c>
      <c r="I857" t="s">
        <v>628</v>
      </c>
      <c r="J857" t="s">
        <v>3462</v>
      </c>
      <c r="K857" t="s">
        <v>3463</v>
      </c>
      <c r="L857" t="s">
        <v>3464</v>
      </c>
      <c r="M857" t="s">
        <v>3465</v>
      </c>
      <c r="N857" t="s">
        <v>3460</v>
      </c>
      <c r="O857" t="s">
        <v>27</v>
      </c>
      <c r="P857" t="s">
        <v>48</v>
      </c>
      <c r="Q857" t="s">
        <v>49</v>
      </c>
      <c r="R857" t="s">
        <v>50</v>
      </c>
      <c r="S857" t="s">
        <v>28</v>
      </c>
      <c r="T857" t="s">
        <v>3466</v>
      </c>
      <c r="U857" t="s">
        <v>3460</v>
      </c>
    </row>
    <row r="858" spans="1:21" x14ac:dyDescent="0.25">
      <c r="A858" t="s">
        <v>456</v>
      </c>
      <c r="B858" t="s">
        <v>1178</v>
      </c>
      <c r="C858">
        <v>128.47</v>
      </c>
      <c r="D858">
        <v>1</v>
      </c>
      <c r="E858">
        <v>0</v>
      </c>
      <c r="F858" t="s">
        <v>3467</v>
      </c>
      <c r="G858">
        <v>261.94</v>
      </c>
      <c r="H858">
        <v>5</v>
      </c>
      <c r="I858" t="s">
        <v>628</v>
      </c>
      <c r="J858" t="s">
        <v>3468</v>
      </c>
      <c r="K858" t="s">
        <v>3469</v>
      </c>
      <c r="L858" t="s">
        <v>3470</v>
      </c>
      <c r="M858" t="s">
        <v>3471</v>
      </c>
      <c r="N858" t="s">
        <v>3472</v>
      </c>
      <c r="O858" t="s">
        <v>27</v>
      </c>
      <c r="P858" t="s">
        <v>48</v>
      </c>
      <c r="Q858" t="s">
        <v>49</v>
      </c>
      <c r="R858" t="s">
        <v>50</v>
      </c>
      <c r="S858" t="s">
        <v>28</v>
      </c>
      <c r="T858" t="s">
        <v>3473</v>
      </c>
      <c r="U858" t="s">
        <v>3472</v>
      </c>
    </row>
    <row r="859" spans="1:21" x14ac:dyDescent="0.25">
      <c r="A859" t="s">
        <v>456</v>
      </c>
      <c r="B859" t="s">
        <v>1178</v>
      </c>
      <c r="C859">
        <v>128.47</v>
      </c>
      <c r="D859">
        <v>1</v>
      </c>
      <c r="E859">
        <v>0</v>
      </c>
      <c r="F859" t="s">
        <v>3467</v>
      </c>
      <c r="G859">
        <v>261.94</v>
      </c>
      <c r="H859">
        <v>5</v>
      </c>
      <c r="I859" t="s">
        <v>628</v>
      </c>
      <c r="J859" t="s">
        <v>3468</v>
      </c>
      <c r="K859" t="s">
        <v>3469</v>
      </c>
      <c r="L859" t="s">
        <v>3470</v>
      </c>
      <c r="M859" t="s">
        <v>3471</v>
      </c>
      <c r="N859" t="s">
        <v>3472</v>
      </c>
      <c r="O859" t="s">
        <v>27</v>
      </c>
      <c r="P859" t="s">
        <v>48</v>
      </c>
      <c r="Q859" t="s">
        <v>49</v>
      </c>
      <c r="R859" t="s">
        <v>50</v>
      </c>
      <c r="S859" t="s">
        <v>28</v>
      </c>
      <c r="T859" t="s">
        <v>3473</v>
      </c>
      <c r="U859" t="s">
        <v>3472</v>
      </c>
    </row>
    <row r="860" spans="1:21" x14ac:dyDescent="0.25">
      <c r="A860" t="s">
        <v>33</v>
      </c>
      <c r="B860" t="s">
        <v>34</v>
      </c>
      <c r="C860">
        <v>200</v>
      </c>
      <c r="D860">
        <v>1</v>
      </c>
      <c r="E860">
        <v>0</v>
      </c>
      <c r="F860" t="s">
        <v>3474</v>
      </c>
      <c r="G860">
        <v>200</v>
      </c>
      <c r="H860">
        <v>0</v>
      </c>
      <c r="I860" t="s">
        <v>445</v>
      </c>
      <c r="J860" t="s">
        <v>3475</v>
      </c>
      <c r="K860" t="s">
        <v>89</v>
      </c>
      <c r="L860" t="s">
        <v>27</v>
      </c>
      <c r="M860" t="s">
        <v>28</v>
      </c>
      <c r="N860" t="s">
        <v>3472</v>
      </c>
      <c r="O860" t="s">
        <v>27</v>
      </c>
      <c r="P860" t="s">
        <v>39</v>
      </c>
      <c r="Q860" t="s">
        <v>31</v>
      </c>
      <c r="R860" t="s">
        <v>32</v>
      </c>
      <c r="S860" t="s">
        <v>28</v>
      </c>
      <c r="T860" t="s">
        <v>3476</v>
      </c>
      <c r="U860" t="s">
        <v>3472</v>
      </c>
    </row>
    <row r="861" spans="1:21" x14ac:dyDescent="0.25">
      <c r="A861" t="s">
        <v>58</v>
      </c>
      <c r="B861" t="s">
        <v>58</v>
      </c>
      <c r="C861">
        <v>100</v>
      </c>
      <c r="D861">
        <v>1</v>
      </c>
      <c r="E861">
        <v>0</v>
      </c>
      <c r="F861" t="s">
        <v>3477</v>
      </c>
      <c r="G861">
        <v>600</v>
      </c>
      <c r="H861">
        <v>0</v>
      </c>
      <c r="I861" t="s">
        <v>140</v>
      </c>
      <c r="J861" t="s">
        <v>3478</v>
      </c>
      <c r="K861" t="s">
        <v>37</v>
      </c>
      <c r="L861" t="s">
        <v>27</v>
      </c>
      <c r="M861" t="s">
        <v>28</v>
      </c>
      <c r="N861" t="s">
        <v>3479</v>
      </c>
      <c r="O861" t="s">
        <v>27</v>
      </c>
      <c r="P861" t="s">
        <v>30</v>
      </c>
      <c r="Q861" t="s">
        <v>31</v>
      </c>
      <c r="R861" t="s">
        <v>32</v>
      </c>
      <c r="S861" t="s">
        <v>28</v>
      </c>
      <c r="T861" t="s">
        <v>3480</v>
      </c>
      <c r="U861" t="s">
        <v>3479</v>
      </c>
    </row>
    <row r="862" spans="1:21" x14ac:dyDescent="0.25">
      <c r="A862" t="s">
        <v>76</v>
      </c>
      <c r="B862" t="s">
        <v>77</v>
      </c>
      <c r="C862">
        <v>250</v>
      </c>
      <c r="D862">
        <v>2</v>
      </c>
      <c r="E862">
        <v>0</v>
      </c>
      <c r="F862" t="s">
        <v>3477</v>
      </c>
      <c r="G862">
        <v>600</v>
      </c>
      <c r="H862">
        <v>0</v>
      </c>
      <c r="I862" t="s">
        <v>140</v>
      </c>
      <c r="J862" t="s">
        <v>3478</v>
      </c>
      <c r="K862" t="s">
        <v>37</v>
      </c>
      <c r="L862" t="s">
        <v>27</v>
      </c>
      <c r="M862" t="s">
        <v>28</v>
      </c>
      <c r="N862" t="s">
        <v>3479</v>
      </c>
      <c r="O862" t="s">
        <v>27</v>
      </c>
      <c r="P862" t="s">
        <v>30</v>
      </c>
      <c r="Q862" t="s">
        <v>31</v>
      </c>
      <c r="R862" t="s">
        <v>32</v>
      </c>
      <c r="S862" t="s">
        <v>28</v>
      </c>
      <c r="T862" t="s">
        <v>3480</v>
      </c>
      <c r="U862" t="s">
        <v>3479</v>
      </c>
    </row>
    <row r="863" spans="1:21" x14ac:dyDescent="0.25">
      <c r="A863" t="s">
        <v>143</v>
      </c>
      <c r="B863" t="s">
        <v>144</v>
      </c>
      <c r="C863">
        <v>200</v>
      </c>
      <c r="D863">
        <v>1</v>
      </c>
      <c r="E863">
        <v>0</v>
      </c>
      <c r="F863" t="s">
        <v>3481</v>
      </c>
      <c r="G863">
        <v>200</v>
      </c>
      <c r="H863">
        <v>0</v>
      </c>
      <c r="I863" t="s">
        <v>24</v>
      </c>
      <c r="J863" t="s">
        <v>3482</v>
      </c>
      <c r="K863" t="s">
        <v>37</v>
      </c>
      <c r="L863" t="s">
        <v>27</v>
      </c>
      <c r="M863" t="s">
        <v>28</v>
      </c>
      <c r="N863" t="s">
        <v>3483</v>
      </c>
      <c r="O863" t="s">
        <v>27</v>
      </c>
      <c r="P863" t="s">
        <v>39</v>
      </c>
      <c r="Q863" t="s">
        <v>31</v>
      </c>
      <c r="R863" t="s">
        <v>32</v>
      </c>
      <c r="S863" t="s">
        <v>28</v>
      </c>
      <c r="T863" t="s">
        <v>3484</v>
      </c>
      <c r="U863" t="s">
        <v>3483</v>
      </c>
    </row>
    <row r="864" spans="1:21" x14ac:dyDescent="0.25">
      <c r="A864" t="s">
        <v>134</v>
      </c>
      <c r="B864" t="s">
        <v>64</v>
      </c>
      <c r="C864">
        <v>100</v>
      </c>
      <c r="D864">
        <v>2</v>
      </c>
      <c r="E864">
        <v>0</v>
      </c>
      <c r="F864" t="s">
        <v>3485</v>
      </c>
      <c r="G864">
        <v>200</v>
      </c>
      <c r="H864">
        <v>0</v>
      </c>
      <c r="I864" t="s">
        <v>24</v>
      </c>
      <c r="J864" t="s">
        <v>3486</v>
      </c>
      <c r="K864" t="s">
        <v>358</v>
      </c>
      <c r="L864" t="s">
        <v>27</v>
      </c>
      <c r="M864" t="s">
        <v>28</v>
      </c>
      <c r="N864" t="s">
        <v>3487</v>
      </c>
      <c r="O864" t="s">
        <v>27</v>
      </c>
      <c r="P864" t="s">
        <v>39</v>
      </c>
      <c r="Q864" t="s">
        <v>31</v>
      </c>
      <c r="R864" t="s">
        <v>32</v>
      </c>
      <c r="S864" t="s">
        <v>28</v>
      </c>
      <c r="T864" t="s">
        <v>3488</v>
      </c>
      <c r="U864" t="s">
        <v>3489</v>
      </c>
    </row>
    <row r="865" spans="1:21" x14ac:dyDescent="0.25">
      <c r="A865" t="s">
        <v>195</v>
      </c>
      <c r="B865" t="s">
        <v>1003</v>
      </c>
      <c r="C865">
        <v>112.35</v>
      </c>
      <c r="D865">
        <v>1</v>
      </c>
      <c r="E865">
        <v>0</v>
      </c>
      <c r="F865" t="s">
        <v>3490</v>
      </c>
      <c r="G865">
        <v>117.35</v>
      </c>
      <c r="H865">
        <v>5</v>
      </c>
      <c r="I865" t="s">
        <v>628</v>
      </c>
      <c r="J865" t="s">
        <v>3491</v>
      </c>
      <c r="K865" t="s">
        <v>3492</v>
      </c>
      <c r="L865" t="s">
        <v>3493</v>
      </c>
      <c r="M865" t="s">
        <v>3494</v>
      </c>
      <c r="N865" t="s">
        <v>3487</v>
      </c>
      <c r="O865" t="s">
        <v>27</v>
      </c>
      <c r="P865" t="s">
        <v>48</v>
      </c>
      <c r="Q865" t="s">
        <v>49</v>
      </c>
      <c r="R865" t="s">
        <v>50</v>
      </c>
      <c r="S865" t="s">
        <v>28</v>
      </c>
      <c r="T865" t="s">
        <v>3495</v>
      </c>
      <c r="U865" t="s">
        <v>3496</v>
      </c>
    </row>
    <row r="866" spans="1:21" x14ac:dyDescent="0.25">
      <c r="A866" t="s">
        <v>456</v>
      </c>
      <c r="B866" t="s">
        <v>1178</v>
      </c>
      <c r="C866">
        <v>112.35</v>
      </c>
      <c r="D866">
        <v>1</v>
      </c>
      <c r="E866">
        <v>0</v>
      </c>
      <c r="F866" t="s">
        <v>3497</v>
      </c>
      <c r="G866">
        <v>117.35</v>
      </c>
      <c r="H866">
        <v>5</v>
      </c>
      <c r="I866" t="s">
        <v>628</v>
      </c>
      <c r="J866" t="s">
        <v>3498</v>
      </c>
      <c r="K866" t="s">
        <v>3499</v>
      </c>
      <c r="L866" t="s">
        <v>3500</v>
      </c>
      <c r="M866" t="s">
        <v>3501</v>
      </c>
      <c r="N866" t="s">
        <v>3502</v>
      </c>
      <c r="O866" t="s">
        <v>27</v>
      </c>
      <c r="P866" t="s">
        <v>48</v>
      </c>
      <c r="Q866" t="s">
        <v>49</v>
      </c>
      <c r="R866" t="s">
        <v>50</v>
      </c>
      <c r="S866" t="s">
        <v>28</v>
      </c>
      <c r="T866" t="s">
        <v>3503</v>
      </c>
      <c r="U866" t="s">
        <v>3502</v>
      </c>
    </row>
    <row r="867" spans="1:21" x14ac:dyDescent="0.25">
      <c r="A867" t="s">
        <v>63</v>
      </c>
      <c r="B867" t="s">
        <v>64</v>
      </c>
      <c r="C867">
        <v>100</v>
      </c>
      <c r="D867">
        <v>1</v>
      </c>
      <c r="E867">
        <v>0</v>
      </c>
      <c r="F867" t="s">
        <v>3504</v>
      </c>
      <c r="G867">
        <v>200</v>
      </c>
      <c r="H867">
        <v>0</v>
      </c>
      <c r="I867" t="s">
        <v>445</v>
      </c>
      <c r="J867" t="s">
        <v>3505</v>
      </c>
      <c r="K867" t="s">
        <v>241</v>
      </c>
      <c r="L867" t="s">
        <v>27</v>
      </c>
      <c r="M867" t="s">
        <v>28</v>
      </c>
      <c r="N867" t="s">
        <v>3506</v>
      </c>
      <c r="O867" t="s">
        <v>27</v>
      </c>
      <c r="P867" t="s">
        <v>39</v>
      </c>
      <c r="Q867" t="s">
        <v>31</v>
      </c>
      <c r="R867" t="s">
        <v>32</v>
      </c>
      <c r="S867" t="s">
        <v>28</v>
      </c>
      <c r="T867" t="s">
        <v>3507</v>
      </c>
      <c r="U867" t="s">
        <v>3506</v>
      </c>
    </row>
    <row r="868" spans="1:21" x14ac:dyDescent="0.25">
      <c r="A868" t="s">
        <v>134</v>
      </c>
      <c r="B868" t="s">
        <v>64</v>
      </c>
      <c r="C868">
        <v>100</v>
      </c>
      <c r="D868">
        <v>1</v>
      </c>
      <c r="E868">
        <v>0</v>
      </c>
      <c r="F868" t="s">
        <v>3504</v>
      </c>
      <c r="G868">
        <v>200</v>
      </c>
      <c r="H868">
        <v>0</v>
      </c>
      <c r="I868" t="s">
        <v>445</v>
      </c>
      <c r="J868" t="s">
        <v>3505</v>
      </c>
      <c r="K868" t="s">
        <v>241</v>
      </c>
      <c r="L868" t="s">
        <v>27</v>
      </c>
      <c r="M868" t="s">
        <v>28</v>
      </c>
      <c r="N868" t="s">
        <v>3506</v>
      </c>
      <c r="O868" t="s">
        <v>27</v>
      </c>
      <c r="P868" t="s">
        <v>39</v>
      </c>
      <c r="Q868" t="s">
        <v>31</v>
      </c>
      <c r="R868" t="s">
        <v>32</v>
      </c>
      <c r="S868" t="s">
        <v>28</v>
      </c>
      <c r="T868" t="s">
        <v>3507</v>
      </c>
      <c r="U868" t="s">
        <v>3506</v>
      </c>
    </row>
    <row r="869" spans="1:21" x14ac:dyDescent="0.25">
      <c r="A869" t="s">
        <v>21</v>
      </c>
      <c r="B869" t="s">
        <v>22</v>
      </c>
      <c r="C869">
        <v>100</v>
      </c>
      <c r="D869">
        <v>1</v>
      </c>
      <c r="E869">
        <v>0</v>
      </c>
      <c r="F869" t="s">
        <v>3508</v>
      </c>
      <c r="G869">
        <v>106</v>
      </c>
      <c r="H869">
        <v>6</v>
      </c>
      <c r="I869" t="s">
        <v>24</v>
      </c>
      <c r="J869" t="s">
        <v>3509</v>
      </c>
      <c r="K869" t="s">
        <v>1772</v>
      </c>
      <c r="L869" t="s">
        <v>27</v>
      </c>
      <c r="M869" t="s">
        <v>28</v>
      </c>
      <c r="N869" t="s">
        <v>3510</v>
      </c>
      <c r="O869" t="s">
        <v>27</v>
      </c>
      <c r="P869" t="s">
        <v>39</v>
      </c>
      <c r="Q869" t="s">
        <v>31</v>
      </c>
      <c r="R869" t="s">
        <v>32</v>
      </c>
      <c r="S869" t="s">
        <v>28</v>
      </c>
      <c r="T869" t="s">
        <v>3511</v>
      </c>
      <c r="U869" t="s">
        <v>3510</v>
      </c>
    </row>
    <row r="870" spans="1:21" x14ac:dyDescent="0.25">
      <c r="A870" t="s">
        <v>456</v>
      </c>
      <c r="B870" t="s">
        <v>1178</v>
      </c>
      <c r="C870">
        <v>142.31</v>
      </c>
      <c r="D870">
        <v>1</v>
      </c>
      <c r="E870">
        <v>0</v>
      </c>
      <c r="F870" t="s">
        <v>3512</v>
      </c>
      <c r="G870">
        <v>147.31</v>
      </c>
      <c r="H870">
        <v>5</v>
      </c>
      <c r="I870" t="s">
        <v>628</v>
      </c>
      <c r="J870" t="s">
        <v>3513</v>
      </c>
      <c r="K870" t="s">
        <v>3514</v>
      </c>
      <c r="L870" t="s">
        <v>3515</v>
      </c>
      <c r="M870" t="s">
        <v>3516</v>
      </c>
      <c r="N870" t="s">
        <v>3517</v>
      </c>
      <c r="O870" t="s">
        <v>27</v>
      </c>
      <c r="P870" t="s">
        <v>48</v>
      </c>
      <c r="Q870" t="s">
        <v>49</v>
      </c>
      <c r="R870" t="s">
        <v>50</v>
      </c>
      <c r="S870" t="s">
        <v>28</v>
      </c>
      <c r="T870" t="s">
        <v>3518</v>
      </c>
      <c r="U870" t="s">
        <v>3517</v>
      </c>
    </row>
    <row r="871" spans="1:21" x14ac:dyDescent="0.25">
      <c r="A871" t="s">
        <v>21</v>
      </c>
      <c r="B871" t="s">
        <v>22</v>
      </c>
      <c r="C871">
        <v>100</v>
      </c>
      <c r="D871">
        <v>1</v>
      </c>
      <c r="E871">
        <v>0</v>
      </c>
      <c r="F871" t="s">
        <v>3519</v>
      </c>
      <c r="G871">
        <v>106</v>
      </c>
      <c r="H871">
        <v>6</v>
      </c>
      <c r="I871" t="s">
        <v>445</v>
      </c>
      <c r="J871" t="s">
        <v>3520</v>
      </c>
      <c r="K871" t="s">
        <v>797</v>
      </c>
      <c r="L871" t="s">
        <v>27</v>
      </c>
      <c r="M871" t="s">
        <v>28</v>
      </c>
      <c r="N871" t="s">
        <v>3521</v>
      </c>
      <c r="O871" t="s">
        <v>27</v>
      </c>
      <c r="P871" t="s">
        <v>56</v>
      </c>
      <c r="Q871" t="s">
        <v>31</v>
      </c>
      <c r="R871" t="s">
        <v>57</v>
      </c>
      <c r="S871" t="s">
        <v>28</v>
      </c>
      <c r="T871" t="s">
        <v>3522</v>
      </c>
      <c r="U871" t="s">
        <v>3521</v>
      </c>
    </row>
    <row r="872" spans="1:21" x14ac:dyDescent="0.25">
      <c r="A872" t="s">
        <v>143</v>
      </c>
      <c r="B872" t="s">
        <v>144</v>
      </c>
      <c r="C872">
        <v>200</v>
      </c>
      <c r="D872">
        <v>1</v>
      </c>
      <c r="E872">
        <v>0</v>
      </c>
      <c r="F872" t="s">
        <v>3523</v>
      </c>
      <c r="G872">
        <v>200</v>
      </c>
      <c r="H872">
        <v>0</v>
      </c>
      <c r="I872" t="s">
        <v>445</v>
      </c>
      <c r="J872" t="s">
        <v>3524</v>
      </c>
      <c r="K872" t="s">
        <v>466</v>
      </c>
      <c r="L872" t="s">
        <v>27</v>
      </c>
      <c r="M872" t="s">
        <v>28</v>
      </c>
      <c r="N872" t="s">
        <v>3525</v>
      </c>
      <c r="O872" t="s">
        <v>27</v>
      </c>
      <c r="P872" t="s">
        <v>39</v>
      </c>
      <c r="Q872" t="s">
        <v>31</v>
      </c>
      <c r="R872" t="s">
        <v>32</v>
      </c>
      <c r="S872" t="s">
        <v>28</v>
      </c>
      <c r="T872" t="s">
        <v>3526</v>
      </c>
      <c r="U872" t="s">
        <v>3525</v>
      </c>
    </row>
    <row r="873" spans="1:21" x14ac:dyDescent="0.25">
      <c r="A873" t="s">
        <v>58</v>
      </c>
      <c r="B873" t="s">
        <v>58</v>
      </c>
      <c r="C873">
        <v>130</v>
      </c>
      <c r="D873">
        <v>3</v>
      </c>
      <c r="E873">
        <v>0</v>
      </c>
      <c r="F873" t="s">
        <v>3527</v>
      </c>
      <c r="G873">
        <v>435</v>
      </c>
      <c r="H873">
        <v>45</v>
      </c>
      <c r="I873" t="s">
        <v>445</v>
      </c>
      <c r="J873" t="s">
        <v>2883</v>
      </c>
      <c r="K873" t="s">
        <v>3528</v>
      </c>
      <c r="L873" t="s">
        <v>2708</v>
      </c>
      <c r="M873" t="s">
        <v>3529</v>
      </c>
      <c r="N873" t="s">
        <v>3525</v>
      </c>
      <c r="O873" t="s">
        <v>27</v>
      </c>
      <c r="P873" t="s">
        <v>193</v>
      </c>
      <c r="Q873" t="s">
        <v>85</v>
      </c>
      <c r="R873" t="s">
        <v>86</v>
      </c>
      <c r="S873" t="s">
        <v>28</v>
      </c>
      <c r="T873" t="s">
        <v>3530</v>
      </c>
      <c r="U873" t="s">
        <v>3531</v>
      </c>
    </row>
    <row r="874" spans="1:21" x14ac:dyDescent="0.25">
      <c r="A874" t="s">
        <v>33</v>
      </c>
      <c r="B874" t="s">
        <v>34</v>
      </c>
      <c r="C874">
        <v>200</v>
      </c>
      <c r="D874">
        <v>1</v>
      </c>
      <c r="E874">
        <v>0</v>
      </c>
      <c r="F874" t="s">
        <v>3532</v>
      </c>
      <c r="G874">
        <v>600</v>
      </c>
      <c r="H874">
        <v>0</v>
      </c>
      <c r="I874" t="s">
        <v>140</v>
      </c>
      <c r="J874" t="s">
        <v>3533</v>
      </c>
      <c r="K874" t="s">
        <v>89</v>
      </c>
      <c r="L874" t="s">
        <v>27</v>
      </c>
      <c r="M874" t="s">
        <v>28</v>
      </c>
      <c r="N874" t="s">
        <v>3534</v>
      </c>
      <c r="O874" t="s">
        <v>27</v>
      </c>
      <c r="P874" t="s">
        <v>30</v>
      </c>
      <c r="Q874" t="s">
        <v>31</v>
      </c>
      <c r="R874" t="s">
        <v>32</v>
      </c>
      <c r="S874" t="s">
        <v>28</v>
      </c>
      <c r="T874" t="s">
        <v>3535</v>
      </c>
      <c r="U874" t="s">
        <v>3534</v>
      </c>
    </row>
    <row r="875" spans="1:21" x14ac:dyDescent="0.25">
      <c r="A875" t="s">
        <v>134</v>
      </c>
      <c r="B875" t="s">
        <v>64</v>
      </c>
      <c r="C875">
        <v>100</v>
      </c>
      <c r="D875">
        <v>4</v>
      </c>
      <c r="E875">
        <v>0</v>
      </c>
      <c r="F875" t="s">
        <v>3532</v>
      </c>
      <c r="G875">
        <v>600</v>
      </c>
      <c r="H875">
        <v>0</v>
      </c>
      <c r="I875" t="s">
        <v>140</v>
      </c>
      <c r="J875" t="s">
        <v>3533</v>
      </c>
      <c r="K875" t="s">
        <v>89</v>
      </c>
      <c r="L875" t="s">
        <v>27</v>
      </c>
      <c r="M875" t="s">
        <v>28</v>
      </c>
      <c r="N875" t="s">
        <v>3534</v>
      </c>
      <c r="O875" t="s">
        <v>27</v>
      </c>
      <c r="P875" t="s">
        <v>30</v>
      </c>
      <c r="Q875" t="s">
        <v>31</v>
      </c>
      <c r="R875" t="s">
        <v>32</v>
      </c>
      <c r="S875" t="s">
        <v>28</v>
      </c>
      <c r="T875" t="s">
        <v>3535</v>
      </c>
      <c r="U875" t="s">
        <v>3534</v>
      </c>
    </row>
    <row r="876" spans="1:21" x14ac:dyDescent="0.25">
      <c r="A876" t="s">
        <v>195</v>
      </c>
      <c r="B876" t="s">
        <v>1003</v>
      </c>
      <c r="C876">
        <v>142.31</v>
      </c>
      <c r="D876">
        <v>1</v>
      </c>
      <c r="E876">
        <v>0</v>
      </c>
      <c r="F876" t="s">
        <v>3536</v>
      </c>
      <c r="G876">
        <v>142.31</v>
      </c>
      <c r="H876">
        <v>0</v>
      </c>
      <c r="I876" t="s">
        <v>628</v>
      </c>
      <c r="J876" t="s">
        <v>3537</v>
      </c>
      <c r="K876" t="s">
        <v>3538</v>
      </c>
      <c r="L876" t="s">
        <v>3539</v>
      </c>
      <c r="M876" t="s">
        <v>3540</v>
      </c>
      <c r="N876" t="s">
        <v>3541</v>
      </c>
      <c r="O876" t="s">
        <v>27</v>
      </c>
      <c r="P876" t="s">
        <v>48</v>
      </c>
      <c r="Q876" t="s">
        <v>49</v>
      </c>
      <c r="R876" t="s">
        <v>50</v>
      </c>
      <c r="S876" t="s">
        <v>28</v>
      </c>
      <c r="T876" t="s">
        <v>3542</v>
      </c>
      <c r="U876" t="s">
        <v>3541</v>
      </c>
    </row>
    <row r="877" spans="1:21" x14ac:dyDescent="0.25">
      <c r="A877" t="s">
        <v>3543</v>
      </c>
      <c r="B877" t="s">
        <v>3544</v>
      </c>
      <c r="C877">
        <v>295.89999999999998</v>
      </c>
      <c r="D877">
        <v>1</v>
      </c>
      <c r="E877">
        <v>0</v>
      </c>
      <c r="F877" t="s">
        <v>3545</v>
      </c>
      <c r="G877">
        <v>295.89999999999998</v>
      </c>
      <c r="H877">
        <v>0</v>
      </c>
      <c r="I877" t="s">
        <v>720</v>
      </c>
      <c r="J877" t="s">
        <v>3546</v>
      </c>
      <c r="K877" t="s">
        <v>3547</v>
      </c>
      <c r="L877" t="s">
        <v>108</v>
      </c>
      <c r="M877" t="s">
        <v>3548</v>
      </c>
      <c r="N877" t="s">
        <v>3549</v>
      </c>
      <c r="O877" t="s">
        <v>27</v>
      </c>
      <c r="P877" t="s">
        <v>48</v>
      </c>
      <c r="Q877" t="s">
        <v>49</v>
      </c>
      <c r="R877" t="s">
        <v>50</v>
      </c>
      <c r="S877" t="s">
        <v>28</v>
      </c>
      <c r="T877" t="s">
        <v>3550</v>
      </c>
      <c r="U877" t="s">
        <v>3549</v>
      </c>
    </row>
    <row r="878" spans="1:21" x14ac:dyDescent="0.25">
      <c r="A878" t="s">
        <v>63</v>
      </c>
      <c r="B878" t="s">
        <v>64</v>
      </c>
      <c r="C878">
        <v>100</v>
      </c>
      <c r="D878">
        <v>2</v>
      </c>
      <c r="E878">
        <v>0</v>
      </c>
      <c r="F878" t="s">
        <v>3551</v>
      </c>
      <c r="G878">
        <v>200</v>
      </c>
      <c r="H878">
        <v>0</v>
      </c>
      <c r="I878" t="s">
        <v>140</v>
      </c>
      <c r="J878" t="s">
        <v>3552</v>
      </c>
      <c r="K878" t="s">
        <v>54</v>
      </c>
      <c r="L878" t="s">
        <v>27</v>
      </c>
      <c r="M878" t="s">
        <v>28</v>
      </c>
      <c r="N878" t="s">
        <v>3553</v>
      </c>
      <c r="O878" t="s">
        <v>27</v>
      </c>
      <c r="P878" t="s">
        <v>30</v>
      </c>
      <c r="Q878" t="s">
        <v>31</v>
      </c>
      <c r="R878" t="s">
        <v>32</v>
      </c>
      <c r="S878" t="s">
        <v>28</v>
      </c>
      <c r="T878" t="s">
        <v>3554</v>
      </c>
      <c r="U878" t="s">
        <v>3553</v>
      </c>
    </row>
    <row r="879" spans="1:21" x14ac:dyDescent="0.25">
      <c r="A879" t="s">
        <v>33</v>
      </c>
      <c r="B879" t="s">
        <v>34</v>
      </c>
      <c r="C879">
        <v>200</v>
      </c>
      <c r="D879">
        <v>1</v>
      </c>
      <c r="E879">
        <v>0</v>
      </c>
      <c r="F879" t="s">
        <v>3555</v>
      </c>
      <c r="G879">
        <v>200</v>
      </c>
      <c r="H879">
        <v>0</v>
      </c>
      <c r="I879" t="s">
        <v>140</v>
      </c>
      <c r="J879" t="s">
        <v>3556</v>
      </c>
      <c r="K879" t="s">
        <v>572</v>
      </c>
      <c r="L879" t="s">
        <v>27</v>
      </c>
      <c r="M879" t="s">
        <v>28</v>
      </c>
      <c r="N879" t="s">
        <v>3557</v>
      </c>
      <c r="O879" t="s">
        <v>27</v>
      </c>
      <c r="P879" t="s">
        <v>30</v>
      </c>
      <c r="Q879" t="s">
        <v>31</v>
      </c>
      <c r="R879" t="s">
        <v>32</v>
      </c>
      <c r="S879" t="s">
        <v>28</v>
      </c>
      <c r="T879" t="s">
        <v>3558</v>
      </c>
      <c r="U879" t="s">
        <v>3557</v>
      </c>
    </row>
    <row r="880" spans="1:21" x14ac:dyDescent="0.25">
      <c r="A880" t="s">
        <v>456</v>
      </c>
      <c r="B880" t="s">
        <v>1178</v>
      </c>
      <c r="C880">
        <v>112.35</v>
      </c>
      <c r="D880">
        <v>1</v>
      </c>
      <c r="E880">
        <v>0</v>
      </c>
      <c r="F880" t="s">
        <v>3559</v>
      </c>
      <c r="G880">
        <v>117.35</v>
      </c>
      <c r="H880">
        <v>5</v>
      </c>
      <c r="I880" t="s">
        <v>628</v>
      </c>
      <c r="J880" t="s">
        <v>3560</v>
      </c>
      <c r="K880" t="s">
        <v>3561</v>
      </c>
      <c r="L880" t="s">
        <v>3562</v>
      </c>
      <c r="M880" t="s">
        <v>3563</v>
      </c>
      <c r="N880" t="s">
        <v>3557</v>
      </c>
      <c r="O880" t="s">
        <v>27</v>
      </c>
      <c r="P880" t="s">
        <v>48</v>
      </c>
      <c r="Q880" t="s">
        <v>49</v>
      </c>
      <c r="R880" t="s">
        <v>50</v>
      </c>
      <c r="S880" t="s">
        <v>28</v>
      </c>
      <c r="T880" t="s">
        <v>3564</v>
      </c>
      <c r="U880" t="s">
        <v>3565</v>
      </c>
    </row>
    <row r="881" spans="1:21" x14ac:dyDescent="0.25">
      <c r="A881" t="s">
        <v>21</v>
      </c>
      <c r="B881" t="s">
        <v>22</v>
      </c>
      <c r="C881">
        <v>100</v>
      </c>
      <c r="D881">
        <v>2</v>
      </c>
      <c r="E881">
        <v>0</v>
      </c>
      <c r="F881" t="s">
        <v>3566</v>
      </c>
      <c r="G881">
        <v>200</v>
      </c>
      <c r="H881">
        <v>0</v>
      </c>
      <c r="I881" t="s">
        <v>24</v>
      </c>
      <c r="J881" t="s">
        <v>3567</v>
      </c>
      <c r="K881" t="s">
        <v>61</v>
      </c>
      <c r="L881" t="s">
        <v>27</v>
      </c>
      <c r="M881" t="s">
        <v>28</v>
      </c>
      <c r="N881" t="s">
        <v>3568</v>
      </c>
      <c r="O881" t="s">
        <v>27</v>
      </c>
      <c r="P881" t="s">
        <v>56</v>
      </c>
      <c r="Q881" t="s">
        <v>31</v>
      </c>
      <c r="R881" t="s">
        <v>57</v>
      </c>
      <c r="S881" t="s">
        <v>28</v>
      </c>
      <c r="T881" t="s">
        <v>3569</v>
      </c>
      <c r="U881" t="s">
        <v>3568</v>
      </c>
    </row>
    <row r="882" spans="1:21" x14ac:dyDescent="0.25">
      <c r="A882" t="s">
        <v>2295</v>
      </c>
      <c r="B882" t="s">
        <v>3286</v>
      </c>
      <c r="C882">
        <v>199</v>
      </c>
      <c r="D882">
        <v>1</v>
      </c>
      <c r="E882">
        <v>0</v>
      </c>
      <c r="F882" t="s">
        <v>3570</v>
      </c>
      <c r="G882">
        <v>244</v>
      </c>
      <c r="H882">
        <v>45</v>
      </c>
      <c r="I882" t="s">
        <v>24</v>
      </c>
      <c r="J882" t="s">
        <v>3571</v>
      </c>
      <c r="K882" t="s">
        <v>3572</v>
      </c>
      <c r="L882" t="s">
        <v>3573</v>
      </c>
      <c r="M882" t="s">
        <v>3574</v>
      </c>
      <c r="N882" t="s">
        <v>3531</v>
      </c>
      <c r="O882" t="s">
        <v>27</v>
      </c>
      <c r="P882" t="s">
        <v>84</v>
      </c>
      <c r="Q882" t="s">
        <v>85</v>
      </c>
      <c r="R882" t="s">
        <v>86</v>
      </c>
      <c r="S882" t="s">
        <v>28</v>
      </c>
      <c r="T882" t="s">
        <v>3575</v>
      </c>
      <c r="U882" t="s">
        <v>3568</v>
      </c>
    </row>
    <row r="883" spans="1:21" x14ac:dyDescent="0.25">
      <c r="A883" t="s">
        <v>134</v>
      </c>
      <c r="B883" t="s">
        <v>64</v>
      </c>
      <c r="C883">
        <v>100</v>
      </c>
      <c r="D883">
        <v>1</v>
      </c>
      <c r="E883">
        <v>0</v>
      </c>
      <c r="F883" t="s">
        <v>3576</v>
      </c>
      <c r="G883">
        <v>100</v>
      </c>
      <c r="H883">
        <v>0</v>
      </c>
      <c r="I883" t="s">
        <v>24</v>
      </c>
      <c r="J883" t="s">
        <v>3577</v>
      </c>
      <c r="K883" t="s">
        <v>3578</v>
      </c>
      <c r="L883" t="s">
        <v>27</v>
      </c>
      <c r="M883" t="s">
        <v>28</v>
      </c>
      <c r="N883" t="s">
        <v>3568</v>
      </c>
      <c r="O883" t="s">
        <v>27</v>
      </c>
      <c r="P883" t="s">
        <v>39</v>
      </c>
      <c r="Q883" t="s">
        <v>31</v>
      </c>
      <c r="R883" t="s">
        <v>32</v>
      </c>
      <c r="S883" t="s">
        <v>28</v>
      </c>
      <c r="T883" t="s">
        <v>3579</v>
      </c>
      <c r="U883" t="s">
        <v>3568</v>
      </c>
    </row>
    <row r="884" spans="1:21" x14ac:dyDescent="0.25">
      <c r="A884" t="s">
        <v>21</v>
      </c>
      <c r="B884" t="s">
        <v>22</v>
      </c>
      <c r="C884">
        <v>100</v>
      </c>
      <c r="D884">
        <v>1</v>
      </c>
      <c r="E884">
        <v>0</v>
      </c>
      <c r="F884" t="s">
        <v>3580</v>
      </c>
      <c r="G884">
        <v>106</v>
      </c>
      <c r="H884">
        <v>6</v>
      </c>
      <c r="I884" t="s">
        <v>140</v>
      </c>
      <c r="J884" t="s">
        <v>3581</v>
      </c>
      <c r="K884" t="s">
        <v>241</v>
      </c>
      <c r="L884" t="s">
        <v>27</v>
      </c>
      <c r="M884" t="s">
        <v>28</v>
      </c>
      <c r="N884" t="s">
        <v>3582</v>
      </c>
      <c r="O884" t="s">
        <v>27</v>
      </c>
      <c r="P884" t="s">
        <v>30</v>
      </c>
      <c r="Q884" t="s">
        <v>31</v>
      </c>
      <c r="R884" t="s">
        <v>32</v>
      </c>
      <c r="S884" t="s">
        <v>28</v>
      </c>
      <c r="T884" t="s">
        <v>3583</v>
      </c>
      <c r="U884" t="s">
        <v>3582</v>
      </c>
    </row>
    <row r="885" spans="1:21" x14ac:dyDescent="0.25">
      <c r="A885" t="s">
        <v>63</v>
      </c>
      <c r="B885" t="s">
        <v>64</v>
      </c>
      <c r="C885">
        <v>100</v>
      </c>
      <c r="D885">
        <v>1</v>
      </c>
      <c r="E885">
        <v>0</v>
      </c>
      <c r="F885" t="s">
        <v>3584</v>
      </c>
      <c r="G885">
        <v>200</v>
      </c>
      <c r="H885">
        <v>0</v>
      </c>
      <c r="I885" t="s">
        <v>140</v>
      </c>
      <c r="J885" t="s">
        <v>3585</v>
      </c>
      <c r="K885" t="s">
        <v>311</v>
      </c>
      <c r="L885" t="s">
        <v>27</v>
      </c>
      <c r="M885" t="s">
        <v>28</v>
      </c>
      <c r="N885" t="s">
        <v>3586</v>
      </c>
      <c r="O885" t="s">
        <v>27</v>
      </c>
      <c r="P885" t="s">
        <v>30</v>
      </c>
      <c r="Q885" t="s">
        <v>31</v>
      </c>
      <c r="R885" t="s">
        <v>32</v>
      </c>
      <c r="S885" t="s">
        <v>28</v>
      </c>
      <c r="T885" t="s">
        <v>3587</v>
      </c>
      <c r="U885" t="s">
        <v>3586</v>
      </c>
    </row>
    <row r="886" spans="1:21" x14ac:dyDescent="0.25">
      <c r="A886" t="s">
        <v>134</v>
      </c>
      <c r="B886" t="s">
        <v>64</v>
      </c>
      <c r="C886">
        <v>100</v>
      </c>
      <c r="D886">
        <v>1</v>
      </c>
      <c r="E886">
        <v>0</v>
      </c>
      <c r="F886" t="s">
        <v>3584</v>
      </c>
      <c r="G886">
        <v>200</v>
      </c>
      <c r="H886">
        <v>0</v>
      </c>
      <c r="I886" t="s">
        <v>140</v>
      </c>
      <c r="J886" t="s">
        <v>3585</v>
      </c>
      <c r="K886" t="s">
        <v>311</v>
      </c>
      <c r="L886" t="s">
        <v>27</v>
      </c>
      <c r="M886" t="s">
        <v>28</v>
      </c>
      <c r="N886" t="s">
        <v>3586</v>
      </c>
      <c r="O886" t="s">
        <v>27</v>
      </c>
      <c r="P886" t="s">
        <v>30</v>
      </c>
      <c r="Q886" t="s">
        <v>31</v>
      </c>
      <c r="R886" t="s">
        <v>32</v>
      </c>
      <c r="S886" t="s">
        <v>28</v>
      </c>
      <c r="T886" t="s">
        <v>3587</v>
      </c>
      <c r="U886" t="s">
        <v>3586</v>
      </c>
    </row>
    <row r="887" spans="1:21" x14ac:dyDescent="0.25">
      <c r="A887" t="s">
        <v>21</v>
      </c>
      <c r="B887" t="s">
        <v>22</v>
      </c>
      <c r="C887">
        <v>100</v>
      </c>
      <c r="D887">
        <v>1</v>
      </c>
      <c r="E887">
        <v>0</v>
      </c>
      <c r="F887" t="s">
        <v>3588</v>
      </c>
      <c r="G887">
        <v>106</v>
      </c>
      <c r="H887">
        <v>6</v>
      </c>
      <c r="I887" t="s">
        <v>445</v>
      </c>
      <c r="J887" t="s">
        <v>3589</v>
      </c>
      <c r="K887" t="s">
        <v>346</v>
      </c>
      <c r="L887" t="s">
        <v>27</v>
      </c>
      <c r="M887" t="s">
        <v>28</v>
      </c>
      <c r="N887" t="s">
        <v>3590</v>
      </c>
      <c r="O887" t="s">
        <v>27</v>
      </c>
      <c r="P887" t="s">
        <v>39</v>
      </c>
      <c r="Q887" t="s">
        <v>31</v>
      </c>
      <c r="R887" t="s">
        <v>32</v>
      </c>
      <c r="S887" t="s">
        <v>28</v>
      </c>
      <c r="T887" t="s">
        <v>3591</v>
      </c>
      <c r="U887" t="s">
        <v>3590</v>
      </c>
    </row>
    <row r="888" spans="1:21" x14ac:dyDescent="0.25">
      <c r="A888" t="s">
        <v>909</v>
      </c>
      <c r="B888" t="s">
        <v>3592</v>
      </c>
      <c r="C888">
        <v>240</v>
      </c>
      <c r="D888">
        <v>1</v>
      </c>
      <c r="E888">
        <v>0</v>
      </c>
      <c r="F888" t="s">
        <v>3593</v>
      </c>
      <c r="G888">
        <v>240</v>
      </c>
      <c r="H888">
        <v>0</v>
      </c>
      <c r="I888" t="s">
        <v>140</v>
      </c>
      <c r="J888" t="s">
        <v>3594</v>
      </c>
      <c r="K888" t="s">
        <v>372</v>
      </c>
      <c r="L888" t="s">
        <v>27</v>
      </c>
      <c r="M888" t="s">
        <v>28</v>
      </c>
      <c r="N888" t="s">
        <v>3590</v>
      </c>
      <c r="O888" t="s">
        <v>27</v>
      </c>
      <c r="P888" t="s">
        <v>30</v>
      </c>
      <c r="Q888" t="s">
        <v>31</v>
      </c>
      <c r="R888" t="s">
        <v>32</v>
      </c>
      <c r="S888" t="s">
        <v>28</v>
      </c>
      <c r="T888" t="s">
        <v>3595</v>
      </c>
      <c r="U888" t="s">
        <v>3590</v>
      </c>
    </row>
    <row r="889" spans="1:21" x14ac:dyDescent="0.25">
      <c r="A889" t="s">
        <v>33</v>
      </c>
      <c r="B889" t="s">
        <v>34</v>
      </c>
      <c r="C889">
        <v>200</v>
      </c>
      <c r="D889">
        <v>1</v>
      </c>
      <c r="E889">
        <v>0</v>
      </c>
      <c r="F889" t="s">
        <v>3596</v>
      </c>
      <c r="G889">
        <v>200</v>
      </c>
      <c r="H889">
        <v>0</v>
      </c>
      <c r="I889" t="s">
        <v>24</v>
      </c>
      <c r="J889" t="s">
        <v>3597</v>
      </c>
      <c r="K889" t="s">
        <v>26</v>
      </c>
      <c r="L889" t="s">
        <v>27</v>
      </c>
      <c r="M889" t="s">
        <v>28</v>
      </c>
      <c r="N889" t="s">
        <v>3598</v>
      </c>
      <c r="O889" t="s">
        <v>27</v>
      </c>
      <c r="P889" t="s">
        <v>39</v>
      </c>
      <c r="Q889" t="s">
        <v>31</v>
      </c>
      <c r="R889" t="s">
        <v>32</v>
      </c>
      <c r="S889" t="s">
        <v>28</v>
      </c>
      <c r="T889" t="s">
        <v>3599</v>
      </c>
      <c r="U889" t="s">
        <v>3600</v>
      </c>
    </row>
    <row r="890" spans="1:21" x14ac:dyDescent="0.25">
      <c r="A890" t="s">
        <v>58</v>
      </c>
      <c r="B890" t="s">
        <v>58</v>
      </c>
      <c r="C890">
        <v>100</v>
      </c>
      <c r="D890">
        <v>1</v>
      </c>
      <c r="E890">
        <v>0</v>
      </c>
      <c r="F890" t="s">
        <v>3601</v>
      </c>
      <c r="G890">
        <v>106</v>
      </c>
      <c r="H890">
        <v>6</v>
      </c>
      <c r="I890" t="s">
        <v>24</v>
      </c>
      <c r="J890" t="s">
        <v>3602</v>
      </c>
      <c r="K890" t="s">
        <v>418</v>
      </c>
      <c r="L890" t="s">
        <v>27</v>
      </c>
      <c r="M890" t="s">
        <v>28</v>
      </c>
      <c r="N890" t="s">
        <v>3598</v>
      </c>
      <c r="O890" t="s">
        <v>27</v>
      </c>
      <c r="P890" t="s">
        <v>39</v>
      </c>
      <c r="Q890" t="s">
        <v>31</v>
      </c>
      <c r="R890" t="s">
        <v>32</v>
      </c>
      <c r="S890" t="s">
        <v>28</v>
      </c>
      <c r="T890" t="s">
        <v>3603</v>
      </c>
      <c r="U890" t="s">
        <v>3598</v>
      </c>
    </row>
    <row r="891" spans="1:21" x14ac:dyDescent="0.25">
      <c r="A891" t="s">
        <v>70</v>
      </c>
      <c r="B891" t="s">
        <v>70</v>
      </c>
      <c r="C891">
        <v>330</v>
      </c>
      <c r="D891">
        <v>1</v>
      </c>
      <c r="E891">
        <v>0</v>
      </c>
      <c r="F891" t="s">
        <v>3604</v>
      </c>
      <c r="G891">
        <v>330</v>
      </c>
      <c r="H891">
        <v>0</v>
      </c>
      <c r="I891" t="s">
        <v>24</v>
      </c>
      <c r="J891" t="s">
        <v>3605</v>
      </c>
      <c r="K891" t="s">
        <v>753</v>
      </c>
      <c r="L891" t="s">
        <v>27</v>
      </c>
      <c r="M891" t="s">
        <v>28</v>
      </c>
      <c r="N891" t="s">
        <v>3606</v>
      </c>
      <c r="O891" t="s">
        <v>27</v>
      </c>
      <c r="P891" t="s">
        <v>39</v>
      </c>
      <c r="Q891" t="s">
        <v>31</v>
      </c>
      <c r="R891" t="s">
        <v>32</v>
      </c>
      <c r="S891" t="s">
        <v>3607</v>
      </c>
      <c r="T891" t="s">
        <v>3608</v>
      </c>
      <c r="U891" t="s">
        <v>3606</v>
      </c>
    </row>
    <row r="892" spans="1:21" x14ac:dyDescent="0.25">
      <c r="A892" t="s">
        <v>63</v>
      </c>
      <c r="B892" t="s">
        <v>64</v>
      </c>
      <c r="C892">
        <v>100</v>
      </c>
      <c r="D892">
        <v>3</v>
      </c>
      <c r="E892">
        <v>0</v>
      </c>
      <c r="F892" t="s">
        <v>3609</v>
      </c>
      <c r="G892">
        <v>930</v>
      </c>
      <c r="H892">
        <v>0</v>
      </c>
      <c r="I892" t="s">
        <v>24</v>
      </c>
      <c r="J892" t="s">
        <v>3610</v>
      </c>
      <c r="K892" t="s">
        <v>175</v>
      </c>
      <c r="L892" t="s">
        <v>27</v>
      </c>
      <c r="M892" t="s">
        <v>28</v>
      </c>
      <c r="N892" t="s">
        <v>3611</v>
      </c>
      <c r="O892" t="s">
        <v>27</v>
      </c>
      <c r="P892" t="s">
        <v>39</v>
      </c>
      <c r="Q892" t="s">
        <v>31</v>
      </c>
      <c r="R892" t="s">
        <v>32</v>
      </c>
      <c r="S892" t="s">
        <v>28</v>
      </c>
      <c r="T892" t="s">
        <v>3612</v>
      </c>
      <c r="U892" t="s">
        <v>3613</v>
      </c>
    </row>
    <row r="893" spans="1:21" x14ac:dyDescent="0.25">
      <c r="A893" t="s">
        <v>21</v>
      </c>
      <c r="B893" t="s">
        <v>22</v>
      </c>
      <c r="C893">
        <v>100</v>
      </c>
      <c r="D893">
        <v>3</v>
      </c>
      <c r="E893">
        <v>0</v>
      </c>
      <c r="F893" t="s">
        <v>3609</v>
      </c>
      <c r="G893">
        <v>930</v>
      </c>
      <c r="H893">
        <v>0</v>
      </c>
      <c r="I893" t="s">
        <v>24</v>
      </c>
      <c r="J893" t="s">
        <v>3610</v>
      </c>
      <c r="K893" t="s">
        <v>175</v>
      </c>
      <c r="L893" t="s">
        <v>27</v>
      </c>
      <c r="M893" t="s">
        <v>28</v>
      </c>
      <c r="N893" t="s">
        <v>3611</v>
      </c>
      <c r="O893" t="s">
        <v>27</v>
      </c>
      <c r="P893" t="s">
        <v>39</v>
      </c>
      <c r="Q893" t="s">
        <v>31</v>
      </c>
      <c r="R893" t="s">
        <v>32</v>
      </c>
      <c r="S893" t="s">
        <v>28</v>
      </c>
      <c r="T893" t="s">
        <v>3612</v>
      </c>
      <c r="U893" t="s">
        <v>3613</v>
      </c>
    </row>
    <row r="894" spans="1:21" x14ac:dyDescent="0.25">
      <c r="A894" t="s">
        <v>70</v>
      </c>
      <c r="B894" t="s">
        <v>70</v>
      </c>
      <c r="C894">
        <v>330</v>
      </c>
      <c r="D894">
        <v>1</v>
      </c>
      <c r="E894">
        <v>0</v>
      </c>
      <c r="F894" t="s">
        <v>3609</v>
      </c>
      <c r="G894">
        <v>930</v>
      </c>
      <c r="H894">
        <v>0</v>
      </c>
      <c r="I894" t="s">
        <v>24</v>
      </c>
      <c r="J894" t="s">
        <v>3610</v>
      </c>
      <c r="K894" t="s">
        <v>175</v>
      </c>
      <c r="L894" t="s">
        <v>27</v>
      </c>
      <c r="M894" t="s">
        <v>28</v>
      </c>
      <c r="N894" t="s">
        <v>3611</v>
      </c>
      <c r="O894" t="s">
        <v>27</v>
      </c>
      <c r="P894" t="s">
        <v>39</v>
      </c>
      <c r="Q894" t="s">
        <v>31</v>
      </c>
      <c r="R894" t="s">
        <v>32</v>
      </c>
      <c r="S894" t="s">
        <v>28</v>
      </c>
      <c r="T894" t="s">
        <v>3612</v>
      </c>
      <c r="U894" t="s">
        <v>3613</v>
      </c>
    </row>
    <row r="895" spans="1:21" x14ac:dyDescent="0.25">
      <c r="A895" t="s">
        <v>63</v>
      </c>
      <c r="B895" t="s">
        <v>64</v>
      </c>
      <c r="C895">
        <v>100</v>
      </c>
      <c r="D895">
        <v>1</v>
      </c>
      <c r="E895">
        <v>0</v>
      </c>
      <c r="F895" t="s">
        <v>3614</v>
      </c>
      <c r="G895">
        <v>200</v>
      </c>
      <c r="H895">
        <v>0</v>
      </c>
      <c r="I895" t="s">
        <v>24</v>
      </c>
      <c r="J895" t="s">
        <v>3615</v>
      </c>
      <c r="K895" t="s">
        <v>936</v>
      </c>
      <c r="L895" t="s">
        <v>27</v>
      </c>
      <c r="M895" t="s">
        <v>28</v>
      </c>
      <c r="N895" t="s">
        <v>3613</v>
      </c>
      <c r="O895" t="s">
        <v>27</v>
      </c>
      <c r="P895" t="s">
        <v>56</v>
      </c>
      <c r="Q895" t="s">
        <v>31</v>
      </c>
      <c r="R895" t="s">
        <v>57</v>
      </c>
      <c r="S895" t="s">
        <v>28</v>
      </c>
      <c r="T895" t="s">
        <v>3616</v>
      </c>
      <c r="U895" t="s">
        <v>3611</v>
      </c>
    </row>
    <row r="896" spans="1:21" x14ac:dyDescent="0.25">
      <c r="A896" t="s">
        <v>134</v>
      </c>
      <c r="B896" t="s">
        <v>64</v>
      </c>
      <c r="C896">
        <v>100</v>
      </c>
      <c r="D896">
        <v>1</v>
      </c>
      <c r="E896">
        <v>0</v>
      </c>
      <c r="F896" t="s">
        <v>3614</v>
      </c>
      <c r="G896">
        <v>200</v>
      </c>
      <c r="H896">
        <v>0</v>
      </c>
      <c r="I896" t="s">
        <v>24</v>
      </c>
      <c r="J896" t="s">
        <v>3615</v>
      </c>
      <c r="K896" t="s">
        <v>936</v>
      </c>
      <c r="L896" t="s">
        <v>27</v>
      </c>
      <c r="M896" t="s">
        <v>28</v>
      </c>
      <c r="N896" t="s">
        <v>3613</v>
      </c>
      <c r="O896" t="s">
        <v>27</v>
      </c>
      <c r="P896" t="s">
        <v>56</v>
      </c>
      <c r="Q896" t="s">
        <v>31</v>
      </c>
      <c r="R896" t="s">
        <v>57</v>
      </c>
      <c r="S896" t="s">
        <v>28</v>
      </c>
      <c r="T896" t="s">
        <v>3616</v>
      </c>
      <c r="U896" t="s">
        <v>3611</v>
      </c>
    </row>
    <row r="897" spans="1:21" x14ac:dyDescent="0.25">
      <c r="A897" t="s">
        <v>2295</v>
      </c>
      <c r="B897" t="s">
        <v>3286</v>
      </c>
      <c r="C897">
        <v>199</v>
      </c>
      <c r="D897">
        <v>1</v>
      </c>
      <c r="E897">
        <v>0</v>
      </c>
      <c r="F897" t="s">
        <v>3617</v>
      </c>
      <c r="G897">
        <v>244</v>
      </c>
      <c r="H897">
        <v>45</v>
      </c>
      <c r="I897" t="s">
        <v>24</v>
      </c>
      <c r="J897" t="s">
        <v>1232</v>
      </c>
      <c r="K897" t="s">
        <v>3618</v>
      </c>
      <c r="L897" t="s">
        <v>3619</v>
      </c>
      <c r="M897" t="s">
        <v>641</v>
      </c>
      <c r="N897" t="s">
        <v>3620</v>
      </c>
      <c r="O897" t="s">
        <v>27</v>
      </c>
      <c r="P897" t="s">
        <v>193</v>
      </c>
      <c r="Q897" t="s">
        <v>85</v>
      </c>
      <c r="R897" t="s">
        <v>86</v>
      </c>
      <c r="S897" t="s">
        <v>28</v>
      </c>
      <c r="T897" t="s">
        <v>3621</v>
      </c>
      <c r="U897" t="s">
        <v>3622</v>
      </c>
    </row>
    <row r="898" spans="1:21" x14ac:dyDescent="0.25">
      <c r="A898" t="s">
        <v>195</v>
      </c>
      <c r="B898" t="s">
        <v>1003</v>
      </c>
      <c r="C898">
        <v>112.35</v>
      </c>
      <c r="D898">
        <v>1</v>
      </c>
      <c r="E898">
        <v>0</v>
      </c>
      <c r="F898" t="s">
        <v>3623</v>
      </c>
      <c r="G898">
        <v>117.35</v>
      </c>
      <c r="H898">
        <v>5</v>
      </c>
      <c r="I898" t="s">
        <v>628</v>
      </c>
      <c r="J898" t="s">
        <v>3624</v>
      </c>
      <c r="K898" t="s">
        <v>3625</v>
      </c>
      <c r="L898" t="s">
        <v>3626</v>
      </c>
      <c r="M898" t="s">
        <v>3627</v>
      </c>
      <c r="N898" t="s">
        <v>3628</v>
      </c>
      <c r="O898" t="s">
        <v>27</v>
      </c>
      <c r="P898" t="s">
        <v>48</v>
      </c>
      <c r="Q898" t="s">
        <v>49</v>
      </c>
      <c r="R898" t="s">
        <v>50</v>
      </c>
      <c r="S898" t="s">
        <v>28</v>
      </c>
      <c r="T898" t="s">
        <v>3629</v>
      </c>
      <c r="U898" t="s">
        <v>3628</v>
      </c>
    </row>
    <row r="899" spans="1:21" x14ac:dyDescent="0.25">
      <c r="A899" t="s">
        <v>635</v>
      </c>
      <c r="B899" t="s">
        <v>636</v>
      </c>
      <c r="C899">
        <v>800</v>
      </c>
      <c r="D899">
        <v>1</v>
      </c>
      <c r="E899">
        <v>0</v>
      </c>
      <c r="F899" t="s">
        <v>3630</v>
      </c>
      <c r="G899">
        <v>886</v>
      </c>
      <c r="H899">
        <v>86</v>
      </c>
      <c r="I899" t="s">
        <v>24</v>
      </c>
      <c r="J899" t="s">
        <v>2283</v>
      </c>
      <c r="K899" t="s">
        <v>3631</v>
      </c>
      <c r="L899" t="s">
        <v>1737</v>
      </c>
      <c r="M899" t="s">
        <v>2987</v>
      </c>
      <c r="N899" t="s">
        <v>3632</v>
      </c>
      <c r="O899" t="s">
        <v>27</v>
      </c>
      <c r="P899" t="s">
        <v>193</v>
      </c>
      <c r="Q899" t="s">
        <v>85</v>
      </c>
      <c r="R899" t="s">
        <v>86</v>
      </c>
      <c r="S899" t="s">
        <v>28</v>
      </c>
      <c r="T899" t="s">
        <v>3633</v>
      </c>
      <c r="U899" t="s">
        <v>3632</v>
      </c>
    </row>
    <row r="900" spans="1:21" x14ac:dyDescent="0.25">
      <c r="A900" t="s">
        <v>33</v>
      </c>
      <c r="B900" t="s">
        <v>34</v>
      </c>
      <c r="C900">
        <v>200</v>
      </c>
      <c r="D900">
        <v>1</v>
      </c>
      <c r="E900">
        <v>0</v>
      </c>
      <c r="F900" t="s">
        <v>3634</v>
      </c>
      <c r="G900">
        <v>200</v>
      </c>
      <c r="H900">
        <v>0</v>
      </c>
      <c r="I900" t="s">
        <v>445</v>
      </c>
      <c r="J900" t="s">
        <v>3635</v>
      </c>
      <c r="K900" t="s">
        <v>388</v>
      </c>
      <c r="L900" t="s">
        <v>27</v>
      </c>
      <c r="M900" t="s">
        <v>28</v>
      </c>
      <c r="N900" t="s">
        <v>3636</v>
      </c>
      <c r="O900" t="s">
        <v>27</v>
      </c>
      <c r="P900" t="s">
        <v>39</v>
      </c>
      <c r="Q900" t="s">
        <v>31</v>
      </c>
      <c r="R900" t="s">
        <v>32</v>
      </c>
      <c r="S900" t="s">
        <v>28</v>
      </c>
      <c r="T900" t="s">
        <v>3637</v>
      </c>
      <c r="U900" t="s">
        <v>3636</v>
      </c>
    </row>
    <row r="901" spans="1:21" x14ac:dyDescent="0.25">
      <c r="A901" t="s">
        <v>58</v>
      </c>
      <c r="B901" t="s">
        <v>103</v>
      </c>
      <c r="C901">
        <v>78.430000000000007</v>
      </c>
      <c r="D901">
        <v>1</v>
      </c>
      <c r="E901">
        <v>0</v>
      </c>
      <c r="F901" t="s">
        <v>3638</v>
      </c>
      <c r="G901">
        <v>83.43</v>
      </c>
      <c r="H901">
        <v>5</v>
      </c>
      <c r="I901" t="s">
        <v>105</v>
      </c>
      <c r="J901" t="s">
        <v>3639</v>
      </c>
      <c r="K901" t="s">
        <v>3640</v>
      </c>
      <c r="L901" t="s">
        <v>3641</v>
      </c>
      <c r="M901" t="s">
        <v>3642</v>
      </c>
      <c r="N901" t="s">
        <v>3643</v>
      </c>
      <c r="O901" t="s">
        <v>27</v>
      </c>
      <c r="P901" t="s">
        <v>48</v>
      </c>
      <c r="Q901" t="s">
        <v>49</v>
      </c>
      <c r="R901" t="s">
        <v>50</v>
      </c>
      <c r="S901" t="s">
        <v>28</v>
      </c>
      <c r="T901" t="s">
        <v>3644</v>
      </c>
      <c r="U901" t="s">
        <v>3645</v>
      </c>
    </row>
    <row r="902" spans="1:21" x14ac:dyDescent="0.25">
      <c r="A902" t="s">
        <v>70</v>
      </c>
      <c r="B902" t="s">
        <v>70</v>
      </c>
      <c r="C902">
        <v>350</v>
      </c>
      <c r="D902">
        <v>1</v>
      </c>
      <c r="E902">
        <v>0</v>
      </c>
      <c r="F902" t="s">
        <v>3646</v>
      </c>
      <c r="G902">
        <v>350</v>
      </c>
      <c r="H902">
        <v>0</v>
      </c>
      <c r="I902" t="s">
        <v>140</v>
      </c>
      <c r="J902" t="s">
        <v>904</v>
      </c>
      <c r="K902" t="s">
        <v>241</v>
      </c>
      <c r="L902" t="s">
        <v>27</v>
      </c>
      <c r="M902" t="s">
        <v>28</v>
      </c>
      <c r="N902" t="s">
        <v>3647</v>
      </c>
      <c r="O902" t="s">
        <v>27</v>
      </c>
      <c r="P902" t="s">
        <v>30</v>
      </c>
      <c r="Q902" t="s">
        <v>31</v>
      </c>
      <c r="R902" t="s">
        <v>32</v>
      </c>
      <c r="S902" t="s">
        <v>28</v>
      </c>
      <c r="T902" t="s">
        <v>3648</v>
      </c>
      <c r="U902" t="s">
        <v>3647</v>
      </c>
    </row>
    <row r="903" spans="1:21" x14ac:dyDescent="0.25">
      <c r="A903" t="s">
        <v>275</v>
      </c>
      <c r="B903" t="s">
        <v>276</v>
      </c>
      <c r="C903">
        <v>114.6</v>
      </c>
      <c r="D903">
        <v>1</v>
      </c>
      <c r="E903">
        <v>0</v>
      </c>
      <c r="F903" t="s">
        <v>3649</v>
      </c>
      <c r="G903">
        <v>114.6</v>
      </c>
      <c r="H903">
        <v>0</v>
      </c>
      <c r="I903" t="s">
        <v>24</v>
      </c>
      <c r="J903" t="s">
        <v>3650</v>
      </c>
      <c r="K903" t="s">
        <v>3651</v>
      </c>
      <c r="L903" t="s">
        <v>3652</v>
      </c>
      <c r="M903" t="s">
        <v>3653</v>
      </c>
      <c r="N903" t="s">
        <v>3654</v>
      </c>
      <c r="O903" t="s">
        <v>27</v>
      </c>
      <c r="P903" t="s">
        <v>48</v>
      </c>
      <c r="Q903" t="s">
        <v>49</v>
      </c>
      <c r="R903" t="s">
        <v>50</v>
      </c>
      <c r="S903" t="s">
        <v>28</v>
      </c>
      <c r="T903" t="s">
        <v>3655</v>
      </c>
      <c r="U903" t="s">
        <v>3654</v>
      </c>
    </row>
    <row r="904" spans="1:21" x14ac:dyDescent="0.25">
      <c r="A904" t="s">
        <v>195</v>
      </c>
      <c r="B904" t="s">
        <v>1003</v>
      </c>
      <c r="C904">
        <v>112.35</v>
      </c>
      <c r="D904">
        <v>1</v>
      </c>
      <c r="E904">
        <v>0</v>
      </c>
      <c r="F904" t="s">
        <v>3656</v>
      </c>
      <c r="G904">
        <v>117.35</v>
      </c>
      <c r="H904">
        <v>5</v>
      </c>
      <c r="I904" t="s">
        <v>628</v>
      </c>
      <c r="J904" t="s">
        <v>3657</v>
      </c>
      <c r="K904" t="s">
        <v>3658</v>
      </c>
      <c r="L904" t="s">
        <v>3659</v>
      </c>
      <c r="M904" t="s">
        <v>3660</v>
      </c>
      <c r="N904" t="s">
        <v>3661</v>
      </c>
      <c r="O904" t="s">
        <v>27</v>
      </c>
      <c r="P904" t="s">
        <v>48</v>
      </c>
      <c r="Q904" t="s">
        <v>49</v>
      </c>
      <c r="R904" t="s">
        <v>50</v>
      </c>
      <c r="S904" t="s">
        <v>28</v>
      </c>
      <c r="T904" t="s">
        <v>3662</v>
      </c>
      <c r="U904" t="s">
        <v>3661</v>
      </c>
    </row>
    <row r="905" spans="1:21" x14ac:dyDescent="0.25">
      <c r="A905" t="s">
        <v>58</v>
      </c>
      <c r="B905" t="s">
        <v>58</v>
      </c>
      <c r="C905">
        <v>100</v>
      </c>
      <c r="D905">
        <v>1</v>
      </c>
      <c r="E905">
        <v>0</v>
      </c>
      <c r="F905" t="s">
        <v>3663</v>
      </c>
      <c r="G905">
        <v>106</v>
      </c>
      <c r="H905">
        <v>6</v>
      </c>
      <c r="I905" t="s">
        <v>445</v>
      </c>
      <c r="J905" t="s">
        <v>3664</v>
      </c>
      <c r="K905" t="s">
        <v>451</v>
      </c>
      <c r="L905" t="s">
        <v>27</v>
      </c>
      <c r="M905" t="s">
        <v>28</v>
      </c>
      <c r="N905" t="s">
        <v>3665</v>
      </c>
      <c r="O905" t="s">
        <v>27</v>
      </c>
      <c r="P905" t="s">
        <v>39</v>
      </c>
      <c r="Q905" t="s">
        <v>31</v>
      </c>
      <c r="R905" t="s">
        <v>32</v>
      </c>
      <c r="S905" t="s">
        <v>28</v>
      </c>
      <c r="T905" t="s">
        <v>3666</v>
      </c>
      <c r="U905" t="s">
        <v>3665</v>
      </c>
    </row>
    <row r="906" spans="1:21" x14ac:dyDescent="0.25">
      <c r="A906" t="s">
        <v>63</v>
      </c>
      <c r="B906" t="s">
        <v>64</v>
      </c>
      <c r="C906">
        <v>100</v>
      </c>
      <c r="D906">
        <v>3</v>
      </c>
      <c r="E906">
        <v>0</v>
      </c>
      <c r="F906" t="s">
        <v>3667</v>
      </c>
      <c r="G906">
        <v>300</v>
      </c>
      <c r="H906">
        <v>0</v>
      </c>
      <c r="I906" t="s">
        <v>140</v>
      </c>
      <c r="J906" t="s">
        <v>3668</v>
      </c>
      <c r="K906" t="s">
        <v>1602</v>
      </c>
      <c r="L906" t="s">
        <v>27</v>
      </c>
      <c r="M906" t="s">
        <v>28</v>
      </c>
      <c r="N906" t="s">
        <v>3669</v>
      </c>
      <c r="O906" t="s">
        <v>27</v>
      </c>
      <c r="P906" t="s">
        <v>30</v>
      </c>
      <c r="Q906" t="s">
        <v>31</v>
      </c>
      <c r="R906" t="s">
        <v>32</v>
      </c>
      <c r="S906" t="s">
        <v>28</v>
      </c>
      <c r="T906" t="s">
        <v>3670</v>
      </c>
      <c r="U906" t="s">
        <v>3671</v>
      </c>
    </row>
    <row r="907" spans="1:21" x14ac:dyDescent="0.25">
      <c r="A907" t="s">
        <v>456</v>
      </c>
      <c r="B907" t="s">
        <v>1178</v>
      </c>
      <c r="C907">
        <v>89.88</v>
      </c>
      <c r="D907">
        <v>1</v>
      </c>
      <c r="E907">
        <v>0</v>
      </c>
      <c r="F907" t="s">
        <v>3672</v>
      </c>
      <c r="G907">
        <v>553.79</v>
      </c>
      <c r="H907">
        <v>48.44</v>
      </c>
      <c r="I907" t="s">
        <v>628</v>
      </c>
      <c r="J907" t="s">
        <v>3673</v>
      </c>
      <c r="K907" t="s">
        <v>3674</v>
      </c>
      <c r="L907" t="s">
        <v>1907</v>
      </c>
      <c r="M907" t="s">
        <v>3675</v>
      </c>
      <c r="N907" t="s">
        <v>3676</v>
      </c>
      <c r="O907" t="s">
        <v>27</v>
      </c>
      <c r="P907" t="s">
        <v>48</v>
      </c>
      <c r="Q907" t="s">
        <v>49</v>
      </c>
      <c r="R907" t="s">
        <v>50</v>
      </c>
      <c r="S907" t="s">
        <v>28</v>
      </c>
      <c r="T907" t="s">
        <v>3677</v>
      </c>
      <c r="U907" t="s">
        <v>3676</v>
      </c>
    </row>
    <row r="908" spans="1:21" x14ac:dyDescent="0.25">
      <c r="A908" t="s">
        <v>1353</v>
      </c>
      <c r="B908" t="s">
        <v>1354</v>
      </c>
      <c r="C908">
        <v>136.22</v>
      </c>
      <c r="D908">
        <v>1</v>
      </c>
      <c r="E908">
        <v>0</v>
      </c>
      <c r="F908" t="s">
        <v>3672</v>
      </c>
      <c r="G908">
        <v>553.79</v>
      </c>
      <c r="H908">
        <v>48.44</v>
      </c>
      <c r="I908" t="s">
        <v>628</v>
      </c>
      <c r="J908" t="s">
        <v>3673</v>
      </c>
      <c r="K908" t="s">
        <v>3674</v>
      </c>
      <c r="L908" t="s">
        <v>1907</v>
      </c>
      <c r="M908" t="s">
        <v>3675</v>
      </c>
      <c r="N908" t="s">
        <v>3676</v>
      </c>
      <c r="O908" t="s">
        <v>27</v>
      </c>
      <c r="P908" t="s">
        <v>48</v>
      </c>
      <c r="Q908" t="s">
        <v>49</v>
      </c>
      <c r="R908" t="s">
        <v>50</v>
      </c>
      <c r="S908" t="s">
        <v>28</v>
      </c>
      <c r="T908" t="s">
        <v>3677</v>
      </c>
      <c r="U908" t="s">
        <v>3676</v>
      </c>
    </row>
    <row r="909" spans="1:21" x14ac:dyDescent="0.25">
      <c r="A909" t="s">
        <v>21</v>
      </c>
      <c r="B909" t="s">
        <v>3678</v>
      </c>
      <c r="C909">
        <v>93.09</v>
      </c>
      <c r="D909">
        <v>1</v>
      </c>
      <c r="E909">
        <v>0</v>
      </c>
      <c r="F909" t="s">
        <v>3672</v>
      </c>
      <c r="G909">
        <v>553.79</v>
      </c>
      <c r="H909">
        <v>48.44</v>
      </c>
      <c r="I909" t="s">
        <v>628</v>
      </c>
      <c r="J909" t="s">
        <v>3673</v>
      </c>
      <c r="K909" t="s">
        <v>3674</v>
      </c>
      <c r="L909" t="s">
        <v>1907</v>
      </c>
      <c r="M909" t="s">
        <v>3675</v>
      </c>
      <c r="N909" t="s">
        <v>3676</v>
      </c>
      <c r="O909" t="s">
        <v>27</v>
      </c>
      <c r="P909" t="s">
        <v>48</v>
      </c>
      <c r="Q909" t="s">
        <v>49</v>
      </c>
      <c r="R909" t="s">
        <v>50</v>
      </c>
      <c r="S909" t="s">
        <v>28</v>
      </c>
      <c r="T909" t="s">
        <v>3677</v>
      </c>
      <c r="U909" t="s">
        <v>3676</v>
      </c>
    </row>
    <row r="910" spans="1:21" x14ac:dyDescent="0.25">
      <c r="A910" t="s">
        <v>21</v>
      </c>
      <c r="B910" t="s">
        <v>3678</v>
      </c>
      <c r="C910">
        <v>93.08</v>
      </c>
      <c r="D910">
        <v>1</v>
      </c>
      <c r="E910">
        <v>0</v>
      </c>
      <c r="F910" t="s">
        <v>3672</v>
      </c>
      <c r="G910">
        <v>553.79</v>
      </c>
      <c r="H910">
        <v>48.44</v>
      </c>
      <c r="I910" t="s">
        <v>628</v>
      </c>
      <c r="J910" t="s">
        <v>3673</v>
      </c>
      <c r="K910" t="s">
        <v>3674</v>
      </c>
      <c r="L910" t="s">
        <v>1907</v>
      </c>
      <c r="M910" t="s">
        <v>3675</v>
      </c>
      <c r="N910" t="s">
        <v>3676</v>
      </c>
      <c r="O910" t="s">
        <v>27</v>
      </c>
      <c r="P910" t="s">
        <v>48</v>
      </c>
      <c r="Q910" t="s">
        <v>49</v>
      </c>
      <c r="R910" t="s">
        <v>50</v>
      </c>
      <c r="S910" t="s">
        <v>28</v>
      </c>
      <c r="T910" t="s">
        <v>3677</v>
      </c>
      <c r="U910" t="s">
        <v>3676</v>
      </c>
    </row>
    <row r="911" spans="1:21" x14ac:dyDescent="0.25">
      <c r="A911" t="s">
        <v>21</v>
      </c>
      <c r="B911" t="s">
        <v>3678</v>
      </c>
      <c r="C911">
        <v>93.08</v>
      </c>
      <c r="D911">
        <v>1</v>
      </c>
      <c r="E911">
        <v>0</v>
      </c>
      <c r="F911" t="s">
        <v>3672</v>
      </c>
      <c r="G911">
        <v>553.79</v>
      </c>
      <c r="H911">
        <v>48.44</v>
      </c>
      <c r="I911" t="s">
        <v>628</v>
      </c>
      <c r="J911" t="s">
        <v>3673</v>
      </c>
      <c r="K911" t="s">
        <v>3674</v>
      </c>
      <c r="L911" t="s">
        <v>1907</v>
      </c>
      <c r="M911" t="s">
        <v>3675</v>
      </c>
      <c r="N911" t="s">
        <v>3676</v>
      </c>
      <c r="O911" t="s">
        <v>27</v>
      </c>
      <c r="P911" t="s">
        <v>48</v>
      </c>
      <c r="Q911" t="s">
        <v>49</v>
      </c>
      <c r="R911" t="s">
        <v>50</v>
      </c>
      <c r="S911" t="s">
        <v>28</v>
      </c>
      <c r="T911" t="s">
        <v>3677</v>
      </c>
      <c r="U911" t="s">
        <v>3676</v>
      </c>
    </row>
    <row r="912" spans="1:21" x14ac:dyDescent="0.25">
      <c r="A912" t="s">
        <v>21</v>
      </c>
      <c r="B912" t="s">
        <v>22</v>
      </c>
      <c r="C912">
        <v>100</v>
      </c>
      <c r="D912">
        <v>1</v>
      </c>
      <c r="E912">
        <v>0</v>
      </c>
      <c r="F912" t="s">
        <v>3679</v>
      </c>
      <c r="G912">
        <v>145</v>
      </c>
      <c r="H912">
        <v>45</v>
      </c>
      <c r="I912" t="s">
        <v>140</v>
      </c>
      <c r="J912" t="s">
        <v>3680</v>
      </c>
      <c r="K912" t="s">
        <v>209</v>
      </c>
      <c r="L912" t="s">
        <v>27</v>
      </c>
      <c r="M912" t="s">
        <v>28</v>
      </c>
      <c r="N912" t="s">
        <v>3681</v>
      </c>
      <c r="O912" t="s">
        <v>27</v>
      </c>
      <c r="P912" t="s">
        <v>30</v>
      </c>
      <c r="Q912" t="s">
        <v>31</v>
      </c>
      <c r="R912" t="s">
        <v>32</v>
      </c>
      <c r="S912" t="s">
        <v>28</v>
      </c>
      <c r="T912" t="s">
        <v>3682</v>
      </c>
      <c r="U912" t="s">
        <v>3681</v>
      </c>
    </row>
    <row r="913" spans="1:21" x14ac:dyDescent="0.25">
      <c r="A913" t="s">
        <v>3543</v>
      </c>
      <c r="B913" t="s">
        <v>3683</v>
      </c>
      <c r="C913">
        <v>399</v>
      </c>
      <c r="D913">
        <v>1</v>
      </c>
      <c r="E913">
        <v>0</v>
      </c>
      <c r="F913" t="s">
        <v>3684</v>
      </c>
      <c r="G913">
        <v>399</v>
      </c>
      <c r="H913">
        <v>0</v>
      </c>
      <c r="I913" t="s">
        <v>24</v>
      </c>
      <c r="J913" t="s">
        <v>2555</v>
      </c>
      <c r="K913" t="s">
        <v>3685</v>
      </c>
      <c r="L913" t="s">
        <v>3686</v>
      </c>
      <c r="M913" t="s">
        <v>3687</v>
      </c>
      <c r="N913" t="s">
        <v>3688</v>
      </c>
      <c r="O913" t="s">
        <v>27</v>
      </c>
      <c r="P913" t="s">
        <v>84</v>
      </c>
      <c r="Q913" t="s">
        <v>85</v>
      </c>
      <c r="R913" t="s">
        <v>86</v>
      </c>
      <c r="S913" t="s">
        <v>28</v>
      </c>
      <c r="T913" t="s">
        <v>3689</v>
      </c>
      <c r="U913" t="s">
        <v>3690</v>
      </c>
    </row>
    <row r="914" spans="1:21" x14ac:dyDescent="0.25">
      <c r="A914" t="s">
        <v>21</v>
      </c>
      <c r="B914" t="s">
        <v>22</v>
      </c>
      <c r="C914">
        <v>100</v>
      </c>
      <c r="D914">
        <v>1</v>
      </c>
      <c r="E914">
        <v>0</v>
      </c>
      <c r="F914" t="s">
        <v>3691</v>
      </c>
      <c r="G914">
        <v>220</v>
      </c>
      <c r="H914">
        <v>0</v>
      </c>
      <c r="I914" t="s">
        <v>140</v>
      </c>
      <c r="J914" t="s">
        <v>3692</v>
      </c>
      <c r="K914" t="s">
        <v>237</v>
      </c>
      <c r="L914" t="s">
        <v>27</v>
      </c>
      <c r="M914" t="s">
        <v>28</v>
      </c>
      <c r="N914" t="s">
        <v>3693</v>
      </c>
      <c r="O914" t="s">
        <v>27</v>
      </c>
      <c r="P914" t="s">
        <v>30</v>
      </c>
      <c r="Q914" t="s">
        <v>31</v>
      </c>
      <c r="R914" t="s">
        <v>32</v>
      </c>
      <c r="S914" t="s">
        <v>28</v>
      </c>
      <c r="T914" t="s">
        <v>3694</v>
      </c>
      <c r="U914" t="s">
        <v>3693</v>
      </c>
    </row>
    <row r="915" spans="1:21" x14ac:dyDescent="0.25">
      <c r="A915" t="s">
        <v>275</v>
      </c>
      <c r="B915" t="s">
        <v>1864</v>
      </c>
      <c r="C915">
        <v>120</v>
      </c>
      <c r="D915">
        <v>1</v>
      </c>
      <c r="E915">
        <v>0</v>
      </c>
      <c r="F915" t="s">
        <v>3691</v>
      </c>
      <c r="G915">
        <v>220</v>
      </c>
      <c r="H915">
        <v>0</v>
      </c>
      <c r="I915" t="s">
        <v>140</v>
      </c>
      <c r="J915" t="s">
        <v>3692</v>
      </c>
      <c r="K915" t="s">
        <v>237</v>
      </c>
      <c r="L915" t="s">
        <v>27</v>
      </c>
      <c r="M915" t="s">
        <v>28</v>
      </c>
      <c r="N915" t="s">
        <v>3693</v>
      </c>
      <c r="O915" t="s">
        <v>27</v>
      </c>
      <c r="P915" t="s">
        <v>30</v>
      </c>
      <c r="Q915" t="s">
        <v>31</v>
      </c>
      <c r="R915" t="s">
        <v>32</v>
      </c>
      <c r="S915" t="s">
        <v>28</v>
      </c>
      <c r="T915" t="s">
        <v>3694</v>
      </c>
      <c r="U915" t="s">
        <v>3693</v>
      </c>
    </row>
    <row r="916" spans="1:21" x14ac:dyDescent="0.25">
      <c r="A916" t="s">
        <v>21</v>
      </c>
      <c r="B916" t="s">
        <v>22</v>
      </c>
      <c r="C916">
        <v>100</v>
      </c>
      <c r="D916">
        <v>1</v>
      </c>
      <c r="E916">
        <v>0</v>
      </c>
      <c r="F916" t="s">
        <v>3695</v>
      </c>
      <c r="G916">
        <v>106</v>
      </c>
      <c r="H916">
        <v>6</v>
      </c>
      <c r="I916" t="s">
        <v>140</v>
      </c>
      <c r="J916" t="s">
        <v>3696</v>
      </c>
      <c r="K916" t="s">
        <v>3697</v>
      </c>
      <c r="L916" t="s">
        <v>27</v>
      </c>
      <c r="M916" t="s">
        <v>28</v>
      </c>
      <c r="N916" t="s">
        <v>3698</v>
      </c>
      <c r="O916" t="s">
        <v>27</v>
      </c>
      <c r="P916" t="s">
        <v>30</v>
      </c>
      <c r="Q916" t="s">
        <v>31</v>
      </c>
      <c r="R916" t="s">
        <v>32</v>
      </c>
      <c r="S916" t="s">
        <v>28</v>
      </c>
      <c r="T916" t="s">
        <v>3699</v>
      </c>
      <c r="U916" t="s">
        <v>3700</v>
      </c>
    </row>
    <row r="917" spans="1:21" x14ac:dyDescent="0.25">
      <c r="A917" t="s">
        <v>456</v>
      </c>
      <c r="B917" t="s">
        <v>1178</v>
      </c>
      <c r="C917">
        <v>112.35</v>
      </c>
      <c r="D917">
        <v>1</v>
      </c>
      <c r="E917">
        <v>0</v>
      </c>
      <c r="F917" t="s">
        <v>3701</v>
      </c>
      <c r="G917">
        <v>117.35</v>
      </c>
      <c r="H917">
        <v>5</v>
      </c>
      <c r="I917" t="s">
        <v>628</v>
      </c>
      <c r="J917" t="s">
        <v>3702</v>
      </c>
      <c r="K917" t="s">
        <v>3703</v>
      </c>
      <c r="L917" t="s">
        <v>3704</v>
      </c>
      <c r="M917" t="s">
        <v>3705</v>
      </c>
      <c r="N917" t="s">
        <v>3700</v>
      </c>
      <c r="O917" t="s">
        <v>27</v>
      </c>
      <c r="P917" t="s">
        <v>48</v>
      </c>
      <c r="Q917" t="s">
        <v>49</v>
      </c>
      <c r="R917" t="s">
        <v>50</v>
      </c>
      <c r="S917" t="s">
        <v>28</v>
      </c>
      <c r="T917" t="s">
        <v>3706</v>
      </c>
      <c r="U917" t="s">
        <v>3700</v>
      </c>
    </row>
    <row r="918" spans="1:21" x14ac:dyDescent="0.25">
      <c r="A918" t="s">
        <v>63</v>
      </c>
      <c r="B918" t="s">
        <v>64</v>
      </c>
      <c r="C918">
        <v>100</v>
      </c>
      <c r="D918">
        <v>3</v>
      </c>
      <c r="E918">
        <v>0</v>
      </c>
      <c r="F918" t="s">
        <v>3707</v>
      </c>
      <c r="G918">
        <v>300</v>
      </c>
      <c r="H918">
        <v>0</v>
      </c>
      <c r="I918" t="s">
        <v>24</v>
      </c>
      <c r="J918" t="s">
        <v>3708</v>
      </c>
      <c r="K918" t="s">
        <v>26</v>
      </c>
      <c r="L918" t="s">
        <v>27</v>
      </c>
      <c r="M918" t="s">
        <v>28</v>
      </c>
      <c r="N918" t="s">
        <v>3709</v>
      </c>
      <c r="O918" t="s">
        <v>27</v>
      </c>
      <c r="P918" t="s">
        <v>56</v>
      </c>
      <c r="Q918" t="s">
        <v>31</v>
      </c>
      <c r="R918" t="s">
        <v>57</v>
      </c>
      <c r="S918" t="s">
        <v>28</v>
      </c>
      <c r="T918" t="s">
        <v>3710</v>
      </c>
      <c r="U918" t="s">
        <v>3709</v>
      </c>
    </row>
    <row r="919" spans="1:21" x14ac:dyDescent="0.25">
      <c r="A919" t="s">
        <v>58</v>
      </c>
      <c r="B919" t="s">
        <v>58</v>
      </c>
      <c r="C919">
        <v>100</v>
      </c>
      <c r="D919">
        <v>1</v>
      </c>
      <c r="E919">
        <v>0</v>
      </c>
      <c r="F919" t="s">
        <v>3711</v>
      </c>
      <c r="G919">
        <v>200</v>
      </c>
      <c r="H919">
        <v>0</v>
      </c>
      <c r="I919" t="s">
        <v>24</v>
      </c>
      <c r="J919" t="s">
        <v>3712</v>
      </c>
      <c r="K919" t="s">
        <v>3713</v>
      </c>
      <c r="L919" t="s">
        <v>27</v>
      </c>
      <c r="M919" t="s">
        <v>28</v>
      </c>
      <c r="N919" t="s">
        <v>3714</v>
      </c>
      <c r="O919" t="s">
        <v>27</v>
      </c>
      <c r="P919" t="s">
        <v>39</v>
      </c>
      <c r="Q919" t="s">
        <v>31</v>
      </c>
      <c r="R919" t="s">
        <v>32</v>
      </c>
      <c r="S919" t="s">
        <v>28</v>
      </c>
      <c r="T919" t="s">
        <v>3715</v>
      </c>
      <c r="U919" t="s">
        <v>3716</v>
      </c>
    </row>
    <row r="920" spans="1:21" x14ac:dyDescent="0.25">
      <c r="A920" t="s">
        <v>134</v>
      </c>
      <c r="B920" t="s">
        <v>64</v>
      </c>
      <c r="C920">
        <v>100</v>
      </c>
      <c r="D920">
        <v>1</v>
      </c>
      <c r="E920">
        <v>0</v>
      </c>
      <c r="F920" t="s">
        <v>3711</v>
      </c>
      <c r="G920">
        <v>200</v>
      </c>
      <c r="H920">
        <v>0</v>
      </c>
      <c r="I920" t="s">
        <v>24</v>
      </c>
      <c r="J920" t="s">
        <v>3712</v>
      </c>
      <c r="K920" t="s">
        <v>3713</v>
      </c>
      <c r="L920" t="s">
        <v>27</v>
      </c>
      <c r="M920" t="s">
        <v>28</v>
      </c>
      <c r="N920" t="s">
        <v>3714</v>
      </c>
      <c r="O920" t="s">
        <v>27</v>
      </c>
      <c r="P920" t="s">
        <v>39</v>
      </c>
      <c r="Q920" t="s">
        <v>31</v>
      </c>
      <c r="R920" t="s">
        <v>32</v>
      </c>
      <c r="S920" t="s">
        <v>28</v>
      </c>
      <c r="T920" t="s">
        <v>3715</v>
      </c>
      <c r="U920" t="s">
        <v>3716</v>
      </c>
    </row>
    <row r="921" spans="1:21" x14ac:dyDescent="0.25">
      <c r="A921" t="s">
        <v>58</v>
      </c>
      <c r="B921" t="s">
        <v>58</v>
      </c>
      <c r="C921">
        <v>100</v>
      </c>
      <c r="D921">
        <v>1</v>
      </c>
      <c r="E921">
        <v>0</v>
      </c>
      <c r="F921" t="s">
        <v>3717</v>
      </c>
      <c r="G921">
        <v>106</v>
      </c>
      <c r="H921">
        <v>6</v>
      </c>
      <c r="I921" t="s">
        <v>140</v>
      </c>
      <c r="J921" t="s">
        <v>3718</v>
      </c>
      <c r="K921" t="s">
        <v>37</v>
      </c>
      <c r="L921" t="s">
        <v>27</v>
      </c>
      <c r="M921" t="s">
        <v>28</v>
      </c>
      <c r="N921" t="s">
        <v>3719</v>
      </c>
      <c r="O921" t="s">
        <v>27</v>
      </c>
      <c r="P921" t="s">
        <v>30</v>
      </c>
      <c r="Q921" t="s">
        <v>31</v>
      </c>
      <c r="R921" t="s">
        <v>32</v>
      </c>
      <c r="S921" t="s">
        <v>28</v>
      </c>
      <c r="T921" t="s">
        <v>3720</v>
      </c>
      <c r="U921" t="s">
        <v>3719</v>
      </c>
    </row>
    <row r="922" spans="1:21" x14ac:dyDescent="0.25">
      <c r="A922" t="s">
        <v>261</v>
      </c>
      <c r="B922" t="s">
        <v>1592</v>
      </c>
      <c r="C922">
        <v>238.22</v>
      </c>
      <c r="D922">
        <v>1</v>
      </c>
      <c r="E922">
        <v>0</v>
      </c>
      <c r="F922" t="s">
        <v>3721</v>
      </c>
      <c r="G922">
        <v>302.22000000000003</v>
      </c>
      <c r="H922">
        <v>64</v>
      </c>
      <c r="I922" t="s">
        <v>24</v>
      </c>
      <c r="J922" t="s">
        <v>3722</v>
      </c>
      <c r="K922" t="s">
        <v>3723</v>
      </c>
      <c r="L922" t="s">
        <v>3724</v>
      </c>
      <c r="M922" t="s">
        <v>3725</v>
      </c>
      <c r="N922" t="s">
        <v>3726</v>
      </c>
      <c r="O922" t="s">
        <v>27</v>
      </c>
      <c r="P922" t="s">
        <v>48</v>
      </c>
      <c r="Q922" t="s">
        <v>49</v>
      </c>
      <c r="R922" t="s">
        <v>50</v>
      </c>
      <c r="S922" t="s">
        <v>28</v>
      </c>
      <c r="T922" t="s">
        <v>3727</v>
      </c>
      <c r="U922" t="s">
        <v>3726</v>
      </c>
    </row>
    <row r="923" spans="1:21" x14ac:dyDescent="0.25">
      <c r="A923" t="s">
        <v>58</v>
      </c>
      <c r="B923" t="s">
        <v>103</v>
      </c>
      <c r="C923">
        <v>80.91</v>
      </c>
      <c r="D923">
        <v>1</v>
      </c>
      <c r="E923">
        <v>0</v>
      </c>
      <c r="F923" t="s">
        <v>3728</v>
      </c>
      <c r="G923">
        <v>85.91</v>
      </c>
      <c r="H923">
        <v>5</v>
      </c>
      <c r="I923" t="s">
        <v>105</v>
      </c>
      <c r="J923" t="s">
        <v>2318</v>
      </c>
      <c r="K923" t="s">
        <v>2319</v>
      </c>
      <c r="L923" t="s">
        <v>1076</v>
      </c>
      <c r="M923" t="s">
        <v>2320</v>
      </c>
      <c r="N923" t="s">
        <v>3729</v>
      </c>
      <c r="O923" t="s">
        <v>27</v>
      </c>
      <c r="P923" t="s">
        <v>48</v>
      </c>
      <c r="Q923" t="s">
        <v>49</v>
      </c>
      <c r="R923" t="s">
        <v>50</v>
      </c>
      <c r="S923" t="s">
        <v>28</v>
      </c>
      <c r="T923" t="s">
        <v>3730</v>
      </c>
      <c r="U923" t="s">
        <v>3729</v>
      </c>
    </row>
    <row r="924" spans="1:21" x14ac:dyDescent="0.25">
      <c r="A924" t="s">
        <v>33</v>
      </c>
      <c r="B924" t="s">
        <v>34</v>
      </c>
      <c r="C924">
        <v>200</v>
      </c>
      <c r="D924">
        <v>1</v>
      </c>
      <c r="E924">
        <v>0</v>
      </c>
      <c r="F924" t="s">
        <v>3731</v>
      </c>
      <c r="G924">
        <v>200</v>
      </c>
      <c r="H924">
        <v>0</v>
      </c>
      <c r="I924" t="s">
        <v>445</v>
      </c>
      <c r="J924" t="s">
        <v>3732</v>
      </c>
      <c r="K924" t="s">
        <v>331</v>
      </c>
      <c r="L924" t="s">
        <v>27</v>
      </c>
      <c r="M924" t="s">
        <v>28</v>
      </c>
      <c r="N924" t="s">
        <v>3733</v>
      </c>
      <c r="O924" t="s">
        <v>27</v>
      </c>
      <c r="P924" t="s">
        <v>39</v>
      </c>
      <c r="Q924" t="s">
        <v>31</v>
      </c>
      <c r="R924" t="s">
        <v>32</v>
      </c>
      <c r="S924" t="s">
        <v>28</v>
      </c>
      <c r="T924" t="s">
        <v>3734</v>
      </c>
      <c r="U924" t="s">
        <v>3733</v>
      </c>
    </row>
    <row r="925" spans="1:21" x14ac:dyDescent="0.25">
      <c r="A925" t="s">
        <v>456</v>
      </c>
      <c r="B925" t="s">
        <v>1178</v>
      </c>
      <c r="C925">
        <v>105.49</v>
      </c>
      <c r="D925">
        <v>1</v>
      </c>
      <c r="E925">
        <v>0</v>
      </c>
      <c r="F925" t="s">
        <v>3735</v>
      </c>
      <c r="G925">
        <v>239.98</v>
      </c>
      <c r="H925">
        <v>29</v>
      </c>
      <c r="I925" t="s">
        <v>628</v>
      </c>
      <c r="J925" t="s">
        <v>3722</v>
      </c>
      <c r="K925" t="s">
        <v>3723</v>
      </c>
      <c r="L925" t="s">
        <v>3724</v>
      </c>
      <c r="M925" t="s">
        <v>3725</v>
      </c>
      <c r="N925" t="s">
        <v>3736</v>
      </c>
      <c r="O925" t="s">
        <v>27</v>
      </c>
      <c r="P925" t="s">
        <v>48</v>
      </c>
      <c r="Q925" t="s">
        <v>49</v>
      </c>
      <c r="R925" t="s">
        <v>50</v>
      </c>
      <c r="S925" t="s">
        <v>28</v>
      </c>
      <c r="T925" t="s">
        <v>3737</v>
      </c>
      <c r="U925" t="s">
        <v>3738</v>
      </c>
    </row>
    <row r="926" spans="1:21" x14ac:dyDescent="0.25">
      <c r="A926" t="s">
        <v>456</v>
      </c>
      <c r="B926" t="s">
        <v>1178</v>
      </c>
      <c r="C926">
        <v>105.49</v>
      </c>
      <c r="D926">
        <v>1</v>
      </c>
      <c r="E926">
        <v>0</v>
      </c>
      <c r="F926" t="s">
        <v>3735</v>
      </c>
      <c r="G926">
        <v>239.98</v>
      </c>
      <c r="H926">
        <v>29</v>
      </c>
      <c r="I926" t="s">
        <v>628</v>
      </c>
      <c r="J926" t="s">
        <v>3722</v>
      </c>
      <c r="K926" t="s">
        <v>3723</v>
      </c>
      <c r="L926" t="s">
        <v>3724</v>
      </c>
      <c r="M926" t="s">
        <v>3725</v>
      </c>
      <c r="N926" t="s">
        <v>3736</v>
      </c>
      <c r="O926" t="s">
        <v>27</v>
      </c>
      <c r="P926" t="s">
        <v>48</v>
      </c>
      <c r="Q926" t="s">
        <v>49</v>
      </c>
      <c r="R926" t="s">
        <v>50</v>
      </c>
      <c r="S926" t="s">
        <v>28</v>
      </c>
      <c r="T926" t="s">
        <v>3737</v>
      </c>
      <c r="U926" t="s">
        <v>3738</v>
      </c>
    </row>
    <row r="927" spans="1:21" x14ac:dyDescent="0.25">
      <c r="A927" t="s">
        <v>3739</v>
      </c>
      <c r="B927" t="s">
        <v>2854</v>
      </c>
      <c r="C927">
        <v>251.03</v>
      </c>
      <c r="D927">
        <v>1</v>
      </c>
      <c r="E927">
        <v>0</v>
      </c>
      <c r="F927" t="s">
        <v>3740</v>
      </c>
      <c r="G927">
        <v>256.02999999999997</v>
      </c>
      <c r="H927">
        <v>5</v>
      </c>
      <c r="I927" t="s">
        <v>2856</v>
      </c>
      <c r="J927" t="s">
        <v>3741</v>
      </c>
      <c r="K927" t="s">
        <v>3742</v>
      </c>
      <c r="L927" t="s">
        <v>3743</v>
      </c>
      <c r="M927" t="s">
        <v>3744</v>
      </c>
      <c r="N927" t="s">
        <v>3738</v>
      </c>
      <c r="O927" t="s">
        <v>27</v>
      </c>
      <c r="P927" t="s">
        <v>48</v>
      </c>
      <c r="Q927" t="s">
        <v>49</v>
      </c>
      <c r="R927" t="s">
        <v>50</v>
      </c>
      <c r="S927" t="s">
        <v>28</v>
      </c>
      <c r="T927" t="s">
        <v>3745</v>
      </c>
      <c r="U927" t="s">
        <v>3738</v>
      </c>
    </row>
    <row r="928" spans="1:21" x14ac:dyDescent="0.25">
      <c r="A928" t="s">
        <v>63</v>
      </c>
      <c r="B928" t="s">
        <v>64</v>
      </c>
      <c r="C928">
        <v>100</v>
      </c>
      <c r="D928">
        <v>1</v>
      </c>
      <c r="E928">
        <v>0</v>
      </c>
      <c r="F928" t="s">
        <v>3746</v>
      </c>
      <c r="G928">
        <v>106</v>
      </c>
      <c r="H928">
        <v>6</v>
      </c>
      <c r="I928" t="s">
        <v>140</v>
      </c>
      <c r="J928" t="s">
        <v>3747</v>
      </c>
      <c r="K928" t="s">
        <v>37</v>
      </c>
      <c r="L928" t="s">
        <v>27</v>
      </c>
      <c r="M928" t="s">
        <v>28</v>
      </c>
      <c r="N928" t="s">
        <v>3748</v>
      </c>
      <c r="O928" t="s">
        <v>27</v>
      </c>
      <c r="P928" t="s">
        <v>30</v>
      </c>
      <c r="Q928" t="s">
        <v>31</v>
      </c>
      <c r="R928" t="s">
        <v>32</v>
      </c>
      <c r="S928" t="s">
        <v>28</v>
      </c>
      <c r="T928" t="s">
        <v>3749</v>
      </c>
      <c r="U928" t="s">
        <v>3750</v>
      </c>
    </row>
    <row r="929" spans="1:21" x14ac:dyDescent="0.25">
      <c r="A929" t="s">
        <v>3751</v>
      </c>
      <c r="B929" t="s">
        <v>276</v>
      </c>
      <c r="C929">
        <v>458.4</v>
      </c>
      <c r="D929">
        <v>1</v>
      </c>
      <c r="E929">
        <v>0</v>
      </c>
      <c r="F929" t="s">
        <v>3752</v>
      </c>
      <c r="G929">
        <v>503.4</v>
      </c>
      <c r="H929">
        <v>45</v>
      </c>
      <c r="I929" t="s">
        <v>24</v>
      </c>
      <c r="J929" t="s">
        <v>3753</v>
      </c>
      <c r="K929" t="s">
        <v>3754</v>
      </c>
      <c r="L929" t="s">
        <v>3755</v>
      </c>
      <c r="M929" t="s">
        <v>3756</v>
      </c>
      <c r="N929" t="s">
        <v>3757</v>
      </c>
      <c r="O929" t="s">
        <v>27</v>
      </c>
      <c r="P929" t="s">
        <v>48</v>
      </c>
      <c r="Q929" t="s">
        <v>49</v>
      </c>
      <c r="R929" t="s">
        <v>50</v>
      </c>
      <c r="S929" t="s">
        <v>28</v>
      </c>
      <c r="T929" t="s">
        <v>3758</v>
      </c>
      <c r="U929" t="s">
        <v>3757</v>
      </c>
    </row>
    <row r="930" spans="1:21" x14ac:dyDescent="0.25">
      <c r="A930" t="s">
        <v>3543</v>
      </c>
      <c r="B930" t="s">
        <v>3544</v>
      </c>
      <c r="C930">
        <v>226.28</v>
      </c>
      <c r="D930">
        <v>1</v>
      </c>
      <c r="E930">
        <v>0</v>
      </c>
      <c r="F930" t="s">
        <v>3759</v>
      </c>
      <c r="G930">
        <v>226.28</v>
      </c>
      <c r="H930">
        <v>0</v>
      </c>
      <c r="I930" t="s">
        <v>720</v>
      </c>
      <c r="J930" t="s">
        <v>3760</v>
      </c>
      <c r="K930" t="s">
        <v>3761</v>
      </c>
      <c r="L930" t="s">
        <v>3755</v>
      </c>
      <c r="M930" t="s">
        <v>3762</v>
      </c>
      <c r="N930" t="s">
        <v>3763</v>
      </c>
      <c r="O930" t="s">
        <v>27</v>
      </c>
      <c r="P930" t="s">
        <v>48</v>
      </c>
      <c r="Q930" t="s">
        <v>49</v>
      </c>
      <c r="R930" t="s">
        <v>50</v>
      </c>
      <c r="S930" t="s">
        <v>28</v>
      </c>
      <c r="T930" t="s">
        <v>3764</v>
      </c>
      <c r="U930" t="s">
        <v>3763</v>
      </c>
    </row>
    <row r="931" spans="1:21" x14ac:dyDescent="0.25">
      <c r="A931" t="s">
        <v>63</v>
      </c>
      <c r="B931" t="s">
        <v>64</v>
      </c>
      <c r="C931">
        <v>100</v>
      </c>
      <c r="D931">
        <v>2</v>
      </c>
      <c r="E931">
        <v>0</v>
      </c>
      <c r="F931" t="s">
        <v>3765</v>
      </c>
      <c r="G931">
        <v>200</v>
      </c>
      <c r="H931">
        <v>0</v>
      </c>
      <c r="I931" t="s">
        <v>140</v>
      </c>
      <c r="J931" t="s">
        <v>3766</v>
      </c>
      <c r="K931" t="s">
        <v>247</v>
      </c>
      <c r="L931" t="s">
        <v>27</v>
      </c>
      <c r="M931" t="s">
        <v>28</v>
      </c>
      <c r="N931" t="s">
        <v>3767</v>
      </c>
      <c r="O931" t="s">
        <v>27</v>
      </c>
      <c r="P931" t="s">
        <v>30</v>
      </c>
      <c r="Q931" t="s">
        <v>31</v>
      </c>
      <c r="R931" t="s">
        <v>32</v>
      </c>
      <c r="S931" t="s">
        <v>28</v>
      </c>
      <c r="T931" t="s">
        <v>3768</v>
      </c>
      <c r="U931" t="s">
        <v>3767</v>
      </c>
    </row>
    <row r="932" spans="1:21" x14ac:dyDescent="0.25">
      <c r="A932" t="s">
        <v>134</v>
      </c>
      <c r="B932" t="s">
        <v>64</v>
      </c>
      <c r="C932">
        <v>100</v>
      </c>
      <c r="D932">
        <v>1</v>
      </c>
      <c r="E932">
        <v>0</v>
      </c>
      <c r="F932" t="s">
        <v>3769</v>
      </c>
      <c r="G932">
        <v>106</v>
      </c>
      <c r="H932">
        <v>6</v>
      </c>
      <c r="I932" t="s">
        <v>24</v>
      </c>
      <c r="J932" t="s">
        <v>3770</v>
      </c>
      <c r="K932" t="s">
        <v>89</v>
      </c>
      <c r="L932" t="s">
        <v>27</v>
      </c>
      <c r="M932" t="s">
        <v>28</v>
      </c>
      <c r="N932" t="s">
        <v>3771</v>
      </c>
      <c r="O932" t="s">
        <v>27</v>
      </c>
      <c r="P932" t="s">
        <v>56</v>
      </c>
      <c r="Q932" t="s">
        <v>31</v>
      </c>
      <c r="R932" t="s">
        <v>57</v>
      </c>
      <c r="S932" t="s">
        <v>28</v>
      </c>
      <c r="T932" t="s">
        <v>3772</v>
      </c>
      <c r="U932" t="s">
        <v>3773</v>
      </c>
    </row>
    <row r="933" spans="1:21" x14ac:dyDescent="0.25">
      <c r="A933" t="s">
        <v>3739</v>
      </c>
      <c r="B933" t="s">
        <v>3774</v>
      </c>
      <c r="C933">
        <v>114.19</v>
      </c>
      <c r="D933">
        <v>1</v>
      </c>
      <c r="E933">
        <v>0</v>
      </c>
      <c r="F933" t="s">
        <v>3775</v>
      </c>
      <c r="G933">
        <v>143.19</v>
      </c>
      <c r="H933">
        <v>29</v>
      </c>
      <c r="I933" t="s">
        <v>24</v>
      </c>
      <c r="J933" t="s">
        <v>3776</v>
      </c>
      <c r="K933" t="s">
        <v>3777</v>
      </c>
      <c r="L933" t="s">
        <v>3704</v>
      </c>
      <c r="M933" t="s">
        <v>3778</v>
      </c>
      <c r="N933" t="s">
        <v>3779</v>
      </c>
      <c r="O933" t="s">
        <v>27</v>
      </c>
      <c r="P933" t="s">
        <v>48</v>
      </c>
      <c r="Q933" t="s">
        <v>49</v>
      </c>
      <c r="R933" t="s">
        <v>50</v>
      </c>
      <c r="S933" t="s">
        <v>28</v>
      </c>
      <c r="T933" t="s">
        <v>3780</v>
      </c>
      <c r="U933" t="s">
        <v>3779</v>
      </c>
    </row>
    <row r="934" spans="1:21" x14ac:dyDescent="0.25">
      <c r="A934" t="s">
        <v>456</v>
      </c>
      <c r="B934" t="s">
        <v>1178</v>
      </c>
      <c r="C934">
        <v>119.72</v>
      </c>
      <c r="D934">
        <v>1</v>
      </c>
      <c r="E934">
        <v>0</v>
      </c>
      <c r="F934" t="s">
        <v>3781</v>
      </c>
      <c r="G934">
        <v>124.72</v>
      </c>
      <c r="H934">
        <v>5</v>
      </c>
      <c r="I934" t="s">
        <v>628</v>
      </c>
      <c r="J934" t="s">
        <v>3782</v>
      </c>
      <c r="K934" t="s">
        <v>3783</v>
      </c>
      <c r="L934" t="s">
        <v>3784</v>
      </c>
      <c r="M934" t="s">
        <v>3785</v>
      </c>
      <c r="N934" t="s">
        <v>3786</v>
      </c>
      <c r="O934" t="s">
        <v>27</v>
      </c>
      <c r="P934" t="s">
        <v>48</v>
      </c>
      <c r="Q934" t="s">
        <v>49</v>
      </c>
      <c r="R934" t="s">
        <v>50</v>
      </c>
      <c r="S934" t="s">
        <v>28</v>
      </c>
      <c r="T934" t="s">
        <v>3787</v>
      </c>
      <c r="U934" t="s">
        <v>3786</v>
      </c>
    </row>
    <row r="935" spans="1:21" x14ac:dyDescent="0.25">
      <c r="A935" t="s">
        <v>3543</v>
      </c>
      <c r="B935" t="s">
        <v>3544</v>
      </c>
      <c r="C935">
        <v>337.32</v>
      </c>
      <c r="D935">
        <v>1</v>
      </c>
      <c r="E935">
        <v>0</v>
      </c>
      <c r="F935" t="s">
        <v>3788</v>
      </c>
      <c r="G935">
        <v>337.32</v>
      </c>
      <c r="H935">
        <v>0</v>
      </c>
      <c r="I935" t="s">
        <v>720</v>
      </c>
      <c r="J935" t="s">
        <v>3789</v>
      </c>
      <c r="K935" t="s">
        <v>3790</v>
      </c>
      <c r="L935" t="s">
        <v>3791</v>
      </c>
      <c r="M935" t="s">
        <v>3792</v>
      </c>
      <c r="N935" t="s">
        <v>3793</v>
      </c>
      <c r="O935" t="s">
        <v>27</v>
      </c>
      <c r="P935" t="s">
        <v>48</v>
      </c>
      <c r="Q935" t="s">
        <v>49</v>
      </c>
      <c r="R935" t="s">
        <v>50</v>
      </c>
      <c r="S935" t="s">
        <v>28</v>
      </c>
      <c r="T935" t="s">
        <v>27</v>
      </c>
      <c r="U935" t="s">
        <v>3793</v>
      </c>
    </row>
    <row r="936" spans="1:21" x14ac:dyDescent="0.25">
      <c r="A936" t="s">
        <v>2144</v>
      </c>
      <c r="B936" t="s">
        <v>2145</v>
      </c>
      <c r="C936">
        <v>122.91</v>
      </c>
      <c r="D936">
        <v>1</v>
      </c>
      <c r="E936">
        <v>0</v>
      </c>
      <c r="F936" t="s">
        <v>3794</v>
      </c>
      <c r="G936">
        <v>122.91</v>
      </c>
      <c r="H936">
        <v>0</v>
      </c>
      <c r="I936" t="s">
        <v>720</v>
      </c>
      <c r="J936" t="s">
        <v>3795</v>
      </c>
      <c r="K936" t="s">
        <v>3796</v>
      </c>
      <c r="L936" t="s">
        <v>3283</v>
      </c>
      <c r="M936" t="s">
        <v>3797</v>
      </c>
      <c r="N936" t="s">
        <v>3798</v>
      </c>
      <c r="O936" t="s">
        <v>27</v>
      </c>
      <c r="P936" t="s">
        <v>48</v>
      </c>
      <c r="Q936" t="s">
        <v>49</v>
      </c>
      <c r="R936" t="s">
        <v>50</v>
      </c>
      <c r="S936" t="s">
        <v>28</v>
      </c>
      <c r="T936" t="s">
        <v>3799</v>
      </c>
      <c r="U936" t="s">
        <v>3798</v>
      </c>
    </row>
    <row r="937" spans="1:21" x14ac:dyDescent="0.25">
      <c r="A937" t="s">
        <v>2820</v>
      </c>
      <c r="B937" t="s">
        <v>2821</v>
      </c>
      <c r="C937">
        <v>100</v>
      </c>
      <c r="D937">
        <v>4</v>
      </c>
      <c r="E937">
        <v>0</v>
      </c>
      <c r="F937" t="s">
        <v>3800</v>
      </c>
      <c r="G937">
        <v>400</v>
      </c>
      <c r="H937">
        <v>0</v>
      </c>
      <c r="I937" t="s">
        <v>140</v>
      </c>
      <c r="J937" t="s">
        <v>3801</v>
      </c>
      <c r="K937" t="s">
        <v>118</v>
      </c>
      <c r="L937" t="s">
        <v>27</v>
      </c>
      <c r="M937" t="s">
        <v>28</v>
      </c>
      <c r="N937" t="s">
        <v>3802</v>
      </c>
      <c r="O937" t="s">
        <v>27</v>
      </c>
      <c r="P937" t="s">
        <v>30</v>
      </c>
      <c r="Q937" t="s">
        <v>31</v>
      </c>
      <c r="R937" t="s">
        <v>32</v>
      </c>
      <c r="S937" t="s">
        <v>28</v>
      </c>
      <c r="T937" t="s">
        <v>3803</v>
      </c>
      <c r="U937" t="s">
        <v>3802</v>
      </c>
    </row>
    <row r="938" spans="1:21" x14ac:dyDescent="0.25">
      <c r="A938" t="s">
        <v>195</v>
      </c>
      <c r="B938" t="s">
        <v>1003</v>
      </c>
      <c r="C938">
        <v>112</v>
      </c>
      <c r="D938">
        <v>1</v>
      </c>
      <c r="E938">
        <v>0</v>
      </c>
      <c r="F938" t="s">
        <v>3804</v>
      </c>
      <c r="G938">
        <v>117</v>
      </c>
      <c r="H938">
        <v>5</v>
      </c>
      <c r="I938" t="s">
        <v>628</v>
      </c>
      <c r="J938" t="s">
        <v>3805</v>
      </c>
      <c r="K938" t="s">
        <v>3806</v>
      </c>
      <c r="L938" t="s">
        <v>81</v>
      </c>
      <c r="M938" t="s">
        <v>3807</v>
      </c>
      <c r="N938" t="s">
        <v>3808</v>
      </c>
      <c r="O938" t="s">
        <v>27</v>
      </c>
      <c r="P938" t="s">
        <v>48</v>
      </c>
      <c r="Q938" t="s">
        <v>49</v>
      </c>
      <c r="R938" t="s">
        <v>50</v>
      </c>
      <c r="S938" t="s">
        <v>28</v>
      </c>
      <c r="T938" t="s">
        <v>3809</v>
      </c>
      <c r="U938" t="s">
        <v>3810</v>
      </c>
    </row>
    <row r="939" spans="1:21" x14ac:dyDescent="0.25">
      <c r="A939" t="s">
        <v>134</v>
      </c>
      <c r="B939" t="s">
        <v>64</v>
      </c>
      <c r="C939">
        <v>100</v>
      </c>
      <c r="D939">
        <v>3</v>
      </c>
      <c r="E939">
        <v>0</v>
      </c>
      <c r="F939" t="s">
        <v>3811</v>
      </c>
      <c r="G939">
        <v>300</v>
      </c>
      <c r="H939">
        <v>0</v>
      </c>
      <c r="I939" t="s">
        <v>24</v>
      </c>
      <c r="J939" t="s">
        <v>3812</v>
      </c>
      <c r="K939" t="s">
        <v>89</v>
      </c>
      <c r="L939" t="s">
        <v>27</v>
      </c>
      <c r="M939" t="s">
        <v>28</v>
      </c>
      <c r="N939" t="s">
        <v>3813</v>
      </c>
      <c r="O939" t="s">
        <v>27</v>
      </c>
      <c r="P939" t="s">
        <v>56</v>
      </c>
      <c r="Q939" t="s">
        <v>31</v>
      </c>
      <c r="R939" t="s">
        <v>57</v>
      </c>
      <c r="S939" t="s">
        <v>28</v>
      </c>
      <c r="T939" t="s">
        <v>3814</v>
      </c>
      <c r="U939" t="s">
        <v>3813</v>
      </c>
    </row>
    <row r="940" spans="1:21" x14ac:dyDescent="0.25">
      <c r="A940" t="s">
        <v>635</v>
      </c>
      <c r="B940" t="s">
        <v>1129</v>
      </c>
      <c r="C940">
        <v>504.52</v>
      </c>
      <c r="D940">
        <v>1</v>
      </c>
      <c r="E940">
        <v>0</v>
      </c>
      <c r="F940" t="s">
        <v>3815</v>
      </c>
      <c r="G940">
        <v>527.52</v>
      </c>
      <c r="H940">
        <v>23</v>
      </c>
      <c r="I940" t="s">
        <v>105</v>
      </c>
      <c r="J940" t="s">
        <v>3816</v>
      </c>
      <c r="K940" t="s">
        <v>3817</v>
      </c>
      <c r="L940" t="s">
        <v>3818</v>
      </c>
      <c r="M940" t="s">
        <v>3819</v>
      </c>
      <c r="N940" t="s">
        <v>3820</v>
      </c>
      <c r="O940" t="s">
        <v>27</v>
      </c>
      <c r="P940" t="s">
        <v>48</v>
      </c>
      <c r="Q940" t="s">
        <v>49</v>
      </c>
      <c r="R940" t="s">
        <v>50</v>
      </c>
      <c r="S940" t="s">
        <v>28</v>
      </c>
      <c r="T940" t="s">
        <v>3821</v>
      </c>
      <c r="U940" t="s">
        <v>3820</v>
      </c>
    </row>
    <row r="941" spans="1:21" x14ac:dyDescent="0.25">
      <c r="A941" t="s">
        <v>475</v>
      </c>
      <c r="B941" t="s">
        <v>476</v>
      </c>
      <c r="C941">
        <v>199</v>
      </c>
      <c r="D941">
        <v>1</v>
      </c>
      <c r="E941">
        <v>0</v>
      </c>
      <c r="F941" t="s">
        <v>3822</v>
      </c>
      <c r="G941">
        <v>316</v>
      </c>
      <c r="H941">
        <v>48</v>
      </c>
      <c r="I941" t="s">
        <v>24</v>
      </c>
      <c r="J941" t="s">
        <v>3823</v>
      </c>
      <c r="K941" t="s">
        <v>3824</v>
      </c>
      <c r="L941" t="s">
        <v>3825</v>
      </c>
      <c r="M941" t="s">
        <v>2886</v>
      </c>
      <c r="N941" t="s">
        <v>3826</v>
      </c>
      <c r="O941" t="s">
        <v>27</v>
      </c>
      <c r="P941" t="s">
        <v>193</v>
      </c>
      <c r="Q941" t="s">
        <v>85</v>
      </c>
      <c r="R941" t="s">
        <v>86</v>
      </c>
      <c r="S941" t="s">
        <v>28</v>
      </c>
      <c r="T941" t="s">
        <v>3827</v>
      </c>
      <c r="U941" t="s">
        <v>3828</v>
      </c>
    </row>
    <row r="942" spans="1:21" x14ac:dyDescent="0.25">
      <c r="A942" t="s">
        <v>2295</v>
      </c>
      <c r="B942" t="s">
        <v>3286</v>
      </c>
      <c r="C942">
        <v>199</v>
      </c>
      <c r="D942">
        <v>1</v>
      </c>
      <c r="E942">
        <v>0</v>
      </c>
      <c r="F942" t="s">
        <v>3829</v>
      </c>
      <c r="G942">
        <v>199</v>
      </c>
      <c r="H942">
        <v>0</v>
      </c>
      <c r="I942" t="s">
        <v>24</v>
      </c>
      <c r="J942" t="s">
        <v>3830</v>
      </c>
      <c r="K942" t="s">
        <v>3831</v>
      </c>
      <c r="L942" t="s">
        <v>3832</v>
      </c>
      <c r="M942" t="s">
        <v>3833</v>
      </c>
      <c r="N942" t="s">
        <v>3834</v>
      </c>
      <c r="O942" t="s">
        <v>27</v>
      </c>
      <c r="P942" t="s">
        <v>84</v>
      </c>
      <c r="Q942" t="s">
        <v>85</v>
      </c>
      <c r="R942" t="s">
        <v>86</v>
      </c>
      <c r="S942" t="s">
        <v>28</v>
      </c>
      <c r="T942" t="s">
        <v>3835</v>
      </c>
      <c r="U942" t="s">
        <v>3836</v>
      </c>
    </row>
    <row r="943" spans="1:21" x14ac:dyDescent="0.25">
      <c r="A943" t="s">
        <v>21</v>
      </c>
      <c r="B943" t="s">
        <v>22</v>
      </c>
      <c r="C943">
        <v>100</v>
      </c>
      <c r="D943">
        <v>1</v>
      </c>
      <c r="E943">
        <v>0</v>
      </c>
      <c r="F943" t="s">
        <v>3837</v>
      </c>
      <c r="G943">
        <v>106</v>
      </c>
      <c r="H943">
        <v>6</v>
      </c>
      <c r="I943" t="s">
        <v>140</v>
      </c>
      <c r="J943" t="s">
        <v>3838</v>
      </c>
      <c r="K943" t="s">
        <v>418</v>
      </c>
      <c r="L943" t="s">
        <v>27</v>
      </c>
      <c r="M943" t="s">
        <v>28</v>
      </c>
      <c r="N943" t="s">
        <v>3839</v>
      </c>
      <c r="O943" t="s">
        <v>27</v>
      </c>
      <c r="P943" t="s">
        <v>30</v>
      </c>
      <c r="Q943" t="s">
        <v>31</v>
      </c>
      <c r="R943" t="s">
        <v>32</v>
      </c>
      <c r="S943" t="s">
        <v>28</v>
      </c>
      <c r="T943" t="s">
        <v>3840</v>
      </c>
      <c r="U943" t="s">
        <v>3839</v>
      </c>
    </row>
    <row r="944" spans="1:21" x14ac:dyDescent="0.25">
      <c r="A944" t="s">
        <v>195</v>
      </c>
      <c r="B944" t="s">
        <v>1003</v>
      </c>
      <c r="C944">
        <v>112.35</v>
      </c>
      <c r="D944">
        <v>1</v>
      </c>
      <c r="E944">
        <v>0</v>
      </c>
      <c r="F944" t="s">
        <v>3841</v>
      </c>
      <c r="G944">
        <v>117.35</v>
      </c>
      <c r="H944">
        <v>5</v>
      </c>
      <c r="I944" t="s">
        <v>628</v>
      </c>
      <c r="J944" t="s">
        <v>3842</v>
      </c>
      <c r="K944" t="s">
        <v>3843</v>
      </c>
      <c r="L944" t="s">
        <v>3844</v>
      </c>
      <c r="M944" t="s">
        <v>3845</v>
      </c>
      <c r="N944" t="s">
        <v>3846</v>
      </c>
      <c r="O944" t="s">
        <v>27</v>
      </c>
      <c r="P944" t="s">
        <v>48</v>
      </c>
      <c r="Q944" t="s">
        <v>49</v>
      </c>
      <c r="R944" t="s">
        <v>50</v>
      </c>
      <c r="S944" t="s">
        <v>28</v>
      </c>
      <c r="T944" t="s">
        <v>3847</v>
      </c>
      <c r="U944" t="s">
        <v>3846</v>
      </c>
    </row>
    <row r="945" spans="1:21" x14ac:dyDescent="0.25">
      <c r="A945" t="s">
        <v>21</v>
      </c>
      <c r="B945" t="s">
        <v>22</v>
      </c>
      <c r="C945">
        <v>100</v>
      </c>
      <c r="D945">
        <v>1</v>
      </c>
      <c r="E945">
        <v>0</v>
      </c>
      <c r="F945" t="s">
        <v>3848</v>
      </c>
      <c r="G945">
        <v>195</v>
      </c>
      <c r="H945">
        <v>0</v>
      </c>
      <c r="I945" t="s">
        <v>24</v>
      </c>
      <c r="J945" t="s">
        <v>3849</v>
      </c>
      <c r="K945" t="s">
        <v>1198</v>
      </c>
      <c r="L945" t="s">
        <v>27</v>
      </c>
      <c r="M945" t="s">
        <v>28</v>
      </c>
      <c r="N945" t="s">
        <v>3850</v>
      </c>
      <c r="O945" t="s">
        <v>27</v>
      </c>
      <c r="P945" t="s">
        <v>39</v>
      </c>
      <c r="Q945" t="s">
        <v>31</v>
      </c>
      <c r="R945" t="s">
        <v>32</v>
      </c>
      <c r="S945" t="s">
        <v>28</v>
      </c>
      <c r="T945" t="s">
        <v>3851</v>
      </c>
      <c r="U945" t="s">
        <v>3846</v>
      </c>
    </row>
    <row r="946" spans="1:21" x14ac:dyDescent="0.25">
      <c r="A946" t="s">
        <v>195</v>
      </c>
      <c r="B946" t="s">
        <v>1003</v>
      </c>
      <c r="C946">
        <v>102.35</v>
      </c>
      <c r="D946">
        <v>1</v>
      </c>
      <c r="E946">
        <v>0</v>
      </c>
      <c r="F946" t="s">
        <v>3852</v>
      </c>
      <c r="G946">
        <v>102.35</v>
      </c>
      <c r="H946">
        <v>0</v>
      </c>
      <c r="I946" t="s">
        <v>628</v>
      </c>
      <c r="J946" t="s">
        <v>3853</v>
      </c>
      <c r="K946" t="s">
        <v>3854</v>
      </c>
      <c r="L946" t="s">
        <v>1677</v>
      </c>
      <c r="M946" t="s">
        <v>3855</v>
      </c>
      <c r="N946" t="s">
        <v>3856</v>
      </c>
      <c r="O946" t="s">
        <v>27</v>
      </c>
      <c r="P946" t="s">
        <v>48</v>
      </c>
      <c r="Q946" t="s">
        <v>49</v>
      </c>
      <c r="R946" t="s">
        <v>50</v>
      </c>
      <c r="S946" t="s">
        <v>28</v>
      </c>
      <c r="T946" t="s">
        <v>3857</v>
      </c>
      <c r="U946" t="s">
        <v>3856</v>
      </c>
    </row>
    <row r="947" spans="1:21" x14ac:dyDescent="0.25">
      <c r="A947" t="s">
        <v>456</v>
      </c>
      <c r="B947" t="s">
        <v>1178</v>
      </c>
      <c r="C947">
        <v>112.35</v>
      </c>
      <c r="D947">
        <v>1</v>
      </c>
      <c r="E947">
        <v>0</v>
      </c>
      <c r="F947" t="s">
        <v>3858</v>
      </c>
      <c r="G947">
        <v>117.35</v>
      </c>
      <c r="H947">
        <v>5</v>
      </c>
      <c r="I947" t="s">
        <v>628</v>
      </c>
      <c r="J947" t="s">
        <v>3859</v>
      </c>
      <c r="K947" t="s">
        <v>3860</v>
      </c>
      <c r="L947" t="s">
        <v>3861</v>
      </c>
      <c r="M947" t="s">
        <v>3862</v>
      </c>
      <c r="N947" t="s">
        <v>3856</v>
      </c>
      <c r="O947" t="s">
        <v>27</v>
      </c>
      <c r="P947" t="s">
        <v>48</v>
      </c>
      <c r="Q947" t="s">
        <v>49</v>
      </c>
      <c r="R947" t="s">
        <v>50</v>
      </c>
      <c r="S947" t="s">
        <v>28</v>
      </c>
      <c r="T947" t="s">
        <v>3863</v>
      </c>
      <c r="U947" t="s">
        <v>3856</v>
      </c>
    </row>
    <row r="948" spans="1:21" x14ac:dyDescent="0.25">
      <c r="A948" t="s">
        <v>2820</v>
      </c>
      <c r="B948" t="s">
        <v>2821</v>
      </c>
      <c r="C948">
        <v>100</v>
      </c>
      <c r="D948">
        <v>2</v>
      </c>
      <c r="E948">
        <v>0</v>
      </c>
      <c r="F948" t="s">
        <v>3864</v>
      </c>
      <c r="G948">
        <v>200</v>
      </c>
      <c r="H948">
        <v>0</v>
      </c>
      <c r="I948" t="s">
        <v>140</v>
      </c>
      <c r="J948" t="s">
        <v>3865</v>
      </c>
      <c r="K948" t="s">
        <v>1602</v>
      </c>
      <c r="L948" t="s">
        <v>27</v>
      </c>
      <c r="M948" t="s">
        <v>28</v>
      </c>
      <c r="N948" t="s">
        <v>3866</v>
      </c>
      <c r="O948" t="s">
        <v>27</v>
      </c>
      <c r="P948" t="s">
        <v>30</v>
      </c>
      <c r="Q948" t="s">
        <v>31</v>
      </c>
      <c r="R948" t="s">
        <v>32</v>
      </c>
      <c r="S948" t="s">
        <v>28</v>
      </c>
      <c r="T948" t="s">
        <v>3867</v>
      </c>
      <c r="U948" t="s">
        <v>3866</v>
      </c>
    </row>
    <row r="949" spans="1:21" x14ac:dyDescent="0.25">
      <c r="A949" t="s">
        <v>63</v>
      </c>
      <c r="B949" t="s">
        <v>64</v>
      </c>
      <c r="C949">
        <v>100</v>
      </c>
      <c r="D949">
        <v>1</v>
      </c>
      <c r="E949">
        <v>0</v>
      </c>
      <c r="F949" t="s">
        <v>3868</v>
      </c>
      <c r="G949">
        <v>300</v>
      </c>
      <c r="H949">
        <v>0</v>
      </c>
      <c r="I949" t="s">
        <v>140</v>
      </c>
      <c r="J949" t="s">
        <v>3869</v>
      </c>
      <c r="K949" t="s">
        <v>451</v>
      </c>
      <c r="L949" t="s">
        <v>27</v>
      </c>
      <c r="M949" t="s">
        <v>28</v>
      </c>
      <c r="N949" t="s">
        <v>3870</v>
      </c>
      <c r="O949" t="s">
        <v>27</v>
      </c>
      <c r="P949" t="s">
        <v>30</v>
      </c>
      <c r="Q949" t="s">
        <v>31</v>
      </c>
      <c r="R949" t="s">
        <v>32</v>
      </c>
      <c r="S949" t="s">
        <v>28</v>
      </c>
      <c r="T949" t="s">
        <v>3871</v>
      </c>
      <c r="U949" t="s">
        <v>3870</v>
      </c>
    </row>
    <row r="950" spans="1:21" x14ac:dyDescent="0.25">
      <c r="A950" t="s">
        <v>134</v>
      </c>
      <c r="B950" t="s">
        <v>64</v>
      </c>
      <c r="C950">
        <v>100</v>
      </c>
      <c r="D950">
        <v>2</v>
      </c>
      <c r="E950">
        <v>0</v>
      </c>
      <c r="F950" t="s">
        <v>3868</v>
      </c>
      <c r="G950">
        <v>300</v>
      </c>
      <c r="H950">
        <v>0</v>
      </c>
      <c r="I950" t="s">
        <v>140</v>
      </c>
      <c r="J950" t="s">
        <v>3869</v>
      </c>
      <c r="K950" t="s">
        <v>451</v>
      </c>
      <c r="L950" t="s">
        <v>27</v>
      </c>
      <c r="M950" t="s">
        <v>28</v>
      </c>
      <c r="N950" t="s">
        <v>3870</v>
      </c>
      <c r="O950" t="s">
        <v>27</v>
      </c>
      <c r="P950" t="s">
        <v>30</v>
      </c>
      <c r="Q950" t="s">
        <v>31</v>
      </c>
      <c r="R950" t="s">
        <v>32</v>
      </c>
      <c r="S950" t="s">
        <v>28</v>
      </c>
      <c r="T950" t="s">
        <v>3871</v>
      </c>
      <c r="U950" t="s">
        <v>3870</v>
      </c>
    </row>
    <row r="951" spans="1:21" x14ac:dyDescent="0.25">
      <c r="A951" t="s">
        <v>2820</v>
      </c>
      <c r="B951" t="s">
        <v>2821</v>
      </c>
      <c r="C951">
        <v>100</v>
      </c>
      <c r="D951">
        <v>2</v>
      </c>
      <c r="E951">
        <v>0</v>
      </c>
      <c r="F951" t="s">
        <v>3872</v>
      </c>
      <c r="G951">
        <v>200</v>
      </c>
      <c r="H951">
        <v>0</v>
      </c>
      <c r="I951" t="s">
        <v>140</v>
      </c>
      <c r="J951" t="s">
        <v>3865</v>
      </c>
      <c r="K951" t="s">
        <v>1602</v>
      </c>
      <c r="L951" t="s">
        <v>27</v>
      </c>
      <c r="M951" t="s">
        <v>28</v>
      </c>
      <c r="N951" t="s">
        <v>3873</v>
      </c>
      <c r="O951" t="s">
        <v>27</v>
      </c>
      <c r="P951" t="s">
        <v>30</v>
      </c>
      <c r="Q951" t="s">
        <v>31</v>
      </c>
      <c r="R951" t="s">
        <v>32</v>
      </c>
      <c r="S951" t="s">
        <v>28</v>
      </c>
      <c r="T951" t="s">
        <v>3874</v>
      </c>
      <c r="U951" t="s">
        <v>3873</v>
      </c>
    </row>
    <row r="952" spans="1:21" x14ac:dyDescent="0.25">
      <c r="A952" t="s">
        <v>134</v>
      </c>
      <c r="B952" t="s">
        <v>64</v>
      </c>
      <c r="C952">
        <v>100</v>
      </c>
      <c r="D952">
        <v>1</v>
      </c>
      <c r="E952">
        <v>0</v>
      </c>
      <c r="F952" t="s">
        <v>3875</v>
      </c>
      <c r="G952">
        <v>106</v>
      </c>
      <c r="H952">
        <v>6</v>
      </c>
      <c r="I952" t="s">
        <v>445</v>
      </c>
      <c r="J952" t="s">
        <v>3876</v>
      </c>
      <c r="K952" t="s">
        <v>466</v>
      </c>
      <c r="L952" t="s">
        <v>27</v>
      </c>
      <c r="M952" t="s">
        <v>28</v>
      </c>
      <c r="N952" t="s">
        <v>3873</v>
      </c>
      <c r="O952" t="s">
        <v>27</v>
      </c>
      <c r="P952" t="s">
        <v>39</v>
      </c>
      <c r="Q952" t="s">
        <v>31</v>
      </c>
      <c r="R952" t="s">
        <v>32</v>
      </c>
      <c r="S952" t="s">
        <v>28</v>
      </c>
      <c r="T952" t="s">
        <v>3877</v>
      </c>
      <c r="U952" t="s">
        <v>3873</v>
      </c>
    </row>
    <row r="953" spans="1:21" x14ac:dyDescent="0.25">
      <c r="A953" t="s">
        <v>195</v>
      </c>
      <c r="B953" t="s">
        <v>1003</v>
      </c>
      <c r="C953">
        <v>112.35</v>
      </c>
      <c r="D953">
        <v>1</v>
      </c>
      <c r="E953">
        <v>0</v>
      </c>
      <c r="F953" t="s">
        <v>3878</v>
      </c>
      <c r="G953">
        <v>117.35</v>
      </c>
      <c r="H953">
        <v>5</v>
      </c>
      <c r="I953" t="s">
        <v>628</v>
      </c>
      <c r="J953" t="s">
        <v>3859</v>
      </c>
      <c r="K953" t="s">
        <v>3860</v>
      </c>
      <c r="L953" t="s">
        <v>3861</v>
      </c>
      <c r="M953" t="s">
        <v>3862</v>
      </c>
      <c r="N953" t="s">
        <v>3873</v>
      </c>
      <c r="O953" t="s">
        <v>27</v>
      </c>
      <c r="P953" t="s">
        <v>48</v>
      </c>
      <c r="Q953" t="s">
        <v>49</v>
      </c>
      <c r="R953" t="s">
        <v>50</v>
      </c>
      <c r="S953" t="s">
        <v>28</v>
      </c>
      <c r="T953" t="s">
        <v>3879</v>
      </c>
      <c r="U953" t="s">
        <v>3880</v>
      </c>
    </row>
    <row r="954" spans="1:21" x14ac:dyDescent="0.25">
      <c r="A954" t="s">
        <v>143</v>
      </c>
      <c r="B954" t="s">
        <v>144</v>
      </c>
      <c r="C954">
        <v>200</v>
      </c>
      <c r="D954">
        <v>1</v>
      </c>
      <c r="E954">
        <v>0</v>
      </c>
      <c r="F954" t="s">
        <v>3881</v>
      </c>
      <c r="G954">
        <v>300</v>
      </c>
      <c r="H954">
        <v>0</v>
      </c>
      <c r="I954" t="s">
        <v>140</v>
      </c>
      <c r="J954" t="s">
        <v>3882</v>
      </c>
      <c r="K954" t="s">
        <v>241</v>
      </c>
      <c r="L954" t="s">
        <v>27</v>
      </c>
      <c r="M954" t="s">
        <v>28</v>
      </c>
      <c r="N954" t="s">
        <v>3883</v>
      </c>
      <c r="O954" t="s">
        <v>27</v>
      </c>
      <c r="P954" t="s">
        <v>30</v>
      </c>
      <c r="Q954" t="s">
        <v>31</v>
      </c>
      <c r="R954" t="s">
        <v>32</v>
      </c>
      <c r="S954" t="s">
        <v>28</v>
      </c>
      <c r="T954" t="s">
        <v>3884</v>
      </c>
      <c r="U954" t="s">
        <v>3885</v>
      </c>
    </row>
    <row r="955" spans="1:21" x14ac:dyDescent="0.25">
      <c r="A955" t="s">
        <v>58</v>
      </c>
      <c r="B955" t="s">
        <v>58</v>
      </c>
      <c r="C955">
        <v>100</v>
      </c>
      <c r="D955">
        <v>1</v>
      </c>
      <c r="E955">
        <v>0</v>
      </c>
      <c r="F955" t="s">
        <v>3881</v>
      </c>
      <c r="G955">
        <v>300</v>
      </c>
      <c r="H955">
        <v>0</v>
      </c>
      <c r="I955" t="s">
        <v>140</v>
      </c>
      <c r="J955" t="s">
        <v>3882</v>
      </c>
      <c r="K955" t="s">
        <v>241</v>
      </c>
      <c r="L955" t="s">
        <v>27</v>
      </c>
      <c r="M955" t="s">
        <v>28</v>
      </c>
      <c r="N955" t="s">
        <v>3883</v>
      </c>
      <c r="O955" t="s">
        <v>27</v>
      </c>
      <c r="P955" t="s">
        <v>30</v>
      </c>
      <c r="Q955" t="s">
        <v>31</v>
      </c>
      <c r="R955" t="s">
        <v>32</v>
      </c>
      <c r="S955" t="s">
        <v>28</v>
      </c>
      <c r="T955" t="s">
        <v>3884</v>
      </c>
      <c r="U955" t="s">
        <v>3885</v>
      </c>
    </row>
    <row r="956" spans="1:21" x14ac:dyDescent="0.25">
      <c r="A956" t="s">
        <v>33</v>
      </c>
      <c r="B956" t="s">
        <v>34</v>
      </c>
      <c r="C956">
        <v>200</v>
      </c>
      <c r="D956">
        <v>1</v>
      </c>
      <c r="E956">
        <v>0</v>
      </c>
      <c r="F956" t="s">
        <v>3886</v>
      </c>
      <c r="G956">
        <v>200</v>
      </c>
      <c r="H956">
        <v>0</v>
      </c>
      <c r="I956" t="s">
        <v>445</v>
      </c>
      <c r="J956" t="s">
        <v>3887</v>
      </c>
      <c r="K956" t="s">
        <v>250</v>
      </c>
      <c r="L956" t="s">
        <v>27</v>
      </c>
      <c r="M956" t="s">
        <v>28</v>
      </c>
      <c r="N956" t="s">
        <v>3888</v>
      </c>
      <c r="O956" t="s">
        <v>27</v>
      </c>
      <c r="P956" t="s">
        <v>39</v>
      </c>
      <c r="Q956" t="s">
        <v>31</v>
      </c>
      <c r="R956" t="s">
        <v>32</v>
      </c>
      <c r="S956" t="s">
        <v>28</v>
      </c>
      <c r="T956" t="s">
        <v>3889</v>
      </c>
      <c r="U956" t="s">
        <v>3888</v>
      </c>
    </row>
    <row r="957" spans="1:21" x14ac:dyDescent="0.25">
      <c r="A957" t="s">
        <v>2873</v>
      </c>
      <c r="B957" t="s">
        <v>3106</v>
      </c>
      <c r="C957">
        <v>232.24</v>
      </c>
      <c r="D957">
        <v>1</v>
      </c>
      <c r="E957">
        <v>0</v>
      </c>
      <c r="F957" t="s">
        <v>3890</v>
      </c>
      <c r="G957">
        <v>232.24</v>
      </c>
      <c r="H957">
        <v>0</v>
      </c>
      <c r="I957" t="s">
        <v>720</v>
      </c>
      <c r="J957" t="s">
        <v>3891</v>
      </c>
      <c r="K957" t="s">
        <v>3892</v>
      </c>
      <c r="L957" t="s">
        <v>3893</v>
      </c>
      <c r="M957" t="s">
        <v>3894</v>
      </c>
      <c r="N957" t="s">
        <v>3895</v>
      </c>
      <c r="O957" t="s">
        <v>27</v>
      </c>
      <c r="P957" t="s">
        <v>48</v>
      </c>
      <c r="Q957" t="s">
        <v>49</v>
      </c>
      <c r="R957" t="s">
        <v>50</v>
      </c>
      <c r="S957" t="s">
        <v>28</v>
      </c>
      <c r="T957" t="s">
        <v>27</v>
      </c>
      <c r="U957" t="s">
        <v>3895</v>
      </c>
    </row>
    <row r="958" spans="1:21" x14ac:dyDescent="0.25">
      <c r="A958" t="s">
        <v>134</v>
      </c>
      <c r="B958" t="s">
        <v>64</v>
      </c>
      <c r="C958">
        <v>100</v>
      </c>
      <c r="D958">
        <v>1</v>
      </c>
      <c r="E958">
        <v>0</v>
      </c>
      <c r="F958" t="s">
        <v>3896</v>
      </c>
      <c r="G958">
        <v>100</v>
      </c>
      <c r="H958">
        <v>0</v>
      </c>
      <c r="I958" t="s">
        <v>140</v>
      </c>
      <c r="J958" t="s">
        <v>3897</v>
      </c>
      <c r="K958" t="s">
        <v>26</v>
      </c>
      <c r="L958" t="s">
        <v>27</v>
      </c>
      <c r="M958" t="s">
        <v>28</v>
      </c>
      <c r="N958" t="s">
        <v>3898</v>
      </c>
      <c r="O958" t="s">
        <v>27</v>
      </c>
      <c r="P958" t="s">
        <v>30</v>
      </c>
      <c r="Q958" t="s">
        <v>31</v>
      </c>
      <c r="R958" t="s">
        <v>32</v>
      </c>
      <c r="S958" t="s">
        <v>28</v>
      </c>
      <c r="T958" t="s">
        <v>3899</v>
      </c>
      <c r="U958" t="s">
        <v>3898</v>
      </c>
    </row>
    <row r="959" spans="1:21" x14ac:dyDescent="0.25">
      <c r="A959" t="s">
        <v>3543</v>
      </c>
      <c r="B959" t="s">
        <v>3544</v>
      </c>
      <c r="C959">
        <v>278.5</v>
      </c>
      <c r="D959">
        <v>1</v>
      </c>
      <c r="E959">
        <v>0</v>
      </c>
      <c r="F959" t="s">
        <v>3900</v>
      </c>
      <c r="G959">
        <v>1392.48</v>
      </c>
      <c r="H959">
        <v>0</v>
      </c>
      <c r="I959" t="s">
        <v>720</v>
      </c>
      <c r="J959" t="s">
        <v>3901</v>
      </c>
      <c r="K959" t="s">
        <v>3902</v>
      </c>
      <c r="L959" t="s">
        <v>3903</v>
      </c>
      <c r="M959" t="s">
        <v>3904</v>
      </c>
      <c r="N959" t="s">
        <v>3905</v>
      </c>
      <c r="O959" t="s">
        <v>27</v>
      </c>
      <c r="P959" t="s">
        <v>48</v>
      </c>
      <c r="Q959" t="s">
        <v>49</v>
      </c>
      <c r="R959" t="s">
        <v>50</v>
      </c>
      <c r="S959" t="s">
        <v>28</v>
      </c>
      <c r="T959" t="s">
        <v>3906</v>
      </c>
      <c r="U959" t="s">
        <v>3905</v>
      </c>
    </row>
    <row r="960" spans="1:21" x14ac:dyDescent="0.25">
      <c r="A960" t="s">
        <v>3543</v>
      </c>
      <c r="B960" t="s">
        <v>3544</v>
      </c>
      <c r="C960">
        <v>278.5</v>
      </c>
      <c r="D960">
        <v>1</v>
      </c>
      <c r="E960">
        <v>0</v>
      </c>
      <c r="F960" t="s">
        <v>3900</v>
      </c>
      <c r="G960">
        <v>1392.48</v>
      </c>
      <c r="H960">
        <v>0</v>
      </c>
      <c r="I960" t="s">
        <v>720</v>
      </c>
      <c r="J960" t="s">
        <v>3901</v>
      </c>
      <c r="K960" t="s">
        <v>3902</v>
      </c>
      <c r="L960" t="s">
        <v>3903</v>
      </c>
      <c r="M960" t="s">
        <v>3904</v>
      </c>
      <c r="N960" t="s">
        <v>3905</v>
      </c>
      <c r="O960" t="s">
        <v>27</v>
      </c>
      <c r="P960" t="s">
        <v>48</v>
      </c>
      <c r="Q960" t="s">
        <v>49</v>
      </c>
      <c r="R960" t="s">
        <v>50</v>
      </c>
      <c r="S960" t="s">
        <v>28</v>
      </c>
      <c r="T960" t="s">
        <v>3906</v>
      </c>
      <c r="U960" t="s">
        <v>3905</v>
      </c>
    </row>
    <row r="961" spans="1:21" x14ac:dyDescent="0.25">
      <c r="A961" t="s">
        <v>3543</v>
      </c>
      <c r="B961" t="s">
        <v>3544</v>
      </c>
      <c r="C961">
        <v>278.49</v>
      </c>
      <c r="D961">
        <v>1</v>
      </c>
      <c r="E961">
        <v>0</v>
      </c>
      <c r="F961" t="s">
        <v>3900</v>
      </c>
      <c r="G961">
        <v>1392.48</v>
      </c>
      <c r="H961">
        <v>0</v>
      </c>
      <c r="I961" t="s">
        <v>720</v>
      </c>
      <c r="J961" t="s">
        <v>3901</v>
      </c>
      <c r="K961" t="s">
        <v>3902</v>
      </c>
      <c r="L961" t="s">
        <v>3903</v>
      </c>
      <c r="M961" t="s">
        <v>3904</v>
      </c>
      <c r="N961" t="s">
        <v>3905</v>
      </c>
      <c r="O961" t="s">
        <v>27</v>
      </c>
      <c r="P961" t="s">
        <v>48</v>
      </c>
      <c r="Q961" t="s">
        <v>49</v>
      </c>
      <c r="R961" t="s">
        <v>50</v>
      </c>
      <c r="S961" t="s">
        <v>28</v>
      </c>
      <c r="T961" t="s">
        <v>3906</v>
      </c>
      <c r="U961" t="s">
        <v>3905</v>
      </c>
    </row>
    <row r="962" spans="1:21" x14ac:dyDescent="0.25">
      <c r="A962" t="s">
        <v>3543</v>
      </c>
      <c r="B962" t="s">
        <v>3544</v>
      </c>
      <c r="C962">
        <v>278.5</v>
      </c>
      <c r="D962">
        <v>1</v>
      </c>
      <c r="E962">
        <v>0</v>
      </c>
      <c r="F962" t="s">
        <v>3900</v>
      </c>
      <c r="G962">
        <v>1392.48</v>
      </c>
      <c r="H962">
        <v>0</v>
      </c>
      <c r="I962" t="s">
        <v>720</v>
      </c>
      <c r="J962" t="s">
        <v>3901</v>
      </c>
      <c r="K962" t="s">
        <v>3902</v>
      </c>
      <c r="L962" t="s">
        <v>3903</v>
      </c>
      <c r="M962" t="s">
        <v>3904</v>
      </c>
      <c r="N962" t="s">
        <v>3905</v>
      </c>
      <c r="O962" t="s">
        <v>27</v>
      </c>
      <c r="P962" t="s">
        <v>48</v>
      </c>
      <c r="Q962" t="s">
        <v>49</v>
      </c>
      <c r="R962" t="s">
        <v>50</v>
      </c>
      <c r="S962" t="s">
        <v>28</v>
      </c>
      <c r="T962" t="s">
        <v>3906</v>
      </c>
      <c r="U962" t="s">
        <v>3905</v>
      </c>
    </row>
    <row r="963" spans="1:21" x14ac:dyDescent="0.25">
      <c r="A963" t="s">
        <v>3543</v>
      </c>
      <c r="B963" t="s">
        <v>3544</v>
      </c>
      <c r="C963">
        <v>278.49</v>
      </c>
      <c r="D963">
        <v>1</v>
      </c>
      <c r="E963">
        <v>0</v>
      </c>
      <c r="F963" t="s">
        <v>3900</v>
      </c>
      <c r="G963">
        <v>1392.48</v>
      </c>
      <c r="H963">
        <v>0</v>
      </c>
      <c r="I963" t="s">
        <v>720</v>
      </c>
      <c r="J963" t="s">
        <v>3901</v>
      </c>
      <c r="K963" t="s">
        <v>3902</v>
      </c>
      <c r="L963" t="s">
        <v>3903</v>
      </c>
      <c r="M963" t="s">
        <v>3904</v>
      </c>
      <c r="N963" t="s">
        <v>3905</v>
      </c>
      <c r="O963" t="s">
        <v>27</v>
      </c>
      <c r="P963" t="s">
        <v>48</v>
      </c>
      <c r="Q963" t="s">
        <v>49</v>
      </c>
      <c r="R963" t="s">
        <v>50</v>
      </c>
      <c r="S963" t="s">
        <v>28</v>
      </c>
      <c r="T963" t="s">
        <v>3906</v>
      </c>
      <c r="U963" t="s">
        <v>3905</v>
      </c>
    </row>
    <row r="964" spans="1:21" x14ac:dyDescent="0.25">
      <c r="A964" t="s">
        <v>2873</v>
      </c>
      <c r="B964" t="s">
        <v>2874</v>
      </c>
      <c r="C964">
        <v>280</v>
      </c>
      <c r="D964">
        <v>1</v>
      </c>
      <c r="E964">
        <v>0</v>
      </c>
      <c r="F964" t="s">
        <v>3907</v>
      </c>
      <c r="G964">
        <v>321</v>
      </c>
      <c r="H964">
        <v>41</v>
      </c>
      <c r="I964" t="s">
        <v>24</v>
      </c>
      <c r="J964" t="s">
        <v>2876</v>
      </c>
      <c r="K964" t="s">
        <v>2877</v>
      </c>
      <c r="L964" t="s">
        <v>2878</v>
      </c>
      <c r="M964" t="s">
        <v>2879</v>
      </c>
      <c r="N964" t="s">
        <v>3908</v>
      </c>
      <c r="O964" t="s">
        <v>27</v>
      </c>
      <c r="P964" t="s">
        <v>84</v>
      </c>
      <c r="Q964" t="s">
        <v>85</v>
      </c>
      <c r="R964" t="s">
        <v>86</v>
      </c>
      <c r="S964" t="s">
        <v>28</v>
      </c>
      <c r="T964" t="s">
        <v>3909</v>
      </c>
      <c r="U964" t="s">
        <v>3910</v>
      </c>
    </row>
    <row r="965" spans="1:21" x14ac:dyDescent="0.25">
      <c r="A965" t="s">
        <v>3543</v>
      </c>
      <c r="B965" t="s">
        <v>3683</v>
      </c>
      <c r="C965">
        <v>399</v>
      </c>
      <c r="D965">
        <v>1</v>
      </c>
      <c r="E965">
        <v>0</v>
      </c>
      <c r="F965" t="s">
        <v>3911</v>
      </c>
      <c r="G965">
        <v>399</v>
      </c>
      <c r="H965">
        <v>0</v>
      </c>
      <c r="I965" t="s">
        <v>24</v>
      </c>
      <c r="J965" t="s">
        <v>2876</v>
      </c>
      <c r="K965" t="s">
        <v>2877</v>
      </c>
      <c r="L965" t="s">
        <v>2878</v>
      </c>
      <c r="M965" t="s">
        <v>2879</v>
      </c>
      <c r="N965" t="s">
        <v>3912</v>
      </c>
      <c r="O965" t="s">
        <v>27</v>
      </c>
      <c r="P965" t="s">
        <v>84</v>
      </c>
      <c r="Q965" t="s">
        <v>85</v>
      </c>
      <c r="R965" t="s">
        <v>86</v>
      </c>
      <c r="S965" t="s">
        <v>28</v>
      </c>
      <c r="T965" t="s">
        <v>3913</v>
      </c>
      <c r="U965" t="s">
        <v>3914</v>
      </c>
    </row>
    <row r="966" spans="1:21" x14ac:dyDescent="0.25">
      <c r="A966" t="s">
        <v>2144</v>
      </c>
      <c r="B966" t="s">
        <v>2145</v>
      </c>
      <c r="C966">
        <v>97.03</v>
      </c>
      <c r="D966">
        <v>1</v>
      </c>
      <c r="E966">
        <v>0</v>
      </c>
      <c r="F966" t="s">
        <v>3915</v>
      </c>
      <c r="G966">
        <v>102.03</v>
      </c>
      <c r="H966">
        <v>5</v>
      </c>
      <c r="I966" t="s">
        <v>720</v>
      </c>
      <c r="J966" t="s">
        <v>3916</v>
      </c>
      <c r="K966" t="s">
        <v>3917</v>
      </c>
      <c r="L966" t="s">
        <v>3447</v>
      </c>
      <c r="M966" t="s">
        <v>3918</v>
      </c>
      <c r="N966" t="s">
        <v>3919</v>
      </c>
      <c r="O966" t="s">
        <v>27</v>
      </c>
      <c r="P966" t="s">
        <v>48</v>
      </c>
      <c r="Q966" t="s">
        <v>49</v>
      </c>
      <c r="R966" t="s">
        <v>50</v>
      </c>
      <c r="S966" t="s">
        <v>28</v>
      </c>
      <c r="T966" t="s">
        <v>3920</v>
      </c>
      <c r="U966" t="s">
        <v>3919</v>
      </c>
    </row>
    <row r="967" spans="1:21" x14ac:dyDescent="0.25">
      <c r="A967" t="s">
        <v>21</v>
      </c>
      <c r="B967" t="s">
        <v>22</v>
      </c>
      <c r="C967">
        <v>100</v>
      </c>
      <c r="D967">
        <v>2</v>
      </c>
      <c r="E967">
        <v>0</v>
      </c>
      <c r="F967" t="s">
        <v>3921</v>
      </c>
      <c r="G967">
        <v>200</v>
      </c>
      <c r="H967">
        <v>0</v>
      </c>
      <c r="I967" t="s">
        <v>140</v>
      </c>
      <c r="J967" t="s">
        <v>3922</v>
      </c>
      <c r="K967" t="s">
        <v>61</v>
      </c>
      <c r="L967" t="s">
        <v>27</v>
      </c>
      <c r="M967" t="s">
        <v>28</v>
      </c>
      <c r="N967" t="s">
        <v>3919</v>
      </c>
      <c r="O967" t="s">
        <v>27</v>
      </c>
      <c r="P967" t="s">
        <v>369</v>
      </c>
      <c r="Q967" t="s">
        <v>31</v>
      </c>
      <c r="R967" t="s">
        <v>57</v>
      </c>
      <c r="S967" t="s">
        <v>28</v>
      </c>
      <c r="T967" t="s">
        <v>3923</v>
      </c>
      <c r="U967" t="s">
        <v>3919</v>
      </c>
    </row>
    <row r="968" spans="1:21" x14ac:dyDescent="0.25">
      <c r="A968" t="s">
        <v>3543</v>
      </c>
      <c r="B968" t="s">
        <v>3544</v>
      </c>
      <c r="C968">
        <v>226.28</v>
      </c>
      <c r="D968">
        <v>1</v>
      </c>
      <c r="E968">
        <v>0</v>
      </c>
      <c r="F968" t="s">
        <v>3924</v>
      </c>
      <c r="G968">
        <v>226.28</v>
      </c>
      <c r="H968">
        <v>0</v>
      </c>
      <c r="I968" t="s">
        <v>720</v>
      </c>
      <c r="J968" t="s">
        <v>3925</v>
      </c>
      <c r="K968" t="s">
        <v>3926</v>
      </c>
      <c r="L968" t="s">
        <v>3755</v>
      </c>
      <c r="M968" t="s">
        <v>3927</v>
      </c>
      <c r="N968" t="s">
        <v>3919</v>
      </c>
      <c r="O968" t="s">
        <v>27</v>
      </c>
      <c r="P968" t="s">
        <v>48</v>
      </c>
      <c r="Q968" t="s">
        <v>49</v>
      </c>
      <c r="R968" t="s">
        <v>50</v>
      </c>
      <c r="S968" t="s">
        <v>28</v>
      </c>
      <c r="T968" t="s">
        <v>3928</v>
      </c>
      <c r="U968" t="s">
        <v>3919</v>
      </c>
    </row>
    <row r="969" spans="1:21" x14ac:dyDescent="0.25">
      <c r="A969" t="s">
        <v>2820</v>
      </c>
      <c r="B969" t="s">
        <v>2821</v>
      </c>
      <c r="C969">
        <v>100</v>
      </c>
      <c r="D969">
        <v>2</v>
      </c>
      <c r="E969">
        <v>0</v>
      </c>
      <c r="F969" t="s">
        <v>3929</v>
      </c>
      <c r="G969">
        <v>200</v>
      </c>
      <c r="H969">
        <v>0</v>
      </c>
      <c r="I969" t="s">
        <v>140</v>
      </c>
      <c r="J969" t="s">
        <v>3930</v>
      </c>
      <c r="K969" t="s">
        <v>250</v>
      </c>
      <c r="L969" t="s">
        <v>27</v>
      </c>
      <c r="M969" t="s">
        <v>28</v>
      </c>
      <c r="N969" t="s">
        <v>3931</v>
      </c>
      <c r="O969" t="s">
        <v>27</v>
      </c>
      <c r="P969" t="s">
        <v>30</v>
      </c>
      <c r="Q969" t="s">
        <v>31</v>
      </c>
      <c r="R969" t="s">
        <v>32</v>
      </c>
      <c r="S969" t="s">
        <v>28</v>
      </c>
      <c r="T969" t="s">
        <v>3932</v>
      </c>
      <c r="U969" t="s">
        <v>3933</v>
      </c>
    </row>
    <row r="970" spans="1:21" x14ac:dyDescent="0.25">
      <c r="A970" t="s">
        <v>63</v>
      </c>
      <c r="B970" t="s">
        <v>64</v>
      </c>
      <c r="C970">
        <v>100</v>
      </c>
      <c r="D970">
        <v>1</v>
      </c>
      <c r="E970">
        <v>0</v>
      </c>
      <c r="F970" t="s">
        <v>3934</v>
      </c>
      <c r="G970">
        <v>106</v>
      </c>
      <c r="H970">
        <v>6</v>
      </c>
      <c r="I970" t="s">
        <v>445</v>
      </c>
      <c r="J970" t="s">
        <v>3935</v>
      </c>
      <c r="K970" t="s">
        <v>137</v>
      </c>
      <c r="L970" t="s">
        <v>27</v>
      </c>
      <c r="M970" t="s">
        <v>28</v>
      </c>
      <c r="N970" t="s">
        <v>3936</v>
      </c>
      <c r="O970" t="s">
        <v>27</v>
      </c>
      <c r="P970" t="s">
        <v>39</v>
      </c>
      <c r="Q970" t="s">
        <v>31</v>
      </c>
      <c r="R970" t="s">
        <v>32</v>
      </c>
      <c r="S970" t="s">
        <v>28</v>
      </c>
      <c r="T970" t="s">
        <v>3937</v>
      </c>
      <c r="U970" t="s">
        <v>3936</v>
      </c>
    </row>
    <row r="971" spans="1:21" x14ac:dyDescent="0.25">
      <c r="A971" t="s">
        <v>2820</v>
      </c>
      <c r="B971" t="s">
        <v>2821</v>
      </c>
      <c r="C971">
        <v>100</v>
      </c>
      <c r="D971">
        <v>4</v>
      </c>
      <c r="E971">
        <v>0</v>
      </c>
      <c r="F971" t="s">
        <v>3938</v>
      </c>
      <c r="G971">
        <v>400</v>
      </c>
      <c r="H971">
        <v>0</v>
      </c>
      <c r="I971" t="s">
        <v>140</v>
      </c>
      <c r="J971" t="s">
        <v>3939</v>
      </c>
      <c r="K971" t="s">
        <v>350</v>
      </c>
      <c r="L971" t="s">
        <v>27</v>
      </c>
      <c r="M971" t="s">
        <v>28</v>
      </c>
      <c r="N971" t="s">
        <v>3940</v>
      </c>
      <c r="O971" t="s">
        <v>27</v>
      </c>
      <c r="P971" t="s">
        <v>30</v>
      </c>
      <c r="Q971" t="s">
        <v>31</v>
      </c>
      <c r="R971" t="s">
        <v>32</v>
      </c>
      <c r="S971" t="s">
        <v>28</v>
      </c>
      <c r="T971" t="s">
        <v>3941</v>
      </c>
      <c r="U971" t="s">
        <v>3940</v>
      </c>
    </row>
    <row r="972" spans="1:21" x14ac:dyDescent="0.25">
      <c r="A972" t="s">
        <v>195</v>
      </c>
      <c r="B972" t="s">
        <v>1003</v>
      </c>
      <c r="C972">
        <v>112.35</v>
      </c>
      <c r="D972">
        <v>1</v>
      </c>
      <c r="E972">
        <v>0</v>
      </c>
      <c r="F972" t="s">
        <v>3942</v>
      </c>
      <c r="G972">
        <v>117.35</v>
      </c>
      <c r="H972">
        <v>5</v>
      </c>
      <c r="I972" t="s">
        <v>628</v>
      </c>
      <c r="J972" t="s">
        <v>3943</v>
      </c>
      <c r="K972" t="s">
        <v>3944</v>
      </c>
      <c r="L972" t="s">
        <v>3945</v>
      </c>
      <c r="M972" t="s">
        <v>3946</v>
      </c>
      <c r="N972" t="s">
        <v>3940</v>
      </c>
      <c r="O972" t="s">
        <v>27</v>
      </c>
      <c r="P972" t="s">
        <v>48</v>
      </c>
      <c r="Q972" t="s">
        <v>49</v>
      </c>
      <c r="R972" t="s">
        <v>50</v>
      </c>
      <c r="S972" t="s">
        <v>28</v>
      </c>
      <c r="T972" t="s">
        <v>3947</v>
      </c>
      <c r="U972" t="s">
        <v>3948</v>
      </c>
    </row>
    <row r="973" spans="1:21" x14ac:dyDescent="0.25">
      <c r="A973" t="s">
        <v>21</v>
      </c>
      <c r="B973" t="s">
        <v>22</v>
      </c>
      <c r="C973">
        <v>100</v>
      </c>
      <c r="D973">
        <v>3</v>
      </c>
      <c r="E973">
        <v>0</v>
      </c>
      <c r="F973" t="s">
        <v>3949</v>
      </c>
      <c r="G973">
        <v>300</v>
      </c>
      <c r="H973">
        <v>0</v>
      </c>
      <c r="I973" t="s">
        <v>445</v>
      </c>
      <c r="J973" t="s">
        <v>3950</v>
      </c>
      <c r="K973" t="s">
        <v>474</v>
      </c>
      <c r="L973" t="s">
        <v>27</v>
      </c>
      <c r="M973" t="s">
        <v>28</v>
      </c>
      <c r="N973" t="s">
        <v>3951</v>
      </c>
      <c r="O973" t="s">
        <v>27</v>
      </c>
      <c r="P973" t="s">
        <v>39</v>
      </c>
      <c r="Q973" t="s">
        <v>31</v>
      </c>
      <c r="R973" t="s">
        <v>32</v>
      </c>
      <c r="S973" t="s">
        <v>3952</v>
      </c>
      <c r="T973" t="s">
        <v>3953</v>
      </c>
      <c r="U973" t="s">
        <v>3951</v>
      </c>
    </row>
    <row r="974" spans="1:21" x14ac:dyDescent="0.25">
      <c r="A974" t="s">
        <v>21</v>
      </c>
      <c r="B974" t="s">
        <v>22</v>
      </c>
      <c r="C974">
        <v>100</v>
      </c>
      <c r="D974">
        <v>1</v>
      </c>
      <c r="E974">
        <v>0</v>
      </c>
      <c r="F974" t="s">
        <v>3954</v>
      </c>
      <c r="G974">
        <v>156</v>
      </c>
      <c r="H974">
        <v>56</v>
      </c>
      <c r="I974" t="s">
        <v>24</v>
      </c>
      <c r="J974" t="s">
        <v>3955</v>
      </c>
      <c r="K974" t="s">
        <v>73</v>
      </c>
      <c r="L974" t="s">
        <v>27</v>
      </c>
      <c r="M974" t="s">
        <v>28</v>
      </c>
      <c r="N974" t="s">
        <v>3956</v>
      </c>
      <c r="O974" t="s">
        <v>27</v>
      </c>
      <c r="P974" t="s">
        <v>39</v>
      </c>
      <c r="Q974" t="s">
        <v>31</v>
      </c>
      <c r="R974" t="s">
        <v>32</v>
      </c>
      <c r="S974" t="s">
        <v>28</v>
      </c>
      <c r="T974" t="s">
        <v>3957</v>
      </c>
      <c r="U974" t="s">
        <v>3956</v>
      </c>
    </row>
    <row r="975" spans="1:21" x14ac:dyDescent="0.25">
      <c r="A975" t="s">
        <v>195</v>
      </c>
      <c r="B975" t="s">
        <v>1003</v>
      </c>
      <c r="C975">
        <v>112.35</v>
      </c>
      <c r="D975">
        <v>1</v>
      </c>
      <c r="E975">
        <v>0</v>
      </c>
      <c r="F975" t="s">
        <v>3958</v>
      </c>
      <c r="G975">
        <v>117.35</v>
      </c>
      <c r="H975">
        <v>5</v>
      </c>
      <c r="I975" t="s">
        <v>628</v>
      </c>
      <c r="J975" t="s">
        <v>3959</v>
      </c>
      <c r="K975" t="s">
        <v>3960</v>
      </c>
      <c r="L975" t="s">
        <v>3704</v>
      </c>
      <c r="M975" t="s">
        <v>3961</v>
      </c>
      <c r="N975" t="s">
        <v>3962</v>
      </c>
      <c r="O975" t="s">
        <v>27</v>
      </c>
      <c r="P975" t="s">
        <v>48</v>
      </c>
      <c r="Q975" t="s">
        <v>49</v>
      </c>
      <c r="R975" t="s">
        <v>50</v>
      </c>
      <c r="S975" t="s">
        <v>28</v>
      </c>
      <c r="T975" t="s">
        <v>3963</v>
      </c>
      <c r="U975" t="s">
        <v>3964</v>
      </c>
    </row>
    <row r="976" spans="1:21" x14ac:dyDescent="0.25">
      <c r="A976" t="s">
        <v>3739</v>
      </c>
      <c r="B976" t="s">
        <v>2854</v>
      </c>
      <c r="C976">
        <v>320.41000000000003</v>
      </c>
      <c r="D976">
        <v>1</v>
      </c>
      <c r="E976">
        <v>0</v>
      </c>
      <c r="F976" t="s">
        <v>3965</v>
      </c>
      <c r="G976">
        <v>320.41000000000003</v>
      </c>
      <c r="H976">
        <v>0</v>
      </c>
      <c r="I976" t="s">
        <v>2856</v>
      </c>
      <c r="J976" t="s">
        <v>2147</v>
      </c>
      <c r="K976" t="s">
        <v>2148</v>
      </c>
      <c r="L976" t="s">
        <v>2149</v>
      </c>
      <c r="M976" t="s">
        <v>2150</v>
      </c>
      <c r="N976" t="s">
        <v>3966</v>
      </c>
      <c r="O976" t="s">
        <v>27</v>
      </c>
      <c r="P976" t="s">
        <v>48</v>
      </c>
      <c r="Q976" t="s">
        <v>49</v>
      </c>
      <c r="R976" t="s">
        <v>50</v>
      </c>
      <c r="S976" t="s">
        <v>28</v>
      </c>
      <c r="T976" t="s">
        <v>3967</v>
      </c>
      <c r="U976" t="s">
        <v>3966</v>
      </c>
    </row>
    <row r="977" spans="1:21" x14ac:dyDescent="0.25">
      <c r="A977" t="s">
        <v>2990</v>
      </c>
      <c r="B977" t="s">
        <v>2991</v>
      </c>
      <c r="C977">
        <v>200</v>
      </c>
      <c r="D977">
        <v>2</v>
      </c>
      <c r="E977">
        <v>0</v>
      </c>
      <c r="F977" t="s">
        <v>3968</v>
      </c>
      <c r="G977">
        <v>400</v>
      </c>
      <c r="H977">
        <v>0</v>
      </c>
      <c r="I977" t="s">
        <v>445</v>
      </c>
      <c r="J977" t="s">
        <v>3969</v>
      </c>
      <c r="K977" t="s">
        <v>37</v>
      </c>
      <c r="L977" t="s">
        <v>27</v>
      </c>
      <c r="M977" t="s">
        <v>28</v>
      </c>
      <c r="N977" t="s">
        <v>3966</v>
      </c>
      <c r="O977" t="s">
        <v>27</v>
      </c>
      <c r="P977" t="s">
        <v>39</v>
      </c>
      <c r="Q977" t="s">
        <v>31</v>
      </c>
      <c r="R977" t="s">
        <v>32</v>
      </c>
      <c r="S977" t="s">
        <v>28</v>
      </c>
      <c r="T977" t="s">
        <v>3970</v>
      </c>
      <c r="U977" t="s">
        <v>3966</v>
      </c>
    </row>
    <row r="978" spans="1:21" x14ac:dyDescent="0.25">
      <c r="A978" t="s">
        <v>456</v>
      </c>
      <c r="B978" t="s">
        <v>1178</v>
      </c>
      <c r="C978">
        <v>112.35</v>
      </c>
      <c r="D978">
        <v>1</v>
      </c>
      <c r="E978">
        <v>0</v>
      </c>
      <c r="F978" t="s">
        <v>3971</v>
      </c>
      <c r="G978">
        <v>117.35</v>
      </c>
      <c r="H978">
        <v>5</v>
      </c>
      <c r="I978" t="s">
        <v>628</v>
      </c>
      <c r="J978" t="s">
        <v>3972</v>
      </c>
      <c r="K978" t="s">
        <v>3973</v>
      </c>
      <c r="L978" t="s">
        <v>3974</v>
      </c>
      <c r="M978" t="s">
        <v>3975</v>
      </c>
      <c r="N978" t="s">
        <v>3976</v>
      </c>
      <c r="O978" t="s">
        <v>27</v>
      </c>
      <c r="P978" t="s">
        <v>48</v>
      </c>
      <c r="Q978" t="s">
        <v>49</v>
      </c>
      <c r="R978" t="s">
        <v>50</v>
      </c>
      <c r="S978" t="s">
        <v>28</v>
      </c>
      <c r="T978" t="s">
        <v>3977</v>
      </c>
      <c r="U978" t="s">
        <v>3976</v>
      </c>
    </row>
    <row r="979" spans="1:21" x14ac:dyDescent="0.25">
      <c r="A979" t="s">
        <v>475</v>
      </c>
      <c r="B979" t="s">
        <v>476</v>
      </c>
      <c r="C979">
        <v>199</v>
      </c>
      <c r="D979">
        <v>2</v>
      </c>
      <c r="E979">
        <v>0</v>
      </c>
      <c r="F979" t="s">
        <v>3978</v>
      </c>
      <c r="G979">
        <v>446</v>
      </c>
      <c r="H979">
        <v>48</v>
      </c>
      <c r="I979" t="s">
        <v>24</v>
      </c>
      <c r="J979" t="s">
        <v>3979</v>
      </c>
      <c r="K979" t="s">
        <v>3980</v>
      </c>
      <c r="L979" t="s">
        <v>3981</v>
      </c>
      <c r="M979" t="s">
        <v>2503</v>
      </c>
      <c r="N979" t="s">
        <v>3982</v>
      </c>
      <c r="O979" t="s">
        <v>27</v>
      </c>
      <c r="P979" t="s">
        <v>193</v>
      </c>
      <c r="Q979" t="s">
        <v>85</v>
      </c>
      <c r="R979" t="s">
        <v>86</v>
      </c>
      <c r="S979" t="s">
        <v>28</v>
      </c>
      <c r="T979" t="s">
        <v>3983</v>
      </c>
      <c r="U979" t="s">
        <v>3984</v>
      </c>
    </row>
    <row r="980" spans="1:21" x14ac:dyDescent="0.25">
      <c r="A980" t="s">
        <v>195</v>
      </c>
      <c r="B980" t="s">
        <v>1003</v>
      </c>
      <c r="C980">
        <v>104.15</v>
      </c>
      <c r="D980">
        <v>1</v>
      </c>
      <c r="E980">
        <v>0</v>
      </c>
      <c r="F980" t="s">
        <v>3985</v>
      </c>
      <c r="G980">
        <v>104.15</v>
      </c>
      <c r="H980">
        <v>0</v>
      </c>
      <c r="I980" t="s">
        <v>628</v>
      </c>
      <c r="J980" t="s">
        <v>3986</v>
      </c>
      <c r="K980" t="s">
        <v>3987</v>
      </c>
      <c r="L980" t="s">
        <v>3988</v>
      </c>
      <c r="M980" t="s">
        <v>3989</v>
      </c>
      <c r="N980" t="s">
        <v>3990</v>
      </c>
      <c r="O980" t="s">
        <v>27</v>
      </c>
      <c r="P980" t="s">
        <v>48</v>
      </c>
      <c r="Q980" t="s">
        <v>49</v>
      </c>
      <c r="R980" t="s">
        <v>50</v>
      </c>
      <c r="S980" t="s">
        <v>28</v>
      </c>
      <c r="T980" t="s">
        <v>3991</v>
      </c>
      <c r="U980" t="s">
        <v>3990</v>
      </c>
    </row>
    <row r="981" spans="1:21" x14ac:dyDescent="0.25">
      <c r="A981" t="s">
        <v>195</v>
      </c>
      <c r="B981" t="s">
        <v>1003</v>
      </c>
      <c r="C981">
        <v>112.35</v>
      </c>
      <c r="D981">
        <v>1</v>
      </c>
      <c r="E981">
        <v>0</v>
      </c>
      <c r="F981" t="s">
        <v>3992</v>
      </c>
      <c r="G981">
        <v>117.35</v>
      </c>
      <c r="H981">
        <v>5</v>
      </c>
      <c r="I981" t="s">
        <v>628</v>
      </c>
      <c r="J981" t="s">
        <v>3993</v>
      </c>
      <c r="K981" t="s">
        <v>3994</v>
      </c>
      <c r="L981" t="s">
        <v>3659</v>
      </c>
      <c r="M981" t="s">
        <v>3995</v>
      </c>
      <c r="N981" t="s">
        <v>3990</v>
      </c>
      <c r="O981" t="s">
        <v>27</v>
      </c>
      <c r="P981" t="s">
        <v>48</v>
      </c>
      <c r="Q981" t="s">
        <v>49</v>
      </c>
      <c r="R981" t="s">
        <v>50</v>
      </c>
      <c r="S981" t="s">
        <v>28</v>
      </c>
      <c r="T981" t="s">
        <v>3996</v>
      </c>
      <c r="U981" t="s">
        <v>3990</v>
      </c>
    </row>
    <row r="982" spans="1:21" x14ac:dyDescent="0.25">
      <c r="A982" t="s">
        <v>33</v>
      </c>
      <c r="B982" t="s">
        <v>34</v>
      </c>
      <c r="C982">
        <v>200</v>
      </c>
      <c r="D982">
        <v>1</v>
      </c>
      <c r="E982">
        <v>0</v>
      </c>
      <c r="F982" t="s">
        <v>3997</v>
      </c>
      <c r="G982">
        <v>200</v>
      </c>
      <c r="H982">
        <v>0</v>
      </c>
      <c r="I982" t="s">
        <v>445</v>
      </c>
      <c r="J982" t="s">
        <v>3998</v>
      </c>
      <c r="K982" t="s">
        <v>311</v>
      </c>
      <c r="L982" t="s">
        <v>27</v>
      </c>
      <c r="M982" t="s">
        <v>28</v>
      </c>
      <c r="N982" t="s">
        <v>3999</v>
      </c>
      <c r="O982" t="s">
        <v>27</v>
      </c>
      <c r="P982" t="s">
        <v>39</v>
      </c>
      <c r="Q982" t="s">
        <v>31</v>
      </c>
      <c r="R982" t="s">
        <v>32</v>
      </c>
      <c r="S982" t="s">
        <v>28</v>
      </c>
      <c r="T982" t="s">
        <v>4000</v>
      </c>
      <c r="U982" t="s">
        <v>3999</v>
      </c>
    </row>
    <row r="983" spans="1:21" x14ac:dyDescent="0.25">
      <c r="A983" t="s">
        <v>475</v>
      </c>
      <c r="B983" t="s">
        <v>476</v>
      </c>
      <c r="C983">
        <v>199</v>
      </c>
      <c r="D983">
        <v>1</v>
      </c>
      <c r="E983">
        <v>0</v>
      </c>
      <c r="F983" t="s">
        <v>4001</v>
      </c>
      <c r="G983">
        <v>228</v>
      </c>
      <c r="H983">
        <v>29</v>
      </c>
      <c r="I983" t="s">
        <v>24</v>
      </c>
      <c r="J983" t="s">
        <v>2876</v>
      </c>
      <c r="K983" t="s">
        <v>4002</v>
      </c>
      <c r="L983" t="s">
        <v>4003</v>
      </c>
      <c r="M983" t="s">
        <v>191</v>
      </c>
      <c r="N983" t="s">
        <v>4004</v>
      </c>
      <c r="O983" t="s">
        <v>27</v>
      </c>
      <c r="P983" t="s">
        <v>193</v>
      </c>
      <c r="Q983" t="s">
        <v>85</v>
      </c>
      <c r="R983" t="s">
        <v>86</v>
      </c>
      <c r="S983" t="s">
        <v>28</v>
      </c>
      <c r="T983" t="s">
        <v>4005</v>
      </c>
      <c r="U983" t="s">
        <v>4004</v>
      </c>
    </row>
    <row r="984" spans="1:21" x14ac:dyDescent="0.25">
      <c r="A984" t="s">
        <v>21</v>
      </c>
      <c r="B984" t="s">
        <v>22</v>
      </c>
      <c r="C984">
        <v>100</v>
      </c>
      <c r="D984">
        <v>1</v>
      </c>
      <c r="E984">
        <v>0</v>
      </c>
      <c r="F984" t="s">
        <v>4006</v>
      </c>
      <c r="G984">
        <v>106</v>
      </c>
      <c r="H984">
        <v>6</v>
      </c>
      <c r="I984" t="s">
        <v>445</v>
      </c>
      <c r="J984" t="s">
        <v>4007</v>
      </c>
      <c r="K984" t="s">
        <v>250</v>
      </c>
      <c r="L984" t="s">
        <v>27</v>
      </c>
      <c r="M984" t="s">
        <v>28</v>
      </c>
      <c r="N984" t="s">
        <v>4008</v>
      </c>
      <c r="O984" t="s">
        <v>27</v>
      </c>
      <c r="P984" t="s">
        <v>39</v>
      </c>
      <c r="Q984" t="s">
        <v>31</v>
      </c>
      <c r="R984" t="s">
        <v>32</v>
      </c>
      <c r="S984" t="s">
        <v>28</v>
      </c>
      <c r="T984" t="s">
        <v>4009</v>
      </c>
      <c r="U984" t="s">
        <v>4008</v>
      </c>
    </row>
    <row r="985" spans="1:21" x14ac:dyDescent="0.25">
      <c r="A985" t="s">
        <v>456</v>
      </c>
      <c r="B985" t="s">
        <v>1178</v>
      </c>
      <c r="C985">
        <v>149.80000000000001</v>
      </c>
      <c r="D985">
        <v>1</v>
      </c>
      <c r="E985">
        <v>0</v>
      </c>
      <c r="F985" t="s">
        <v>4010</v>
      </c>
      <c r="G985">
        <v>154.80000000000001</v>
      </c>
      <c r="H985">
        <v>5</v>
      </c>
      <c r="I985" t="s">
        <v>628</v>
      </c>
      <c r="J985" t="s">
        <v>4011</v>
      </c>
      <c r="K985" t="s">
        <v>4012</v>
      </c>
      <c r="L985" t="s">
        <v>4013</v>
      </c>
      <c r="M985" t="s">
        <v>4014</v>
      </c>
      <c r="N985" t="s">
        <v>4015</v>
      </c>
      <c r="O985" t="s">
        <v>27</v>
      </c>
      <c r="P985" t="s">
        <v>48</v>
      </c>
      <c r="Q985" t="s">
        <v>49</v>
      </c>
      <c r="R985" t="s">
        <v>50</v>
      </c>
      <c r="S985" t="s">
        <v>28</v>
      </c>
      <c r="T985" t="s">
        <v>4016</v>
      </c>
      <c r="U985" t="s">
        <v>4015</v>
      </c>
    </row>
    <row r="986" spans="1:21" x14ac:dyDescent="0.25">
      <c r="A986" t="s">
        <v>134</v>
      </c>
      <c r="B986" t="s">
        <v>64</v>
      </c>
      <c r="C986">
        <v>100</v>
      </c>
      <c r="D986">
        <v>1</v>
      </c>
      <c r="E986">
        <v>0</v>
      </c>
      <c r="F986" t="s">
        <v>4017</v>
      </c>
      <c r="G986">
        <v>106</v>
      </c>
      <c r="H986">
        <v>6</v>
      </c>
      <c r="I986" t="s">
        <v>24</v>
      </c>
      <c r="J986" t="s">
        <v>4018</v>
      </c>
      <c r="K986" t="s">
        <v>151</v>
      </c>
      <c r="L986" t="s">
        <v>27</v>
      </c>
      <c r="M986" t="s">
        <v>28</v>
      </c>
      <c r="N986" t="s">
        <v>4019</v>
      </c>
      <c r="O986" t="s">
        <v>27</v>
      </c>
      <c r="P986" t="s">
        <v>39</v>
      </c>
      <c r="Q986" t="s">
        <v>31</v>
      </c>
      <c r="R986" t="s">
        <v>32</v>
      </c>
      <c r="S986" t="s">
        <v>28</v>
      </c>
      <c r="T986" t="s">
        <v>4020</v>
      </c>
      <c r="U986" t="s">
        <v>4019</v>
      </c>
    </row>
    <row r="987" spans="1:21" x14ac:dyDescent="0.25">
      <c r="A987" t="s">
        <v>635</v>
      </c>
      <c r="B987" t="s">
        <v>714</v>
      </c>
      <c r="C987">
        <v>420.96</v>
      </c>
      <c r="D987">
        <v>1</v>
      </c>
      <c r="E987">
        <v>0</v>
      </c>
      <c r="F987" t="s">
        <v>4021</v>
      </c>
      <c r="G987">
        <v>444.96</v>
      </c>
      <c r="H987">
        <v>24</v>
      </c>
      <c r="I987" t="s">
        <v>628</v>
      </c>
      <c r="J987" t="s">
        <v>4022</v>
      </c>
      <c r="K987" t="s">
        <v>4023</v>
      </c>
      <c r="L987" t="s">
        <v>406</v>
      </c>
      <c r="M987" t="s">
        <v>4024</v>
      </c>
      <c r="N987" t="s">
        <v>3698</v>
      </c>
      <c r="O987" t="s">
        <v>27</v>
      </c>
      <c r="P987" t="s">
        <v>48</v>
      </c>
      <c r="Q987" t="s">
        <v>49</v>
      </c>
      <c r="R987" t="s">
        <v>50</v>
      </c>
      <c r="S987" t="s">
        <v>28</v>
      </c>
      <c r="T987" t="s">
        <v>4025</v>
      </c>
      <c r="U987" t="s">
        <v>4026</v>
      </c>
    </row>
    <row r="988" spans="1:21" x14ac:dyDescent="0.25">
      <c r="A988" t="s">
        <v>58</v>
      </c>
      <c r="B988" t="s">
        <v>58</v>
      </c>
      <c r="C988">
        <v>100</v>
      </c>
      <c r="D988">
        <v>1</v>
      </c>
      <c r="E988">
        <v>0</v>
      </c>
      <c r="F988" t="s">
        <v>4027</v>
      </c>
      <c r="G988">
        <v>145</v>
      </c>
      <c r="H988">
        <v>45</v>
      </c>
      <c r="I988" t="s">
        <v>140</v>
      </c>
      <c r="J988" t="s">
        <v>4028</v>
      </c>
      <c r="K988" t="s">
        <v>438</v>
      </c>
      <c r="L988" t="s">
        <v>27</v>
      </c>
      <c r="M988" t="s">
        <v>28</v>
      </c>
      <c r="N988" t="s">
        <v>4029</v>
      </c>
      <c r="O988" t="s">
        <v>27</v>
      </c>
      <c r="P988" t="s">
        <v>30</v>
      </c>
      <c r="Q988" t="s">
        <v>31</v>
      </c>
      <c r="R988" t="s">
        <v>32</v>
      </c>
      <c r="S988" t="s">
        <v>28</v>
      </c>
      <c r="T988" t="s">
        <v>4030</v>
      </c>
      <c r="U988" t="s">
        <v>4026</v>
      </c>
    </row>
    <row r="989" spans="1:21" x14ac:dyDescent="0.25">
      <c r="A989" t="s">
        <v>635</v>
      </c>
      <c r="B989" t="s">
        <v>714</v>
      </c>
      <c r="C989">
        <v>420.96</v>
      </c>
      <c r="D989">
        <v>1</v>
      </c>
      <c r="E989">
        <v>0</v>
      </c>
      <c r="F989" t="s">
        <v>4031</v>
      </c>
      <c r="G989">
        <v>444.96</v>
      </c>
      <c r="H989">
        <v>24</v>
      </c>
      <c r="I989" t="s">
        <v>628</v>
      </c>
      <c r="J989" t="s">
        <v>2387</v>
      </c>
      <c r="K989" t="s">
        <v>2388</v>
      </c>
      <c r="L989" t="s">
        <v>504</v>
      </c>
      <c r="M989" t="s">
        <v>2389</v>
      </c>
      <c r="N989" t="s">
        <v>3700</v>
      </c>
      <c r="O989" t="s">
        <v>27</v>
      </c>
      <c r="P989" t="s">
        <v>48</v>
      </c>
      <c r="Q989" t="s">
        <v>49</v>
      </c>
      <c r="R989" t="s">
        <v>50</v>
      </c>
      <c r="S989" t="s">
        <v>28</v>
      </c>
      <c r="T989" t="s">
        <v>4032</v>
      </c>
      <c r="U989" t="s">
        <v>4033</v>
      </c>
    </row>
    <row r="990" spans="1:21" x14ac:dyDescent="0.25">
      <c r="A990" t="s">
        <v>143</v>
      </c>
      <c r="B990" t="s">
        <v>144</v>
      </c>
      <c r="C990">
        <v>200</v>
      </c>
      <c r="D990">
        <v>2</v>
      </c>
      <c r="E990">
        <v>0</v>
      </c>
      <c r="F990" t="s">
        <v>4034</v>
      </c>
      <c r="G990">
        <v>400</v>
      </c>
      <c r="H990">
        <v>0</v>
      </c>
      <c r="I990" t="s">
        <v>140</v>
      </c>
      <c r="J990" t="s">
        <v>4035</v>
      </c>
      <c r="K990" t="s">
        <v>388</v>
      </c>
      <c r="L990" t="s">
        <v>27</v>
      </c>
      <c r="M990" t="s">
        <v>28</v>
      </c>
      <c r="N990" t="s">
        <v>4036</v>
      </c>
      <c r="O990" t="s">
        <v>27</v>
      </c>
      <c r="P990" t="s">
        <v>30</v>
      </c>
      <c r="Q990" t="s">
        <v>31</v>
      </c>
      <c r="R990" t="s">
        <v>32</v>
      </c>
      <c r="S990" t="s">
        <v>28</v>
      </c>
      <c r="T990" t="s">
        <v>4037</v>
      </c>
      <c r="U990" t="s">
        <v>4036</v>
      </c>
    </row>
    <row r="991" spans="1:21" x14ac:dyDescent="0.25">
      <c r="A991" t="s">
        <v>456</v>
      </c>
      <c r="B991" t="s">
        <v>1178</v>
      </c>
      <c r="C991">
        <v>94.38</v>
      </c>
      <c r="D991">
        <v>1</v>
      </c>
      <c r="E991">
        <v>0</v>
      </c>
      <c r="F991" t="s">
        <v>4038</v>
      </c>
      <c r="G991">
        <v>382.5</v>
      </c>
      <c r="H991">
        <v>5</v>
      </c>
      <c r="I991" t="s">
        <v>628</v>
      </c>
      <c r="J991" t="s">
        <v>4039</v>
      </c>
      <c r="K991" t="s">
        <v>4040</v>
      </c>
      <c r="L991" t="s">
        <v>4041</v>
      </c>
      <c r="M991" t="s">
        <v>4042</v>
      </c>
      <c r="N991" t="s">
        <v>4043</v>
      </c>
      <c r="O991" t="s">
        <v>27</v>
      </c>
      <c r="P991" t="s">
        <v>48</v>
      </c>
      <c r="Q991" t="s">
        <v>49</v>
      </c>
      <c r="R991" t="s">
        <v>50</v>
      </c>
      <c r="S991" t="s">
        <v>28</v>
      </c>
      <c r="T991" t="s">
        <v>4044</v>
      </c>
      <c r="U991" t="s">
        <v>4043</v>
      </c>
    </row>
    <row r="992" spans="1:21" x14ac:dyDescent="0.25">
      <c r="A992" t="s">
        <v>456</v>
      </c>
      <c r="B992" t="s">
        <v>1178</v>
      </c>
      <c r="C992">
        <v>94.37</v>
      </c>
      <c r="D992">
        <v>1</v>
      </c>
      <c r="E992">
        <v>0</v>
      </c>
      <c r="F992" t="s">
        <v>4038</v>
      </c>
      <c r="G992">
        <v>382.5</v>
      </c>
      <c r="H992">
        <v>5</v>
      </c>
      <c r="I992" t="s">
        <v>628</v>
      </c>
      <c r="J992" t="s">
        <v>4039</v>
      </c>
      <c r="K992" t="s">
        <v>4040</v>
      </c>
      <c r="L992" t="s">
        <v>4041</v>
      </c>
      <c r="M992" t="s">
        <v>4042</v>
      </c>
      <c r="N992" t="s">
        <v>4043</v>
      </c>
      <c r="O992" t="s">
        <v>27</v>
      </c>
      <c r="P992" t="s">
        <v>48</v>
      </c>
      <c r="Q992" t="s">
        <v>49</v>
      </c>
      <c r="R992" t="s">
        <v>50</v>
      </c>
      <c r="S992" t="s">
        <v>28</v>
      </c>
      <c r="T992" t="s">
        <v>4044</v>
      </c>
      <c r="U992" t="s">
        <v>4043</v>
      </c>
    </row>
    <row r="993" spans="1:21" x14ac:dyDescent="0.25">
      <c r="A993" t="s">
        <v>456</v>
      </c>
      <c r="B993" t="s">
        <v>1178</v>
      </c>
      <c r="C993">
        <v>94.38</v>
      </c>
      <c r="D993">
        <v>1</v>
      </c>
      <c r="E993">
        <v>0</v>
      </c>
      <c r="F993" t="s">
        <v>4038</v>
      </c>
      <c r="G993">
        <v>382.5</v>
      </c>
      <c r="H993">
        <v>5</v>
      </c>
      <c r="I993" t="s">
        <v>628</v>
      </c>
      <c r="J993" t="s">
        <v>4039</v>
      </c>
      <c r="K993" t="s">
        <v>4040</v>
      </c>
      <c r="L993" t="s">
        <v>4041</v>
      </c>
      <c r="M993" t="s">
        <v>4042</v>
      </c>
      <c r="N993" t="s">
        <v>4043</v>
      </c>
      <c r="O993" t="s">
        <v>27</v>
      </c>
      <c r="P993" t="s">
        <v>48</v>
      </c>
      <c r="Q993" t="s">
        <v>49</v>
      </c>
      <c r="R993" t="s">
        <v>50</v>
      </c>
      <c r="S993" t="s">
        <v>28</v>
      </c>
      <c r="T993" t="s">
        <v>4044</v>
      </c>
      <c r="U993" t="s">
        <v>4043</v>
      </c>
    </row>
    <row r="994" spans="1:21" x14ac:dyDescent="0.25">
      <c r="A994" t="s">
        <v>456</v>
      </c>
      <c r="B994" t="s">
        <v>1178</v>
      </c>
      <c r="C994">
        <v>94.37</v>
      </c>
      <c r="D994">
        <v>1</v>
      </c>
      <c r="E994">
        <v>0</v>
      </c>
      <c r="F994" t="s">
        <v>4038</v>
      </c>
      <c r="G994">
        <v>382.5</v>
      </c>
      <c r="H994">
        <v>5</v>
      </c>
      <c r="I994" t="s">
        <v>628</v>
      </c>
      <c r="J994" t="s">
        <v>4039</v>
      </c>
      <c r="K994" t="s">
        <v>4040</v>
      </c>
      <c r="L994" t="s">
        <v>4041</v>
      </c>
      <c r="M994" t="s">
        <v>4042</v>
      </c>
      <c r="N994" t="s">
        <v>4043</v>
      </c>
      <c r="O994" t="s">
        <v>27</v>
      </c>
      <c r="P994" t="s">
        <v>48</v>
      </c>
      <c r="Q994" t="s">
        <v>49</v>
      </c>
      <c r="R994" t="s">
        <v>50</v>
      </c>
      <c r="S994" t="s">
        <v>28</v>
      </c>
      <c r="T994" t="s">
        <v>4044</v>
      </c>
      <c r="U994" t="s">
        <v>4043</v>
      </c>
    </row>
    <row r="995" spans="1:21" x14ac:dyDescent="0.25">
      <c r="A995" t="s">
        <v>63</v>
      </c>
      <c r="B995" t="s">
        <v>64</v>
      </c>
      <c r="C995">
        <v>100</v>
      </c>
      <c r="D995">
        <v>1</v>
      </c>
      <c r="E995">
        <v>0</v>
      </c>
      <c r="F995" t="s">
        <v>4045</v>
      </c>
      <c r="G995">
        <v>145</v>
      </c>
      <c r="H995">
        <v>45</v>
      </c>
      <c r="I995" t="s">
        <v>24</v>
      </c>
      <c r="J995" t="s">
        <v>4046</v>
      </c>
      <c r="K995" t="s">
        <v>711</v>
      </c>
      <c r="L995" t="s">
        <v>27</v>
      </c>
      <c r="M995" t="s">
        <v>28</v>
      </c>
      <c r="N995" t="s">
        <v>4047</v>
      </c>
      <c r="O995" t="s">
        <v>27</v>
      </c>
      <c r="P995" t="s">
        <v>39</v>
      </c>
      <c r="Q995" t="s">
        <v>31</v>
      </c>
      <c r="R995" t="s">
        <v>32</v>
      </c>
      <c r="S995" t="s">
        <v>28</v>
      </c>
      <c r="T995" t="s">
        <v>4048</v>
      </c>
      <c r="U995" t="s">
        <v>4047</v>
      </c>
    </row>
    <row r="996" spans="1:21" x14ac:dyDescent="0.25">
      <c r="A996" t="s">
        <v>456</v>
      </c>
      <c r="B996" t="s">
        <v>1178</v>
      </c>
      <c r="C996">
        <v>94.38</v>
      </c>
      <c r="D996">
        <v>1</v>
      </c>
      <c r="E996">
        <v>0</v>
      </c>
      <c r="F996" t="s">
        <v>4049</v>
      </c>
      <c r="G996">
        <v>566.24</v>
      </c>
      <c r="H996">
        <v>0</v>
      </c>
      <c r="I996" t="s">
        <v>628</v>
      </c>
      <c r="J996" t="s">
        <v>4039</v>
      </c>
      <c r="K996" t="s">
        <v>4040</v>
      </c>
      <c r="L996" t="s">
        <v>4041</v>
      </c>
      <c r="M996" t="s">
        <v>4042</v>
      </c>
      <c r="N996" t="s">
        <v>4050</v>
      </c>
      <c r="O996" t="s">
        <v>27</v>
      </c>
      <c r="P996" t="s">
        <v>48</v>
      </c>
      <c r="Q996" t="s">
        <v>49</v>
      </c>
      <c r="R996" t="s">
        <v>50</v>
      </c>
      <c r="S996" t="s">
        <v>28</v>
      </c>
      <c r="T996" t="s">
        <v>4051</v>
      </c>
      <c r="U996" t="s">
        <v>4050</v>
      </c>
    </row>
    <row r="997" spans="1:21" x14ac:dyDescent="0.25">
      <c r="A997" t="s">
        <v>456</v>
      </c>
      <c r="B997" t="s">
        <v>1178</v>
      </c>
      <c r="C997">
        <v>94.37</v>
      </c>
      <c r="D997">
        <v>1</v>
      </c>
      <c r="E997">
        <v>0</v>
      </c>
      <c r="F997" t="s">
        <v>4049</v>
      </c>
      <c r="G997">
        <v>566.24</v>
      </c>
      <c r="H997">
        <v>0</v>
      </c>
      <c r="I997" t="s">
        <v>628</v>
      </c>
      <c r="J997" t="s">
        <v>4039</v>
      </c>
      <c r="K997" t="s">
        <v>4040</v>
      </c>
      <c r="L997" t="s">
        <v>4041</v>
      </c>
      <c r="M997" t="s">
        <v>4042</v>
      </c>
      <c r="N997" t="s">
        <v>4050</v>
      </c>
      <c r="O997" t="s">
        <v>27</v>
      </c>
      <c r="P997" t="s">
        <v>48</v>
      </c>
      <c r="Q997" t="s">
        <v>49</v>
      </c>
      <c r="R997" t="s">
        <v>50</v>
      </c>
      <c r="S997" t="s">
        <v>28</v>
      </c>
      <c r="T997" t="s">
        <v>4051</v>
      </c>
      <c r="U997" t="s">
        <v>4050</v>
      </c>
    </row>
    <row r="998" spans="1:21" x14ac:dyDescent="0.25">
      <c r="A998" t="s">
        <v>456</v>
      </c>
      <c r="B998" t="s">
        <v>1178</v>
      </c>
      <c r="C998">
        <v>94.38</v>
      </c>
      <c r="D998">
        <v>1</v>
      </c>
      <c r="E998">
        <v>0</v>
      </c>
      <c r="F998" t="s">
        <v>4049</v>
      </c>
      <c r="G998">
        <v>566.24</v>
      </c>
      <c r="H998">
        <v>0</v>
      </c>
      <c r="I998" t="s">
        <v>628</v>
      </c>
      <c r="J998" t="s">
        <v>4039</v>
      </c>
      <c r="K998" t="s">
        <v>4040</v>
      </c>
      <c r="L998" t="s">
        <v>4041</v>
      </c>
      <c r="M998" t="s">
        <v>4042</v>
      </c>
      <c r="N998" t="s">
        <v>4050</v>
      </c>
      <c r="O998" t="s">
        <v>27</v>
      </c>
      <c r="P998" t="s">
        <v>48</v>
      </c>
      <c r="Q998" t="s">
        <v>49</v>
      </c>
      <c r="R998" t="s">
        <v>50</v>
      </c>
      <c r="S998" t="s">
        <v>28</v>
      </c>
      <c r="T998" t="s">
        <v>4051</v>
      </c>
      <c r="U998" t="s">
        <v>4050</v>
      </c>
    </row>
    <row r="999" spans="1:21" x14ac:dyDescent="0.25">
      <c r="A999" t="s">
        <v>456</v>
      </c>
      <c r="B999" t="s">
        <v>1178</v>
      </c>
      <c r="C999">
        <v>94.37</v>
      </c>
      <c r="D999">
        <v>1</v>
      </c>
      <c r="E999">
        <v>0</v>
      </c>
      <c r="F999" t="s">
        <v>4049</v>
      </c>
      <c r="G999">
        <v>566.24</v>
      </c>
      <c r="H999">
        <v>0</v>
      </c>
      <c r="I999" t="s">
        <v>628</v>
      </c>
      <c r="J999" t="s">
        <v>4039</v>
      </c>
      <c r="K999" t="s">
        <v>4040</v>
      </c>
      <c r="L999" t="s">
        <v>4041</v>
      </c>
      <c r="M999" t="s">
        <v>4042</v>
      </c>
      <c r="N999" t="s">
        <v>4050</v>
      </c>
      <c r="O999" t="s">
        <v>27</v>
      </c>
      <c r="P999" t="s">
        <v>48</v>
      </c>
      <c r="Q999" t="s">
        <v>49</v>
      </c>
      <c r="R999" t="s">
        <v>50</v>
      </c>
      <c r="S999" t="s">
        <v>28</v>
      </c>
      <c r="T999" t="s">
        <v>4051</v>
      </c>
      <c r="U999" t="s">
        <v>4050</v>
      </c>
    </row>
    <row r="1000" spans="1:21" x14ac:dyDescent="0.25">
      <c r="A1000" t="s">
        <v>456</v>
      </c>
      <c r="B1000" t="s">
        <v>1178</v>
      </c>
      <c r="C1000">
        <v>94.37</v>
      </c>
      <c r="D1000">
        <v>1</v>
      </c>
      <c r="E1000">
        <v>0</v>
      </c>
      <c r="F1000" t="s">
        <v>4049</v>
      </c>
      <c r="G1000">
        <v>566.24</v>
      </c>
      <c r="H1000">
        <v>0</v>
      </c>
      <c r="I1000" t="s">
        <v>628</v>
      </c>
      <c r="J1000" t="s">
        <v>4039</v>
      </c>
      <c r="K1000" t="s">
        <v>4040</v>
      </c>
      <c r="L1000" t="s">
        <v>4041</v>
      </c>
      <c r="M1000" t="s">
        <v>4042</v>
      </c>
      <c r="N1000" t="s">
        <v>4050</v>
      </c>
      <c r="O1000" t="s">
        <v>27</v>
      </c>
      <c r="P1000" t="s">
        <v>48</v>
      </c>
      <c r="Q1000" t="s">
        <v>49</v>
      </c>
      <c r="R1000" t="s">
        <v>50</v>
      </c>
      <c r="S1000" t="s">
        <v>28</v>
      </c>
      <c r="T1000" t="s">
        <v>4051</v>
      </c>
      <c r="U1000" t="s">
        <v>4050</v>
      </c>
    </row>
    <row r="1001" spans="1:21" x14ac:dyDescent="0.25">
      <c r="A1001" t="s">
        <v>456</v>
      </c>
      <c r="B1001" t="s">
        <v>1178</v>
      </c>
      <c r="C1001">
        <v>94.37</v>
      </c>
      <c r="D1001">
        <v>1</v>
      </c>
      <c r="E1001">
        <v>0</v>
      </c>
      <c r="F1001" t="s">
        <v>4049</v>
      </c>
      <c r="G1001">
        <v>566.24</v>
      </c>
      <c r="H1001">
        <v>0</v>
      </c>
      <c r="I1001" t="s">
        <v>628</v>
      </c>
      <c r="J1001" t="s">
        <v>4039</v>
      </c>
      <c r="K1001" t="s">
        <v>4040</v>
      </c>
      <c r="L1001" t="s">
        <v>4041</v>
      </c>
      <c r="M1001" t="s">
        <v>4042</v>
      </c>
      <c r="N1001" t="s">
        <v>4050</v>
      </c>
      <c r="O1001" t="s">
        <v>27</v>
      </c>
      <c r="P1001" t="s">
        <v>48</v>
      </c>
      <c r="Q1001" t="s">
        <v>49</v>
      </c>
      <c r="R1001" t="s">
        <v>50</v>
      </c>
      <c r="S1001" t="s">
        <v>28</v>
      </c>
      <c r="T1001" t="s">
        <v>4051</v>
      </c>
      <c r="U1001" t="s">
        <v>4050</v>
      </c>
    </row>
    <row r="1002" spans="1:21" x14ac:dyDescent="0.25">
      <c r="A1002" t="s">
        <v>456</v>
      </c>
      <c r="B1002" t="s">
        <v>1178</v>
      </c>
      <c r="C1002">
        <v>115.82</v>
      </c>
      <c r="D1002">
        <v>1</v>
      </c>
      <c r="E1002">
        <v>0</v>
      </c>
      <c r="F1002" t="s">
        <v>4052</v>
      </c>
      <c r="G1002">
        <v>120.82</v>
      </c>
      <c r="H1002">
        <v>5</v>
      </c>
      <c r="I1002" t="s">
        <v>628</v>
      </c>
      <c r="J1002" t="s">
        <v>4053</v>
      </c>
      <c r="K1002" t="s">
        <v>4054</v>
      </c>
      <c r="L1002" t="s">
        <v>4055</v>
      </c>
      <c r="M1002" t="s">
        <v>4056</v>
      </c>
      <c r="N1002" t="s">
        <v>4057</v>
      </c>
      <c r="O1002" t="s">
        <v>27</v>
      </c>
      <c r="P1002" t="s">
        <v>48</v>
      </c>
      <c r="Q1002" t="s">
        <v>49</v>
      </c>
      <c r="R1002" t="s">
        <v>50</v>
      </c>
      <c r="S1002" t="s">
        <v>28</v>
      </c>
      <c r="T1002" t="s">
        <v>4058</v>
      </c>
      <c r="U1002" t="s">
        <v>4057</v>
      </c>
    </row>
    <row r="1003" spans="1:21" x14ac:dyDescent="0.25">
      <c r="A1003" t="s">
        <v>456</v>
      </c>
      <c r="B1003" t="s">
        <v>1178</v>
      </c>
      <c r="C1003">
        <v>142.31</v>
      </c>
      <c r="D1003">
        <v>1</v>
      </c>
      <c r="E1003">
        <v>0</v>
      </c>
      <c r="F1003" t="s">
        <v>4059</v>
      </c>
      <c r="G1003">
        <v>147.31</v>
      </c>
      <c r="H1003">
        <v>5</v>
      </c>
      <c r="I1003" t="s">
        <v>628</v>
      </c>
      <c r="J1003" t="s">
        <v>4060</v>
      </c>
      <c r="K1003" t="s">
        <v>4061</v>
      </c>
      <c r="L1003" t="s">
        <v>4062</v>
      </c>
      <c r="M1003" t="s">
        <v>4063</v>
      </c>
      <c r="N1003" t="s">
        <v>4064</v>
      </c>
      <c r="O1003" t="s">
        <v>27</v>
      </c>
      <c r="P1003" t="s">
        <v>48</v>
      </c>
      <c r="Q1003" t="s">
        <v>49</v>
      </c>
      <c r="R1003" t="s">
        <v>50</v>
      </c>
      <c r="S1003" t="s">
        <v>28</v>
      </c>
      <c r="T1003" t="s">
        <v>4065</v>
      </c>
      <c r="U1003" t="s">
        <v>4064</v>
      </c>
    </row>
    <row r="1004" spans="1:21" x14ac:dyDescent="0.25">
      <c r="A1004" t="s">
        <v>63</v>
      </c>
      <c r="B1004" t="s">
        <v>64</v>
      </c>
      <c r="C1004">
        <v>150</v>
      </c>
      <c r="D1004">
        <v>1</v>
      </c>
      <c r="E1004">
        <v>0</v>
      </c>
      <c r="F1004" t="s">
        <v>4066</v>
      </c>
      <c r="G1004">
        <v>179</v>
      </c>
      <c r="H1004">
        <v>29</v>
      </c>
      <c r="I1004" t="s">
        <v>24</v>
      </c>
      <c r="J1004" t="s">
        <v>502</v>
      </c>
      <c r="K1004" t="s">
        <v>4067</v>
      </c>
      <c r="L1004" t="s">
        <v>4068</v>
      </c>
      <c r="M1004" t="s">
        <v>4069</v>
      </c>
      <c r="N1004" t="s">
        <v>4070</v>
      </c>
      <c r="O1004" t="s">
        <v>27</v>
      </c>
      <c r="P1004" t="s">
        <v>193</v>
      </c>
      <c r="Q1004" t="s">
        <v>85</v>
      </c>
      <c r="R1004" t="s">
        <v>86</v>
      </c>
      <c r="S1004" t="s">
        <v>28</v>
      </c>
      <c r="T1004" t="s">
        <v>4071</v>
      </c>
      <c r="U1004" t="s">
        <v>4072</v>
      </c>
    </row>
    <row r="1005" spans="1:21" x14ac:dyDescent="0.25">
      <c r="A1005" t="s">
        <v>143</v>
      </c>
      <c r="B1005" t="s">
        <v>144</v>
      </c>
      <c r="C1005">
        <v>200</v>
      </c>
      <c r="D1005">
        <v>2</v>
      </c>
      <c r="E1005">
        <v>0</v>
      </c>
      <c r="F1005" t="s">
        <v>4073</v>
      </c>
      <c r="G1005">
        <v>400</v>
      </c>
      <c r="H1005">
        <v>0</v>
      </c>
      <c r="I1005" t="s">
        <v>140</v>
      </c>
      <c r="J1005" t="s">
        <v>269</v>
      </c>
      <c r="K1005" t="s">
        <v>89</v>
      </c>
      <c r="L1005" t="s">
        <v>27</v>
      </c>
      <c r="M1005" t="s">
        <v>28</v>
      </c>
      <c r="N1005" t="s">
        <v>4074</v>
      </c>
      <c r="O1005" t="s">
        <v>27</v>
      </c>
      <c r="P1005" t="s">
        <v>30</v>
      </c>
      <c r="Q1005" t="s">
        <v>31</v>
      </c>
      <c r="R1005" t="s">
        <v>32</v>
      </c>
      <c r="S1005" t="s">
        <v>28</v>
      </c>
      <c r="T1005" t="s">
        <v>4075</v>
      </c>
      <c r="U1005" t="s">
        <v>4074</v>
      </c>
    </row>
    <row r="1006" spans="1:21" x14ac:dyDescent="0.25">
      <c r="A1006" t="s">
        <v>143</v>
      </c>
      <c r="B1006" t="s">
        <v>144</v>
      </c>
      <c r="C1006">
        <v>200</v>
      </c>
      <c r="D1006">
        <v>1</v>
      </c>
      <c r="E1006">
        <v>0</v>
      </c>
      <c r="F1006" t="s">
        <v>4076</v>
      </c>
      <c r="G1006">
        <v>200</v>
      </c>
      <c r="H1006">
        <v>0</v>
      </c>
      <c r="I1006" t="s">
        <v>140</v>
      </c>
      <c r="J1006" t="s">
        <v>4077</v>
      </c>
      <c r="K1006" t="s">
        <v>711</v>
      </c>
      <c r="L1006" t="s">
        <v>27</v>
      </c>
      <c r="M1006" t="s">
        <v>28</v>
      </c>
      <c r="N1006" t="s">
        <v>4078</v>
      </c>
      <c r="O1006" t="s">
        <v>27</v>
      </c>
      <c r="P1006" t="s">
        <v>30</v>
      </c>
      <c r="Q1006" t="s">
        <v>31</v>
      </c>
      <c r="R1006" t="s">
        <v>32</v>
      </c>
      <c r="S1006" t="s">
        <v>28</v>
      </c>
      <c r="T1006" t="s">
        <v>4079</v>
      </c>
      <c r="U1006" t="s">
        <v>4078</v>
      </c>
    </row>
    <row r="1007" spans="1:21" x14ac:dyDescent="0.25">
      <c r="A1007" t="s">
        <v>21</v>
      </c>
      <c r="B1007" t="s">
        <v>22</v>
      </c>
      <c r="C1007">
        <v>100</v>
      </c>
      <c r="D1007">
        <v>1</v>
      </c>
      <c r="E1007">
        <v>0</v>
      </c>
      <c r="F1007" t="s">
        <v>4080</v>
      </c>
      <c r="G1007">
        <v>100</v>
      </c>
      <c r="H1007">
        <v>0</v>
      </c>
      <c r="I1007" t="s">
        <v>445</v>
      </c>
      <c r="J1007" t="s">
        <v>4081</v>
      </c>
      <c r="K1007" t="s">
        <v>4082</v>
      </c>
      <c r="L1007" t="s">
        <v>27</v>
      </c>
      <c r="M1007" t="s">
        <v>28</v>
      </c>
      <c r="N1007" t="s">
        <v>4083</v>
      </c>
      <c r="O1007" t="s">
        <v>27</v>
      </c>
      <c r="P1007" t="s">
        <v>39</v>
      </c>
      <c r="Q1007" t="s">
        <v>31</v>
      </c>
      <c r="R1007" t="s">
        <v>32</v>
      </c>
      <c r="S1007" t="s">
        <v>28</v>
      </c>
      <c r="T1007" t="s">
        <v>4084</v>
      </c>
      <c r="U1007" t="s">
        <v>4083</v>
      </c>
    </row>
    <row r="1008" spans="1:21" x14ac:dyDescent="0.25">
      <c r="A1008" t="s">
        <v>214</v>
      </c>
      <c r="B1008" t="s">
        <v>215</v>
      </c>
      <c r="C1008">
        <v>74.400000000000006</v>
      </c>
      <c r="D1008">
        <v>1</v>
      </c>
      <c r="E1008">
        <v>0</v>
      </c>
      <c r="F1008" t="s">
        <v>4085</v>
      </c>
      <c r="G1008">
        <v>247.2</v>
      </c>
      <c r="H1008">
        <v>24</v>
      </c>
      <c r="I1008" t="s">
        <v>24</v>
      </c>
      <c r="J1008" t="s">
        <v>4086</v>
      </c>
      <c r="K1008" t="s">
        <v>4087</v>
      </c>
      <c r="L1008" t="s">
        <v>1907</v>
      </c>
      <c r="M1008" t="s">
        <v>4088</v>
      </c>
      <c r="N1008" t="s">
        <v>4089</v>
      </c>
      <c r="O1008" t="s">
        <v>27</v>
      </c>
      <c r="P1008" t="s">
        <v>48</v>
      </c>
      <c r="Q1008" t="s">
        <v>49</v>
      </c>
      <c r="R1008" t="s">
        <v>50</v>
      </c>
      <c r="S1008" t="s">
        <v>28</v>
      </c>
      <c r="T1008" t="s">
        <v>4090</v>
      </c>
      <c r="U1008" t="s">
        <v>4089</v>
      </c>
    </row>
    <row r="1009" spans="1:21" x14ac:dyDescent="0.25">
      <c r="A1009" t="s">
        <v>94</v>
      </c>
      <c r="B1009" t="s">
        <v>95</v>
      </c>
      <c r="C1009">
        <v>74.400000000000006</v>
      </c>
      <c r="D1009">
        <v>1</v>
      </c>
      <c r="E1009">
        <v>0</v>
      </c>
      <c r="F1009" t="s">
        <v>4085</v>
      </c>
      <c r="G1009">
        <v>247.2</v>
      </c>
      <c r="H1009">
        <v>24</v>
      </c>
      <c r="I1009" t="s">
        <v>24</v>
      </c>
      <c r="J1009" t="s">
        <v>4086</v>
      </c>
      <c r="K1009" t="s">
        <v>4087</v>
      </c>
      <c r="L1009" t="s">
        <v>1907</v>
      </c>
      <c r="M1009" t="s">
        <v>4088</v>
      </c>
      <c r="N1009" t="s">
        <v>4089</v>
      </c>
      <c r="O1009" t="s">
        <v>27</v>
      </c>
      <c r="P1009" t="s">
        <v>48</v>
      </c>
      <c r="Q1009" t="s">
        <v>49</v>
      </c>
      <c r="R1009" t="s">
        <v>50</v>
      </c>
      <c r="S1009" t="s">
        <v>28</v>
      </c>
      <c r="T1009" t="s">
        <v>4090</v>
      </c>
      <c r="U1009" t="s">
        <v>4089</v>
      </c>
    </row>
    <row r="1010" spans="1:21" x14ac:dyDescent="0.25">
      <c r="A1010" t="s">
        <v>94</v>
      </c>
      <c r="B1010" t="s">
        <v>95</v>
      </c>
      <c r="C1010">
        <v>74.400000000000006</v>
      </c>
      <c r="D1010">
        <v>1</v>
      </c>
      <c r="E1010">
        <v>0</v>
      </c>
      <c r="F1010" t="s">
        <v>4085</v>
      </c>
      <c r="G1010">
        <v>247.2</v>
      </c>
      <c r="H1010">
        <v>24</v>
      </c>
      <c r="I1010" t="s">
        <v>24</v>
      </c>
      <c r="J1010" t="s">
        <v>4086</v>
      </c>
      <c r="K1010" t="s">
        <v>4087</v>
      </c>
      <c r="L1010" t="s">
        <v>1907</v>
      </c>
      <c r="M1010" t="s">
        <v>4088</v>
      </c>
      <c r="N1010" t="s">
        <v>4089</v>
      </c>
      <c r="O1010" t="s">
        <v>27</v>
      </c>
      <c r="P1010" t="s">
        <v>48</v>
      </c>
      <c r="Q1010" t="s">
        <v>49</v>
      </c>
      <c r="R1010" t="s">
        <v>50</v>
      </c>
      <c r="S1010" t="s">
        <v>28</v>
      </c>
      <c r="T1010" t="s">
        <v>4090</v>
      </c>
      <c r="U1010" t="s">
        <v>4089</v>
      </c>
    </row>
    <row r="1011" spans="1:21" x14ac:dyDescent="0.25">
      <c r="A1011" t="s">
        <v>134</v>
      </c>
      <c r="B1011" t="s">
        <v>64</v>
      </c>
      <c r="C1011">
        <v>100</v>
      </c>
      <c r="D1011">
        <v>1</v>
      </c>
      <c r="E1011">
        <v>0</v>
      </c>
      <c r="F1011" t="s">
        <v>4091</v>
      </c>
      <c r="G1011">
        <v>200</v>
      </c>
      <c r="H1011">
        <v>0</v>
      </c>
      <c r="I1011" t="s">
        <v>445</v>
      </c>
      <c r="J1011" t="s">
        <v>4092</v>
      </c>
      <c r="K1011" t="s">
        <v>350</v>
      </c>
      <c r="L1011" t="s">
        <v>27</v>
      </c>
      <c r="M1011" t="s">
        <v>28</v>
      </c>
      <c r="N1011" t="s">
        <v>4093</v>
      </c>
      <c r="O1011" t="s">
        <v>27</v>
      </c>
      <c r="P1011" t="s">
        <v>56</v>
      </c>
      <c r="Q1011" t="s">
        <v>31</v>
      </c>
      <c r="R1011" t="s">
        <v>57</v>
      </c>
      <c r="S1011" t="s">
        <v>28</v>
      </c>
      <c r="T1011" t="s">
        <v>4094</v>
      </c>
      <c r="U1011" t="s">
        <v>4089</v>
      </c>
    </row>
    <row r="1012" spans="1:21" x14ac:dyDescent="0.25">
      <c r="A1012" t="s">
        <v>21</v>
      </c>
      <c r="B1012" t="s">
        <v>22</v>
      </c>
      <c r="C1012">
        <v>100</v>
      </c>
      <c r="D1012">
        <v>1</v>
      </c>
      <c r="E1012">
        <v>0</v>
      </c>
      <c r="F1012" t="s">
        <v>4091</v>
      </c>
      <c r="G1012">
        <v>200</v>
      </c>
      <c r="H1012">
        <v>0</v>
      </c>
      <c r="I1012" t="s">
        <v>445</v>
      </c>
      <c r="J1012" t="s">
        <v>4092</v>
      </c>
      <c r="K1012" t="s">
        <v>350</v>
      </c>
      <c r="L1012" t="s">
        <v>27</v>
      </c>
      <c r="M1012" t="s">
        <v>28</v>
      </c>
      <c r="N1012" t="s">
        <v>4093</v>
      </c>
      <c r="O1012" t="s">
        <v>27</v>
      </c>
      <c r="P1012" t="s">
        <v>56</v>
      </c>
      <c r="Q1012" t="s">
        <v>31</v>
      </c>
      <c r="R1012" t="s">
        <v>57</v>
      </c>
      <c r="S1012" t="s">
        <v>28</v>
      </c>
      <c r="T1012" t="s">
        <v>4094</v>
      </c>
      <c r="U1012" t="s">
        <v>4089</v>
      </c>
    </row>
    <row r="1013" spans="1:21" x14ac:dyDescent="0.25">
      <c r="A1013" t="s">
        <v>456</v>
      </c>
      <c r="B1013" t="s">
        <v>1178</v>
      </c>
      <c r="C1013">
        <v>112.35</v>
      </c>
      <c r="D1013">
        <v>1</v>
      </c>
      <c r="E1013">
        <v>0</v>
      </c>
      <c r="F1013" t="s">
        <v>4095</v>
      </c>
      <c r="G1013">
        <v>117.35</v>
      </c>
      <c r="H1013">
        <v>5</v>
      </c>
      <c r="I1013" t="s">
        <v>628</v>
      </c>
      <c r="J1013" t="s">
        <v>4096</v>
      </c>
      <c r="K1013" t="s">
        <v>4097</v>
      </c>
      <c r="L1013" t="s">
        <v>4098</v>
      </c>
      <c r="M1013" t="s">
        <v>4099</v>
      </c>
      <c r="N1013" t="s">
        <v>4100</v>
      </c>
      <c r="O1013" t="s">
        <v>27</v>
      </c>
      <c r="P1013" t="s">
        <v>48</v>
      </c>
      <c r="Q1013" t="s">
        <v>49</v>
      </c>
      <c r="R1013" t="s">
        <v>50</v>
      </c>
      <c r="S1013" t="s">
        <v>28</v>
      </c>
      <c r="T1013" t="s">
        <v>4101</v>
      </c>
      <c r="U1013" t="s">
        <v>4100</v>
      </c>
    </row>
    <row r="1014" spans="1:21" x14ac:dyDescent="0.25">
      <c r="A1014" t="s">
        <v>456</v>
      </c>
      <c r="B1014" t="s">
        <v>1178</v>
      </c>
      <c r="C1014">
        <v>94.38</v>
      </c>
      <c r="D1014">
        <v>1</v>
      </c>
      <c r="E1014">
        <v>0</v>
      </c>
      <c r="F1014" t="s">
        <v>4102</v>
      </c>
      <c r="G1014">
        <v>566.24</v>
      </c>
      <c r="H1014">
        <v>0</v>
      </c>
      <c r="I1014" t="s">
        <v>628</v>
      </c>
      <c r="J1014" t="s">
        <v>4103</v>
      </c>
      <c r="K1014" t="s">
        <v>4104</v>
      </c>
      <c r="L1014" t="s">
        <v>4041</v>
      </c>
      <c r="M1014" t="s">
        <v>4042</v>
      </c>
      <c r="N1014" t="s">
        <v>4105</v>
      </c>
      <c r="O1014" t="s">
        <v>27</v>
      </c>
      <c r="P1014" t="s">
        <v>48</v>
      </c>
      <c r="Q1014" t="s">
        <v>49</v>
      </c>
      <c r="R1014" t="s">
        <v>50</v>
      </c>
      <c r="S1014" t="s">
        <v>28</v>
      </c>
      <c r="T1014" t="s">
        <v>4106</v>
      </c>
      <c r="U1014" t="s">
        <v>4105</v>
      </c>
    </row>
    <row r="1015" spans="1:21" x14ac:dyDescent="0.25">
      <c r="A1015" t="s">
        <v>456</v>
      </c>
      <c r="B1015" t="s">
        <v>1178</v>
      </c>
      <c r="C1015">
        <v>94.37</v>
      </c>
      <c r="D1015">
        <v>1</v>
      </c>
      <c r="E1015">
        <v>0</v>
      </c>
      <c r="F1015" t="s">
        <v>4102</v>
      </c>
      <c r="G1015">
        <v>566.24</v>
      </c>
      <c r="H1015">
        <v>0</v>
      </c>
      <c r="I1015" t="s">
        <v>628</v>
      </c>
      <c r="J1015" t="s">
        <v>4103</v>
      </c>
      <c r="K1015" t="s">
        <v>4104</v>
      </c>
      <c r="L1015" t="s">
        <v>4041</v>
      </c>
      <c r="M1015" t="s">
        <v>4042</v>
      </c>
      <c r="N1015" t="s">
        <v>4105</v>
      </c>
      <c r="O1015" t="s">
        <v>27</v>
      </c>
      <c r="P1015" t="s">
        <v>48</v>
      </c>
      <c r="Q1015" t="s">
        <v>49</v>
      </c>
      <c r="R1015" t="s">
        <v>50</v>
      </c>
      <c r="S1015" t="s">
        <v>28</v>
      </c>
      <c r="T1015" t="s">
        <v>4106</v>
      </c>
      <c r="U1015" t="s">
        <v>4105</v>
      </c>
    </row>
    <row r="1016" spans="1:21" x14ac:dyDescent="0.25">
      <c r="A1016" t="s">
        <v>456</v>
      </c>
      <c r="B1016" t="s">
        <v>1178</v>
      </c>
      <c r="C1016">
        <v>94.38</v>
      </c>
      <c r="D1016">
        <v>1</v>
      </c>
      <c r="E1016">
        <v>0</v>
      </c>
      <c r="F1016" t="s">
        <v>4102</v>
      </c>
      <c r="G1016">
        <v>566.24</v>
      </c>
      <c r="H1016">
        <v>0</v>
      </c>
      <c r="I1016" t="s">
        <v>628</v>
      </c>
      <c r="J1016" t="s">
        <v>4103</v>
      </c>
      <c r="K1016" t="s">
        <v>4104</v>
      </c>
      <c r="L1016" t="s">
        <v>4041</v>
      </c>
      <c r="M1016" t="s">
        <v>4042</v>
      </c>
      <c r="N1016" t="s">
        <v>4105</v>
      </c>
      <c r="O1016" t="s">
        <v>27</v>
      </c>
      <c r="P1016" t="s">
        <v>48</v>
      </c>
      <c r="Q1016" t="s">
        <v>49</v>
      </c>
      <c r="R1016" t="s">
        <v>50</v>
      </c>
      <c r="S1016" t="s">
        <v>28</v>
      </c>
      <c r="T1016" t="s">
        <v>4106</v>
      </c>
      <c r="U1016" t="s">
        <v>4105</v>
      </c>
    </row>
    <row r="1017" spans="1:21" x14ac:dyDescent="0.25">
      <c r="A1017" t="s">
        <v>456</v>
      </c>
      <c r="B1017" t="s">
        <v>1178</v>
      </c>
      <c r="C1017">
        <v>94.37</v>
      </c>
      <c r="D1017">
        <v>1</v>
      </c>
      <c r="E1017">
        <v>0</v>
      </c>
      <c r="F1017" t="s">
        <v>4102</v>
      </c>
      <c r="G1017">
        <v>566.24</v>
      </c>
      <c r="H1017">
        <v>0</v>
      </c>
      <c r="I1017" t="s">
        <v>628</v>
      </c>
      <c r="J1017" t="s">
        <v>4103</v>
      </c>
      <c r="K1017" t="s">
        <v>4104</v>
      </c>
      <c r="L1017" t="s">
        <v>4041</v>
      </c>
      <c r="M1017" t="s">
        <v>4042</v>
      </c>
      <c r="N1017" t="s">
        <v>4105</v>
      </c>
      <c r="O1017" t="s">
        <v>27</v>
      </c>
      <c r="P1017" t="s">
        <v>48</v>
      </c>
      <c r="Q1017" t="s">
        <v>49</v>
      </c>
      <c r="R1017" t="s">
        <v>50</v>
      </c>
      <c r="S1017" t="s">
        <v>28</v>
      </c>
      <c r="T1017" t="s">
        <v>4106</v>
      </c>
      <c r="U1017" t="s">
        <v>4105</v>
      </c>
    </row>
    <row r="1018" spans="1:21" x14ac:dyDescent="0.25">
      <c r="A1018" t="s">
        <v>456</v>
      </c>
      <c r="B1018" t="s">
        <v>1178</v>
      </c>
      <c r="C1018">
        <v>94.37</v>
      </c>
      <c r="D1018">
        <v>1</v>
      </c>
      <c r="E1018">
        <v>0</v>
      </c>
      <c r="F1018" t="s">
        <v>4102</v>
      </c>
      <c r="G1018">
        <v>566.24</v>
      </c>
      <c r="H1018">
        <v>0</v>
      </c>
      <c r="I1018" t="s">
        <v>628</v>
      </c>
      <c r="J1018" t="s">
        <v>4103</v>
      </c>
      <c r="K1018" t="s">
        <v>4104</v>
      </c>
      <c r="L1018" t="s">
        <v>4041</v>
      </c>
      <c r="M1018" t="s">
        <v>4042</v>
      </c>
      <c r="N1018" t="s">
        <v>4105</v>
      </c>
      <c r="O1018" t="s">
        <v>27</v>
      </c>
      <c r="P1018" t="s">
        <v>48</v>
      </c>
      <c r="Q1018" t="s">
        <v>49</v>
      </c>
      <c r="R1018" t="s">
        <v>50</v>
      </c>
      <c r="S1018" t="s">
        <v>28</v>
      </c>
      <c r="T1018" t="s">
        <v>4106</v>
      </c>
      <c r="U1018" t="s">
        <v>4105</v>
      </c>
    </row>
    <row r="1019" spans="1:21" x14ac:dyDescent="0.25">
      <c r="A1019" t="s">
        <v>456</v>
      </c>
      <c r="B1019" t="s">
        <v>1178</v>
      </c>
      <c r="C1019">
        <v>94.37</v>
      </c>
      <c r="D1019">
        <v>1</v>
      </c>
      <c r="E1019">
        <v>0</v>
      </c>
      <c r="F1019" t="s">
        <v>4102</v>
      </c>
      <c r="G1019">
        <v>566.24</v>
      </c>
      <c r="H1019">
        <v>0</v>
      </c>
      <c r="I1019" t="s">
        <v>628</v>
      </c>
      <c r="J1019" t="s">
        <v>4103</v>
      </c>
      <c r="K1019" t="s">
        <v>4104</v>
      </c>
      <c r="L1019" t="s">
        <v>4041</v>
      </c>
      <c r="M1019" t="s">
        <v>4042</v>
      </c>
      <c r="N1019" t="s">
        <v>4105</v>
      </c>
      <c r="O1019" t="s">
        <v>27</v>
      </c>
      <c r="P1019" t="s">
        <v>48</v>
      </c>
      <c r="Q1019" t="s">
        <v>49</v>
      </c>
      <c r="R1019" t="s">
        <v>50</v>
      </c>
      <c r="S1019" t="s">
        <v>28</v>
      </c>
      <c r="T1019" t="s">
        <v>4106</v>
      </c>
      <c r="U1019" t="s">
        <v>4105</v>
      </c>
    </row>
    <row r="1020" spans="1:21" x14ac:dyDescent="0.25">
      <c r="A1020" t="s">
        <v>33</v>
      </c>
      <c r="B1020" t="s">
        <v>34</v>
      </c>
      <c r="C1020">
        <v>200</v>
      </c>
      <c r="D1020">
        <v>1</v>
      </c>
      <c r="E1020">
        <v>0</v>
      </c>
      <c r="F1020" t="s">
        <v>4107</v>
      </c>
      <c r="G1020">
        <v>200</v>
      </c>
      <c r="H1020">
        <v>0</v>
      </c>
      <c r="I1020" t="s">
        <v>24</v>
      </c>
      <c r="J1020" t="s">
        <v>4108</v>
      </c>
      <c r="K1020" t="s">
        <v>250</v>
      </c>
      <c r="L1020" t="s">
        <v>27</v>
      </c>
      <c r="M1020" t="s">
        <v>28</v>
      </c>
      <c r="N1020" t="s">
        <v>4109</v>
      </c>
      <c r="O1020" t="s">
        <v>27</v>
      </c>
      <c r="P1020" t="s">
        <v>39</v>
      </c>
      <c r="Q1020" t="s">
        <v>31</v>
      </c>
      <c r="R1020" t="s">
        <v>32</v>
      </c>
      <c r="S1020" t="s">
        <v>28</v>
      </c>
      <c r="T1020" t="s">
        <v>4110</v>
      </c>
      <c r="U1020" t="s">
        <v>4109</v>
      </c>
    </row>
    <row r="1021" spans="1:21" x14ac:dyDescent="0.25">
      <c r="A1021" t="s">
        <v>33</v>
      </c>
      <c r="B1021" t="s">
        <v>34</v>
      </c>
      <c r="C1021">
        <v>200</v>
      </c>
      <c r="D1021">
        <v>1</v>
      </c>
      <c r="E1021">
        <v>0</v>
      </c>
      <c r="F1021" t="s">
        <v>4111</v>
      </c>
      <c r="G1021">
        <v>200</v>
      </c>
      <c r="H1021">
        <v>0</v>
      </c>
      <c r="I1021" t="s">
        <v>24</v>
      </c>
      <c r="J1021" t="s">
        <v>345</v>
      </c>
      <c r="K1021" t="s">
        <v>346</v>
      </c>
      <c r="L1021" t="s">
        <v>27</v>
      </c>
      <c r="M1021" t="s">
        <v>28</v>
      </c>
      <c r="N1021" t="s">
        <v>4112</v>
      </c>
      <c r="O1021" t="s">
        <v>27</v>
      </c>
      <c r="P1021" t="s">
        <v>39</v>
      </c>
      <c r="Q1021" t="s">
        <v>31</v>
      </c>
      <c r="R1021" t="s">
        <v>32</v>
      </c>
      <c r="S1021" t="s">
        <v>28</v>
      </c>
      <c r="T1021" t="s">
        <v>4113</v>
      </c>
      <c r="U1021" t="s">
        <v>4112</v>
      </c>
    </row>
    <row r="1022" spans="1:21" x14ac:dyDescent="0.25">
      <c r="A1022" t="s">
        <v>33</v>
      </c>
      <c r="B1022" t="s">
        <v>34</v>
      </c>
      <c r="C1022">
        <v>200</v>
      </c>
      <c r="D1022">
        <v>1</v>
      </c>
      <c r="E1022">
        <v>0</v>
      </c>
      <c r="F1022" t="s">
        <v>4114</v>
      </c>
      <c r="G1022">
        <v>200</v>
      </c>
      <c r="H1022">
        <v>0</v>
      </c>
      <c r="I1022" t="s">
        <v>445</v>
      </c>
      <c r="J1022" t="s">
        <v>4115</v>
      </c>
      <c r="K1022" t="s">
        <v>1797</v>
      </c>
      <c r="L1022" t="s">
        <v>27</v>
      </c>
      <c r="M1022" t="s">
        <v>28</v>
      </c>
      <c r="N1022" t="s">
        <v>4116</v>
      </c>
      <c r="O1022" t="s">
        <v>27</v>
      </c>
      <c r="P1022" t="s">
        <v>56</v>
      </c>
      <c r="Q1022" t="s">
        <v>31</v>
      </c>
      <c r="R1022" t="s">
        <v>57</v>
      </c>
      <c r="S1022" t="s">
        <v>28</v>
      </c>
      <c r="T1022" t="s">
        <v>4117</v>
      </c>
      <c r="U1022" t="s">
        <v>4116</v>
      </c>
    </row>
    <row r="1023" spans="1:21" x14ac:dyDescent="0.25">
      <c r="A1023" t="s">
        <v>456</v>
      </c>
      <c r="B1023" t="s">
        <v>1178</v>
      </c>
      <c r="C1023">
        <v>112.35</v>
      </c>
      <c r="D1023">
        <v>1</v>
      </c>
      <c r="E1023">
        <v>0</v>
      </c>
      <c r="F1023" t="s">
        <v>4118</v>
      </c>
      <c r="G1023">
        <v>112.35</v>
      </c>
      <c r="H1023">
        <v>0</v>
      </c>
      <c r="I1023" t="s">
        <v>628</v>
      </c>
      <c r="J1023" t="s">
        <v>4119</v>
      </c>
      <c r="K1023" t="s">
        <v>4120</v>
      </c>
      <c r="L1023" t="s">
        <v>4121</v>
      </c>
      <c r="M1023" t="s">
        <v>4122</v>
      </c>
      <c r="N1023" t="s">
        <v>4123</v>
      </c>
      <c r="O1023" t="s">
        <v>27</v>
      </c>
      <c r="P1023" t="s">
        <v>48</v>
      </c>
      <c r="Q1023" t="s">
        <v>49</v>
      </c>
      <c r="R1023" t="s">
        <v>50</v>
      </c>
      <c r="S1023" t="s">
        <v>28</v>
      </c>
      <c r="T1023" t="s">
        <v>4124</v>
      </c>
      <c r="U1023" t="s">
        <v>4125</v>
      </c>
    </row>
    <row r="1024" spans="1:21" x14ac:dyDescent="0.25">
      <c r="A1024" t="s">
        <v>195</v>
      </c>
      <c r="B1024" t="s">
        <v>1003</v>
      </c>
      <c r="C1024">
        <v>112.35</v>
      </c>
      <c r="D1024">
        <v>1</v>
      </c>
      <c r="E1024">
        <v>0</v>
      </c>
      <c r="F1024" t="s">
        <v>4126</v>
      </c>
      <c r="G1024">
        <v>117.35</v>
      </c>
      <c r="H1024">
        <v>5</v>
      </c>
      <c r="I1024" t="s">
        <v>628</v>
      </c>
      <c r="J1024" t="s">
        <v>4127</v>
      </c>
      <c r="K1024" t="s">
        <v>4128</v>
      </c>
      <c r="L1024" t="s">
        <v>1714</v>
      </c>
      <c r="M1024" t="s">
        <v>4129</v>
      </c>
      <c r="N1024" t="s">
        <v>4130</v>
      </c>
      <c r="O1024" t="s">
        <v>27</v>
      </c>
      <c r="P1024" t="s">
        <v>48</v>
      </c>
      <c r="Q1024" t="s">
        <v>49</v>
      </c>
      <c r="R1024" t="s">
        <v>50</v>
      </c>
      <c r="S1024" t="s">
        <v>28</v>
      </c>
      <c r="T1024" t="s">
        <v>4131</v>
      </c>
      <c r="U1024" t="s">
        <v>4130</v>
      </c>
    </row>
    <row r="1025" spans="1:21" x14ac:dyDescent="0.25">
      <c r="A1025" t="s">
        <v>261</v>
      </c>
      <c r="B1025" t="s">
        <v>1592</v>
      </c>
      <c r="C1025">
        <v>235.62</v>
      </c>
      <c r="D1025">
        <v>1</v>
      </c>
      <c r="E1025">
        <v>0</v>
      </c>
      <c r="F1025" t="s">
        <v>4132</v>
      </c>
      <c r="G1025">
        <v>259.62</v>
      </c>
      <c r="H1025">
        <v>24</v>
      </c>
      <c r="I1025" t="s">
        <v>24</v>
      </c>
      <c r="J1025" t="s">
        <v>4133</v>
      </c>
      <c r="K1025" t="s">
        <v>4134</v>
      </c>
      <c r="L1025" t="s">
        <v>219</v>
      </c>
      <c r="M1025" t="s">
        <v>4135</v>
      </c>
      <c r="N1025" t="s">
        <v>4136</v>
      </c>
      <c r="O1025" t="s">
        <v>27</v>
      </c>
      <c r="P1025" t="s">
        <v>48</v>
      </c>
      <c r="Q1025" t="s">
        <v>49</v>
      </c>
      <c r="R1025" t="s">
        <v>50</v>
      </c>
      <c r="S1025" t="s">
        <v>28</v>
      </c>
      <c r="T1025" t="s">
        <v>4137</v>
      </c>
      <c r="U1025" t="s">
        <v>4138</v>
      </c>
    </row>
    <row r="1026" spans="1:21" x14ac:dyDescent="0.25">
      <c r="A1026" t="s">
        <v>143</v>
      </c>
      <c r="B1026" t="s">
        <v>144</v>
      </c>
      <c r="C1026">
        <v>200</v>
      </c>
      <c r="D1026">
        <v>1</v>
      </c>
      <c r="E1026">
        <v>0</v>
      </c>
      <c r="F1026" t="s">
        <v>4139</v>
      </c>
      <c r="G1026">
        <v>200</v>
      </c>
      <c r="H1026">
        <v>0</v>
      </c>
      <c r="I1026" t="s">
        <v>24</v>
      </c>
      <c r="J1026" t="s">
        <v>4140</v>
      </c>
      <c r="K1026" t="s">
        <v>54</v>
      </c>
      <c r="L1026" t="s">
        <v>27</v>
      </c>
      <c r="M1026" t="s">
        <v>28</v>
      </c>
      <c r="N1026" t="s">
        <v>4141</v>
      </c>
      <c r="O1026" t="s">
        <v>27</v>
      </c>
      <c r="P1026" t="s">
        <v>39</v>
      </c>
      <c r="Q1026" t="s">
        <v>31</v>
      </c>
      <c r="R1026" t="s">
        <v>32</v>
      </c>
      <c r="S1026" t="s">
        <v>28</v>
      </c>
      <c r="T1026" t="s">
        <v>4142</v>
      </c>
      <c r="U1026" t="s">
        <v>4143</v>
      </c>
    </row>
    <row r="1027" spans="1:21" x14ac:dyDescent="0.25">
      <c r="A1027" t="s">
        <v>143</v>
      </c>
      <c r="B1027" t="s">
        <v>144</v>
      </c>
      <c r="C1027">
        <v>200</v>
      </c>
      <c r="D1027">
        <v>1</v>
      </c>
      <c r="E1027">
        <v>0</v>
      </c>
      <c r="F1027" t="s">
        <v>4144</v>
      </c>
      <c r="G1027">
        <v>200</v>
      </c>
      <c r="H1027">
        <v>0</v>
      </c>
      <c r="I1027" t="s">
        <v>140</v>
      </c>
      <c r="J1027" t="s">
        <v>4145</v>
      </c>
      <c r="K1027" t="s">
        <v>4146</v>
      </c>
      <c r="L1027" t="s">
        <v>27</v>
      </c>
      <c r="M1027" t="s">
        <v>28</v>
      </c>
      <c r="N1027" t="s">
        <v>4147</v>
      </c>
      <c r="O1027" t="s">
        <v>27</v>
      </c>
      <c r="P1027" t="s">
        <v>30</v>
      </c>
      <c r="Q1027" t="s">
        <v>31</v>
      </c>
      <c r="R1027" t="s">
        <v>32</v>
      </c>
      <c r="S1027" t="s">
        <v>28</v>
      </c>
      <c r="T1027" t="s">
        <v>4148</v>
      </c>
      <c r="U1027" t="s">
        <v>4147</v>
      </c>
    </row>
    <row r="1028" spans="1:21" x14ac:dyDescent="0.25">
      <c r="A1028" t="s">
        <v>143</v>
      </c>
      <c r="B1028" t="s">
        <v>144</v>
      </c>
      <c r="C1028">
        <v>200</v>
      </c>
      <c r="D1028">
        <v>1</v>
      </c>
      <c r="E1028">
        <v>0</v>
      </c>
      <c r="F1028" t="s">
        <v>4149</v>
      </c>
      <c r="G1028">
        <v>200</v>
      </c>
      <c r="H1028">
        <v>0</v>
      </c>
      <c r="I1028" t="s">
        <v>140</v>
      </c>
      <c r="J1028" t="s">
        <v>4150</v>
      </c>
      <c r="K1028" t="s">
        <v>37</v>
      </c>
      <c r="L1028" t="s">
        <v>27</v>
      </c>
      <c r="M1028" t="s">
        <v>28</v>
      </c>
      <c r="N1028" t="s">
        <v>4151</v>
      </c>
      <c r="O1028" t="s">
        <v>27</v>
      </c>
      <c r="P1028" t="s">
        <v>30</v>
      </c>
      <c r="Q1028" t="s">
        <v>31</v>
      </c>
      <c r="R1028" t="s">
        <v>32</v>
      </c>
      <c r="S1028" t="s">
        <v>28</v>
      </c>
      <c r="T1028" t="s">
        <v>4152</v>
      </c>
      <c r="U1028" t="s">
        <v>4153</v>
      </c>
    </row>
    <row r="1029" spans="1:21" x14ac:dyDescent="0.25">
      <c r="A1029" t="s">
        <v>63</v>
      </c>
      <c r="B1029" t="s">
        <v>64</v>
      </c>
      <c r="C1029">
        <v>100</v>
      </c>
      <c r="D1029">
        <v>1</v>
      </c>
      <c r="E1029">
        <v>0</v>
      </c>
      <c r="F1029" t="s">
        <v>4154</v>
      </c>
      <c r="G1029">
        <v>200</v>
      </c>
      <c r="H1029">
        <v>0</v>
      </c>
      <c r="I1029" t="s">
        <v>445</v>
      </c>
      <c r="J1029" t="s">
        <v>4150</v>
      </c>
      <c r="K1029" t="s">
        <v>37</v>
      </c>
      <c r="L1029" t="s">
        <v>27</v>
      </c>
      <c r="M1029" t="s">
        <v>28</v>
      </c>
      <c r="N1029" t="s">
        <v>4155</v>
      </c>
      <c r="O1029" t="s">
        <v>27</v>
      </c>
      <c r="P1029" t="s">
        <v>39</v>
      </c>
      <c r="Q1029" t="s">
        <v>31</v>
      </c>
      <c r="R1029" t="s">
        <v>32</v>
      </c>
      <c r="S1029" t="s">
        <v>28</v>
      </c>
      <c r="T1029" t="s">
        <v>4156</v>
      </c>
      <c r="U1029" t="s">
        <v>4155</v>
      </c>
    </row>
    <row r="1030" spans="1:21" x14ac:dyDescent="0.25">
      <c r="A1030" t="s">
        <v>134</v>
      </c>
      <c r="B1030" t="s">
        <v>64</v>
      </c>
      <c r="C1030">
        <v>100</v>
      </c>
      <c r="D1030">
        <v>1</v>
      </c>
      <c r="E1030">
        <v>0</v>
      </c>
      <c r="F1030" t="s">
        <v>4154</v>
      </c>
      <c r="G1030">
        <v>200</v>
      </c>
      <c r="H1030">
        <v>0</v>
      </c>
      <c r="I1030" t="s">
        <v>445</v>
      </c>
      <c r="J1030" t="s">
        <v>4150</v>
      </c>
      <c r="K1030" t="s">
        <v>37</v>
      </c>
      <c r="L1030" t="s">
        <v>27</v>
      </c>
      <c r="M1030" t="s">
        <v>28</v>
      </c>
      <c r="N1030" t="s">
        <v>4155</v>
      </c>
      <c r="O1030" t="s">
        <v>27</v>
      </c>
      <c r="P1030" t="s">
        <v>39</v>
      </c>
      <c r="Q1030" t="s">
        <v>31</v>
      </c>
      <c r="R1030" t="s">
        <v>32</v>
      </c>
      <c r="S1030" t="s">
        <v>28</v>
      </c>
      <c r="T1030" t="s">
        <v>4156</v>
      </c>
      <c r="U1030" t="s">
        <v>4155</v>
      </c>
    </row>
    <row r="1031" spans="1:21" x14ac:dyDescent="0.25">
      <c r="A1031" t="s">
        <v>21</v>
      </c>
      <c r="B1031" t="s">
        <v>22</v>
      </c>
      <c r="C1031">
        <v>100</v>
      </c>
      <c r="D1031">
        <v>1</v>
      </c>
      <c r="E1031">
        <v>0</v>
      </c>
      <c r="F1031" t="s">
        <v>4157</v>
      </c>
      <c r="G1031">
        <v>106</v>
      </c>
      <c r="H1031">
        <v>6</v>
      </c>
      <c r="I1031" t="s">
        <v>445</v>
      </c>
      <c r="J1031" t="s">
        <v>4158</v>
      </c>
      <c r="K1031" t="s">
        <v>89</v>
      </c>
      <c r="L1031" t="s">
        <v>27</v>
      </c>
      <c r="M1031" t="s">
        <v>28</v>
      </c>
      <c r="N1031" t="s">
        <v>4159</v>
      </c>
      <c r="O1031" t="s">
        <v>27</v>
      </c>
      <c r="P1031" t="s">
        <v>39</v>
      </c>
      <c r="Q1031" t="s">
        <v>31</v>
      </c>
      <c r="R1031" t="s">
        <v>32</v>
      </c>
      <c r="S1031" t="s">
        <v>28</v>
      </c>
      <c r="T1031" t="s">
        <v>4160</v>
      </c>
      <c r="U1031" t="s">
        <v>4159</v>
      </c>
    </row>
    <row r="1032" spans="1:21" x14ac:dyDescent="0.25">
      <c r="A1032" t="s">
        <v>70</v>
      </c>
      <c r="B1032" t="s">
        <v>70</v>
      </c>
      <c r="C1032">
        <v>330</v>
      </c>
      <c r="D1032">
        <v>1</v>
      </c>
      <c r="E1032">
        <v>0</v>
      </c>
      <c r="F1032" t="s">
        <v>4161</v>
      </c>
      <c r="G1032">
        <v>330</v>
      </c>
      <c r="H1032">
        <v>0</v>
      </c>
      <c r="I1032" t="s">
        <v>24</v>
      </c>
      <c r="J1032" t="s">
        <v>4162</v>
      </c>
      <c r="K1032" t="s">
        <v>89</v>
      </c>
      <c r="L1032" t="s">
        <v>27</v>
      </c>
      <c r="M1032" t="s">
        <v>28</v>
      </c>
      <c r="N1032" t="s">
        <v>4163</v>
      </c>
      <c r="O1032" t="s">
        <v>27</v>
      </c>
      <c r="P1032" t="s">
        <v>56</v>
      </c>
      <c r="Q1032" t="s">
        <v>31</v>
      </c>
      <c r="R1032" t="s">
        <v>57</v>
      </c>
      <c r="S1032" t="s">
        <v>28</v>
      </c>
      <c r="T1032" t="s">
        <v>4164</v>
      </c>
      <c r="U1032" t="s">
        <v>4163</v>
      </c>
    </row>
    <row r="1033" spans="1:21" x14ac:dyDescent="0.25">
      <c r="A1033" t="s">
        <v>33</v>
      </c>
      <c r="B1033" t="s">
        <v>34</v>
      </c>
      <c r="C1033">
        <v>200</v>
      </c>
      <c r="D1033">
        <v>1</v>
      </c>
      <c r="E1033">
        <v>0</v>
      </c>
      <c r="F1033" t="s">
        <v>4165</v>
      </c>
      <c r="G1033">
        <v>200</v>
      </c>
      <c r="H1033">
        <v>0</v>
      </c>
      <c r="I1033" t="s">
        <v>24</v>
      </c>
      <c r="J1033" t="s">
        <v>4166</v>
      </c>
      <c r="K1033" t="s">
        <v>342</v>
      </c>
      <c r="L1033" t="s">
        <v>27</v>
      </c>
      <c r="M1033" t="s">
        <v>28</v>
      </c>
      <c r="N1033" t="s">
        <v>4167</v>
      </c>
      <c r="O1033" t="s">
        <v>27</v>
      </c>
      <c r="P1033" t="s">
        <v>39</v>
      </c>
      <c r="Q1033" t="s">
        <v>31</v>
      </c>
      <c r="R1033" t="s">
        <v>32</v>
      </c>
      <c r="S1033" t="s">
        <v>28</v>
      </c>
      <c r="T1033" t="s">
        <v>4168</v>
      </c>
      <c r="U1033" t="s">
        <v>4169</v>
      </c>
    </row>
    <row r="1034" spans="1:21" x14ac:dyDescent="0.25">
      <c r="A1034" t="s">
        <v>456</v>
      </c>
      <c r="B1034" t="s">
        <v>1178</v>
      </c>
      <c r="C1034">
        <v>142.6</v>
      </c>
      <c r="D1034">
        <v>1</v>
      </c>
      <c r="E1034">
        <v>0</v>
      </c>
      <c r="F1034" t="s">
        <v>4170</v>
      </c>
      <c r="G1034">
        <v>147.6</v>
      </c>
      <c r="H1034">
        <v>5</v>
      </c>
      <c r="I1034" t="s">
        <v>628</v>
      </c>
      <c r="J1034" t="s">
        <v>4171</v>
      </c>
      <c r="K1034" t="s">
        <v>4172</v>
      </c>
      <c r="L1034" t="s">
        <v>4173</v>
      </c>
      <c r="M1034" t="s">
        <v>4174</v>
      </c>
      <c r="N1034" t="s">
        <v>4175</v>
      </c>
      <c r="O1034" t="s">
        <v>27</v>
      </c>
      <c r="P1034" t="s">
        <v>48</v>
      </c>
      <c r="Q1034" t="s">
        <v>49</v>
      </c>
      <c r="R1034" t="s">
        <v>50</v>
      </c>
      <c r="S1034" t="s">
        <v>28</v>
      </c>
      <c r="T1034" t="s">
        <v>4176</v>
      </c>
      <c r="U1034" t="s">
        <v>4175</v>
      </c>
    </row>
    <row r="1035" spans="1:21" x14ac:dyDescent="0.25">
      <c r="A1035" t="s">
        <v>58</v>
      </c>
      <c r="B1035" t="s">
        <v>103</v>
      </c>
      <c r="C1035">
        <v>81.239999999999995</v>
      </c>
      <c r="D1035">
        <v>1</v>
      </c>
      <c r="E1035">
        <v>0</v>
      </c>
      <c r="F1035" t="s">
        <v>4177</v>
      </c>
      <c r="G1035">
        <v>81.239999999999995</v>
      </c>
      <c r="H1035">
        <v>0</v>
      </c>
      <c r="I1035" t="s">
        <v>105</v>
      </c>
      <c r="J1035" t="s">
        <v>4178</v>
      </c>
      <c r="K1035" t="s">
        <v>4179</v>
      </c>
      <c r="L1035" t="s">
        <v>1498</v>
      </c>
      <c r="M1035" t="s">
        <v>4180</v>
      </c>
      <c r="N1035" t="s">
        <v>4181</v>
      </c>
      <c r="O1035" t="s">
        <v>27</v>
      </c>
      <c r="P1035" t="s">
        <v>48</v>
      </c>
      <c r="Q1035" t="s">
        <v>49</v>
      </c>
      <c r="R1035" t="s">
        <v>50</v>
      </c>
      <c r="S1035" t="s">
        <v>28</v>
      </c>
      <c r="T1035" t="s">
        <v>4182</v>
      </c>
      <c r="U1035" t="s">
        <v>4183</v>
      </c>
    </row>
    <row r="1036" spans="1:21" x14ac:dyDescent="0.25">
      <c r="A1036" t="s">
        <v>195</v>
      </c>
      <c r="B1036" t="s">
        <v>1003</v>
      </c>
      <c r="C1036">
        <v>142.31</v>
      </c>
      <c r="D1036">
        <v>1</v>
      </c>
      <c r="E1036">
        <v>0</v>
      </c>
      <c r="F1036" t="s">
        <v>4184</v>
      </c>
      <c r="G1036">
        <v>147.31</v>
      </c>
      <c r="H1036">
        <v>5</v>
      </c>
      <c r="I1036" t="s">
        <v>628</v>
      </c>
      <c r="J1036" t="s">
        <v>4185</v>
      </c>
      <c r="K1036" t="s">
        <v>4186</v>
      </c>
      <c r="L1036" t="s">
        <v>4187</v>
      </c>
      <c r="M1036" t="s">
        <v>4188</v>
      </c>
      <c r="N1036" t="s">
        <v>4189</v>
      </c>
      <c r="O1036" t="s">
        <v>27</v>
      </c>
      <c r="P1036" t="s">
        <v>48</v>
      </c>
      <c r="Q1036" t="s">
        <v>49</v>
      </c>
      <c r="R1036" t="s">
        <v>50</v>
      </c>
      <c r="S1036" t="s">
        <v>28</v>
      </c>
      <c r="T1036" t="s">
        <v>4190</v>
      </c>
      <c r="U1036" t="s">
        <v>4189</v>
      </c>
    </row>
    <row r="1037" spans="1:21" x14ac:dyDescent="0.25">
      <c r="A1037" t="s">
        <v>21</v>
      </c>
      <c r="B1037" t="s">
        <v>22</v>
      </c>
      <c r="C1037">
        <v>100</v>
      </c>
      <c r="D1037">
        <v>2</v>
      </c>
      <c r="E1037">
        <v>0</v>
      </c>
      <c r="F1037" t="s">
        <v>4191</v>
      </c>
      <c r="G1037">
        <v>200</v>
      </c>
      <c r="H1037">
        <v>0</v>
      </c>
      <c r="I1037" t="s">
        <v>445</v>
      </c>
      <c r="J1037" t="s">
        <v>4192</v>
      </c>
      <c r="K1037" t="s">
        <v>237</v>
      </c>
      <c r="L1037" t="s">
        <v>27</v>
      </c>
      <c r="M1037" t="s">
        <v>28</v>
      </c>
      <c r="N1037" t="s">
        <v>4193</v>
      </c>
      <c r="O1037" t="s">
        <v>27</v>
      </c>
      <c r="P1037" t="s">
        <v>39</v>
      </c>
      <c r="Q1037" t="s">
        <v>31</v>
      </c>
      <c r="R1037" t="s">
        <v>32</v>
      </c>
      <c r="S1037" t="s">
        <v>28</v>
      </c>
      <c r="T1037" t="s">
        <v>4194</v>
      </c>
      <c r="U1037" t="s">
        <v>4193</v>
      </c>
    </row>
    <row r="1038" spans="1:21" x14ac:dyDescent="0.25">
      <c r="A1038" t="s">
        <v>33</v>
      </c>
      <c r="B1038" t="s">
        <v>34</v>
      </c>
      <c r="C1038">
        <v>200</v>
      </c>
      <c r="D1038">
        <v>1</v>
      </c>
      <c r="E1038">
        <v>0</v>
      </c>
      <c r="F1038" t="s">
        <v>4195</v>
      </c>
      <c r="G1038">
        <v>200</v>
      </c>
      <c r="H1038">
        <v>0</v>
      </c>
      <c r="I1038" t="s">
        <v>24</v>
      </c>
      <c r="J1038" t="s">
        <v>4196</v>
      </c>
      <c r="K1038" t="s">
        <v>342</v>
      </c>
      <c r="L1038" t="s">
        <v>27</v>
      </c>
      <c r="M1038" t="s">
        <v>28</v>
      </c>
      <c r="N1038" t="s">
        <v>4197</v>
      </c>
      <c r="O1038" t="s">
        <v>27</v>
      </c>
      <c r="P1038" t="s">
        <v>39</v>
      </c>
      <c r="Q1038" t="s">
        <v>31</v>
      </c>
      <c r="R1038" t="s">
        <v>32</v>
      </c>
      <c r="S1038" t="s">
        <v>28</v>
      </c>
      <c r="T1038" t="s">
        <v>4198</v>
      </c>
      <c r="U1038" t="s">
        <v>4197</v>
      </c>
    </row>
    <row r="1039" spans="1:21" x14ac:dyDescent="0.25">
      <c r="A1039" t="s">
        <v>58</v>
      </c>
      <c r="B1039" t="s">
        <v>103</v>
      </c>
      <c r="C1039">
        <v>78.14</v>
      </c>
      <c r="D1039">
        <v>1</v>
      </c>
      <c r="E1039">
        <v>0</v>
      </c>
      <c r="F1039" t="s">
        <v>4199</v>
      </c>
      <c r="G1039">
        <v>156.28</v>
      </c>
      <c r="H1039">
        <v>0</v>
      </c>
      <c r="I1039" t="s">
        <v>105</v>
      </c>
      <c r="J1039" t="s">
        <v>597</v>
      </c>
      <c r="K1039" t="s">
        <v>598</v>
      </c>
      <c r="L1039" t="s">
        <v>567</v>
      </c>
      <c r="M1039" t="s">
        <v>599</v>
      </c>
      <c r="N1039" t="s">
        <v>4200</v>
      </c>
      <c r="O1039" t="s">
        <v>27</v>
      </c>
      <c r="P1039" t="s">
        <v>48</v>
      </c>
      <c r="Q1039" t="s">
        <v>49</v>
      </c>
      <c r="R1039" t="s">
        <v>50</v>
      </c>
      <c r="S1039" t="s">
        <v>28</v>
      </c>
      <c r="T1039" t="s">
        <v>4201</v>
      </c>
      <c r="U1039" t="s">
        <v>4200</v>
      </c>
    </row>
    <row r="1040" spans="1:21" x14ac:dyDescent="0.25">
      <c r="A1040" t="s">
        <v>58</v>
      </c>
      <c r="B1040" t="s">
        <v>103</v>
      </c>
      <c r="C1040">
        <v>78.14</v>
      </c>
      <c r="D1040">
        <v>1</v>
      </c>
      <c r="E1040">
        <v>0</v>
      </c>
      <c r="F1040" t="s">
        <v>4199</v>
      </c>
      <c r="G1040">
        <v>156.28</v>
      </c>
      <c r="H1040">
        <v>0</v>
      </c>
      <c r="I1040" t="s">
        <v>105</v>
      </c>
      <c r="J1040" t="s">
        <v>597</v>
      </c>
      <c r="K1040" t="s">
        <v>598</v>
      </c>
      <c r="L1040" t="s">
        <v>567</v>
      </c>
      <c r="M1040" t="s">
        <v>599</v>
      </c>
      <c r="N1040" t="s">
        <v>4200</v>
      </c>
      <c r="O1040" t="s">
        <v>27</v>
      </c>
      <c r="P1040" t="s">
        <v>48</v>
      </c>
      <c r="Q1040" t="s">
        <v>49</v>
      </c>
      <c r="R1040" t="s">
        <v>50</v>
      </c>
      <c r="S1040" t="s">
        <v>28</v>
      </c>
      <c r="T1040" t="s">
        <v>4201</v>
      </c>
      <c r="U1040" t="s">
        <v>4200</v>
      </c>
    </row>
    <row r="1041" spans="1:21" x14ac:dyDescent="0.25">
      <c r="A1041" t="s">
        <v>195</v>
      </c>
      <c r="B1041" t="s">
        <v>1003</v>
      </c>
      <c r="C1041">
        <v>135.31</v>
      </c>
      <c r="D1041">
        <v>1</v>
      </c>
      <c r="E1041">
        <v>0</v>
      </c>
      <c r="F1041" t="s">
        <v>4202</v>
      </c>
      <c r="G1041">
        <v>135.31</v>
      </c>
      <c r="H1041">
        <v>0</v>
      </c>
      <c r="I1041" t="s">
        <v>628</v>
      </c>
      <c r="J1041" t="s">
        <v>4203</v>
      </c>
      <c r="K1041" t="s">
        <v>4204</v>
      </c>
      <c r="L1041" t="s">
        <v>4205</v>
      </c>
      <c r="M1041" t="s">
        <v>4206</v>
      </c>
      <c r="N1041" t="s">
        <v>4207</v>
      </c>
      <c r="O1041" t="s">
        <v>27</v>
      </c>
      <c r="P1041" t="s">
        <v>48</v>
      </c>
      <c r="Q1041" t="s">
        <v>49</v>
      </c>
      <c r="R1041" t="s">
        <v>50</v>
      </c>
      <c r="S1041" t="s">
        <v>28</v>
      </c>
      <c r="T1041" t="s">
        <v>4208</v>
      </c>
      <c r="U1041" t="s">
        <v>4207</v>
      </c>
    </row>
    <row r="1042" spans="1:21" x14ac:dyDescent="0.25">
      <c r="A1042" t="s">
        <v>21</v>
      </c>
      <c r="B1042" t="s">
        <v>1072</v>
      </c>
      <c r="C1042">
        <v>85.83</v>
      </c>
      <c r="D1042">
        <v>1</v>
      </c>
      <c r="E1042">
        <v>0</v>
      </c>
      <c r="F1042" t="s">
        <v>4209</v>
      </c>
      <c r="G1042">
        <v>90.83</v>
      </c>
      <c r="H1042">
        <v>5</v>
      </c>
      <c r="I1042" t="s">
        <v>105</v>
      </c>
      <c r="J1042" t="s">
        <v>4210</v>
      </c>
      <c r="K1042" t="s">
        <v>4211</v>
      </c>
      <c r="L1042" t="s">
        <v>4212</v>
      </c>
      <c r="M1042" t="s">
        <v>4213</v>
      </c>
      <c r="N1042" t="s">
        <v>4207</v>
      </c>
      <c r="O1042" t="s">
        <v>27</v>
      </c>
      <c r="P1042" t="s">
        <v>48</v>
      </c>
      <c r="Q1042" t="s">
        <v>49</v>
      </c>
      <c r="R1042" t="s">
        <v>50</v>
      </c>
      <c r="S1042" t="s">
        <v>28</v>
      </c>
      <c r="T1042" t="s">
        <v>4214</v>
      </c>
      <c r="U1042" t="s">
        <v>4207</v>
      </c>
    </row>
    <row r="1043" spans="1:21" x14ac:dyDescent="0.25">
      <c r="A1043" t="s">
        <v>195</v>
      </c>
      <c r="B1043" t="s">
        <v>1003</v>
      </c>
      <c r="C1043">
        <v>112.35</v>
      </c>
      <c r="D1043">
        <v>1</v>
      </c>
      <c r="E1043">
        <v>0</v>
      </c>
      <c r="F1043" t="s">
        <v>4215</v>
      </c>
      <c r="G1043">
        <v>117.35</v>
      </c>
      <c r="H1043">
        <v>5</v>
      </c>
      <c r="I1043" t="s">
        <v>628</v>
      </c>
      <c r="J1043" t="s">
        <v>4216</v>
      </c>
      <c r="K1043" t="s">
        <v>4217</v>
      </c>
      <c r="L1043" t="s">
        <v>1907</v>
      </c>
      <c r="M1043" t="s">
        <v>4218</v>
      </c>
      <c r="N1043" t="s">
        <v>4219</v>
      </c>
      <c r="O1043" t="s">
        <v>27</v>
      </c>
      <c r="P1043" t="s">
        <v>48</v>
      </c>
      <c r="Q1043" t="s">
        <v>49</v>
      </c>
      <c r="R1043" t="s">
        <v>50</v>
      </c>
      <c r="S1043" t="s">
        <v>28</v>
      </c>
      <c r="T1043" t="s">
        <v>4220</v>
      </c>
      <c r="U1043" t="s">
        <v>4219</v>
      </c>
    </row>
    <row r="1044" spans="1:21" x14ac:dyDescent="0.25">
      <c r="A1044" t="s">
        <v>195</v>
      </c>
      <c r="B1044" t="s">
        <v>1003</v>
      </c>
      <c r="C1044">
        <v>112.35</v>
      </c>
      <c r="D1044">
        <v>1</v>
      </c>
      <c r="E1044">
        <v>0</v>
      </c>
      <c r="F1044" t="s">
        <v>4221</v>
      </c>
      <c r="G1044">
        <v>117.35</v>
      </c>
      <c r="H1044">
        <v>5</v>
      </c>
      <c r="I1044" t="s">
        <v>628</v>
      </c>
      <c r="J1044" t="s">
        <v>4222</v>
      </c>
      <c r="K1044" t="s">
        <v>4223</v>
      </c>
      <c r="L1044" t="s">
        <v>4224</v>
      </c>
      <c r="M1044" t="s">
        <v>4225</v>
      </c>
      <c r="N1044" t="s">
        <v>4226</v>
      </c>
      <c r="O1044" t="s">
        <v>27</v>
      </c>
      <c r="P1044" t="s">
        <v>48</v>
      </c>
      <c r="Q1044" t="s">
        <v>49</v>
      </c>
      <c r="R1044" t="s">
        <v>50</v>
      </c>
      <c r="S1044" t="s">
        <v>28</v>
      </c>
      <c r="T1044" t="s">
        <v>4227</v>
      </c>
      <c r="U1044" t="s">
        <v>4226</v>
      </c>
    </row>
    <row r="1045" spans="1:21" x14ac:dyDescent="0.25">
      <c r="A1045" t="s">
        <v>63</v>
      </c>
      <c r="B1045" t="s">
        <v>64</v>
      </c>
      <c r="C1045">
        <v>100</v>
      </c>
      <c r="D1045">
        <v>1</v>
      </c>
      <c r="E1045">
        <v>0</v>
      </c>
      <c r="F1045" t="s">
        <v>4228</v>
      </c>
      <c r="G1045">
        <v>300</v>
      </c>
      <c r="H1045">
        <v>0</v>
      </c>
      <c r="I1045" t="s">
        <v>140</v>
      </c>
      <c r="J1045" t="s">
        <v>4229</v>
      </c>
      <c r="K1045" t="s">
        <v>346</v>
      </c>
      <c r="L1045" t="s">
        <v>27</v>
      </c>
      <c r="M1045" t="s">
        <v>28</v>
      </c>
      <c r="N1045" t="s">
        <v>4230</v>
      </c>
      <c r="O1045" t="s">
        <v>27</v>
      </c>
      <c r="P1045" t="s">
        <v>30</v>
      </c>
      <c r="Q1045" t="s">
        <v>31</v>
      </c>
      <c r="R1045" t="s">
        <v>32</v>
      </c>
      <c r="S1045" t="s">
        <v>4231</v>
      </c>
      <c r="T1045" t="s">
        <v>4232</v>
      </c>
      <c r="U1045" t="s">
        <v>4226</v>
      </c>
    </row>
    <row r="1046" spans="1:21" x14ac:dyDescent="0.25">
      <c r="A1046" t="s">
        <v>33</v>
      </c>
      <c r="B1046" t="s">
        <v>34</v>
      </c>
      <c r="C1046">
        <v>200</v>
      </c>
      <c r="D1046">
        <v>1</v>
      </c>
      <c r="E1046">
        <v>0</v>
      </c>
      <c r="F1046" t="s">
        <v>4228</v>
      </c>
      <c r="G1046">
        <v>300</v>
      </c>
      <c r="H1046">
        <v>0</v>
      </c>
      <c r="I1046" t="s">
        <v>140</v>
      </c>
      <c r="J1046" t="s">
        <v>4229</v>
      </c>
      <c r="K1046" t="s">
        <v>346</v>
      </c>
      <c r="L1046" t="s">
        <v>27</v>
      </c>
      <c r="M1046" t="s">
        <v>28</v>
      </c>
      <c r="N1046" t="s">
        <v>4230</v>
      </c>
      <c r="O1046" t="s">
        <v>27</v>
      </c>
      <c r="P1046" t="s">
        <v>30</v>
      </c>
      <c r="Q1046" t="s">
        <v>31</v>
      </c>
      <c r="R1046" t="s">
        <v>32</v>
      </c>
      <c r="S1046" t="s">
        <v>4231</v>
      </c>
      <c r="T1046" t="s">
        <v>4232</v>
      </c>
      <c r="U1046" t="s">
        <v>4226</v>
      </c>
    </row>
    <row r="1047" spans="1:21" x14ac:dyDescent="0.25">
      <c r="A1047" t="s">
        <v>456</v>
      </c>
      <c r="B1047" t="s">
        <v>1178</v>
      </c>
      <c r="C1047">
        <v>112.35</v>
      </c>
      <c r="D1047">
        <v>1</v>
      </c>
      <c r="E1047">
        <v>0</v>
      </c>
      <c r="F1047" t="s">
        <v>4233</v>
      </c>
      <c r="G1047">
        <v>117.35</v>
      </c>
      <c r="H1047">
        <v>5</v>
      </c>
      <c r="I1047" t="s">
        <v>628</v>
      </c>
      <c r="J1047" t="s">
        <v>4234</v>
      </c>
      <c r="K1047" t="s">
        <v>4235</v>
      </c>
      <c r="L1047" t="s">
        <v>1737</v>
      </c>
      <c r="M1047" t="s">
        <v>4236</v>
      </c>
      <c r="N1047" t="s">
        <v>4237</v>
      </c>
      <c r="O1047" t="s">
        <v>27</v>
      </c>
      <c r="P1047" t="s">
        <v>48</v>
      </c>
      <c r="Q1047" t="s">
        <v>49</v>
      </c>
      <c r="R1047" t="s">
        <v>50</v>
      </c>
      <c r="S1047" t="s">
        <v>28</v>
      </c>
      <c r="T1047" t="s">
        <v>4238</v>
      </c>
      <c r="U1047" t="s">
        <v>4239</v>
      </c>
    </row>
    <row r="1048" spans="1:21" x14ac:dyDescent="0.25">
      <c r="A1048" t="s">
        <v>33</v>
      </c>
      <c r="B1048" t="s">
        <v>34</v>
      </c>
      <c r="C1048">
        <v>200</v>
      </c>
      <c r="D1048">
        <v>1</v>
      </c>
      <c r="E1048">
        <v>0</v>
      </c>
      <c r="F1048" t="s">
        <v>4240</v>
      </c>
      <c r="G1048">
        <v>200</v>
      </c>
      <c r="H1048">
        <v>0</v>
      </c>
      <c r="I1048" t="s">
        <v>445</v>
      </c>
      <c r="J1048" t="s">
        <v>4241</v>
      </c>
      <c r="K1048" t="s">
        <v>26</v>
      </c>
      <c r="L1048" t="s">
        <v>27</v>
      </c>
      <c r="M1048" t="s">
        <v>28</v>
      </c>
      <c r="N1048" t="s">
        <v>4242</v>
      </c>
      <c r="O1048" t="s">
        <v>27</v>
      </c>
      <c r="P1048" t="s">
        <v>39</v>
      </c>
      <c r="Q1048" t="s">
        <v>31</v>
      </c>
      <c r="R1048" t="s">
        <v>32</v>
      </c>
      <c r="S1048" t="s">
        <v>28</v>
      </c>
      <c r="T1048" t="s">
        <v>4243</v>
      </c>
      <c r="U1048" t="s">
        <v>4242</v>
      </c>
    </row>
    <row r="1049" spans="1:21" x14ac:dyDescent="0.25">
      <c r="A1049" t="s">
        <v>58</v>
      </c>
      <c r="B1049" t="s">
        <v>58</v>
      </c>
      <c r="C1049">
        <v>100</v>
      </c>
      <c r="D1049">
        <v>2</v>
      </c>
      <c r="E1049">
        <v>0</v>
      </c>
      <c r="F1049" t="s">
        <v>4244</v>
      </c>
      <c r="G1049">
        <v>200</v>
      </c>
      <c r="H1049">
        <v>0</v>
      </c>
      <c r="I1049" t="s">
        <v>140</v>
      </c>
      <c r="J1049" t="s">
        <v>4245</v>
      </c>
      <c r="K1049" t="s">
        <v>89</v>
      </c>
      <c r="L1049" t="s">
        <v>27</v>
      </c>
      <c r="M1049" t="s">
        <v>28</v>
      </c>
      <c r="N1049" t="s">
        <v>4246</v>
      </c>
      <c r="O1049" t="s">
        <v>27</v>
      </c>
      <c r="P1049" t="s">
        <v>30</v>
      </c>
      <c r="Q1049" t="s">
        <v>31</v>
      </c>
      <c r="R1049" t="s">
        <v>32</v>
      </c>
      <c r="S1049" t="s">
        <v>28</v>
      </c>
      <c r="T1049" t="s">
        <v>4247</v>
      </c>
      <c r="U1049" t="s">
        <v>4246</v>
      </c>
    </row>
    <row r="1050" spans="1:21" x14ac:dyDescent="0.25">
      <c r="A1050" t="s">
        <v>143</v>
      </c>
      <c r="B1050" t="s">
        <v>144</v>
      </c>
      <c r="C1050">
        <v>200</v>
      </c>
      <c r="D1050">
        <v>1</v>
      </c>
      <c r="E1050">
        <v>0</v>
      </c>
      <c r="F1050" t="s">
        <v>4248</v>
      </c>
      <c r="G1050">
        <v>200</v>
      </c>
      <c r="H1050">
        <v>0</v>
      </c>
      <c r="I1050" t="s">
        <v>24</v>
      </c>
      <c r="J1050" t="s">
        <v>4249</v>
      </c>
      <c r="K1050" t="s">
        <v>677</v>
      </c>
      <c r="L1050" t="s">
        <v>27</v>
      </c>
      <c r="M1050" t="s">
        <v>28</v>
      </c>
      <c r="N1050" t="s">
        <v>4250</v>
      </c>
      <c r="O1050" t="s">
        <v>27</v>
      </c>
      <c r="P1050" t="s">
        <v>39</v>
      </c>
      <c r="Q1050" t="s">
        <v>31</v>
      </c>
      <c r="R1050" t="s">
        <v>32</v>
      </c>
      <c r="S1050" t="s">
        <v>28</v>
      </c>
      <c r="T1050" t="s">
        <v>4251</v>
      </c>
      <c r="U1050" t="s">
        <v>4250</v>
      </c>
    </row>
    <row r="1051" spans="1:21" x14ac:dyDescent="0.25">
      <c r="A1051" t="s">
        <v>195</v>
      </c>
      <c r="B1051" t="s">
        <v>1003</v>
      </c>
      <c r="C1051">
        <v>112.35</v>
      </c>
      <c r="D1051">
        <v>1</v>
      </c>
      <c r="E1051">
        <v>0</v>
      </c>
      <c r="F1051" t="s">
        <v>4252</v>
      </c>
      <c r="G1051">
        <v>112.35</v>
      </c>
      <c r="H1051">
        <v>0</v>
      </c>
      <c r="I1051" t="s">
        <v>628</v>
      </c>
      <c r="J1051" t="s">
        <v>4253</v>
      </c>
      <c r="K1051" t="s">
        <v>4254</v>
      </c>
      <c r="L1051" t="s">
        <v>986</v>
      </c>
      <c r="M1051" t="s">
        <v>4255</v>
      </c>
      <c r="N1051" t="s">
        <v>4256</v>
      </c>
      <c r="O1051" t="s">
        <v>27</v>
      </c>
      <c r="P1051" t="s">
        <v>48</v>
      </c>
      <c r="Q1051" t="s">
        <v>49</v>
      </c>
      <c r="R1051" t="s">
        <v>50</v>
      </c>
      <c r="S1051" t="s">
        <v>28</v>
      </c>
      <c r="T1051" t="s">
        <v>4257</v>
      </c>
      <c r="U1051" t="s">
        <v>4256</v>
      </c>
    </row>
    <row r="1052" spans="1:21" x14ac:dyDescent="0.25">
      <c r="A1052" t="s">
        <v>33</v>
      </c>
      <c r="B1052" t="s">
        <v>34</v>
      </c>
      <c r="C1052">
        <v>200</v>
      </c>
      <c r="D1052">
        <v>1</v>
      </c>
      <c r="E1052">
        <v>0</v>
      </c>
      <c r="F1052" t="s">
        <v>4258</v>
      </c>
      <c r="G1052">
        <v>200</v>
      </c>
      <c r="H1052">
        <v>0</v>
      </c>
      <c r="I1052" t="s">
        <v>24</v>
      </c>
      <c r="J1052" t="s">
        <v>4259</v>
      </c>
      <c r="K1052" t="s">
        <v>285</v>
      </c>
      <c r="L1052" t="s">
        <v>27</v>
      </c>
      <c r="M1052" t="s">
        <v>28</v>
      </c>
      <c r="N1052" t="s">
        <v>4260</v>
      </c>
      <c r="O1052" t="s">
        <v>27</v>
      </c>
      <c r="P1052" t="s">
        <v>30</v>
      </c>
      <c r="Q1052" t="s">
        <v>31</v>
      </c>
      <c r="R1052" t="s">
        <v>32</v>
      </c>
      <c r="S1052" t="s">
        <v>28</v>
      </c>
      <c r="T1052" t="s">
        <v>4261</v>
      </c>
      <c r="U1052" t="s">
        <v>4260</v>
      </c>
    </row>
    <row r="1053" spans="1:21" x14ac:dyDescent="0.25">
      <c r="A1053" t="s">
        <v>70</v>
      </c>
      <c r="B1053" t="s">
        <v>70</v>
      </c>
      <c r="C1053">
        <v>350</v>
      </c>
      <c r="D1053">
        <v>1</v>
      </c>
      <c r="E1053">
        <v>0</v>
      </c>
      <c r="F1053" t="s">
        <v>4262</v>
      </c>
      <c r="G1053">
        <v>350</v>
      </c>
      <c r="H1053">
        <v>0</v>
      </c>
      <c r="I1053" t="s">
        <v>140</v>
      </c>
      <c r="J1053" t="s">
        <v>4263</v>
      </c>
      <c r="K1053" t="s">
        <v>325</v>
      </c>
      <c r="L1053" t="s">
        <v>27</v>
      </c>
      <c r="M1053" t="s">
        <v>28</v>
      </c>
      <c r="N1053" t="s">
        <v>4264</v>
      </c>
      <c r="O1053" t="s">
        <v>27</v>
      </c>
      <c r="P1053" t="s">
        <v>30</v>
      </c>
      <c r="Q1053" t="s">
        <v>31</v>
      </c>
      <c r="R1053" t="s">
        <v>32</v>
      </c>
      <c r="S1053" t="s">
        <v>28</v>
      </c>
      <c r="T1053" t="s">
        <v>4265</v>
      </c>
      <c r="U1053" t="s">
        <v>4264</v>
      </c>
    </row>
    <row r="1054" spans="1:21" x14ac:dyDescent="0.25">
      <c r="A1054" t="s">
        <v>195</v>
      </c>
      <c r="B1054" t="s">
        <v>1003</v>
      </c>
      <c r="C1054">
        <v>110.25</v>
      </c>
      <c r="D1054">
        <v>1</v>
      </c>
      <c r="E1054">
        <v>0</v>
      </c>
      <c r="F1054" t="s">
        <v>4266</v>
      </c>
      <c r="G1054">
        <v>115.25</v>
      </c>
      <c r="H1054">
        <v>5</v>
      </c>
      <c r="I1054" t="s">
        <v>628</v>
      </c>
      <c r="J1054" t="s">
        <v>4267</v>
      </c>
      <c r="K1054" t="s">
        <v>4268</v>
      </c>
      <c r="L1054" t="s">
        <v>2365</v>
      </c>
      <c r="M1054" t="s">
        <v>4269</v>
      </c>
      <c r="N1054" t="s">
        <v>4270</v>
      </c>
      <c r="O1054" t="s">
        <v>27</v>
      </c>
      <c r="P1054" t="s">
        <v>48</v>
      </c>
      <c r="Q1054" t="s">
        <v>49</v>
      </c>
      <c r="R1054" t="s">
        <v>50</v>
      </c>
      <c r="S1054" t="s">
        <v>28</v>
      </c>
      <c r="T1054" t="s">
        <v>4271</v>
      </c>
      <c r="U1054" t="s">
        <v>4270</v>
      </c>
    </row>
    <row r="1055" spans="1:21" x14ac:dyDescent="0.25">
      <c r="A1055" t="s">
        <v>195</v>
      </c>
      <c r="B1055" t="s">
        <v>1003</v>
      </c>
      <c r="C1055">
        <v>112.35</v>
      </c>
      <c r="D1055">
        <v>1</v>
      </c>
      <c r="E1055">
        <v>0</v>
      </c>
      <c r="F1055" t="s">
        <v>4272</v>
      </c>
      <c r="G1055">
        <v>117.35</v>
      </c>
      <c r="H1055">
        <v>5</v>
      </c>
      <c r="I1055" t="s">
        <v>628</v>
      </c>
      <c r="J1055" t="s">
        <v>4273</v>
      </c>
      <c r="K1055" t="s">
        <v>4274</v>
      </c>
      <c r="L1055" t="s">
        <v>4275</v>
      </c>
      <c r="M1055" t="s">
        <v>4276</v>
      </c>
      <c r="N1055" t="s">
        <v>4277</v>
      </c>
      <c r="O1055" t="s">
        <v>27</v>
      </c>
      <c r="P1055" t="s">
        <v>48</v>
      </c>
      <c r="Q1055" t="s">
        <v>49</v>
      </c>
      <c r="R1055" t="s">
        <v>50</v>
      </c>
      <c r="S1055" t="s">
        <v>28</v>
      </c>
      <c r="T1055" t="s">
        <v>4278</v>
      </c>
      <c r="U1055" t="s">
        <v>4277</v>
      </c>
    </row>
    <row r="1056" spans="1:21" x14ac:dyDescent="0.25">
      <c r="A1056" t="s">
        <v>33</v>
      </c>
      <c r="B1056" t="s">
        <v>34</v>
      </c>
      <c r="C1056">
        <v>200</v>
      </c>
      <c r="D1056">
        <v>1</v>
      </c>
      <c r="E1056">
        <v>0</v>
      </c>
      <c r="F1056" t="s">
        <v>4279</v>
      </c>
      <c r="G1056">
        <v>200</v>
      </c>
      <c r="H1056">
        <v>0</v>
      </c>
      <c r="I1056" t="s">
        <v>24</v>
      </c>
      <c r="J1056" t="s">
        <v>4280</v>
      </c>
      <c r="K1056" t="s">
        <v>936</v>
      </c>
      <c r="L1056" t="s">
        <v>27</v>
      </c>
      <c r="M1056" t="s">
        <v>28</v>
      </c>
      <c r="N1056" t="s">
        <v>4281</v>
      </c>
      <c r="O1056" t="s">
        <v>27</v>
      </c>
      <c r="P1056" t="s">
        <v>39</v>
      </c>
      <c r="Q1056" t="s">
        <v>31</v>
      </c>
      <c r="R1056" t="s">
        <v>32</v>
      </c>
      <c r="S1056" t="s">
        <v>28</v>
      </c>
      <c r="T1056" t="s">
        <v>4282</v>
      </c>
      <c r="U1056" t="s">
        <v>4281</v>
      </c>
    </row>
    <row r="1057" spans="1:21" x14ac:dyDescent="0.25">
      <c r="A1057" t="s">
        <v>58</v>
      </c>
      <c r="B1057" t="s">
        <v>58</v>
      </c>
      <c r="C1057">
        <v>100</v>
      </c>
      <c r="D1057">
        <v>3</v>
      </c>
      <c r="E1057">
        <v>0</v>
      </c>
      <c r="F1057" t="s">
        <v>4283</v>
      </c>
      <c r="G1057">
        <v>300</v>
      </c>
      <c r="H1057">
        <v>0</v>
      </c>
      <c r="I1057" t="s">
        <v>445</v>
      </c>
      <c r="J1057" t="s">
        <v>4284</v>
      </c>
      <c r="K1057" t="s">
        <v>1629</v>
      </c>
      <c r="L1057" t="s">
        <v>27</v>
      </c>
      <c r="M1057" t="s">
        <v>28</v>
      </c>
      <c r="N1057" t="s">
        <v>4281</v>
      </c>
      <c r="O1057" t="s">
        <v>27</v>
      </c>
      <c r="P1057" t="s">
        <v>56</v>
      </c>
      <c r="Q1057" t="s">
        <v>31</v>
      </c>
      <c r="R1057" t="s">
        <v>57</v>
      </c>
      <c r="S1057" t="s">
        <v>28</v>
      </c>
      <c r="T1057" t="s">
        <v>4285</v>
      </c>
      <c r="U1057" t="s">
        <v>4281</v>
      </c>
    </row>
    <row r="1058" spans="1:21" x14ac:dyDescent="0.25">
      <c r="A1058" t="s">
        <v>21</v>
      </c>
      <c r="B1058" t="s">
        <v>22</v>
      </c>
      <c r="C1058">
        <v>100</v>
      </c>
      <c r="D1058">
        <v>1</v>
      </c>
      <c r="E1058">
        <v>0</v>
      </c>
      <c r="F1058" t="s">
        <v>4286</v>
      </c>
      <c r="G1058">
        <v>145</v>
      </c>
      <c r="H1058">
        <v>45</v>
      </c>
      <c r="I1058" t="s">
        <v>445</v>
      </c>
      <c r="J1058" t="s">
        <v>4284</v>
      </c>
      <c r="K1058" t="s">
        <v>1629</v>
      </c>
      <c r="L1058" t="s">
        <v>27</v>
      </c>
      <c r="M1058" t="s">
        <v>28</v>
      </c>
      <c r="N1058" t="s">
        <v>4287</v>
      </c>
      <c r="O1058" t="s">
        <v>27</v>
      </c>
      <c r="P1058" t="s">
        <v>56</v>
      </c>
      <c r="Q1058" t="s">
        <v>31</v>
      </c>
      <c r="R1058" t="s">
        <v>57</v>
      </c>
      <c r="S1058" t="s">
        <v>28</v>
      </c>
      <c r="T1058" t="s">
        <v>4288</v>
      </c>
      <c r="U1058" t="s">
        <v>4287</v>
      </c>
    </row>
    <row r="1059" spans="1:21" x14ac:dyDescent="0.25">
      <c r="A1059" t="s">
        <v>58</v>
      </c>
      <c r="B1059" t="s">
        <v>103</v>
      </c>
      <c r="C1059">
        <v>74.83</v>
      </c>
      <c r="D1059">
        <v>1</v>
      </c>
      <c r="E1059">
        <v>0</v>
      </c>
      <c r="F1059" t="s">
        <v>4289</v>
      </c>
      <c r="G1059">
        <v>74.83</v>
      </c>
      <c r="H1059">
        <v>0</v>
      </c>
      <c r="I1059" t="s">
        <v>105</v>
      </c>
      <c r="J1059" t="s">
        <v>4290</v>
      </c>
      <c r="K1059" t="s">
        <v>4291</v>
      </c>
      <c r="L1059" t="s">
        <v>1437</v>
      </c>
      <c r="M1059" t="s">
        <v>4292</v>
      </c>
      <c r="N1059" t="s">
        <v>4293</v>
      </c>
      <c r="O1059" t="s">
        <v>27</v>
      </c>
      <c r="P1059" t="s">
        <v>48</v>
      </c>
      <c r="Q1059" t="s">
        <v>49</v>
      </c>
      <c r="R1059" t="s">
        <v>50</v>
      </c>
      <c r="S1059" t="s">
        <v>28</v>
      </c>
      <c r="T1059" t="s">
        <v>4294</v>
      </c>
      <c r="U1059" t="s">
        <v>4293</v>
      </c>
    </row>
    <row r="1060" spans="1:21" x14ac:dyDescent="0.25">
      <c r="A1060" t="s">
        <v>909</v>
      </c>
      <c r="B1060" t="s">
        <v>276</v>
      </c>
      <c r="C1060">
        <v>167.2</v>
      </c>
      <c r="D1060">
        <v>1</v>
      </c>
      <c r="E1060">
        <v>0</v>
      </c>
      <c r="F1060" t="s">
        <v>4295</v>
      </c>
      <c r="G1060">
        <v>172.2</v>
      </c>
      <c r="H1060">
        <v>5</v>
      </c>
      <c r="I1060" t="s">
        <v>24</v>
      </c>
      <c r="J1060" t="s">
        <v>4296</v>
      </c>
      <c r="K1060" t="s">
        <v>4297</v>
      </c>
      <c r="L1060" t="s">
        <v>4173</v>
      </c>
      <c r="M1060" t="s">
        <v>4298</v>
      </c>
      <c r="N1060" t="s">
        <v>4299</v>
      </c>
      <c r="O1060" t="s">
        <v>27</v>
      </c>
      <c r="P1060" t="s">
        <v>48</v>
      </c>
      <c r="Q1060" t="s">
        <v>49</v>
      </c>
      <c r="R1060" t="s">
        <v>50</v>
      </c>
      <c r="S1060" t="s">
        <v>28</v>
      </c>
      <c r="T1060" t="s">
        <v>4300</v>
      </c>
      <c r="U1060" t="s">
        <v>4299</v>
      </c>
    </row>
    <row r="1061" spans="1:21" x14ac:dyDescent="0.25">
      <c r="A1061" t="s">
        <v>456</v>
      </c>
      <c r="B1061" t="s">
        <v>1178</v>
      </c>
      <c r="C1061">
        <v>112.35</v>
      </c>
      <c r="D1061">
        <v>1</v>
      </c>
      <c r="E1061">
        <v>0</v>
      </c>
      <c r="F1061" t="s">
        <v>4301</v>
      </c>
      <c r="G1061">
        <v>112.35</v>
      </c>
      <c r="H1061">
        <v>0</v>
      </c>
      <c r="I1061" t="s">
        <v>628</v>
      </c>
      <c r="J1061" t="s">
        <v>4302</v>
      </c>
      <c r="K1061" t="s">
        <v>4303</v>
      </c>
      <c r="L1061" t="s">
        <v>1437</v>
      </c>
      <c r="M1061" t="s">
        <v>4304</v>
      </c>
      <c r="N1061" t="s">
        <v>4305</v>
      </c>
      <c r="O1061" t="s">
        <v>27</v>
      </c>
      <c r="P1061" t="s">
        <v>48</v>
      </c>
      <c r="Q1061" t="s">
        <v>49</v>
      </c>
      <c r="R1061" t="s">
        <v>50</v>
      </c>
      <c r="S1061" t="s">
        <v>28</v>
      </c>
      <c r="T1061" t="s">
        <v>4306</v>
      </c>
      <c r="U1061" t="s">
        <v>4307</v>
      </c>
    </row>
    <row r="1062" spans="1:21" x14ac:dyDescent="0.25">
      <c r="A1062" t="s">
        <v>134</v>
      </c>
      <c r="B1062" t="s">
        <v>64</v>
      </c>
      <c r="C1062">
        <v>100</v>
      </c>
      <c r="D1062">
        <v>2</v>
      </c>
      <c r="E1062">
        <v>0</v>
      </c>
      <c r="F1062" t="s">
        <v>4308</v>
      </c>
      <c r="G1062">
        <v>200</v>
      </c>
      <c r="H1062">
        <v>0</v>
      </c>
      <c r="I1062" t="s">
        <v>445</v>
      </c>
      <c r="J1062" t="s">
        <v>4309</v>
      </c>
      <c r="K1062" t="s">
        <v>4310</v>
      </c>
      <c r="L1062" t="s">
        <v>27</v>
      </c>
      <c r="M1062" t="s">
        <v>28</v>
      </c>
      <c r="N1062" t="s">
        <v>4311</v>
      </c>
      <c r="O1062" t="s">
        <v>27</v>
      </c>
      <c r="P1062" t="s">
        <v>56</v>
      </c>
      <c r="Q1062" t="s">
        <v>31</v>
      </c>
      <c r="R1062" t="s">
        <v>57</v>
      </c>
      <c r="S1062" t="s">
        <v>28</v>
      </c>
      <c r="T1062" t="s">
        <v>4312</v>
      </c>
      <c r="U1062" t="s">
        <v>4313</v>
      </c>
    </row>
    <row r="1063" spans="1:21" x14ac:dyDescent="0.25">
      <c r="A1063" t="s">
        <v>63</v>
      </c>
      <c r="B1063" t="s">
        <v>64</v>
      </c>
      <c r="C1063">
        <v>100</v>
      </c>
      <c r="D1063">
        <v>3</v>
      </c>
      <c r="E1063">
        <v>0</v>
      </c>
      <c r="F1063" t="s">
        <v>4314</v>
      </c>
      <c r="G1063">
        <v>300</v>
      </c>
      <c r="H1063">
        <v>0</v>
      </c>
      <c r="I1063" t="s">
        <v>140</v>
      </c>
      <c r="J1063" t="s">
        <v>847</v>
      </c>
      <c r="K1063" t="s">
        <v>325</v>
      </c>
      <c r="L1063" t="s">
        <v>27</v>
      </c>
      <c r="M1063" t="s">
        <v>28</v>
      </c>
      <c r="N1063" t="s">
        <v>4315</v>
      </c>
      <c r="O1063" t="s">
        <v>27</v>
      </c>
      <c r="P1063" t="s">
        <v>30</v>
      </c>
      <c r="Q1063" t="s">
        <v>31</v>
      </c>
      <c r="R1063" t="s">
        <v>32</v>
      </c>
      <c r="S1063" t="s">
        <v>28</v>
      </c>
      <c r="T1063" t="s">
        <v>4316</v>
      </c>
      <c r="U1063" t="s">
        <v>4315</v>
      </c>
    </row>
    <row r="1064" spans="1:21" x14ac:dyDescent="0.25">
      <c r="A1064" t="s">
        <v>456</v>
      </c>
      <c r="B1064" t="s">
        <v>1178</v>
      </c>
      <c r="C1064">
        <v>129.77000000000001</v>
      </c>
      <c r="D1064">
        <v>1</v>
      </c>
      <c r="E1064">
        <v>0</v>
      </c>
      <c r="F1064" t="s">
        <v>4317</v>
      </c>
      <c r="G1064">
        <v>264.54000000000002</v>
      </c>
      <c r="H1064">
        <v>5</v>
      </c>
      <c r="I1064" t="s">
        <v>628</v>
      </c>
      <c r="J1064" t="s">
        <v>4318</v>
      </c>
      <c r="K1064" t="s">
        <v>4319</v>
      </c>
      <c r="L1064" t="s">
        <v>3704</v>
      </c>
      <c r="M1064" t="s">
        <v>4320</v>
      </c>
      <c r="N1064" t="s">
        <v>4321</v>
      </c>
      <c r="O1064" t="s">
        <v>27</v>
      </c>
      <c r="P1064" t="s">
        <v>48</v>
      </c>
      <c r="Q1064" t="s">
        <v>49</v>
      </c>
      <c r="R1064" t="s">
        <v>50</v>
      </c>
      <c r="S1064" t="s">
        <v>28</v>
      </c>
      <c r="T1064" t="s">
        <v>4322</v>
      </c>
      <c r="U1064" t="s">
        <v>4323</v>
      </c>
    </row>
    <row r="1065" spans="1:21" x14ac:dyDescent="0.25">
      <c r="A1065" t="s">
        <v>456</v>
      </c>
      <c r="B1065" t="s">
        <v>1178</v>
      </c>
      <c r="C1065">
        <v>129.77000000000001</v>
      </c>
      <c r="D1065">
        <v>1</v>
      </c>
      <c r="E1065">
        <v>0</v>
      </c>
      <c r="F1065" t="s">
        <v>4317</v>
      </c>
      <c r="G1065">
        <v>264.54000000000002</v>
      </c>
      <c r="H1065">
        <v>5</v>
      </c>
      <c r="I1065" t="s">
        <v>628</v>
      </c>
      <c r="J1065" t="s">
        <v>4318</v>
      </c>
      <c r="K1065" t="s">
        <v>4319</v>
      </c>
      <c r="L1065" t="s">
        <v>3704</v>
      </c>
      <c r="M1065" t="s">
        <v>4320</v>
      </c>
      <c r="N1065" t="s">
        <v>4321</v>
      </c>
      <c r="O1065" t="s">
        <v>27</v>
      </c>
      <c r="P1065" t="s">
        <v>48</v>
      </c>
      <c r="Q1065" t="s">
        <v>49</v>
      </c>
      <c r="R1065" t="s">
        <v>50</v>
      </c>
      <c r="S1065" t="s">
        <v>28</v>
      </c>
      <c r="T1065" t="s">
        <v>4322</v>
      </c>
      <c r="U1065" t="s">
        <v>4323</v>
      </c>
    </row>
    <row r="1066" spans="1:21" x14ac:dyDescent="0.25">
      <c r="A1066" t="s">
        <v>58</v>
      </c>
      <c r="B1066" t="s">
        <v>103</v>
      </c>
      <c r="C1066">
        <v>78.14</v>
      </c>
      <c r="D1066">
        <v>1</v>
      </c>
      <c r="E1066">
        <v>0</v>
      </c>
      <c r="F1066" t="s">
        <v>4324</v>
      </c>
      <c r="G1066">
        <v>83.14</v>
      </c>
      <c r="H1066">
        <v>5</v>
      </c>
      <c r="I1066" t="s">
        <v>105</v>
      </c>
      <c r="J1066" t="s">
        <v>4325</v>
      </c>
      <c r="K1066" t="s">
        <v>4326</v>
      </c>
      <c r="L1066" t="s">
        <v>1362</v>
      </c>
      <c r="M1066" t="s">
        <v>4327</v>
      </c>
      <c r="N1066" t="s">
        <v>4328</v>
      </c>
      <c r="O1066" t="s">
        <v>27</v>
      </c>
      <c r="P1066" t="s">
        <v>48</v>
      </c>
      <c r="Q1066" t="s">
        <v>49</v>
      </c>
      <c r="R1066" t="s">
        <v>50</v>
      </c>
      <c r="S1066" t="s">
        <v>28</v>
      </c>
      <c r="T1066" t="s">
        <v>4329</v>
      </c>
      <c r="U1066" t="s">
        <v>4328</v>
      </c>
    </row>
    <row r="1067" spans="1:21" x14ac:dyDescent="0.25">
      <c r="A1067" t="s">
        <v>63</v>
      </c>
      <c r="B1067" t="s">
        <v>64</v>
      </c>
      <c r="C1067">
        <v>100</v>
      </c>
      <c r="D1067">
        <v>1</v>
      </c>
      <c r="E1067">
        <v>0</v>
      </c>
      <c r="F1067" t="s">
        <v>4330</v>
      </c>
      <c r="G1067">
        <v>145</v>
      </c>
      <c r="H1067">
        <v>45</v>
      </c>
      <c r="I1067" t="s">
        <v>24</v>
      </c>
      <c r="J1067" t="s">
        <v>4331</v>
      </c>
      <c r="K1067" t="s">
        <v>37</v>
      </c>
      <c r="L1067" t="s">
        <v>27</v>
      </c>
      <c r="M1067" t="s">
        <v>28</v>
      </c>
      <c r="N1067" t="s">
        <v>4332</v>
      </c>
      <c r="O1067" t="s">
        <v>27</v>
      </c>
      <c r="P1067" t="s">
        <v>30</v>
      </c>
      <c r="Q1067" t="s">
        <v>31</v>
      </c>
      <c r="R1067" t="s">
        <v>32</v>
      </c>
      <c r="S1067" t="s">
        <v>28</v>
      </c>
      <c r="T1067" t="s">
        <v>4333</v>
      </c>
      <c r="U1067" t="s">
        <v>4332</v>
      </c>
    </row>
    <row r="1068" spans="1:21" x14ac:dyDescent="0.25">
      <c r="A1068" t="s">
        <v>4334</v>
      </c>
      <c r="B1068" t="s">
        <v>4335</v>
      </c>
      <c r="C1068">
        <v>180</v>
      </c>
      <c r="D1068">
        <v>1</v>
      </c>
      <c r="E1068">
        <v>0</v>
      </c>
      <c r="F1068" t="s">
        <v>4336</v>
      </c>
      <c r="G1068">
        <v>180</v>
      </c>
      <c r="H1068">
        <v>0</v>
      </c>
      <c r="I1068" t="s">
        <v>24</v>
      </c>
      <c r="J1068" t="s">
        <v>4337</v>
      </c>
      <c r="K1068" t="s">
        <v>250</v>
      </c>
      <c r="L1068" t="s">
        <v>27</v>
      </c>
      <c r="M1068" t="s">
        <v>28</v>
      </c>
      <c r="N1068" t="s">
        <v>4338</v>
      </c>
      <c r="O1068" t="s">
        <v>27</v>
      </c>
      <c r="P1068" t="s">
        <v>39</v>
      </c>
      <c r="Q1068" t="s">
        <v>31</v>
      </c>
      <c r="R1068" t="s">
        <v>32</v>
      </c>
      <c r="S1068" t="s">
        <v>28</v>
      </c>
      <c r="T1068" t="s">
        <v>4339</v>
      </c>
      <c r="U1068" t="s">
        <v>4338</v>
      </c>
    </row>
    <row r="1069" spans="1:21" x14ac:dyDescent="0.25">
      <c r="A1069" t="s">
        <v>21</v>
      </c>
      <c r="B1069" t="s">
        <v>22</v>
      </c>
      <c r="C1069">
        <v>100</v>
      </c>
      <c r="D1069">
        <v>1</v>
      </c>
      <c r="E1069">
        <v>0</v>
      </c>
      <c r="F1069" t="s">
        <v>4340</v>
      </c>
      <c r="G1069">
        <v>106</v>
      </c>
      <c r="H1069">
        <v>6</v>
      </c>
      <c r="I1069" t="s">
        <v>445</v>
      </c>
      <c r="J1069" t="s">
        <v>4341</v>
      </c>
      <c r="K1069" t="s">
        <v>1602</v>
      </c>
      <c r="L1069" t="s">
        <v>27</v>
      </c>
      <c r="M1069" t="s">
        <v>28</v>
      </c>
      <c r="N1069" t="s">
        <v>4342</v>
      </c>
      <c r="O1069" t="s">
        <v>27</v>
      </c>
      <c r="P1069" t="s">
        <v>39</v>
      </c>
      <c r="Q1069" t="s">
        <v>31</v>
      </c>
      <c r="R1069" t="s">
        <v>32</v>
      </c>
      <c r="S1069" t="s">
        <v>28</v>
      </c>
      <c r="T1069" t="s">
        <v>4343</v>
      </c>
      <c r="U1069" t="s">
        <v>4342</v>
      </c>
    </row>
    <row r="1070" spans="1:21" x14ac:dyDescent="0.25">
      <c r="A1070" t="s">
        <v>195</v>
      </c>
      <c r="B1070" t="s">
        <v>1003</v>
      </c>
      <c r="C1070">
        <v>112.35</v>
      </c>
      <c r="D1070">
        <v>1</v>
      </c>
      <c r="E1070">
        <v>0</v>
      </c>
      <c r="F1070" t="s">
        <v>4344</v>
      </c>
      <c r="G1070">
        <v>117.35</v>
      </c>
      <c r="H1070">
        <v>5</v>
      </c>
      <c r="I1070" t="s">
        <v>628</v>
      </c>
      <c r="J1070" t="s">
        <v>4345</v>
      </c>
      <c r="K1070" t="s">
        <v>4346</v>
      </c>
      <c r="L1070" t="s">
        <v>1900</v>
      </c>
      <c r="M1070" t="s">
        <v>4347</v>
      </c>
      <c r="N1070" t="s">
        <v>4348</v>
      </c>
      <c r="O1070" t="s">
        <v>27</v>
      </c>
      <c r="P1070" t="s">
        <v>48</v>
      </c>
      <c r="Q1070" t="s">
        <v>49</v>
      </c>
      <c r="R1070" t="s">
        <v>50</v>
      </c>
      <c r="S1070" t="s">
        <v>28</v>
      </c>
      <c r="T1070" t="s">
        <v>4349</v>
      </c>
      <c r="U1070" t="s">
        <v>4348</v>
      </c>
    </row>
    <row r="1071" spans="1:21" x14ac:dyDescent="0.25">
      <c r="A1071" t="s">
        <v>70</v>
      </c>
      <c r="B1071" t="s">
        <v>70</v>
      </c>
      <c r="C1071">
        <v>350</v>
      </c>
      <c r="D1071">
        <v>1</v>
      </c>
      <c r="E1071">
        <v>0</v>
      </c>
      <c r="F1071" t="s">
        <v>4350</v>
      </c>
      <c r="G1071">
        <v>350</v>
      </c>
      <c r="H1071">
        <v>0</v>
      </c>
      <c r="I1071" t="s">
        <v>140</v>
      </c>
      <c r="J1071" t="s">
        <v>4351</v>
      </c>
      <c r="K1071" t="s">
        <v>791</v>
      </c>
      <c r="L1071" t="s">
        <v>27</v>
      </c>
      <c r="M1071" t="s">
        <v>28</v>
      </c>
      <c r="N1071" t="s">
        <v>4352</v>
      </c>
      <c r="O1071" t="s">
        <v>27</v>
      </c>
      <c r="P1071" t="s">
        <v>30</v>
      </c>
      <c r="Q1071" t="s">
        <v>31</v>
      </c>
      <c r="R1071" t="s">
        <v>32</v>
      </c>
      <c r="S1071" t="s">
        <v>28</v>
      </c>
      <c r="T1071" t="s">
        <v>4353</v>
      </c>
      <c r="U1071" t="s">
        <v>4352</v>
      </c>
    </row>
    <row r="1072" spans="1:21" x14ac:dyDescent="0.25">
      <c r="A1072" t="s">
        <v>33</v>
      </c>
      <c r="B1072" t="s">
        <v>34</v>
      </c>
      <c r="C1072">
        <v>200</v>
      </c>
      <c r="D1072">
        <v>2</v>
      </c>
      <c r="E1072">
        <v>0</v>
      </c>
      <c r="F1072" t="s">
        <v>4354</v>
      </c>
      <c r="G1072">
        <v>400</v>
      </c>
      <c r="H1072">
        <v>0</v>
      </c>
      <c r="I1072" t="s">
        <v>24</v>
      </c>
      <c r="J1072" t="s">
        <v>4355</v>
      </c>
      <c r="K1072" t="s">
        <v>73</v>
      </c>
      <c r="L1072" t="s">
        <v>27</v>
      </c>
      <c r="M1072" t="s">
        <v>28</v>
      </c>
      <c r="N1072" t="s">
        <v>4356</v>
      </c>
      <c r="O1072" t="s">
        <v>27</v>
      </c>
      <c r="P1072" t="s">
        <v>56</v>
      </c>
      <c r="Q1072" t="s">
        <v>31</v>
      </c>
      <c r="R1072" t="s">
        <v>57</v>
      </c>
      <c r="S1072" t="s">
        <v>28</v>
      </c>
      <c r="T1072" t="s">
        <v>4357</v>
      </c>
      <c r="U1072" t="s">
        <v>4356</v>
      </c>
    </row>
    <row r="1073" spans="1:21" x14ac:dyDescent="0.25">
      <c r="A1073" t="s">
        <v>21</v>
      </c>
      <c r="B1073" t="s">
        <v>22</v>
      </c>
      <c r="C1073">
        <v>100</v>
      </c>
      <c r="D1073">
        <v>1</v>
      </c>
      <c r="E1073">
        <v>0</v>
      </c>
      <c r="F1073" t="s">
        <v>4358</v>
      </c>
      <c r="G1073">
        <v>145</v>
      </c>
      <c r="H1073">
        <v>45</v>
      </c>
      <c r="I1073" t="s">
        <v>140</v>
      </c>
      <c r="J1073" t="s">
        <v>4359</v>
      </c>
      <c r="K1073" t="s">
        <v>273</v>
      </c>
      <c r="L1073" t="s">
        <v>27</v>
      </c>
      <c r="M1073" t="s">
        <v>28</v>
      </c>
      <c r="N1073" t="s">
        <v>4360</v>
      </c>
      <c r="O1073" t="s">
        <v>27</v>
      </c>
      <c r="P1073" t="s">
        <v>30</v>
      </c>
      <c r="Q1073" t="s">
        <v>31</v>
      </c>
      <c r="R1073" t="s">
        <v>32</v>
      </c>
      <c r="S1073" t="s">
        <v>28</v>
      </c>
      <c r="T1073" t="s">
        <v>4361</v>
      </c>
      <c r="U1073" t="s">
        <v>4360</v>
      </c>
    </row>
    <row r="1074" spans="1:21" x14ac:dyDescent="0.25">
      <c r="A1074" t="s">
        <v>195</v>
      </c>
      <c r="B1074" t="s">
        <v>1003</v>
      </c>
      <c r="C1074">
        <v>112.35</v>
      </c>
      <c r="D1074">
        <v>1</v>
      </c>
      <c r="E1074">
        <v>0</v>
      </c>
      <c r="F1074" t="s">
        <v>4362</v>
      </c>
      <c r="G1074">
        <v>112.35</v>
      </c>
      <c r="H1074">
        <v>0</v>
      </c>
      <c r="I1074" t="s">
        <v>628</v>
      </c>
      <c r="J1074" t="s">
        <v>4363</v>
      </c>
      <c r="K1074" t="s">
        <v>4364</v>
      </c>
      <c r="L1074" t="s">
        <v>1184</v>
      </c>
      <c r="M1074" t="s">
        <v>4365</v>
      </c>
      <c r="N1074" t="s">
        <v>4360</v>
      </c>
      <c r="O1074" t="s">
        <v>27</v>
      </c>
      <c r="P1074" t="s">
        <v>48</v>
      </c>
      <c r="Q1074" t="s">
        <v>49</v>
      </c>
      <c r="R1074" t="s">
        <v>50</v>
      </c>
      <c r="S1074" t="s">
        <v>28</v>
      </c>
      <c r="T1074" t="s">
        <v>4366</v>
      </c>
      <c r="U1074" t="s">
        <v>4360</v>
      </c>
    </row>
    <row r="1075" spans="1:21" x14ac:dyDescent="0.25">
      <c r="A1075" t="s">
        <v>33</v>
      </c>
      <c r="B1075" t="s">
        <v>34</v>
      </c>
      <c r="C1075">
        <v>200</v>
      </c>
      <c r="D1075">
        <v>1</v>
      </c>
      <c r="E1075">
        <v>0</v>
      </c>
      <c r="F1075" t="s">
        <v>4367</v>
      </c>
      <c r="G1075">
        <v>200</v>
      </c>
      <c r="H1075">
        <v>0</v>
      </c>
      <c r="I1075" t="s">
        <v>445</v>
      </c>
      <c r="J1075" t="s">
        <v>4368</v>
      </c>
      <c r="K1075" t="s">
        <v>1038</v>
      </c>
      <c r="L1075" t="s">
        <v>27</v>
      </c>
      <c r="M1075" t="s">
        <v>28</v>
      </c>
      <c r="N1075" t="s">
        <v>4369</v>
      </c>
      <c r="O1075" t="s">
        <v>27</v>
      </c>
      <c r="P1075" t="s">
        <v>39</v>
      </c>
      <c r="Q1075" t="s">
        <v>31</v>
      </c>
      <c r="R1075" t="s">
        <v>32</v>
      </c>
      <c r="S1075" t="s">
        <v>28</v>
      </c>
      <c r="T1075" t="s">
        <v>4370</v>
      </c>
      <c r="U1075" t="s">
        <v>4369</v>
      </c>
    </row>
    <row r="1076" spans="1:21" x14ac:dyDescent="0.25">
      <c r="A1076" t="s">
        <v>456</v>
      </c>
      <c r="B1076" t="s">
        <v>1178</v>
      </c>
      <c r="C1076">
        <v>142.31</v>
      </c>
      <c r="D1076">
        <v>1</v>
      </c>
      <c r="E1076">
        <v>0</v>
      </c>
      <c r="F1076" t="s">
        <v>4371</v>
      </c>
      <c r="G1076">
        <v>147.31</v>
      </c>
      <c r="H1076">
        <v>5</v>
      </c>
      <c r="I1076" t="s">
        <v>628</v>
      </c>
      <c r="J1076" t="s">
        <v>3993</v>
      </c>
      <c r="K1076" t="s">
        <v>3994</v>
      </c>
      <c r="L1076" t="s">
        <v>3659</v>
      </c>
      <c r="M1076" t="s">
        <v>3995</v>
      </c>
      <c r="N1076" t="s">
        <v>4372</v>
      </c>
      <c r="O1076" t="s">
        <v>27</v>
      </c>
      <c r="P1076" t="s">
        <v>48</v>
      </c>
      <c r="Q1076" t="s">
        <v>49</v>
      </c>
      <c r="R1076" t="s">
        <v>50</v>
      </c>
      <c r="S1076" t="s">
        <v>28</v>
      </c>
      <c r="T1076" t="s">
        <v>4373</v>
      </c>
      <c r="U1076" t="s">
        <v>4372</v>
      </c>
    </row>
    <row r="1077" spans="1:21" x14ac:dyDescent="0.25">
      <c r="A1077" t="s">
        <v>456</v>
      </c>
      <c r="B1077" t="s">
        <v>1178</v>
      </c>
      <c r="C1077">
        <v>149.80000000000001</v>
      </c>
      <c r="D1077">
        <v>1</v>
      </c>
      <c r="E1077">
        <v>0</v>
      </c>
      <c r="F1077" t="s">
        <v>4374</v>
      </c>
      <c r="G1077">
        <v>154.80000000000001</v>
      </c>
      <c r="H1077">
        <v>5</v>
      </c>
      <c r="I1077" t="s">
        <v>628</v>
      </c>
      <c r="J1077" t="s">
        <v>4375</v>
      </c>
      <c r="K1077" t="s">
        <v>4376</v>
      </c>
      <c r="L1077" t="s">
        <v>1907</v>
      </c>
      <c r="M1077" t="s">
        <v>2628</v>
      </c>
      <c r="N1077" t="s">
        <v>4377</v>
      </c>
      <c r="O1077" t="s">
        <v>27</v>
      </c>
      <c r="P1077" t="s">
        <v>48</v>
      </c>
      <c r="Q1077" t="s">
        <v>49</v>
      </c>
      <c r="R1077" t="s">
        <v>50</v>
      </c>
      <c r="S1077" t="s">
        <v>28</v>
      </c>
      <c r="T1077" t="s">
        <v>4378</v>
      </c>
      <c r="U1077" t="s">
        <v>4377</v>
      </c>
    </row>
    <row r="1078" spans="1:21" x14ac:dyDescent="0.25">
      <c r="A1078" t="s">
        <v>33</v>
      </c>
      <c r="B1078" t="s">
        <v>34</v>
      </c>
      <c r="C1078">
        <v>200</v>
      </c>
      <c r="D1078">
        <v>1</v>
      </c>
      <c r="E1078">
        <v>0</v>
      </c>
      <c r="F1078" t="s">
        <v>4379</v>
      </c>
      <c r="G1078">
        <v>200</v>
      </c>
      <c r="H1078">
        <v>0</v>
      </c>
      <c r="I1078" t="s">
        <v>445</v>
      </c>
      <c r="J1078" t="s">
        <v>4380</v>
      </c>
      <c r="K1078" t="s">
        <v>758</v>
      </c>
      <c r="L1078" t="s">
        <v>27</v>
      </c>
      <c r="M1078" t="s">
        <v>28</v>
      </c>
      <c r="N1078" t="s">
        <v>4377</v>
      </c>
      <c r="O1078" t="s">
        <v>27</v>
      </c>
      <c r="P1078" t="s">
        <v>39</v>
      </c>
      <c r="Q1078" t="s">
        <v>31</v>
      </c>
      <c r="R1078" t="s">
        <v>32</v>
      </c>
      <c r="S1078" t="s">
        <v>28</v>
      </c>
      <c r="T1078" t="s">
        <v>4381</v>
      </c>
      <c r="U1078" t="s">
        <v>4377</v>
      </c>
    </row>
    <row r="1079" spans="1:21" x14ac:dyDescent="0.25">
      <c r="A1079" t="s">
        <v>195</v>
      </c>
      <c r="B1079" t="s">
        <v>4382</v>
      </c>
      <c r="C1079">
        <v>182.5</v>
      </c>
      <c r="D1079">
        <v>1</v>
      </c>
      <c r="E1079">
        <v>0</v>
      </c>
      <c r="F1079" t="s">
        <v>4383</v>
      </c>
      <c r="G1079">
        <v>206.5</v>
      </c>
      <c r="H1079">
        <v>24</v>
      </c>
      <c r="I1079" t="s">
        <v>24</v>
      </c>
      <c r="J1079" t="s">
        <v>3993</v>
      </c>
      <c r="K1079" t="s">
        <v>3994</v>
      </c>
      <c r="L1079" t="s">
        <v>3659</v>
      </c>
      <c r="M1079" t="s">
        <v>3995</v>
      </c>
      <c r="N1079" t="s">
        <v>4377</v>
      </c>
      <c r="O1079" t="s">
        <v>27</v>
      </c>
      <c r="P1079" t="s">
        <v>48</v>
      </c>
      <c r="Q1079" t="s">
        <v>49</v>
      </c>
      <c r="R1079" t="s">
        <v>50</v>
      </c>
      <c r="S1079" t="s">
        <v>28</v>
      </c>
      <c r="T1079" t="s">
        <v>4384</v>
      </c>
      <c r="U1079" t="s">
        <v>4377</v>
      </c>
    </row>
    <row r="1080" spans="1:21" x14ac:dyDescent="0.25">
      <c r="A1080" t="s">
        <v>909</v>
      </c>
      <c r="B1080" t="s">
        <v>3592</v>
      </c>
      <c r="C1080">
        <v>240</v>
      </c>
      <c r="D1080">
        <v>1</v>
      </c>
      <c r="E1080">
        <v>0</v>
      </c>
      <c r="F1080" t="s">
        <v>4385</v>
      </c>
      <c r="G1080">
        <v>240</v>
      </c>
      <c r="H1080">
        <v>0</v>
      </c>
      <c r="I1080" t="s">
        <v>140</v>
      </c>
      <c r="J1080" t="s">
        <v>4386</v>
      </c>
      <c r="K1080" t="s">
        <v>3150</v>
      </c>
      <c r="L1080" t="s">
        <v>27</v>
      </c>
      <c r="M1080" t="s">
        <v>28</v>
      </c>
      <c r="N1080" t="s">
        <v>4387</v>
      </c>
      <c r="O1080" t="s">
        <v>27</v>
      </c>
      <c r="P1080" t="s">
        <v>30</v>
      </c>
      <c r="Q1080" t="s">
        <v>31</v>
      </c>
      <c r="R1080" t="s">
        <v>32</v>
      </c>
      <c r="S1080" t="s">
        <v>28</v>
      </c>
      <c r="T1080" t="s">
        <v>4388</v>
      </c>
      <c r="U1080" t="s">
        <v>4387</v>
      </c>
    </row>
    <row r="1081" spans="1:21" x14ac:dyDescent="0.25">
      <c r="A1081" t="s">
        <v>33</v>
      </c>
      <c r="B1081" t="s">
        <v>34</v>
      </c>
      <c r="C1081">
        <v>200</v>
      </c>
      <c r="D1081">
        <v>1</v>
      </c>
      <c r="E1081">
        <v>0</v>
      </c>
      <c r="F1081" t="s">
        <v>4389</v>
      </c>
      <c r="G1081">
        <v>200</v>
      </c>
      <c r="H1081">
        <v>0</v>
      </c>
      <c r="I1081" t="s">
        <v>445</v>
      </c>
      <c r="J1081" t="s">
        <v>4390</v>
      </c>
      <c r="K1081" t="s">
        <v>250</v>
      </c>
      <c r="L1081" t="s">
        <v>27</v>
      </c>
      <c r="M1081" t="s">
        <v>28</v>
      </c>
      <c r="N1081" t="s">
        <v>4387</v>
      </c>
      <c r="O1081" t="s">
        <v>27</v>
      </c>
      <c r="P1081" t="s">
        <v>39</v>
      </c>
      <c r="Q1081" t="s">
        <v>31</v>
      </c>
      <c r="R1081" t="s">
        <v>32</v>
      </c>
      <c r="S1081" t="s">
        <v>28</v>
      </c>
      <c r="T1081" t="s">
        <v>4391</v>
      </c>
      <c r="U1081" t="s">
        <v>4387</v>
      </c>
    </row>
    <row r="1082" spans="1:21" x14ac:dyDescent="0.25">
      <c r="A1082" t="s">
        <v>134</v>
      </c>
      <c r="B1082" t="s">
        <v>64</v>
      </c>
      <c r="C1082">
        <v>150</v>
      </c>
      <c r="D1082">
        <v>1</v>
      </c>
      <c r="E1082">
        <v>0</v>
      </c>
      <c r="F1082" t="s">
        <v>4392</v>
      </c>
      <c r="G1082">
        <v>185</v>
      </c>
      <c r="H1082">
        <v>35</v>
      </c>
      <c r="I1082" t="s">
        <v>24</v>
      </c>
      <c r="J1082" t="s">
        <v>4393</v>
      </c>
      <c r="K1082" t="s">
        <v>4394</v>
      </c>
      <c r="L1082" t="s">
        <v>81</v>
      </c>
      <c r="M1082" t="s">
        <v>3033</v>
      </c>
      <c r="N1082" t="s">
        <v>4395</v>
      </c>
      <c r="O1082" t="s">
        <v>27</v>
      </c>
      <c r="P1082" t="s">
        <v>84</v>
      </c>
      <c r="Q1082" t="s">
        <v>85</v>
      </c>
      <c r="R1082" t="s">
        <v>86</v>
      </c>
      <c r="S1082" t="s">
        <v>28</v>
      </c>
      <c r="T1082" t="s">
        <v>4396</v>
      </c>
      <c r="U1082" t="s">
        <v>4395</v>
      </c>
    </row>
    <row r="1083" spans="1:21" x14ac:dyDescent="0.25">
      <c r="A1083" t="s">
        <v>58</v>
      </c>
      <c r="B1083" t="s">
        <v>58</v>
      </c>
      <c r="C1083">
        <v>100</v>
      </c>
      <c r="D1083">
        <v>1</v>
      </c>
      <c r="E1083">
        <v>0</v>
      </c>
      <c r="F1083" t="s">
        <v>4397</v>
      </c>
      <c r="G1083">
        <v>100</v>
      </c>
      <c r="H1083">
        <v>0</v>
      </c>
      <c r="I1083" t="s">
        <v>445</v>
      </c>
      <c r="J1083" t="s">
        <v>4398</v>
      </c>
      <c r="K1083" t="s">
        <v>3713</v>
      </c>
      <c r="L1083" t="s">
        <v>27</v>
      </c>
      <c r="M1083" t="s">
        <v>28</v>
      </c>
      <c r="N1083" t="s">
        <v>4399</v>
      </c>
      <c r="O1083" t="s">
        <v>27</v>
      </c>
      <c r="P1083" t="s">
        <v>56</v>
      </c>
      <c r="Q1083" t="s">
        <v>31</v>
      </c>
      <c r="R1083" t="s">
        <v>57</v>
      </c>
      <c r="S1083" t="s">
        <v>28</v>
      </c>
      <c r="T1083" t="s">
        <v>4400</v>
      </c>
      <c r="U1083" t="s">
        <v>4399</v>
      </c>
    </row>
    <row r="1084" spans="1:21" x14ac:dyDescent="0.25">
      <c r="A1084" t="s">
        <v>21</v>
      </c>
      <c r="B1084" t="s">
        <v>22</v>
      </c>
      <c r="C1084">
        <v>100</v>
      </c>
      <c r="D1084">
        <v>1</v>
      </c>
      <c r="E1084">
        <v>0</v>
      </c>
      <c r="F1084" t="s">
        <v>4401</v>
      </c>
      <c r="G1084">
        <v>106</v>
      </c>
      <c r="H1084">
        <v>6</v>
      </c>
      <c r="I1084" t="s">
        <v>445</v>
      </c>
      <c r="J1084" t="s">
        <v>4402</v>
      </c>
      <c r="K1084" t="s">
        <v>466</v>
      </c>
      <c r="L1084" t="s">
        <v>27</v>
      </c>
      <c r="M1084" t="s">
        <v>28</v>
      </c>
      <c r="N1084" t="s">
        <v>4403</v>
      </c>
      <c r="O1084" t="s">
        <v>27</v>
      </c>
      <c r="P1084" t="s">
        <v>39</v>
      </c>
      <c r="Q1084" t="s">
        <v>31</v>
      </c>
      <c r="R1084" t="s">
        <v>32</v>
      </c>
      <c r="S1084" t="s">
        <v>28</v>
      </c>
      <c r="T1084" t="s">
        <v>4404</v>
      </c>
      <c r="U1084" t="s">
        <v>4403</v>
      </c>
    </row>
    <row r="1085" spans="1:21" x14ac:dyDescent="0.25">
      <c r="A1085" t="s">
        <v>33</v>
      </c>
      <c r="B1085" t="s">
        <v>34</v>
      </c>
      <c r="C1085">
        <v>200</v>
      </c>
      <c r="D1085">
        <v>1</v>
      </c>
      <c r="E1085">
        <v>0</v>
      </c>
      <c r="F1085" t="s">
        <v>4405</v>
      </c>
      <c r="G1085">
        <v>200</v>
      </c>
      <c r="H1085">
        <v>0</v>
      </c>
      <c r="I1085" t="s">
        <v>24</v>
      </c>
      <c r="J1085" t="s">
        <v>4406</v>
      </c>
      <c r="K1085" t="s">
        <v>346</v>
      </c>
      <c r="L1085" t="s">
        <v>27</v>
      </c>
      <c r="M1085" t="s">
        <v>28</v>
      </c>
      <c r="N1085" t="s">
        <v>4407</v>
      </c>
      <c r="O1085" t="s">
        <v>27</v>
      </c>
      <c r="P1085" t="s">
        <v>39</v>
      </c>
      <c r="Q1085" t="s">
        <v>31</v>
      </c>
      <c r="R1085" t="s">
        <v>32</v>
      </c>
      <c r="S1085" t="s">
        <v>28</v>
      </c>
      <c r="T1085" t="s">
        <v>4408</v>
      </c>
      <c r="U1085" t="s">
        <v>4409</v>
      </c>
    </row>
    <row r="1086" spans="1:21" x14ac:dyDescent="0.25">
      <c r="A1086" t="s">
        <v>21</v>
      </c>
      <c r="B1086" t="s">
        <v>22</v>
      </c>
      <c r="C1086">
        <v>100</v>
      </c>
      <c r="D1086">
        <v>1</v>
      </c>
      <c r="E1086">
        <v>0</v>
      </c>
      <c r="F1086" t="s">
        <v>4410</v>
      </c>
      <c r="G1086">
        <v>106</v>
      </c>
      <c r="H1086">
        <v>6</v>
      </c>
      <c r="I1086" t="s">
        <v>140</v>
      </c>
      <c r="J1086" t="s">
        <v>4411</v>
      </c>
      <c r="K1086" t="s">
        <v>594</v>
      </c>
      <c r="L1086" t="s">
        <v>27</v>
      </c>
      <c r="M1086" t="s">
        <v>28</v>
      </c>
      <c r="N1086" t="s">
        <v>4412</v>
      </c>
      <c r="O1086" t="s">
        <v>27</v>
      </c>
      <c r="P1086" t="s">
        <v>30</v>
      </c>
      <c r="Q1086" t="s">
        <v>31</v>
      </c>
      <c r="R1086" t="s">
        <v>32</v>
      </c>
      <c r="S1086" t="s">
        <v>28</v>
      </c>
      <c r="T1086" t="s">
        <v>4413</v>
      </c>
      <c r="U1086" t="s">
        <v>4412</v>
      </c>
    </row>
    <row r="1087" spans="1:21" x14ac:dyDescent="0.25">
      <c r="A1087" t="s">
        <v>456</v>
      </c>
      <c r="B1087" t="s">
        <v>1178</v>
      </c>
      <c r="C1087">
        <v>112.35</v>
      </c>
      <c r="D1087">
        <v>1</v>
      </c>
      <c r="E1087">
        <v>0</v>
      </c>
      <c r="F1087" t="s">
        <v>4414</v>
      </c>
      <c r="G1087">
        <v>117.35</v>
      </c>
      <c r="H1087">
        <v>5</v>
      </c>
      <c r="I1087" t="s">
        <v>628</v>
      </c>
      <c r="J1087" t="s">
        <v>4415</v>
      </c>
      <c r="K1087" t="s">
        <v>4416</v>
      </c>
      <c r="L1087" t="s">
        <v>3974</v>
      </c>
      <c r="M1087" t="s">
        <v>3975</v>
      </c>
      <c r="N1087" t="s">
        <v>4417</v>
      </c>
      <c r="O1087" t="s">
        <v>27</v>
      </c>
      <c r="P1087" t="s">
        <v>48</v>
      </c>
      <c r="Q1087" t="s">
        <v>49</v>
      </c>
      <c r="R1087" t="s">
        <v>50</v>
      </c>
      <c r="S1087" t="s">
        <v>28</v>
      </c>
      <c r="T1087" t="s">
        <v>4418</v>
      </c>
      <c r="U1087" t="s">
        <v>4419</v>
      </c>
    </row>
    <row r="1088" spans="1:21" x14ac:dyDescent="0.25">
      <c r="A1088" t="s">
        <v>195</v>
      </c>
      <c r="B1088" t="s">
        <v>1003</v>
      </c>
      <c r="C1088">
        <v>112.35</v>
      </c>
      <c r="D1088">
        <v>1</v>
      </c>
      <c r="E1088">
        <v>0</v>
      </c>
      <c r="F1088" t="s">
        <v>4420</v>
      </c>
      <c r="G1088">
        <v>112.35</v>
      </c>
      <c r="H1088">
        <v>0</v>
      </c>
      <c r="I1088" t="s">
        <v>628</v>
      </c>
      <c r="J1088" t="s">
        <v>4421</v>
      </c>
      <c r="K1088" t="s">
        <v>4422</v>
      </c>
      <c r="L1088" t="s">
        <v>290</v>
      </c>
      <c r="M1088" t="s">
        <v>4423</v>
      </c>
      <c r="N1088" t="s">
        <v>4419</v>
      </c>
      <c r="O1088" t="s">
        <v>27</v>
      </c>
      <c r="P1088" t="s">
        <v>48</v>
      </c>
      <c r="Q1088" t="s">
        <v>49</v>
      </c>
      <c r="R1088" t="s">
        <v>50</v>
      </c>
      <c r="S1088" t="s">
        <v>28</v>
      </c>
      <c r="T1088" t="s">
        <v>4424</v>
      </c>
      <c r="U1088" t="s">
        <v>4419</v>
      </c>
    </row>
    <row r="1089" spans="1:21" x14ac:dyDescent="0.25">
      <c r="A1089" t="s">
        <v>143</v>
      </c>
      <c r="B1089" t="s">
        <v>144</v>
      </c>
      <c r="C1089">
        <v>200</v>
      </c>
      <c r="D1089">
        <v>1</v>
      </c>
      <c r="E1089">
        <v>0</v>
      </c>
      <c r="F1089" t="s">
        <v>4425</v>
      </c>
      <c r="G1089">
        <v>200</v>
      </c>
      <c r="H1089">
        <v>0</v>
      </c>
      <c r="I1089" t="s">
        <v>140</v>
      </c>
      <c r="J1089" t="s">
        <v>4426</v>
      </c>
      <c r="K1089" t="s">
        <v>771</v>
      </c>
      <c r="L1089" t="s">
        <v>27</v>
      </c>
      <c r="M1089" t="s">
        <v>28</v>
      </c>
      <c r="N1089" t="s">
        <v>4427</v>
      </c>
      <c r="O1089" t="s">
        <v>27</v>
      </c>
      <c r="P1089" t="s">
        <v>369</v>
      </c>
      <c r="Q1089" t="s">
        <v>31</v>
      </c>
      <c r="R1089" t="s">
        <v>57</v>
      </c>
      <c r="S1089" t="s">
        <v>28</v>
      </c>
      <c r="T1089" t="s">
        <v>4428</v>
      </c>
      <c r="U1089" t="s">
        <v>4429</v>
      </c>
    </row>
    <row r="1090" spans="1:21" x14ac:dyDescent="0.25">
      <c r="A1090" t="s">
        <v>195</v>
      </c>
      <c r="B1090" t="s">
        <v>1003</v>
      </c>
      <c r="C1090">
        <v>112.35</v>
      </c>
      <c r="D1090">
        <v>1</v>
      </c>
      <c r="E1090">
        <v>0</v>
      </c>
      <c r="F1090" t="s">
        <v>4430</v>
      </c>
      <c r="G1090">
        <v>112.35</v>
      </c>
      <c r="H1090">
        <v>0</v>
      </c>
      <c r="I1090" t="s">
        <v>628</v>
      </c>
      <c r="J1090" t="s">
        <v>4431</v>
      </c>
      <c r="K1090" t="s">
        <v>4432</v>
      </c>
      <c r="L1090" t="s">
        <v>4433</v>
      </c>
      <c r="M1090" t="s">
        <v>4434</v>
      </c>
      <c r="N1090" t="s">
        <v>4435</v>
      </c>
      <c r="O1090" t="s">
        <v>27</v>
      </c>
      <c r="P1090" t="s">
        <v>48</v>
      </c>
      <c r="Q1090" t="s">
        <v>49</v>
      </c>
      <c r="R1090" t="s">
        <v>50</v>
      </c>
      <c r="S1090" t="s">
        <v>28</v>
      </c>
      <c r="T1090" t="s">
        <v>4436</v>
      </c>
      <c r="U1090" t="s">
        <v>4435</v>
      </c>
    </row>
    <row r="1091" spans="1:21" x14ac:dyDescent="0.25">
      <c r="A1091" t="s">
        <v>143</v>
      </c>
      <c r="B1091" t="s">
        <v>144</v>
      </c>
      <c r="C1091">
        <v>200</v>
      </c>
      <c r="D1091">
        <v>1</v>
      </c>
      <c r="E1091">
        <v>0</v>
      </c>
      <c r="F1091" t="s">
        <v>4437</v>
      </c>
      <c r="G1091">
        <v>200</v>
      </c>
      <c r="H1091">
        <v>0</v>
      </c>
      <c r="I1091" t="s">
        <v>24</v>
      </c>
      <c r="J1091" t="s">
        <v>4438</v>
      </c>
      <c r="K1091" t="s">
        <v>273</v>
      </c>
      <c r="L1091" t="s">
        <v>27</v>
      </c>
      <c r="M1091" t="s">
        <v>28</v>
      </c>
      <c r="N1091" t="s">
        <v>4439</v>
      </c>
      <c r="O1091" t="s">
        <v>27</v>
      </c>
      <c r="P1091" t="s">
        <v>39</v>
      </c>
      <c r="Q1091" t="s">
        <v>31</v>
      </c>
      <c r="R1091" t="s">
        <v>32</v>
      </c>
      <c r="S1091" t="s">
        <v>28</v>
      </c>
      <c r="T1091" t="s">
        <v>4440</v>
      </c>
      <c r="U1091" t="s">
        <v>4439</v>
      </c>
    </row>
    <row r="1092" spans="1:21" x14ac:dyDescent="0.25">
      <c r="A1092" t="s">
        <v>456</v>
      </c>
      <c r="B1092" t="s">
        <v>1178</v>
      </c>
      <c r="C1092">
        <v>112.35</v>
      </c>
      <c r="D1092">
        <v>1</v>
      </c>
      <c r="E1092">
        <v>0</v>
      </c>
      <c r="F1092" t="s">
        <v>4441</v>
      </c>
      <c r="G1092">
        <v>112.35</v>
      </c>
      <c r="H1092">
        <v>0</v>
      </c>
      <c r="I1092" t="s">
        <v>628</v>
      </c>
      <c r="J1092" t="s">
        <v>4431</v>
      </c>
      <c r="K1092" t="s">
        <v>4432</v>
      </c>
      <c r="L1092" t="s">
        <v>4433</v>
      </c>
      <c r="M1092" t="s">
        <v>4434</v>
      </c>
      <c r="N1092" t="s">
        <v>4442</v>
      </c>
      <c r="O1092" t="s">
        <v>27</v>
      </c>
      <c r="P1092" t="s">
        <v>48</v>
      </c>
      <c r="Q1092" t="s">
        <v>49</v>
      </c>
      <c r="R1092" t="s">
        <v>50</v>
      </c>
      <c r="S1092" t="s">
        <v>28</v>
      </c>
      <c r="T1092" t="s">
        <v>4443</v>
      </c>
      <c r="U1092" t="s">
        <v>4442</v>
      </c>
    </row>
    <row r="1093" spans="1:21" x14ac:dyDescent="0.25">
      <c r="A1093" t="s">
        <v>70</v>
      </c>
      <c r="B1093" t="s">
        <v>70</v>
      </c>
      <c r="C1093">
        <v>350</v>
      </c>
      <c r="D1093">
        <v>1</v>
      </c>
      <c r="E1093">
        <v>0</v>
      </c>
      <c r="F1093" t="s">
        <v>4444</v>
      </c>
      <c r="G1093">
        <v>350</v>
      </c>
      <c r="H1093">
        <v>0</v>
      </c>
      <c r="I1093" t="s">
        <v>140</v>
      </c>
      <c r="J1093" t="s">
        <v>4445</v>
      </c>
      <c r="K1093" t="s">
        <v>299</v>
      </c>
      <c r="L1093" t="s">
        <v>27</v>
      </c>
      <c r="M1093" t="s">
        <v>28</v>
      </c>
      <c r="N1093" t="s">
        <v>4442</v>
      </c>
      <c r="O1093" t="s">
        <v>27</v>
      </c>
      <c r="P1093" t="s">
        <v>30</v>
      </c>
      <c r="Q1093" t="s">
        <v>31</v>
      </c>
      <c r="R1093" t="s">
        <v>32</v>
      </c>
      <c r="S1093" t="s">
        <v>28</v>
      </c>
      <c r="T1093" t="s">
        <v>4446</v>
      </c>
      <c r="U1093" t="s">
        <v>4442</v>
      </c>
    </row>
    <row r="1094" spans="1:21" x14ac:dyDescent="0.25">
      <c r="A1094" t="s">
        <v>33</v>
      </c>
      <c r="B1094" t="s">
        <v>34</v>
      </c>
      <c r="C1094">
        <v>200</v>
      </c>
      <c r="D1094">
        <v>1</v>
      </c>
      <c r="E1094">
        <v>0</v>
      </c>
      <c r="F1094" t="s">
        <v>4447</v>
      </c>
      <c r="G1094">
        <v>200</v>
      </c>
      <c r="H1094">
        <v>0</v>
      </c>
      <c r="I1094" t="s">
        <v>140</v>
      </c>
      <c r="J1094" t="s">
        <v>4448</v>
      </c>
      <c r="K1094" t="s">
        <v>26</v>
      </c>
      <c r="L1094" t="s">
        <v>27</v>
      </c>
      <c r="M1094" t="s">
        <v>28</v>
      </c>
      <c r="N1094" t="s">
        <v>4449</v>
      </c>
      <c r="O1094" t="s">
        <v>27</v>
      </c>
      <c r="P1094" t="s">
        <v>30</v>
      </c>
      <c r="Q1094" t="s">
        <v>31</v>
      </c>
      <c r="R1094" t="s">
        <v>32</v>
      </c>
      <c r="S1094" t="s">
        <v>28</v>
      </c>
      <c r="T1094" t="s">
        <v>4450</v>
      </c>
      <c r="U1094" t="s">
        <v>4449</v>
      </c>
    </row>
    <row r="1095" spans="1:21" x14ac:dyDescent="0.25">
      <c r="A1095" t="s">
        <v>21</v>
      </c>
      <c r="B1095" t="s">
        <v>22</v>
      </c>
      <c r="C1095">
        <v>100</v>
      </c>
      <c r="D1095">
        <v>1</v>
      </c>
      <c r="E1095">
        <v>0</v>
      </c>
      <c r="F1095" t="s">
        <v>4451</v>
      </c>
      <c r="G1095">
        <v>106</v>
      </c>
      <c r="H1095">
        <v>6</v>
      </c>
      <c r="I1095" t="s">
        <v>445</v>
      </c>
      <c r="J1095" t="s">
        <v>4452</v>
      </c>
      <c r="K1095" t="s">
        <v>325</v>
      </c>
      <c r="L1095" t="s">
        <v>27</v>
      </c>
      <c r="M1095" t="s">
        <v>28</v>
      </c>
      <c r="N1095" t="s">
        <v>4453</v>
      </c>
      <c r="O1095" t="s">
        <v>27</v>
      </c>
      <c r="P1095" t="s">
        <v>39</v>
      </c>
      <c r="Q1095" t="s">
        <v>31</v>
      </c>
      <c r="R1095" t="s">
        <v>32</v>
      </c>
      <c r="S1095" t="s">
        <v>28</v>
      </c>
      <c r="T1095" t="s">
        <v>4454</v>
      </c>
      <c r="U1095" t="s">
        <v>4453</v>
      </c>
    </row>
    <row r="1096" spans="1:21" x14ac:dyDescent="0.25">
      <c r="A1096" t="s">
        <v>94</v>
      </c>
      <c r="B1096" t="s">
        <v>4455</v>
      </c>
      <c r="C1096">
        <v>14.05</v>
      </c>
      <c r="D1096">
        <v>1</v>
      </c>
      <c r="E1096">
        <v>0</v>
      </c>
      <c r="F1096" t="s">
        <v>4456</v>
      </c>
      <c r="G1096">
        <v>14.05</v>
      </c>
      <c r="H1096">
        <v>0</v>
      </c>
      <c r="I1096" t="s">
        <v>720</v>
      </c>
      <c r="J1096" t="s">
        <v>4457</v>
      </c>
      <c r="K1096" t="s">
        <v>4458</v>
      </c>
      <c r="L1096" t="s">
        <v>4459</v>
      </c>
      <c r="M1096" t="s">
        <v>4460</v>
      </c>
      <c r="N1096" t="s">
        <v>4461</v>
      </c>
      <c r="O1096" t="s">
        <v>27</v>
      </c>
      <c r="P1096" t="s">
        <v>48</v>
      </c>
      <c r="Q1096" t="s">
        <v>49</v>
      </c>
      <c r="R1096" t="s">
        <v>50</v>
      </c>
      <c r="S1096" t="s">
        <v>28</v>
      </c>
      <c r="T1096" t="s">
        <v>4462</v>
      </c>
      <c r="U1096" t="s">
        <v>4453</v>
      </c>
    </row>
    <row r="1097" spans="1:21" x14ac:dyDescent="0.25">
      <c r="A1097" t="s">
        <v>21</v>
      </c>
      <c r="B1097" t="s">
        <v>22</v>
      </c>
      <c r="C1097">
        <v>100</v>
      </c>
      <c r="D1097">
        <v>1</v>
      </c>
      <c r="E1097">
        <v>0</v>
      </c>
      <c r="F1097" t="s">
        <v>4463</v>
      </c>
      <c r="G1097">
        <v>106</v>
      </c>
      <c r="H1097">
        <v>6</v>
      </c>
      <c r="I1097" t="s">
        <v>24</v>
      </c>
      <c r="J1097" t="s">
        <v>4464</v>
      </c>
      <c r="K1097" t="s">
        <v>919</v>
      </c>
      <c r="L1097" t="s">
        <v>27</v>
      </c>
      <c r="M1097" t="s">
        <v>28</v>
      </c>
      <c r="N1097" t="s">
        <v>4465</v>
      </c>
      <c r="O1097" t="s">
        <v>27</v>
      </c>
      <c r="P1097" t="s">
        <v>39</v>
      </c>
      <c r="Q1097" t="s">
        <v>31</v>
      </c>
      <c r="R1097" t="s">
        <v>32</v>
      </c>
      <c r="S1097" t="s">
        <v>28</v>
      </c>
      <c r="T1097" t="s">
        <v>4466</v>
      </c>
      <c r="U1097" t="s">
        <v>4467</v>
      </c>
    </row>
    <row r="1098" spans="1:21" x14ac:dyDescent="0.25">
      <c r="A1098" t="s">
        <v>21</v>
      </c>
      <c r="B1098" t="s">
        <v>22</v>
      </c>
      <c r="C1098">
        <v>100</v>
      </c>
      <c r="D1098">
        <v>1</v>
      </c>
      <c r="E1098">
        <v>0</v>
      </c>
      <c r="F1098" t="s">
        <v>4468</v>
      </c>
      <c r="G1098">
        <v>106</v>
      </c>
      <c r="H1098">
        <v>6</v>
      </c>
      <c r="I1098" t="s">
        <v>140</v>
      </c>
      <c r="J1098" t="s">
        <v>4469</v>
      </c>
      <c r="K1098" t="s">
        <v>89</v>
      </c>
      <c r="L1098" t="s">
        <v>27</v>
      </c>
      <c r="M1098" t="s">
        <v>28</v>
      </c>
      <c r="N1098" t="s">
        <v>4470</v>
      </c>
      <c r="O1098" t="s">
        <v>27</v>
      </c>
      <c r="P1098" t="s">
        <v>30</v>
      </c>
      <c r="Q1098" t="s">
        <v>31</v>
      </c>
      <c r="R1098" t="s">
        <v>32</v>
      </c>
      <c r="S1098" t="s">
        <v>28</v>
      </c>
      <c r="T1098" t="s">
        <v>4471</v>
      </c>
      <c r="U1098" t="s">
        <v>4472</v>
      </c>
    </row>
    <row r="1099" spans="1:21" x14ac:dyDescent="0.25">
      <c r="A1099" t="s">
        <v>635</v>
      </c>
      <c r="B1099" t="s">
        <v>714</v>
      </c>
      <c r="C1099">
        <v>394.65</v>
      </c>
      <c r="D1099">
        <v>1</v>
      </c>
      <c r="E1099">
        <v>0</v>
      </c>
      <c r="F1099" t="s">
        <v>4473</v>
      </c>
      <c r="G1099">
        <v>418.65</v>
      </c>
      <c r="H1099">
        <v>24</v>
      </c>
      <c r="I1099" t="s">
        <v>628</v>
      </c>
      <c r="J1099" t="s">
        <v>4474</v>
      </c>
      <c r="K1099" t="s">
        <v>4475</v>
      </c>
      <c r="L1099" t="s">
        <v>4476</v>
      </c>
      <c r="M1099" t="s">
        <v>4477</v>
      </c>
      <c r="N1099" t="s">
        <v>4478</v>
      </c>
      <c r="O1099" t="s">
        <v>27</v>
      </c>
      <c r="P1099" t="s">
        <v>48</v>
      </c>
      <c r="Q1099" t="s">
        <v>49</v>
      </c>
      <c r="R1099" t="s">
        <v>50</v>
      </c>
      <c r="S1099" t="s">
        <v>28</v>
      </c>
      <c r="T1099" t="s">
        <v>4479</v>
      </c>
      <c r="U1099" t="s">
        <v>4478</v>
      </c>
    </row>
    <row r="1100" spans="1:21" x14ac:dyDescent="0.25">
      <c r="A1100" t="s">
        <v>33</v>
      </c>
      <c r="B1100" t="s">
        <v>34</v>
      </c>
      <c r="C1100">
        <v>200</v>
      </c>
      <c r="D1100">
        <v>1</v>
      </c>
      <c r="E1100">
        <v>0</v>
      </c>
      <c r="F1100" t="s">
        <v>4480</v>
      </c>
      <c r="G1100">
        <v>200</v>
      </c>
      <c r="H1100">
        <v>0</v>
      </c>
      <c r="I1100" t="s">
        <v>445</v>
      </c>
      <c r="J1100" t="s">
        <v>4481</v>
      </c>
      <c r="K1100" t="s">
        <v>241</v>
      </c>
      <c r="L1100" t="s">
        <v>27</v>
      </c>
      <c r="M1100" t="s">
        <v>28</v>
      </c>
      <c r="N1100" t="s">
        <v>4470</v>
      </c>
      <c r="O1100" t="s">
        <v>27</v>
      </c>
      <c r="P1100" t="s">
        <v>56</v>
      </c>
      <c r="Q1100" t="s">
        <v>31</v>
      </c>
      <c r="R1100" t="s">
        <v>57</v>
      </c>
      <c r="S1100" t="s">
        <v>28</v>
      </c>
      <c r="T1100" t="s">
        <v>4482</v>
      </c>
      <c r="U1100" t="s">
        <v>4478</v>
      </c>
    </row>
    <row r="1101" spans="1:21" x14ac:dyDescent="0.25">
      <c r="A1101" t="s">
        <v>21</v>
      </c>
      <c r="B1101" t="s">
        <v>22</v>
      </c>
      <c r="C1101">
        <v>100</v>
      </c>
      <c r="D1101">
        <v>1</v>
      </c>
      <c r="E1101">
        <v>0</v>
      </c>
      <c r="F1101" t="s">
        <v>4483</v>
      </c>
      <c r="G1101">
        <v>106</v>
      </c>
      <c r="H1101">
        <v>6</v>
      </c>
      <c r="I1101" t="s">
        <v>24</v>
      </c>
      <c r="J1101" t="s">
        <v>4484</v>
      </c>
      <c r="K1101" t="s">
        <v>118</v>
      </c>
      <c r="L1101" t="s">
        <v>27</v>
      </c>
      <c r="M1101" t="s">
        <v>28</v>
      </c>
      <c r="N1101" t="s">
        <v>4470</v>
      </c>
      <c r="O1101" t="s">
        <v>27</v>
      </c>
      <c r="P1101" t="s">
        <v>39</v>
      </c>
      <c r="Q1101" t="s">
        <v>31</v>
      </c>
      <c r="R1101" t="s">
        <v>32</v>
      </c>
      <c r="S1101" t="s">
        <v>28</v>
      </c>
      <c r="T1101" t="s">
        <v>4485</v>
      </c>
      <c r="U1101" t="s">
        <v>4478</v>
      </c>
    </row>
    <row r="1102" spans="1:21" x14ac:dyDescent="0.25">
      <c r="A1102" t="s">
        <v>21</v>
      </c>
      <c r="B1102" t="s">
        <v>22</v>
      </c>
      <c r="C1102">
        <v>100</v>
      </c>
      <c r="D1102">
        <v>1</v>
      </c>
      <c r="E1102">
        <v>0</v>
      </c>
      <c r="F1102" t="s">
        <v>4486</v>
      </c>
      <c r="G1102">
        <v>106</v>
      </c>
      <c r="H1102">
        <v>6</v>
      </c>
      <c r="I1102" t="s">
        <v>24</v>
      </c>
      <c r="J1102" t="s">
        <v>4487</v>
      </c>
      <c r="K1102" t="s">
        <v>4146</v>
      </c>
      <c r="L1102" t="s">
        <v>27</v>
      </c>
      <c r="M1102" t="s">
        <v>28</v>
      </c>
      <c r="N1102" t="s">
        <v>4488</v>
      </c>
      <c r="O1102" t="s">
        <v>27</v>
      </c>
      <c r="P1102" t="s">
        <v>39</v>
      </c>
      <c r="Q1102" t="s">
        <v>31</v>
      </c>
      <c r="R1102" t="s">
        <v>32</v>
      </c>
      <c r="S1102" t="s">
        <v>28</v>
      </c>
      <c r="T1102" t="s">
        <v>4489</v>
      </c>
      <c r="U1102" t="s">
        <v>4478</v>
      </c>
    </row>
    <row r="1103" spans="1:21" x14ac:dyDescent="0.25">
      <c r="A1103" t="s">
        <v>63</v>
      </c>
      <c r="B1103" t="s">
        <v>64</v>
      </c>
      <c r="C1103">
        <v>100</v>
      </c>
      <c r="D1103">
        <v>1</v>
      </c>
      <c r="E1103">
        <v>0</v>
      </c>
      <c r="F1103" t="s">
        <v>4490</v>
      </c>
      <c r="G1103">
        <v>100</v>
      </c>
      <c r="H1103">
        <v>0</v>
      </c>
      <c r="I1103" t="s">
        <v>140</v>
      </c>
      <c r="J1103" t="s">
        <v>4491</v>
      </c>
      <c r="K1103" t="s">
        <v>247</v>
      </c>
      <c r="L1103" t="s">
        <v>27</v>
      </c>
      <c r="M1103" t="s">
        <v>28</v>
      </c>
      <c r="N1103" t="s">
        <v>4492</v>
      </c>
      <c r="O1103" t="s">
        <v>27</v>
      </c>
      <c r="P1103" t="s">
        <v>30</v>
      </c>
      <c r="Q1103" t="s">
        <v>31</v>
      </c>
      <c r="R1103" t="s">
        <v>32</v>
      </c>
      <c r="S1103" t="s">
        <v>28</v>
      </c>
      <c r="T1103" t="s">
        <v>4493</v>
      </c>
      <c r="U1103" t="s">
        <v>4494</v>
      </c>
    </row>
    <row r="1104" spans="1:21" x14ac:dyDescent="0.25">
      <c r="A1104" t="s">
        <v>195</v>
      </c>
      <c r="B1104" t="s">
        <v>1003</v>
      </c>
      <c r="C1104">
        <v>112.35</v>
      </c>
      <c r="D1104">
        <v>1</v>
      </c>
      <c r="E1104">
        <v>0</v>
      </c>
      <c r="F1104" t="s">
        <v>4495</v>
      </c>
      <c r="G1104">
        <v>112.35</v>
      </c>
      <c r="H1104">
        <v>0</v>
      </c>
      <c r="I1104" t="s">
        <v>628</v>
      </c>
      <c r="J1104" t="s">
        <v>4431</v>
      </c>
      <c r="K1104" t="s">
        <v>4432</v>
      </c>
      <c r="L1104" t="s">
        <v>4433</v>
      </c>
      <c r="M1104" t="s">
        <v>4434</v>
      </c>
      <c r="N1104" t="s">
        <v>4496</v>
      </c>
      <c r="O1104" t="s">
        <v>27</v>
      </c>
      <c r="P1104" t="s">
        <v>48</v>
      </c>
      <c r="Q1104" t="s">
        <v>49</v>
      </c>
      <c r="R1104" t="s">
        <v>50</v>
      </c>
      <c r="S1104" t="s">
        <v>28</v>
      </c>
      <c r="T1104" t="s">
        <v>4497</v>
      </c>
      <c r="U1104" t="s">
        <v>4496</v>
      </c>
    </row>
    <row r="1105" spans="1:21" x14ac:dyDescent="0.25">
      <c r="A1105" t="s">
        <v>195</v>
      </c>
      <c r="B1105" t="s">
        <v>1003</v>
      </c>
      <c r="C1105">
        <v>124.34</v>
      </c>
      <c r="D1105">
        <v>1</v>
      </c>
      <c r="E1105">
        <v>0</v>
      </c>
      <c r="F1105" t="s">
        <v>4498</v>
      </c>
      <c r="G1105">
        <v>1337.34</v>
      </c>
      <c r="H1105">
        <v>94</v>
      </c>
      <c r="I1105" t="s">
        <v>628</v>
      </c>
      <c r="J1105" t="s">
        <v>4499</v>
      </c>
      <c r="K1105" t="s">
        <v>4500</v>
      </c>
      <c r="L1105" t="s">
        <v>2885</v>
      </c>
      <c r="M1105" t="s">
        <v>4501</v>
      </c>
      <c r="N1105" t="s">
        <v>4502</v>
      </c>
      <c r="O1105" t="s">
        <v>27</v>
      </c>
      <c r="P1105" t="s">
        <v>48</v>
      </c>
      <c r="Q1105" t="s">
        <v>49</v>
      </c>
      <c r="R1105" t="s">
        <v>50</v>
      </c>
      <c r="S1105" t="s">
        <v>28</v>
      </c>
      <c r="T1105" t="s">
        <v>4503</v>
      </c>
      <c r="U1105" t="s">
        <v>4502</v>
      </c>
    </row>
    <row r="1106" spans="1:21" x14ac:dyDescent="0.25">
      <c r="A1106" t="s">
        <v>195</v>
      </c>
      <c r="B1106" t="s">
        <v>1003</v>
      </c>
      <c r="C1106">
        <v>124.33</v>
      </c>
      <c r="D1106">
        <v>1</v>
      </c>
      <c r="E1106">
        <v>0</v>
      </c>
      <c r="F1106" t="s">
        <v>4498</v>
      </c>
      <c r="G1106">
        <v>1337.34</v>
      </c>
      <c r="H1106">
        <v>94</v>
      </c>
      <c r="I1106" t="s">
        <v>628</v>
      </c>
      <c r="J1106" t="s">
        <v>4499</v>
      </c>
      <c r="K1106" t="s">
        <v>4500</v>
      </c>
      <c r="L1106" t="s">
        <v>2885</v>
      </c>
      <c r="M1106" t="s">
        <v>4501</v>
      </c>
      <c r="N1106" t="s">
        <v>4502</v>
      </c>
      <c r="O1106" t="s">
        <v>27</v>
      </c>
      <c r="P1106" t="s">
        <v>48</v>
      </c>
      <c r="Q1106" t="s">
        <v>49</v>
      </c>
      <c r="R1106" t="s">
        <v>50</v>
      </c>
      <c r="S1106" t="s">
        <v>28</v>
      </c>
      <c r="T1106" t="s">
        <v>4503</v>
      </c>
      <c r="U1106" t="s">
        <v>4502</v>
      </c>
    </row>
    <row r="1107" spans="1:21" x14ac:dyDescent="0.25">
      <c r="A1107" t="s">
        <v>195</v>
      </c>
      <c r="B1107" t="s">
        <v>1003</v>
      </c>
      <c r="C1107">
        <v>124.34</v>
      </c>
      <c r="D1107">
        <v>1</v>
      </c>
      <c r="E1107">
        <v>0</v>
      </c>
      <c r="F1107" t="s">
        <v>4498</v>
      </c>
      <c r="G1107">
        <v>1337.34</v>
      </c>
      <c r="H1107">
        <v>94</v>
      </c>
      <c r="I1107" t="s">
        <v>628</v>
      </c>
      <c r="J1107" t="s">
        <v>4499</v>
      </c>
      <c r="K1107" t="s">
        <v>4500</v>
      </c>
      <c r="L1107" t="s">
        <v>2885</v>
      </c>
      <c r="M1107" t="s">
        <v>4501</v>
      </c>
      <c r="N1107" t="s">
        <v>4502</v>
      </c>
      <c r="O1107" t="s">
        <v>27</v>
      </c>
      <c r="P1107" t="s">
        <v>48</v>
      </c>
      <c r="Q1107" t="s">
        <v>49</v>
      </c>
      <c r="R1107" t="s">
        <v>50</v>
      </c>
      <c r="S1107" t="s">
        <v>28</v>
      </c>
      <c r="T1107" t="s">
        <v>4503</v>
      </c>
      <c r="U1107" t="s">
        <v>4502</v>
      </c>
    </row>
    <row r="1108" spans="1:21" x14ac:dyDescent="0.25">
      <c r="A1108" t="s">
        <v>195</v>
      </c>
      <c r="B1108" t="s">
        <v>1003</v>
      </c>
      <c r="C1108">
        <v>124.33</v>
      </c>
      <c r="D1108">
        <v>1</v>
      </c>
      <c r="E1108">
        <v>0</v>
      </c>
      <c r="F1108" t="s">
        <v>4498</v>
      </c>
      <c r="G1108">
        <v>1337.34</v>
      </c>
      <c r="H1108">
        <v>94</v>
      </c>
      <c r="I1108" t="s">
        <v>628</v>
      </c>
      <c r="J1108" t="s">
        <v>4499</v>
      </c>
      <c r="K1108" t="s">
        <v>4500</v>
      </c>
      <c r="L1108" t="s">
        <v>2885</v>
      </c>
      <c r="M1108" t="s">
        <v>4501</v>
      </c>
      <c r="N1108" t="s">
        <v>4502</v>
      </c>
      <c r="O1108" t="s">
        <v>27</v>
      </c>
      <c r="P1108" t="s">
        <v>48</v>
      </c>
      <c r="Q1108" t="s">
        <v>49</v>
      </c>
      <c r="R1108" t="s">
        <v>50</v>
      </c>
      <c r="S1108" t="s">
        <v>28</v>
      </c>
      <c r="T1108" t="s">
        <v>4503</v>
      </c>
      <c r="U1108" t="s">
        <v>4502</v>
      </c>
    </row>
    <row r="1109" spans="1:21" x14ac:dyDescent="0.25">
      <c r="A1109" t="s">
        <v>195</v>
      </c>
      <c r="B1109" t="s">
        <v>1003</v>
      </c>
      <c r="C1109">
        <v>124.34</v>
      </c>
      <c r="D1109">
        <v>1</v>
      </c>
      <c r="E1109">
        <v>0</v>
      </c>
      <c r="F1109" t="s">
        <v>4498</v>
      </c>
      <c r="G1109">
        <v>1337.34</v>
      </c>
      <c r="H1109">
        <v>94</v>
      </c>
      <c r="I1109" t="s">
        <v>628</v>
      </c>
      <c r="J1109" t="s">
        <v>4499</v>
      </c>
      <c r="K1109" t="s">
        <v>4500</v>
      </c>
      <c r="L1109" t="s">
        <v>2885</v>
      </c>
      <c r="M1109" t="s">
        <v>4501</v>
      </c>
      <c r="N1109" t="s">
        <v>4502</v>
      </c>
      <c r="O1109" t="s">
        <v>27</v>
      </c>
      <c r="P1109" t="s">
        <v>48</v>
      </c>
      <c r="Q1109" t="s">
        <v>49</v>
      </c>
      <c r="R1109" t="s">
        <v>50</v>
      </c>
      <c r="S1109" t="s">
        <v>28</v>
      </c>
      <c r="T1109" t="s">
        <v>4503</v>
      </c>
      <c r="U1109" t="s">
        <v>4502</v>
      </c>
    </row>
    <row r="1110" spans="1:21" x14ac:dyDescent="0.25">
      <c r="A1110" t="s">
        <v>195</v>
      </c>
      <c r="B1110" t="s">
        <v>1003</v>
      </c>
      <c r="C1110">
        <v>124.33</v>
      </c>
      <c r="D1110">
        <v>1</v>
      </c>
      <c r="E1110">
        <v>0</v>
      </c>
      <c r="F1110" t="s">
        <v>4498</v>
      </c>
      <c r="G1110">
        <v>1337.34</v>
      </c>
      <c r="H1110">
        <v>94</v>
      </c>
      <c r="I1110" t="s">
        <v>628</v>
      </c>
      <c r="J1110" t="s">
        <v>4499</v>
      </c>
      <c r="K1110" t="s">
        <v>4500</v>
      </c>
      <c r="L1110" t="s">
        <v>2885</v>
      </c>
      <c r="M1110" t="s">
        <v>4501</v>
      </c>
      <c r="N1110" t="s">
        <v>4502</v>
      </c>
      <c r="O1110" t="s">
        <v>27</v>
      </c>
      <c r="P1110" t="s">
        <v>48</v>
      </c>
      <c r="Q1110" t="s">
        <v>49</v>
      </c>
      <c r="R1110" t="s">
        <v>50</v>
      </c>
      <c r="S1110" t="s">
        <v>28</v>
      </c>
      <c r="T1110" t="s">
        <v>4503</v>
      </c>
      <c r="U1110" t="s">
        <v>4502</v>
      </c>
    </row>
    <row r="1111" spans="1:21" x14ac:dyDescent="0.25">
      <c r="A1111" t="s">
        <v>195</v>
      </c>
      <c r="B1111" t="s">
        <v>1003</v>
      </c>
      <c r="C1111">
        <v>124.34</v>
      </c>
      <c r="D1111">
        <v>1</v>
      </c>
      <c r="E1111">
        <v>0</v>
      </c>
      <c r="F1111" t="s">
        <v>4498</v>
      </c>
      <c r="G1111">
        <v>1337.34</v>
      </c>
      <c r="H1111">
        <v>94</v>
      </c>
      <c r="I1111" t="s">
        <v>628</v>
      </c>
      <c r="J1111" t="s">
        <v>4499</v>
      </c>
      <c r="K1111" t="s">
        <v>4500</v>
      </c>
      <c r="L1111" t="s">
        <v>2885</v>
      </c>
      <c r="M1111" t="s">
        <v>4501</v>
      </c>
      <c r="N1111" t="s">
        <v>4502</v>
      </c>
      <c r="O1111" t="s">
        <v>27</v>
      </c>
      <c r="P1111" t="s">
        <v>48</v>
      </c>
      <c r="Q1111" t="s">
        <v>49</v>
      </c>
      <c r="R1111" t="s">
        <v>50</v>
      </c>
      <c r="S1111" t="s">
        <v>28</v>
      </c>
      <c r="T1111" t="s">
        <v>4503</v>
      </c>
      <c r="U1111" t="s">
        <v>4502</v>
      </c>
    </row>
    <row r="1112" spans="1:21" x14ac:dyDescent="0.25">
      <c r="A1112" t="s">
        <v>195</v>
      </c>
      <c r="B1112" t="s">
        <v>1003</v>
      </c>
      <c r="C1112">
        <v>124.33</v>
      </c>
      <c r="D1112">
        <v>1</v>
      </c>
      <c r="E1112">
        <v>0</v>
      </c>
      <c r="F1112" t="s">
        <v>4498</v>
      </c>
      <c r="G1112">
        <v>1337.34</v>
      </c>
      <c r="H1112">
        <v>94</v>
      </c>
      <c r="I1112" t="s">
        <v>628</v>
      </c>
      <c r="J1112" t="s">
        <v>4499</v>
      </c>
      <c r="K1112" t="s">
        <v>4500</v>
      </c>
      <c r="L1112" t="s">
        <v>2885</v>
      </c>
      <c r="M1112" t="s">
        <v>4501</v>
      </c>
      <c r="N1112" t="s">
        <v>4502</v>
      </c>
      <c r="O1112" t="s">
        <v>27</v>
      </c>
      <c r="P1112" t="s">
        <v>48</v>
      </c>
      <c r="Q1112" t="s">
        <v>49</v>
      </c>
      <c r="R1112" t="s">
        <v>50</v>
      </c>
      <c r="S1112" t="s">
        <v>28</v>
      </c>
      <c r="T1112" t="s">
        <v>4503</v>
      </c>
      <c r="U1112" t="s">
        <v>4502</v>
      </c>
    </row>
    <row r="1113" spans="1:21" x14ac:dyDescent="0.25">
      <c r="A1113" t="s">
        <v>195</v>
      </c>
      <c r="B1113" t="s">
        <v>1003</v>
      </c>
      <c r="C1113">
        <v>124.33</v>
      </c>
      <c r="D1113">
        <v>1</v>
      </c>
      <c r="E1113">
        <v>0</v>
      </c>
      <c r="F1113" t="s">
        <v>4498</v>
      </c>
      <c r="G1113">
        <v>1337.34</v>
      </c>
      <c r="H1113">
        <v>94</v>
      </c>
      <c r="I1113" t="s">
        <v>628</v>
      </c>
      <c r="J1113" t="s">
        <v>4499</v>
      </c>
      <c r="K1113" t="s">
        <v>4500</v>
      </c>
      <c r="L1113" t="s">
        <v>2885</v>
      </c>
      <c r="M1113" t="s">
        <v>4501</v>
      </c>
      <c r="N1113" t="s">
        <v>4502</v>
      </c>
      <c r="O1113" t="s">
        <v>27</v>
      </c>
      <c r="P1113" t="s">
        <v>48</v>
      </c>
      <c r="Q1113" t="s">
        <v>49</v>
      </c>
      <c r="R1113" t="s">
        <v>50</v>
      </c>
      <c r="S1113" t="s">
        <v>28</v>
      </c>
      <c r="T1113" t="s">
        <v>4503</v>
      </c>
      <c r="U1113" t="s">
        <v>4502</v>
      </c>
    </row>
    <row r="1114" spans="1:21" x14ac:dyDescent="0.25">
      <c r="A1114" t="s">
        <v>195</v>
      </c>
      <c r="B1114" t="s">
        <v>1003</v>
      </c>
      <c r="C1114">
        <v>124.33</v>
      </c>
      <c r="D1114">
        <v>1</v>
      </c>
      <c r="E1114">
        <v>0</v>
      </c>
      <c r="F1114" t="s">
        <v>4498</v>
      </c>
      <c r="G1114">
        <v>1337.34</v>
      </c>
      <c r="H1114">
        <v>94</v>
      </c>
      <c r="I1114" t="s">
        <v>628</v>
      </c>
      <c r="J1114" t="s">
        <v>4499</v>
      </c>
      <c r="K1114" t="s">
        <v>4500</v>
      </c>
      <c r="L1114" t="s">
        <v>2885</v>
      </c>
      <c r="M1114" t="s">
        <v>4501</v>
      </c>
      <c r="N1114" t="s">
        <v>4502</v>
      </c>
      <c r="O1114" t="s">
        <v>27</v>
      </c>
      <c r="P1114" t="s">
        <v>48</v>
      </c>
      <c r="Q1114" t="s">
        <v>49</v>
      </c>
      <c r="R1114" t="s">
        <v>50</v>
      </c>
      <c r="S1114" t="s">
        <v>28</v>
      </c>
      <c r="T1114" t="s">
        <v>4503</v>
      </c>
      <c r="U1114" t="s">
        <v>4502</v>
      </c>
    </row>
    <row r="1115" spans="1:21" x14ac:dyDescent="0.25">
      <c r="A1115" t="s">
        <v>33</v>
      </c>
      <c r="B1115" t="s">
        <v>34</v>
      </c>
      <c r="C1115">
        <v>200</v>
      </c>
      <c r="D1115">
        <v>1</v>
      </c>
      <c r="E1115">
        <v>0</v>
      </c>
      <c r="F1115" t="s">
        <v>4504</v>
      </c>
      <c r="G1115">
        <v>200</v>
      </c>
      <c r="H1115">
        <v>0</v>
      </c>
      <c r="I1115" t="s">
        <v>24</v>
      </c>
      <c r="J1115" t="s">
        <v>4505</v>
      </c>
      <c r="K1115" t="s">
        <v>346</v>
      </c>
      <c r="L1115" t="s">
        <v>27</v>
      </c>
      <c r="M1115" t="s">
        <v>28</v>
      </c>
      <c r="N1115" t="s">
        <v>4506</v>
      </c>
      <c r="O1115" t="s">
        <v>27</v>
      </c>
      <c r="P1115" t="s">
        <v>39</v>
      </c>
      <c r="Q1115" t="s">
        <v>31</v>
      </c>
      <c r="R1115" t="s">
        <v>32</v>
      </c>
      <c r="S1115" t="s">
        <v>28</v>
      </c>
      <c r="T1115" t="s">
        <v>4507</v>
      </c>
      <c r="U1115" t="s">
        <v>4508</v>
      </c>
    </row>
    <row r="1116" spans="1:21" x14ac:dyDescent="0.25">
      <c r="A1116" t="s">
        <v>21</v>
      </c>
      <c r="B1116" t="s">
        <v>22</v>
      </c>
      <c r="C1116">
        <v>100</v>
      </c>
      <c r="D1116">
        <v>1</v>
      </c>
      <c r="E1116">
        <v>0</v>
      </c>
      <c r="F1116" t="s">
        <v>4509</v>
      </c>
      <c r="G1116">
        <v>106</v>
      </c>
      <c r="H1116">
        <v>6</v>
      </c>
      <c r="I1116" t="s">
        <v>24</v>
      </c>
      <c r="J1116" t="s">
        <v>4510</v>
      </c>
      <c r="K1116" t="s">
        <v>147</v>
      </c>
      <c r="L1116" t="s">
        <v>27</v>
      </c>
      <c r="M1116" t="s">
        <v>28</v>
      </c>
      <c r="N1116" t="s">
        <v>4511</v>
      </c>
      <c r="O1116" t="s">
        <v>27</v>
      </c>
      <c r="P1116" t="s">
        <v>39</v>
      </c>
      <c r="Q1116" t="s">
        <v>31</v>
      </c>
      <c r="R1116" t="s">
        <v>32</v>
      </c>
      <c r="S1116" t="s">
        <v>28</v>
      </c>
      <c r="T1116" t="s">
        <v>4512</v>
      </c>
      <c r="U1116" t="s">
        <v>4511</v>
      </c>
    </row>
    <row r="1117" spans="1:21" x14ac:dyDescent="0.25">
      <c r="A1117" t="s">
        <v>195</v>
      </c>
      <c r="B1117" t="s">
        <v>1003</v>
      </c>
      <c r="C1117">
        <v>112.35</v>
      </c>
      <c r="D1117">
        <v>1</v>
      </c>
      <c r="E1117">
        <v>0</v>
      </c>
      <c r="F1117" t="s">
        <v>4513</v>
      </c>
      <c r="G1117">
        <v>117.35</v>
      </c>
      <c r="H1117">
        <v>5</v>
      </c>
      <c r="I1117" t="s">
        <v>628</v>
      </c>
      <c r="J1117" t="s">
        <v>4514</v>
      </c>
      <c r="K1117" t="s">
        <v>4515</v>
      </c>
      <c r="L1117" t="s">
        <v>1453</v>
      </c>
      <c r="M1117" t="s">
        <v>4516</v>
      </c>
      <c r="N1117" t="s">
        <v>4511</v>
      </c>
      <c r="O1117" t="s">
        <v>27</v>
      </c>
      <c r="P1117" t="s">
        <v>48</v>
      </c>
      <c r="Q1117" t="s">
        <v>49</v>
      </c>
      <c r="R1117" t="s">
        <v>50</v>
      </c>
      <c r="S1117" t="s">
        <v>28</v>
      </c>
      <c r="T1117" t="s">
        <v>4517</v>
      </c>
      <c r="U1117" t="s">
        <v>4511</v>
      </c>
    </row>
    <row r="1118" spans="1:21" x14ac:dyDescent="0.25">
      <c r="A1118" t="s">
        <v>134</v>
      </c>
      <c r="B1118" t="s">
        <v>64</v>
      </c>
      <c r="C1118">
        <v>100</v>
      </c>
      <c r="D1118">
        <v>1</v>
      </c>
      <c r="E1118">
        <v>0</v>
      </c>
      <c r="F1118" t="s">
        <v>4518</v>
      </c>
      <c r="G1118">
        <v>100</v>
      </c>
      <c r="H1118">
        <v>0</v>
      </c>
      <c r="I1118" t="s">
        <v>445</v>
      </c>
      <c r="J1118" t="s">
        <v>4519</v>
      </c>
      <c r="K1118" t="s">
        <v>474</v>
      </c>
      <c r="L1118" t="s">
        <v>27</v>
      </c>
      <c r="M1118" t="s">
        <v>28</v>
      </c>
      <c r="N1118" t="s">
        <v>4520</v>
      </c>
      <c r="O1118" t="s">
        <v>27</v>
      </c>
      <c r="P1118" t="s">
        <v>39</v>
      </c>
      <c r="Q1118" t="s">
        <v>31</v>
      </c>
      <c r="R1118" t="s">
        <v>32</v>
      </c>
      <c r="S1118" t="s">
        <v>28</v>
      </c>
      <c r="T1118" t="s">
        <v>4521</v>
      </c>
      <c r="U1118" t="s">
        <v>4520</v>
      </c>
    </row>
    <row r="1119" spans="1:21" x14ac:dyDescent="0.25">
      <c r="A1119" t="s">
        <v>143</v>
      </c>
      <c r="B1119" t="s">
        <v>144</v>
      </c>
      <c r="C1119">
        <v>200</v>
      </c>
      <c r="D1119">
        <v>1</v>
      </c>
      <c r="E1119">
        <v>0</v>
      </c>
      <c r="F1119" t="s">
        <v>4522</v>
      </c>
      <c r="G1119">
        <v>200</v>
      </c>
      <c r="H1119">
        <v>0</v>
      </c>
      <c r="I1119" t="s">
        <v>140</v>
      </c>
      <c r="J1119" t="s">
        <v>4523</v>
      </c>
      <c r="K1119" t="s">
        <v>137</v>
      </c>
      <c r="L1119" t="s">
        <v>27</v>
      </c>
      <c r="M1119" t="s">
        <v>28</v>
      </c>
      <c r="N1119" t="s">
        <v>4524</v>
      </c>
      <c r="O1119" t="s">
        <v>27</v>
      </c>
      <c r="P1119" t="s">
        <v>369</v>
      </c>
      <c r="Q1119" t="s">
        <v>31</v>
      </c>
      <c r="R1119" t="s">
        <v>57</v>
      </c>
      <c r="S1119" t="s">
        <v>28</v>
      </c>
      <c r="T1119" t="s">
        <v>4525</v>
      </c>
      <c r="U1119" t="s">
        <v>4526</v>
      </c>
    </row>
    <row r="1120" spans="1:21" x14ac:dyDescent="0.25">
      <c r="A1120" t="s">
        <v>33</v>
      </c>
      <c r="B1120" t="s">
        <v>34</v>
      </c>
      <c r="C1120">
        <v>200</v>
      </c>
      <c r="D1120">
        <v>1</v>
      </c>
      <c r="E1120">
        <v>0</v>
      </c>
      <c r="F1120" t="s">
        <v>4527</v>
      </c>
      <c r="G1120">
        <v>200</v>
      </c>
      <c r="H1120">
        <v>0</v>
      </c>
      <c r="I1120" t="s">
        <v>445</v>
      </c>
      <c r="J1120" t="s">
        <v>3049</v>
      </c>
      <c r="K1120" t="s">
        <v>124</v>
      </c>
      <c r="L1120" t="s">
        <v>27</v>
      </c>
      <c r="M1120" t="s">
        <v>28</v>
      </c>
      <c r="N1120" t="s">
        <v>4528</v>
      </c>
      <c r="O1120" t="s">
        <v>27</v>
      </c>
      <c r="P1120" t="s">
        <v>39</v>
      </c>
      <c r="Q1120" t="s">
        <v>31</v>
      </c>
      <c r="R1120" t="s">
        <v>32</v>
      </c>
      <c r="S1120" t="s">
        <v>28</v>
      </c>
      <c r="T1120" t="s">
        <v>4529</v>
      </c>
      <c r="U1120" t="s">
        <v>4526</v>
      </c>
    </row>
    <row r="1121" spans="1:21" x14ac:dyDescent="0.25">
      <c r="A1121" t="s">
        <v>143</v>
      </c>
      <c r="B1121" t="s">
        <v>144</v>
      </c>
      <c r="C1121">
        <v>200</v>
      </c>
      <c r="D1121">
        <v>1</v>
      </c>
      <c r="E1121">
        <v>0</v>
      </c>
      <c r="F1121" t="s">
        <v>4530</v>
      </c>
      <c r="G1121">
        <v>200</v>
      </c>
      <c r="H1121">
        <v>0</v>
      </c>
      <c r="I1121" t="s">
        <v>140</v>
      </c>
      <c r="J1121" t="s">
        <v>4531</v>
      </c>
      <c r="K1121" t="s">
        <v>701</v>
      </c>
      <c r="L1121" t="s">
        <v>27</v>
      </c>
      <c r="M1121" t="s">
        <v>28</v>
      </c>
      <c r="N1121" t="s">
        <v>4532</v>
      </c>
      <c r="O1121" t="s">
        <v>27</v>
      </c>
      <c r="P1121" t="s">
        <v>30</v>
      </c>
      <c r="Q1121" t="s">
        <v>31</v>
      </c>
      <c r="R1121" t="s">
        <v>32</v>
      </c>
      <c r="S1121" t="s">
        <v>28</v>
      </c>
      <c r="T1121" t="s">
        <v>4533</v>
      </c>
      <c r="U1121" t="s">
        <v>4532</v>
      </c>
    </row>
    <row r="1122" spans="1:21" x14ac:dyDescent="0.25">
      <c r="A1122" t="s">
        <v>58</v>
      </c>
      <c r="B1122" t="s">
        <v>58</v>
      </c>
      <c r="C1122">
        <v>100</v>
      </c>
      <c r="D1122">
        <v>1</v>
      </c>
      <c r="E1122">
        <v>0</v>
      </c>
      <c r="F1122" t="s">
        <v>4534</v>
      </c>
      <c r="G1122">
        <v>106</v>
      </c>
      <c r="H1122">
        <v>6</v>
      </c>
      <c r="I1122" t="s">
        <v>140</v>
      </c>
      <c r="J1122" t="s">
        <v>4535</v>
      </c>
      <c r="K1122" t="s">
        <v>137</v>
      </c>
      <c r="L1122" t="s">
        <v>27</v>
      </c>
      <c r="M1122" t="s">
        <v>28</v>
      </c>
      <c r="N1122" t="s">
        <v>4536</v>
      </c>
      <c r="O1122" t="s">
        <v>27</v>
      </c>
      <c r="P1122" t="s">
        <v>30</v>
      </c>
      <c r="Q1122" t="s">
        <v>31</v>
      </c>
      <c r="R1122" t="s">
        <v>32</v>
      </c>
      <c r="S1122" t="s">
        <v>28</v>
      </c>
      <c r="T1122" t="s">
        <v>4537</v>
      </c>
      <c r="U1122" t="s">
        <v>4536</v>
      </c>
    </row>
    <row r="1123" spans="1:21" x14ac:dyDescent="0.25">
      <c r="A1123" t="s">
        <v>33</v>
      </c>
      <c r="B1123" t="s">
        <v>34</v>
      </c>
      <c r="C1123">
        <v>200</v>
      </c>
      <c r="D1123">
        <v>1</v>
      </c>
      <c r="E1123">
        <v>0</v>
      </c>
      <c r="F1123" t="s">
        <v>4538</v>
      </c>
      <c r="G1123">
        <v>200</v>
      </c>
      <c r="H1123">
        <v>0</v>
      </c>
      <c r="I1123" t="s">
        <v>445</v>
      </c>
      <c r="J1123" t="s">
        <v>4249</v>
      </c>
      <c r="K1123" t="s">
        <v>677</v>
      </c>
      <c r="L1123" t="s">
        <v>27</v>
      </c>
      <c r="M1123" t="s">
        <v>28</v>
      </c>
      <c r="N1123" t="s">
        <v>4539</v>
      </c>
      <c r="O1123" t="s">
        <v>27</v>
      </c>
      <c r="P1123" t="s">
        <v>39</v>
      </c>
      <c r="Q1123" t="s">
        <v>31</v>
      </c>
      <c r="R1123" t="s">
        <v>32</v>
      </c>
      <c r="S1123" t="s">
        <v>28</v>
      </c>
      <c r="T1123" t="s">
        <v>4540</v>
      </c>
      <c r="U1123" t="s">
        <v>4539</v>
      </c>
    </row>
    <row r="1124" spans="1:21" x14ac:dyDescent="0.25">
      <c r="A1124" t="s">
        <v>21</v>
      </c>
      <c r="B1124" t="s">
        <v>22</v>
      </c>
      <c r="C1124">
        <v>100</v>
      </c>
      <c r="D1124">
        <v>1</v>
      </c>
      <c r="E1124">
        <v>0</v>
      </c>
      <c r="F1124" t="s">
        <v>4541</v>
      </c>
      <c r="G1124">
        <v>100</v>
      </c>
      <c r="H1124">
        <v>0</v>
      </c>
      <c r="I1124" t="s">
        <v>24</v>
      </c>
      <c r="J1124" t="s">
        <v>4542</v>
      </c>
      <c r="K1124" t="s">
        <v>753</v>
      </c>
      <c r="L1124" t="s">
        <v>27</v>
      </c>
      <c r="M1124" t="s">
        <v>28</v>
      </c>
      <c r="N1124" t="s">
        <v>4543</v>
      </c>
      <c r="O1124" t="s">
        <v>27</v>
      </c>
      <c r="P1124" t="s">
        <v>39</v>
      </c>
      <c r="Q1124" t="s">
        <v>31</v>
      </c>
      <c r="R1124" t="s">
        <v>32</v>
      </c>
      <c r="S1124" t="s">
        <v>28</v>
      </c>
      <c r="T1124" t="s">
        <v>4544</v>
      </c>
      <c r="U1124" t="s">
        <v>4543</v>
      </c>
    </row>
    <row r="1125" spans="1:21" x14ac:dyDescent="0.25">
      <c r="A1125" t="s">
        <v>456</v>
      </c>
      <c r="B1125" t="s">
        <v>1178</v>
      </c>
      <c r="C1125">
        <v>112.35</v>
      </c>
      <c r="D1125">
        <v>1</v>
      </c>
      <c r="E1125">
        <v>0</v>
      </c>
      <c r="F1125" t="s">
        <v>4545</v>
      </c>
      <c r="G1125">
        <v>117.35</v>
      </c>
      <c r="H1125">
        <v>5</v>
      </c>
      <c r="I1125" t="s">
        <v>628</v>
      </c>
      <c r="J1125" t="s">
        <v>4546</v>
      </c>
      <c r="K1125" t="s">
        <v>4547</v>
      </c>
      <c r="L1125" t="s">
        <v>1714</v>
      </c>
      <c r="M1125" t="s">
        <v>4548</v>
      </c>
      <c r="N1125" t="s">
        <v>4549</v>
      </c>
      <c r="O1125" t="s">
        <v>27</v>
      </c>
      <c r="P1125" t="s">
        <v>48</v>
      </c>
      <c r="Q1125" t="s">
        <v>49</v>
      </c>
      <c r="R1125" t="s">
        <v>50</v>
      </c>
      <c r="S1125" t="s">
        <v>28</v>
      </c>
      <c r="T1125" t="s">
        <v>4550</v>
      </c>
      <c r="U1125" t="s">
        <v>4549</v>
      </c>
    </row>
    <row r="1126" spans="1:21" x14ac:dyDescent="0.25">
      <c r="A1126" t="s">
        <v>195</v>
      </c>
      <c r="B1126" t="s">
        <v>1003</v>
      </c>
      <c r="C1126">
        <v>112.35</v>
      </c>
      <c r="D1126">
        <v>1</v>
      </c>
      <c r="E1126">
        <v>0</v>
      </c>
      <c r="F1126" t="s">
        <v>4551</v>
      </c>
      <c r="G1126">
        <v>117.35</v>
      </c>
      <c r="H1126">
        <v>5</v>
      </c>
      <c r="I1126" t="s">
        <v>628</v>
      </c>
      <c r="J1126" t="s">
        <v>4552</v>
      </c>
      <c r="K1126" t="s">
        <v>4553</v>
      </c>
      <c r="L1126" t="s">
        <v>666</v>
      </c>
      <c r="M1126" t="s">
        <v>4554</v>
      </c>
      <c r="N1126" t="s">
        <v>4555</v>
      </c>
      <c r="O1126" t="s">
        <v>27</v>
      </c>
      <c r="P1126" t="s">
        <v>48</v>
      </c>
      <c r="Q1126" t="s">
        <v>49</v>
      </c>
      <c r="R1126" t="s">
        <v>50</v>
      </c>
      <c r="S1126" t="s">
        <v>28</v>
      </c>
      <c r="T1126" t="s">
        <v>4556</v>
      </c>
      <c r="U1126" t="s">
        <v>4555</v>
      </c>
    </row>
    <row r="1127" spans="1:21" x14ac:dyDescent="0.25">
      <c r="A1127" t="s">
        <v>33</v>
      </c>
      <c r="B1127" t="s">
        <v>34</v>
      </c>
      <c r="C1127">
        <v>200</v>
      </c>
      <c r="D1127">
        <v>1</v>
      </c>
      <c r="E1127">
        <v>0</v>
      </c>
      <c r="F1127" t="s">
        <v>4557</v>
      </c>
      <c r="G1127">
        <v>200</v>
      </c>
      <c r="H1127">
        <v>0</v>
      </c>
      <c r="I1127" t="s">
        <v>24</v>
      </c>
      <c r="J1127" t="s">
        <v>4558</v>
      </c>
      <c r="K1127" t="s">
        <v>89</v>
      </c>
      <c r="L1127" t="s">
        <v>27</v>
      </c>
      <c r="M1127" t="s">
        <v>28</v>
      </c>
      <c r="N1127" t="s">
        <v>4412</v>
      </c>
      <c r="O1127" t="s">
        <v>27</v>
      </c>
      <c r="P1127" t="s">
        <v>56</v>
      </c>
      <c r="Q1127" t="s">
        <v>31</v>
      </c>
      <c r="R1127" t="s">
        <v>57</v>
      </c>
      <c r="S1127" t="s">
        <v>28</v>
      </c>
      <c r="T1127" t="s">
        <v>4559</v>
      </c>
      <c r="U1127" t="s">
        <v>4555</v>
      </c>
    </row>
    <row r="1128" spans="1:21" x14ac:dyDescent="0.25">
      <c r="A1128" t="s">
        <v>33</v>
      </c>
      <c r="B1128" t="s">
        <v>34</v>
      </c>
      <c r="C1128">
        <v>200</v>
      </c>
      <c r="D1128">
        <v>1</v>
      </c>
      <c r="E1128">
        <v>0</v>
      </c>
      <c r="F1128" t="s">
        <v>4560</v>
      </c>
      <c r="G1128">
        <v>200</v>
      </c>
      <c r="H1128">
        <v>0</v>
      </c>
      <c r="I1128" t="s">
        <v>24</v>
      </c>
      <c r="J1128" t="s">
        <v>4561</v>
      </c>
      <c r="K1128" t="s">
        <v>321</v>
      </c>
      <c r="L1128" t="s">
        <v>27</v>
      </c>
      <c r="M1128" t="s">
        <v>28</v>
      </c>
      <c r="N1128" t="s">
        <v>4562</v>
      </c>
      <c r="O1128" t="s">
        <v>27</v>
      </c>
      <c r="P1128" t="s">
        <v>39</v>
      </c>
      <c r="Q1128" t="s">
        <v>31</v>
      </c>
      <c r="R1128" t="s">
        <v>32</v>
      </c>
      <c r="S1128" t="s">
        <v>28</v>
      </c>
      <c r="T1128" t="s">
        <v>4563</v>
      </c>
      <c r="U1128" t="s">
        <v>4562</v>
      </c>
    </row>
    <row r="1129" spans="1:21" x14ac:dyDescent="0.25">
      <c r="A1129" t="s">
        <v>33</v>
      </c>
      <c r="B1129" t="s">
        <v>34</v>
      </c>
      <c r="C1129">
        <v>200</v>
      </c>
      <c r="D1129">
        <v>1</v>
      </c>
      <c r="E1129">
        <v>0</v>
      </c>
      <c r="F1129" t="s">
        <v>4564</v>
      </c>
      <c r="G1129">
        <v>200</v>
      </c>
      <c r="H1129">
        <v>0</v>
      </c>
      <c r="I1129" t="s">
        <v>24</v>
      </c>
      <c r="J1129" t="s">
        <v>4565</v>
      </c>
      <c r="K1129" t="s">
        <v>54</v>
      </c>
      <c r="L1129" t="s">
        <v>27</v>
      </c>
      <c r="M1129" t="s">
        <v>28</v>
      </c>
      <c r="N1129" t="s">
        <v>4566</v>
      </c>
      <c r="O1129" t="s">
        <v>27</v>
      </c>
      <c r="P1129" t="s">
        <v>39</v>
      </c>
      <c r="Q1129" t="s">
        <v>31</v>
      </c>
      <c r="R1129" t="s">
        <v>32</v>
      </c>
      <c r="S1129" t="s">
        <v>28</v>
      </c>
      <c r="T1129" t="s">
        <v>4567</v>
      </c>
      <c r="U1129" t="s">
        <v>4568</v>
      </c>
    </row>
    <row r="1130" spans="1:21" x14ac:dyDescent="0.25">
      <c r="A1130" t="s">
        <v>21</v>
      </c>
      <c r="B1130" t="s">
        <v>22</v>
      </c>
      <c r="C1130">
        <v>100</v>
      </c>
      <c r="D1130">
        <v>1</v>
      </c>
      <c r="E1130">
        <v>0</v>
      </c>
      <c r="F1130" t="s">
        <v>4569</v>
      </c>
      <c r="G1130">
        <v>100</v>
      </c>
      <c r="H1130">
        <v>0</v>
      </c>
      <c r="I1130" t="s">
        <v>24</v>
      </c>
      <c r="J1130" t="s">
        <v>3615</v>
      </c>
      <c r="K1130" t="s">
        <v>474</v>
      </c>
      <c r="L1130" t="s">
        <v>27</v>
      </c>
      <c r="M1130" t="s">
        <v>28</v>
      </c>
      <c r="N1130" t="s">
        <v>4570</v>
      </c>
      <c r="O1130" t="s">
        <v>27</v>
      </c>
      <c r="P1130" t="s">
        <v>39</v>
      </c>
      <c r="Q1130" t="s">
        <v>31</v>
      </c>
      <c r="R1130" t="s">
        <v>32</v>
      </c>
      <c r="S1130" t="s">
        <v>28</v>
      </c>
      <c r="T1130" t="s">
        <v>4571</v>
      </c>
      <c r="U1130" t="s">
        <v>4570</v>
      </c>
    </row>
    <row r="1131" spans="1:21" x14ac:dyDescent="0.25">
      <c r="A1131" t="s">
        <v>33</v>
      </c>
      <c r="B1131" t="s">
        <v>34</v>
      </c>
      <c r="C1131">
        <v>200</v>
      </c>
      <c r="D1131">
        <v>1</v>
      </c>
      <c r="E1131">
        <v>0</v>
      </c>
      <c r="F1131" t="s">
        <v>4572</v>
      </c>
      <c r="G1131">
        <v>200</v>
      </c>
      <c r="H1131">
        <v>0</v>
      </c>
      <c r="I1131" t="s">
        <v>24</v>
      </c>
      <c r="J1131" t="s">
        <v>4573</v>
      </c>
      <c r="K1131" t="s">
        <v>1878</v>
      </c>
      <c r="L1131" t="s">
        <v>27</v>
      </c>
      <c r="M1131" t="s">
        <v>28</v>
      </c>
      <c r="N1131" t="s">
        <v>4574</v>
      </c>
      <c r="O1131" t="s">
        <v>27</v>
      </c>
      <c r="P1131" t="s">
        <v>39</v>
      </c>
      <c r="Q1131" t="s">
        <v>31</v>
      </c>
      <c r="R1131" t="s">
        <v>32</v>
      </c>
      <c r="S1131" t="s">
        <v>28</v>
      </c>
      <c r="T1131" t="s">
        <v>4575</v>
      </c>
      <c r="U1131" t="s">
        <v>4576</v>
      </c>
    </row>
    <row r="1132" spans="1:21" x14ac:dyDescent="0.25">
      <c r="A1132" t="s">
        <v>70</v>
      </c>
      <c r="B1132" t="s">
        <v>70</v>
      </c>
      <c r="C1132">
        <v>350</v>
      </c>
      <c r="D1132">
        <v>1</v>
      </c>
      <c r="E1132">
        <v>0</v>
      </c>
      <c r="F1132" t="s">
        <v>4577</v>
      </c>
      <c r="G1132">
        <v>350</v>
      </c>
      <c r="H1132">
        <v>0</v>
      </c>
      <c r="I1132" t="s">
        <v>140</v>
      </c>
      <c r="J1132" t="s">
        <v>1886</v>
      </c>
      <c r="K1132" t="s">
        <v>54</v>
      </c>
      <c r="L1132" t="s">
        <v>27</v>
      </c>
      <c r="M1132" t="s">
        <v>28</v>
      </c>
      <c r="N1132" t="s">
        <v>4578</v>
      </c>
      <c r="O1132" t="s">
        <v>27</v>
      </c>
      <c r="P1132" t="s">
        <v>30</v>
      </c>
      <c r="Q1132" t="s">
        <v>31</v>
      </c>
      <c r="R1132" t="s">
        <v>32</v>
      </c>
      <c r="S1132" t="s">
        <v>28</v>
      </c>
      <c r="T1132" t="s">
        <v>4579</v>
      </c>
      <c r="U1132" t="s">
        <v>4578</v>
      </c>
    </row>
    <row r="1133" spans="1:21" x14ac:dyDescent="0.25">
      <c r="A1133" t="s">
        <v>58</v>
      </c>
      <c r="B1133" t="s">
        <v>58</v>
      </c>
      <c r="C1133">
        <v>100</v>
      </c>
      <c r="D1133">
        <v>1</v>
      </c>
      <c r="E1133">
        <v>0</v>
      </c>
      <c r="F1133" t="s">
        <v>4580</v>
      </c>
      <c r="G1133">
        <v>200</v>
      </c>
      <c r="H1133">
        <v>0</v>
      </c>
      <c r="I1133" t="s">
        <v>445</v>
      </c>
      <c r="J1133" t="s">
        <v>4581</v>
      </c>
      <c r="K1133" t="s">
        <v>273</v>
      </c>
      <c r="L1133" t="s">
        <v>27</v>
      </c>
      <c r="M1133" t="s">
        <v>28</v>
      </c>
      <c r="N1133" t="s">
        <v>4582</v>
      </c>
      <c r="O1133" t="s">
        <v>27</v>
      </c>
      <c r="P1133" t="s">
        <v>39</v>
      </c>
      <c r="Q1133" t="s">
        <v>31</v>
      </c>
      <c r="R1133" t="s">
        <v>32</v>
      </c>
      <c r="S1133" t="s">
        <v>28</v>
      </c>
      <c r="T1133" t="s">
        <v>4583</v>
      </c>
      <c r="U1133" t="s">
        <v>4584</v>
      </c>
    </row>
    <row r="1134" spans="1:21" x14ac:dyDescent="0.25">
      <c r="A1134" t="s">
        <v>134</v>
      </c>
      <c r="B1134" t="s">
        <v>64</v>
      </c>
      <c r="C1134">
        <v>100</v>
      </c>
      <c r="D1134">
        <v>1</v>
      </c>
      <c r="E1134">
        <v>0</v>
      </c>
      <c r="F1134" t="s">
        <v>4580</v>
      </c>
      <c r="G1134">
        <v>200</v>
      </c>
      <c r="H1134">
        <v>0</v>
      </c>
      <c r="I1134" t="s">
        <v>445</v>
      </c>
      <c r="J1134" t="s">
        <v>4581</v>
      </c>
      <c r="K1134" t="s">
        <v>273</v>
      </c>
      <c r="L1134" t="s">
        <v>27</v>
      </c>
      <c r="M1134" t="s">
        <v>28</v>
      </c>
      <c r="N1134" t="s">
        <v>4582</v>
      </c>
      <c r="O1134" t="s">
        <v>27</v>
      </c>
      <c r="P1134" t="s">
        <v>39</v>
      </c>
      <c r="Q1134" t="s">
        <v>31</v>
      </c>
      <c r="R1134" t="s">
        <v>32</v>
      </c>
      <c r="S1134" t="s">
        <v>28</v>
      </c>
      <c r="T1134" t="s">
        <v>4583</v>
      </c>
      <c r="U1134" t="s">
        <v>4582</v>
      </c>
    </row>
    <row r="1135" spans="1:21" x14ac:dyDescent="0.25">
      <c r="A1135" t="s">
        <v>33</v>
      </c>
      <c r="B1135" t="s">
        <v>34</v>
      </c>
      <c r="C1135">
        <v>200</v>
      </c>
      <c r="D1135">
        <v>1</v>
      </c>
      <c r="E1135">
        <v>0</v>
      </c>
      <c r="F1135" t="s">
        <v>4585</v>
      </c>
      <c r="G1135">
        <v>200</v>
      </c>
      <c r="H1135">
        <v>0</v>
      </c>
      <c r="I1135" t="s">
        <v>445</v>
      </c>
      <c r="J1135" t="s">
        <v>4586</v>
      </c>
      <c r="K1135" t="s">
        <v>37</v>
      </c>
      <c r="L1135" t="s">
        <v>27</v>
      </c>
      <c r="M1135" t="s">
        <v>28</v>
      </c>
      <c r="N1135" t="s">
        <v>4582</v>
      </c>
      <c r="O1135" t="s">
        <v>27</v>
      </c>
      <c r="P1135" t="s">
        <v>39</v>
      </c>
      <c r="Q1135" t="s">
        <v>31</v>
      </c>
      <c r="R1135" t="s">
        <v>32</v>
      </c>
      <c r="S1135" t="s">
        <v>28</v>
      </c>
      <c r="T1135" t="s">
        <v>4587</v>
      </c>
      <c r="U1135" t="s">
        <v>4582</v>
      </c>
    </row>
    <row r="1136" spans="1:21" x14ac:dyDescent="0.25">
      <c r="A1136" t="s">
        <v>635</v>
      </c>
      <c r="B1136" t="s">
        <v>1129</v>
      </c>
      <c r="C1136">
        <v>325.39</v>
      </c>
      <c r="D1136">
        <v>1</v>
      </c>
      <c r="E1136">
        <v>0</v>
      </c>
      <c r="F1136" t="s">
        <v>4588</v>
      </c>
      <c r="G1136">
        <v>325.39</v>
      </c>
      <c r="H1136">
        <v>0</v>
      </c>
      <c r="I1136" t="s">
        <v>105</v>
      </c>
      <c r="J1136" t="s">
        <v>4589</v>
      </c>
      <c r="K1136" t="s">
        <v>4590</v>
      </c>
      <c r="L1136" t="s">
        <v>3264</v>
      </c>
      <c r="M1136" t="s">
        <v>4591</v>
      </c>
      <c r="N1136" t="s">
        <v>4592</v>
      </c>
      <c r="O1136" t="s">
        <v>27</v>
      </c>
      <c r="P1136" t="s">
        <v>48</v>
      </c>
      <c r="Q1136" t="s">
        <v>49</v>
      </c>
      <c r="R1136" t="s">
        <v>50</v>
      </c>
      <c r="S1136" t="s">
        <v>28</v>
      </c>
      <c r="T1136" t="s">
        <v>4593</v>
      </c>
      <c r="U1136" t="s">
        <v>4592</v>
      </c>
    </row>
    <row r="1137" spans="1:21" x14ac:dyDescent="0.25">
      <c r="A1137" t="s">
        <v>21</v>
      </c>
      <c r="B1137" t="s">
        <v>22</v>
      </c>
      <c r="C1137">
        <v>100</v>
      </c>
      <c r="D1137">
        <v>1</v>
      </c>
      <c r="E1137">
        <v>0</v>
      </c>
      <c r="F1137" t="s">
        <v>4594</v>
      </c>
      <c r="G1137">
        <v>106</v>
      </c>
      <c r="H1137">
        <v>6</v>
      </c>
      <c r="I1137" t="s">
        <v>445</v>
      </c>
      <c r="J1137" t="s">
        <v>4595</v>
      </c>
      <c r="K1137" t="s">
        <v>4596</v>
      </c>
      <c r="L1137" t="s">
        <v>27</v>
      </c>
      <c r="M1137" t="s">
        <v>28</v>
      </c>
      <c r="N1137" t="s">
        <v>4592</v>
      </c>
      <c r="O1137" t="s">
        <v>27</v>
      </c>
      <c r="P1137" t="s">
        <v>39</v>
      </c>
      <c r="Q1137" t="s">
        <v>31</v>
      </c>
      <c r="R1137" t="s">
        <v>32</v>
      </c>
      <c r="S1137" t="s">
        <v>28</v>
      </c>
      <c r="T1137" t="s">
        <v>4597</v>
      </c>
      <c r="U1137" t="s">
        <v>4592</v>
      </c>
    </row>
    <row r="1138" spans="1:21" x14ac:dyDescent="0.25">
      <c r="A1138" t="s">
        <v>21</v>
      </c>
      <c r="B1138" t="s">
        <v>1072</v>
      </c>
      <c r="C1138">
        <v>94.78</v>
      </c>
      <c r="D1138">
        <v>1</v>
      </c>
      <c r="E1138">
        <v>0</v>
      </c>
      <c r="F1138" t="s">
        <v>4598</v>
      </c>
      <c r="G1138">
        <v>99.78</v>
      </c>
      <c r="H1138">
        <v>5</v>
      </c>
      <c r="I1138" t="s">
        <v>105</v>
      </c>
      <c r="J1138" t="s">
        <v>4599</v>
      </c>
      <c r="K1138" t="s">
        <v>4600</v>
      </c>
      <c r="L1138" t="s">
        <v>480</v>
      </c>
      <c r="M1138" t="s">
        <v>4601</v>
      </c>
      <c r="N1138" t="s">
        <v>4602</v>
      </c>
      <c r="O1138" t="s">
        <v>27</v>
      </c>
      <c r="P1138" t="s">
        <v>48</v>
      </c>
      <c r="Q1138" t="s">
        <v>49</v>
      </c>
      <c r="R1138" t="s">
        <v>50</v>
      </c>
      <c r="S1138" t="s">
        <v>28</v>
      </c>
      <c r="T1138" t="s">
        <v>4603</v>
      </c>
      <c r="U1138" t="s">
        <v>4602</v>
      </c>
    </row>
    <row r="1139" spans="1:21" x14ac:dyDescent="0.25">
      <c r="A1139" t="s">
        <v>33</v>
      </c>
      <c r="B1139" t="s">
        <v>34</v>
      </c>
      <c r="C1139">
        <v>200</v>
      </c>
      <c r="D1139">
        <v>2</v>
      </c>
      <c r="E1139">
        <v>0</v>
      </c>
      <c r="F1139" t="s">
        <v>4604</v>
      </c>
      <c r="G1139">
        <v>400</v>
      </c>
      <c r="H1139">
        <v>0</v>
      </c>
      <c r="I1139" t="s">
        <v>445</v>
      </c>
      <c r="J1139" t="s">
        <v>182</v>
      </c>
      <c r="K1139" t="s">
        <v>183</v>
      </c>
      <c r="L1139" t="s">
        <v>27</v>
      </c>
      <c r="M1139" t="s">
        <v>28</v>
      </c>
      <c r="N1139" t="s">
        <v>4605</v>
      </c>
      <c r="O1139" t="s">
        <v>27</v>
      </c>
      <c r="P1139" t="s">
        <v>30</v>
      </c>
      <c r="Q1139" t="s">
        <v>31</v>
      </c>
      <c r="R1139" t="s">
        <v>32</v>
      </c>
      <c r="S1139" t="s">
        <v>28</v>
      </c>
      <c r="T1139" t="s">
        <v>4606</v>
      </c>
      <c r="U1139" t="s">
        <v>4605</v>
      </c>
    </row>
    <row r="1140" spans="1:21" x14ac:dyDescent="0.25">
      <c r="A1140" t="s">
        <v>58</v>
      </c>
      <c r="B1140" t="s">
        <v>58</v>
      </c>
      <c r="C1140">
        <v>130</v>
      </c>
      <c r="D1140">
        <v>1</v>
      </c>
      <c r="E1140">
        <v>0</v>
      </c>
      <c r="F1140" t="s">
        <v>4607</v>
      </c>
      <c r="G1140">
        <v>178</v>
      </c>
      <c r="H1140">
        <v>0</v>
      </c>
      <c r="I1140" t="s">
        <v>445</v>
      </c>
      <c r="J1140" t="s">
        <v>4608</v>
      </c>
      <c r="K1140" t="s">
        <v>4609</v>
      </c>
      <c r="L1140" t="s">
        <v>1522</v>
      </c>
      <c r="M1140" t="s">
        <v>4610</v>
      </c>
      <c r="N1140" t="s">
        <v>4605</v>
      </c>
      <c r="O1140" t="s">
        <v>27</v>
      </c>
      <c r="P1140" t="s">
        <v>84</v>
      </c>
      <c r="Q1140" t="s">
        <v>85</v>
      </c>
      <c r="R1140" t="s">
        <v>86</v>
      </c>
      <c r="S1140" t="s">
        <v>28</v>
      </c>
      <c r="T1140" t="s">
        <v>4611</v>
      </c>
      <c r="U1140" t="s">
        <v>4605</v>
      </c>
    </row>
    <row r="1141" spans="1:21" x14ac:dyDescent="0.25">
      <c r="A1141" t="s">
        <v>33</v>
      </c>
      <c r="B1141" t="s">
        <v>34</v>
      </c>
      <c r="C1141">
        <v>200</v>
      </c>
      <c r="D1141">
        <v>1</v>
      </c>
      <c r="E1141">
        <v>0</v>
      </c>
      <c r="F1141" t="s">
        <v>4612</v>
      </c>
      <c r="G1141">
        <v>200</v>
      </c>
      <c r="H1141">
        <v>0</v>
      </c>
      <c r="I1141" t="s">
        <v>24</v>
      </c>
      <c r="J1141" t="s">
        <v>4613</v>
      </c>
      <c r="K1141" t="s">
        <v>1989</v>
      </c>
      <c r="L1141" t="s">
        <v>27</v>
      </c>
      <c r="M1141" t="s">
        <v>28</v>
      </c>
      <c r="N1141" t="s">
        <v>4605</v>
      </c>
      <c r="O1141" t="s">
        <v>27</v>
      </c>
      <c r="P1141" t="s">
        <v>56</v>
      </c>
      <c r="Q1141" t="s">
        <v>31</v>
      </c>
      <c r="R1141" t="s">
        <v>57</v>
      </c>
      <c r="S1141" t="s">
        <v>28</v>
      </c>
      <c r="T1141" t="s">
        <v>4614</v>
      </c>
      <c r="U1141" t="s">
        <v>4605</v>
      </c>
    </row>
    <row r="1142" spans="1:21" x14ac:dyDescent="0.25">
      <c r="A1142" t="s">
        <v>143</v>
      </c>
      <c r="B1142" t="s">
        <v>144</v>
      </c>
      <c r="C1142">
        <v>200</v>
      </c>
      <c r="D1142">
        <v>1</v>
      </c>
      <c r="E1142">
        <v>0</v>
      </c>
      <c r="F1142" t="s">
        <v>4615</v>
      </c>
      <c r="G1142">
        <v>200</v>
      </c>
      <c r="H1142">
        <v>0</v>
      </c>
      <c r="I1142" t="s">
        <v>24</v>
      </c>
      <c r="J1142" t="s">
        <v>4616</v>
      </c>
      <c r="K1142" t="s">
        <v>237</v>
      </c>
      <c r="L1142" t="s">
        <v>27</v>
      </c>
      <c r="M1142" t="s">
        <v>28</v>
      </c>
      <c r="N1142" t="s">
        <v>4617</v>
      </c>
      <c r="O1142" t="s">
        <v>27</v>
      </c>
      <c r="P1142" t="s">
        <v>39</v>
      </c>
      <c r="Q1142" t="s">
        <v>31</v>
      </c>
      <c r="R1142" t="s">
        <v>32</v>
      </c>
      <c r="S1142" t="s">
        <v>28</v>
      </c>
      <c r="T1142" t="s">
        <v>4618</v>
      </c>
      <c r="U1142" t="s">
        <v>4617</v>
      </c>
    </row>
    <row r="1143" spans="1:21" x14ac:dyDescent="0.25">
      <c r="A1143" t="s">
        <v>33</v>
      </c>
      <c r="B1143" t="s">
        <v>34</v>
      </c>
      <c r="C1143">
        <v>200</v>
      </c>
      <c r="D1143">
        <v>1</v>
      </c>
      <c r="E1143">
        <v>0</v>
      </c>
      <c r="F1143" t="s">
        <v>4619</v>
      </c>
      <c r="G1143">
        <v>200</v>
      </c>
      <c r="H1143">
        <v>0</v>
      </c>
      <c r="I1143" t="s">
        <v>24</v>
      </c>
      <c r="J1143" t="s">
        <v>4620</v>
      </c>
      <c r="K1143" t="s">
        <v>311</v>
      </c>
      <c r="L1143" t="s">
        <v>27</v>
      </c>
      <c r="M1143" t="s">
        <v>28</v>
      </c>
      <c r="N1143" t="s">
        <v>4621</v>
      </c>
      <c r="O1143" t="s">
        <v>27</v>
      </c>
      <c r="P1143" t="s">
        <v>39</v>
      </c>
      <c r="Q1143" t="s">
        <v>31</v>
      </c>
      <c r="R1143" t="s">
        <v>32</v>
      </c>
      <c r="S1143" t="s">
        <v>28</v>
      </c>
      <c r="T1143" t="s">
        <v>4622</v>
      </c>
      <c r="U1143" t="s">
        <v>4621</v>
      </c>
    </row>
    <row r="1144" spans="1:21" x14ac:dyDescent="0.25">
      <c r="A1144" t="s">
        <v>456</v>
      </c>
      <c r="B1144" t="s">
        <v>1178</v>
      </c>
      <c r="C1144">
        <v>89.88</v>
      </c>
      <c r="D1144">
        <v>1</v>
      </c>
      <c r="E1144">
        <v>0</v>
      </c>
      <c r="F1144" t="s">
        <v>4623</v>
      </c>
      <c r="G1144">
        <v>184.76</v>
      </c>
      <c r="H1144">
        <v>5</v>
      </c>
      <c r="I1144" t="s">
        <v>628</v>
      </c>
      <c r="J1144" t="s">
        <v>4624</v>
      </c>
      <c r="K1144" t="s">
        <v>4625</v>
      </c>
      <c r="L1144" t="s">
        <v>748</v>
      </c>
      <c r="M1144" t="s">
        <v>4626</v>
      </c>
      <c r="N1144" t="s">
        <v>4621</v>
      </c>
      <c r="O1144" t="s">
        <v>27</v>
      </c>
      <c r="P1144" t="s">
        <v>48</v>
      </c>
      <c r="Q1144" t="s">
        <v>49</v>
      </c>
      <c r="R1144" t="s">
        <v>50</v>
      </c>
      <c r="S1144" t="s">
        <v>28</v>
      </c>
      <c r="T1144" t="s">
        <v>4627</v>
      </c>
      <c r="U1144" t="s">
        <v>4621</v>
      </c>
    </row>
    <row r="1145" spans="1:21" x14ac:dyDescent="0.25">
      <c r="A1145" t="s">
        <v>456</v>
      </c>
      <c r="B1145" t="s">
        <v>1178</v>
      </c>
      <c r="C1145">
        <v>89.88</v>
      </c>
      <c r="D1145">
        <v>1</v>
      </c>
      <c r="E1145">
        <v>0</v>
      </c>
      <c r="F1145" t="s">
        <v>4623</v>
      </c>
      <c r="G1145">
        <v>184.76</v>
      </c>
      <c r="H1145">
        <v>5</v>
      </c>
      <c r="I1145" t="s">
        <v>628</v>
      </c>
      <c r="J1145" t="s">
        <v>4624</v>
      </c>
      <c r="K1145" t="s">
        <v>4625</v>
      </c>
      <c r="L1145" t="s">
        <v>748</v>
      </c>
      <c r="M1145" t="s">
        <v>4626</v>
      </c>
      <c r="N1145" t="s">
        <v>4621</v>
      </c>
      <c r="O1145" t="s">
        <v>27</v>
      </c>
      <c r="P1145" t="s">
        <v>48</v>
      </c>
      <c r="Q1145" t="s">
        <v>49</v>
      </c>
      <c r="R1145" t="s">
        <v>50</v>
      </c>
      <c r="S1145" t="s">
        <v>28</v>
      </c>
      <c r="T1145" t="s">
        <v>4627</v>
      </c>
      <c r="U1145" t="s">
        <v>4621</v>
      </c>
    </row>
    <row r="1146" spans="1:21" x14ac:dyDescent="0.25">
      <c r="A1146" t="s">
        <v>195</v>
      </c>
      <c r="B1146" t="s">
        <v>1003</v>
      </c>
      <c r="C1146">
        <v>112.35</v>
      </c>
      <c r="D1146">
        <v>1</v>
      </c>
      <c r="E1146">
        <v>0</v>
      </c>
      <c r="F1146" t="s">
        <v>4628</v>
      </c>
      <c r="G1146">
        <v>112.35</v>
      </c>
      <c r="H1146">
        <v>0</v>
      </c>
      <c r="I1146" t="s">
        <v>628</v>
      </c>
      <c r="J1146" t="s">
        <v>4629</v>
      </c>
      <c r="K1146" t="s">
        <v>4630</v>
      </c>
      <c r="L1146" t="s">
        <v>2557</v>
      </c>
      <c r="M1146" t="s">
        <v>4631</v>
      </c>
      <c r="N1146" t="s">
        <v>4632</v>
      </c>
      <c r="O1146" t="s">
        <v>27</v>
      </c>
      <c r="P1146" t="s">
        <v>48</v>
      </c>
      <c r="Q1146" t="s">
        <v>49</v>
      </c>
      <c r="R1146" t="s">
        <v>50</v>
      </c>
      <c r="S1146" t="s">
        <v>28</v>
      </c>
      <c r="T1146" t="s">
        <v>4633</v>
      </c>
      <c r="U1146" t="s">
        <v>4621</v>
      </c>
    </row>
    <row r="1147" spans="1:21" x14ac:dyDescent="0.25">
      <c r="A1147" t="s">
        <v>143</v>
      </c>
      <c r="B1147" t="s">
        <v>144</v>
      </c>
      <c r="C1147">
        <v>200</v>
      </c>
      <c r="D1147">
        <v>1</v>
      </c>
      <c r="E1147">
        <v>0</v>
      </c>
      <c r="F1147" t="s">
        <v>4634</v>
      </c>
      <c r="G1147">
        <v>200</v>
      </c>
      <c r="H1147">
        <v>0</v>
      </c>
      <c r="I1147" t="s">
        <v>140</v>
      </c>
      <c r="J1147" t="s">
        <v>4635</v>
      </c>
      <c r="K1147" t="s">
        <v>250</v>
      </c>
      <c r="L1147" t="s">
        <v>27</v>
      </c>
      <c r="M1147" t="s">
        <v>28</v>
      </c>
      <c r="N1147" t="s">
        <v>4636</v>
      </c>
      <c r="O1147" t="s">
        <v>27</v>
      </c>
      <c r="P1147" t="s">
        <v>30</v>
      </c>
      <c r="Q1147" t="s">
        <v>31</v>
      </c>
      <c r="R1147" t="s">
        <v>32</v>
      </c>
      <c r="S1147" t="s">
        <v>28</v>
      </c>
      <c r="T1147" t="s">
        <v>4637</v>
      </c>
      <c r="U1147" t="s">
        <v>4636</v>
      </c>
    </row>
    <row r="1148" spans="1:21" x14ac:dyDescent="0.25">
      <c r="A1148" t="s">
        <v>63</v>
      </c>
      <c r="B1148" t="s">
        <v>64</v>
      </c>
      <c r="C1148">
        <v>100</v>
      </c>
      <c r="D1148">
        <v>1</v>
      </c>
      <c r="E1148">
        <v>0</v>
      </c>
      <c r="F1148" t="s">
        <v>4638</v>
      </c>
      <c r="G1148">
        <v>100</v>
      </c>
      <c r="H1148">
        <v>0</v>
      </c>
      <c r="I1148" t="s">
        <v>445</v>
      </c>
      <c r="J1148" t="s">
        <v>4639</v>
      </c>
      <c r="K1148" t="s">
        <v>124</v>
      </c>
      <c r="L1148" t="s">
        <v>27</v>
      </c>
      <c r="M1148" t="s">
        <v>28</v>
      </c>
      <c r="N1148" t="s">
        <v>4640</v>
      </c>
      <c r="O1148" t="s">
        <v>27</v>
      </c>
      <c r="P1148" t="s">
        <v>56</v>
      </c>
      <c r="Q1148" t="s">
        <v>31</v>
      </c>
      <c r="R1148" t="s">
        <v>57</v>
      </c>
      <c r="S1148" t="s">
        <v>28</v>
      </c>
      <c r="T1148" t="s">
        <v>4641</v>
      </c>
      <c r="U1148" t="s">
        <v>4640</v>
      </c>
    </row>
    <row r="1149" spans="1:21" x14ac:dyDescent="0.25">
      <c r="A1149" t="s">
        <v>63</v>
      </c>
      <c r="B1149" t="s">
        <v>64</v>
      </c>
      <c r="C1149">
        <v>100</v>
      </c>
      <c r="D1149">
        <v>1</v>
      </c>
      <c r="E1149">
        <v>0</v>
      </c>
      <c r="F1149" t="s">
        <v>4642</v>
      </c>
      <c r="G1149">
        <v>106</v>
      </c>
      <c r="H1149">
        <v>6</v>
      </c>
      <c r="I1149" t="s">
        <v>445</v>
      </c>
      <c r="J1149" t="s">
        <v>4643</v>
      </c>
      <c r="K1149" t="s">
        <v>711</v>
      </c>
      <c r="L1149" t="s">
        <v>27</v>
      </c>
      <c r="M1149" t="s">
        <v>28</v>
      </c>
      <c r="N1149" t="s">
        <v>4640</v>
      </c>
      <c r="O1149" t="s">
        <v>27</v>
      </c>
      <c r="P1149" t="s">
        <v>56</v>
      </c>
      <c r="Q1149" t="s">
        <v>31</v>
      </c>
      <c r="R1149" t="s">
        <v>57</v>
      </c>
      <c r="S1149" t="s">
        <v>28</v>
      </c>
      <c r="T1149" t="s">
        <v>4644</v>
      </c>
      <c r="U1149" t="s">
        <v>4640</v>
      </c>
    </row>
    <row r="1150" spans="1:21" x14ac:dyDescent="0.25">
      <c r="A1150" t="s">
        <v>63</v>
      </c>
      <c r="B1150" t="s">
        <v>64</v>
      </c>
      <c r="C1150">
        <v>100</v>
      </c>
      <c r="D1150">
        <v>1</v>
      </c>
      <c r="E1150">
        <v>0</v>
      </c>
      <c r="F1150" t="s">
        <v>4645</v>
      </c>
      <c r="G1150">
        <v>106</v>
      </c>
      <c r="H1150">
        <v>6</v>
      </c>
      <c r="I1150" t="s">
        <v>24</v>
      </c>
      <c r="J1150" t="s">
        <v>4646</v>
      </c>
      <c r="K1150" t="s">
        <v>350</v>
      </c>
      <c r="L1150" t="s">
        <v>27</v>
      </c>
      <c r="M1150" t="s">
        <v>28</v>
      </c>
      <c r="N1150" t="s">
        <v>4647</v>
      </c>
      <c r="O1150" t="s">
        <v>27</v>
      </c>
      <c r="P1150" t="s">
        <v>39</v>
      </c>
      <c r="Q1150" t="s">
        <v>31</v>
      </c>
      <c r="R1150" t="s">
        <v>32</v>
      </c>
      <c r="S1150" t="s">
        <v>28</v>
      </c>
      <c r="T1150" t="s">
        <v>4648</v>
      </c>
      <c r="U1150" t="s">
        <v>4647</v>
      </c>
    </row>
    <row r="1151" spans="1:21" x14ac:dyDescent="0.25">
      <c r="A1151" t="s">
        <v>143</v>
      </c>
      <c r="B1151" t="s">
        <v>144</v>
      </c>
      <c r="C1151">
        <v>200</v>
      </c>
      <c r="D1151">
        <v>1</v>
      </c>
      <c r="E1151">
        <v>0</v>
      </c>
      <c r="F1151" t="s">
        <v>4649</v>
      </c>
      <c r="G1151">
        <v>200</v>
      </c>
      <c r="H1151">
        <v>0</v>
      </c>
      <c r="I1151" t="s">
        <v>140</v>
      </c>
      <c r="J1151" t="s">
        <v>4650</v>
      </c>
      <c r="K1151" t="s">
        <v>358</v>
      </c>
      <c r="L1151" t="s">
        <v>27</v>
      </c>
      <c r="M1151" t="s">
        <v>28</v>
      </c>
      <c r="N1151" t="s">
        <v>4651</v>
      </c>
      <c r="O1151" t="s">
        <v>27</v>
      </c>
      <c r="P1151" t="s">
        <v>30</v>
      </c>
      <c r="Q1151" t="s">
        <v>31</v>
      </c>
      <c r="R1151" t="s">
        <v>32</v>
      </c>
      <c r="S1151" t="s">
        <v>28</v>
      </c>
      <c r="T1151" t="s">
        <v>4652</v>
      </c>
      <c r="U1151" t="s">
        <v>4651</v>
      </c>
    </row>
    <row r="1152" spans="1:21" x14ac:dyDescent="0.25">
      <c r="A1152" t="s">
        <v>195</v>
      </c>
      <c r="B1152" t="s">
        <v>1003</v>
      </c>
      <c r="C1152">
        <v>111.5</v>
      </c>
      <c r="D1152">
        <v>1</v>
      </c>
      <c r="E1152">
        <v>0</v>
      </c>
      <c r="F1152" t="s">
        <v>4653</v>
      </c>
      <c r="G1152">
        <v>116.5</v>
      </c>
      <c r="H1152">
        <v>5</v>
      </c>
      <c r="I1152" t="s">
        <v>628</v>
      </c>
      <c r="J1152" t="s">
        <v>4654</v>
      </c>
      <c r="K1152" t="s">
        <v>4655</v>
      </c>
      <c r="L1152" t="s">
        <v>4656</v>
      </c>
      <c r="M1152" t="s">
        <v>4657</v>
      </c>
      <c r="N1152" t="s">
        <v>4658</v>
      </c>
      <c r="O1152" t="s">
        <v>27</v>
      </c>
      <c r="P1152" t="s">
        <v>48</v>
      </c>
      <c r="Q1152" t="s">
        <v>49</v>
      </c>
      <c r="R1152" t="s">
        <v>50</v>
      </c>
      <c r="S1152" t="s">
        <v>28</v>
      </c>
      <c r="T1152" t="s">
        <v>4659</v>
      </c>
      <c r="U1152" t="s">
        <v>4658</v>
      </c>
    </row>
    <row r="1153" spans="1:21" x14ac:dyDescent="0.25">
      <c r="A1153" t="s">
        <v>143</v>
      </c>
      <c r="B1153" t="s">
        <v>144</v>
      </c>
      <c r="C1153">
        <v>200</v>
      </c>
      <c r="D1153">
        <v>1</v>
      </c>
      <c r="E1153">
        <v>0</v>
      </c>
      <c r="F1153" t="s">
        <v>4660</v>
      </c>
      <c r="G1153">
        <v>200</v>
      </c>
      <c r="H1153">
        <v>0</v>
      </c>
      <c r="I1153" t="s">
        <v>140</v>
      </c>
      <c r="J1153" t="s">
        <v>4661</v>
      </c>
      <c r="K1153" t="s">
        <v>594</v>
      </c>
      <c r="L1153" t="s">
        <v>27</v>
      </c>
      <c r="M1153" t="s">
        <v>28</v>
      </c>
      <c r="N1153" t="s">
        <v>4662</v>
      </c>
      <c r="O1153" t="s">
        <v>27</v>
      </c>
      <c r="P1153" t="s">
        <v>30</v>
      </c>
      <c r="Q1153" t="s">
        <v>31</v>
      </c>
      <c r="R1153" t="s">
        <v>32</v>
      </c>
      <c r="S1153" t="s">
        <v>28</v>
      </c>
      <c r="T1153" t="s">
        <v>4663</v>
      </c>
      <c r="U1153" t="s">
        <v>4662</v>
      </c>
    </row>
    <row r="1154" spans="1:21" x14ac:dyDescent="0.25">
      <c r="A1154" t="s">
        <v>143</v>
      </c>
      <c r="B1154" t="s">
        <v>144</v>
      </c>
      <c r="C1154">
        <v>200</v>
      </c>
      <c r="D1154">
        <v>1</v>
      </c>
      <c r="E1154">
        <v>0</v>
      </c>
      <c r="F1154" t="s">
        <v>4664</v>
      </c>
      <c r="G1154">
        <v>200</v>
      </c>
      <c r="H1154">
        <v>0</v>
      </c>
      <c r="I1154" t="s">
        <v>445</v>
      </c>
      <c r="J1154" t="s">
        <v>4665</v>
      </c>
      <c r="K1154" t="s">
        <v>1989</v>
      </c>
      <c r="L1154" t="s">
        <v>27</v>
      </c>
      <c r="M1154" t="s">
        <v>28</v>
      </c>
      <c r="N1154" t="s">
        <v>4666</v>
      </c>
      <c r="O1154" t="s">
        <v>27</v>
      </c>
      <c r="P1154" t="s">
        <v>39</v>
      </c>
      <c r="Q1154" t="s">
        <v>31</v>
      </c>
      <c r="R1154" t="s">
        <v>32</v>
      </c>
      <c r="S1154" t="s">
        <v>28</v>
      </c>
      <c r="T1154" t="s">
        <v>4667</v>
      </c>
      <c r="U1154" t="s">
        <v>4666</v>
      </c>
    </row>
    <row r="1155" spans="1:21" x14ac:dyDescent="0.25">
      <c r="A1155" t="s">
        <v>21</v>
      </c>
      <c r="B1155" t="s">
        <v>22</v>
      </c>
      <c r="C1155">
        <v>100</v>
      </c>
      <c r="D1155">
        <v>1</v>
      </c>
      <c r="E1155">
        <v>0</v>
      </c>
      <c r="F1155" t="s">
        <v>4668</v>
      </c>
      <c r="G1155">
        <v>106</v>
      </c>
      <c r="H1155">
        <v>6</v>
      </c>
      <c r="I1155" t="s">
        <v>445</v>
      </c>
      <c r="J1155" t="s">
        <v>4669</v>
      </c>
      <c r="K1155" t="s">
        <v>583</v>
      </c>
      <c r="L1155" t="s">
        <v>27</v>
      </c>
      <c r="M1155" t="s">
        <v>28</v>
      </c>
      <c r="N1155" t="s">
        <v>4670</v>
      </c>
      <c r="O1155" t="s">
        <v>27</v>
      </c>
      <c r="P1155" t="s">
        <v>39</v>
      </c>
      <c r="Q1155" t="s">
        <v>31</v>
      </c>
      <c r="R1155" t="s">
        <v>32</v>
      </c>
      <c r="S1155" t="s">
        <v>28</v>
      </c>
      <c r="T1155" t="s">
        <v>4671</v>
      </c>
      <c r="U1155" t="s">
        <v>4670</v>
      </c>
    </row>
    <row r="1156" spans="1:21" x14ac:dyDescent="0.25">
      <c r="A1156" t="s">
        <v>70</v>
      </c>
      <c r="B1156" t="s">
        <v>70</v>
      </c>
      <c r="C1156">
        <v>350</v>
      </c>
      <c r="D1156">
        <v>1</v>
      </c>
      <c r="E1156">
        <v>0</v>
      </c>
      <c r="F1156" t="s">
        <v>4672</v>
      </c>
      <c r="G1156">
        <v>350</v>
      </c>
      <c r="H1156">
        <v>0</v>
      </c>
      <c r="I1156" t="s">
        <v>140</v>
      </c>
      <c r="J1156" t="s">
        <v>4673</v>
      </c>
      <c r="K1156" t="s">
        <v>711</v>
      </c>
      <c r="L1156" t="s">
        <v>27</v>
      </c>
      <c r="M1156" t="s">
        <v>28</v>
      </c>
      <c r="N1156" t="s">
        <v>4674</v>
      </c>
      <c r="O1156" t="s">
        <v>27</v>
      </c>
      <c r="P1156" t="s">
        <v>30</v>
      </c>
      <c r="Q1156" t="s">
        <v>31</v>
      </c>
      <c r="R1156" t="s">
        <v>32</v>
      </c>
      <c r="S1156" t="s">
        <v>28</v>
      </c>
      <c r="T1156" t="s">
        <v>4675</v>
      </c>
      <c r="U1156" t="s">
        <v>4674</v>
      </c>
    </row>
    <row r="1157" spans="1:21" x14ac:dyDescent="0.25">
      <c r="A1157" t="s">
        <v>21</v>
      </c>
      <c r="B1157" t="s">
        <v>22</v>
      </c>
      <c r="C1157">
        <v>100</v>
      </c>
      <c r="D1157">
        <v>1</v>
      </c>
      <c r="E1157">
        <v>0</v>
      </c>
      <c r="F1157" t="s">
        <v>4676</v>
      </c>
      <c r="G1157">
        <v>145</v>
      </c>
      <c r="H1157">
        <v>45</v>
      </c>
      <c r="I1157" t="s">
        <v>24</v>
      </c>
      <c r="J1157" t="s">
        <v>4491</v>
      </c>
      <c r="K1157" t="s">
        <v>1198</v>
      </c>
      <c r="L1157" t="s">
        <v>27</v>
      </c>
      <c r="M1157" t="s">
        <v>28</v>
      </c>
      <c r="N1157" t="s">
        <v>4670</v>
      </c>
      <c r="O1157" t="s">
        <v>27</v>
      </c>
      <c r="P1157" t="s">
        <v>56</v>
      </c>
      <c r="Q1157" t="s">
        <v>31</v>
      </c>
      <c r="R1157" t="s">
        <v>57</v>
      </c>
      <c r="S1157" t="s">
        <v>28</v>
      </c>
      <c r="T1157" t="s">
        <v>4677</v>
      </c>
      <c r="U1157" t="s">
        <v>4674</v>
      </c>
    </row>
    <row r="1158" spans="1:21" x14ac:dyDescent="0.25">
      <c r="A1158" t="s">
        <v>195</v>
      </c>
      <c r="B1158" t="s">
        <v>1003</v>
      </c>
      <c r="C1158">
        <v>149.80000000000001</v>
      </c>
      <c r="D1158">
        <v>1</v>
      </c>
      <c r="E1158">
        <v>0</v>
      </c>
      <c r="F1158" t="s">
        <v>4678</v>
      </c>
      <c r="G1158">
        <v>154.80000000000001</v>
      </c>
      <c r="H1158">
        <v>5</v>
      </c>
      <c r="I1158" t="s">
        <v>628</v>
      </c>
      <c r="J1158" t="s">
        <v>4679</v>
      </c>
      <c r="K1158" t="s">
        <v>4680</v>
      </c>
      <c r="L1158" t="s">
        <v>3122</v>
      </c>
      <c r="M1158" t="s">
        <v>4681</v>
      </c>
      <c r="N1158" t="s">
        <v>4682</v>
      </c>
      <c r="O1158" t="s">
        <v>27</v>
      </c>
      <c r="P1158" t="s">
        <v>48</v>
      </c>
      <c r="Q1158" t="s">
        <v>49</v>
      </c>
      <c r="R1158" t="s">
        <v>50</v>
      </c>
      <c r="S1158" t="s">
        <v>28</v>
      </c>
      <c r="T1158" t="s">
        <v>4683</v>
      </c>
      <c r="U1158" t="s">
        <v>4682</v>
      </c>
    </row>
    <row r="1159" spans="1:21" x14ac:dyDescent="0.25">
      <c r="A1159" t="s">
        <v>63</v>
      </c>
      <c r="B1159" t="s">
        <v>64</v>
      </c>
      <c r="C1159">
        <v>100</v>
      </c>
      <c r="D1159">
        <v>1</v>
      </c>
      <c r="E1159">
        <v>0</v>
      </c>
      <c r="F1159" t="s">
        <v>4684</v>
      </c>
      <c r="G1159">
        <v>106</v>
      </c>
      <c r="H1159">
        <v>6</v>
      </c>
      <c r="I1159" t="s">
        <v>24</v>
      </c>
      <c r="J1159" t="s">
        <v>4685</v>
      </c>
      <c r="K1159" t="s">
        <v>321</v>
      </c>
      <c r="L1159" t="s">
        <v>27</v>
      </c>
      <c r="M1159" t="s">
        <v>28</v>
      </c>
      <c r="N1159" t="s">
        <v>4682</v>
      </c>
      <c r="O1159" t="s">
        <v>27</v>
      </c>
      <c r="P1159" t="s">
        <v>56</v>
      </c>
      <c r="Q1159" t="s">
        <v>31</v>
      </c>
      <c r="R1159" t="s">
        <v>57</v>
      </c>
      <c r="S1159" t="s">
        <v>28</v>
      </c>
      <c r="T1159" t="s">
        <v>4686</v>
      </c>
      <c r="U1159" t="s">
        <v>4682</v>
      </c>
    </row>
    <row r="1160" spans="1:21" x14ac:dyDescent="0.25">
      <c r="A1160" t="s">
        <v>456</v>
      </c>
      <c r="B1160" t="s">
        <v>1178</v>
      </c>
      <c r="C1160">
        <v>112</v>
      </c>
      <c r="D1160">
        <v>1</v>
      </c>
      <c r="E1160">
        <v>0</v>
      </c>
      <c r="F1160" t="s">
        <v>4687</v>
      </c>
      <c r="G1160">
        <v>117</v>
      </c>
      <c r="H1160">
        <v>5</v>
      </c>
      <c r="I1160" t="s">
        <v>628</v>
      </c>
      <c r="J1160" t="s">
        <v>4688</v>
      </c>
      <c r="K1160" t="s">
        <v>4689</v>
      </c>
      <c r="L1160" t="s">
        <v>1730</v>
      </c>
      <c r="M1160" t="s">
        <v>4690</v>
      </c>
      <c r="N1160" t="s">
        <v>4691</v>
      </c>
      <c r="O1160" t="s">
        <v>27</v>
      </c>
      <c r="P1160" t="s">
        <v>48</v>
      </c>
      <c r="Q1160" t="s">
        <v>49</v>
      </c>
      <c r="R1160" t="s">
        <v>50</v>
      </c>
      <c r="S1160" t="s">
        <v>28</v>
      </c>
      <c r="T1160" t="s">
        <v>4692</v>
      </c>
      <c r="U1160" t="s">
        <v>4693</v>
      </c>
    </row>
    <row r="1161" spans="1:21" x14ac:dyDescent="0.25">
      <c r="A1161" t="s">
        <v>456</v>
      </c>
      <c r="B1161" t="s">
        <v>1178</v>
      </c>
      <c r="C1161">
        <v>127.33</v>
      </c>
      <c r="D1161">
        <v>1</v>
      </c>
      <c r="E1161">
        <v>0</v>
      </c>
      <c r="F1161" t="s">
        <v>4694</v>
      </c>
      <c r="G1161">
        <v>386.99</v>
      </c>
      <c r="H1161">
        <v>5</v>
      </c>
      <c r="I1161" t="s">
        <v>628</v>
      </c>
      <c r="J1161" t="s">
        <v>4695</v>
      </c>
      <c r="K1161" t="s">
        <v>4696</v>
      </c>
      <c r="L1161" t="s">
        <v>925</v>
      </c>
      <c r="M1161" t="s">
        <v>4697</v>
      </c>
      <c r="N1161" t="s">
        <v>4698</v>
      </c>
      <c r="O1161" t="s">
        <v>27</v>
      </c>
      <c r="P1161" t="s">
        <v>48</v>
      </c>
      <c r="Q1161" t="s">
        <v>49</v>
      </c>
      <c r="R1161" t="s">
        <v>50</v>
      </c>
      <c r="S1161" t="s">
        <v>28</v>
      </c>
      <c r="T1161" t="s">
        <v>4699</v>
      </c>
      <c r="U1161" t="s">
        <v>4698</v>
      </c>
    </row>
    <row r="1162" spans="1:21" x14ac:dyDescent="0.25">
      <c r="A1162" t="s">
        <v>456</v>
      </c>
      <c r="B1162" t="s">
        <v>1178</v>
      </c>
      <c r="C1162">
        <v>127.33</v>
      </c>
      <c r="D1162">
        <v>1</v>
      </c>
      <c r="E1162">
        <v>0</v>
      </c>
      <c r="F1162" t="s">
        <v>4694</v>
      </c>
      <c r="G1162">
        <v>386.99</v>
      </c>
      <c r="H1162">
        <v>5</v>
      </c>
      <c r="I1162" t="s">
        <v>628</v>
      </c>
      <c r="J1162" t="s">
        <v>4695</v>
      </c>
      <c r="K1162" t="s">
        <v>4696</v>
      </c>
      <c r="L1162" t="s">
        <v>925</v>
      </c>
      <c r="M1162" t="s">
        <v>4697</v>
      </c>
      <c r="N1162" t="s">
        <v>4698</v>
      </c>
      <c r="O1162" t="s">
        <v>27</v>
      </c>
      <c r="P1162" t="s">
        <v>48</v>
      </c>
      <c r="Q1162" t="s">
        <v>49</v>
      </c>
      <c r="R1162" t="s">
        <v>50</v>
      </c>
      <c r="S1162" t="s">
        <v>28</v>
      </c>
      <c r="T1162" t="s">
        <v>4699</v>
      </c>
      <c r="U1162" t="s">
        <v>4698</v>
      </c>
    </row>
    <row r="1163" spans="1:21" x14ac:dyDescent="0.25">
      <c r="A1163" t="s">
        <v>456</v>
      </c>
      <c r="B1163" t="s">
        <v>1178</v>
      </c>
      <c r="C1163">
        <v>127.33</v>
      </c>
      <c r="D1163">
        <v>1</v>
      </c>
      <c r="E1163">
        <v>0</v>
      </c>
      <c r="F1163" t="s">
        <v>4694</v>
      </c>
      <c r="G1163">
        <v>386.99</v>
      </c>
      <c r="H1163">
        <v>5</v>
      </c>
      <c r="I1163" t="s">
        <v>628</v>
      </c>
      <c r="J1163" t="s">
        <v>4695</v>
      </c>
      <c r="K1163" t="s">
        <v>4696</v>
      </c>
      <c r="L1163" t="s">
        <v>925</v>
      </c>
      <c r="M1163" t="s">
        <v>4697</v>
      </c>
      <c r="N1163" t="s">
        <v>4698</v>
      </c>
      <c r="O1163" t="s">
        <v>27</v>
      </c>
      <c r="P1163" t="s">
        <v>48</v>
      </c>
      <c r="Q1163" t="s">
        <v>49</v>
      </c>
      <c r="R1163" t="s">
        <v>50</v>
      </c>
      <c r="S1163" t="s">
        <v>28</v>
      </c>
      <c r="T1163" t="s">
        <v>4699</v>
      </c>
      <c r="U1163" t="s">
        <v>4698</v>
      </c>
    </row>
    <row r="1164" spans="1:21" x14ac:dyDescent="0.25">
      <c r="A1164" t="s">
        <v>143</v>
      </c>
      <c r="B1164" t="s">
        <v>144</v>
      </c>
      <c r="C1164">
        <v>200</v>
      </c>
      <c r="D1164">
        <v>1</v>
      </c>
      <c r="E1164">
        <v>0</v>
      </c>
      <c r="F1164" t="s">
        <v>4700</v>
      </c>
      <c r="G1164">
        <v>215</v>
      </c>
      <c r="H1164">
        <v>15</v>
      </c>
      <c r="I1164" t="s">
        <v>140</v>
      </c>
      <c r="J1164" t="s">
        <v>4701</v>
      </c>
      <c r="K1164" t="s">
        <v>346</v>
      </c>
      <c r="L1164" t="s">
        <v>27</v>
      </c>
      <c r="M1164" t="s">
        <v>28</v>
      </c>
      <c r="N1164" t="s">
        <v>4698</v>
      </c>
      <c r="O1164" t="s">
        <v>27</v>
      </c>
      <c r="P1164" t="s">
        <v>30</v>
      </c>
      <c r="Q1164" t="s">
        <v>31</v>
      </c>
      <c r="R1164" t="s">
        <v>32</v>
      </c>
      <c r="S1164" t="s">
        <v>28</v>
      </c>
      <c r="T1164" t="s">
        <v>4702</v>
      </c>
      <c r="U1164" t="s">
        <v>4698</v>
      </c>
    </row>
    <row r="1165" spans="1:21" x14ac:dyDescent="0.25">
      <c r="A1165" t="s">
        <v>21</v>
      </c>
      <c r="B1165" t="s">
        <v>22</v>
      </c>
      <c r="C1165">
        <v>100</v>
      </c>
      <c r="D1165">
        <v>1</v>
      </c>
      <c r="E1165">
        <v>0</v>
      </c>
      <c r="F1165" t="s">
        <v>4703</v>
      </c>
      <c r="G1165">
        <v>106</v>
      </c>
      <c r="H1165">
        <v>6</v>
      </c>
      <c r="I1165" t="s">
        <v>140</v>
      </c>
      <c r="J1165" t="s">
        <v>4704</v>
      </c>
      <c r="K1165" t="s">
        <v>4310</v>
      </c>
      <c r="L1165" t="s">
        <v>27</v>
      </c>
      <c r="M1165" t="s">
        <v>28</v>
      </c>
      <c r="N1165" t="s">
        <v>4705</v>
      </c>
      <c r="O1165" t="s">
        <v>27</v>
      </c>
      <c r="P1165" t="s">
        <v>30</v>
      </c>
      <c r="Q1165" t="s">
        <v>31</v>
      </c>
      <c r="R1165" t="s">
        <v>32</v>
      </c>
      <c r="S1165" t="s">
        <v>28</v>
      </c>
      <c r="T1165" t="s">
        <v>4706</v>
      </c>
      <c r="U1165" t="s">
        <v>4705</v>
      </c>
    </row>
    <row r="1166" spans="1:21" x14ac:dyDescent="0.25">
      <c r="A1166" t="s">
        <v>63</v>
      </c>
      <c r="B1166" t="s">
        <v>64</v>
      </c>
      <c r="C1166">
        <v>100</v>
      </c>
      <c r="D1166">
        <v>2</v>
      </c>
      <c r="E1166">
        <v>0</v>
      </c>
      <c r="F1166" t="s">
        <v>4707</v>
      </c>
      <c r="G1166">
        <v>300</v>
      </c>
      <c r="H1166">
        <v>0</v>
      </c>
      <c r="I1166" t="s">
        <v>140</v>
      </c>
      <c r="J1166" t="s">
        <v>4708</v>
      </c>
      <c r="K1166" t="s">
        <v>1772</v>
      </c>
      <c r="L1166" t="s">
        <v>27</v>
      </c>
      <c r="M1166" t="s">
        <v>28</v>
      </c>
      <c r="N1166" t="s">
        <v>4709</v>
      </c>
      <c r="O1166" t="s">
        <v>27</v>
      </c>
      <c r="P1166" t="s">
        <v>30</v>
      </c>
      <c r="Q1166" t="s">
        <v>31</v>
      </c>
      <c r="R1166" t="s">
        <v>32</v>
      </c>
      <c r="S1166" t="s">
        <v>28</v>
      </c>
      <c r="T1166" t="s">
        <v>4710</v>
      </c>
      <c r="U1166" t="s">
        <v>4709</v>
      </c>
    </row>
    <row r="1167" spans="1:21" x14ac:dyDescent="0.25">
      <c r="A1167" t="s">
        <v>58</v>
      </c>
      <c r="B1167" t="s">
        <v>58</v>
      </c>
      <c r="C1167">
        <v>100</v>
      </c>
      <c r="D1167">
        <v>1</v>
      </c>
      <c r="E1167">
        <v>0</v>
      </c>
      <c r="F1167" t="s">
        <v>4707</v>
      </c>
      <c r="G1167">
        <v>300</v>
      </c>
      <c r="H1167">
        <v>0</v>
      </c>
      <c r="I1167" t="s">
        <v>140</v>
      </c>
      <c r="J1167" t="s">
        <v>4708</v>
      </c>
      <c r="K1167" t="s">
        <v>1772</v>
      </c>
      <c r="L1167" t="s">
        <v>27</v>
      </c>
      <c r="M1167" t="s">
        <v>28</v>
      </c>
      <c r="N1167" t="s">
        <v>4709</v>
      </c>
      <c r="O1167" t="s">
        <v>27</v>
      </c>
      <c r="P1167" t="s">
        <v>30</v>
      </c>
      <c r="Q1167" t="s">
        <v>31</v>
      </c>
      <c r="R1167" t="s">
        <v>32</v>
      </c>
      <c r="S1167" t="s">
        <v>28</v>
      </c>
      <c r="T1167" t="s">
        <v>4710</v>
      </c>
      <c r="U1167" t="s">
        <v>4709</v>
      </c>
    </row>
    <row r="1168" spans="1:21" x14ac:dyDescent="0.25">
      <c r="A1168" t="s">
        <v>70</v>
      </c>
      <c r="B1168" t="s">
        <v>70</v>
      </c>
      <c r="C1168">
        <v>330</v>
      </c>
      <c r="D1168">
        <v>1</v>
      </c>
      <c r="E1168">
        <v>0</v>
      </c>
      <c r="F1168" t="s">
        <v>4711</v>
      </c>
      <c r="G1168">
        <v>330</v>
      </c>
      <c r="H1168">
        <v>0</v>
      </c>
      <c r="I1168" t="s">
        <v>24</v>
      </c>
      <c r="J1168" t="s">
        <v>4712</v>
      </c>
      <c r="K1168" t="s">
        <v>250</v>
      </c>
      <c r="L1168" t="s">
        <v>27</v>
      </c>
      <c r="M1168" t="s">
        <v>28</v>
      </c>
      <c r="N1168" t="s">
        <v>4713</v>
      </c>
      <c r="O1168" t="s">
        <v>27</v>
      </c>
      <c r="P1168" t="s">
        <v>39</v>
      </c>
      <c r="Q1168" t="s">
        <v>31</v>
      </c>
      <c r="R1168" t="s">
        <v>32</v>
      </c>
      <c r="S1168" t="s">
        <v>28</v>
      </c>
      <c r="T1168" t="s">
        <v>4714</v>
      </c>
      <c r="U1168" t="s">
        <v>4713</v>
      </c>
    </row>
    <row r="1169" spans="1:21" x14ac:dyDescent="0.25">
      <c r="A1169" t="s">
        <v>58</v>
      </c>
      <c r="B1169" t="s">
        <v>58</v>
      </c>
      <c r="C1169">
        <v>100</v>
      </c>
      <c r="D1169">
        <v>1</v>
      </c>
      <c r="E1169">
        <v>0</v>
      </c>
      <c r="F1169" t="s">
        <v>4715</v>
      </c>
      <c r="G1169">
        <v>129</v>
      </c>
      <c r="H1169">
        <v>29</v>
      </c>
      <c r="I1169" t="s">
        <v>24</v>
      </c>
      <c r="J1169" t="s">
        <v>4716</v>
      </c>
      <c r="K1169" t="s">
        <v>653</v>
      </c>
      <c r="L1169" t="s">
        <v>27</v>
      </c>
      <c r="M1169" t="s">
        <v>28</v>
      </c>
      <c r="N1169" t="s">
        <v>4717</v>
      </c>
      <c r="O1169" t="s">
        <v>27</v>
      </c>
      <c r="P1169" t="s">
        <v>39</v>
      </c>
      <c r="Q1169" t="s">
        <v>31</v>
      </c>
      <c r="R1169" t="s">
        <v>32</v>
      </c>
      <c r="S1169" t="s">
        <v>28</v>
      </c>
      <c r="T1169" t="s">
        <v>4718</v>
      </c>
      <c r="U1169" t="s">
        <v>4713</v>
      </c>
    </row>
    <row r="1170" spans="1:21" x14ac:dyDescent="0.25">
      <c r="A1170" t="s">
        <v>134</v>
      </c>
      <c r="B1170" t="s">
        <v>64</v>
      </c>
      <c r="C1170">
        <v>100</v>
      </c>
      <c r="D1170">
        <v>1</v>
      </c>
      <c r="E1170">
        <v>0</v>
      </c>
      <c r="F1170" t="s">
        <v>4719</v>
      </c>
      <c r="G1170">
        <v>100</v>
      </c>
      <c r="H1170">
        <v>0</v>
      </c>
      <c r="I1170" t="s">
        <v>140</v>
      </c>
      <c r="J1170" t="s">
        <v>4720</v>
      </c>
      <c r="K1170" t="s">
        <v>2243</v>
      </c>
      <c r="L1170" t="s">
        <v>27</v>
      </c>
      <c r="M1170" t="s">
        <v>28</v>
      </c>
      <c r="N1170" t="s">
        <v>4721</v>
      </c>
      <c r="O1170" t="s">
        <v>27</v>
      </c>
      <c r="P1170" t="s">
        <v>30</v>
      </c>
      <c r="Q1170" t="s">
        <v>31</v>
      </c>
      <c r="R1170" t="s">
        <v>32</v>
      </c>
      <c r="S1170" t="s">
        <v>28</v>
      </c>
      <c r="T1170" t="s">
        <v>4722</v>
      </c>
      <c r="U1170" t="s">
        <v>4721</v>
      </c>
    </row>
    <row r="1171" spans="1:21" x14ac:dyDescent="0.25">
      <c r="A1171" t="s">
        <v>635</v>
      </c>
      <c r="B1171" t="s">
        <v>3237</v>
      </c>
      <c r="C1171">
        <v>697.5</v>
      </c>
      <c r="D1171">
        <v>1</v>
      </c>
      <c r="E1171">
        <v>0</v>
      </c>
      <c r="F1171" t="s">
        <v>4723</v>
      </c>
      <c r="G1171">
        <v>756.5</v>
      </c>
      <c r="H1171">
        <v>59</v>
      </c>
      <c r="I1171" t="s">
        <v>24</v>
      </c>
      <c r="J1171" t="s">
        <v>2676</v>
      </c>
      <c r="K1171" t="s">
        <v>2677</v>
      </c>
      <c r="L1171" t="s">
        <v>1737</v>
      </c>
      <c r="M1171" t="s">
        <v>2678</v>
      </c>
      <c r="N1171" t="s">
        <v>4724</v>
      </c>
      <c r="O1171" t="s">
        <v>27</v>
      </c>
      <c r="P1171" t="s">
        <v>48</v>
      </c>
      <c r="Q1171" t="s">
        <v>49</v>
      </c>
      <c r="R1171" t="s">
        <v>50</v>
      </c>
      <c r="S1171" t="s">
        <v>28</v>
      </c>
      <c r="T1171" t="s">
        <v>4725</v>
      </c>
      <c r="U1171" t="s">
        <v>4724</v>
      </c>
    </row>
    <row r="1172" spans="1:21" x14ac:dyDescent="0.25">
      <c r="A1172" t="s">
        <v>33</v>
      </c>
      <c r="B1172" t="s">
        <v>34</v>
      </c>
      <c r="C1172">
        <v>200</v>
      </c>
      <c r="D1172">
        <v>1</v>
      </c>
      <c r="E1172">
        <v>0</v>
      </c>
      <c r="F1172" t="s">
        <v>4726</v>
      </c>
      <c r="G1172">
        <v>200</v>
      </c>
      <c r="H1172">
        <v>0</v>
      </c>
      <c r="I1172" t="s">
        <v>24</v>
      </c>
      <c r="J1172" t="s">
        <v>4727</v>
      </c>
      <c r="K1172" t="s">
        <v>474</v>
      </c>
      <c r="L1172" t="s">
        <v>27</v>
      </c>
      <c r="M1172" t="s">
        <v>28</v>
      </c>
      <c r="N1172" t="s">
        <v>4728</v>
      </c>
      <c r="O1172" t="s">
        <v>27</v>
      </c>
      <c r="P1172" t="s">
        <v>39</v>
      </c>
      <c r="Q1172" t="s">
        <v>31</v>
      </c>
      <c r="R1172" t="s">
        <v>32</v>
      </c>
      <c r="S1172" t="s">
        <v>28</v>
      </c>
      <c r="T1172" t="s">
        <v>4729</v>
      </c>
      <c r="U1172" t="s">
        <v>4728</v>
      </c>
    </row>
    <row r="1173" spans="1:21" x14ac:dyDescent="0.25">
      <c r="A1173" t="s">
        <v>143</v>
      </c>
      <c r="B1173" t="s">
        <v>144</v>
      </c>
      <c r="C1173">
        <v>200</v>
      </c>
      <c r="D1173">
        <v>1</v>
      </c>
      <c r="E1173">
        <v>0</v>
      </c>
      <c r="F1173" t="s">
        <v>4730</v>
      </c>
      <c r="G1173">
        <v>200</v>
      </c>
      <c r="H1173">
        <v>0</v>
      </c>
      <c r="I1173" t="s">
        <v>140</v>
      </c>
      <c r="J1173" t="s">
        <v>4558</v>
      </c>
      <c r="K1173" t="s">
        <v>67</v>
      </c>
      <c r="L1173" t="s">
        <v>27</v>
      </c>
      <c r="M1173" t="s">
        <v>28</v>
      </c>
      <c r="N1173" t="s">
        <v>4731</v>
      </c>
      <c r="O1173" t="s">
        <v>27</v>
      </c>
      <c r="P1173" t="s">
        <v>30</v>
      </c>
      <c r="Q1173" t="s">
        <v>31</v>
      </c>
      <c r="R1173" t="s">
        <v>32</v>
      </c>
      <c r="S1173" t="s">
        <v>28</v>
      </c>
      <c r="T1173" t="s">
        <v>4732</v>
      </c>
      <c r="U1173" t="s">
        <v>4731</v>
      </c>
    </row>
    <row r="1174" spans="1:21" x14ac:dyDescent="0.25">
      <c r="A1174" t="s">
        <v>33</v>
      </c>
      <c r="B1174" t="s">
        <v>34</v>
      </c>
      <c r="C1174">
        <v>200</v>
      </c>
      <c r="D1174">
        <v>1</v>
      </c>
      <c r="E1174">
        <v>0</v>
      </c>
      <c r="F1174" t="s">
        <v>4733</v>
      </c>
      <c r="G1174">
        <v>200</v>
      </c>
      <c r="H1174">
        <v>0</v>
      </c>
      <c r="I1174" t="s">
        <v>24</v>
      </c>
      <c r="J1174" t="s">
        <v>4734</v>
      </c>
      <c r="K1174" t="s">
        <v>797</v>
      </c>
      <c r="L1174" t="s">
        <v>27</v>
      </c>
      <c r="M1174" t="s">
        <v>28</v>
      </c>
      <c r="N1174" t="s">
        <v>4735</v>
      </c>
      <c r="O1174" t="s">
        <v>27</v>
      </c>
      <c r="P1174" t="s">
        <v>39</v>
      </c>
      <c r="Q1174" t="s">
        <v>31</v>
      </c>
      <c r="R1174" t="s">
        <v>32</v>
      </c>
      <c r="S1174" t="s">
        <v>28</v>
      </c>
      <c r="T1174" t="s">
        <v>4736</v>
      </c>
      <c r="U1174" t="s">
        <v>4735</v>
      </c>
    </row>
    <row r="1175" spans="1:21" x14ac:dyDescent="0.25">
      <c r="A1175" t="s">
        <v>70</v>
      </c>
      <c r="B1175" t="s">
        <v>70</v>
      </c>
      <c r="C1175">
        <v>350</v>
      </c>
      <c r="D1175">
        <v>1</v>
      </c>
      <c r="E1175">
        <v>0</v>
      </c>
      <c r="F1175" t="s">
        <v>4737</v>
      </c>
      <c r="G1175">
        <v>350</v>
      </c>
      <c r="H1175">
        <v>0</v>
      </c>
      <c r="I1175" t="s">
        <v>140</v>
      </c>
      <c r="J1175" t="s">
        <v>4738</v>
      </c>
      <c r="K1175" t="s">
        <v>54</v>
      </c>
      <c r="L1175" t="s">
        <v>27</v>
      </c>
      <c r="M1175" t="s">
        <v>28</v>
      </c>
      <c r="N1175" t="s">
        <v>4735</v>
      </c>
      <c r="O1175" t="s">
        <v>27</v>
      </c>
      <c r="P1175" t="s">
        <v>30</v>
      </c>
      <c r="Q1175" t="s">
        <v>31</v>
      </c>
      <c r="R1175" t="s">
        <v>32</v>
      </c>
      <c r="S1175" t="s">
        <v>28</v>
      </c>
      <c r="T1175" t="s">
        <v>4739</v>
      </c>
      <c r="U1175" t="s">
        <v>4735</v>
      </c>
    </row>
    <row r="1176" spans="1:21" x14ac:dyDescent="0.25">
      <c r="A1176" t="s">
        <v>63</v>
      </c>
      <c r="B1176" t="s">
        <v>64</v>
      </c>
      <c r="C1176">
        <v>100</v>
      </c>
      <c r="D1176">
        <v>3</v>
      </c>
      <c r="E1176">
        <v>0</v>
      </c>
      <c r="F1176" t="s">
        <v>4740</v>
      </c>
      <c r="G1176">
        <v>300</v>
      </c>
      <c r="H1176">
        <v>0</v>
      </c>
      <c r="I1176" t="s">
        <v>24</v>
      </c>
      <c r="J1176" t="s">
        <v>4741</v>
      </c>
      <c r="K1176" t="s">
        <v>241</v>
      </c>
      <c r="L1176" t="s">
        <v>27</v>
      </c>
      <c r="M1176" t="s">
        <v>28</v>
      </c>
      <c r="N1176" t="s">
        <v>4742</v>
      </c>
      <c r="O1176" t="s">
        <v>27</v>
      </c>
      <c r="P1176" t="s">
        <v>39</v>
      </c>
      <c r="Q1176" t="s">
        <v>31</v>
      </c>
      <c r="R1176" t="s">
        <v>32</v>
      </c>
      <c r="S1176" t="s">
        <v>28</v>
      </c>
      <c r="T1176" t="s">
        <v>4743</v>
      </c>
      <c r="U1176" t="s">
        <v>4742</v>
      </c>
    </row>
    <row r="1177" spans="1:21" x14ac:dyDescent="0.25">
      <c r="A1177" t="s">
        <v>58</v>
      </c>
      <c r="B1177" t="s">
        <v>103</v>
      </c>
      <c r="C1177">
        <v>80.91</v>
      </c>
      <c r="D1177">
        <v>1</v>
      </c>
      <c r="E1177">
        <v>0</v>
      </c>
      <c r="F1177" t="s">
        <v>4744</v>
      </c>
      <c r="G1177">
        <v>166.82</v>
      </c>
      <c r="H1177">
        <v>5</v>
      </c>
      <c r="I1177" t="s">
        <v>105</v>
      </c>
      <c r="J1177" t="s">
        <v>4745</v>
      </c>
      <c r="K1177" t="s">
        <v>4746</v>
      </c>
      <c r="L1177" t="s">
        <v>1234</v>
      </c>
      <c r="M1177" t="s">
        <v>4747</v>
      </c>
      <c r="N1177" t="s">
        <v>4748</v>
      </c>
      <c r="O1177" t="s">
        <v>27</v>
      </c>
      <c r="P1177" t="s">
        <v>48</v>
      </c>
      <c r="Q1177" t="s">
        <v>49</v>
      </c>
      <c r="R1177" t="s">
        <v>50</v>
      </c>
      <c r="S1177" t="s">
        <v>28</v>
      </c>
      <c r="T1177" t="s">
        <v>4749</v>
      </c>
      <c r="U1177" t="s">
        <v>4748</v>
      </c>
    </row>
    <row r="1178" spans="1:21" x14ac:dyDescent="0.25">
      <c r="A1178" t="s">
        <v>58</v>
      </c>
      <c r="B1178" t="s">
        <v>103</v>
      </c>
      <c r="C1178">
        <v>80.91</v>
      </c>
      <c r="D1178">
        <v>1</v>
      </c>
      <c r="E1178">
        <v>0</v>
      </c>
      <c r="F1178" t="s">
        <v>4744</v>
      </c>
      <c r="G1178">
        <v>166.82</v>
      </c>
      <c r="H1178">
        <v>5</v>
      </c>
      <c r="I1178" t="s">
        <v>105</v>
      </c>
      <c r="J1178" t="s">
        <v>4745</v>
      </c>
      <c r="K1178" t="s">
        <v>4746</v>
      </c>
      <c r="L1178" t="s">
        <v>1234</v>
      </c>
      <c r="M1178" t="s">
        <v>4747</v>
      </c>
      <c r="N1178" t="s">
        <v>4748</v>
      </c>
      <c r="O1178" t="s">
        <v>27</v>
      </c>
      <c r="P1178" t="s">
        <v>48</v>
      </c>
      <c r="Q1178" t="s">
        <v>49</v>
      </c>
      <c r="R1178" t="s">
        <v>50</v>
      </c>
      <c r="S1178" t="s">
        <v>28</v>
      </c>
      <c r="T1178" t="s">
        <v>4749</v>
      </c>
      <c r="U1178" t="s">
        <v>4748</v>
      </c>
    </row>
    <row r="1179" spans="1:21" x14ac:dyDescent="0.25">
      <c r="A1179" t="s">
        <v>63</v>
      </c>
      <c r="B1179" t="s">
        <v>64</v>
      </c>
      <c r="C1179">
        <v>100</v>
      </c>
      <c r="D1179">
        <v>1</v>
      </c>
      <c r="E1179">
        <v>0</v>
      </c>
      <c r="F1179" t="s">
        <v>4750</v>
      </c>
      <c r="G1179">
        <v>106</v>
      </c>
      <c r="H1179">
        <v>6</v>
      </c>
      <c r="I1179" t="s">
        <v>24</v>
      </c>
      <c r="J1179" t="s">
        <v>4751</v>
      </c>
      <c r="K1179" t="s">
        <v>1190</v>
      </c>
      <c r="L1179" t="s">
        <v>27</v>
      </c>
      <c r="M1179" t="s">
        <v>28</v>
      </c>
      <c r="N1179" t="s">
        <v>4752</v>
      </c>
      <c r="O1179" t="s">
        <v>27</v>
      </c>
      <c r="P1179" t="s">
        <v>56</v>
      </c>
      <c r="Q1179" t="s">
        <v>31</v>
      </c>
      <c r="R1179" t="s">
        <v>57</v>
      </c>
      <c r="S1179" t="s">
        <v>28</v>
      </c>
      <c r="T1179" t="s">
        <v>4753</v>
      </c>
      <c r="U1179" t="s">
        <v>4752</v>
      </c>
    </row>
    <row r="1180" spans="1:21" x14ac:dyDescent="0.25">
      <c r="A1180" t="s">
        <v>21</v>
      </c>
      <c r="B1180" t="s">
        <v>22</v>
      </c>
      <c r="C1180">
        <v>100</v>
      </c>
      <c r="D1180">
        <v>1</v>
      </c>
      <c r="E1180">
        <v>0</v>
      </c>
      <c r="F1180" t="s">
        <v>4754</v>
      </c>
      <c r="G1180">
        <v>106</v>
      </c>
      <c r="H1180">
        <v>6</v>
      </c>
      <c r="I1180" t="s">
        <v>445</v>
      </c>
      <c r="J1180" t="s">
        <v>4755</v>
      </c>
      <c r="K1180" t="s">
        <v>250</v>
      </c>
      <c r="L1180" t="s">
        <v>27</v>
      </c>
      <c r="M1180" t="s">
        <v>28</v>
      </c>
      <c r="N1180" t="s">
        <v>4756</v>
      </c>
      <c r="O1180" t="s">
        <v>27</v>
      </c>
      <c r="P1180" t="s">
        <v>39</v>
      </c>
      <c r="Q1180" t="s">
        <v>31</v>
      </c>
      <c r="R1180" t="s">
        <v>32</v>
      </c>
      <c r="S1180" t="s">
        <v>28</v>
      </c>
      <c r="T1180" t="s">
        <v>4757</v>
      </c>
      <c r="U1180" t="s">
        <v>4756</v>
      </c>
    </row>
    <row r="1181" spans="1:21" x14ac:dyDescent="0.25">
      <c r="A1181" t="s">
        <v>143</v>
      </c>
      <c r="B1181" t="s">
        <v>144</v>
      </c>
      <c r="C1181">
        <v>200</v>
      </c>
      <c r="D1181">
        <v>2</v>
      </c>
      <c r="E1181">
        <v>0</v>
      </c>
      <c r="F1181" t="s">
        <v>4758</v>
      </c>
      <c r="G1181">
        <v>400</v>
      </c>
      <c r="H1181">
        <v>0</v>
      </c>
      <c r="I1181" t="s">
        <v>140</v>
      </c>
      <c r="J1181" t="s">
        <v>4759</v>
      </c>
      <c r="K1181" t="s">
        <v>209</v>
      </c>
      <c r="L1181" t="s">
        <v>27</v>
      </c>
      <c r="M1181" t="s">
        <v>28</v>
      </c>
      <c r="N1181" t="s">
        <v>4760</v>
      </c>
      <c r="O1181" t="s">
        <v>27</v>
      </c>
      <c r="P1181" t="s">
        <v>30</v>
      </c>
      <c r="Q1181" t="s">
        <v>31</v>
      </c>
      <c r="R1181" t="s">
        <v>32</v>
      </c>
      <c r="S1181" t="s">
        <v>28</v>
      </c>
      <c r="T1181" t="s">
        <v>4761</v>
      </c>
      <c r="U1181" t="s">
        <v>4760</v>
      </c>
    </row>
    <row r="1182" spans="1:21" x14ac:dyDescent="0.25">
      <c r="A1182" t="s">
        <v>143</v>
      </c>
      <c r="B1182" t="s">
        <v>144</v>
      </c>
      <c r="C1182">
        <v>200</v>
      </c>
      <c r="D1182">
        <v>1</v>
      </c>
      <c r="E1182">
        <v>0</v>
      </c>
      <c r="F1182" t="s">
        <v>4762</v>
      </c>
      <c r="G1182">
        <v>200</v>
      </c>
      <c r="H1182">
        <v>0</v>
      </c>
      <c r="I1182" t="s">
        <v>24</v>
      </c>
      <c r="J1182" t="s">
        <v>4763</v>
      </c>
      <c r="K1182" t="s">
        <v>26</v>
      </c>
      <c r="L1182" t="s">
        <v>27</v>
      </c>
      <c r="M1182" t="s">
        <v>28</v>
      </c>
      <c r="N1182" t="s">
        <v>4764</v>
      </c>
      <c r="O1182" t="s">
        <v>27</v>
      </c>
      <c r="P1182" t="s">
        <v>39</v>
      </c>
      <c r="Q1182" t="s">
        <v>31</v>
      </c>
      <c r="R1182" t="s">
        <v>32</v>
      </c>
      <c r="S1182" t="s">
        <v>28</v>
      </c>
      <c r="T1182" t="s">
        <v>4765</v>
      </c>
      <c r="U1182" t="s">
        <v>4764</v>
      </c>
    </row>
    <row r="1183" spans="1:21" x14ac:dyDescent="0.25">
      <c r="A1183" t="s">
        <v>58</v>
      </c>
      <c r="B1183" t="s">
        <v>58</v>
      </c>
      <c r="C1183">
        <v>100</v>
      </c>
      <c r="D1183">
        <v>1</v>
      </c>
      <c r="E1183">
        <v>0</v>
      </c>
      <c r="F1183" t="s">
        <v>4766</v>
      </c>
      <c r="G1183">
        <v>200</v>
      </c>
      <c r="H1183">
        <v>0</v>
      </c>
      <c r="I1183" t="s">
        <v>140</v>
      </c>
      <c r="J1183" t="s">
        <v>4767</v>
      </c>
      <c r="K1183" t="s">
        <v>273</v>
      </c>
      <c r="L1183" t="s">
        <v>27</v>
      </c>
      <c r="M1183" t="s">
        <v>28</v>
      </c>
      <c r="N1183" t="s">
        <v>4764</v>
      </c>
      <c r="O1183" t="s">
        <v>27</v>
      </c>
      <c r="P1183" t="s">
        <v>369</v>
      </c>
      <c r="Q1183" t="s">
        <v>31</v>
      </c>
      <c r="R1183" t="s">
        <v>57</v>
      </c>
      <c r="S1183" t="s">
        <v>28</v>
      </c>
      <c r="T1183" t="s">
        <v>4768</v>
      </c>
      <c r="U1183" t="s">
        <v>4769</v>
      </c>
    </row>
    <row r="1184" spans="1:21" x14ac:dyDescent="0.25">
      <c r="A1184" t="s">
        <v>134</v>
      </c>
      <c r="B1184" t="s">
        <v>64</v>
      </c>
      <c r="C1184">
        <v>100</v>
      </c>
      <c r="D1184">
        <v>1</v>
      </c>
      <c r="E1184">
        <v>0</v>
      </c>
      <c r="F1184" t="s">
        <v>4766</v>
      </c>
      <c r="G1184">
        <v>200</v>
      </c>
      <c r="H1184">
        <v>0</v>
      </c>
      <c r="I1184" t="s">
        <v>140</v>
      </c>
      <c r="J1184" t="s">
        <v>4767</v>
      </c>
      <c r="K1184" t="s">
        <v>273</v>
      </c>
      <c r="L1184" t="s">
        <v>27</v>
      </c>
      <c r="M1184" t="s">
        <v>28</v>
      </c>
      <c r="N1184" t="s">
        <v>4764</v>
      </c>
      <c r="O1184" t="s">
        <v>27</v>
      </c>
      <c r="P1184" t="s">
        <v>369</v>
      </c>
      <c r="Q1184" t="s">
        <v>31</v>
      </c>
      <c r="R1184" t="s">
        <v>57</v>
      </c>
      <c r="S1184" t="s">
        <v>28</v>
      </c>
      <c r="T1184" t="s">
        <v>4768</v>
      </c>
      <c r="U1184" t="s">
        <v>4769</v>
      </c>
    </row>
    <row r="1185" spans="1:21" x14ac:dyDescent="0.25">
      <c r="A1185" t="s">
        <v>475</v>
      </c>
      <c r="B1185" t="s">
        <v>476</v>
      </c>
      <c r="C1185">
        <v>199</v>
      </c>
      <c r="D1185">
        <v>1</v>
      </c>
      <c r="E1185">
        <v>0</v>
      </c>
      <c r="F1185" t="s">
        <v>4770</v>
      </c>
      <c r="G1185">
        <v>244</v>
      </c>
      <c r="H1185">
        <v>45</v>
      </c>
      <c r="I1185" t="s">
        <v>24</v>
      </c>
      <c r="J1185" t="s">
        <v>4771</v>
      </c>
      <c r="K1185" t="s">
        <v>4772</v>
      </c>
      <c r="L1185" t="s">
        <v>190</v>
      </c>
      <c r="M1185" t="s">
        <v>541</v>
      </c>
      <c r="N1185" t="s">
        <v>4731</v>
      </c>
      <c r="O1185" t="s">
        <v>27</v>
      </c>
      <c r="P1185" t="s">
        <v>84</v>
      </c>
      <c r="Q1185" t="s">
        <v>85</v>
      </c>
      <c r="R1185" t="s">
        <v>86</v>
      </c>
      <c r="S1185" t="s">
        <v>28</v>
      </c>
      <c r="T1185" t="s">
        <v>4773</v>
      </c>
      <c r="U1185" t="s">
        <v>4769</v>
      </c>
    </row>
    <row r="1186" spans="1:21" x14ac:dyDescent="0.25">
      <c r="A1186" t="s">
        <v>21</v>
      </c>
      <c r="B1186" t="s">
        <v>22</v>
      </c>
      <c r="C1186">
        <v>100</v>
      </c>
      <c r="D1186">
        <v>2</v>
      </c>
      <c r="E1186">
        <v>0</v>
      </c>
      <c r="F1186" t="s">
        <v>4774</v>
      </c>
      <c r="G1186">
        <v>200</v>
      </c>
      <c r="H1186">
        <v>0</v>
      </c>
      <c r="I1186" t="s">
        <v>24</v>
      </c>
      <c r="J1186" t="s">
        <v>4775</v>
      </c>
      <c r="K1186" t="s">
        <v>124</v>
      </c>
      <c r="L1186" t="s">
        <v>27</v>
      </c>
      <c r="M1186" t="s">
        <v>28</v>
      </c>
      <c r="N1186" t="s">
        <v>4776</v>
      </c>
      <c r="O1186" t="s">
        <v>27</v>
      </c>
      <c r="P1186" t="s">
        <v>39</v>
      </c>
      <c r="Q1186" t="s">
        <v>31</v>
      </c>
      <c r="R1186" t="s">
        <v>32</v>
      </c>
      <c r="S1186" t="s">
        <v>28</v>
      </c>
      <c r="T1186" t="s">
        <v>4777</v>
      </c>
      <c r="U1186" t="s">
        <v>4769</v>
      </c>
    </row>
    <row r="1187" spans="1:21" x14ac:dyDescent="0.25">
      <c r="A1187" t="s">
        <v>134</v>
      </c>
      <c r="B1187" t="s">
        <v>64</v>
      </c>
      <c r="C1187">
        <v>100</v>
      </c>
      <c r="D1187">
        <v>1</v>
      </c>
      <c r="E1187">
        <v>0</v>
      </c>
      <c r="F1187" t="s">
        <v>4778</v>
      </c>
      <c r="G1187">
        <v>106</v>
      </c>
      <c r="H1187">
        <v>6</v>
      </c>
      <c r="I1187" t="s">
        <v>445</v>
      </c>
      <c r="J1187" t="s">
        <v>4779</v>
      </c>
      <c r="K1187" t="s">
        <v>237</v>
      </c>
      <c r="L1187" t="s">
        <v>27</v>
      </c>
      <c r="M1187" t="s">
        <v>28</v>
      </c>
      <c r="N1187" t="s">
        <v>4780</v>
      </c>
      <c r="O1187" t="s">
        <v>27</v>
      </c>
      <c r="P1187" t="s">
        <v>39</v>
      </c>
      <c r="Q1187" t="s">
        <v>31</v>
      </c>
      <c r="R1187" t="s">
        <v>32</v>
      </c>
      <c r="S1187" t="s">
        <v>28</v>
      </c>
      <c r="T1187" t="s">
        <v>4781</v>
      </c>
      <c r="U1187" t="s">
        <v>4780</v>
      </c>
    </row>
    <row r="1188" spans="1:21" x14ac:dyDescent="0.25">
      <c r="A1188" t="s">
        <v>456</v>
      </c>
      <c r="B1188" t="s">
        <v>1178</v>
      </c>
      <c r="C1188">
        <v>147</v>
      </c>
      <c r="D1188">
        <v>1</v>
      </c>
      <c r="E1188">
        <v>0</v>
      </c>
      <c r="F1188" t="s">
        <v>4782</v>
      </c>
      <c r="G1188">
        <v>152</v>
      </c>
      <c r="H1188">
        <v>5</v>
      </c>
      <c r="I1188" t="s">
        <v>628</v>
      </c>
      <c r="J1188" t="s">
        <v>4783</v>
      </c>
      <c r="K1188" t="s">
        <v>4784</v>
      </c>
      <c r="L1188" t="s">
        <v>1900</v>
      </c>
      <c r="M1188" t="s">
        <v>4785</v>
      </c>
      <c r="N1188" t="s">
        <v>4780</v>
      </c>
      <c r="O1188" t="s">
        <v>27</v>
      </c>
      <c r="P1188" t="s">
        <v>48</v>
      </c>
      <c r="Q1188" t="s">
        <v>49</v>
      </c>
      <c r="R1188" t="s">
        <v>50</v>
      </c>
      <c r="S1188" t="s">
        <v>28</v>
      </c>
      <c r="T1188" t="s">
        <v>4786</v>
      </c>
      <c r="U1188" t="s">
        <v>4780</v>
      </c>
    </row>
    <row r="1189" spans="1:21" x14ac:dyDescent="0.25">
      <c r="A1189" t="s">
        <v>195</v>
      </c>
      <c r="B1189" t="s">
        <v>4787</v>
      </c>
      <c r="C1189">
        <v>122.91</v>
      </c>
      <c r="D1189">
        <v>1</v>
      </c>
      <c r="E1189">
        <v>0</v>
      </c>
      <c r="F1189" t="s">
        <v>4788</v>
      </c>
      <c r="G1189">
        <v>389.38</v>
      </c>
      <c r="H1189">
        <v>34</v>
      </c>
      <c r="I1189" t="s">
        <v>105</v>
      </c>
      <c r="J1189" t="s">
        <v>4789</v>
      </c>
      <c r="K1189" t="s">
        <v>4790</v>
      </c>
      <c r="L1189" t="s">
        <v>4791</v>
      </c>
      <c r="M1189" t="s">
        <v>4792</v>
      </c>
      <c r="N1189" t="s">
        <v>4793</v>
      </c>
      <c r="O1189" t="s">
        <v>27</v>
      </c>
      <c r="P1189" t="s">
        <v>48</v>
      </c>
      <c r="Q1189" t="s">
        <v>49</v>
      </c>
      <c r="R1189" t="s">
        <v>50</v>
      </c>
      <c r="S1189" t="s">
        <v>28</v>
      </c>
      <c r="T1189" t="s">
        <v>4794</v>
      </c>
      <c r="U1189" t="s">
        <v>4793</v>
      </c>
    </row>
    <row r="1190" spans="1:21" x14ac:dyDescent="0.25">
      <c r="A1190" t="s">
        <v>195</v>
      </c>
      <c r="B1190" t="s">
        <v>4787</v>
      </c>
      <c r="C1190">
        <v>122.9</v>
      </c>
      <c r="D1190">
        <v>1</v>
      </c>
      <c r="E1190">
        <v>0</v>
      </c>
      <c r="F1190" t="s">
        <v>4788</v>
      </c>
      <c r="G1190">
        <v>389.38</v>
      </c>
      <c r="H1190">
        <v>34</v>
      </c>
      <c r="I1190" t="s">
        <v>105</v>
      </c>
      <c r="J1190" t="s">
        <v>4789</v>
      </c>
      <c r="K1190" t="s">
        <v>4790</v>
      </c>
      <c r="L1190" t="s">
        <v>4791</v>
      </c>
      <c r="M1190" t="s">
        <v>4792</v>
      </c>
      <c r="N1190" t="s">
        <v>4793</v>
      </c>
      <c r="O1190" t="s">
        <v>27</v>
      </c>
      <c r="P1190" t="s">
        <v>48</v>
      </c>
      <c r="Q1190" t="s">
        <v>49</v>
      </c>
      <c r="R1190" t="s">
        <v>50</v>
      </c>
      <c r="S1190" t="s">
        <v>28</v>
      </c>
      <c r="T1190" t="s">
        <v>4794</v>
      </c>
      <c r="U1190" t="s">
        <v>4793</v>
      </c>
    </row>
    <row r="1191" spans="1:21" x14ac:dyDescent="0.25">
      <c r="A1191" t="s">
        <v>33</v>
      </c>
      <c r="B1191" t="s">
        <v>34</v>
      </c>
      <c r="C1191">
        <v>200</v>
      </c>
      <c r="D1191">
        <v>1</v>
      </c>
      <c r="E1191">
        <v>0</v>
      </c>
      <c r="F1191" t="s">
        <v>4795</v>
      </c>
      <c r="G1191">
        <v>200</v>
      </c>
      <c r="H1191">
        <v>0</v>
      </c>
      <c r="I1191" t="s">
        <v>445</v>
      </c>
      <c r="J1191" t="s">
        <v>4796</v>
      </c>
      <c r="K1191" t="s">
        <v>771</v>
      </c>
      <c r="L1191" t="s">
        <v>27</v>
      </c>
      <c r="M1191" t="s">
        <v>28</v>
      </c>
      <c r="N1191" t="s">
        <v>4797</v>
      </c>
      <c r="O1191" t="s">
        <v>27</v>
      </c>
      <c r="P1191" t="s">
        <v>39</v>
      </c>
      <c r="Q1191" t="s">
        <v>31</v>
      </c>
      <c r="R1191" t="s">
        <v>32</v>
      </c>
      <c r="S1191" t="s">
        <v>28</v>
      </c>
      <c r="T1191" t="s">
        <v>4798</v>
      </c>
      <c r="U1191" t="s">
        <v>4797</v>
      </c>
    </row>
    <row r="1192" spans="1:21" x14ac:dyDescent="0.25">
      <c r="A1192" t="s">
        <v>134</v>
      </c>
      <c r="B1192" t="s">
        <v>64</v>
      </c>
      <c r="C1192">
        <v>100</v>
      </c>
      <c r="D1192">
        <v>1</v>
      </c>
      <c r="E1192">
        <v>0</v>
      </c>
      <c r="F1192" t="s">
        <v>4799</v>
      </c>
      <c r="G1192">
        <v>200</v>
      </c>
      <c r="H1192">
        <v>0</v>
      </c>
      <c r="I1192" t="s">
        <v>140</v>
      </c>
      <c r="J1192" t="s">
        <v>4800</v>
      </c>
      <c r="K1192" t="s">
        <v>919</v>
      </c>
      <c r="L1192" t="s">
        <v>27</v>
      </c>
      <c r="M1192" t="s">
        <v>28</v>
      </c>
      <c r="N1192" t="s">
        <v>4797</v>
      </c>
      <c r="O1192" t="s">
        <v>27</v>
      </c>
      <c r="P1192" t="s">
        <v>369</v>
      </c>
      <c r="Q1192" t="s">
        <v>31</v>
      </c>
      <c r="R1192" t="s">
        <v>57</v>
      </c>
      <c r="S1192" t="s">
        <v>28</v>
      </c>
      <c r="T1192" t="s">
        <v>4801</v>
      </c>
      <c r="U1192" t="s">
        <v>4802</v>
      </c>
    </row>
    <row r="1193" spans="1:21" x14ac:dyDescent="0.25">
      <c r="A1193" t="s">
        <v>58</v>
      </c>
      <c r="B1193" t="s">
        <v>58</v>
      </c>
      <c r="C1193">
        <v>100</v>
      </c>
      <c r="D1193">
        <v>1</v>
      </c>
      <c r="E1193">
        <v>0</v>
      </c>
      <c r="F1193" t="s">
        <v>4799</v>
      </c>
      <c r="G1193">
        <v>200</v>
      </c>
      <c r="H1193">
        <v>0</v>
      </c>
      <c r="I1193" t="s">
        <v>140</v>
      </c>
      <c r="J1193" t="s">
        <v>4800</v>
      </c>
      <c r="K1193" t="s">
        <v>919</v>
      </c>
      <c r="L1193" t="s">
        <v>27</v>
      </c>
      <c r="M1193" t="s">
        <v>28</v>
      </c>
      <c r="N1193" t="s">
        <v>4797</v>
      </c>
      <c r="O1193" t="s">
        <v>27</v>
      </c>
      <c r="P1193" t="s">
        <v>369</v>
      </c>
      <c r="Q1193" t="s">
        <v>31</v>
      </c>
      <c r="R1193" t="s">
        <v>57</v>
      </c>
      <c r="S1193" t="s">
        <v>28</v>
      </c>
      <c r="T1193" t="s">
        <v>4801</v>
      </c>
      <c r="U1193" t="s">
        <v>4802</v>
      </c>
    </row>
    <row r="1194" spans="1:21" x14ac:dyDescent="0.25">
      <c r="A1194" t="s">
        <v>143</v>
      </c>
      <c r="B1194" t="s">
        <v>144</v>
      </c>
      <c r="C1194">
        <v>200</v>
      </c>
      <c r="D1194">
        <v>3</v>
      </c>
      <c r="E1194">
        <v>0</v>
      </c>
      <c r="F1194" t="s">
        <v>4803</v>
      </c>
      <c r="G1194">
        <v>600</v>
      </c>
      <c r="H1194">
        <v>0</v>
      </c>
      <c r="I1194" t="s">
        <v>140</v>
      </c>
      <c r="J1194" t="s">
        <v>4804</v>
      </c>
      <c r="K1194" t="s">
        <v>711</v>
      </c>
      <c r="L1194" t="s">
        <v>27</v>
      </c>
      <c r="M1194" t="s">
        <v>28</v>
      </c>
      <c r="N1194" t="s">
        <v>4805</v>
      </c>
      <c r="O1194" t="s">
        <v>27</v>
      </c>
      <c r="P1194" t="s">
        <v>30</v>
      </c>
      <c r="Q1194" t="s">
        <v>31</v>
      </c>
      <c r="R1194" t="s">
        <v>32</v>
      </c>
      <c r="S1194" t="s">
        <v>28</v>
      </c>
      <c r="T1194" t="s">
        <v>4806</v>
      </c>
      <c r="U1194" t="s">
        <v>4805</v>
      </c>
    </row>
    <row r="1195" spans="1:21" x14ac:dyDescent="0.25">
      <c r="A1195" t="s">
        <v>21</v>
      </c>
      <c r="B1195" t="s">
        <v>22</v>
      </c>
      <c r="C1195">
        <v>100</v>
      </c>
      <c r="D1195">
        <v>1</v>
      </c>
      <c r="E1195">
        <v>0</v>
      </c>
      <c r="F1195" t="s">
        <v>4807</v>
      </c>
      <c r="G1195">
        <v>106</v>
      </c>
      <c r="H1195">
        <v>6</v>
      </c>
      <c r="I1195" t="s">
        <v>24</v>
      </c>
      <c r="J1195" t="s">
        <v>4808</v>
      </c>
      <c r="K1195" t="s">
        <v>237</v>
      </c>
      <c r="L1195" t="s">
        <v>27</v>
      </c>
      <c r="M1195" t="s">
        <v>28</v>
      </c>
      <c r="N1195" t="s">
        <v>4809</v>
      </c>
      <c r="O1195" t="s">
        <v>27</v>
      </c>
      <c r="P1195" t="s">
        <v>39</v>
      </c>
      <c r="Q1195" t="s">
        <v>31</v>
      </c>
      <c r="R1195" t="s">
        <v>32</v>
      </c>
      <c r="S1195" t="s">
        <v>28</v>
      </c>
      <c r="T1195" t="s">
        <v>4810</v>
      </c>
      <c r="U1195" t="s">
        <v>4809</v>
      </c>
    </row>
    <row r="1196" spans="1:21" x14ac:dyDescent="0.25">
      <c r="A1196" t="s">
        <v>63</v>
      </c>
      <c r="B1196" t="s">
        <v>64</v>
      </c>
      <c r="C1196">
        <v>100</v>
      </c>
      <c r="D1196">
        <v>1</v>
      </c>
      <c r="E1196">
        <v>0</v>
      </c>
      <c r="F1196" t="s">
        <v>4811</v>
      </c>
      <c r="G1196">
        <v>145</v>
      </c>
      <c r="H1196">
        <v>45</v>
      </c>
      <c r="I1196" t="s">
        <v>140</v>
      </c>
      <c r="J1196" t="s">
        <v>4812</v>
      </c>
      <c r="K1196" t="s">
        <v>147</v>
      </c>
      <c r="L1196" t="s">
        <v>27</v>
      </c>
      <c r="M1196" t="s">
        <v>28</v>
      </c>
      <c r="N1196" t="s">
        <v>4813</v>
      </c>
      <c r="O1196" t="s">
        <v>27</v>
      </c>
      <c r="P1196" t="s">
        <v>30</v>
      </c>
      <c r="Q1196" t="s">
        <v>31</v>
      </c>
      <c r="R1196" t="s">
        <v>32</v>
      </c>
      <c r="S1196" t="s">
        <v>28</v>
      </c>
      <c r="T1196" t="s">
        <v>4814</v>
      </c>
      <c r="U1196" t="s">
        <v>4813</v>
      </c>
    </row>
    <row r="1197" spans="1:21" x14ac:dyDescent="0.25">
      <c r="A1197" t="s">
        <v>33</v>
      </c>
      <c r="B1197" t="s">
        <v>34</v>
      </c>
      <c r="C1197">
        <v>200</v>
      </c>
      <c r="D1197">
        <v>1</v>
      </c>
      <c r="E1197">
        <v>0</v>
      </c>
      <c r="F1197" t="s">
        <v>4815</v>
      </c>
      <c r="G1197">
        <v>200</v>
      </c>
      <c r="H1197">
        <v>0</v>
      </c>
      <c r="I1197" t="s">
        <v>445</v>
      </c>
      <c r="J1197" t="s">
        <v>4816</v>
      </c>
      <c r="K1197" t="s">
        <v>701</v>
      </c>
      <c r="L1197" t="s">
        <v>27</v>
      </c>
      <c r="M1197" t="s">
        <v>28</v>
      </c>
      <c r="N1197" t="s">
        <v>4817</v>
      </c>
      <c r="O1197" t="s">
        <v>27</v>
      </c>
      <c r="P1197" t="s">
        <v>56</v>
      </c>
      <c r="Q1197" t="s">
        <v>31</v>
      </c>
      <c r="R1197" t="s">
        <v>57</v>
      </c>
      <c r="S1197" t="s">
        <v>28</v>
      </c>
      <c r="T1197" t="s">
        <v>4818</v>
      </c>
      <c r="U1197" t="s">
        <v>4813</v>
      </c>
    </row>
    <row r="1198" spans="1:21" x14ac:dyDescent="0.25">
      <c r="A1198" t="s">
        <v>21</v>
      </c>
      <c r="B1198" t="s">
        <v>22</v>
      </c>
      <c r="C1198">
        <v>100</v>
      </c>
      <c r="D1198">
        <v>1</v>
      </c>
      <c r="E1198">
        <v>0</v>
      </c>
      <c r="F1198" t="s">
        <v>4819</v>
      </c>
      <c r="G1198">
        <v>106</v>
      </c>
      <c r="H1198">
        <v>6</v>
      </c>
      <c r="I1198" t="s">
        <v>445</v>
      </c>
      <c r="J1198" t="s">
        <v>4820</v>
      </c>
      <c r="K1198" t="s">
        <v>285</v>
      </c>
      <c r="L1198" t="s">
        <v>27</v>
      </c>
      <c r="M1198" t="s">
        <v>28</v>
      </c>
      <c r="N1198" t="s">
        <v>4821</v>
      </c>
      <c r="O1198" t="s">
        <v>27</v>
      </c>
      <c r="P1198" t="s">
        <v>39</v>
      </c>
      <c r="Q1198" t="s">
        <v>31</v>
      </c>
      <c r="R1198" t="s">
        <v>32</v>
      </c>
      <c r="S1198" t="s">
        <v>28</v>
      </c>
      <c r="T1198" t="s">
        <v>4822</v>
      </c>
      <c r="U1198" t="s">
        <v>4821</v>
      </c>
    </row>
    <row r="1199" spans="1:21" x14ac:dyDescent="0.25">
      <c r="A1199" t="s">
        <v>33</v>
      </c>
      <c r="B1199" t="s">
        <v>34</v>
      </c>
      <c r="C1199">
        <v>200</v>
      </c>
      <c r="D1199">
        <v>1</v>
      </c>
      <c r="E1199">
        <v>0</v>
      </c>
      <c r="F1199" t="s">
        <v>4823</v>
      </c>
      <c r="G1199">
        <v>200</v>
      </c>
      <c r="H1199">
        <v>0</v>
      </c>
      <c r="I1199" t="s">
        <v>24</v>
      </c>
      <c r="J1199" t="s">
        <v>4824</v>
      </c>
      <c r="K1199" t="s">
        <v>273</v>
      </c>
      <c r="L1199" t="s">
        <v>27</v>
      </c>
      <c r="M1199" t="s">
        <v>28</v>
      </c>
      <c r="N1199" t="s">
        <v>4825</v>
      </c>
      <c r="O1199" t="s">
        <v>27</v>
      </c>
      <c r="P1199" t="s">
        <v>39</v>
      </c>
      <c r="Q1199" t="s">
        <v>31</v>
      </c>
      <c r="R1199" t="s">
        <v>32</v>
      </c>
      <c r="S1199" t="s">
        <v>28</v>
      </c>
      <c r="T1199" t="s">
        <v>4826</v>
      </c>
      <c r="U1199" t="s">
        <v>4827</v>
      </c>
    </row>
    <row r="1200" spans="1:21" x14ac:dyDescent="0.25">
      <c r="A1200" t="s">
        <v>143</v>
      </c>
      <c r="B1200" t="s">
        <v>144</v>
      </c>
      <c r="C1200">
        <v>200</v>
      </c>
      <c r="D1200">
        <v>1</v>
      </c>
      <c r="E1200">
        <v>0</v>
      </c>
      <c r="F1200" t="s">
        <v>4828</v>
      </c>
      <c r="G1200">
        <v>200</v>
      </c>
      <c r="H1200">
        <v>0</v>
      </c>
      <c r="I1200" t="s">
        <v>140</v>
      </c>
      <c r="J1200" t="s">
        <v>4166</v>
      </c>
      <c r="K1200" t="s">
        <v>61</v>
      </c>
      <c r="L1200" t="s">
        <v>27</v>
      </c>
      <c r="M1200" t="s">
        <v>28</v>
      </c>
      <c r="N1200" t="s">
        <v>4825</v>
      </c>
      <c r="O1200" t="s">
        <v>27</v>
      </c>
      <c r="P1200" t="s">
        <v>369</v>
      </c>
      <c r="Q1200" t="s">
        <v>31</v>
      </c>
      <c r="R1200" t="s">
        <v>57</v>
      </c>
      <c r="S1200" t="s">
        <v>28</v>
      </c>
      <c r="T1200" t="s">
        <v>4829</v>
      </c>
      <c r="U1200" t="s">
        <v>4825</v>
      </c>
    </row>
    <row r="1201" spans="1:21" x14ac:dyDescent="0.25">
      <c r="A1201" t="s">
        <v>21</v>
      </c>
      <c r="B1201" t="s">
        <v>22</v>
      </c>
      <c r="C1201">
        <v>100</v>
      </c>
      <c r="D1201">
        <v>1</v>
      </c>
      <c r="E1201">
        <v>0</v>
      </c>
      <c r="F1201" t="s">
        <v>4830</v>
      </c>
      <c r="G1201">
        <v>106</v>
      </c>
      <c r="H1201">
        <v>6</v>
      </c>
      <c r="I1201" t="s">
        <v>140</v>
      </c>
      <c r="J1201" t="s">
        <v>4831</v>
      </c>
      <c r="K1201" t="s">
        <v>1190</v>
      </c>
      <c r="L1201" t="s">
        <v>27</v>
      </c>
      <c r="M1201" t="s">
        <v>28</v>
      </c>
      <c r="N1201" t="s">
        <v>4832</v>
      </c>
      <c r="O1201" t="s">
        <v>27</v>
      </c>
      <c r="P1201" t="s">
        <v>30</v>
      </c>
      <c r="Q1201" t="s">
        <v>31</v>
      </c>
      <c r="R1201" t="s">
        <v>32</v>
      </c>
      <c r="S1201" t="s">
        <v>28</v>
      </c>
      <c r="T1201" t="s">
        <v>4833</v>
      </c>
      <c r="U1201" t="s">
        <v>4832</v>
      </c>
    </row>
    <row r="1202" spans="1:21" x14ac:dyDescent="0.25">
      <c r="A1202" t="s">
        <v>21</v>
      </c>
      <c r="B1202" t="s">
        <v>22</v>
      </c>
      <c r="C1202">
        <v>100</v>
      </c>
      <c r="D1202">
        <v>1</v>
      </c>
      <c r="E1202">
        <v>0</v>
      </c>
      <c r="F1202" t="s">
        <v>4834</v>
      </c>
      <c r="G1202">
        <v>106</v>
      </c>
      <c r="H1202">
        <v>6</v>
      </c>
      <c r="I1202" t="s">
        <v>445</v>
      </c>
      <c r="J1202" t="s">
        <v>4835</v>
      </c>
      <c r="K1202" t="s">
        <v>241</v>
      </c>
      <c r="L1202" t="s">
        <v>27</v>
      </c>
      <c r="M1202" t="s">
        <v>28</v>
      </c>
      <c r="N1202" t="s">
        <v>4832</v>
      </c>
      <c r="O1202" t="s">
        <v>27</v>
      </c>
      <c r="P1202" t="s">
        <v>56</v>
      </c>
      <c r="Q1202" t="s">
        <v>31</v>
      </c>
      <c r="R1202" t="s">
        <v>57</v>
      </c>
      <c r="S1202" t="s">
        <v>28</v>
      </c>
      <c r="T1202" t="s">
        <v>4836</v>
      </c>
      <c r="U1202" t="s">
        <v>4837</v>
      </c>
    </row>
    <row r="1203" spans="1:21" x14ac:dyDescent="0.25">
      <c r="A1203" t="s">
        <v>134</v>
      </c>
      <c r="B1203" t="s">
        <v>64</v>
      </c>
      <c r="C1203">
        <v>100</v>
      </c>
      <c r="D1203">
        <v>4</v>
      </c>
      <c r="E1203">
        <v>0</v>
      </c>
      <c r="F1203" t="s">
        <v>4838</v>
      </c>
      <c r="G1203">
        <v>400</v>
      </c>
      <c r="H1203">
        <v>0</v>
      </c>
      <c r="I1203" t="s">
        <v>140</v>
      </c>
      <c r="J1203" t="s">
        <v>4839</v>
      </c>
      <c r="K1203" t="s">
        <v>247</v>
      </c>
      <c r="L1203" t="s">
        <v>27</v>
      </c>
      <c r="M1203" t="s">
        <v>28</v>
      </c>
      <c r="N1203" t="s">
        <v>4840</v>
      </c>
      <c r="O1203" t="s">
        <v>27</v>
      </c>
      <c r="P1203" t="s">
        <v>369</v>
      </c>
      <c r="Q1203" t="s">
        <v>31</v>
      </c>
      <c r="R1203" t="s">
        <v>57</v>
      </c>
      <c r="S1203" t="s">
        <v>28</v>
      </c>
      <c r="T1203" t="s">
        <v>4841</v>
      </c>
      <c r="U1203" t="s">
        <v>4842</v>
      </c>
    </row>
    <row r="1204" spans="1:21" x14ac:dyDescent="0.25">
      <c r="A1204" t="s">
        <v>195</v>
      </c>
      <c r="B1204" t="s">
        <v>196</v>
      </c>
      <c r="C1204">
        <v>230</v>
      </c>
      <c r="D1204">
        <v>1</v>
      </c>
      <c r="E1204">
        <v>0</v>
      </c>
      <c r="F1204" t="s">
        <v>4843</v>
      </c>
      <c r="G1204">
        <v>254</v>
      </c>
      <c r="H1204">
        <v>29</v>
      </c>
      <c r="I1204" t="s">
        <v>445</v>
      </c>
      <c r="J1204" t="s">
        <v>2555</v>
      </c>
      <c r="K1204" t="s">
        <v>4844</v>
      </c>
      <c r="L1204" t="s">
        <v>4459</v>
      </c>
      <c r="M1204" t="s">
        <v>4845</v>
      </c>
      <c r="N1204" t="s">
        <v>4846</v>
      </c>
      <c r="O1204" t="s">
        <v>27</v>
      </c>
      <c r="P1204" t="s">
        <v>84</v>
      </c>
      <c r="Q1204" t="s">
        <v>85</v>
      </c>
      <c r="R1204" t="s">
        <v>86</v>
      </c>
      <c r="S1204" t="s">
        <v>28</v>
      </c>
      <c r="T1204" t="s">
        <v>4847</v>
      </c>
      <c r="U1204" t="s">
        <v>4848</v>
      </c>
    </row>
    <row r="1205" spans="1:21" x14ac:dyDescent="0.25">
      <c r="A1205" t="s">
        <v>134</v>
      </c>
      <c r="B1205" t="s">
        <v>64</v>
      </c>
      <c r="C1205">
        <v>100</v>
      </c>
      <c r="D1205">
        <v>5</v>
      </c>
      <c r="E1205">
        <v>0</v>
      </c>
      <c r="F1205" t="s">
        <v>4849</v>
      </c>
      <c r="G1205">
        <v>500</v>
      </c>
      <c r="H1205">
        <v>0</v>
      </c>
      <c r="I1205" t="s">
        <v>140</v>
      </c>
      <c r="J1205" t="s">
        <v>4850</v>
      </c>
      <c r="K1205" t="s">
        <v>797</v>
      </c>
      <c r="L1205" t="s">
        <v>27</v>
      </c>
      <c r="M1205" t="s">
        <v>28</v>
      </c>
      <c r="N1205" t="s">
        <v>4851</v>
      </c>
      <c r="O1205" t="s">
        <v>27</v>
      </c>
      <c r="P1205" t="s">
        <v>369</v>
      </c>
      <c r="Q1205" t="s">
        <v>31</v>
      </c>
      <c r="R1205" t="s">
        <v>57</v>
      </c>
      <c r="S1205" t="s">
        <v>28</v>
      </c>
      <c r="T1205" t="s">
        <v>4852</v>
      </c>
      <c r="U1205" t="s">
        <v>4851</v>
      </c>
    </row>
    <row r="1206" spans="1:21" x14ac:dyDescent="0.25">
      <c r="A1206" t="s">
        <v>456</v>
      </c>
      <c r="B1206" t="s">
        <v>1178</v>
      </c>
      <c r="C1206">
        <v>149.80000000000001</v>
      </c>
      <c r="D1206">
        <v>1</v>
      </c>
      <c r="E1206">
        <v>0</v>
      </c>
      <c r="F1206" t="s">
        <v>4853</v>
      </c>
      <c r="G1206">
        <v>194.8</v>
      </c>
      <c r="H1206">
        <v>45</v>
      </c>
      <c r="I1206" t="s">
        <v>628</v>
      </c>
      <c r="J1206" t="s">
        <v>4854</v>
      </c>
      <c r="K1206" t="s">
        <v>4855</v>
      </c>
      <c r="L1206" t="s">
        <v>4856</v>
      </c>
      <c r="M1206" t="s">
        <v>4857</v>
      </c>
      <c r="N1206" t="s">
        <v>4851</v>
      </c>
      <c r="O1206" t="s">
        <v>27</v>
      </c>
      <c r="P1206" t="s">
        <v>48</v>
      </c>
      <c r="Q1206" t="s">
        <v>49</v>
      </c>
      <c r="R1206" t="s">
        <v>50</v>
      </c>
      <c r="S1206" t="s">
        <v>28</v>
      </c>
      <c r="T1206" t="s">
        <v>4858</v>
      </c>
      <c r="U1206" t="s">
        <v>4851</v>
      </c>
    </row>
    <row r="1207" spans="1:21" x14ac:dyDescent="0.25">
      <c r="A1207" t="s">
        <v>63</v>
      </c>
      <c r="B1207" t="s">
        <v>64</v>
      </c>
      <c r="C1207">
        <v>100</v>
      </c>
      <c r="D1207">
        <v>1</v>
      </c>
      <c r="E1207">
        <v>0</v>
      </c>
      <c r="F1207" t="s">
        <v>4859</v>
      </c>
      <c r="G1207">
        <v>106</v>
      </c>
      <c r="H1207">
        <v>6</v>
      </c>
      <c r="I1207" t="s">
        <v>24</v>
      </c>
      <c r="J1207" t="s">
        <v>4860</v>
      </c>
      <c r="K1207" t="s">
        <v>241</v>
      </c>
      <c r="L1207" t="s">
        <v>27</v>
      </c>
      <c r="M1207" t="s">
        <v>28</v>
      </c>
      <c r="N1207" t="s">
        <v>4861</v>
      </c>
      <c r="O1207" t="s">
        <v>27</v>
      </c>
      <c r="P1207" t="s">
        <v>39</v>
      </c>
      <c r="Q1207" t="s">
        <v>31</v>
      </c>
      <c r="R1207" t="s">
        <v>32</v>
      </c>
      <c r="S1207" t="s">
        <v>28</v>
      </c>
      <c r="T1207" t="s">
        <v>4862</v>
      </c>
      <c r="U1207" t="s">
        <v>4861</v>
      </c>
    </row>
    <row r="1208" spans="1:21" x14ac:dyDescent="0.25">
      <c r="A1208" t="s">
        <v>63</v>
      </c>
      <c r="B1208" t="s">
        <v>64</v>
      </c>
      <c r="C1208">
        <v>100</v>
      </c>
      <c r="D1208">
        <v>1</v>
      </c>
      <c r="E1208">
        <v>0</v>
      </c>
      <c r="F1208" t="s">
        <v>4863</v>
      </c>
      <c r="G1208">
        <v>200</v>
      </c>
      <c r="H1208">
        <v>0</v>
      </c>
      <c r="I1208" t="s">
        <v>140</v>
      </c>
      <c r="J1208" t="s">
        <v>4864</v>
      </c>
      <c r="K1208" t="s">
        <v>241</v>
      </c>
      <c r="L1208" t="s">
        <v>27</v>
      </c>
      <c r="M1208" t="s">
        <v>28</v>
      </c>
      <c r="N1208" t="s">
        <v>4865</v>
      </c>
      <c r="O1208" t="s">
        <v>27</v>
      </c>
      <c r="P1208" t="s">
        <v>30</v>
      </c>
      <c r="Q1208" t="s">
        <v>31</v>
      </c>
      <c r="R1208" t="s">
        <v>32</v>
      </c>
      <c r="S1208" t="s">
        <v>28</v>
      </c>
      <c r="T1208" t="s">
        <v>4866</v>
      </c>
      <c r="U1208" t="s">
        <v>4865</v>
      </c>
    </row>
    <row r="1209" spans="1:21" x14ac:dyDescent="0.25">
      <c r="A1209" t="s">
        <v>58</v>
      </c>
      <c r="B1209" t="s">
        <v>58</v>
      </c>
      <c r="C1209">
        <v>100</v>
      </c>
      <c r="D1209">
        <v>1</v>
      </c>
      <c r="E1209">
        <v>0</v>
      </c>
      <c r="F1209" t="s">
        <v>4863</v>
      </c>
      <c r="G1209">
        <v>200</v>
      </c>
      <c r="H1209">
        <v>0</v>
      </c>
      <c r="I1209" t="s">
        <v>140</v>
      </c>
      <c r="J1209" t="s">
        <v>4864</v>
      </c>
      <c r="K1209" t="s">
        <v>241</v>
      </c>
      <c r="L1209" t="s">
        <v>27</v>
      </c>
      <c r="M1209" t="s">
        <v>28</v>
      </c>
      <c r="N1209" t="s">
        <v>4865</v>
      </c>
      <c r="O1209" t="s">
        <v>27</v>
      </c>
      <c r="P1209" t="s">
        <v>30</v>
      </c>
      <c r="Q1209" t="s">
        <v>31</v>
      </c>
      <c r="R1209" t="s">
        <v>32</v>
      </c>
      <c r="S1209" t="s">
        <v>28</v>
      </c>
      <c r="T1209" t="s">
        <v>4866</v>
      </c>
      <c r="U1209" t="s">
        <v>4865</v>
      </c>
    </row>
    <row r="1210" spans="1:21" x14ac:dyDescent="0.25">
      <c r="A1210" t="s">
        <v>195</v>
      </c>
      <c r="B1210" t="s">
        <v>196</v>
      </c>
      <c r="C1210">
        <v>230</v>
      </c>
      <c r="D1210">
        <v>2</v>
      </c>
      <c r="E1210">
        <v>0</v>
      </c>
      <c r="F1210" t="s">
        <v>4867</v>
      </c>
      <c r="G1210">
        <v>484</v>
      </c>
      <c r="H1210">
        <v>29</v>
      </c>
      <c r="I1210" t="s">
        <v>445</v>
      </c>
      <c r="J1210" t="s">
        <v>4868</v>
      </c>
      <c r="K1210" t="s">
        <v>4869</v>
      </c>
      <c r="L1210" t="s">
        <v>3283</v>
      </c>
      <c r="M1210" t="s">
        <v>4870</v>
      </c>
      <c r="N1210" t="s">
        <v>4871</v>
      </c>
      <c r="O1210" t="s">
        <v>27</v>
      </c>
      <c r="P1210" t="s">
        <v>193</v>
      </c>
      <c r="Q1210" t="s">
        <v>85</v>
      </c>
      <c r="R1210" t="s">
        <v>86</v>
      </c>
      <c r="S1210" t="s">
        <v>28</v>
      </c>
      <c r="T1210" t="s">
        <v>4872</v>
      </c>
      <c r="U1210" t="s">
        <v>4871</v>
      </c>
    </row>
    <row r="1211" spans="1:21" x14ac:dyDescent="0.25">
      <c r="A1211" t="s">
        <v>21</v>
      </c>
      <c r="B1211" t="s">
        <v>22</v>
      </c>
      <c r="C1211">
        <v>100</v>
      </c>
      <c r="D1211">
        <v>2</v>
      </c>
      <c r="E1211">
        <v>0</v>
      </c>
      <c r="F1211" t="s">
        <v>4873</v>
      </c>
      <c r="G1211">
        <v>200</v>
      </c>
      <c r="H1211">
        <v>0</v>
      </c>
      <c r="I1211" t="s">
        <v>140</v>
      </c>
      <c r="J1211" t="s">
        <v>4874</v>
      </c>
      <c r="K1211" t="s">
        <v>572</v>
      </c>
      <c r="L1211" t="s">
        <v>27</v>
      </c>
      <c r="M1211" t="s">
        <v>28</v>
      </c>
      <c r="N1211" t="s">
        <v>4875</v>
      </c>
      <c r="O1211" t="s">
        <v>27</v>
      </c>
      <c r="P1211" t="s">
        <v>30</v>
      </c>
      <c r="Q1211" t="s">
        <v>31</v>
      </c>
      <c r="R1211" t="s">
        <v>32</v>
      </c>
      <c r="S1211" t="s">
        <v>28</v>
      </c>
      <c r="T1211" t="s">
        <v>4876</v>
      </c>
      <c r="U1211" t="s">
        <v>4877</v>
      </c>
    </row>
    <row r="1212" spans="1:21" x14ac:dyDescent="0.25">
      <c r="A1212" t="s">
        <v>58</v>
      </c>
      <c r="B1212" t="s">
        <v>58</v>
      </c>
      <c r="C1212">
        <v>100</v>
      </c>
      <c r="D1212">
        <v>3</v>
      </c>
      <c r="E1212">
        <v>0</v>
      </c>
      <c r="F1212" t="s">
        <v>4878</v>
      </c>
      <c r="G1212">
        <v>300</v>
      </c>
      <c r="H1212">
        <v>0</v>
      </c>
      <c r="I1212" t="s">
        <v>24</v>
      </c>
      <c r="J1212" t="s">
        <v>532</v>
      </c>
      <c r="K1212" t="s">
        <v>37</v>
      </c>
      <c r="L1212" t="s">
        <v>27</v>
      </c>
      <c r="M1212" t="s">
        <v>28</v>
      </c>
      <c r="N1212" t="s">
        <v>4879</v>
      </c>
      <c r="O1212" t="s">
        <v>27</v>
      </c>
      <c r="P1212" t="s">
        <v>39</v>
      </c>
      <c r="Q1212" t="s">
        <v>31</v>
      </c>
      <c r="R1212" t="s">
        <v>32</v>
      </c>
      <c r="S1212" t="s">
        <v>28</v>
      </c>
      <c r="T1212" t="s">
        <v>4880</v>
      </c>
      <c r="U1212" t="s">
        <v>4879</v>
      </c>
    </row>
    <row r="1213" spans="1:21" x14ac:dyDescent="0.25">
      <c r="A1213" t="s">
        <v>33</v>
      </c>
      <c r="B1213" t="s">
        <v>34</v>
      </c>
      <c r="C1213">
        <v>200</v>
      </c>
      <c r="D1213">
        <v>1</v>
      </c>
      <c r="E1213">
        <v>0</v>
      </c>
      <c r="F1213" t="s">
        <v>4881</v>
      </c>
      <c r="G1213">
        <v>200</v>
      </c>
      <c r="H1213">
        <v>0</v>
      </c>
      <c r="I1213" t="s">
        <v>445</v>
      </c>
      <c r="J1213" t="s">
        <v>4882</v>
      </c>
      <c r="K1213" t="s">
        <v>753</v>
      </c>
      <c r="L1213" t="s">
        <v>27</v>
      </c>
      <c r="M1213" t="s">
        <v>28</v>
      </c>
      <c r="N1213" t="s">
        <v>4883</v>
      </c>
      <c r="O1213" t="s">
        <v>27</v>
      </c>
      <c r="P1213" t="s">
        <v>56</v>
      </c>
      <c r="Q1213" t="s">
        <v>31</v>
      </c>
      <c r="R1213" t="s">
        <v>57</v>
      </c>
      <c r="S1213" t="s">
        <v>28</v>
      </c>
      <c r="T1213" t="s">
        <v>4884</v>
      </c>
      <c r="U1213" t="s">
        <v>4883</v>
      </c>
    </row>
    <row r="1214" spans="1:21" x14ac:dyDescent="0.25">
      <c r="A1214" t="s">
        <v>456</v>
      </c>
      <c r="B1214" t="s">
        <v>1178</v>
      </c>
      <c r="C1214">
        <v>112.35</v>
      </c>
      <c r="D1214">
        <v>1</v>
      </c>
      <c r="E1214">
        <v>0</v>
      </c>
      <c r="F1214" t="s">
        <v>4885</v>
      </c>
      <c r="G1214">
        <v>117.35</v>
      </c>
      <c r="H1214">
        <v>5</v>
      </c>
      <c r="I1214" t="s">
        <v>628</v>
      </c>
      <c r="J1214" t="s">
        <v>4886</v>
      </c>
      <c r="K1214" t="s">
        <v>4887</v>
      </c>
      <c r="L1214" t="s">
        <v>461</v>
      </c>
      <c r="M1214" t="s">
        <v>4888</v>
      </c>
      <c r="N1214" t="s">
        <v>4889</v>
      </c>
      <c r="O1214" t="s">
        <v>27</v>
      </c>
      <c r="P1214" t="s">
        <v>48</v>
      </c>
      <c r="Q1214" t="s">
        <v>49</v>
      </c>
      <c r="R1214" t="s">
        <v>50</v>
      </c>
      <c r="S1214" t="s">
        <v>28</v>
      </c>
      <c r="T1214" t="s">
        <v>4890</v>
      </c>
      <c r="U1214" t="s">
        <v>4889</v>
      </c>
    </row>
    <row r="1215" spans="1:21" x14ac:dyDescent="0.25">
      <c r="A1215" t="s">
        <v>275</v>
      </c>
      <c r="B1215" t="s">
        <v>1864</v>
      </c>
      <c r="C1215">
        <v>140</v>
      </c>
      <c r="D1215">
        <v>1</v>
      </c>
      <c r="E1215">
        <v>0</v>
      </c>
      <c r="F1215" t="s">
        <v>4891</v>
      </c>
      <c r="G1215">
        <v>147</v>
      </c>
      <c r="H1215">
        <v>7</v>
      </c>
      <c r="I1215" t="s">
        <v>24</v>
      </c>
      <c r="J1215" t="s">
        <v>3411</v>
      </c>
      <c r="K1215" t="s">
        <v>4892</v>
      </c>
      <c r="L1215" t="s">
        <v>81</v>
      </c>
      <c r="M1215" t="s">
        <v>481</v>
      </c>
      <c r="N1215" t="s">
        <v>4893</v>
      </c>
      <c r="O1215" t="s">
        <v>27</v>
      </c>
      <c r="P1215" t="s">
        <v>193</v>
      </c>
      <c r="Q1215" t="s">
        <v>85</v>
      </c>
      <c r="R1215" t="s">
        <v>86</v>
      </c>
      <c r="S1215" t="s">
        <v>28</v>
      </c>
      <c r="T1215" t="s">
        <v>4894</v>
      </c>
      <c r="U1215" t="s">
        <v>4895</v>
      </c>
    </row>
    <row r="1216" spans="1:21" x14ac:dyDescent="0.25">
      <c r="A1216" t="s">
        <v>21</v>
      </c>
      <c r="B1216" t="s">
        <v>22</v>
      </c>
      <c r="C1216">
        <v>100</v>
      </c>
      <c r="D1216">
        <v>1</v>
      </c>
      <c r="E1216">
        <v>0</v>
      </c>
      <c r="F1216" t="s">
        <v>4896</v>
      </c>
      <c r="G1216">
        <v>106</v>
      </c>
      <c r="H1216">
        <v>6</v>
      </c>
      <c r="I1216" t="s">
        <v>24</v>
      </c>
      <c r="J1216" t="s">
        <v>4897</v>
      </c>
      <c r="K1216" t="s">
        <v>209</v>
      </c>
      <c r="L1216" t="s">
        <v>27</v>
      </c>
      <c r="M1216" t="s">
        <v>28</v>
      </c>
      <c r="N1216" t="s">
        <v>4898</v>
      </c>
      <c r="O1216" t="s">
        <v>27</v>
      </c>
      <c r="P1216" t="s">
        <v>39</v>
      </c>
      <c r="Q1216" t="s">
        <v>31</v>
      </c>
      <c r="R1216" t="s">
        <v>32</v>
      </c>
      <c r="S1216" t="s">
        <v>28</v>
      </c>
      <c r="T1216" t="s">
        <v>4899</v>
      </c>
      <c r="U1216" t="s">
        <v>4898</v>
      </c>
    </row>
    <row r="1217" spans="1:21" x14ac:dyDescent="0.25">
      <c r="A1217" t="s">
        <v>70</v>
      </c>
      <c r="B1217" t="s">
        <v>70</v>
      </c>
      <c r="C1217">
        <v>330</v>
      </c>
      <c r="D1217">
        <v>1</v>
      </c>
      <c r="E1217">
        <v>0</v>
      </c>
      <c r="F1217" t="s">
        <v>4900</v>
      </c>
      <c r="G1217">
        <v>330</v>
      </c>
      <c r="H1217">
        <v>0</v>
      </c>
      <c r="I1217" t="s">
        <v>445</v>
      </c>
      <c r="J1217" t="s">
        <v>4901</v>
      </c>
      <c r="K1217" t="s">
        <v>250</v>
      </c>
      <c r="L1217" t="s">
        <v>27</v>
      </c>
      <c r="M1217" t="s">
        <v>28</v>
      </c>
      <c r="N1217" t="s">
        <v>4902</v>
      </c>
      <c r="O1217" t="s">
        <v>27</v>
      </c>
      <c r="P1217" t="s">
        <v>39</v>
      </c>
      <c r="Q1217" t="s">
        <v>31</v>
      </c>
      <c r="R1217" t="s">
        <v>32</v>
      </c>
      <c r="S1217" t="s">
        <v>28</v>
      </c>
      <c r="T1217" t="s">
        <v>4903</v>
      </c>
      <c r="U1217" t="s">
        <v>4902</v>
      </c>
    </row>
    <row r="1218" spans="1:21" x14ac:dyDescent="0.25">
      <c r="A1218" t="s">
        <v>195</v>
      </c>
      <c r="B1218" t="s">
        <v>1003</v>
      </c>
      <c r="C1218">
        <v>119.84</v>
      </c>
      <c r="D1218">
        <v>1</v>
      </c>
      <c r="E1218">
        <v>0</v>
      </c>
      <c r="F1218" t="s">
        <v>4904</v>
      </c>
      <c r="G1218">
        <v>398.52</v>
      </c>
      <c r="H1218">
        <v>39</v>
      </c>
      <c r="I1218" t="s">
        <v>628</v>
      </c>
      <c r="J1218" t="s">
        <v>4905</v>
      </c>
      <c r="K1218" t="s">
        <v>4906</v>
      </c>
      <c r="L1218" t="s">
        <v>4907</v>
      </c>
      <c r="M1218" t="s">
        <v>4908</v>
      </c>
      <c r="N1218" t="s">
        <v>4909</v>
      </c>
      <c r="O1218" t="s">
        <v>27</v>
      </c>
      <c r="P1218" t="s">
        <v>48</v>
      </c>
      <c r="Q1218" t="s">
        <v>49</v>
      </c>
      <c r="R1218" t="s">
        <v>50</v>
      </c>
      <c r="S1218" t="s">
        <v>28</v>
      </c>
      <c r="T1218" t="s">
        <v>4910</v>
      </c>
      <c r="U1218" t="s">
        <v>4909</v>
      </c>
    </row>
    <row r="1219" spans="1:21" x14ac:dyDescent="0.25">
      <c r="A1219" t="s">
        <v>195</v>
      </c>
      <c r="B1219" t="s">
        <v>1003</v>
      </c>
      <c r="C1219">
        <v>119.84</v>
      </c>
      <c r="D1219">
        <v>1</v>
      </c>
      <c r="E1219">
        <v>0</v>
      </c>
      <c r="F1219" t="s">
        <v>4904</v>
      </c>
      <c r="G1219">
        <v>398.52</v>
      </c>
      <c r="H1219">
        <v>39</v>
      </c>
      <c r="I1219" t="s">
        <v>628</v>
      </c>
      <c r="J1219" t="s">
        <v>4905</v>
      </c>
      <c r="K1219" t="s">
        <v>4906</v>
      </c>
      <c r="L1219" t="s">
        <v>4907</v>
      </c>
      <c r="M1219" t="s">
        <v>4908</v>
      </c>
      <c r="N1219" t="s">
        <v>4909</v>
      </c>
      <c r="O1219" t="s">
        <v>27</v>
      </c>
      <c r="P1219" t="s">
        <v>48</v>
      </c>
      <c r="Q1219" t="s">
        <v>49</v>
      </c>
      <c r="R1219" t="s">
        <v>50</v>
      </c>
      <c r="S1219" t="s">
        <v>28</v>
      </c>
      <c r="T1219" t="s">
        <v>4910</v>
      </c>
      <c r="U1219" t="s">
        <v>4909</v>
      </c>
    </row>
    <row r="1220" spans="1:21" x14ac:dyDescent="0.25">
      <c r="A1220" t="s">
        <v>195</v>
      </c>
      <c r="B1220" t="s">
        <v>1003</v>
      </c>
      <c r="C1220">
        <v>119.84</v>
      </c>
      <c r="D1220">
        <v>1</v>
      </c>
      <c r="E1220">
        <v>0</v>
      </c>
      <c r="F1220" t="s">
        <v>4904</v>
      </c>
      <c r="G1220">
        <v>398.52</v>
      </c>
      <c r="H1220">
        <v>39</v>
      </c>
      <c r="I1220" t="s">
        <v>628</v>
      </c>
      <c r="J1220" t="s">
        <v>4905</v>
      </c>
      <c r="K1220" t="s">
        <v>4906</v>
      </c>
      <c r="L1220" t="s">
        <v>4907</v>
      </c>
      <c r="M1220" t="s">
        <v>4908</v>
      </c>
      <c r="N1220" t="s">
        <v>4909</v>
      </c>
      <c r="O1220" t="s">
        <v>27</v>
      </c>
      <c r="P1220" t="s">
        <v>48</v>
      </c>
      <c r="Q1220" t="s">
        <v>49</v>
      </c>
      <c r="R1220" t="s">
        <v>50</v>
      </c>
      <c r="S1220" t="s">
        <v>28</v>
      </c>
      <c r="T1220" t="s">
        <v>4910</v>
      </c>
      <c r="U1220" t="s">
        <v>4909</v>
      </c>
    </row>
    <row r="1221" spans="1:21" x14ac:dyDescent="0.25">
      <c r="A1221" t="s">
        <v>21</v>
      </c>
      <c r="B1221" t="s">
        <v>22</v>
      </c>
      <c r="C1221">
        <v>100</v>
      </c>
      <c r="D1221">
        <v>1</v>
      </c>
      <c r="E1221">
        <v>0</v>
      </c>
      <c r="F1221" t="s">
        <v>4911</v>
      </c>
      <c r="G1221">
        <v>200</v>
      </c>
      <c r="H1221">
        <v>0</v>
      </c>
      <c r="I1221" t="s">
        <v>140</v>
      </c>
      <c r="J1221" t="s">
        <v>4912</v>
      </c>
      <c r="K1221" t="s">
        <v>758</v>
      </c>
      <c r="L1221" t="s">
        <v>27</v>
      </c>
      <c r="M1221" t="s">
        <v>28</v>
      </c>
      <c r="N1221" t="s">
        <v>4909</v>
      </c>
      <c r="O1221" t="s">
        <v>27</v>
      </c>
      <c r="P1221" t="s">
        <v>369</v>
      </c>
      <c r="Q1221" t="s">
        <v>31</v>
      </c>
      <c r="R1221" t="s">
        <v>57</v>
      </c>
      <c r="S1221" t="s">
        <v>28</v>
      </c>
      <c r="T1221" t="s">
        <v>4913</v>
      </c>
      <c r="U1221" t="s">
        <v>4909</v>
      </c>
    </row>
    <row r="1222" spans="1:21" x14ac:dyDescent="0.25">
      <c r="A1222" t="s">
        <v>63</v>
      </c>
      <c r="B1222" t="s">
        <v>64</v>
      </c>
      <c r="C1222">
        <v>100</v>
      </c>
      <c r="D1222">
        <v>1</v>
      </c>
      <c r="E1222">
        <v>0</v>
      </c>
      <c r="F1222" t="s">
        <v>4911</v>
      </c>
      <c r="G1222">
        <v>200</v>
      </c>
      <c r="H1222">
        <v>0</v>
      </c>
      <c r="I1222" t="s">
        <v>140</v>
      </c>
      <c r="J1222" t="s">
        <v>4912</v>
      </c>
      <c r="K1222" t="s">
        <v>758</v>
      </c>
      <c r="L1222" t="s">
        <v>27</v>
      </c>
      <c r="M1222" t="s">
        <v>28</v>
      </c>
      <c r="N1222" t="s">
        <v>4909</v>
      </c>
      <c r="O1222" t="s">
        <v>27</v>
      </c>
      <c r="P1222" t="s">
        <v>369</v>
      </c>
      <c r="Q1222" t="s">
        <v>31</v>
      </c>
      <c r="R1222" t="s">
        <v>57</v>
      </c>
      <c r="S1222" t="s">
        <v>28</v>
      </c>
      <c r="T1222" t="s">
        <v>4913</v>
      </c>
      <c r="U1222" t="s">
        <v>4909</v>
      </c>
    </row>
    <row r="1223" spans="1:21" x14ac:dyDescent="0.25">
      <c r="A1223" t="s">
        <v>21</v>
      </c>
      <c r="B1223" t="s">
        <v>22</v>
      </c>
      <c r="C1223">
        <v>100</v>
      </c>
      <c r="D1223">
        <v>1</v>
      </c>
      <c r="E1223">
        <v>0</v>
      </c>
      <c r="F1223" t="s">
        <v>4914</v>
      </c>
      <c r="G1223">
        <v>106</v>
      </c>
      <c r="H1223">
        <v>6</v>
      </c>
      <c r="I1223" t="s">
        <v>24</v>
      </c>
      <c r="J1223" t="s">
        <v>4915</v>
      </c>
      <c r="K1223" t="s">
        <v>118</v>
      </c>
      <c r="L1223" t="s">
        <v>27</v>
      </c>
      <c r="M1223" t="s">
        <v>28</v>
      </c>
      <c r="N1223" t="s">
        <v>4916</v>
      </c>
      <c r="O1223" t="s">
        <v>27</v>
      </c>
      <c r="P1223" t="s">
        <v>39</v>
      </c>
      <c r="Q1223" t="s">
        <v>31</v>
      </c>
      <c r="R1223" t="s">
        <v>32</v>
      </c>
      <c r="S1223" t="s">
        <v>28</v>
      </c>
      <c r="T1223" t="s">
        <v>4917</v>
      </c>
      <c r="U1223" t="s">
        <v>4916</v>
      </c>
    </row>
    <row r="1224" spans="1:21" x14ac:dyDescent="0.25">
      <c r="A1224" t="s">
        <v>63</v>
      </c>
      <c r="B1224" t="s">
        <v>64</v>
      </c>
      <c r="C1224">
        <v>100</v>
      </c>
      <c r="D1224">
        <v>2</v>
      </c>
      <c r="E1224">
        <v>0</v>
      </c>
      <c r="F1224" t="s">
        <v>4918</v>
      </c>
      <c r="G1224">
        <v>229</v>
      </c>
      <c r="H1224">
        <v>29</v>
      </c>
      <c r="I1224" t="s">
        <v>24</v>
      </c>
      <c r="J1224" t="s">
        <v>4919</v>
      </c>
      <c r="K1224" t="s">
        <v>384</v>
      </c>
      <c r="L1224" t="s">
        <v>27</v>
      </c>
      <c r="M1224" t="s">
        <v>28</v>
      </c>
      <c r="N1224" t="s">
        <v>4920</v>
      </c>
      <c r="O1224" t="s">
        <v>27</v>
      </c>
      <c r="P1224" t="s">
        <v>39</v>
      </c>
      <c r="Q1224" t="s">
        <v>31</v>
      </c>
      <c r="R1224" t="s">
        <v>32</v>
      </c>
      <c r="S1224" t="s">
        <v>28</v>
      </c>
      <c r="T1224" t="s">
        <v>4921</v>
      </c>
      <c r="U1224" t="s">
        <v>4920</v>
      </c>
    </row>
    <row r="1225" spans="1:21" x14ac:dyDescent="0.25">
      <c r="A1225" t="s">
        <v>21</v>
      </c>
      <c r="B1225" t="s">
        <v>22</v>
      </c>
      <c r="C1225">
        <v>100</v>
      </c>
      <c r="D1225">
        <v>3</v>
      </c>
      <c r="E1225">
        <v>0</v>
      </c>
      <c r="F1225" t="s">
        <v>4922</v>
      </c>
      <c r="G1225">
        <v>300</v>
      </c>
      <c r="H1225">
        <v>0</v>
      </c>
      <c r="I1225" t="s">
        <v>140</v>
      </c>
      <c r="J1225" t="s">
        <v>4923</v>
      </c>
      <c r="K1225" t="s">
        <v>1602</v>
      </c>
      <c r="L1225" t="s">
        <v>27</v>
      </c>
      <c r="M1225" t="s">
        <v>28</v>
      </c>
      <c r="N1225" t="s">
        <v>4924</v>
      </c>
      <c r="O1225" t="s">
        <v>27</v>
      </c>
      <c r="P1225" t="s">
        <v>30</v>
      </c>
      <c r="Q1225" t="s">
        <v>31</v>
      </c>
      <c r="R1225" t="s">
        <v>32</v>
      </c>
      <c r="S1225" t="s">
        <v>28</v>
      </c>
      <c r="T1225" t="s">
        <v>4925</v>
      </c>
      <c r="U1225" t="s">
        <v>4924</v>
      </c>
    </row>
    <row r="1226" spans="1:21" x14ac:dyDescent="0.25">
      <c r="A1226" t="s">
        <v>70</v>
      </c>
      <c r="B1226" t="s">
        <v>70</v>
      </c>
      <c r="C1226">
        <v>350</v>
      </c>
      <c r="D1226">
        <v>1</v>
      </c>
      <c r="E1226">
        <v>0</v>
      </c>
      <c r="F1226" t="s">
        <v>4926</v>
      </c>
      <c r="G1226">
        <v>350</v>
      </c>
      <c r="H1226">
        <v>0</v>
      </c>
      <c r="I1226" t="s">
        <v>140</v>
      </c>
      <c r="J1226" t="s">
        <v>532</v>
      </c>
      <c r="K1226" t="s">
        <v>37</v>
      </c>
      <c r="L1226" t="s">
        <v>27</v>
      </c>
      <c r="M1226" t="s">
        <v>28</v>
      </c>
      <c r="N1226" t="s">
        <v>4927</v>
      </c>
      <c r="O1226" t="s">
        <v>27</v>
      </c>
      <c r="P1226" t="s">
        <v>30</v>
      </c>
      <c r="Q1226" t="s">
        <v>31</v>
      </c>
      <c r="R1226" t="s">
        <v>32</v>
      </c>
      <c r="S1226" t="s">
        <v>28</v>
      </c>
      <c r="T1226" t="s">
        <v>4928</v>
      </c>
      <c r="U1226" t="s">
        <v>4929</v>
      </c>
    </row>
    <row r="1227" spans="1:21" x14ac:dyDescent="0.25">
      <c r="A1227" t="s">
        <v>21</v>
      </c>
      <c r="B1227" t="s">
        <v>22</v>
      </c>
      <c r="C1227">
        <v>100</v>
      </c>
      <c r="D1227">
        <v>1</v>
      </c>
      <c r="E1227">
        <v>0</v>
      </c>
      <c r="F1227" t="s">
        <v>4930</v>
      </c>
      <c r="G1227">
        <v>106</v>
      </c>
      <c r="H1227">
        <v>6</v>
      </c>
      <c r="I1227" t="s">
        <v>445</v>
      </c>
      <c r="J1227" t="s">
        <v>4931</v>
      </c>
      <c r="K1227" t="s">
        <v>37</v>
      </c>
      <c r="L1227" t="s">
        <v>27</v>
      </c>
      <c r="M1227" t="s">
        <v>28</v>
      </c>
      <c r="N1227" t="s">
        <v>4932</v>
      </c>
      <c r="O1227" t="s">
        <v>27</v>
      </c>
      <c r="P1227" t="s">
        <v>39</v>
      </c>
      <c r="Q1227" t="s">
        <v>31</v>
      </c>
      <c r="R1227" t="s">
        <v>32</v>
      </c>
      <c r="S1227" t="s">
        <v>28</v>
      </c>
      <c r="T1227" t="s">
        <v>4933</v>
      </c>
      <c r="U1227" t="s">
        <v>4932</v>
      </c>
    </row>
    <row r="1228" spans="1:21" x14ac:dyDescent="0.25">
      <c r="A1228" t="s">
        <v>4934</v>
      </c>
      <c r="B1228" t="s">
        <v>4935</v>
      </c>
      <c r="C1228">
        <v>1120</v>
      </c>
      <c r="D1228">
        <v>1</v>
      </c>
      <c r="E1228">
        <v>0</v>
      </c>
      <c r="F1228" t="s">
        <v>4936</v>
      </c>
      <c r="G1228">
        <v>1155</v>
      </c>
      <c r="H1228">
        <v>35</v>
      </c>
      <c r="I1228" t="s">
        <v>24</v>
      </c>
      <c r="J1228" t="s">
        <v>4937</v>
      </c>
      <c r="K1228" t="s">
        <v>4938</v>
      </c>
      <c r="L1228" t="s">
        <v>1900</v>
      </c>
      <c r="M1228" t="s">
        <v>1147</v>
      </c>
      <c r="N1228" t="s">
        <v>4939</v>
      </c>
      <c r="O1228" t="s">
        <v>27</v>
      </c>
      <c r="P1228" t="s">
        <v>84</v>
      </c>
      <c r="Q1228" t="s">
        <v>85</v>
      </c>
      <c r="R1228" t="s">
        <v>86</v>
      </c>
      <c r="S1228" t="s">
        <v>28</v>
      </c>
      <c r="T1228" t="s">
        <v>4940</v>
      </c>
      <c r="U1228" t="s">
        <v>4941</v>
      </c>
    </row>
    <row r="1229" spans="1:21" x14ac:dyDescent="0.25">
      <c r="A1229" t="s">
        <v>456</v>
      </c>
      <c r="B1229" t="s">
        <v>1178</v>
      </c>
      <c r="C1229">
        <v>142.31</v>
      </c>
      <c r="D1229">
        <v>1</v>
      </c>
      <c r="E1229">
        <v>0</v>
      </c>
      <c r="F1229" t="s">
        <v>4942</v>
      </c>
      <c r="G1229">
        <v>147.31</v>
      </c>
      <c r="H1229">
        <v>5</v>
      </c>
      <c r="I1229" t="s">
        <v>628</v>
      </c>
      <c r="J1229" t="s">
        <v>4943</v>
      </c>
      <c r="K1229" t="s">
        <v>4944</v>
      </c>
      <c r="L1229" t="s">
        <v>1714</v>
      </c>
      <c r="M1229" t="s">
        <v>4945</v>
      </c>
      <c r="N1229" t="s">
        <v>4946</v>
      </c>
      <c r="O1229" t="s">
        <v>27</v>
      </c>
      <c r="P1229" t="s">
        <v>48</v>
      </c>
      <c r="Q1229" t="s">
        <v>49</v>
      </c>
      <c r="R1229" t="s">
        <v>50</v>
      </c>
      <c r="S1229" t="s">
        <v>28</v>
      </c>
      <c r="T1229" t="s">
        <v>4947</v>
      </c>
      <c r="U1229" t="s">
        <v>4946</v>
      </c>
    </row>
    <row r="1230" spans="1:21" x14ac:dyDescent="0.25">
      <c r="A1230" t="s">
        <v>63</v>
      </c>
      <c r="B1230" t="s">
        <v>64</v>
      </c>
      <c r="C1230">
        <v>100</v>
      </c>
      <c r="D1230">
        <v>2</v>
      </c>
      <c r="E1230">
        <v>0</v>
      </c>
      <c r="F1230" t="s">
        <v>4948</v>
      </c>
      <c r="G1230">
        <v>300</v>
      </c>
      <c r="H1230">
        <v>0</v>
      </c>
      <c r="I1230" t="s">
        <v>445</v>
      </c>
      <c r="J1230" t="s">
        <v>4949</v>
      </c>
      <c r="K1230" t="s">
        <v>1190</v>
      </c>
      <c r="L1230" t="s">
        <v>27</v>
      </c>
      <c r="M1230" t="s">
        <v>28</v>
      </c>
      <c r="N1230" t="s">
        <v>4950</v>
      </c>
      <c r="O1230" t="s">
        <v>27</v>
      </c>
      <c r="P1230" t="s">
        <v>56</v>
      </c>
      <c r="Q1230" t="s">
        <v>31</v>
      </c>
      <c r="R1230" t="s">
        <v>57</v>
      </c>
      <c r="S1230" t="s">
        <v>28</v>
      </c>
      <c r="T1230" t="s">
        <v>4951</v>
      </c>
      <c r="U1230" t="s">
        <v>4950</v>
      </c>
    </row>
    <row r="1231" spans="1:21" x14ac:dyDescent="0.25">
      <c r="A1231" t="s">
        <v>134</v>
      </c>
      <c r="B1231" t="s">
        <v>64</v>
      </c>
      <c r="C1231">
        <v>100</v>
      </c>
      <c r="D1231">
        <v>1</v>
      </c>
      <c r="E1231">
        <v>0</v>
      </c>
      <c r="F1231" t="s">
        <v>4948</v>
      </c>
      <c r="G1231">
        <v>300</v>
      </c>
      <c r="H1231">
        <v>0</v>
      </c>
      <c r="I1231" t="s">
        <v>445</v>
      </c>
      <c r="J1231" t="s">
        <v>4949</v>
      </c>
      <c r="K1231" t="s">
        <v>1190</v>
      </c>
      <c r="L1231" t="s">
        <v>27</v>
      </c>
      <c r="M1231" t="s">
        <v>28</v>
      </c>
      <c r="N1231" t="s">
        <v>4950</v>
      </c>
      <c r="O1231" t="s">
        <v>27</v>
      </c>
      <c r="P1231" t="s">
        <v>56</v>
      </c>
      <c r="Q1231" t="s">
        <v>31</v>
      </c>
      <c r="R1231" t="s">
        <v>57</v>
      </c>
      <c r="S1231" t="s">
        <v>28</v>
      </c>
      <c r="T1231" t="s">
        <v>4951</v>
      </c>
      <c r="U1231" t="s">
        <v>4950</v>
      </c>
    </row>
    <row r="1232" spans="1:21" x14ac:dyDescent="0.25">
      <c r="A1232" t="s">
        <v>134</v>
      </c>
      <c r="B1232" t="s">
        <v>64</v>
      </c>
      <c r="C1232">
        <v>100</v>
      </c>
      <c r="D1232">
        <v>2</v>
      </c>
      <c r="E1232">
        <v>0</v>
      </c>
      <c r="F1232" t="s">
        <v>4952</v>
      </c>
      <c r="G1232">
        <v>400</v>
      </c>
      <c r="H1232">
        <v>0</v>
      </c>
      <c r="I1232" t="s">
        <v>140</v>
      </c>
      <c r="J1232" t="s">
        <v>4953</v>
      </c>
      <c r="K1232" t="s">
        <v>342</v>
      </c>
      <c r="L1232" t="s">
        <v>27</v>
      </c>
      <c r="M1232" t="s">
        <v>28</v>
      </c>
      <c r="N1232" t="s">
        <v>4954</v>
      </c>
      <c r="O1232" t="s">
        <v>27</v>
      </c>
      <c r="P1232" t="s">
        <v>30</v>
      </c>
      <c r="Q1232" t="s">
        <v>31</v>
      </c>
      <c r="R1232" t="s">
        <v>32</v>
      </c>
      <c r="S1232" t="s">
        <v>28</v>
      </c>
      <c r="T1232" t="s">
        <v>4955</v>
      </c>
      <c r="U1232" t="s">
        <v>4954</v>
      </c>
    </row>
    <row r="1233" spans="1:21" x14ac:dyDescent="0.25">
      <c r="A1233" t="s">
        <v>63</v>
      </c>
      <c r="B1233" t="s">
        <v>64</v>
      </c>
      <c r="C1233">
        <v>100</v>
      </c>
      <c r="D1233">
        <v>2</v>
      </c>
      <c r="E1233">
        <v>0</v>
      </c>
      <c r="F1233" t="s">
        <v>4952</v>
      </c>
      <c r="G1233">
        <v>400</v>
      </c>
      <c r="H1233">
        <v>0</v>
      </c>
      <c r="I1233" t="s">
        <v>140</v>
      </c>
      <c r="J1233" t="s">
        <v>4953</v>
      </c>
      <c r="K1233" t="s">
        <v>342</v>
      </c>
      <c r="L1233" t="s">
        <v>27</v>
      </c>
      <c r="M1233" t="s">
        <v>28</v>
      </c>
      <c r="N1233" t="s">
        <v>4954</v>
      </c>
      <c r="O1233" t="s">
        <v>27</v>
      </c>
      <c r="P1233" t="s">
        <v>30</v>
      </c>
      <c r="Q1233" t="s">
        <v>31</v>
      </c>
      <c r="R1233" t="s">
        <v>32</v>
      </c>
      <c r="S1233" t="s">
        <v>28</v>
      </c>
      <c r="T1233" t="s">
        <v>4955</v>
      </c>
      <c r="U1233" t="s">
        <v>4954</v>
      </c>
    </row>
    <row r="1234" spans="1:21" x14ac:dyDescent="0.25">
      <c r="A1234" t="s">
        <v>70</v>
      </c>
      <c r="B1234" t="s">
        <v>70</v>
      </c>
      <c r="C1234">
        <v>330</v>
      </c>
      <c r="D1234">
        <v>1</v>
      </c>
      <c r="E1234">
        <v>0</v>
      </c>
      <c r="F1234" t="s">
        <v>4956</v>
      </c>
      <c r="G1234">
        <v>330</v>
      </c>
      <c r="H1234">
        <v>0</v>
      </c>
      <c r="I1234" t="s">
        <v>24</v>
      </c>
      <c r="J1234" t="s">
        <v>4957</v>
      </c>
      <c r="K1234" t="s">
        <v>753</v>
      </c>
      <c r="L1234" t="s">
        <v>27</v>
      </c>
      <c r="M1234" t="s">
        <v>28</v>
      </c>
      <c r="N1234" t="s">
        <v>4958</v>
      </c>
      <c r="O1234" t="s">
        <v>27</v>
      </c>
      <c r="P1234" t="s">
        <v>56</v>
      </c>
      <c r="Q1234" t="s">
        <v>31</v>
      </c>
      <c r="R1234" t="s">
        <v>57</v>
      </c>
      <c r="S1234" t="s">
        <v>28</v>
      </c>
      <c r="T1234" t="s">
        <v>4959</v>
      </c>
      <c r="U1234" t="s">
        <v>4958</v>
      </c>
    </row>
    <row r="1235" spans="1:21" x14ac:dyDescent="0.25">
      <c r="A1235" t="s">
        <v>63</v>
      </c>
      <c r="B1235" t="s">
        <v>64</v>
      </c>
      <c r="C1235">
        <v>100</v>
      </c>
      <c r="D1235">
        <v>1</v>
      </c>
      <c r="E1235">
        <v>0</v>
      </c>
      <c r="F1235" t="s">
        <v>4960</v>
      </c>
      <c r="G1235">
        <v>450</v>
      </c>
      <c r="H1235">
        <v>0</v>
      </c>
      <c r="I1235" t="s">
        <v>140</v>
      </c>
      <c r="J1235" t="s">
        <v>2354</v>
      </c>
      <c r="K1235" t="s">
        <v>346</v>
      </c>
      <c r="L1235" t="s">
        <v>27</v>
      </c>
      <c r="M1235" t="s">
        <v>28</v>
      </c>
      <c r="N1235" t="s">
        <v>4961</v>
      </c>
      <c r="O1235" t="s">
        <v>27</v>
      </c>
      <c r="P1235" t="s">
        <v>30</v>
      </c>
      <c r="Q1235" t="s">
        <v>31</v>
      </c>
      <c r="R1235" t="s">
        <v>32</v>
      </c>
      <c r="S1235" t="s">
        <v>28</v>
      </c>
      <c r="T1235" t="s">
        <v>4962</v>
      </c>
      <c r="U1235" t="s">
        <v>4958</v>
      </c>
    </row>
    <row r="1236" spans="1:21" x14ac:dyDescent="0.25">
      <c r="A1236" t="s">
        <v>70</v>
      </c>
      <c r="B1236" t="s">
        <v>70</v>
      </c>
      <c r="C1236">
        <v>350</v>
      </c>
      <c r="D1236">
        <v>1</v>
      </c>
      <c r="E1236">
        <v>0</v>
      </c>
      <c r="F1236" t="s">
        <v>4960</v>
      </c>
      <c r="G1236">
        <v>450</v>
      </c>
      <c r="H1236">
        <v>0</v>
      </c>
      <c r="I1236" t="s">
        <v>140</v>
      </c>
      <c r="J1236" t="s">
        <v>2354</v>
      </c>
      <c r="K1236" t="s">
        <v>346</v>
      </c>
      <c r="L1236" t="s">
        <v>27</v>
      </c>
      <c r="M1236" t="s">
        <v>28</v>
      </c>
      <c r="N1236" t="s">
        <v>4961</v>
      </c>
      <c r="O1236" t="s">
        <v>27</v>
      </c>
      <c r="P1236" t="s">
        <v>30</v>
      </c>
      <c r="Q1236" t="s">
        <v>31</v>
      </c>
      <c r="R1236" t="s">
        <v>32</v>
      </c>
      <c r="S1236" t="s">
        <v>28</v>
      </c>
      <c r="T1236" t="s">
        <v>4962</v>
      </c>
      <c r="U1236" t="s">
        <v>4958</v>
      </c>
    </row>
    <row r="1237" spans="1:21" x14ac:dyDescent="0.25">
      <c r="A1237" t="s">
        <v>195</v>
      </c>
      <c r="B1237" t="s">
        <v>1003</v>
      </c>
      <c r="C1237">
        <v>112.35</v>
      </c>
      <c r="D1237">
        <v>1</v>
      </c>
      <c r="E1237">
        <v>0</v>
      </c>
      <c r="F1237" t="s">
        <v>4963</v>
      </c>
      <c r="G1237">
        <v>117.35</v>
      </c>
      <c r="H1237">
        <v>5</v>
      </c>
      <c r="I1237" t="s">
        <v>628</v>
      </c>
      <c r="J1237" t="s">
        <v>4964</v>
      </c>
      <c r="K1237" t="s">
        <v>4965</v>
      </c>
      <c r="L1237" t="s">
        <v>4791</v>
      </c>
      <c r="M1237" t="s">
        <v>4966</v>
      </c>
      <c r="N1237" t="s">
        <v>3066</v>
      </c>
      <c r="O1237" t="s">
        <v>27</v>
      </c>
      <c r="P1237" t="s">
        <v>48</v>
      </c>
      <c r="Q1237" t="s">
        <v>49</v>
      </c>
      <c r="R1237" t="s">
        <v>50</v>
      </c>
      <c r="S1237" t="s">
        <v>28</v>
      </c>
      <c r="T1237" t="s">
        <v>4967</v>
      </c>
      <c r="U1237" t="s">
        <v>4968</v>
      </c>
    </row>
    <row r="1238" spans="1:21" x14ac:dyDescent="0.25">
      <c r="A1238" t="s">
        <v>40</v>
      </c>
      <c r="B1238" t="s">
        <v>41</v>
      </c>
      <c r="C1238">
        <v>84.16</v>
      </c>
      <c r="D1238">
        <v>1</v>
      </c>
      <c r="E1238">
        <v>0</v>
      </c>
      <c r="F1238" t="s">
        <v>4969</v>
      </c>
      <c r="G1238">
        <v>89.16</v>
      </c>
      <c r="H1238">
        <v>5</v>
      </c>
      <c r="I1238" t="s">
        <v>24</v>
      </c>
      <c r="J1238" t="s">
        <v>4970</v>
      </c>
      <c r="K1238" t="s">
        <v>4971</v>
      </c>
      <c r="L1238" t="s">
        <v>1737</v>
      </c>
      <c r="M1238" t="s">
        <v>4972</v>
      </c>
      <c r="N1238" t="s">
        <v>4973</v>
      </c>
      <c r="O1238" t="s">
        <v>27</v>
      </c>
      <c r="P1238" t="s">
        <v>48</v>
      </c>
      <c r="Q1238" t="s">
        <v>49</v>
      </c>
      <c r="R1238" t="s">
        <v>50</v>
      </c>
      <c r="S1238" t="s">
        <v>28</v>
      </c>
      <c r="T1238" t="s">
        <v>4974</v>
      </c>
      <c r="U1238" t="s">
        <v>4975</v>
      </c>
    </row>
    <row r="1239" spans="1:21" x14ac:dyDescent="0.25">
      <c r="A1239" t="s">
        <v>21</v>
      </c>
      <c r="B1239" t="s">
        <v>22</v>
      </c>
      <c r="C1239">
        <v>100</v>
      </c>
      <c r="D1239">
        <v>1</v>
      </c>
      <c r="E1239">
        <v>0</v>
      </c>
      <c r="F1239" t="s">
        <v>4976</v>
      </c>
      <c r="G1239">
        <v>106</v>
      </c>
      <c r="H1239">
        <v>6</v>
      </c>
      <c r="I1239" t="s">
        <v>24</v>
      </c>
      <c r="J1239" t="s">
        <v>4977</v>
      </c>
      <c r="K1239" t="s">
        <v>37</v>
      </c>
      <c r="L1239" t="s">
        <v>27</v>
      </c>
      <c r="M1239" t="s">
        <v>28</v>
      </c>
      <c r="N1239" t="s">
        <v>4978</v>
      </c>
      <c r="O1239" t="s">
        <v>27</v>
      </c>
      <c r="P1239" t="s">
        <v>39</v>
      </c>
      <c r="Q1239" t="s">
        <v>31</v>
      </c>
      <c r="R1239" t="s">
        <v>32</v>
      </c>
      <c r="S1239" t="s">
        <v>28</v>
      </c>
      <c r="T1239" t="s">
        <v>4979</v>
      </c>
      <c r="U1239" t="s">
        <v>4978</v>
      </c>
    </row>
    <row r="1240" spans="1:21" x14ac:dyDescent="0.25">
      <c r="A1240" t="s">
        <v>499</v>
      </c>
      <c r="B1240" t="s">
        <v>4980</v>
      </c>
      <c r="C1240">
        <v>82.63</v>
      </c>
      <c r="D1240">
        <v>1</v>
      </c>
      <c r="E1240">
        <v>0</v>
      </c>
      <c r="F1240" t="s">
        <v>4981</v>
      </c>
      <c r="G1240">
        <v>87.63</v>
      </c>
      <c r="H1240">
        <v>5</v>
      </c>
      <c r="I1240" t="s">
        <v>24</v>
      </c>
      <c r="J1240" t="s">
        <v>4982</v>
      </c>
      <c r="K1240" t="s">
        <v>4983</v>
      </c>
      <c r="L1240" t="s">
        <v>4984</v>
      </c>
      <c r="M1240" t="s">
        <v>4985</v>
      </c>
      <c r="N1240" t="s">
        <v>4986</v>
      </c>
      <c r="O1240" t="s">
        <v>27</v>
      </c>
      <c r="P1240" t="s">
        <v>48</v>
      </c>
      <c r="Q1240" t="s">
        <v>49</v>
      </c>
      <c r="R1240" t="s">
        <v>50</v>
      </c>
      <c r="S1240" t="s">
        <v>28</v>
      </c>
      <c r="T1240" t="s">
        <v>4987</v>
      </c>
      <c r="U1240" t="s">
        <v>4988</v>
      </c>
    </row>
    <row r="1241" spans="1:21" x14ac:dyDescent="0.25">
      <c r="A1241" t="s">
        <v>143</v>
      </c>
      <c r="B1241" t="s">
        <v>144</v>
      </c>
      <c r="C1241">
        <v>200</v>
      </c>
      <c r="D1241">
        <v>1</v>
      </c>
      <c r="E1241">
        <v>0</v>
      </c>
      <c r="F1241" t="s">
        <v>4989</v>
      </c>
      <c r="G1241">
        <v>200</v>
      </c>
      <c r="H1241">
        <v>0</v>
      </c>
      <c r="I1241" t="s">
        <v>140</v>
      </c>
      <c r="J1241" t="s">
        <v>4990</v>
      </c>
      <c r="K1241" t="s">
        <v>54</v>
      </c>
      <c r="L1241" t="s">
        <v>27</v>
      </c>
      <c r="M1241" t="s">
        <v>28</v>
      </c>
      <c r="N1241" t="s">
        <v>4991</v>
      </c>
      <c r="O1241" t="s">
        <v>27</v>
      </c>
      <c r="P1241" t="s">
        <v>30</v>
      </c>
      <c r="Q1241" t="s">
        <v>31</v>
      </c>
      <c r="R1241" t="s">
        <v>32</v>
      </c>
      <c r="S1241" t="s">
        <v>28</v>
      </c>
      <c r="T1241" t="s">
        <v>4992</v>
      </c>
      <c r="U1241" t="s">
        <v>4993</v>
      </c>
    </row>
    <row r="1242" spans="1:21" x14ac:dyDescent="0.25">
      <c r="A1242" t="s">
        <v>143</v>
      </c>
      <c r="B1242" t="s">
        <v>144</v>
      </c>
      <c r="C1242">
        <v>200</v>
      </c>
      <c r="D1242">
        <v>2</v>
      </c>
      <c r="E1242">
        <v>0</v>
      </c>
      <c r="F1242" t="s">
        <v>4994</v>
      </c>
      <c r="G1242">
        <v>400</v>
      </c>
      <c r="H1242">
        <v>0</v>
      </c>
      <c r="I1242" t="s">
        <v>445</v>
      </c>
      <c r="J1242" t="s">
        <v>4995</v>
      </c>
      <c r="K1242" t="s">
        <v>113</v>
      </c>
      <c r="L1242" t="s">
        <v>27</v>
      </c>
      <c r="M1242" t="s">
        <v>28</v>
      </c>
      <c r="N1242" t="s">
        <v>4991</v>
      </c>
      <c r="O1242" t="s">
        <v>27</v>
      </c>
      <c r="P1242" t="s">
        <v>39</v>
      </c>
      <c r="Q1242" t="s">
        <v>31</v>
      </c>
      <c r="R1242" t="s">
        <v>32</v>
      </c>
      <c r="S1242" t="s">
        <v>28</v>
      </c>
      <c r="T1242" t="s">
        <v>4996</v>
      </c>
      <c r="U1242" t="s">
        <v>4993</v>
      </c>
    </row>
    <row r="1243" spans="1:21" x14ac:dyDescent="0.25">
      <c r="A1243" t="s">
        <v>456</v>
      </c>
      <c r="B1243" t="s">
        <v>1178</v>
      </c>
      <c r="C1243">
        <v>90.65</v>
      </c>
      <c r="D1243">
        <v>1</v>
      </c>
      <c r="E1243">
        <v>0</v>
      </c>
      <c r="F1243" t="s">
        <v>4997</v>
      </c>
      <c r="G1243">
        <v>925.5</v>
      </c>
      <c r="H1243">
        <v>19</v>
      </c>
      <c r="I1243" t="s">
        <v>628</v>
      </c>
      <c r="J1243" t="s">
        <v>4998</v>
      </c>
      <c r="K1243" t="s">
        <v>4999</v>
      </c>
      <c r="L1243" t="s">
        <v>5000</v>
      </c>
      <c r="M1243" t="s">
        <v>5001</v>
      </c>
      <c r="N1243" t="s">
        <v>5002</v>
      </c>
      <c r="O1243" t="s">
        <v>27</v>
      </c>
      <c r="P1243" t="s">
        <v>48</v>
      </c>
      <c r="Q1243" t="s">
        <v>49</v>
      </c>
      <c r="R1243" t="s">
        <v>50</v>
      </c>
      <c r="S1243" t="s">
        <v>28</v>
      </c>
      <c r="T1243" t="s">
        <v>5003</v>
      </c>
      <c r="U1243" t="s">
        <v>5002</v>
      </c>
    </row>
    <row r="1244" spans="1:21" x14ac:dyDescent="0.25">
      <c r="A1244" t="s">
        <v>456</v>
      </c>
      <c r="B1244" t="s">
        <v>1178</v>
      </c>
      <c r="C1244">
        <v>90.65</v>
      </c>
      <c r="D1244">
        <v>1</v>
      </c>
      <c r="E1244">
        <v>0</v>
      </c>
      <c r="F1244" t="s">
        <v>4997</v>
      </c>
      <c r="G1244">
        <v>925.5</v>
      </c>
      <c r="H1244">
        <v>19</v>
      </c>
      <c r="I1244" t="s">
        <v>628</v>
      </c>
      <c r="J1244" t="s">
        <v>4998</v>
      </c>
      <c r="K1244" t="s">
        <v>4999</v>
      </c>
      <c r="L1244" t="s">
        <v>5000</v>
      </c>
      <c r="M1244" t="s">
        <v>5001</v>
      </c>
      <c r="N1244" t="s">
        <v>5002</v>
      </c>
      <c r="O1244" t="s">
        <v>27</v>
      </c>
      <c r="P1244" t="s">
        <v>48</v>
      </c>
      <c r="Q1244" t="s">
        <v>49</v>
      </c>
      <c r="R1244" t="s">
        <v>50</v>
      </c>
      <c r="S1244" t="s">
        <v>28</v>
      </c>
      <c r="T1244" t="s">
        <v>5003</v>
      </c>
      <c r="U1244" t="s">
        <v>5002</v>
      </c>
    </row>
    <row r="1245" spans="1:21" x14ac:dyDescent="0.25">
      <c r="A1245" t="s">
        <v>456</v>
      </c>
      <c r="B1245" t="s">
        <v>1178</v>
      </c>
      <c r="C1245">
        <v>90.65</v>
      </c>
      <c r="D1245">
        <v>1</v>
      </c>
      <c r="E1245">
        <v>0</v>
      </c>
      <c r="F1245" t="s">
        <v>4997</v>
      </c>
      <c r="G1245">
        <v>925.5</v>
      </c>
      <c r="H1245">
        <v>19</v>
      </c>
      <c r="I1245" t="s">
        <v>628</v>
      </c>
      <c r="J1245" t="s">
        <v>4998</v>
      </c>
      <c r="K1245" t="s">
        <v>4999</v>
      </c>
      <c r="L1245" t="s">
        <v>5000</v>
      </c>
      <c r="M1245" t="s">
        <v>5001</v>
      </c>
      <c r="N1245" t="s">
        <v>5002</v>
      </c>
      <c r="O1245" t="s">
        <v>27</v>
      </c>
      <c r="P1245" t="s">
        <v>48</v>
      </c>
      <c r="Q1245" t="s">
        <v>49</v>
      </c>
      <c r="R1245" t="s">
        <v>50</v>
      </c>
      <c r="S1245" t="s">
        <v>28</v>
      </c>
      <c r="T1245" t="s">
        <v>5003</v>
      </c>
      <c r="U1245" t="s">
        <v>5002</v>
      </c>
    </row>
    <row r="1246" spans="1:21" x14ac:dyDescent="0.25">
      <c r="A1246" t="s">
        <v>456</v>
      </c>
      <c r="B1246" t="s">
        <v>1178</v>
      </c>
      <c r="C1246">
        <v>90.65</v>
      </c>
      <c r="D1246">
        <v>1</v>
      </c>
      <c r="E1246">
        <v>0</v>
      </c>
      <c r="F1246" t="s">
        <v>4997</v>
      </c>
      <c r="G1246">
        <v>925.5</v>
      </c>
      <c r="H1246">
        <v>19</v>
      </c>
      <c r="I1246" t="s">
        <v>628</v>
      </c>
      <c r="J1246" t="s">
        <v>4998</v>
      </c>
      <c r="K1246" t="s">
        <v>4999</v>
      </c>
      <c r="L1246" t="s">
        <v>5000</v>
      </c>
      <c r="M1246" t="s">
        <v>5001</v>
      </c>
      <c r="N1246" t="s">
        <v>5002</v>
      </c>
      <c r="O1246" t="s">
        <v>27</v>
      </c>
      <c r="P1246" t="s">
        <v>48</v>
      </c>
      <c r="Q1246" t="s">
        <v>49</v>
      </c>
      <c r="R1246" t="s">
        <v>50</v>
      </c>
      <c r="S1246" t="s">
        <v>28</v>
      </c>
      <c r="T1246" t="s">
        <v>5003</v>
      </c>
      <c r="U1246" t="s">
        <v>5002</v>
      </c>
    </row>
    <row r="1247" spans="1:21" x14ac:dyDescent="0.25">
      <c r="A1247" t="s">
        <v>456</v>
      </c>
      <c r="B1247" t="s">
        <v>1178</v>
      </c>
      <c r="C1247">
        <v>90.65</v>
      </c>
      <c r="D1247">
        <v>1</v>
      </c>
      <c r="E1247">
        <v>0</v>
      </c>
      <c r="F1247" t="s">
        <v>4997</v>
      </c>
      <c r="G1247">
        <v>925.5</v>
      </c>
      <c r="H1247">
        <v>19</v>
      </c>
      <c r="I1247" t="s">
        <v>628</v>
      </c>
      <c r="J1247" t="s">
        <v>4998</v>
      </c>
      <c r="K1247" t="s">
        <v>4999</v>
      </c>
      <c r="L1247" t="s">
        <v>5000</v>
      </c>
      <c r="M1247" t="s">
        <v>5001</v>
      </c>
      <c r="N1247" t="s">
        <v>5002</v>
      </c>
      <c r="O1247" t="s">
        <v>27</v>
      </c>
      <c r="P1247" t="s">
        <v>48</v>
      </c>
      <c r="Q1247" t="s">
        <v>49</v>
      </c>
      <c r="R1247" t="s">
        <v>50</v>
      </c>
      <c r="S1247" t="s">
        <v>28</v>
      </c>
      <c r="T1247" t="s">
        <v>5003</v>
      </c>
      <c r="U1247" t="s">
        <v>5002</v>
      </c>
    </row>
    <row r="1248" spans="1:21" x14ac:dyDescent="0.25">
      <c r="A1248" t="s">
        <v>456</v>
      </c>
      <c r="B1248" t="s">
        <v>1178</v>
      </c>
      <c r="C1248">
        <v>90.65</v>
      </c>
      <c r="D1248">
        <v>1</v>
      </c>
      <c r="E1248">
        <v>0</v>
      </c>
      <c r="F1248" t="s">
        <v>4997</v>
      </c>
      <c r="G1248">
        <v>925.5</v>
      </c>
      <c r="H1248">
        <v>19</v>
      </c>
      <c r="I1248" t="s">
        <v>628</v>
      </c>
      <c r="J1248" t="s">
        <v>4998</v>
      </c>
      <c r="K1248" t="s">
        <v>4999</v>
      </c>
      <c r="L1248" t="s">
        <v>5000</v>
      </c>
      <c r="M1248" t="s">
        <v>5001</v>
      </c>
      <c r="N1248" t="s">
        <v>5002</v>
      </c>
      <c r="O1248" t="s">
        <v>27</v>
      </c>
      <c r="P1248" t="s">
        <v>48</v>
      </c>
      <c r="Q1248" t="s">
        <v>49</v>
      </c>
      <c r="R1248" t="s">
        <v>50</v>
      </c>
      <c r="S1248" t="s">
        <v>28</v>
      </c>
      <c r="T1248" t="s">
        <v>5003</v>
      </c>
      <c r="U1248" t="s">
        <v>5002</v>
      </c>
    </row>
    <row r="1249" spans="1:21" x14ac:dyDescent="0.25">
      <c r="A1249" t="s">
        <v>456</v>
      </c>
      <c r="B1249" t="s">
        <v>1178</v>
      </c>
      <c r="C1249">
        <v>90.65</v>
      </c>
      <c r="D1249">
        <v>1</v>
      </c>
      <c r="E1249">
        <v>0</v>
      </c>
      <c r="F1249" t="s">
        <v>4997</v>
      </c>
      <c r="G1249">
        <v>925.5</v>
      </c>
      <c r="H1249">
        <v>19</v>
      </c>
      <c r="I1249" t="s">
        <v>628</v>
      </c>
      <c r="J1249" t="s">
        <v>4998</v>
      </c>
      <c r="K1249" t="s">
        <v>4999</v>
      </c>
      <c r="L1249" t="s">
        <v>5000</v>
      </c>
      <c r="M1249" t="s">
        <v>5001</v>
      </c>
      <c r="N1249" t="s">
        <v>5002</v>
      </c>
      <c r="O1249" t="s">
        <v>27</v>
      </c>
      <c r="P1249" t="s">
        <v>48</v>
      </c>
      <c r="Q1249" t="s">
        <v>49</v>
      </c>
      <c r="R1249" t="s">
        <v>50</v>
      </c>
      <c r="S1249" t="s">
        <v>28</v>
      </c>
      <c r="T1249" t="s">
        <v>5003</v>
      </c>
      <c r="U1249" t="s">
        <v>5004</v>
      </c>
    </row>
    <row r="1250" spans="1:21" x14ac:dyDescent="0.25">
      <c r="A1250" t="s">
        <v>456</v>
      </c>
      <c r="B1250" t="s">
        <v>1178</v>
      </c>
      <c r="C1250">
        <v>90.65</v>
      </c>
      <c r="D1250">
        <v>1</v>
      </c>
      <c r="E1250">
        <v>0</v>
      </c>
      <c r="F1250" t="s">
        <v>4997</v>
      </c>
      <c r="G1250">
        <v>925.5</v>
      </c>
      <c r="H1250">
        <v>19</v>
      </c>
      <c r="I1250" t="s">
        <v>628</v>
      </c>
      <c r="J1250" t="s">
        <v>4998</v>
      </c>
      <c r="K1250" t="s">
        <v>4999</v>
      </c>
      <c r="L1250" t="s">
        <v>5000</v>
      </c>
      <c r="M1250" t="s">
        <v>5001</v>
      </c>
      <c r="N1250" t="s">
        <v>5002</v>
      </c>
      <c r="O1250" t="s">
        <v>27</v>
      </c>
      <c r="P1250" t="s">
        <v>48</v>
      </c>
      <c r="Q1250" t="s">
        <v>49</v>
      </c>
      <c r="R1250" t="s">
        <v>50</v>
      </c>
      <c r="S1250" t="s">
        <v>28</v>
      </c>
      <c r="T1250" t="s">
        <v>5003</v>
      </c>
      <c r="U1250" t="s">
        <v>5004</v>
      </c>
    </row>
    <row r="1251" spans="1:21" x14ac:dyDescent="0.25">
      <c r="A1251" t="s">
        <v>456</v>
      </c>
      <c r="B1251" t="s">
        <v>1178</v>
      </c>
      <c r="C1251">
        <v>90.65</v>
      </c>
      <c r="D1251">
        <v>1</v>
      </c>
      <c r="E1251">
        <v>0</v>
      </c>
      <c r="F1251" t="s">
        <v>4997</v>
      </c>
      <c r="G1251">
        <v>925.5</v>
      </c>
      <c r="H1251">
        <v>19</v>
      </c>
      <c r="I1251" t="s">
        <v>628</v>
      </c>
      <c r="J1251" t="s">
        <v>4998</v>
      </c>
      <c r="K1251" t="s">
        <v>4999</v>
      </c>
      <c r="L1251" t="s">
        <v>5000</v>
      </c>
      <c r="M1251" t="s">
        <v>5001</v>
      </c>
      <c r="N1251" t="s">
        <v>5002</v>
      </c>
      <c r="O1251" t="s">
        <v>27</v>
      </c>
      <c r="P1251" t="s">
        <v>48</v>
      </c>
      <c r="Q1251" t="s">
        <v>49</v>
      </c>
      <c r="R1251" t="s">
        <v>50</v>
      </c>
      <c r="S1251" t="s">
        <v>28</v>
      </c>
      <c r="T1251" t="s">
        <v>5003</v>
      </c>
      <c r="U1251" t="s">
        <v>5004</v>
      </c>
    </row>
    <row r="1252" spans="1:21" x14ac:dyDescent="0.25">
      <c r="A1252" t="s">
        <v>456</v>
      </c>
      <c r="B1252" t="s">
        <v>1178</v>
      </c>
      <c r="C1252">
        <v>90.65</v>
      </c>
      <c r="D1252">
        <v>1</v>
      </c>
      <c r="E1252">
        <v>0</v>
      </c>
      <c r="F1252" t="s">
        <v>4997</v>
      </c>
      <c r="G1252">
        <v>925.5</v>
      </c>
      <c r="H1252">
        <v>19</v>
      </c>
      <c r="I1252" t="s">
        <v>628</v>
      </c>
      <c r="J1252" t="s">
        <v>4998</v>
      </c>
      <c r="K1252" t="s">
        <v>4999</v>
      </c>
      <c r="L1252" t="s">
        <v>5000</v>
      </c>
      <c r="M1252" t="s">
        <v>5001</v>
      </c>
      <c r="N1252" t="s">
        <v>5002</v>
      </c>
      <c r="O1252" t="s">
        <v>27</v>
      </c>
      <c r="P1252" t="s">
        <v>48</v>
      </c>
      <c r="Q1252" t="s">
        <v>49</v>
      </c>
      <c r="R1252" t="s">
        <v>50</v>
      </c>
      <c r="S1252" t="s">
        <v>28</v>
      </c>
      <c r="T1252" t="s">
        <v>5003</v>
      </c>
      <c r="U1252" t="s">
        <v>5004</v>
      </c>
    </row>
    <row r="1253" spans="1:21" x14ac:dyDescent="0.25">
      <c r="A1253" t="s">
        <v>21</v>
      </c>
      <c r="B1253" t="s">
        <v>22</v>
      </c>
      <c r="C1253">
        <v>100</v>
      </c>
      <c r="D1253">
        <v>3</v>
      </c>
      <c r="E1253">
        <v>0</v>
      </c>
      <c r="F1253" t="s">
        <v>5005</v>
      </c>
      <c r="G1253">
        <v>300</v>
      </c>
      <c r="H1253">
        <v>0</v>
      </c>
      <c r="I1253" t="s">
        <v>445</v>
      </c>
      <c r="J1253" t="s">
        <v>5006</v>
      </c>
      <c r="K1253" t="s">
        <v>321</v>
      </c>
      <c r="L1253" t="s">
        <v>27</v>
      </c>
      <c r="M1253" t="s">
        <v>28</v>
      </c>
      <c r="N1253" t="s">
        <v>5004</v>
      </c>
      <c r="O1253" t="s">
        <v>27</v>
      </c>
      <c r="P1253" t="s">
        <v>39</v>
      </c>
      <c r="Q1253" t="s">
        <v>31</v>
      </c>
      <c r="R1253" t="s">
        <v>32</v>
      </c>
      <c r="S1253" t="s">
        <v>28</v>
      </c>
      <c r="T1253" t="s">
        <v>5007</v>
      </c>
      <c r="U1253" t="s">
        <v>5004</v>
      </c>
    </row>
    <row r="1254" spans="1:21" x14ac:dyDescent="0.25">
      <c r="A1254" t="s">
        <v>21</v>
      </c>
      <c r="B1254" t="s">
        <v>22</v>
      </c>
      <c r="C1254">
        <v>100</v>
      </c>
      <c r="D1254">
        <v>1</v>
      </c>
      <c r="E1254">
        <v>0</v>
      </c>
      <c r="F1254" t="s">
        <v>5008</v>
      </c>
      <c r="G1254">
        <v>106</v>
      </c>
      <c r="H1254">
        <v>6</v>
      </c>
      <c r="I1254" t="s">
        <v>445</v>
      </c>
      <c r="J1254" t="s">
        <v>5009</v>
      </c>
      <c r="K1254" t="s">
        <v>325</v>
      </c>
      <c r="L1254" t="s">
        <v>27</v>
      </c>
      <c r="M1254" t="s">
        <v>28</v>
      </c>
      <c r="N1254" t="s">
        <v>5010</v>
      </c>
      <c r="O1254" t="s">
        <v>27</v>
      </c>
      <c r="P1254" t="s">
        <v>39</v>
      </c>
      <c r="Q1254" t="s">
        <v>31</v>
      </c>
      <c r="R1254" t="s">
        <v>32</v>
      </c>
      <c r="S1254" t="s">
        <v>28</v>
      </c>
      <c r="T1254" t="s">
        <v>5011</v>
      </c>
      <c r="U1254" t="s">
        <v>5010</v>
      </c>
    </row>
    <row r="1255" spans="1:21" x14ac:dyDescent="0.25">
      <c r="A1255" t="s">
        <v>21</v>
      </c>
      <c r="B1255" t="s">
        <v>22</v>
      </c>
      <c r="C1255">
        <v>100</v>
      </c>
      <c r="D1255">
        <v>1</v>
      </c>
      <c r="E1255">
        <v>0</v>
      </c>
      <c r="F1255" t="s">
        <v>5012</v>
      </c>
      <c r="G1255">
        <v>106</v>
      </c>
      <c r="H1255">
        <v>6</v>
      </c>
      <c r="I1255" t="s">
        <v>445</v>
      </c>
      <c r="J1255" t="s">
        <v>5013</v>
      </c>
      <c r="K1255" t="s">
        <v>346</v>
      </c>
      <c r="L1255" t="s">
        <v>27</v>
      </c>
      <c r="M1255" t="s">
        <v>28</v>
      </c>
      <c r="N1255" t="s">
        <v>5014</v>
      </c>
      <c r="O1255" t="s">
        <v>27</v>
      </c>
      <c r="P1255" t="s">
        <v>39</v>
      </c>
      <c r="Q1255" t="s">
        <v>31</v>
      </c>
      <c r="R1255" t="s">
        <v>32</v>
      </c>
      <c r="S1255" t="s">
        <v>28</v>
      </c>
      <c r="T1255" t="s">
        <v>5015</v>
      </c>
      <c r="U1255" t="s">
        <v>5014</v>
      </c>
    </row>
    <row r="1256" spans="1:21" x14ac:dyDescent="0.25">
      <c r="A1256" t="s">
        <v>195</v>
      </c>
      <c r="B1256" t="s">
        <v>1003</v>
      </c>
      <c r="C1256">
        <v>97.26</v>
      </c>
      <c r="D1256">
        <v>1</v>
      </c>
      <c r="E1256">
        <v>0</v>
      </c>
      <c r="F1256" t="s">
        <v>5016</v>
      </c>
      <c r="G1256">
        <v>330.76</v>
      </c>
      <c r="H1256">
        <v>39</v>
      </c>
      <c r="I1256" t="s">
        <v>628</v>
      </c>
      <c r="J1256" t="s">
        <v>5017</v>
      </c>
      <c r="K1256" t="s">
        <v>5018</v>
      </c>
      <c r="L1256" t="s">
        <v>258</v>
      </c>
      <c r="M1256" t="s">
        <v>5019</v>
      </c>
      <c r="N1256" t="s">
        <v>5020</v>
      </c>
      <c r="O1256" t="s">
        <v>27</v>
      </c>
      <c r="P1256" t="s">
        <v>48</v>
      </c>
      <c r="Q1256" t="s">
        <v>49</v>
      </c>
      <c r="R1256" t="s">
        <v>50</v>
      </c>
      <c r="S1256" t="s">
        <v>28</v>
      </c>
      <c r="T1256" t="s">
        <v>5021</v>
      </c>
      <c r="U1256" t="s">
        <v>5022</v>
      </c>
    </row>
    <row r="1257" spans="1:21" x14ac:dyDescent="0.25">
      <c r="A1257" t="s">
        <v>195</v>
      </c>
      <c r="B1257" t="s">
        <v>1003</v>
      </c>
      <c r="C1257">
        <v>97.25</v>
      </c>
      <c r="D1257">
        <v>1</v>
      </c>
      <c r="E1257">
        <v>0</v>
      </c>
      <c r="F1257" t="s">
        <v>5016</v>
      </c>
      <c r="G1257">
        <v>330.76</v>
      </c>
      <c r="H1257">
        <v>39</v>
      </c>
      <c r="I1257" t="s">
        <v>628</v>
      </c>
      <c r="J1257" t="s">
        <v>5017</v>
      </c>
      <c r="K1257" t="s">
        <v>5018</v>
      </c>
      <c r="L1257" t="s">
        <v>258</v>
      </c>
      <c r="M1257" t="s">
        <v>5019</v>
      </c>
      <c r="N1257" t="s">
        <v>5020</v>
      </c>
      <c r="O1257" t="s">
        <v>27</v>
      </c>
      <c r="P1257" t="s">
        <v>48</v>
      </c>
      <c r="Q1257" t="s">
        <v>49</v>
      </c>
      <c r="R1257" t="s">
        <v>50</v>
      </c>
      <c r="S1257" t="s">
        <v>28</v>
      </c>
      <c r="T1257" t="s">
        <v>5021</v>
      </c>
      <c r="U1257" t="s">
        <v>5022</v>
      </c>
    </row>
    <row r="1258" spans="1:21" x14ac:dyDescent="0.25">
      <c r="A1258" t="s">
        <v>195</v>
      </c>
      <c r="B1258" t="s">
        <v>1003</v>
      </c>
      <c r="C1258">
        <v>97.25</v>
      </c>
      <c r="D1258">
        <v>1</v>
      </c>
      <c r="E1258">
        <v>0</v>
      </c>
      <c r="F1258" t="s">
        <v>5016</v>
      </c>
      <c r="G1258">
        <v>330.76</v>
      </c>
      <c r="H1258">
        <v>39</v>
      </c>
      <c r="I1258" t="s">
        <v>628</v>
      </c>
      <c r="J1258" t="s">
        <v>5017</v>
      </c>
      <c r="K1258" t="s">
        <v>5018</v>
      </c>
      <c r="L1258" t="s">
        <v>258</v>
      </c>
      <c r="M1258" t="s">
        <v>5019</v>
      </c>
      <c r="N1258" t="s">
        <v>5020</v>
      </c>
      <c r="O1258" t="s">
        <v>27</v>
      </c>
      <c r="P1258" t="s">
        <v>48</v>
      </c>
      <c r="Q1258" t="s">
        <v>49</v>
      </c>
      <c r="R1258" t="s">
        <v>50</v>
      </c>
      <c r="S1258" t="s">
        <v>28</v>
      </c>
      <c r="T1258" t="s">
        <v>5021</v>
      </c>
      <c r="U1258" t="s">
        <v>5020</v>
      </c>
    </row>
    <row r="1259" spans="1:21" x14ac:dyDescent="0.25">
      <c r="A1259" t="s">
        <v>134</v>
      </c>
      <c r="B1259" t="s">
        <v>64</v>
      </c>
      <c r="C1259">
        <v>100</v>
      </c>
      <c r="D1259">
        <v>2</v>
      </c>
      <c r="E1259">
        <v>0</v>
      </c>
      <c r="F1259" t="s">
        <v>5023</v>
      </c>
      <c r="G1259">
        <v>200</v>
      </c>
      <c r="H1259">
        <v>0</v>
      </c>
      <c r="I1259" t="s">
        <v>24</v>
      </c>
      <c r="J1259" t="s">
        <v>5024</v>
      </c>
      <c r="K1259" t="s">
        <v>672</v>
      </c>
      <c r="L1259" t="s">
        <v>27</v>
      </c>
      <c r="M1259" t="s">
        <v>28</v>
      </c>
      <c r="N1259" t="s">
        <v>5025</v>
      </c>
      <c r="O1259" t="s">
        <v>27</v>
      </c>
      <c r="P1259" t="s">
        <v>56</v>
      </c>
      <c r="Q1259" t="s">
        <v>31</v>
      </c>
      <c r="R1259" t="s">
        <v>57</v>
      </c>
      <c r="S1259" t="s">
        <v>28</v>
      </c>
      <c r="T1259" t="s">
        <v>5026</v>
      </c>
      <c r="U1259" t="s">
        <v>5025</v>
      </c>
    </row>
    <row r="1260" spans="1:21" x14ac:dyDescent="0.25">
      <c r="A1260" t="s">
        <v>143</v>
      </c>
      <c r="B1260" t="s">
        <v>144</v>
      </c>
      <c r="C1260">
        <v>200</v>
      </c>
      <c r="D1260">
        <v>1</v>
      </c>
      <c r="E1260">
        <v>0</v>
      </c>
      <c r="F1260" t="s">
        <v>5027</v>
      </c>
      <c r="G1260">
        <v>200</v>
      </c>
      <c r="H1260">
        <v>0</v>
      </c>
      <c r="I1260" t="s">
        <v>24</v>
      </c>
      <c r="J1260" t="s">
        <v>5028</v>
      </c>
      <c r="K1260" t="s">
        <v>118</v>
      </c>
      <c r="L1260" t="s">
        <v>27</v>
      </c>
      <c r="M1260" t="s">
        <v>28</v>
      </c>
      <c r="N1260" t="s">
        <v>5029</v>
      </c>
      <c r="O1260" t="s">
        <v>27</v>
      </c>
      <c r="P1260" t="s">
        <v>56</v>
      </c>
      <c r="Q1260" t="s">
        <v>31</v>
      </c>
      <c r="R1260" t="s">
        <v>57</v>
      </c>
      <c r="S1260" t="s">
        <v>28</v>
      </c>
      <c r="T1260" t="s">
        <v>5030</v>
      </c>
      <c r="U1260" t="s">
        <v>5029</v>
      </c>
    </row>
    <row r="1261" spans="1:21" x14ac:dyDescent="0.25">
      <c r="A1261" t="s">
        <v>195</v>
      </c>
      <c r="B1261" t="s">
        <v>1003</v>
      </c>
      <c r="C1261">
        <v>142.31</v>
      </c>
      <c r="D1261">
        <v>1</v>
      </c>
      <c r="E1261">
        <v>0</v>
      </c>
      <c r="F1261" t="s">
        <v>5031</v>
      </c>
      <c r="G1261">
        <v>147.31</v>
      </c>
      <c r="H1261">
        <v>5</v>
      </c>
      <c r="I1261" t="s">
        <v>628</v>
      </c>
      <c r="J1261" t="s">
        <v>5032</v>
      </c>
      <c r="K1261" t="s">
        <v>5033</v>
      </c>
      <c r="L1261" t="s">
        <v>1171</v>
      </c>
      <c r="M1261" t="s">
        <v>5034</v>
      </c>
      <c r="N1261" t="s">
        <v>5035</v>
      </c>
      <c r="O1261" t="s">
        <v>27</v>
      </c>
      <c r="P1261" t="s">
        <v>48</v>
      </c>
      <c r="Q1261" t="s">
        <v>49</v>
      </c>
      <c r="R1261" t="s">
        <v>50</v>
      </c>
      <c r="S1261" t="s">
        <v>28</v>
      </c>
      <c r="T1261" t="s">
        <v>5036</v>
      </c>
      <c r="U1261" t="s">
        <v>5035</v>
      </c>
    </row>
    <row r="1262" spans="1:21" x14ac:dyDescent="0.25">
      <c r="A1262" t="s">
        <v>5037</v>
      </c>
      <c r="B1262" t="s">
        <v>276</v>
      </c>
      <c r="C1262">
        <v>280.85000000000002</v>
      </c>
      <c r="D1262">
        <v>1</v>
      </c>
      <c r="E1262">
        <v>0</v>
      </c>
      <c r="F1262" t="s">
        <v>5038</v>
      </c>
      <c r="G1262">
        <v>285.85000000000002</v>
      </c>
      <c r="H1262">
        <v>5</v>
      </c>
      <c r="I1262" t="s">
        <v>24</v>
      </c>
      <c r="J1262" t="s">
        <v>5039</v>
      </c>
      <c r="K1262" t="s">
        <v>5040</v>
      </c>
      <c r="L1262" t="s">
        <v>1485</v>
      </c>
      <c r="M1262" t="s">
        <v>5041</v>
      </c>
      <c r="N1262" t="s">
        <v>5042</v>
      </c>
      <c r="O1262" t="s">
        <v>27</v>
      </c>
      <c r="P1262" t="s">
        <v>48</v>
      </c>
      <c r="Q1262" t="s">
        <v>49</v>
      </c>
      <c r="R1262" t="s">
        <v>50</v>
      </c>
      <c r="S1262" t="s">
        <v>28</v>
      </c>
      <c r="T1262" t="s">
        <v>5043</v>
      </c>
      <c r="U1262" t="s">
        <v>5042</v>
      </c>
    </row>
    <row r="1263" spans="1:21" x14ac:dyDescent="0.25">
      <c r="A1263" t="s">
        <v>21</v>
      </c>
      <c r="B1263" t="s">
        <v>22</v>
      </c>
      <c r="C1263">
        <v>100</v>
      </c>
      <c r="D1263">
        <v>2</v>
      </c>
      <c r="E1263">
        <v>0</v>
      </c>
      <c r="F1263" t="s">
        <v>5044</v>
      </c>
      <c r="G1263">
        <v>550</v>
      </c>
      <c r="H1263">
        <v>0</v>
      </c>
      <c r="I1263" t="s">
        <v>140</v>
      </c>
      <c r="J1263" t="s">
        <v>5045</v>
      </c>
      <c r="K1263" t="s">
        <v>331</v>
      </c>
      <c r="L1263" t="s">
        <v>27</v>
      </c>
      <c r="M1263" t="s">
        <v>28</v>
      </c>
      <c r="N1263" t="s">
        <v>5046</v>
      </c>
      <c r="O1263" t="s">
        <v>27</v>
      </c>
      <c r="P1263" t="s">
        <v>30</v>
      </c>
      <c r="Q1263" t="s">
        <v>31</v>
      </c>
      <c r="R1263" t="s">
        <v>32</v>
      </c>
      <c r="S1263" t="s">
        <v>28</v>
      </c>
      <c r="T1263" t="s">
        <v>5047</v>
      </c>
      <c r="U1263" t="s">
        <v>5046</v>
      </c>
    </row>
    <row r="1264" spans="1:21" x14ac:dyDescent="0.25">
      <c r="A1264" t="s">
        <v>70</v>
      </c>
      <c r="B1264" t="s">
        <v>70</v>
      </c>
      <c r="C1264">
        <v>350</v>
      </c>
      <c r="D1264">
        <v>1</v>
      </c>
      <c r="E1264">
        <v>0</v>
      </c>
      <c r="F1264" t="s">
        <v>5044</v>
      </c>
      <c r="G1264">
        <v>550</v>
      </c>
      <c r="H1264">
        <v>0</v>
      </c>
      <c r="I1264" t="s">
        <v>140</v>
      </c>
      <c r="J1264" t="s">
        <v>5045</v>
      </c>
      <c r="K1264" t="s">
        <v>331</v>
      </c>
      <c r="L1264" t="s">
        <v>27</v>
      </c>
      <c r="M1264" t="s">
        <v>28</v>
      </c>
      <c r="N1264" t="s">
        <v>5046</v>
      </c>
      <c r="O1264" t="s">
        <v>27</v>
      </c>
      <c r="P1264" t="s">
        <v>30</v>
      </c>
      <c r="Q1264" t="s">
        <v>31</v>
      </c>
      <c r="R1264" t="s">
        <v>32</v>
      </c>
      <c r="S1264" t="s">
        <v>28</v>
      </c>
      <c r="T1264" t="s">
        <v>5047</v>
      </c>
      <c r="U1264" t="s">
        <v>5046</v>
      </c>
    </row>
    <row r="1265" spans="1:21" x14ac:dyDescent="0.25">
      <c r="A1265" t="s">
        <v>143</v>
      </c>
      <c r="B1265" t="s">
        <v>144</v>
      </c>
      <c r="C1265">
        <v>200</v>
      </c>
      <c r="D1265">
        <v>1</v>
      </c>
      <c r="E1265">
        <v>0</v>
      </c>
      <c r="F1265" t="s">
        <v>5048</v>
      </c>
      <c r="G1265">
        <v>200</v>
      </c>
      <c r="H1265">
        <v>0</v>
      </c>
      <c r="I1265" t="s">
        <v>445</v>
      </c>
      <c r="J1265" t="s">
        <v>2370</v>
      </c>
      <c r="K1265" t="s">
        <v>213</v>
      </c>
      <c r="L1265" t="s">
        <v>27</v>
      </c>
      <c r="M1265" t="s">
        <v>28</v>
      </c>
      <c r="N1265" t="s">
        <v>5046</v>
      </c>
      <c r="O1265" t="s">
        <v>27</v>
      </c>
      <c r="P1265" t="s">
        <v>39</v>
      </c>
      <c r="Q1265" t="s">
        <v>31</v>
      </c>
      <c r="R1265" t="s">
        <v>32</v>
      </c>
      <c r="S1265" t="s">
        <v>28</v>
      </c>
      <c r="T1265" t="s">
        <v>5049</v>
      </c>
      <c r="U1265" t="s">
        <v>5046</v>
      </c>
    </row>
    <row r="1266" spans="1:21" x14ac:dyDescent="0.25">
      <c r="A1266" t="s">
        <v>70</v>
      </c>
      <c r="B1266" t="s">
        <v>70</v>
      </c>
      <c r="C1266">
        <v>350</v>
      </c>
      <c r="D1266">
        <v>2</v>
      </c>
      <c r="E1266">
        <v>0</v>
      </c>
      <c r="F1266" t="s">
        <v>5050</v>
      </c>
      <c r="G1266">
        <v>700</v>
      </c>
      <c r="H1266">
        <v>0</v>
      </c>
      <c r="I1266" t="s">
        <v>140</v>
      </c>
      <c r="J1266" t="s">
        <v>5051</v>
      </c>
      <c r="K1266" t="s">
        <v>4082</v>
      </c>
      <c r="L1266" t="s">
        <v>27</v>
      </c>
      <c r="M1266" t="s">
        <v>28</v>
      </c>
      <c r="N1266" t="s">
        <v>5052</v>
      </c>
      <c r="O1266" t="s">
        <v>27</v>
      </c>
      <c r="P1266" t="s">
        <v>30</v>
      </c>
      <c r="Q1266" t="s">
        <v>31</v>
      </c>
      <c r="R1266" t="s">
        <v>32</v>
      </c>
      <c r="S1266" t="s">
        <v>28</v>
      </c>
      <c r="T1266" t="s">
        <v>5053</v>
      </c>
      <c r="U1266" t="s">
        <v>5052</v>
      </c>
    </row>
    <row r="1267" spans="1:21" x14ac:dyDescent="0.25">
      <c r="A1267" t="s">
        <v>21</v>
      </c>
      <c r="B1267" t="s">
        <v>22</v>
      </c>
      <c r="C1267">
        <v>100</v>
      </c>
      <c r="D1267">
        <v>1</v>
      </c>
      <c r="E1267">
        <v>0</v>
      </c>
      <c r="F1267" t="s">
        <v>5054</v>
      </c>
      <c r="G1267">
        <v>106</v>
      </c>
      <c r="H1267">
        <v>6</v>
      </c>
      <c r="I1267" t="s">
        <v>140</v>
      </c>
      <c r="J1267" t="s">
        <v>5055</v>
      </c>
      <c r="K1267" t="s">
        <v>61</v>
      </c>
      <c r="L1267" t="s">
        <v>27</v>
      </c>
      <c r="M1267" t="s">
        <v>28</v>
      </c>
      <c r="N1267" t="s">
        <v>5056</v>
      </c>
      <c r="O1267" t="s">
        <v>27</v>
      </c>
      <c r="P1267" t="s">
        <v>30</v>
      </c>
      <c r="Q1267" t="s">
        <v>31</v>
      </c>
      <c r="R1267" t="s">
        <v>32</v>
      </c>
      <c r="S1267" t="s">
        <v>28</v>
      </c>
      <c r="T1267" t="s">
        <v>5057</v>
      </c>
      <c r="U1267" t="s">
        <v>5052</v>
      </c>
    </row>
    <row r="1268" spans="1:21" x14ac:dyDescent="0.25">
      <c r="A1268" t="s">
        <v>21</v>
      </c>
      <c r="B1268" t="s">
        <v>22</v>
      </c>
      <c r="C1268">
        <v>100</v>
      </c>
      <c r="D1268">
        <v>1</v>
      </c>
      <c r="E1268">
        <v>0</v>
      </c>
      <c r="F1268" t="s">
        <v>5058</v>
      </c>
      <c r="G1268">
        <v>100</v>
      </c>
      <c r="H1268">
        <v>0</v>
      </c>
      <c r="I1268" t="s">
        <v>140</v>
      </c>
      <c r="J1268" t="s">
        <v>5059</v>
      </c>
      <c r="K1268" t="s">
        <v>124</v>
      </c>
      <c r="L1268" t="s">
        <v>27</v>
      </c>
      <c r="M1268" t="s">
        <v>28</v>
      </c>
      <c r="N1268" t="s">
        <v>5060</v>
      </c>
      <c r="O1268" t="s">
        <v>27</v>
      </c>
      <c r="P1268" t="s">
        <v>30</v>
      </c>
      <c r="Q1268" t="s">
        <v>31</v>
      </c>
      <c r="R1268" t="s">
        <v>32</v>
      </c>
      <c r="S1268" t="s">
        <v>28</v>
      </c>
      <c r="T1268" t="s">
        <v>5061</v>
      </c>
      <c r="U1268" t="s">
        <v>5060</v>
      </c>
    </row>
    <row r="1269" spans="1:21" x14ac:dyDescent="0.25">
      <c r="A1269" t="s">
        <v>635</v>
      </c>
      <c r="B1269" t="s">
        <v>714</v>
      </c>
      <c r="C1269">
        <v>447.27</v>
      </c>
      <c r="D1269">
        <v>1</v>
      </c>
      <c r="E1269">
        <v>0</v>
      </c>
      <c r="F1269" t="s">
        <v>5062</v>
      </c>
      <c r="G1269">
        <v>461.27</v>
      </c>
      <c r="H1269">
        <v>14</v>
      </c>
      <c r="I1269" t="s">
        <v>628</v>
      </c>
      <c r="J1269" t="s">
        <v>5063</v>
      </c>
      <c r="K1269" t="s">
        <v>5064</v>
      </c>
      <c r="L1269" t="s">
        <v>5065</v>
      </c>
      <c r="M1269" t="s">
        <v>5066</v>
      </c>
      <c r="N1269" t="s">
        <v>5067</v>
      </c>
      <c r="O1269" t="s">
        <v>27</v>
      </c>
      <c r="P1269" t="s">
        <v>48</v>
      </c>
      <c r="Q1269" t="s">
        <v>49</v>
      </c>
      <c r="R1269" t="s">
        <v>50</v>
      </c>
      <c r="S1269" t="s">
        <v>28</v>
      </c>
      <c r="T1269" t="s">
        <v>5068</v>
      </c>
      <c r="U1269" t="s">
        <v>5067</v>
      </c>
    </row>
    <row r="1270" spans="1:21" x14ac:dyDescent="0.25">
      <c r="A1270" t="s">
        <v>143</v>
      </c>
      <c r="B1270" t="s">
        <v>144</v>
      </c>
      <c r="C1270">
        <v>200</v>
      </c>
      <c r="D1270">
        <v>1</v>
      </c>
      <c r="E1270">
        <v>0</v>
      </c>
      <c r="F1270" t="s">
        <v>5069</v>
      </c>
      <c r="G1270">
        <v>200</v>
      </c>
      <c r="H1270">
        <v>0</v>
      </c>
      <c r="I1270" t="s">
        <v>445</v>
      </c>
      <c r="J1270" t="s">
        <v>5070</v>
      </c>
      <c r="K1270" t="s">
        <v>321</v>
      </c>
      <c r="L1270" t="s">
        <v>27</v>
      </c>
      <c r="M1270" t="s">
        <v>28</v>
      </c>
      <c r="N1270" t="s">
        <v>5071</v>
      </c>
      <c r="O1270" t="s">
        <v>27</v>
      </c>
      <c r="P1270" t="s">
        <v>39</v>
      </c>
      <c r="Q1270" t="s">
        <v>31</v>
      </c>
      <c r="R1270" t="s">
        <v>32</v>
      </c>
      <c r="S1270" t="s">
        <v>28</v>
      </c>
      <c r="T1270" t="s">
        <v>5072</v>
      </c>
      <c r="U1270" t="s">
        <v>5071</v>
      </c>
    </row>
    <row r="1271" spans="1:21" x14ac:dyDescent="0.25">
      <c r="A1271" t="s">
        <v>63</v>
      </c>
      <c r="B1271" t="s">
        <v>64</v>
      </c>
      <c r="C1271">
        <v>100</v>
      </c>
      <c r="D1271">
        <v>1</v>
      </c>
      <c r="E1271">
        <v>0</v>
      </c>
      <c r="F1271" t="s">
        <v>5073</v>
      </c>
      <c r="G1271">
        <v>106</v>
      </c>
      <c r="H1271">
        <v>6</v>
      </c>
      <c r="I1271" t="s">
        <v>445</v>
      </c>
      <c r="J1271" t="s">
        <v>5074</v>
      </c>
      <c r="K1271" t="s">
        <v>797</v>
      </c>
      <c r="L1271" t="s">
        <v>27</v>
      </c>
      <c r="M1271" t="s">
        <v>28</v>
      </c>
      <c r="N1271" t="s">
        <v>5075</v>
      </c>
      <c r="O1271" t="s">
        <v>27</v>
      </c>
      <c r="P1271" t="s">
        <v>39</v>
      </c>
      <c r="Q1271" t="s">
        <v>31</v>
      </c>
      <c r="R1271" t="s">
        <v>32</v>
      </c>
      <c r="S1271" t="s">
        <v>28</v>
      </c>
      <c r="T1271" t="s">
        <v>5076</v>
      </c>
      <c r="U1271" t="s">
        <v>5075</v>
      </c>
    </row>
    <row r="1272" spans="1:21" x14ac:dyDescent="0.25">
      <c r="A1272" t="s">
        <v>143</v>
      </c>
      <c r="B1272" t="s">
        <v>144</v>
      </c>
      <c r="C1272">
        <v>200</v>
      </c>
      <c r="D1272">
        <v>1</v>
      </c>
      <c r="E1272">
        <v>0</v>
      </c>
      <c r="F1272" t="s">
        <v>5077</v>
      </c>
      <c r="G1272">
        <v>200</v>
      </c>
      <c r="H1272">
        <v>0</v>
      </c>
      <c r="I1272" t="s">
        <v>140</v>
      </c>
      <c r="J1272" t="s">
        <v>5078</v>
      </c>
      <c r="K1272" t="s">
        <v>342</v>
      </c>
      <c r="L1272" t="s">
        <v>27</v>
      </c>
      <c r="M1272" t="s">
        <v>28</v>
      </c>
      <c r="N1272" t="s">
        <v>5075</v>
      </c>
      <c r="O1272" t="s">
        <v>27</v>
      </c>
      <c r="P1272" t="s">
        <v>30</v>
      </c>
      <c r="Q1272" t="s">
        <v>31</v>
      </c>
      <c r="R1272" t="s">
        <v>32</v>
      </c>
      <c r="S1272" t="s">
        <v>28</v>
      </c>
      <c r="T1272" t="s">
        <v>5079</v>
      </c>
      <c r="U1272" t="s">
        <v>5075</v>
      </c>
    </row>
    <row r="1273" spans="1:21" x14ac:dyDescent="0.25">
      <c r="A1273" t="s">
        <v>63</v>
      </c>
      <c r="B1273" t="s">
        <v>64</v>
      </c>
      <c r="C1273">
        <v>100</v>
      </c>
      <c r="D1273">
        <v>1</v>
      </c>
      <c r="E1273">
        <v>0</v>
      </c>
      <c r="F1273" t="s">
        <v>5080</v>
      </c>
      <c r="G1273">
        <v>106</v>
      </c>
      <c r="H1273">
        <v>6</v>
      </c>
      <c r="I1273" t="s">
        <v>24</v>
      </c>
      <c r="J1273" t="s">
        <v>5081</v>
      </c>
      <c r="K1273" t="s">
        <v>54</v>
      </c>
      <c r="L1273" t="s">
        <v>27</v>
      </c>
      <c r="M1273" t="s">
        <v>28</v>
      </c>
      <c r="N1273" t="s">
        <v>5082</v>
      </c>
      <c r="O1273" t="s">
        <v>27</v>
      </c>
      <c r="P1273" t="s">
        <v>39</v>
      </c>
      <c r="Q1273" t="s">
        <v>31</v>
      </c>
      <c r="R1273" t="s">
        <v>32</v>
      </c>
      <c r="S1273" t="s">
        <v>28</v>
      </c>
      <c r="T1273" t="s">
        <v>5083</v>
      </c>
      <c r="U1273" t="s">
        <v>5082</v>
      </c>
    </row>
    <row r="1274" spans="1:21" x14ac:dyDescent="0.25">
      <c r="A1274" t="s">
        <v>21</v>
      </c>
      <c r="B1274" t="s">
        <v>22</v>
      </c>
      <c r="C1274">
        <v>100</v>
      </c>
      <c r="D1274">
        <v>1</v>
      </c>
      <c r="E1274">
        <v>0</v>
      </c>
      <c r="F1274" t="s">
        <v>5084</v>
      </c>
      <c r="G1274">
        <v>106</v>
      </c>
      <c r="H1274">
        <v>6</v>
      </c>
      <c r="I1274" t="s">
        <v>24</v>
      </c>
      <c r="J1274" t="s">
        <v>5085</v>
      </c>
      <c r="K1274" t="s">
        <v>67</v>
      </c>
      <c r="L1274" t="s">
        <v>27</v>
      </c>
      <c r="M1274" t="s">
        <v>28</v>
      </c>
      <c r="N1274" t="s">
        <v>5086</v>
      </c>
      <c r="O1274" t="s">
        <v>27</v>
      </c>
      <c r="P1274" t="s">
        <v>39</v>
      </c>
      <c r="Q1274" t="s">
        <v>31</v>
      </c>
      <c r="R1274" t="s">
        <v>32</v>
      </c>
      <c r="S1274" t="s">
        <v>28</v>
      </c>
      <c r="T1274" t="s">
        <v>5087</v>
      </c>
      <c r="U1274" t="s">
        <v>5086</v>
      </c>
    </row>
    <row r="1275" spans="1:21" x14ac:dyDescent="0.25">
      <c r="A1275" t="s">
        <v>143</v>
      </c>
      <c r="B1275" t="s">
        <v>144</v>
      </c>
      <c r="C1275">
        <v>200</v>
      </c>
      <c r="D1275">
        <v>1</v>
      </c>
      <c r="E1275">
        <v>0</v>
      </c>
      <c r="F1275" t="s">
        <v>5088</v>
      </c>
      <c r="G1275">
        <v>200</v>
      </c>
      <c r="H1275">
        <v>0</v>
      </c>
      <c r="I1275" t="s">
        <v>24</v>
      </c>
      <c r="J1275" t="s">
        <v>3509</v>
      </c>
      <c r="K1275" t="s">
        <v>919</v>
      </c>
      <c r="L1275" t="s">
        <v>27</v>
      </c>
      <c r="M1275" t="s">
        <v>28</v>
      </c>
      <c r="N1275" t="s">
        <v>5089</v>
      </c>
      <c r="O1275" t="s">
        <v>27</v>
      </c>
      <c r="P1275" t="s">
        <v>39</v>
      </c>
      <c r="Q1275" t="s">
        <v>31</v>
      </c>
      <c r="R1275" t="s">
        <v>32</v>
      </c>
      <c r="S1275" t="s">
        <v>28</v>
      </c>
      <c r="T1275" t="s">
        <v>5090</v>
      </c>
      <c r="U1275" t="s">
        <v>5089</v>
      </c>
    </row>
    <row r="1276" spans="1:21" x14ac:dyDescent="0.25">
      <c r="A1276" t="s">
        <v>143</v>
      </c>
      <c r="B1276" t="s">
        <v>144</v>
      </c>
      <c r="C1276">
        <v>200</v>
      </c>
      <c r="D1276">
        <v>1</v>
      </c>
      <c r="E1276">
        <v>0</v>
      </c>
      <c r="F1276" t="s">
        <v>5091</v>
      </c>
      <c r="G1276">
        <v>200</v>
      </c>
      <c r="H1276">
        <v>0</v>
      </c>
      <c r="I1276" t="s">
        <v>24</v>
      </c>
      <c r="J1276" t="s">
        <v>5092</v>
      </c>
      <c r="K1276" t="s">
        <v>89</v>
      </c>
      <c r="L1276" t="s">
        <v>27</v>
      </c>
      <c r="M1276" t="s">
        <v>28</v>
      </c>
      <c r="N1276" t="s">
        <v>5093</v>
      </c>
      <c r="O1276" t="s">
        <v>27</v>
      </c>
      <c r="P1276" t="s">
        <v>56</v>
      </c>
      <c r="Q1276" t="s">
        <v>31</v>
      </c>
      <c r="R1276" t="s">
        <v>57</v>
      </c>
      <c r="S1276" t="s">
        <v>28</v>
      </c>
      <c r="T1276" t="s">
        <v>5094</v>
      </c>
      <c r="U1276" t="s">
        <v>5093</v>
      </c>
    </row>
    <row r="1277" spans="1:21" x14ac:dyDescent="0.25">
      <c r="A1277" t="s">
        <v>21</v>
      </c>
      <c r="B1277" t="s">
        <v>22</v>
      </c>
      <c r="C1277">
        <v>100</v>
      </c>
      <c r="D1277">
        <v>1</v>
      </c>
      <c r="E1277">
        <v>0</v>
      </c>
      <c r="F1277" t="s">
        <v>5095</v>
      </c>
      <c r="G1277">
        <v>145</v>
      </c>
      <c r="H1277">
        <v>45</v>
      </c>
      <c r="I1277" t="s">
        <v>24</v>
      </c>
      <c r="J1277" t="s">
        <v>5096</v>
      </c>
      <c r="K1277" t="s">
        <v>113</v>
      </c>
      <c r="L1277" t="s">
        <v>27</v>
      </c>
      <c r="M1277" t="s">
        <v>28</v>
      </c>
      <c r="N1277" t="s">
        <v>5097</v>
      </c>
      <c r="O1277" t="s">
        <v>27</v>
      </c>
      <c r="P1277" t="s">
        <v>39</v>
      </c>
      <c r="Q1277" t="s">
        <v>31</v>
      </c>
      <c r="R1277" t="s">
        <v>32</v>
      </c>
      <c r="S1277" t="s">
        <v>28</v>
      </c>
      <c r="T1277" t="s">
        <v>5098</v>
      </c>
      <c r="U1277" t="s">
        <v>5097</v>
      </c>
    </row>
    <row r="1278" spans="1:21" x14ac:dyDescent="0.25">
      <c r="A1278" t="s">
        <v>58</v>
      </c>
      <c r="B1278" t="s">
        <v>58</v>
      </c>
      <c r="C1278">
        <v>130</v>
      </c>
      <c r="D1278">
        <v>1</v>
      </c>
      <c r="E1278">
        <v>0</v>
      </c>
      <c r="F1278" t="s">
        <v>5099</v>
      </c>
      <c r="G1278">
        <v>256</v>
      </c>
      <c r="H1278">
        <v>41</v>
      </c>
      <c r="I1278" t="s">
        <v>445</v>
      </c>
      <c r="J1278" t="s">
        <v>5100</v>
      </c>
      <c r="K1278" t="s">
        <v>5101</v>
      </c>
      <c r="L1278" t="s">
        <v>3447</v>
      </c>
      <c r="M1278" t="s">
        <v>2411</v>
      </c>
      <c r="N1278" t="s">
        <v>5075</v>
      </c>
      <c r="O1278" t="s">
        <v>27</v>
      </c>
      <c r="P1278" t="s">
        <v>193</v>
      </c>
      <c r="Q1278" t="s">
        <v>85</v>
      </c>
      <c r="R1278" t="s">
        <v>86</v>
      </c>
      <c r="S1278" t="s">
        <v>28</v>
      </c>
      <c r="T1278" t="s">
        <v>5102</v>
      </c>
      <c r="U1278" t="s">
        <v>5103</v>
      </c>
    </row>
    <row r="1279" spans="1:21" x14ac:dyDescent="0.25">
      <c r="A1279" t="s">
        <v>33</v>
      </c>
      <c r="B1279" t="s">
        <v>34</v>
      </c>
      <c r="C1279">
        <v>200</v>
      </c>
      <c r="D1279">
        <v>1</v>
      </c>
      <c r="E1279">
        <v>0</v>
      </c>
      <c r="F1279" t="s">
        <v>5104</v>
      </c>
      <c r="G1279">
        <v>200</v>
      </c>
      <c r="H1279">
        <v>0</v>
      </c>
      <c r="I1279" t="s">
        <v>24</v>
      </c>
      <c r="J1279" t="s">
        <v>5105</v>
      </c>
      <c r="K1279" t="s">
        <v>758</v>
      </c>
      <c r="L1279" t="s">
        <v>27</v>
      </c>
      <c r="M1279" t="s">
        <v>28</v>
      </c>
      <c r="N1279" t="s">
        <v>5106</v>
      </c>
      <c r="O1279" t="s">
        <v>27</v>
      </c>
      <c r="P1279" t="s">
        <v>39</v>
      </c>
      <c r="Q1279" t="s">
        <v>31</v>
      </c>
      <c r="R1279" t="s">
        <v>32</v>
      </c>
      <c r="S1279" t="s">
        <v>28</v>
      </c>
      <c r="T1279" t="s">
        <v>5107</v>
      </c>
      <c r="U1279" t="s">
        <v>5106</v>
      </c>
    </row>
    <row r="1280" spans="1:21" x14ac:dyDescent="0.25">
      <c r="A1280" t="s">
        <v>635</v>
      </c>
      <c r="B1280" t="s">
        <v>714</v>
      </c>
      <c r="C1280">
        <v>458.02</v>
      </c>
      <c r="D1280">
        <v>1</v>
      </c>
      <c r="E1280">
        <v>0</v>
      </c>
      <c r="F1280" t="s">
        <v>5108</v>
      </c>
      <c r="G1280">
        <v>1438.07</v>
      </c>
      <c r="H1280">
        <v>64</v>
      </c>
      <c r="I1280" t="s">
        <v>628</v>
      </c>
      <c r="J1280" t="s">
        <v>5109</v>
      </c>
      <c r="K1280" t="s">
        <v>5110</v>
      </c>
      <c r="L1280" t="s">
        <v>2285</v>
      </c>
      <c r="M1280" t="s">
        <v>5111</v>
      </c>
      <c r="N1280" t="s">
        <v>5112</v>
      </c>
      <c r="O1280" t="s">
        <v>27</v>
      </c>
      <c r="P1280" t="s">
        <v>48</v>
      </c>
      <c r="Q1280" t="s">
        <v>49</v>
      </c>
      <c r="R1280" t="s">
        <v>50</v>
      </c>
      <c r="S1280" t="s">
        <v>28</v>
      </c>
      <c r="T1280" t="s">
        <v>5113</v>
      </c>
      <c r="U1280" t="s">
        <v>5112</v>
      </c>
    </row>
    <row r="1281" spans="1:21" x14ac:dyDescent="0.25">
      <c r="A1281" t="s">
        <v>635</v>
      </c>
      <c r="B1281" t="s">
        <v>714</v>
      </c>
      <c r="C1281">
        <v>458.02</v>
      </c>
      <c r="D1281">
        <v>1</v>
      </c>
      <c r="E1281">
        <v>0</v>
      </c>
      <c r="F1281" t="s">
        <v>5108</v>
      </c>
      <c r="G1281">
        <v>1438.07</v>
      </c>
      <c r="H1281">
        <v>64</v>
      </c>
      <c r="I1281" t="s">
        <v>628</v>
      </c>
      <c r="J1281" t="s">
        <v>5109</v>
      </c>
      <c r="K1281" t="s">
        <v>5110</v>
      </c>
      <c r="L1281" t="s">
        <v>2285</v>
      </c>
      <c r="M1281" t="s">
        <v>5111</v>
      </c>
      <c r="N1281" t="s">
        <v>5112</v>
      </c>
      <c r="O1281" t="s">
        <v>27</v>
      </c>
      <c r="P1281" t="s">
        <v>48</v>
      </c>
      <c r="Q1281" t="s">
        <v>49</v>
      </c>
      <c r="R1281" t="s">
        <v>50</v>
      </c>
      <c r="S1281" t="s">
        <v>28</v>
      </c>
      <c r="T1281" t="s">
        <v>5113</v>
      </c>
      <c r="U1281" t="s">
        <v>5112</v>
      </c>
    </row>
    <row r="1282" spans="1:21" x14ac:dyDescent="0.25">
      <c r="A1282" t="s">
        <v>635</v>
      </c>
      <c r="B1282" t="s">
        <v>714</v>
      </c>
      <c r="C1282">
        <v>458.03</v>
      </c>
      <c r="D1282">
        <v>1</v>
      </c>
      <c r="E1282">
        <v>0</v>
      </c>
      <c r="F1282" t="s">
        <v>5108</v>
      </c>
      <c r="G1282">
        <v>1438.07</v>
      </c>
      <c r="H1282">
        <v>64</v>
      </c>
      <c r="I1282" t="s">
        <v>628</v>
      </c>
      <c r="J1282" t="s">
        <v>5109</v>
      </c>
      <c r="K1282" t="s">
        <v>5110</v>
      </c>
      <c r="L1282" t="s">
        <v>2285</v>
      </c>
      <c r="M1282" t="s">
        <v>5111</v>
      </c>
      <c r="N1282" t="s">
        <v>5112</v>
      </c>
      <c r="O1282" t="s">
        <v>27</v>
      </c>
      <c r="P1282" t="s">
        <v>48</v>
      </c>
      <c r="Q1282" t="s">
        <v>49</v>
      </c>
      <c r="R1282" t="s">
        <v>50</v>
      </c>
      <c r="S1282" t="s">
        <v>28</v>
      </c>
      <c r="T1282" t="s">
        <v>5113</v>
      </c>
      <c r="U1282" t="s">
        <v>5112</v>
      </c>
    </row>
    <row r="1283" spans="1:21" x14ac:dyDescent="0.25">
      <c r="A1283" t="s">
        <v>33</v>
      </c>
      <c r="B1283" t="s">
        <v>34</v>
      </c>
      <c r="C1283">
        <v>200</v>
      </c>
      <c r="D1283">
        <v>3</v>
      </c>
      <c r="E1283">
        <v>0</v>
      </c>
      <c r="F1283" t="s">
        <v>5114</v>
      </c>
      <c r="G1283">
        <v>664</v>
      </c>
      <c r="H1283">
        <v>64</v>
      </c>
      <c r="I1283" t="s">
        <v>140</v>
      </c>
      <c r="J1283" t="s">
        <v>5115</v>
      </c>
      <c r="K1283" t="s">
        <v>350</v>
      </c>
      <c r="L1283" t="s">
        <v>27</v>
      </c>
      <c r="M1283" t="s">
        <v>28</v>
      </c>
      <c r="N1283" t="s">
        <v>5116</v>
      </c>
      <c r="O1283" t="s">
        <v>27</v>
      </c>
      <c r="P1283" t="s">
        <v>30</v>
      </c>
      <c r="Q1283" t="s">
        <v>31</v>
      </c>
      <c r="R1283" t="s">
        <v>32</v>
      </c>
      <c r="S1283" t="s">
        <v>28</v>
      </c>
      <c r="T1283" t="s">
        <v>5117</v>
      </c>
      <c r="U1283" t="s">
        <v>5118</v>
      </c>
    </row>
    <row r="1284" spans="1:21" x14ac:dyDescent="0.25">
      <c r="A1284" t="s">
        <v>143</v>
      </c>
      <c r="B1284" t="s">
        <v>144</v>
      </c>
      <c r="C1284">
        <v>200</v>
      </c>
      <c r="D1284">
        <v>1</v>
      </c>
      <c r="E1284">
        <v>0</v>
      </c>
      <c r="F1284" t="s">
        <v>5119</v>
      </c>
      <c r="G1284">
        <v>200</v>
      </c>
      <c r="H1284">
        <v>0</v>
      </c>
      <c r="I1284" t="s">
        <v>140</v>
      </c>
      <c r="J1284" t="s">
        <v>5120</v>
      </c>
      <c r="K1284" t="s">
        <v>466</v>
      </c>
      <c r="L1284" t="s">
        <v>27</v>
      </c>
      <c r="M1284" t="s">
        <v>28</v>
      </c>
      <c r="N1284" t="s">
        <v>5116</v>
      </c>
      <c r="O1284" t="s">
        <v>27</v>
      </c>
      <c r="P1284" t="s">
        <v>30</v>
      </c>
      <c r="Q1284" t="s">
        <v>31</v>
      </c>
      <c r="R1284" t="s">
        <v>32</v>
      </c>
      <c r="S1284" t="s">
        <v>28</v>
      </c>
      <c r="T1284" t="s">
        <v>5121</v>
      </c>
      <c r="U1284" t="s">
        <v>5116</v>
      </c>
    </row>
    <row r="1285" spans="1:21" x14ac:dyDescent="0.25">
      <c r="A1285" t="s">
        <v>58</v>
      </c>
      <c r="B1285" t="s">
        <v>58</v>
      </c>
      <c r="C1285">
        <v>100</v>
      </c>
      <c r="D1285">
        <v>1</v>
      </c>
      <c r="E1285">
        <v>0</v>
      </c>
      <c r="F1285" t="s">
        <v>5122</v>
      </c>
      <c r="G1285">
        <v>200</v>
      </c>
      <c r="H1285">
        <v>0</v>
      </c>
      <c r="I1285" t="s">
        <v>140</v>
      </c>
      <c r="J1285" t="s">
        <v>5123</v>
      </c>
      <c r="K1285" t="s">
        <v>250</v>
      </c>
      <c r="L1285" t="s">
        <v>27</v>
      </c>
      <c r="M1285" t="s">
        <v>28</v>
      </c>
      <c r="N1285" t="s">
        <v>5124</v>
      </c>
      <c r="O1285" t="s">
        <v>27</v>
      </c>
      <c r="P1285" t="s">
        <v>369</v>
      </c>
      <c r="Q1285" t="s">
        <v>31</v>
      </c>
      <c r="R1285" t="s">
        <v>57</v>
      </c>
      <c r="S1285" t="s">
        <v>28</v>
      </c>
      <c r="T1285" t="s">
        <v>5125</v>
      </c>
      <c r="U1285" t="s">
        <v>5124</v>
      </c>
    </row>
    <row r="1286" spans="1:21" x14ac:dyDescent="0.25">
      <c r="A1286" t="s">
        <v>134</v>
      </c>
      <c r="B1286" t="s">
        <v>64</v>
      </c>
      <c r="C1286">
        <v>100</v>
      </c>
      <c r="D1286">
        <v>1</v>
      </c>
      <c r="E1286">
        <v>0</v>
      </c>
      <c r="F1286" t="s">
        <v>5122</v>
      </c>
      <c r="G1286">
        <v>200</v>
      </c>
      <c r="H1286">
        <v>0</v>
      </c>
      <c r="I1286" t="s">
        <v>140</v>
      </c>
      <c r="J1286" t="s">
        <v>5123</v>
      </c>
      <c r="K1286" t="s">
        <v>250</v>
      </c>
      <c r="L1286" t="s">
        <v>27</v>
      </c>
      <c r="M1286" t="s">
        <v>28</v>
      </c>
      <c r="N1286" t="s">
        <v>5124</v>
      </c>
      <c r="O1286" t="s">
        <v>27</v>
      </c>
      <c r="P1286" t="s">
        <v>369</v>
      </c>
      <c r="Q1286" t="s">
        <v>31</v>
      </c>
      <c r="R1286" t="s">
        <v>57</v>
      </c>
      <c r="S1286" t="s">
        <v>28</v>
      </c>
      <c r="T1286" t="s">
        <v>5125</v>
      </c>
      <c r="U1286" t="s">
        <v>5124</v>
      </c>
    </row>
    <row r="1287" spans="1:21" x14ac:dyDescent="0.25">
      <c r="A1287" t="s">
        <v>63</v>
      </c>
      <c r="B1287" t="s">
        <v>64</v>
      </c>
      <c r="C1287">
        <v>100</v>
      </c>
      <c r="D1287">
        <v>1</v>
      </c>
      <c r="E1287">
        <v>0</v>
      </c>
      <c r="F1287" t="s">
        <v>5126</v>
      </c>
      <c r="G1287">
        <v>200</v>
      </c>
      <c r="H1287">
        <v>0</v>
      </c>
      <c r="I1287" t="s">
        <v>140</v>
      </c>
      <c r="J1287" t="s">
        <v>5127</v>
      </c>
      <c r="K1287" t="s">
        <v>54</v>
      </c>
      <c r="L1287" t="s">
        <v>27</v>
      </c>
      <c r="M1287" t="s">
        <v>28</v>
      </c>
      <c r="N1287" t="s">
        <v>5116</v>
      </c>
      <c r="O1287" t="s">
        <v>27</v>
      </c>
      <c r="P1287" t="s">
        <v>369</v>
      </c>
      <c r="Q1287" t="s">
        <v>31</v>
      </c>
      <c r="R1287" t="s">
        <v>57</v>
      </c>
      <c r="S1287" t="s">
        <v>28</v>
      </c>
      <c r="T1287" t="s">
        <v>5128</v>
      </c>
      <c r="U1287" t="s">
        <v>5124</v>
      </c>
    </row>
    <row r="1288" spans="1:21" x14ac:dyDescent="0.25">
      <c r="A1288" t="s">
        <v>58</v>
      </c>
      <c r="B1288" t="s">
        <v>58</v>
      </c>
      <c r="C1288">
        <v>100</v>
      </c>
      <c r="D1288">
        <v>1</v>
      </c>
      <c r="E1288">
        <v>0</v>
      </c>
      <c r="F1288" t="s">
        <v>5126</v>
      </c>
      <c r="G1288">
        <v>200</v>
      </c>
      <c r="H1288">
        <v>0</v>
      </c>
      <c r="I1288" t="s">
        <v>140</v>
      </c>
      <c r="J1288" t="s">
        <v>5127</v>
      </c>
      <c r="K1288" t="s">
        <v>54</v>
      </c>
      <c r="L1288" t="s">
        <v>27</v>
      </c>
      <c r="M1288" t="s">
        <v>28</v>
      </c>
      <c r="N1288" t="s">
        <v>5116</v>
      </c>
      <c r="O1288" t="s">
        <v>27</v>
      </c>
      <c r="P1288" t="s">
        <v>369</v>
      </c>
      <c r="Q1288" t="s">
        <v>31</v>
      </c>
      <c r="R1288" t="s">
        <v>57</v>
      </c>
      <c r="S1288" t="s">
        <v>28</v>
      </c>
      <c r="T1288" t="s">
        <v>5128</v>
      </c>
      <c r="U1288" t="s">
        <v>5124</v>
      </c>
    </row>
    <row r="1289" spans="1:21" x14ac:dyDescent="0.25">
      <c r="A1289" t="s">
        <v>143</v>
      </c>
      <c r="B1289" t="s">
        <v>144</v>
      </c>
      <c r="C1289">
        <v>200</v>
      </c>
      <c r="D1289">
        <v>1</v>
      </c>
      <c r="E1289">
        <v>0</v>
      </c>
      <c r="F1289" t="s">
        <v>5129</v>
      </c>
      <c r="G1289">
        <v>200</v>
      </c>
      <c r="H1289">
        <v>0</v>
      </c>
      <c r="I1289" t="s">
        <v>140</v>
      </c>
      <c r="J1289" t="s">
        <v>5120</v>
      </c>
      <c r="K1289" t="s">
        <v>466</v>
      </c>
      <c r="L1289" t="s">
        <v>27</v>
      </c>
      <c r="M1289" t="s">
        <v>28</v>
      </c>
      <c r="N1289" t="s">
        <v>5130</v>
      </c>
      <c r="O1289" t="s">
        <v>27</v>
      </c>
      <c r="P1289" t="s">
        <v>30</v>
      </c>
      <c r="Q1289" t="s">
        <v>31</v>
      </c>
      <c r="R1289" t="s">
        <v>32</v>
      </c>
      <c r="S1289" t="s">
        <v>28</v>
      </c>
      <c r="T1289" t="s">
        <v>5131</v>
      </c>
      <c r="U1289" t="s">
        <v>5130</v>
      </c>
    </row>
    <row r="1290" spans="1:21" x14ac:dyDescent="0.25">
      <c r="A1290" t="s">
        <v>33</v>
      </c>
      <c r="B1290" t="s">
        <v>34</v>
      </c>
      <c r="C1290">
        <v>200</v>
      </c>
      <c r="D1290">
        <v>1</v>
      </c>
      <c r="E1290">
        <v>0</v>
      </c>
      <c r="F1290" t="s">
        <v>5132</v>
      </c>
      <c r="G1290">
        <v>200</v>
      </c>
      <c r="H1290">
        <v>0</v>
      </c>
      <c r="I1290" t="s">
        <v>445</v>
      </c>
      <c r="J1290" t="s">
        <v>5133</v>
      </c>
      <c r="K1290" t="s">
        <v>358</v>
      </c>
      <c r="L1290" t="s">
        <v>27</v>
      </c>
      <c r="M1290" t="s">
        <v>28</v>
      </c>
      <c r="N1290" t="s">
        <v>5134</v>
      </c>
      <c r="O1290" t="s">
        <v>27</v>
      </c>
      <c r="P1290" t="s">
        <v>39</v>
      </c>
      <c r="Q1290" t="s">
        <v>31</v>
      </c>
      <c r="R1290" t="s">
        <v>32</v>
      </c>
      <c r="S1290" t="s">
        <v>28</v>
      </c>
      <c r="T1290" t="s">
        <v>5135</v>
      </c>
      <c r="U1290" t="s">
        <v>5134</v>
      </c>
    </row>
    <row r="1291" spans="1:21" x14ac:dyDescent="0.25">
      <c r="A1291" t="s">
        <v>63</v>
      </c>
      <c r="B1291" t="s">
        <v>64</v>
      </c>
      <c r="C1291">
        <v>100</v>
      </c>
      <c r="D1291">
        <v>1</v>
      </c>
      <c r="E1291">
        <v>0</v>
      </c>
      <c r="F1291" t="s">
        <v>5136</v>
      </c>
      <c r="G1291">
        <v>200</v>
      </c>
      <c r="H1291">
        <v>0</v>
      </c>
      <c r="I1291" t="s">
        <v>140</v>
      </c>
      <c r="J1291" t="s">
        <v>5137</v>
      </c>
      <c r="K1291" t="s">
        <v>54</v>
      </c>
      <c r="L1291" t="s">
        <v>27</v>
      </c>
      <c r="M1291" t="s">
        <v>28</v>
      </c>
      <c r="N1291" t="s">
        <v>5134</v>
      </c>
      <c r="O1291" t="s">
        <v>27</v>
      </c>
      <c r="P1291" t="s">
        <v>369</v>
      </c>
      <c r="Q1291" t="s">
        <v>31</v>
      </c>
      <c r="R1291" t="s">
        <v>57</v>
      </c>
      <c r="S1291" t="s">
        <v>28</v>
      </c>
      <c r="T1291" t="s">
        <v>5138</v>
      </c>
      <c r="U1291" t="s">
        <v>5134</v>
      </c>
    </row>
    <row r="1292" spans="1:21" x14ac:dyDescent="0.25">
      <c r="A1292" t="s">
        <v>58</v>
      </c>
      <c r="B1292" t="s">
        <v>58</v>
      </c>
      <c r="C1292">
        <v>100</v>
      </c>
      <c r="D1292">
        <v>1</v>
      </c>
      <c r="E1292">
        <v>0</v>
      </c>
      <c r="F1292" t="s">
        <v>5136</v>
      </c>
      <c r="G1292">
        <v>200</v>
      </c>
      <c r="H1292">
        <v>0</v>
      </c>
      <c r="I1292" t="s">
        <v>140</v>
      </c>
      <c r="J1292" t="s">
        <v>5137</v>
      </c>
      <c r="K1292" t="s">
        <v>54</v>
      </c>
      <c r="L1292" t="s">
        <v>27</v>
      </c>
      <c r="M1292" t="s">
        <v>28</v>
      </c>
      <c r="N1292" t="s">
        <v>5134</v>
      </c>
      <c r="O1292" t="s">
        <v>27</v>
      </c>
      <c r="P1292" t="s">
        <v>369</v>
      </c>
      <c r="Q1292" t="s">
        <v>31</v>
      </c>
      <c r="R1292" t="s">
        <v>57</v>
      </c>
      <c r="S1292" t="s">
        <v>28</v>
      </c>
      <c r="T1292" t="s">
        <v>5138</v>
      </c>
      <c r="U1292" t="s">
        <v>5134</v>
      </c>
    </row>
    <row r="1293" spans="1:21" x14ac:dyDescent="0.25">
      <c r="A1293" t="s">
        <v>456</v>
      </c>
      <c r="B1293" t="s">
        <v>1178</v>
      </c>
      <c r="C1293">
        <v>97.37</v>
      </c>
      <c r="D1293">
        <v>1</v>
      </c>
      <c r="E1293">
        <v>0</v>
      </c>
      <c r="F1293" t="s">
        <v>5139</v>
      </c>
      <c r="G1293">
        <v>199.74</v>
      </c>
      <c r="H1293">
        <v>5</v>
      </c>
      <c r="I1293" t="s">
        <v>628</v>
      </c>
      <c r="J1293" t="s">
        <v>2363</v>
      </c>
      <c r="K1293" t="s">
        <v>2364</v>
      </c>
      <c r="L1293" t="s">
        <v>2365</v>
      </c>
      <c r="M1293" t="s">
        <v>2366</v>
      </c>
      <c r="N1293" t="s">
        <v>5140</v>
      </c>
      <c r="O1293" t="s">
        <v>27</v>
      </c>
      <c r="P1293" t="s">
        <v>48</v>
      </c>
      <c r="Q1293" t="s">
        <v>49</v>
      </c>
      <c r="R1293" t="s">
        <v>50</v>
      </c>
      <c r="S1293" t="s">
        <v>28</v>
      </c>
      <c r="T1293" t="s">
        <v>5141</v>
      </c>
      <c r="U1293" t="s">
        <v>5140</v>
      </c>
    </row>
    <row r="1294" spans="1:21" x14ac:dyDescent="0.25">
      <c r="A1294" t="s">
        <v>456</v>
      </c>
      <c r="B1294" t="s">
        <v>1178</v>
      </c>
      <c r="C1294">
        <v>97.37</v>
      </c>
      <c r="D1294">
        <v>1</v>
      </c>
      <c r="E1294">
        <v>0</v>
      </c>
      <c r="F1294" t="s">
        <v>5139</v>
      </c>
      <c r="G1294">
        <v>199.74</v>
      </c>
      <c r="H1294">
        <v>5</v>
      </c>
      <c r="I1294" t="s">
        <v>628</v>
      </c>
      <c r="J1294" t="s">
        <v>2363</v>
      </c>
      <c r="K1294" t="s">
        <v>2364</v>
      </c>
      <c r="L1294" t="s">
        <v>2365</v>
      </c>
      <c r="M1294" t="s">
        <v>2366</v>
      </c>
      <c r="N1294" t="s">
        <v>5140</v>
      </c>
      <c r="O1294" t="s">
        <v>27</v>
      </c>
      <c r="P1294" t="s">
        <v>48</v>
      </c>
      <c r="Q1294" t="s">
        <v>49</v>
      </c>
      <c r="R1294" t="s">
        <v>50</v>
      </c>
      <c r="S1294" t="s">
        <v>28</v>
      </c>
      <c r="T1294" t="s">
        <v>5141</v>
      </c>
      <c r="U1294" t="s">
        <v>5140</v>
      </c>
    </row>
    <row r="1295" spans="1:21" x14ac:dyDescent="0.25">
      <c r="A1295" t="s">
        <v>58</v>
      </c>
      <c r="B1295" t="s">
        <v>103</v>
      </c>
      <c r="C1295">
        <v>80.91</v>
      </c>
      <c r="D1295">
        <v>1</v>
      </c>
      <c r="E1295">
        <v>0</v>
      </c>
      <c r="F1295" t="s">
        <v>5142</v>
      </c>
      <c r="G1295">
        <v>302.45</v>
      </c>
      <c r="H1295">
        <v>24</v>
      </c>
      <c r="I1295" t="s">
        <v>105</v>
      </c>
      <c r="J1295" t="s">
        <v>5143</v>
      </c>
      <c r="K1295" t="s">
        <v>5144</v>
      </c>
      <c r="L1295" t="s">
        <v>3447</v>
      </c>
      <c r="M1295" t="s">
        <v>5145</v>
      </c>
      <c r="N1295" t="s">
        <v>5146</v>
      </c>
      <c r="O1295" t="s">
        <v>27</v>
      </c>
      <c r="P1295" t="s">
        <v>48</v>
      </c>
      <c r="Q1295" t="s">
        <v>49</v>
      </c>
      <c r="R1295" t="s">
        <v>50</v>
      </c>
      <c r="S1295" t="s">
        <v>28</v>
      </c>
      <c r="T1295" t="s">
        <v>5147</v>
      </c>
      <c r="U1295" t="s">
        <v>5146</v>
      </c>
    </row>
    <row r="1296" spans="1:21" x14ac:dyDescent="0.25">
      <c r="A1296" t="s">
        <v>58</v>
      </c>
      <c r="B1296" t="s">
        <v>103</v>
      </c>
      <c r="C1296">
        <v>80.91</v>
      </c>
      <c r="D1296">
        <v>1</v>
      </c>
      <c r="E1296">
        <v>0</v>
      </c>
      <c r="F1296" t="s">
        <v>5142</v>
      </c>
      <c r="G1296">
        <v>302.45</v>
      </c>
      <c r="H1296">
        <v>24</v>
      </c>
      <c r="I1296" t="s">
        <v>105</v>
      </c>
      <c r="J1296" t="s">
        <v>5143</v>
      </c>
      <c r="K1296" t="s">
        <v>5144</v>
      </c>
      <c r="L1296" t="s">
        <v>3447</v>
      </c>
      <c r="M1296" t="s">
        <v>5145</v>
      </c>
      <c r="N1296" t="s">
        <v>5146</v>
      </c>
      <c r="O1296" t="s">
        <v>27</v>
      </c>
      <c r="P1296" t="s">
        <v>48</v>
      </c>
      <c r="Q1296" t="s">
        <v>49</v>
      </c>
      <c r="R1296" t="s">
        <v>50</v>
      </c>
      <c r="S1296" t="s">
        <v>28</v>
      </c>
      <c r="T1296" t="s">
        <v>5147</v>
      </c>
      <c r="U1296" t="s">
        <v>5146</v>
      </c>
    </row>
    <row r="1297" spans="1:21" x14ac:dyDescent="0.25">
      <c r="A1297" t="s">
        <v>58</v>
      </c>
      <c r="B1297" t="s">
        <v>103</v>
      </c>
      <c r="C1297">
        <v>80.91</v>
      </c>
      <c r="D1297">
        <v>1</v>
      </c>
      <c r="E1297">
        <v>0</v>
      </c>
      <c r="F1297" t="s">
        <v>5142</v>
      </c>
      <c r="G1297">
        <v>302.45</v>
      </c>
      <c r="H1297">
        <v>24</v>
      </c>
      <c r="I1297" t="s">
        <v>105</v>
      </c>
      <c r="J1297" t="s">
        <v>5143</v>
      </c>
      <c r="K1297" t="s">
        <v>5144</v>
      </c>
      <c r="L1297" t="s">
        <v>3447</v>
      </c>
      <c r="M1297" t="s">
        <v>5145</v>
      </c>
      <c r="N1297" t="s">
        <v>5146</v>
      </c>
      <c r="O1297" t="s">
        <v>27</v>
      </c>
      <c r="P1297" t="s">
        <v>48</v>
      </c>
      <c r="Q1297" t="s">
        <v>49</v>
      </c>
      <c r="R1297" t="s">
        <v>50</v>
      </c>
      <c r="S1297" t="s">
        <v>28</v>
      </c>
      <c r="T1297" t="s">
        <v>5147</v>
      </c>
      <c r="U1297" t="s">
        <v>5146</v>
      </c>
    </row>
    <row r="1298" spans="1:21" x14ac:dyDescent="0.25">
      <c r="A1298" t="s">
        <v>21</v>
      </c>
      <c r="B1298" t="s">
        <v>22</v>
      </c>
      <c r="C1298">
        <v>100</v>
      </c>
      <c r="D1298">
        <v>1</v>
      </c>
      <c r="E1298">
        <v>0</v>
      </c>
      <c r="F1298" t="s">
        <v>5148</v>
      </c>
      <c r="G1298">
        <v>200</v>
      </c>
      <c r="H1298">
        <v>0</v>
      </c>
      <c r="I1298" t="s">
        <v>140</v>
      </c>
      <c r="J1298" t="s">
        <v>5149</v>
      </c>
      <c r="K1298" t="s">
        <v>247</v>
      </c>
      <c r="L1298" t="s">
        <v>27</v>
      </c>
      <c r="M1298" t="s">
        <v>28</v>
      </c>
      <c r="N1298" t="s">
        <v>5150</v>
      </c>
      <c r="O1298" t="s">
        <v>27</v>
      </c>
      <c r="P1298" t="s">
        <v>30</v>
      </c>
      <c r="Q1298" t="s">
        <v>31</v>
      </c>
      <c r="R1298" t="s">
        <v>32</v>
      </c>
      <c r="S1298" t="s">
        <v>28</v>
      </c>
      <c r="T1298" t="s">
        <v>5151</v>
      </c>
      <c r="U1298" t="s">
        <v>5152</v>
      </c>
    </row>
    <row r="1299" spans="1:21" x14ac:dyDescent="0.25">
      <c r="A1299" t="s">
        <v>134</v>
      </c>
      <c r="B1299" t="s">
        <v>64</v>
      </c>
      <c r="C1299">
        <v>100</v>
      </c>
      <c r="D1299">
        <v>1</v>
      </c>
      <c r="E1299">
        <v>0</v>
      </c>
      <c r="F1299" t="s">
        <v>5148</v>
      </c>
      <c r="G1299">
        <v>200</v>
      </c>
      <c r="H1299">
        <v>0</v>
      </c>
      <c r="I1299" t="s">
        <v>140</v>
      </c>
      <c r="J1299" t="s">
        <v>5149</v>
      </c>
      <c r="K1299" t="s">
        <v>247</v>
      </c>
      <c r="L1299" t="s">
        <v>27</v>
      </c>
      <c r="M1299" t="s">
        <v>28</v>
      </c>
      <c r="N1299" t="s">
        <v>5150</v>
      </c>
      <c r="O1299" t="s">
        <v>27</v>
      </c>
      <c r="P1299" t="s">
        <v>30</v>
      </c>
      <c r="Q1299" t="s">
        <v>31</v>
      </c>
      <c r="R1299" t="s">
        <v>32</v>
      </c>
      <c r="S1299" t="s">
        <v>28</v>
      </c>
      <c r="T1299" t="s">
        <v>5151</v>
      </c>
      <c r="U1299" t="s">
        <v>5152</v>
      </c>
    </row>
    <row r="1300" spans="1:21" x14ac:dyDescent="0.25">
      <c r="A1300" t="s">
        <v>143</v>
      </c>
      <c r="B1300" t="s">
        <v>144</v>
      </c>
      <c r="C1300">
        <v>200</v>
      </c>
      <c r="D1300">
        <v>1</v>
      </c>
      <c r="E1300">
        <v>0</v>
      </c>
      <c r="F1300" t="s">
        <v>5153</v>
      </c>
      <c r="G1300">
        <v>200</v>
      </c>
      <c r="H1300">
        <v>0</v>
      </c>
      <c r="I1300" t="s">
        <v>24</v>
      </c>
      <c r="J1300" t="s">
        <v>5154</v>
      </c>
      <c r="K1300" t="s">
        <v>771</v>
      </c>
      <c r="L1300" t="s">
        <v>27</v>
      </c>
      <c r="M1300" t="s">
        <v>28</v>
      </c>
      <c r="N1300" t="s">
        <v>5155</v>
      </c>
      <c r="O1300" t="s">
        <v>27</v>
      </c>
      <c r="P1300" t="s">
        <v>39</v>
      </c>
      <c r="Q1300" t="s">
        <v>31</v>
      </c>
      <c r="R1300" t="s">
        <v>32</v>
      </c>
      <c r="S1300" t="s">
        <v>28</v>
      </c>
      <c r="T1300" t="s">
        <v>5156</v>
      </c>
      <c r="U1300" t="s">
        <v>5155</v>
      </c>
    </row>
    <row r="1301" spans="1:21" x14ac:dyDescent="0.25">
      <c r="A1301" t="s">
        <v>143</v>
      </c>
      <c r="B1301" t="s">
        <v>144</v>
      </c>
      <c r="C1301">
        <v>200</v>
      </c>
      <c r="D1301">
        <v>1</v>
      </c>
      <c r="E1301">
        <v>0</v>
      </c>
      <c r="F1301" t="s">
        <v>5157</v>
      </c>
      <c r="G1301">
        <v>200</v>
      </c>
      <c r="H1301">
        <v>0</v>
      </c>
      <c r="I1301" t="s">
        <v>140</v>
      </c>
      <c r="J1301" t="s">
        <v>3273</v>
      </c>
      <c r="K1301" t="s">
        <v>2243</v>
      </c>
      <c r="L1301" t="s">
        <v>27</v>
      </c>
      <c r="M1301" t="s">
        <v>28</v>
      </c>
      <c r="N1301" t="s">
        <v>5158</v>
      </c>
      <c r="O1301" t="s">
        <v>27</v>
      </c>
      <c r="P1301" t="s">
        <v>30</v>
      </c>
      <c r="Q1301" t="s">
        <v>31</v>
      </c>
      <c r="R1301" t="s">
        <v>32</v>
      </c>
      <c r="S1301" t="s">
        <v>28</v>
      </c>
      <c r="T1301" t="s">
        <v>5159</v>
      </c>
      <c r="U1301" t="s">
        <v>5155</v>
      </c>
    </row>
    <row r="1302" spans="1:21" x14ac:dyDescent="0.25">
      <c r="A1302" t="s">
        <v>143</v>
      </c>
      <c r="B1302" t="s">
        <v>144</v>
      </c>
      <c r="C1302">
        <v>200</v>
      </c>
      <c r="D1302">
        <v>1</v>
      </c>
      <c r="E1302">
        <v>0</v>
      </c>
      <c r="F1302" t="s">
        <v>5160</v>
      </c>
      <c r="G1302">
        <v>200</v>
      </c>
      <c r="H1302">
        <v>0</v>
      </c>
      <c r="I1302" t="s">
        <v>140</v>
      </c>
      <c r="J1302" t="s">
        <v>5161</v>
      </c>
      <c r="K1302" t="s">
        <v>89</v>
      </c>
      <c r="L1302" t="s">
        <v>27</v>
      </c>
      <c r="M1302" t="s">
        <v>28</v>
      </c>
      <c r="N1302" t="s">
        <v>5158</v>
      </c>
      <c r="O1302" t="s">
        <v>27</v>
      </c>
      <c r="P1302" t="s">
        <v>30</v>
      </c>
      <c r="Q1302" t="s">
        <v>31</v>
      </c>
      <c r="R1302" t="s">
        <v>32</v>
      </c>
      <c r="S1302" t="s">
        <v>28</v>
      </c>
      <c r="T1302" t="s">
        <v>5162</v>
      </c>
      <c r="U1302" t="s">
        <v>5158</v>
      </c>
    </row>
    <row r="1303" spans="1:21" x14ac:dyDescent="0.25">
      <c r="A1303" t="s">
        <v>21</v>
      </c>
      <c r="B1303" t="s">
        <v>22</v>
      </c>
      <c r="C1303">
        <v>100</v>
      </c>
      <c r="D1303">
        <v>1</v>
      </c>
      <c r="E1303">
        <v>0</v>
      </c>
      <c r="F1303" t="s">
        <v>5163</v>
      </c>
      <c r="G1303">
        <v>145</v>
      </c>
      <c r="H1303">
        <v>45</v>
      </c>
      <c r="I1303" t="s">
        <v>24</v>
      </c>
      <c r="J1303" t="s">
        <v>5164</v>
      </c>
      <c r="K1303" t="s">
        <v>54</v>
      </c>
      <c r="L1303" t="s">
        <v>27</v>
      </c>
      <c r="M1303" t="s">
        <v>28</v>
      </c>
      <c r="N1303" t="s">
        <v>5165</v>
      </c>
      <c r="O1303" t="s">
        <v>27</v>
      </c>
      <c r="P1303" t="s">
        <v>39</v>
      </c>
      <c r="Q1303" t="s">
        <v>31</v>
      </c>
      <c r="R1303" t="s">
        <v>32</v>
      </c>
      <c r="S1303" t="s">
        <v>28</v>
      </c>
      <c r="T1303" t="s">
        <v>5166</v>
      </c>
      <c r="U1303" t="s">
        <v>5167</v>
      </c>
    </row>
    <row r="1304" spans="1:21" x14ac:dyDescent="0.25">
      <c r="A1304" t="s">
        <v>143</v>
      </c>
      <c r="B1304" t="s">
        <v>144</v>
      </c>
      <c r="C1304">
        <v>200</v>
      </c>
      <c r="D1304">
        <v>1</v>
      </c>
      <c r="E1304">
        <v>0</v>
      </c>
      <c r="F1304" t="s">
        <v>5168</v>
      </c>
      <c r="G1304">
        <v>200</v>
      </c>
      <c r="H1304">
        <v>0</v>
      </c>
      <c r="I1304" t="s">
        <v>140</v>
      </c>
      <c r="J1304" t="s">
        <v>5169</v>
      </c>
      <c r="K1304" t="s">
        <v>54</v>
      </c>
      <c r="L1304" t="s">
        <v>27</v>
      </c>
      <c r="M1304" t="s">
        <v>28</v>
      </c>
      <c r="N1304" t="s">
        <v>5170</v>
      </c>
      <c r="O1304" t="s">
        <v>27</v>
      </c>
      <c r="P1304" t="s">
        <v>30</v>
      </c>
      <c r="Q1304" t="s">
        <v>31</v>
      </c>
      <c r="R1304" t="s">
        <v>32</v>
      </c>
      <c r="S1304" t="s">
        <v>28</v>
      </c>
      <c r="T1304" t="s">
        <v>5171</v>
      </c>
      <c r="U1304" t="s">
        <v>5172</v>
      </c>
    </row>
    <row r="1305" spans="1:21" x14ac:dyDescent="0.25">
      <c r="A1305" t="s">
        <v>21</v>
      </c>
      <c r="B1305" t="s">
        <v>22</v>
      </c>
      <c r="C1305">
        <v>100</v>
      </c>
      <c r="D1305">
        <v>2</v>
      </c>
      <c r="E1305">
        <v>0</v>
      </c>
      <c r="F1305" t="s">
        <v>5173</v>
      </c>
      <c r="G1305">
        <v>400</v>
      </c>
      <c r="H1305">
        <v>0</v>
      </c>
      <c r="I1305" t="s">
        <v>140</v>
      </c>
      <c r="J1305" t="s">
        <v>5174</v>
      </c>
      <c r="K1305" t="s">
        <v>1107</v>
      </c>
      <c r="L1305" t="s">
        <v>27</v>
      </c>
      <c r="M1305" t="s">
        <v>28</v>
      </c>
      <c r="N1305" t="s">
        <v>5175</v>
      </c>
      <c r="O1305" t="s">
        <v>27</v>
      </c>
      <c r="P1305" t="s">
        <v>30</v>
      </c>
      <c r="Q1305" t="s">
        <v>31</v>
      </c>
      <c r="R1305" t="s">
        <v>32</v>
      </c>
      <c r="S1305" t="s">
        <v>28</v>
      </c>
      <c r="T1305" t="s">
        <v>5176</v>
      </c>
      <c r="U1305" t="s">
        <v>5177</v>
      </c>
    </row>
    <row r="1306" spans="1:21" x14ac:dyDescent="0.25">
      <c r="A1306" t="s">
        <v>134</v>
      </c>
      <c r="B1306" t="s">
        <v>64</v>
      </c>
      <c r="C1306">
        <v>100</v>
      </c>
      <c r="D1306">
        <v>1</v>
      </c>
      <c r="E1306">
        <v>0</v>
      </c>
      <c r="F1306" t="s">
        <v>5173</v>
      </c>
      <c r="G1306">
        <v>400</v>
      </c>
      <c r="H1306">
        <v>0</v>
      </c>
      <c r="I1306" t="s">
        <v>140</v>
      </c>
      <c r="J1306" t="s">
        <v>5174</v>
      </c>
      <c r="K1306" t="s">
        <v>1107</v>
      </c>
      <c r="L1306" t="s">
        <v>27</v>
      </c>
      <c r="M1306" t="s">
        <v>28</v>
      </c>
      <c r="N1306" t="s">
        <v>5175</v>
      </c>
      <c r="O1306" t="s">
        <v>27</v>
      </c>
      <c r="P1306" t="s">
        <v>30</v>
      </c>
      <c r="Q1306" t="s">
        <v>31</v>
      </c>
      <c r="R1306" t="s">
        <v>32</v>
      </c>
      <c r="S1306" t="s">
        <v>28</v>
      </c>
      <c r="T1306" t="s">
        <v>5176</v>
      </c>
      <c r="U1306" t="s">
        <v>5177</v>
      </c>
    </row>
    <row r="1307" spans="1:21" x14ac:dyDescent="0.25">
      <c r="A1307" t="s">
        <v>58</v>
      </c>
      <c r="B1307" t="s">
        <v>58</v>
      </c>
      <c r="C1307">
        <v>100</v>
      </c>
      <c r="D1307">
        <v>1</v>
      </c>
      <c r="E1307">
        <v>0</v>
      </c>
      <c r="F1307" t="s">
        <v>5173</v>
      </c>
      <c r="G1307">
        <v>400</v>
      </c>
      <c r="H1307">
        <v>0</v>
      </c>
      <c r="I1307" t="s">
        <v>140</v>
      </c>
      <c r="J1307" t="s">
        <v>5174</v>
      </c>
      <c r="K1307" t="s">
        <v>1107</v>
      </c>
      <c r="L1307" t="s">
        <v>27</v>
      </c>
      <c r="M1307" t="s">
        <v>28</v>
      </c>
      <c r="N1307" t="s">
        <v>5175</v>
      </c>
      <c r="O1307" t="s">
        <v>27</v>
      </c>
      <c r="P1307" t="s">
        <v>30</v>
      </c>
      <c r="Q1307" t="s">
        <v>31</v>
      </c>
      <c r="R1307" t="s">
        <v>32</v>
      </c>
      <c r="S1307" t="s">
        <v>28</v>
      </c>
      <c r="T1307" t="s">
        <v>5176</v>
      </c>
      <c r="U1307" t="s">
        <v>5177</v>
      </c>
    </row>
    <row r="1308" spans="1:21" x14ac:dyDescent="0.25">
      <c r="A1308" t="s">
        <v>40</v>
      </c>
      <c r="B1308" t="s">
        <v>41</v>
      </c>
      <c r="C1308">
        <v>107.22</v>
      </c>
      <c r="D1308">
        <v>1</v>
      </c>
      <c r="E1308">
        <v>0</v>
      </c>
      <c r="F1308" t="s">
        <v>5178</v>
      </c>
      <c r="G1308">
        <v>112.22</v>
      </c>
      <c r="H1308">
        <v>5</v>
      </c>
      <c r="I1308" t="s">
        <v>24</v>
      </c>
      <c r="J1308" t="s">
        <v>5179</v>
      </c>
      <c r="K1308" t="s">
        <v>5180</v>
      </c>
      <c r="L1308" t="s">
        <v>1362</v>
      </c>
      <c r="M1308" t="s">
        <v>5181</v>
      </c>
      <c r="N1308" t="s">
        <v>5182</v>
      </c>
      <c r="O1308" t="s">
        <v>27</v>
      </c>
      <c r="P1308" t="s">
        <v>48</v>
      </c>
      <c r="Q1308" t="s">
        <v>49</v>
      </c>
      <c r="R1308" t="s">
        <v>50</v>
      </c>
      <c r="S1308" t="s">
        <v>28</v>
      </c>
      <c r="T1308" t="s">
        <v>5183</v>
      </c>
      <c r="U1308" t="s">
        <v>5182</v>
      </c>
    </row>
    <row r="1309" spans="1:21" x14ac:dyDescent="0.25">
      <c r="A1309" t="s">
        <v>58</v>
      </c>
      <c r="B1309" t="s">
        <v>58</v>
      </c>
      <c r="C1309">
        <v>130</v>
      </c>
      <c r="D1309">
        <v>1</v>
      </c>
      <c r="E1309">
        <v>0</v>
      </c>
      <c r="F1309" t="s">
        <v>5184</v>
      </c>
      <c r="G1309">
        <v>128</v>
      </c>
      <c r="H1309">
        <v>0</v>
      </c>
      <c r="I1309" t="s">
        <v>445</v>
      </c>
      <c r="J1309" t="s">
        <v>3411</v>
      </c>
      <c r="K1309" t="s">
        <v>5185</v>
      </c>
      <c r="L1309" t="s">
        <v>5186</v>
      </c>
      <c r="M1309" t="s">
        <v>5187</v>
      </c>
      <c r="N1309" t="s">
        <v>5182</v>
      </c>
      <c r="O1309" t="s">
        <v>27</v>
      </c>
      <c r="P1309" t="s">
        <v>193</v>
      </c>
      <c r="Q1309" t="s">
        <v>85</v>
      </c>
      <c r="R1309" t="s">
        <v>86</v>
      </c>
      <c r="S1309" t="s">
        <v>28</v>
      </c>
      <c r="T1309" t="s">
        <v>5188</v>
      </c>
      <c r="U1309" t="s">
        <v>5182</v>
      </c>
    </row>
    <row r="1310" spans="1:21" x14ac:dyDescent="0.25">
      <c r="A1310" t="s">
        <v>70</v>
      </c>
      <c r="B1310" t="s">
        <v>70</v>
      </c>
      <c r="C1310">
        <v>350</v>
      </c>
      <c r="D1310">
        <v>1</v>
      </c>
      <c r="E1310">
        <v>0</v>
      </c>
      <c r="F1310" t="s">
        <v>5189</v>
      </c>
      <c r="G1310">
        <v>350</v>
      </c>
      <c r="H1310">
        <v>0</v>
      </c>
      <c r="I1310" t="s">
        <v>140</v>
      </c>
      <c r="J1310" t="s">
        <v>5190</v>
      </c>
      <c r="K1310" t="s">
        <v>247</v>
      </c>
      <c r="L1310" t="s">
        <v>27</v>
      </c>
      <c r="M1310" t="s">
        <v>28</v>
      </c>
      <c r="N1310" t="s">
        <v>5191</v>
      </c>
      <c r="O1310" t="s">
        <v>27</v>
      </c>
      <c r="P1310" t="s">
        <v>30</v>
      </c>
      <c r="Q1310" t="s">
        <v>31</v>
      </c>
      <c r="R1310" t="s">
        <v>32</v>
      </c>
      <c r="S1310" t="s">
        <v>28</v>
      </c>
      <c r="T1310" t="s">
        <v>5192</v>
      </c>
      <c r="U1310" t="s">
        <v>5191</v>
      </c>
    </row>
    <row r="1311" spans="1:21" x14ac:dyDescent="0.25">
      <c r="A1311" t="s">
        <v>33</v>
      </c>
      <c r="B1311" t="s">
        <v>34</v>
      </c>
      <c r="C1311">
        <v>200</v>
      </c>
      <c r="D1311">
        <v>1</v>
      </c>
      <c r="E1311">
        <v>0</v>
      </c>
      <c r="F1311" t="s">
        <v>5193</v>
      </c>
      <c r="G1311">
        <v>200</v>
      </c>
      <c r="H1311">
        <v>0</v>
      </c>
      <c r="I1311" t="s">
        <v>445</v>
      </c>
      <c r="J1311" t="s">
        <v>5194</v>
      </c>
      <c r="K1311" t="s">
        <v>37</v>
      </c>
      <c r="L1311" t="s">
        <v>27</v>
      </c>
      <c r="M1311" t="s">
        <v>28</v>
      </c>
      <c r="N1311" t="s">
        <v>5195</v>
      </c>
      <c r="O1311" t="s">
        <v>27</v>
      </c>
      <c r="P1311" t="s">
        <v>39</v>
      </c>
      <c r="Q1311" t="s">
        <v>31</v>
      </c>
      <c r="R1311" t="s">
        <v>32</v>
      </c>
      <c r="S1311" t="s">
        <v>28</v>
      </c>
      <c r="T1311" t="s">
        <v>5196</v>
      </c>
      <c r="U1311" t="s">
        <v>5195</v>
      </c>
    </row>
    <row r="1312" spans="1:21" x14ac:dyDescent="0.25">
      <c r="A1312" t="s">
        <v>58</v>
      </c>
      <c r="B1312" t="s">
        <v>103</v>
      </c>
      <c r="C1312">
        <v>80.91</v>
      </c>
      <c r="D1312">
        <v>1</v>
      </c>
      <c r="E1312">
        <v>0</v>
      </c>
      <c r="F1312" t="s">
        <v>5197</v>
      </c>
      <c r="G1312">
        <v>125.91</v>
      </c>
      <c r="H1312">
        <v>45</v>
      </c>
      <c r="I1312" t="s">
        <v>105</v>
      </c>
      <c r="J1312" t="s">
        <v>5198</v>
      </c>
      <c r="K1312" t="s">
        <v>5199</v>
      </c>
      <c r="L1312" t="s">
        <v>258</v>
      </c>
      <c r="M1312" t="s">
        <v>5200</v>
      </c>
      <c r="N1312" t="s">
        <v>5201</v>
      </c>
      <c r="O1312" t="s">
        <v>27</v>
      </c>
      <c r="P1312" t="s">
        <v>48</v>
      </c>
      <c r="Q1312" t="s">
        <v>49</v>
      </c>
      <c r="R1312" t="s">
        <v>50</v>
      </c>
      <c r="S1312" t="s">
        <v>28</v>
      </c>
      <c r="T1312" t="s">
        <v>5202</v>
      </c>
      <c r="U1312" t="s">
        <v>5203</v>
      </c>
    </row>
    <row r="1313" spans="1:21" x14ac:dyDescent="0.25">
      <c r="A1313" t="s">
        <v>456</v>
      </c>
      <c r="B1313" t="s">
        <v>1178</v>
      </c>
      <c r="C1313">
        <v>142.31</v>
      </c>
      <c r="D1313">
        <v>1</v>
      </c>
      <c r="E1313">
        <v>0</v>
      </c>
      <c r="F1313" t="s">
        <v>5204</v>
      </c>
      <c r="G1313">
        <v>187.31</v>
      </c>
      <c r="H1313">
        <v>45</v>
      </c>
      <c r="I1313" t="s">
        <v>628</v>
      </c>
      <c r="J1313" t="s">
        <v>5205</v>
      </c>
      <c r="K1313" t="s">
        <v>5206</v>
      </c>
      <c r="L1313" t="s">
        <v>4791</v>
      </c>
      <c r="M1313" t="s">
        <v>5207</v>
      </c>
      <c r="N1313" t="s">
        <v>5208</v>
      </c>
      <c r="O1313" t="s">
        <v>27</v>
      </c>
      <c r="P1313" t="s">
        <v>48</v>
      </c>
      <c r="Q1313" t="s">
        <v>49</v>
      </c>
      <c r="R1313" t="s">
        <v>50</v>
      </c>
      <c r="S1313" t="s">
        <v>28</v>
      </c>
      <c r="T1313" t="s">
        <v>5209</v>
      </c>
      <c r="U1313" t="s">
        <v>5208</v>
      </c>
    </row>
    <row r="1314" spans="1:21" x14ac:dyDescent="0.25">
      <c r="A1314" t="s">
        <v>456</v>
      </c>
      <c r="B1314" t="s">
        <v>457</v>
      </c>
      <c r="C1314">
        <v>225</v>
      </c>
      <c r="D1314">
        <v>1</v>
      </c>
      <c r="E1314">
        <v>0</v>
      </c>
      <c r="F1314" t="s">
        <v>5210</v>
      </c>
      <c r="G1314">
        <v>258</v>
      </c>
      <c r="H1314">
        <v>35</v>
      </c>
      <c r="I1314" t="s">
        <v>445</v>
      </c>
      <c r="J1314" t="s">
        <v>866</v>
      </c>
      <c r="K1314" t="s">
        <v>5211</v>
      </c>
      <c r="L1314" t="s">
        <v>5212</v>
      </c>
      <c r="M1314" t="s">
        <v>541</v>
      </c>
      <c r="N1314" t="s">
        <v>5213</v>
      </c>
      <c r="O1314" t="s">
        <v>27</v>
      </c>
      <c r="P1314" t="s">
        <v>84</v>
      </c>
      <c r="Q1314" t="s">
        <v>85</v>
      </c>
      <c r="R1314" t="s">
        <v>86</v>
      </c>
      <c r="S1314" t="s">
        <v>28</v>
      </c>
      <c r="T1314" t="s">
        <v>5214</v>
      </c>
      <c r="U1314" t="s">
        <v>5213</v>
      </c>
    </row>
    <row r="1315" spans="1:21" x14ac:dyDescent="0.25">
      <c r="A1315" t="s">
        <v>21</v>
      </c>
      <c r="B1315" t="s">
        <v>22</v>
      </c>
      <c r="C1315">
        <v>100</v>
      </c>
      <c r="D1315">
        <v>1</v>
      </c>
      <c r="E1315">
        <v>0</v>
      </c>
      <c r="F1315" t="s">
        <v>5215</v>
      </c>
      <c r="G1315">
        <v>106</v>
      </c>
      <c r="H1315">
        <v>6</v>
      </c>
      <c r="I1315" t="s">
        <v>24</v>
      </c>
      <c r="J1315" t="s">
        <v>5216</v>
      </c>
      <c r="K1315" t="s">
        <v>89</v>
      </c>
      <c r="L1315" t="s">
        <v>27</v>
      </c>
      <c r="M1315" t="s">
        <v>28</v>
      </c>
      <c r="N1315" t="s">
        <v>5217</v>
      </c>
      <c r="O1315" t="s">
        <v>27</v>
      </c>
      <c r="P1315" t="s">
        <v>39</v>
      </c>
      <c r="Q1315" t="s">
        <v>31</v>
      </c>
      <c r="R1315" t="s">
        <v>32</v>
      </c>
      <c r="S1315" t="s">
        <v>28</v>
      </c>
      <c r="T1315" t="s">
        <v>5218</v>
      </c>
      <c r="U1315" t="s">
        <v>5217</v>
      </c>
    </row>
    <row r="1316" spans="1:21" x14ac:dyDescent="0.25">
      <c r="A1316" t="s">
        <v>33</v>
      </c>
      <c r="B1316" t="s">
        <v>34</v>
      </c>
      <c r="C1316">
        <v>200</v>
      </c>
      <c r="D1316">
        <v>1</v>
      </c>
      <c r="E1316">
        <v>0</v>
      </c>
      <c r="F1316" t="s">
        <v>5219</v>
      </c>
      <c r="G1316">
        <v>200</v>
      </c>
      <c r="H1316">
        <v>0</v>
      </c>
      <c r="I1316" t="s">
        <v>445</v>
      </c>
      <c r="J1316" t="s">
        <v>5220</v>
      </c>
      <c r="K1316" t="s">
        <v>466</v>
      </c>
      <c r="L1316" t="s">
        <v>27</v>
      </c>
      <c r="M1316" t="s">
        <v>28</v>
      </c>
      <c r="N1316" t="s">
        <v>5221</v>
      </c>
      <c r="O1316" t="s">
        <v>27</v>
      </c>
      <c r="P1316" t="s">
        <v>39</v>
      </c>
      <c r="Q1316" t="s">
        <v>31</v>
      </c>
      <c r="R1316" t="s">
        <v>32</v>
      </c>
      <c r="S1316" t="s">
        <v>28</v>
      </c>
      <c r="T1316" t="s">
        <v>5222</v>
      </c>
      <c r="U1316" t="s">
        <v>5221</v>
      </c>
    </row>
    <row r="1317" spans="1:21" x14ac:dyDescent="0.25">
      <c r="A1317" t="s">
        <v>143</v>
      </c>
      <c r="B1317" t="s">
        <v>144</v>
      </c>
      <c r="C1317">
        <v>200</v>
      </c>
      <c r="D1317">
        <v>1</v>
      </c>
      <c r="E1317">
        <v>0</v>
      </c>
      <c r="F1317" t="s">
        <v>5223</v>
      </c>
      <c r="G1317">
        <v>200</v>
      </c>
      <c r="H1317">
        <v>0</v>
      </c>
      <c r="I1317" t="s">
        <v>445</v>
      </c>
      <c r="J1317" t="s">
        <v>5224</v>
      </c>
      <c r="K1317" t="s">
        <v>5225</v>
      </c>
      <c r="L1317" t="s">
        <v>27</v>
      </c>
      <c r="M1317" t="s">
        <v>28</v>
      </c>
      <c r="N1317" t="s">
        <v>5226</v>
      </c>
      <c r="O1317" t="s">
        <v>27</v>
      </c>
      <c r="P1317" t="s">
        <v>39</v>
      </c>
      <c r="Q1317" t="s">
        <v>31</v>
      </c>
      <c r="R1317" t="s">
        <v>32</v>
      </c>
      <c r="S1317" t="s">
        <v>28</v>
      </c>
      <c r="T1317" t="s">
        <v>5227</v>
      </c>
      <c r="U1317" t="s">
        <v>5226</v>
      </c>
    </row>
    <row r="1318" spans="1:21" x14ac:dyDescent="0.25">
      <c r="A1318" t="s">
        <v>456</v>
      </c>
      <c r="B1318" t="s">
        <v>1178</v>
      </c>
      <c r="C1318">
        <v>142.31</v>
      </c>
      <c r="D1318">
        <v>1</v>
      </c>
      <c r="E1318">
        <v>0</v>
      </c>
      <c r="F1318" t="s">
        <v>5228</v>
      </c>
      <c r="G1318">
        <v>147.31</v>
      </c>
      <c r="H1318">
        <v>5</v>
      </c>
      <c r="I1318" t="s">
        <v>628</v>
      </c>
      <c r="J1318" t="s">
        <v>5229</v>
      </c>
      <c r="K1318" t="s">
        <v>5230</v>
      </c>
      <c r="L1318" t="s">
        <v>555</v>
      </c>
      <c r="M1318" t="s">
        <v>5231</v>
      </c>
      <c r="N1318" t="s">
        <v>5232</v>
      </c>
      <c r="O1318" t="s">
        <v>27</v>
      </c>
      <c r="P1318" t="s">
        <v>48</v>
      </c>
      <c r="Q1318" t="s">
        <v>49</v>
      </c>
      <c r="R1318" t="s">
        <v>50</v>
      </c>
      <c r="S1318" t="s">
        <v>28</v>
      </c>
      <c r="T1318" t="s">
        <v>5233</v>
      </c>
      <c r="U1318" t="s">
        <v>5232</v>
      </c>
    </row>
    <row r="1319" spans="1:21" x14ac:dyDescent="0.25">
      <c r="A1319" t="s">
        <v>33</v>
      </c>
      <c r="B1319" t="s">
        <v>34</v>
      </c>
      <c r="C1319">
        <v>200</v>
      </c>
      <c r="D1319">
        <v>1</v>
      </c>
      <c r="E1319">
        <v>0</v>
      </c>
      <c r="F1319" t="s">
        <v>5234</v>
      </c>
      <c r="G1319">
        <v>200</v>
      </c>
      <c r="H1319">
        <v>0</v>
      </c>
      <c r="I1319" t="s">
        <v>445</v>
      </c>
      <c r="J1319" t="s">
        <v>5235</v>
      </c>
      <c r="K1319" t="s">
        <v>1797</v>
      </c>
      <c r="L1319" t="s">
        <v>27</v>
      </c>
      <c r="M1319" t="s">
        <v>28</v>
      </c>
      <c r="N1319" t="s">
        <v>5236</v>
      </c>
      <c r="O1319" t="s">
        <v>27</v>
      </c>
      <c r="P1319" t="s">
        <v>39</v>
      </c>
      <c r="Q1319" t="s">
        <v>31</v>
      </c>
      <c r="R1319" t="s">
        <v>32</v>
      </c>
      <c r="S1319" t="s">
        <v>28</v>
      </c>
      <c r="T1319" t="s">
        <v>5237</v>
      </c>
      <c r="U1319" t="s">
        <v>5236</v>
      </c>
    </row>
    <row r="1320" spans="1:21" x14ac:dyDescent="0.25">
      <c r="A1320" t="s">
        <v>456</v>
      </c>
      <c r="B1320" t="s">
        <v>457</v>
      </c>
      <c r="C1320">
        <v>225</v>
      </c>
      <c r="D1320">
        <v>1</v>
      </c>
      <c r="E1320">
        <v>0</v>
      </c>
      <c r="F1320" t="s">
        <v>5238</v>
      </c>
      <c r="G1320">
        <v>268</v>
      </c>
      <c r="H1320">
        <v>45</v>
      </c>
      <c r="I1320" t="s">
        <v>445</v>
      </c>
      <c r="J1320" t="s">
        <v>5239</v>
      </c>
      <c r="K1320" t="s">
        <v>5240</v>
      </c>
      <c r="L1320" t="s">
        <v>2024</v>
      </c>
      <c r="M1320" t="s">
        <v>5241</v>
      </c>
      <c r="N1320" t="s">
        <v>5242</v>
      </c>
      <c r="O1320" t="s">
        <v>27</v>
      </c>
      <c r="P1320" t="s">
        <v>193</v>
      </c>
      <c r="Q1320" t="s">
        <v>85</v>
      </c>
      <c r="R1320" t="s">
        <v>86</v>
      </c>
      <c r="S1320" t="s">
        <v>28</v>
      </c>
      <c r="T1320" t="s">
        <v>5243</v>
      </c>
      <c r="U1320" t="s">
        <v>5242</v>
      </c>
    </row>
    <row r="1321" spans="1:21" x14ac:dyDescent="0.25">
      <c r="A1321" t="s">
        <v>21</v>
      </c>
      <c r="B1321" t="s">
        <v>22</v>
      </c>
      <c r="C1321">
        <v>100</v>
      </c>
      <c r="D1321">
        <v>1</v>
      </c>
      <c r="E1321">
        <v>0</v>
      </c>
      <c r="F1321" t="s">
        <v>5244</v>
      </c>
      <c r="G1321">
        <v>145</v>
      </c>
      <c r="H1321">
        <v>45</v>
      </c>
      <c r="I1321" t="s">
        <v>140</v>
      </c>
      <c r="J1321" t="s">
        <v>5235</v>
      </c>
      <c r="K1321" t="s">
        <v>1797</v>
      </c>
      <c r="L1321" t="s">
        <v>27</v>
      </c>
      <c r="M1321" t="s">
        <v>28</v>
      </c>
      <c r="N1321" t="s">
        <v>5245</v>
      </c>
      <c r="O1321" t="s">
        <v>27</v>
      </c>
      <c r="P1321" t="s">
        <v>30</v>
      </c>
      <c r="Q1321" t="s">
        <v>31</v>
      </c>
      <c r="R1321" t="s">
        <v>32</v>
      </c>
      <c r="S1321" t="s">
        <v>28</v>
      </c>
      <c r="T1321" t="s">
        <v>5246</v>
      </c>
      <c r="U1321" t="s">
        <v>5245</v>
      </c>
    </row>
    <row r="1322" spans="1:21" x14ac:dyDescent="0.25">
      <c r="A1322" t="s">
        <v>21</v>
      </c>
      <c r="B1322" t="s">
        <v>22</v>
      </c>
      <c r="C1322">
        <v>100</v>
      </c>
      <c r="D1322">
        <v>1</v>
      </c>
      <c r="E1322">
        <v>0</v>
      </c>
      <c r="F1322" t="s">
        <v>5247</v>
      </c>
      <c r="G1322">
        <v>145</v>
      </c>
      <c r="H1322">
        <v>45</v>
      </c>
      <c r="I1322" t="s">
        <v>445</v>
      </c>
      <c r="J1322" t="s">
        <v>5235</v>
      </c>
      <c r="K1322" t="s">
        <v>1797</v>
      </c>
      <c r="L1322" t="s">
        <v>27</v>
      </c>
      <c r="M1322" t="s">
        <v>28</v>
      </c>
      <c r="N1322" t="s">
        <v>5248</v>
      </c>
      <c r="O1322" t="s">
        <v>27</v>
      </c>
      <c r="P1322" t="s">
        <v>39</v>
      </c>
      <c r="Q1322" t="s">
        <v>31</v>
      </c>
      <c r="R1322" t="s">
        <v>32</v>
      </c>
      <c r="S1322" t="s">
        <v>28</v>
      </c>
      <c r="T1322" t="s">
        <v>5249</v>
      </c>
      <c r="U1322" t="s">
        <v>5248</v>
      </c>
    </row>
    <row r="1323" spans="1:21" x14ac:dyDescent="0.25">
      <c r="A1323" t="s">
        <v>58</v>
      </c>
      <c r="B1323" t="s">
        <v>58</v>
      </c>
      <c r="C1323">
        <v>100</v>
      </c>
      <c r="D1323">
        <v>2</v>
      </c>
      <c r="E1323">
        <v>0</v>
      </c>
      <c r="F1323" t="s">
        <v>5250</v>
      </c>
      <c r="G1323">
        <v>200</v>
      </c>
      <c r="H1323">
        <v>0</v>
      </c>
      <c r="I1323" t="s">
        <v>24</v>
      </c>
      <c r="J1323" t="s">
        <v>5251</v>
      </c>
      <c r="K1323" t="s">
        <v>797</v>
      </c>
      <c r="L1323" t="s">
        <v>27</v>
      </c>
      <c r="M1323" t="s">
        <v>28</v>
      </c>
      <c r="N1323" t="s">
        <v>5252</v>
      </c>
      <c r="O1323" t="s">
        <v>27</v>
      </c>
      <c r="P1323" t="s">
        <v>56</v>
      </c>
      <c r="Q1323" t="s">
        <v>31</v>
      </c>
      <c r="R1323" t="s">
        <v>57</v>
      </c>
      <c r="S1323" t="s">
        <v>28</v>
      </c>
      <c r="T1323" t="s">
        <v>5253</v>
      </c>
      <c r="U1323" t="s">
        <v>5252</v>
      </c>
    </row>
    <row r="1324" spans="1:21" x14ac:dyDescent="0.25">
      <c r="A1324" t="s">
        <v>63</v>
      </c>
      <c r="B1324" t="s">
        <v>64</v>
      </c>
      <c r="C1324">
        <v>100</v>
      </c>
      <c r="D1324">
        <v>3</v>
      </c>
      <c r="E1324">
        <v>0</v>
      </c>
      <c r="F1324" t="s">
        <v>5254</v>
      </c>
      <c r="G1324">
        <v>300</v>
      </c>
      <c r="H1324">
        <v>0</v>
      </c>
      <c r="I1324" t="s">
        <v>24</v>
      </c>
      <c r="J1324" t="s">
        <v>5255</v>
      </c>
      <c r="K1324" t="s">
        <v>797</v>
      </c>
      <c r="L1324" t="s">
        <v>27</v>
      </c>
      <c r="M1324" t="s">
        <v>28</v>
      </c>
      <c r="N1324" t="s">
        <v>5256</v>
      </c>
      <c r="O1324" t="s">
        <v>27</v>
      </c>
      <c r="P1324" t="s">
        <v>39</v>
      </c>
      <c r="Q1324" t="s">
        <v>31</v>
      </c>
      <c r="R1324" t="s">
        <v>32</v>
      </c>
      <c r="S1324" t="s">
        <v>28</v>
      </c>
      <c r="T1324" t="s">
        <v>5257</v>
      </c>
      <c r="U1324" t="s">
        <v>5256</v>
      </c>
    </row>
    <row r="1325" spans="1:21" x14ac:dyDescent="0.25">
      <c r="A1325" t="s">
        <v>456</v>
      </c>
      <c r="B1325" t="s">
        <v>457</v>
      </c>
      <c r="C1325">
        <v>225</v>
      </c>
      <c r="D1325">
        <v>1</v>
      </c>
      <c r="E1325">
        <v>0</v>
      </c>
      <c r="F1325" t="s">
        <v>5258</v>
      </c>
      <c r="G1325">
        <v>225</v>
      </c>
      <c r="H1325">
        <v>0</v>
      </c>
      <c r="I1325" t="s">
        <v>445</v>
      </c>
      <c r="J1325" t="s">
        <v>5259</v>
      </c>
      <c r="K1325" t="s">
        <v>5260</v>
      </c>
      <c r="L1325" t="s">
        <v>5261</v>
      </c>
      <c r="M1325" t="s">
        <v>4870</v>
      </c>
      <c r="N1325" t="s">
        <v>5262</v>
      </c>
      <c r="O1325" t="s">
        <v>27</v>
      </c>
      <c r="P1325" t="s">
        <v>193</v>
      </c>
      <c r="Q1325" t="s">
        <v>85</v>
      </c>
      <c r="R1325" t="s">
        <v>86</v>
      </c>
      <c r="S1325" t="s">
        <v>28</v>
      </c>
      <c r="T1325" t="s">
        <v>5263</v>
      </c>
      <c r="U1325" t="s">
        <v>5262</v>
      </c>
    </row>
    <row r="1326" spans="1:21" x14ac:dyDescent="0.25">
      <c r="A1326" t="s">
        <v>21</v>
      </c>
      <c r="B1326" t="s">
        <v>22</v>
      </c>
      <c r="C1326">
        <v>100</v>
      </c>
      <c r="D1326">
        <v>1</v>
      </c>
      <c r="E1326">
        <v>0</v>
      </c>
      <c r="F1326" t="s">
        <v>5264</v>
      </c>
      <c r="G1326">
        <v>106</v>
      </c>
      <c r="H1326">
        <v>6</v>
      </c>
      <c r="I1326" t="s">
        <v>24</v>
      </c>
      <c r="J1326" t="s">
        <v>5265</v>
      </c>
      <c r="K1326" t="s">
        <v>1029</v>
      </c>
      <c r="L1326" t="s">
        <v>27</v>
      </c>
      <c r="M1326" t="s">
        <v>28</v>
      </c>
      <c r="N1326" t="s">
        <v>5266</v>
      </c>
      <c r="O1326" t="s">
        <v>27</v>
      </c>
      <c r="P1326" t="s">
        <v>39</v>
      </c>
      <c r="Q1326" t="s">
        <v>31</v>
      </c>
      <c r="R1326" t="s">
        <v>32</v>
      </c>
      <c r="S1326" t="s">
        <v>28</v>
      </c>
      <c r="T1326" t="s">
        <v>5267</v>
      </c>
      <c r="U1326" t="s">
        <v>5268</v>
      </c>
    </row>
    <row r="1327" spans="1:21" x14ac:dyDescent="0.25">
      <c r="A1327" t="s">
        <v>635</v>
      </c>
      <c r="B1327" t="s">
        <v>714</v>
      </c>
      <c r="C1327">
        <v>436.75</v>
      </c>
      <c r="D1327">
        <v>1</v>
      </c>
      <c r="E1327">
        <v>0</v>
      </c>
      <c r="F1327" t="s">
        <v>5269</v>
      </c>
      <c r="G1327">
        <v>902.49</v>
      </c>
      <c r="H1327">
        <v>29</v>
      </c>
      <c r="I1327" t="s">
        <v>628</v>
      </c>
      <c r="J1327" t="s">
        <v>5270</v>
      </c>
      <c r="K1327" t="s">
        <v>5271</v>
      </c>
      <c r="L1327" t="s">
        <v>1397</v>
      </c>
      <c r="M1327" t="s">
        <v>5272</v>
      </c>
      <c r="N1327" t="s">
        <v>5273</v>
      </c>
      <c r="O1327" t="s">
        <v>27</v>
      </c>
      <c r="P1327" t="s">
        <v>48</v>
      </c>
      <c r="Q1327" t="s">
        <v>49</v>
      </c>
      <c r="R1327" t="s">
        <v>50</v>
      </c>
      <c r="S1327" t="s">
        <v>28</v>
      </c>
      <c r="T1327" t="s">
        <v>5274</v>
      </c>
      <c r="U1327" t="s">
        <v>5273</v>
      </c>
    </row>
    <row r="1328" spans="1:21" x14ac:dyDescent="0.25">
      <c r="A1328" t="s">
        <v>635</v>
      </c>
      <c r="B1328" t="s">
        <v>714</v>
      </c>
      <c r="C1328">
        <v>436.74</v>
      </c>
      <c r="D1328">
        <v>1</v>
      </c>
      <c r="E1328">
        <v>0</v>
      </c>
      <c r="F1328" t="s">
        <v>5269</v>
      </c>
      <c r="G1328">
        <v>902.49</v>
      </c>
      <c r="H1328">
        <v>29</v>
      </c>
      <c r="I1328" t="s">
        <v>628</v>
      </c>
      <c r="J1328" t="s">
        <v>5270</v>
      </c>
      <c r="K1328" t="s">
        <v>5271</v>
      </c>
      <c r="L1328" t="s">
        <v>1397</v>
      </c>
      <c r="M1328" t="s">
        <v>5272</v>
      </c>
      <c r="N1328" t="s">
        <v>5273</v>
      </c>
      <c r="O1328" t="s">
        <v>27</v>
      </c>
      <c r="P1328" t="s">
        <v>48</v>
      </c>
      <c r="Q1328" t="s">
        <v>49</v>
      </c>
      <c r="R1328" t="s">
        <v>50</v>
      </c>
      <c r="S1328" t="s">
        <v>28</v>
      </c>
      <c r="T1328" t="s">
        <v>5274</v>
      </c>
      <c r="U1328" t="s">
        <v>5273</v>
      </c>
    </row>
    <row r="1329" spans="1:21" x14ac:dyDescent="0.25">
      <c r="A1329" t="s">
        <v>456</v>
      </c>
      <c r="B1329" t="s">
        <v>1178</v>
      </c>
      <c r="C1329">
        <v>8.33</v>
      </c>
      <c r="D1329">
        <v>1</v>
      </c>
      <c r="E1329">
        <v>0</v>
      </c>
      <c r="F1329" t="s">
        <v>5275</v>
      </c>
      <c r="G1329">
        <v>8.33</v>
      </c>
      <c r="H1329">
        <v>0</v>
      </c>
      <c r="I1329" t="s">
        <v>628</v>
      </c>
      <c r="J1329" t="s">
        <v>5276</v>
      </c>
      <c r="K1329" t="s">
        <v>5277</v>
      </c>
      <c r="L1329" t="s">
        <v>5278</v>
      </c>
      <c r="M1329" t="s">
        <v>5279</v>
      </c>
      <c r="N1329" t="s">
        <v>5280</v>
      </c>
      <c r="O1329" t="s">
        <v>27</v>
      </c>
      <c r="P1329" t="s">
        <v>48</v>
      </c>
      <c r="Q1329" t="s">
        <v>49</v>
      </c>
      <c r="R1329" t="s">
        <v>50</v>
      </c>
      <c r="S1329" t="s">
        <v>28</v>
      </c>
      <c r="T1329" t="s">
        <v>5281</v>
      </c>
      <c r="U1329" t="s">
        <v>5280</v>
      </c>
    </row>
    <row r="1330" spans="1:21" x14ac:dyDescent="0.25">
      <c r="A1330" t="s">
        <v>33</v>
      </c>
      <c r="B1330" t="s">
        <v>34</v>
      </c>
      <c r="C1330">
        <v>200</v>
      </c>
      <c r="D1330">
        <v>1</v>
      </c>
      <c r="E1330">
        <v>0</v>
      </c>
      <c r="F1330" t="s">
        <v>5282</v>
      </c>
      <c r="G1330">
        <v>200</v>
      </c>
      <c r="H1330">
        <v>0</v>
      </c>
      <c r="I1330" t="s">
        <v>24</v>
      </c>
      <c r="J1330" t="s">
        <v>5283</v>
      </c>
      <c r="K1330" t="s">
        <v>273</v>
      </c>
      <c r="L1330" t="s">
        <v>27</v>
      </c>
      <c r="M1330" t="s">
        <v>28</v>
      </c>
      <c r="N1330" t="s">
        <v>5284</v>
      </c>
      <c r="O1330" t="s">
        <v>27</v>
      </c>
      <c r="P1330" t="s">
        <v>39</v>
      </c>
      <c r="Q1330" t="s">
        <v>31</v>
      </c>
      <c r="R1330" t="s">
        <v>32</v>
      </c>
      <c r="S1330" t="s">
        <v>28</v>
      </c>
      <c r="T1330" t="s">
        <v>5285</v>
      </c>
      <c r="U1330" t="s">
        <v>5284</v>
      </c>
    </row>
    <row r="1331" spans="1:21" x14ac:dyDescent="0.25">
      <c r="A1331" t="s">
        <v>2307</v>
      </c>
      <c r="B1331" t="s">
        <v>2308</v>
      </c>
      <c r="C1331">
        <v>400</v>
      </c>
      <c r="D1331">
        <v>1</v>
      </c>
      <c r="E1331">
        <v>0</v>
      </c>
      <c r="F1331" t="s">
        <v>5286</v>
      </c>
      <c r="G1331">
        <v>400</v>
      </c>
      <c r="H1331">
        <v>0</v>
      </c>
      <c r="I1331" t="s">
        <v>445</v>
      </c>
      <c r="J1331" t="s">
        <v>5287</v>
      </c>
      <c r="K1331" t="s">
        <v>67</v>
      </c>
      <c r="L1331" t="s">
        <v>27</v>
      </c>
      <c r="M1331" t="s">
        <v>28</v>
      </c>
      <c r="N1331" t="s">
        <v>5288</v>
      </c>
      <c r="O1331" t="s">
        <v>27</v>
      </c>
      <c r="P1331" t="s">
        <v>39</v>
      </c>
      <c r="Q1331" t="s">
        <v>31</v>
      </c>
      <c r="R1331" t="s">
        <v>32</v>
      </c>
      <c r="S1331" t="s">
        <v>28</v>
      </c>
      <c r="T1331" t="s">
        <v>5289</v>
      </c>
      <c r="U1331" t="s">
        <v>5288</v>
      </c>
    </row>
    <row r="1332" spans="1:21" x14ac:dyDescent="0.25">
      <c r="A1332" t="s">
        <v>21</v>
      </c>
      <c r="B1332" t="s">
        <v>22</v>
      </c>
      <c r="C1332">
        <v>100</v>
      </c>
      <c r="D1332">
        <v>1</v>
      </c>
      <c r="E1332">
        <v>0</v>
      </c>
      <c r="F1332" t="s">
        <v>5290</v>
      </c>
      <c r="G1332">
        <v>106</v>
      </c>
      <c r="H1332">
        <v>6</v>
      </c>
      <c r="I1332" t="s">
        <v>445</v>
      </c>
      <c r="J1332" t="s">
        <v>5291</v>
      </c>
      <c r="K1332" t="s">
        <v>3150</v>
      </c>
      <c r="L1332" t="s">
        <v>27</v>
      </c>
      <c r="M1332" t="s">
        <v>28</v>
      </c>
      <c r="N1332" t="s">
        <v>5292</v>
      </c>
      <c r="O1332" t="s">
        <v>27</v>
      </c>
      <c r="P1332" t="s">
        <v>56</v>
      </c>
      <c r="Q1332" t="s">
        <v>31</v>
      </c>
      <c r="R1332" t="s">
        <v>57</v>
      </c>
      <c r="S1332" t="s">
        <v>28</v>
      </c>
      <c r="T1332" t="s">
        <v>5293</v>
      </c>
      <c r="U1332" t="s">
        <v>5294</v>
      </c>
    </row>
    <row r="1333" spans="1:21" x14ac:dyDescent="0.25">
      <c r="A1333" t="s">
        <v>63</v>
      </c>
      <c r="B1333" t="s">
        <v>64</v>
      </c>
      <c r="C1333">
        <v>100</v>
      </c>
      <c r="D1333">
        <v>1</v>
      </c>
      <c r="E1333">
        <v>0</v>
      </c>
      <c r="F1333" t="s">
        <v>5295</v>
      </c>
      <c r="G1333">
        <v>106</v>
      </c>
      <c r="H1333">
        <v>6</v>
      </c>
      <c r="I1333" t="s">
        <v>24</v>
      </c>
      <c r="J1333" t="s">
        <v>5296</v>
      </c>
      <c r="K1333" t="s">
        <v>1198</v>
      </c>
      <c r="L1333" t="s">
        <v>27</v>
      </c>
      <c r="M1333" t="s">
        <v>28</v>
      </c>
      <c r="N1333" t="s">
        <v>5297</v>
      </c>
      <c r="O1333" t="s">
        <v>27</v>
      </c>
      <c r="P1333" t="s">
        <v>39</v>
      </c>
      <c r="Q1333" t="s">
        <v>31</v>
      </c>
      <c r="R1333" t="s">
        <v>32</v>
      </c>
      <c r="S1333" t="s">
        <v>28</v>
      </c>
      <c r="T1333" t="s">
        <v>5298</v>
      </c>
      <c r="U1333" t="s">
        <v>5297</v>
      </c>
    </row>
    <row r="1334" spans="1:21" x14ac:dyDescent="0.25">
      <c r="A1334" t="s">
        <v>134</v>
      </c>
      <c r="B1334" t="s">
        <v>64</v>
      </c>
      <c r="C1334">
        <v>100</v>
      </c>
      <c r="D1334">
        <v>1</v>
      </c>
      <c r="E1334">
        <v>0</v>
      </c>
      <c r="F1334" t="s">
        <v>5299</v>
      </c>
      <c r="G1334">
        <v>200</v>
      </c>
      <c r="H1334">
        <v>0</v>
      </c>
      <c r="I1334" t="s">
        <v>140</v>
      </c>
      <c r="J1334" t="s">
        <v>5300</v>
      </c>
      <c r="K1334" t="s">
        <v>273</v>
      </c>
      <c r="L1334" t="s">
        <v>27</v>
      </c>
      <c r="M1334" t="s">
        <v>28</v>
      </c>
      <c r="N1334" t="s">
        <v>5301</v>
      </c>
      <c r="O1334" t="s">
        <v>27</v>
      </c>
      <c r="P1334" t="s">
        <v>30</v>
      </c>
      <c r="Q1334" t="s">
        <v>31</v>
      </c>
      <c r="R1334" t="s">
        <v>32</v>
      </c>
      <c r="S1334" t="s">
        <v>28</v>
      </c>
      <c r="T1334" t="s">
        <v>5302</v>
      </c>
      <c r="U1334" t="s">
        <v>5301</v>
      </c>
    </row>
    <row r="1335" spans="1:21" x14ac:dyDescent="0.25">
      <c r="A1335" t="s">
        <v>21</v>
      </c>
      <c r="B1335" t="s">
        <v>22</v>
      </c>
      <c r="C1335">
        <v>100</v>
      </c>
      <c r="D1335">
        <v>1</v>
      </c>
      <c r="E1335">
        <v>0</v>
      </c>
      <c r="F1335" t="s">
        <v>5299</v>
      </c>
      <c r="G1335">
        <v>200</v>
      </c>
      <c r="H1335">
        <v>0</v>
      </c>
      <c r="I1335" t="s">
        <v>140</v>
      </c>
      <c r="J1335" t="s">
        <v>5300</v>
      </c>
      <c r="K1335" t="s">
        <v>273</v>
      </c>
      <c r="L1335" t="s">
        <v>27</v>
      </c>
      <c r="M1335" t="s">
        <v>28</v>
      </c>
      <c r="N1335" t="s">
        <v>5301</v>
      </c>
      <c r="O1335" t="s">
        <v>27</v>
      </c>
      <c r="P1335" t="s">
        <v>30</v>
      </c>
      <c r="Q1335" t="s">
        <v>31</v>
      </c>
      <c r="R1335" t="s">
        <v>32</v>
      </c>
      <c r="S1335" t="s">
        <v>28</v>
      </c>
      <c r="T1335" t="s">
        <v>5302</v>
      </c>
      <c r="U1335" t="s">
        <v>5301</v>
      </c>
    </row>
    <row r="1336" spans="1:21" x14ac:dyDescent="0.25">
      <c r="A1336" t="s">
        <v>143</v>
      </c>
      <c r="B1336" t="s">
        <v>144</v>
      </c>
      <c r="C1336">
        <v>200</v>
      </c>
      <c r="D1336">
        <v>1</v>
      </c>
      <c r="E1336">
        <v>0</v>
      </c>
      <c r="F1336" t="s">
        <v>5303</v>
      </c>
      <c r="G1336">
        <v>200</v>
      </c>
      <c r="H1336">
        <v>0</v>
      </c>
      <c r="I1336" t="s">
        <v>24</v>
      </c>
      <c r="J1336" t="s">
        <v>5304</v>
      </c>
      <c r="K1336" t="s">
        <v>67</v>
      </c>
      <c r="L1336" t="s">
        <v>27</v>
      </c>
      <c r="M1336" t="s">
        <v>28</v>
      </c>
      <c r="N1336" t="s">
        <v>5305</v>
      </c>
      <c r="O1336" t="s">
        <v>27</v>
      </c>
      <c r="P1336" t="s">
        <v>39</v>
      </c>
      <c r="Q1336" t="s">
        <v>31</v>
      </c>
      <c r="R1336" t="s">
        <v>32</v>
      </c>
      <c r="S1336" t="s">
        <v>28</v>
      </c>
      <c r="T1336" t="s">
        <v>5306</v>
      </c>
      <c r="U1336" t="s">
        <v>5305</v>
      </c>
    </row>
    <row r="1337" spans="1:21" x14ac:dyDescent="0.25">
      <c r="A1337" t="s">
        <v>143</v>
      </c>
      <c r="B1337" t="s">
        <v>144</v>
      </c>
      <c r="C1337">
        <v>200</v>
      </c>
      <c r="D1337">
        <v>1</v>
      </c>
      <c r="E1337">
        <v>0</v>
      </c>
      <c r="F1337" t="s">
        <v>5307</v>
      </c>
      <c r="G1337">
        <v>200</v>
      </c>
      <c r="H1337">
        <v>0</v>
      </c>
      <c r="I1337" t="s">
        <v>140</v>
      </c>
      <c r="J1337" t="s">
        <v>5308</v>
      </c>
      <c r="K1337" t="s">
        <v>209</v>
      </c>
      <c r="L1337" t="s">
        <v>27</v>
      </c>
      <c r="M1337" t="s">
        <v>28</v>
      </c>
      <c r="N1337" t="s">
        <v>5309</v>
      </c>
      <c r="O1337" t="s">
        <v>27</v>
      </c>
      <c r="P1337" t="s">
        <v>369</v>
      </c>
      <c r="Q1337" t="s">
        <v>31</v>
      </c>
      <c r="R1337" t="s">
        <v>57</v>
      </c>
      <c r="S1337" t="s">
        <v>28</v>
      </c>
      <c r="T1337" t="s">
        <v>5310</v>
      </c>
      <c r="U1337" t="s">
        <v>5311</v>
      </c>
    </row>
    <row r="1338" spans="1:21" x14ac:dyDescent="0.25">
      <c r="A1338" t="s">
        <v>58</v>
      </c>
      <c r="B1338" t="s">
        <v>58</v>
      </c>
      <c r="C1338">
        <v>150</v>
      </c>
      <c r="D1338">
        <v>1</v>
      </c>
      <c r="E1338">
        <v>0</v>
      </c>
      <c r="F1338" t="s">
        <v>5312</v>
      </c>
      <c r="G1338">
        <v>466</v>
      </c>
      <c r="H1338">
        <v>42</v>
      </c>
      <c r="I1338" t="s">
        <v>24</v>
      </c>
      <c r="J1338" t="s">
        <v>5313</v>
      </c>
      <c r="K1338" t="s">
        <v>5314</v>
      </c>
      <c r="L1338" t="s">
        <v>5315</v>
      </c>
      <c r="M1338" t="s">
        <v>2411</v>
      </c>
      <c r="N1338" t="s">
        <v>5316</v>
      </c>
      <c r="O1338" t="s">
        <v>27</v>
      </c>
      <c r="P1338" t="s">
        <v>193</v>
      </c>
      <c r="Q1338" t="s">
        <v>85</v>
      </c>
      <c r="R1338" t="s">
        <v>86</v>
      </c>
      <c r="S1338" t="s">
        <v>28</v>
      </c>
      <c r="T1338" t="s">
        <v>5317</v>
      </c>
      <c r="U1338" t="s">
        <v>5316</v>
      </c>
    </row>
    <row r="1339" spans="1:21" x14ac:dyDescent="0.25">
      <c r="A1339" t="s">
        <v>21</v>
      </c>
      <c r="B1339" t="s">
        <v>22</v>
      </c>
      <c r="C1339">
        <v>100</v>
      </c>
      <c r="D1339">
        <v>1</v>
      </c>
      <c r="E1339">
        <v>0</v>
      </c>
      <c r="F1339" t="s">
        <v>5318</v>
      </c>
      <c r="G1339">
        <v>106</v>
      </c>
      <c r="H1339">
        <v>6</v>
      </c>
      <c r="I1339" t="s">
        <v>445</v>
      </c>
      <c r="J1339" t="s">
        <v>5319</v>
      </c>
      <c r="K1339" t="s">
        <v>834</v>
      </c>
      <c r="L1339" t="s">
        <v>27</v>
      </c>
      <c r="M1339" t="s">
        <v>28</v>
      </c>
      <c r="N1339" t="s">
        <v>5320</v>
      </c>
      <c r="O1339" t="s">
        <v>27</v>
      </c>
      <c r="P1339" t="s">
        <v>39</v>
      </c>
      <c r="Q1339" t="s">
        <v>31</v>
      </c>
      <c r="R1339" t="s">
        <v>32</v>
      </c>
      <c r="S1339" t="s">
        <v>28</v>
      </c>
      <c r="T1339" t="s">
        <v>5321</v>
      </c>
      <c r="U1339" t="s">
        <v>5320</v>
      </c>
    </row>
    <row r="1340" spans="1:21" x14ac:dyDescent="0.25">
      <c r="A1340" t="s">
        <v>456</v>
      </c>
      <c r="B1340" t="s">
        <v>457</v>
      </c>
      <c r="C1340">
        <v>225</v>
      </c>
      <c r="D1340">
        <v>1</v>
      </c>
      <c r="E1340">
        <v>0</v>
      </c>
      <c r="F1340" t="s">
        <v>5322</v>
      </c>
      <c r="G1340">
        <v>270</v>
      </c>
      <c r="H1340">
        <v>45</v>
      </c>
      <c r="I1340" t="s">
        <v>445</v>
      </c>
      <c r="J1340" t="s">
        <v>5323</v>
      </c>
      <c r="K1340" t="s">
        <v>5324</v>
      </c>
      <c r="L1340" t="s">
        <v>5325</v>
      </c>
      <c r="M1340" t="s">
        <v>5326</v>
      </c>
      <c r="N1340" t="s">
        <v>5327</v>
      </c>
      <c r="O1340" t="s">
        <v>27</v>
      </c>
      <c r="P1340" t="s">
        <v>84</v>
      </c>
      <c r="Q1340" t="s">
        <v>85</v>
      </c>
      <c r="R1340" t="s">
        <v>86</v>
      </c>
      <c r="S1340" t="s">
        <v>28</v>
      </c>
      <c r="T1340" t="s">
        <v>5328</v>
      </c>
      <c r="U1340" t="s">
        <v>5320</v>
      </c>
    </row>
    <row r="1341" spans="1:21" x14ac:dyDescent="0.25">
      <c r="A1341" t="s">
        <v>143</v>
      </c>
      <c r="B1341" t="s">
        <v>144</v>
      </c>
      <c r="C1341">
        <v>200</v>
      </c>
      <c r="D1341">
        <v>1</v>
      </c>
      <c r="E1341">
        <v>0</v>
      </c>
      <c r="F1341" t="s">
        <v>5329</v>
      </c>
      <c r="G1341">
        <v>200</v>
      </c>
      <c r="H1341">
        <v>0</v>
      </c>
      <c r="I1341" t="s">
        <v>140</v>
      </c>
      <c r="J1341" t="s">
        <v>5330</v>
      </c>
      <c r="K1341" t="s">
        <v>89</v>
      </c>
      <c r="L1341" t="s">
        <v>27</v>
      </c>
      <c r="M1341" t="s">
        <v>28</v>
      </c>
      <c r="N1341" t="s">
        <v>5331</v>
      </c>
      <c r="O1341" t="s">
        <v>27</v>
      </c>
      <c r="P1341" t="s">
        <v>30</v>
      </c>
      <c r="Q1341" t="s">
        <v>31</v>
      </c>
      <c r="R1341" t="s">
        <v>32</v>
      </c>
      <c r="S1341" t="s">
        <v>28</v>
      </c>
      <c r="T1341" t="s">
        <v>5332</v>
      </c>
      <c r="U1341" t="s">
        <v>5331</v>
      </c>
    </row>
    <row r="1342" spans="1:21" x14ac:dyDescent="0.25">
      <c r="A1342" t="s">
        <v>134</v>
      </c>
      <c r="B1342" t="s">
        <v>64</v>
      </c>
      <c r="C1342">
        <v>100</v>
      </c>
      <c r="D1342">
        <v>1</v>
      </c>
      <c r="E1342">
        <v>0</v>
      </c>
      <c r="F1342" t="s">
        <v>5333</v>
      </c>
      <c r="G1342">
        <v>106</v>
      </c>
      <c r="H1342">
        <v>6</v>
      </c>
      <c r="I1342" t="s">
        <v>24</v>
      </c>
      <c r="J1342" t="s">
        <v>5334</v>
      </c>
      <c r="K1342" t="s">
        <v>137</v>
      </c>
      <c r="L1342" t="s">
        <v>27</v>
      </c>
      <c r="M1342" t="s">
        <v>28</v>
      </c>
      <c r="N1342" t="s">
        <v>5331</v>
      </c>
      <c r="O1342" t="s">
        <v>27</v>
      </c>
      <c r="P1342" t="s">
        <v>39</v>
      </c>
      <c r="Q1342" t="s">
        <v>31</v>
      </c>
      <c r="R1342" t="s">
        <v>32</v>
      </c>
      <c r="S1342" t="s">
        <v>28</v>
      </c>
      <c r="T1342" t="s">
        <v>5335</v>
      </c>
      <c r="U1342" t="s">
        <v>5331</v>
      </c>
    </row>
    <row r="1343" spans="1:21" x14ac:dyDescent="0.25">
      <c r="A1343" t="s">
        <v>456</v>
      </c>
      <c r="B1343" t="s">
        <v>1178</v>
      </c>
      <c r="C1343">
        <v>142.31</v>
      </c>
      <c r="D1343">
        <v>1</v>
      </c>
      <c r="E1343">
        <v>0</v>
      </c>
      <c r="F1343" t="s">
        <v>5336</v>
      </c>
      <c r="G1343">
        <v>147.31</v>
      </c>
      <c r="H1343">
        <v>5</v>
      </c>
      <c r="I1343" t="s">
        <v>628</v>
      </c>
      <c r="J1343" t="s">
        <v>5337</v>
      </c>
      <c r="K1343" t="s">
        <v>5338</v>
      </c>
      <c r="L1343" t="s">
        <v>1730</v>
      </c>
      <c r="M1343" t="s">
        <v>5339</v>
      </c>
      <c r="N1343" t="s">
        <v>5340</v>
      </c>
      <c r="O1343" t="s">
        <v>27</v>
      </c>
      <c r="P1343" t="s">
        <v>48</v>
      </c>
      <c r="Q1343" t="s">
        <v>49</v>
      </c>
      <c r="R1343" t="s">
        <v>50</v>
      </c>
      <c r="S1343" t="s">
        <v>28</v>
      </c>
      <c r="T1343" t="s">
        <v>5341</v>
      </c>
      <c r="U1343" t="s">
        <v>5340</v>
      </c>
    </row>
    <row r="1344" spans="1:21" x14ac:dyDescent="0.25">
      <c r="A1344" t="s">
        <v>33</v>
      </c>
      <c r="B1344" t="s">
        <v>34</v>
      </c>
      <c r="C1344">
        <v>200</v>
      </c>
      <c r="D1344">
        <v>1</v>
      </c>
      <c r="E1344">
        <v>0</v>
      </c>
      <c r="F1344" t="s">
        <v>5342</v>
      </c>
      <c r="G1344">
        <v>200</v>
      </c>
      <c r="H1344">
        <v>0</v>
      </c>
      <c r="I1344" t="s">
        <v>445</v>
      </c>
      <c r="J1344" t="s">
        <v>3939</v>
      </c>
      <c r="K1344" t="s">
        <v>474</v>
      </c>
      <c r="L1344" t="s">
        <v>27</v>
      </c>
      <c r="M1344" t="s">
        <v>28</v>
      </c>
      <c r="N1344" t="s">
        <v>5343</v>
      </c>
      <c r="O1344" t="s">
        <v>27</v>
      </c>
      <c r="P1344" t="s">
        <v>39</v>
      </c>
      <c r="Q1344" t="s">
        <v>31</v>
      </c>
      <c r="R1344" t="s">
        <v>32</v>
      </c>
      <c r="S1344" t="s">
        <v>28</v>
      </c>
      <c r="T1344" t="s">
        <v>5344</v>
      </c>
      <c r="U1344" t="s">
        <v>5343</v>
      </c>
    </row>
    <row r="1345" spans="1:21" x14ac:dyDescent="0.25">
      <c r="A1345" t="s">
        <v>275</v>
      </c>
      <c r="B1345" t="s">
        <v>1864</v>
      </c>
      <c r="C1345">
        <v>140</v>
      </c>
      <c r="D1345">
        <v>1</v>
      </c>
      <c r="E1345">
        <v>0</v>
      </c>
      <c r="F1345" t="s">
        <v>5345</v>
      </c>
      <c r="G1345">
        <v>147</v>
      </c>
      <c r="H1345">
        <v>7</v>
      </c>
      <c r="I1345" t="s">
        <v>24</v>
      </c>
      <c r="J1345" t="s">
        <v>5346</v>
      </c>
      <c r="K1345" t="s">
        <v>5347</v>
      </c>
      <c r="L1345" t="s">
        <v>511</v>
      </c>
      <c r="M1345" t="s">
        <v>2907</v>
      </c>
      <c r="N1345" t="s">
        <v>5348</v>
      </c>
      <c r="O1345" t="s">
        <v>27</v>
      </c>
      <c r="P1345" t="s">
        <v>193</v>
      </c>
      <c r="Q1345" t="s">
        <v>85</v>
      </c>
      <c r="R1345" t="s">
        <v>86</v>
      </c>
      <c r="S1345" t="s">
        <v>28</v>
      </c>
      <c r="T1345" t="s">
        <v>5349</v>
      </c>
      <c r="U1345" t="s">
        <v>5350</v>
      </c>
    </row>
    <row r="1346" spans="1:21" x14ac:dyDescent="0.25">
      <c r="A1346" t="s">
        <v>456</v>
      </c>
      <c r="B1346" t="s">
        <v>1178</v>
      </c>
      <c r="C1346">
        <v>127.31</v>
      </c>
      <c r="D1346">
        <v>1</v>
      </c>
      <c r="E1346">
        <v>0</v>
      </c>
      <c r="F1346" t="s">
        <v>5351</v>
      </c>
      <c r="G1346">
        <v>162.22999999999999</v>
      </c>
      <c r="H1346">
        <v>5</v>
      </c>
      <c r="I1346" t="s">
        <v>628</v>
      </c>
      <c r="J1346" t="s">
        <v>5352</v>
      </c>
      <c r="K1346" t="s">
        <v>5353</v>
      </c>
      <c r="L1346" t="s">
        <v>748</v>
      </c>
      <c r="M1346" t="s">
        <v>5354</v>
      </c>
      <c r="N1346" t="s">
        <v>5348</v>
      </c>
      <c r="O1346" t="s">
        <v>27</v>
      </c>
      <c r="P1346" t="s">
        <v>48</v>
      </c>
      <c r="Q1346" t="s">
        <v>49</v>
      </c>
      <c r="R1346" t="s">
        <v>50</v>
      </c>
      <c r="S1346" t="s">
        <v>28</v>
      </c>
      <c r="T1346" t="s">
        <v>5355</v>
      </c>
      <c r="U1346" t="s">
        <v>5356</v>
      </c>
    </row>
    <row r="1347" spans="1:21" x14ac:dyDescent="0.25">
      <c r="A1347" t="s">
        <v>5357</v>
      </c>
      <c r="B1347" t="s">
        <v>2169</v>
      </c>
      <c r="C1347">
        <v>698.58</v>
      </c>
      <c r="D1347">
        <v>1</v>
      </c>
      <c r="E1347">
        <v>0</v>
      </c>
      <c r="F1347" t="s">
        <v>5358</v>
      </c>
      <c r="G1347">
        <v>698.58</v>
      </c>
      <c r="H1347">
        <v>0</v>
      </c>
      <c r="I1347" t="s">
        <v>24</v>
      </c>
      <c r="J1347" t="s">
        <v>5359</v>
      </c>
      <c r="K1347" t="s">
        <v>5360</v>
      </c>
      <c r="L1347" t="s">
        <v>81</v>
      </c>
      <c r="M1347" t="s">
        <v>5361</v>
      </c>
      <c r="N1347" t="s">
        <v>5356</v>
      </c>
      <c r="O1347" t="s">
        <v>27</v>
      </c>
      <c r="P1347" t="s">
        <v>48</v>
      </c>
      <c r="Q1347" t="s">
        <v>49</v>
      </c>
      <c r="R1347" t="s">
        <v>50</v>
      </c>
      <c r="S1347" t="s">
        <v>28</v>
      </c>
      <c r="T1347" t="s">
        <v>5362</v>
      </c>
      <c r="U1347" t="s">
        <v>5356</v>
      </c>
    </row>
    <row r="1348" spans="1:21" x14ac:dyDescent="0.25">
      <c r="A1348" t="s">
        <v>134</v>
      </c>
      <c r="B1348" t="s">
        <v>64</v>
      </c>
      <c r="C1348">
        <v>100</v>
      </c>
      <c r="D1348">
        <v>1</v>
      </c>
      <c r="E1348">
        <v>0</v>
      </c>
      <c r="F1348" t="s">
        <v>5363</v>
      </c>
      <c r="G1348">
        <v>106</v>
      </c>
      <c r="H1348">
        <v>6</v>
      </c>
      <c r="I1348" t="s">
        <v>24</v>
      </c>
      <c r="J1348" t="s">
        <v>5364</v>
      </c>
      <c r="K1348" t="s">
        <v>451</v>
      </c>
      <c r="L1348" t="s">
        <v>27</v>
      </c>
      <c r="M1348" t="s">
        <v>28</v>
      </c>
      <c r="N1348" t="s">
        <v>5365</v>
      </c>
      <c r="O1348" t="s">
        <v>27</v>
      </c>
      <c r="P1348" t="s">
        <v>39</v>
      </c>
      <c r="Q1348" t="s">
        <v>31</v>
      </c>
      <c r="R1348" t="s">
        <v>32</v>
      </c>
      <c r="S1348" t="s">
        <v>28</v>
      </c>
      <c r="T1348" t="s">
        <v>5366</v>
      </c>
      <c r="U1348" t="s">
        <v>5365</v>
      </c>
    </row>
    <row r="1349" spans="1:21" x14ac:dyDescent="0.25">
      <c r="A1349" t="s">
        <v>21</v>
      </c>
      <c r="B1349" t="s">
        <v>22</v>
      </c>
      <c r="C1349">
        <v>100</v>
      </c>
      <c r="D1349">
        <v>1</v>
      </c>
      <c r="E1349">
        <v>0</v>
      </c>
      <c r="F1349" t="s">
        <v>5367</v>
      </c>
      <c r="G1349">
        <v>145</v>
      </c>
      <c r="H1349">
        <v>45</v>
      </c>
      <c r="I1349" t="s">
        <v>24</v>
      </c>
      <c r="J1349" t="s">
        <v>5368</v>
      </c>
      <c r="K1349" t="s">
        <v>89</v>
      </c>
      <c r="L1349" t="s">
        <v>27</v>
      </c>
      <c r="M1349" t="s">
        <v>28</v>
      </c>
      <c r="N1349" t="s">
        <v>5369</v>
      </c>
      <c r="O1349" t="s">
        <v>27</v>
      </c>
      <c r="P1349" t="s">
        <v>56</v>
      </c>
      <c r="Q1349" t="s">
        <v>31</v>
      </c>
      <c r="R1349" t="s">
        <v>57</v>
      </c>
      <c r="S1349" t="s">
        <v>28</v>
      </c>
      <c r="T1349" t="s">
        <v>5370</v>
      </c>
      <c r="U1349" t="s">
        <v>5365</v>
      </c>
    </row>
    <row r="1350" spans="1:21" x14ac:dyDescent="0.25">
      <c r="A1350" t="s">
        <v>33</v>
      </c>
      <c r="B1350" t="s">
        <v>34</v>
      </c>
      <c r="C1350">
        <v>200</v>
      </c>
      <c r="D1350">
        <v>1</v>
      </c>
      <c r="E1350">
        <v>0</v>
      </c>
      <c r="F1350" t="s">
        <v>5371</v>
      </c>
      <c r="G1350">
        <v>200</v>
      </c>
      <c r="H1350">
        <v>0</v>
      </c>
      <c r="I1350" t="s">
        <v>24</v>
      </c>
      <c r="J1350" t="s">
        <v>5372</v>
      </c>
      <c r="K1350" t="s">
        <v>350</v>
      </c>
      <c r="L1350" t="s">
        <v>27</v>
      </c>
      <c r="M1350" t="s">
        <v>28</v>
      </c>
      <c r="N1350" t="s">
        <v>5373</v>
      </c>
      <c r="O1350" t="s">
        <v>27</v>
      </c>
      <c r="P1350" t="s">
        <v>39</v>
      </c>
      <c r="Q1350" t="s">
        <v>31</v>
      </c>
      <c r="R1350" t="s">
        <v>32</v>
      </c>
      <c r="S1350" t="s">
        <v>28</v>
      </c>
      <c r="T1350" t="s">
        <v>5374</v>
      </c>
      <c r="U1350" t="s">
        <v>5375</v>
      </c>
    </row>
    <row r="1351" spans="1:21" x14ac:dyDescent="0.25">
      <c r="A1351" t="s">
        <v>58</v>
      </c>
      <c r="B1351" t="s">
        <v>58</v>
      </c>
      <c r="C1351">
        <v>100</v>
      </c>
      <c r="D1351">
        <v>1</v>
      </c>
      <c r="E1351">
        <v>0</v>
      </c>
      <c r="F1351" t="s">
        <v>5376</v>
      </c>
      <c r="G1351">
        <v>200</v>
      </c>
      <c r="H1351">
        <v>0</v>
      </c>
      <c r="I1351" t="s">
        <v>24</v>
      </c>
      <c r="J1351" t="s">
        <v>5377</v>
      </c>
      <c r="K1351" t="s">
        <v>5378</v>
      </c>
      <c r="L1351" t="s">
        <v>27</v>
      </c>
      <c r="M1351" t="s">
        <v>28</v>
      </c>
      <c r="N1351" t="s">
        <v>5379</v>
      </c>
      <c r="O1351" t="s">
        <v>27</v>
      </c>
      <c r="P1351" t="s">
        <v>39</v>
      </c>
      <c r="Q1351" t="s">
        <v>31</v>
      </c>
      <c r="R1351" t="s">
        <v>32</v>
      </c>
      <c r="S1351" t="s">
        <v>28</v>
      </c>
      <c r="T1351" t="s">
        <v>5380</v>
      </c>
      <c r="U1351" t="s">
        <v>5379</v>
      </c>
    </row>
    <row r="1352" spans="1:21" x14ac:dyDescent="0.25">
      <c r="A1352" t="s">
        <v>134</v>
      </c>
      <c r="B1352" t="s">
        <v>64</v>
      </c>
      <c r="C1352">
        <v>100</v>
      </c>
      <c r="D1352">
        <v>1</v>
      </c>
      <c r="E1352">
        <v>0</v>
      </c>
      <c r="F1352" t="s">
        <v>5376</v>
      </c>
      <c r="G1352">
        <v>200</v>
      </c>
      <c r="H1352">
        <v>0</v>
      </c>
      <c r="I1352" t="s">
        <v>24</v>
      </c>
      <c r="J1352" t="s">
        <v>5377</v>
      </c>
      <c r="K1352" t="s">
        <v>5378</v>
      </c>
      <c r="L1352" t="s">
        <v>27</v>
      </c>
      <c r="M1352" t="s">
        <v>28</v>
      </c>
      <c r="N1352" t="s">
        <v>5379</v>
      </c>
      <c r="O1352" t="s">
        <v>27</v>
      </c>
      <c r="P1352" t="s">
        <v>39</v>
      </c>
      <c r="Q1352" t="s">
        <v>31</v>
      </c>
      <c r="R1352" t="s">
        <v>32</v>
      </c>
      <c r="S1352" t="s">
        <v>28</v>
      </c>
      <c r="T1352" t="s">
        <v>5380</v>
      </c>
      <c r="U1352" t="s">
        <v>5379</v>
      </c>
    </row>
    <row r="1353" spans="1:21" x14ac:dyDescent="0.25">
      <c r="A1353" t="s">
        <v>475</v>
      </c>
      <c r="B1353" t="s">
        <v>476</v>
      </c>
      <c r="C1353">
        <v>199</v>
      </c>
      <c r="D1353">
        <v>1</v>
      </c>
      <c r="E1353">
        <v>0</v>
      </c>
      <c r="F1353" t="s">
        <v>5381</v>
      </c>
      <c r="G1353">
        <v>234</v>
      </c>
      <c r="H1353">
        <v>35</v>
      </c>
      <c r="I1353" t="s">
        <v>24</v>
      </c>
      <c r="J1353" t="s">
        <v>188</v>
      </c>
      <c r="K1353" t="s">
        <v>5382</v>
      </c>
      <c r="L1353" t="s">
        <v>925</v>
      </c>
      <c r="M1353" t="s">
        <v>2672</v>
      </c>
      <c r="N1353" t="s">
        <v>5383</v>
      </c>
      <c r="O1353" t="s">
        <v>27</v>
      </c>
      <c r="P1353" t="s">
        <v>193</v>
      </c>
      <c r="Q1353" t="s">
        <v>85</v>
      </c>
      <c r="R1353" t="s">
        <v>86</v>
      </c>
      <c r="S1353" t="s">
        <v>28</v>
      </c>
      <c r="T1353" t="s">
        <v>5384</v>
      </c>
      <c r="U1353" t="s">
        <v>5385</v>
      </c>
    </row>
    <row r="1354" spans="1:21" x14ac:dyDescent="0.25">
      <c r="A1354" t="s">
        <v>21</v>
      </c>
      <c r="B1354" t="s">
        <v>22</v>
      </c>
      <c r="C1354">
        <v>100</v>
      </c>
      <c r="D1354">
        <v>1</v>
      </c>
      <c r="E1354">
        <v>0</v>
      </c>
      <c r="F1354" t="s">
        <v>5386</v>
      </c>
      <c r="G1354">
        <v>100</v>
      </c>
      <c r="H1354">
        <v>0</v>
      </c>
      <c r="I1354" t="s">
        <v>24</v>
      </c>
      <c r="J1354" t="s">
        <v>5387</v>
      </c>
      <c r="K1354" t="s">
        <v>247</v>
      </c>
      <c r="L1354" t="s">
        <v>27</v>
      </c>
      <c r="M1354" t="s">
        <v>28</v>
      </c>
      <c r="N1354" t="s">
        <v>5388</v>
      </c>
      <c r="O1354" t="s">
        <v>27</v>
      </c>
      <c r="P1354" t="s">
        <v>39</v>
      </c>
      <c r="Q1354" t="s">
        <v>31</v>
      </c>
      <c r="R1354" t="s">
        <v>32</v>
      </c>
      <c r="S1354" t="s">
        <v>28</v>
      </c>
      <c r="T1354" t="s">
        <v>5389</v>
      </c>
      <c r="U1354" t="s">
        <v>5388</v>
      </c>
    </row>
    <row r="1355" spans="1:21" x14ac:dyDescent="0.25">
      <c r="A1355" t="s">
        <v>21</v>
      </c>
      <c r="B1355" t="s">
        <v>22</v>
      </c>
      <c r="C1355">
        <v>100</v>
      </c>
      <c r="D1355">
        <v>1</v>
      </c>
      <c r="E1355">
        <v>0</v>
      </c>
      <c r="F1355" t="s">
        <v>5390</v>
      </c>
      <c r="G1355">
        <v>100</v>
      </c>
      <c r="H1355">
        <v>0</v>
      </c>
      <c r="I1355" t="s">
        <v>24</v>
      </c>
      <c r="J1355" t="s">
        <v>5391</v>
      </c>
      <c r="K1355" t="s">
        <v>124</v>
      </c>
      <c r="L1355" t="s">
        <v>27</v>
      </c>
      <c r="M1355" t="s">
        <v>28</v>
      </c>
      <c r="N1355" t="s">
        <v>5392</v>
      </c>
      <c r="O1355" t="s">
        <v>27</v>
      </c>
      <c r="P1355" t="s">
        <v>39</v>
      </c>
      <c r="Q1355" t="s">
        <v>31</v>
      </c>
      <c r="R1355" t="s">
        <v>32</v>
      </c>
      <c r="S1355" t="s">
        <v>28</v>
      </c>
      <c r="T1355" t="s">
        <v>5393</v>
      </c>
      <c r="U1355" t="s">
        <v>5392</v>
      </c>
    </row>
    <row r="1356" spans="1:21" x14ac:dyDescent="0.25">
      <c r="A1356" t="s">
        <v>2144</v>
      </c>
      <c r="B1356" t="s">
        <v>5394</v>
      </c>
      <c r="C1356">
        <v>128.41</v>
      </c>
      <c r="D1356">
        <v>1</v>
      </c>
      <c r="E1356">
        <v>0</v>
      </c>
      <c r="F1356" t="s">
        <v>5395</v>
      </c>
      <c r="G1356">
        <v>167.41</v>
      </c>
      <c r="H1356">
        <v>39</v>
      </c>
      <c r="I1356" t="s">
        <v>24</v>
      </c>
      <c r="J1356" t="s">
        <v>5396</v>
      </c>
      <c r="K1356" t="s">
        <v>5397</v>
      </c>
      <c r="L1356" t="s">
        <v>108</v>
      </c>
      <c r="M1356" t="s">
        <v>5398</v>
      </c>
      <c r="N1356" t="s">
        <v>5383</v>
      </c>
      <c r="O1356" t="s">
        <v>27</v>
      </c>
      <c r="P1356" t="s">
        <v>48</v>
      </c>
      <c r="Q1356" t="s">
        <v>49</v>
      </c>
      <c r="R1356" t="s">
        <v>50</v>
      </c>
      <c r="S1356" t="s">
        <v>28</v>
      </c>
      <c r="T1356" t="s">
        <v>5399</v>
      </c>
      <c r="U1356" t="s">
        <v>5400</v>
      </c>
    </row>
    <row r="1357" spans="1:21" x14ac:dyDescent="0.25">
      <c r="A1357" t="s">
        <v>143</v>
      </c>
      <c r="B1357" t="s">
        <v>144</v>
      </c>
      <c r="C1357">
        <v>200</v>
      </c>
      <c r="D1357">
        <v>1</v>
      </c>
      <c r="E1357">
        <v>0</v>
      </c>
      <c r="F1357" t="s">
        <v>5401</v>
      </c>
      <c r="G1357">
        <v>200</v>
      </c>
      <c r="H1357">
        <v>0</v>
      </c>
      <c r="I1357" t="s">
        <v>140</v>
      </c>
      <c r="J1357" t="s">
        <v>5402</v>
      </c>
      <c r="K1357" t="s">
        <v>67</v>
      </c>
      <c r="L1357" t="s">
        <v>27</v>
      </c>
      <c r="M1357" t="s">
        <v>28</v>
      </c>
      <c r="N1357" t="s">
        <v>5403</v>
      </c>
      <c r="O1357" t="s">
        <v>27</v>
      </c>
      <c r="P1357" t="s">
        <v>30</v>
      </c>
      <c r="Q1357" t="s">
        <v>31</v>
      </c>
      <c r="R1357" t="s">
        <v>32</v>
      </c>
      <c r="S1357" t="s">
        <v>28</v>
      </c>
      <c r="T1357" t="s">
        <v>5404</v>
      </c>
      <c r="U1357" t="s">
        <v>5403</v>
      </c>
    </row>
    <row r="1358" spans="1:21" x14ac:dyDescent="0.25">
      <c r="A1358" t="s">
        <v>58</v>
      </c>
      <c r="B1358" t="s">
        <v>103</v>
      </c>
      <c r="C1358">
        <v>95.19</v>
      </c>
      <c r="D1358">
        <v>1</v>
      </c>
      <c r="E1358">
        <v>0</v>
      </c>
      <c r="F1358" t="s">
        <v>5405</v>
      </c>
      <c r="G1358">
        <v>95.19</v>
      </c>
      <c r="H1358">
        <v>0</v>
      </c>
      <c r="I1358" t="s">
        <v>105</v>
      </c>
      <c r="J1358" t="s">
        <v>3155</v>
      </c>
      <c r="K1358" t="s">
        <v>3156</v>
      </c>
      <c r="L1358" t="s">
        <v>3157</v>
      </c>
      <c r="M1358" t="s">
        <v>3158</v>
      </c>
      <c r="N1358" t="s">
        <v>5403</v>
      </c>
      <c r="O1358" t="s">
        <v>27</v>
      </c>
      <c r="P1358" t="s">
        <v>48</v>
      </c>
      <c r="Q1358" t="s">
        <v>49</v>
      </c>
      <c r="R1358" t="s">
        <v>50</v>
      </c>
      <c r="S1358" t="s">
        <v>28</v>
      </c>
      <c r="T1358" t="s">
        <v>5406</v>
      </c>
      <c r="U1358" t="s">
        <v>5403</v>
      </c>
    </row>
    <row r="1359" spans="1:21" x14ac:dyDescent="0.25">
      <c r="A1359" t="s">
        <v>21</v>
      </c>
      <c r="B1359" t="s">
        <v>22</v>
      </c>
      <c r="C1359">
        <v>100</v>
      </c>
      <c r="D1359">
        <v>1</v>
      </c>
      <c r="E1359">
        <v>0</v>
      </c>
      <c r="F1359" t="s">
        <v>5407</v>
      </c>
      <c r="G1359">
        <v>106</v>
      </c>
      <c r="H1359">
        <v>6</v>
      </c>
      <c r="I1359" t="s">
        <v>140</v>
      </c>
      <c r="J1359" t="s">
        <v>5408</v>
      </c>
      <c r="K1359" t="s">
        <v>677</v>
      </c>
      <c r="L1359" t="s">
        <v>27</v>
      </c>
      <c r="M1359" t="s">
        <v>28</v>
      </c>
      <c r="N1359" t="s">
        <v>5409</v>
      </c>
      <c r="O1359" t="s">
        <v>27</v>
      </c>
      <c r="P1359" t="s">
        <v>369</v>
      </c>
      <c r="Q1359" t="s">
        <v>31</v>
      </c>
      <c r="R1359" t="s">
        <v>57</v>
      </c>
      <c r="S1359" t="s">
        <v>28</v>
      </c>
      <c r="T1359" t="s">
        <v>5410</v>
      </c>
      <c r="U1359" t="s">
        <v>5409</v>
      </c>
    </row>
    <row r="1360" spans="1:21" x14ac:dyDescent="0.25">
      <c r="A1360" t="s">
        <v>63</v>
      </c>
      <c r="B1360" t="s">
        <v>64</v>
      </c>
      <c r="C1360">
        <v>100</v>
      </c>
      <c r="D1360">
        <v>1</v>
      </c>
      <c r="E1360">
        <v>0</v>
      </c>
      <c r="F1360" t="s">
        <v>5411</v>
      </c>
      <c r="G1360">
        <v>100</v>
      </c>
      <c r="H1360">
        <v>0</v>
      </c>
      <c r="I1360" t="s">
        <v>24</v>
      </c>
      <c r="J1360" t="s">
        <v>5412</v>
      </c>
      <c r="K1360" t="s">
        <v>342</v>
      </c>
      <c r="L1360" t="s">
        <v>27</v>
      </c>
      <c r="M1360" t="s">
        <v>28</v>
      </c>
      <c r="N1360" t="s">
        <v>5413</v>
      </c>
      <c r="O1360" t="s">
        <v>27</v>
      </c>
      <c r="P1360" t="s">
        <v>39</v>
      </c>
      <c r="Q1360" t="s">
        <v>31</v>
      </c>
      <c r="R1360" t="s">
        <v>32</v>
      </c>
      <c r="S1360" t="s">
        <v>28</v>
      </c>
      <c r="T1360" t="s">
        <v>5414</v>
      </c>
      <c r="U1360" t="s">
        <v>5413</v>
      </c>
    </row>
    <row r="1361" spans="1:21" x14ac:dyDescent="0.25">
      <c r="A1361" t="s">
        <v>63</v>
      </c>
      <c r="B1361" t="s">
        <v>64</v>
      </c>
      <c r="C1361">
        <v>100</v>
      </c>
      <c r="D1361">
        <v>1</v>
      </c>
      <c r="E1361">
        <v>0</v>
      </c>
      <c r="F1361" t="s">
        <v>5415</v>
      </c>
      <c r="G1361">
        <v>185</v>
      </c>
      <c r="H1361">
        <v>0</v>
      </c>
      <c r="I1361" t="s">
        <v>140</v>
      </c>
      <c r="J1361" t="s">
        <v>5416</v>
      </c>
      <c r="K1361" t="s">
        <v>384</v>
      </c>
      <c r="L1361" t="s">
        <v>27</v>
      </c>
      <c r="M1361" t="s">
        <v>28</v>
      </c>
      <c r="N1361" t="s">
        <v>5417</v>
      </c>
      <c r="O1361" t="s">
        <v>27</v>
      </c>
      <c r="P1361" t="s">
        <v>30</v>
      </c>
      <c r="Q1361" t="s">
        <v>31</v>
      </c>
      <c r="R1361" t="s">
        <v>32</v>
      </c>
      <c r="S1361" t="s">
        <v>28</v>
      </c>
      <c r="T1361" t="s">
        <v>5418</v>
      </c>
      <c r="U1361" t="s">
        <v>5417</v>
      </c>
    </row>
    <row r="1362" spans="1:21" x14ac:dyDescent="0.25">
      <c r="A1362" t="s">
        <v>195</v>
      </c>
      <c r="B1362" t="s">
        <v>1003</v>
      </c>
      <c r="C1362">
        <v>127.33</v>
      </c>
      <c r="D1362">
        <v>1</v>
      </c>
      <c r="E1362">
        <v>0</v>
      </c>
      <c r="F1362" t="s">
        <v>5419</v>
      </c>
      <c r="G1362">
        <v>278.66000000000003</v>
      </c>
      <c r="H1362">
        <v>24</v>
      </c>
      <c r="I1362" t="s">
        <v>628</v>
      </c>
      <c r="J1362" t="s">
        <v>5420</v>
      </c>
      <c r="K1362" t="s">
        <v>5421</v>
      </c>
      <c r="L1362" t="s">
        <v>1900</v>
      </c>
      <c r="M1362" t="s">
        <v>5422</v>
      </c>
      <c r="N1362" t="s">
        <v>5423</v>
      </c>
      <c r="O1362" t="s">
        <v>27</v>
      </c>
      <c r="P1362" t="s">
        <v>48</v>
      </c>
      <c r="Q1362" t="s">
        <v>49</v>
      </c>
      <c r="R1362" t="s">
        <v>50</v>
      </c>
      <c r="S1362" t="s">
        <v>28</v>
      </c>
      <c r="T1362" t="s">
        <v>5424</v>
      </c>
      <c r="U1362" t="s">
        <v>5423</v>
      </c>
    </row>
    <row r="1363" spans="1:21" x14ac:dyDescent="0.25">
      <c r="A1363" t="s">
        <v>195</v>
      </c>
      <c r="B1363" t="s">
        <v>1003</v>
      </c>
      <c r="C1363">
        <v>127.33</v>
      </c>
      <c r="D1363">
        <v>1</v>
      </c>
      <c r="E1363">
        <v>0</v>
      </c>
      <c r="F1363" t="s">
        <v>5419</v>
      </c>
      <c r="G1363">
        <v>278.66000000000003</v>
      </c>
      <c r="H1363">
        <v>24</v>
      </c>
      <c r="I1363" t="s">
        <v>628</v>
      </c>
      <c r="J1363" t="s">
        <v>5420</v>
      </c>
      <c r="K1363" t="s">
        <v>5421</v>
      </c>
      <c r="L1363" t="s">
        <v>1900</v>
      </c>
      <c r="M1363" t="s">
        <v>5422</v>
      </c>
      <c r="N1363" t="s">
        <v>5423</v>
      </c>
      <c r="O1363" t="s">
        <v>27</v>
      </c>
      <c r="P1363" t="s">
        <v>48</v>
      </c>
      <c r="Q1363" t="s">
        <v>49</v>
      </c>
      <c r="R1363" t="s">
        <v>50</v>
      </c>
      <c r="S1363" t="s">
        <v>28</v>
      </c>
      <c r="T1363" t="s">
        <v>5424</v>
      </c>
      <c r="U1363" t="s">
        <v>5423</v>
      </c>
    </row>
    <row r="1364" spans="1:21" x14ac:dyDescent="0.25">
      <c r="A1364" t="s">
        <v>33</v>
      </c>
      <c r="B1364" t="s">
        <v>34</v>
      </c>
      <c r="C1364">
        <v>200</v>
      </c>
      <c r="D1364">
        <v>1</v>
      </c>
      <c r="E1364">
        <v>0</v>
      </c>
      <c r="F1364" t="s">
        <v>5425</v>
      </c>
      <c r="G1364">
        <v>200</v>
      </c>
      <c r="H1364">
        <v>0</v>
      </c>
      <c r="I1364" t="s">
        <v>24</v>
      </c>
      <c r="J1364" t="s">
        <v>5426</v>
      </c>
      <c r="K1364" t="s">
        <v>137</v>
      </c>
      <c r="L1364" t="s">
        <v>27</v>
      </c>
      <c r="M1364" t="s">
        <v>28</v>
      </c>
      <c r="N1364" t="s">
        <v>5427</v>
      </c>
      <c r="O1364" t="s">
        <v>27</v>
      </c>
      <c r="P1364" t="s">
        <v>39</v>
      </c>
      <c r="Q1364" t="s">
        <v>31</v>
      </c>
      <c r="R1364" t="s">
        <v>32</v>
      </c>
      <c r="S1364" t="s">
        <v>28</v>
      </c>
      <c r="T1364" t="s">
        <v>5428</v>
      </c>
      <c r="U1364" t="s">
        <v>5423</v>
      </c>
    </row>
    <row r="1365" spans="1:21" x14ac:dyDescent="0.25">
      <c r="A1365" t="s">
        <v>635</v>
      </c>
      <c r="B1365" t="s">
        <v>1129</v>
      </c>
      <c r="C1365">
        <v>465.54</v>
      </c>
      <c r="D1365">
        <v>1</v>
      </c>
      <c r="E1365">
        <v>0</v>
      </c>
      <c r="F1365" t="s">
        <v>5429</v>
      </c>
      <c r="G1365">
        <v>973.08</v>
      </c>
      <c r="H1365">
        <v>42</v>
      </c>
      <c r="I1365" t="s">
        <v>105</v>
      </c>
      <c r="J1365" t="s">
        <v>3155</v>
      </c>
      <c r="K1365" t="s">
        <v>3156</v>
      </c>
      <c r="L1365" t="s">
        <v>3157</v>
      </c>
      <c r="M1365" t="s">
        <v>3158</v>
      </c>
      <c r="N1365" t="s">
        <v>5430</v>
      </c>
      <c r="O1365" t="s">
        <v>27</v>
      </c>
      <c r="P1365" t="s">
        <v>48</v>
      </c>
      <c r="Q1365" t="s">
        <v>49</v>
      </c>
      <c r="R1365" t="s">
        <v>50</v>
      </c>
      <c r="S1365" t="s">
        <v>28</v>
      </c>
      <c r="T1365" t="s">
        <v>5431</v>
      </c>
      <c r="U1365" t="s">
        <v>5430</v>
      </c>
    </row>
    <row r="1366" spans="1:21" x14ac:dyDescent="0.25">
      <c r="A1366" t="s">
        <v>635</v>
      </c>
      <c r="B1366" t="s">
        <v>1129</v>
      </c>
      <c r="C1366">
        <v>465.54</v>
      </c>
      <c r="D1366">
        <v>1</v>
      </c>
      <c r="E1366">
        <v>0</v>
      </c>
      <c r="F1366" t="s">
        <v>5429</v>
      </c>
      <c r="G1366">
        <v>973.08</v>
      </c>
      <c r="H1366">
        <v>42</v>
      </c>
      <c r="I1366" t="s">
        <v>105</v>
      </c>
      <c r="J1366" t="s">
        <v>3155</v>
      </c>
      <c r="K1366" t="s">
        <v>3156</v>
      </c>
      <c r="L1366" t="s">
        <v>3157</v>
      </c>
      <c r="M1366" t="s">
        <v>3158</v>
      </c>
      <c r="N1366" t="s">
        <v>5430</v>
      </c>
      <c r="O1366" t="s">
        <v>27</v>
      </c>
      <c r="P1366" t="s">
        <v>48</v>
      </c>
      <c r="Q1366" t="s">
        <v>49</v>
      </c>
      <c r="R1366" t="s">
        <v>50</v>
      </c>
      <c r="S1366" t="s">
        <v>28</v>
      </c>
      <c r="T1366" t="s">
        <v>5431</v>
      </c>
      <c r="U1366" t="s">
        <v>5430</v>
      </c>
    </row>
    <row r="1367" spans="1:21" x14ac:dyDescent="0.25">
      <c r="A1367" t="s">
        <v>195</v>
      </c>
      <c r="B1367" t="s">
        <v>1003</v>
      </c>
      <c r="C1367">
        <v>127.33</v>
      </c>
      <c r="D1367">
        <v>1</v>
      </c>
      <c r="E1367">
        <v>0</v>
      </c>
      <c r="F1367" t="s">
        <v>5432</v>
      </c>
      <c r="G1367">
        <v>278.66000000000003</v>
      </c>
      <c r="H1367">
        <v>24</v>
      </c>
      <c r="I1367" t="s">
        <v>628</v>
      </c>
      <c r="J1367" t="s">
        <v>5433</v>
      </c>
      <c r="K1367" t="s">
        <v>5434</v>
      </c>
      <c r="L1367" t="s">
        <v>1900</v>
      </c>
      <c r="M1367" t="s">
        <v>5422</v>
      </c>
      <c r="N1367" t="s">
        <v>5435</v>
      </c>
      <c r="O1367" t="s">
        <v>27</v>
      </c>
      <c r="P1367" t="s">
        <v>48</v>
      </c>
      <c r="Q1367" t="s">
        <v>49</v>
      </c>
      <c r="R1367" t="s">
        <v>50</v>
      </c>
      <c r="S1367" t="s">
        <v>28</v>
      </c>
      <c r="T1367" t="s">
        <v>5436</v>
      </c>
      <c r="U1367" t="s">
        <v>5435</v>
      </c>
    </row>
    <row r="1368" spans="1:21" x14ac:dyDescent="0.25">
      <c r="A1368" t="s">
        <v>195</v>
      </c>
      <c r="B1368" t="s">
        <v>1003</v>
      </c>
      <c r="C1368">
        <v>127.33</v>
      </c>
      <c r="D1368">
        <v>1</v>
      </c>
      <c r="E1368">
        <v>0</v>
      </c>
      <c r="F1368" t="s">
        <v>5432</v>
      </c>
      <c r="G1368">
        <v>278.66000000000003</v>
      </c>
      <c r="H1368">
        <v>24</v>
      </c>
      <c r="I1368" t="s">
        <v>628</v>
      </c>
      <c r="J1368" t="s">
        <v>5433</v>
      </c>
      <c r="K1368" t="s">
        <v>5434</v>
      </c>
      <c r="L1368" t="s">
        <v>1900</v>
      </c>
      <c r="M1368" t="s">
        <v>5422</v>
      </c>
      <c r="N1368" t="s">
        <v>5435</v>
      </c>
      <c r="O1368" t="s">
        <v>27</v>
      </c>
      <c r="P1368" t="s">
        <v>48</v>
      </c>
      <c r="Q1368" t="s">
        <v>49</v>
      </c>
      <c r="R1368" t="s">
        <v>50</v>
      </c>
      <c r="S1368" t="s">
        <v>28</v>
      </c>
      <c r="T1368" t="s">
        <v>5436</v>
      </c>
      <c r="U1368" t="s">
        <v>5435</v>
      </c>
    </row>
    <row r="1369" spans="1:21" x14ac:dyDescent="0.25">
      <c r="A1369" t="s">
        <v>21</v>
      </c>
      <c r="B1369" t="s">
        <v>22</v>
      </c>
      <c r="C1369">
        <v>100</v>
      </c>
      <c r="D1369">
        <v>1</v>
      </c>
      <c r="E1369">
        <v>0</v>
      </c>
      <c r="F1369" t="s">
        <v>5437</v>
      </c>
      <c r="G1369">
        <v>100</v>
      </c>
      <c r="H1369">
        <v>0</v>
      </c>
      <c r="I1369" t="s">
        <v>140</v>
      </c>
      <c r="J1369" t="s">
        <v>5438</v>
      </c>
      <c r="K1369" t="s">
        <v>124</v>
      </c>
      <c r="L1369" t="s">
        <v>27</v>
      </c>
      <c r="M1369" t="s">
        <v>28</v>
      </c>
      <c r="N1369" t="s">
        <v>5435</v>
      </c>
      <c r="O1369" t="s">
        <v>27</v>
      </c>
      <c r="P1369" t="s">
        <v>30</v>
      </c>
      <c r="Q1369" t="s">
        <v>31</v>
      </c>
      <c r="R1369" t="s">
        <v>32</v>
      </c>
      <c r="S1369" t="s">
        <v>28</v>
      </c>
      <c r="T1369" t="s">
        <v>5439</v>
      </c>
      <c r="U1369" t="s">
        <v>5435</v>
      </c>
    </row>
    <row r="1370" spans="1:21" x14ac:dyDescent="0.25">
      <c r="A1370" t="s">
        <v>21</v>
      </c>
      <c r="B1370" t="s">
        <v>22</v>
      </c>
      <c r="C1370">
        <v>100</v>
      </c>
      <c r="D1370">
        <v>2</v>
      </c>
      <c r="E1370">
        <v>0</v>
      </c>
      <c r="F1370" t="s">
        <v>5440</v>
      </c>
      <c r="G1370">
        <v>206</v>
      </c>
      <c r="H1370">
        <v>6</v>
      </c>
      <c r="I1370" t="s">
        <v>24</v>
      </c>
      <c r="J1370" t="s">
        <v>5441</v>
      </c>
      <c r="K1370" t="s">
        <v>241</v>
      </c>
      <c r="L1370" t="s">
        <v>27</v>
      </c>
      <c r="M1370" t="s">
        <v>28</v>
      </c>
      <c r="N1370" t="s">
        <v>5442</v>
      </c>
      <c r="O1370" t="s">
        <v>27</v>
      </c>
      <c r="P1370" t="s">
        <v>56</v>
      </c>
      <c r="Q1370" t="s">
        <v>31</v>
      </c>
      <c r="R1370" t="s">
        <v>57</v>
      </c>
      <c r="S1370" t="s">
        <v>28</v>
      </c>
      <c r="T1370" t="s">
        <v>5443</v>
      </c>
      <c r="U1370" t="s">
        <v>5442</v>
      </c>
    </row>
    <row r="1371" spans="1:21" x14ac:dyDescent="0.25">
      <c r="A1371" t="s">
        <v>58</v>
      </c>
      <c r="B1371" t="s">
        <v>103</v>
      </c>
      <c r="C1371">
        <v>90.43</v>
      </c>
      <c r="D1371">
        <v>1</v>
      </c>
      <c r="E1371">
        <v>0</v>
      </c>
      <c r="F1371" t="s">
        <v>5444</v>
      </c>
      <c r="G1371">
        <v>271.29000000000002</v>
      </c>
      <c r="H1371">
        <v>0</v>
      </c>
      <c r="I1371" t="s">
        <v>105</v>
      </c>
      <c r="J1371" t="s">
        <v>3155</v>
      </c>
      <c r="K1371" t="s">
        <v>3156</v>
      </c>
      <c r="L1371" t="s">
        <v>3157</v>
      </c>
      <c r="M1371" t="s">
        <v>3158</v>
      </c>
      <c r="N1371" t="s">
        <v>5442</v>
      </c>
      <c r="O1371" t="s">
        <v>27</v>
      </c>
      <c r="P1371" t="s">
        <v>48</v>
      </c>
      <c r="Q1371" t="s">
        <v>49</v>
      </c>
      <c r="R1371" t="s">
        <v>50</v>
      </c>
      <c r="S1371" t="s">
        <v>28</v>
      </c>
      <c r="T1371" t="s">
        <v>5445</v>
      </c>
      <c r="U1371" t="s">
        <v>5442</v>
      </c>
    </row>
    <row r="1372" spans="1:21" x14ac:dyDescent="0.25">
      <c r="A1372" t="s">
        <v>58</v>
      </c>
      <c r="B1372" t="s">
        <v>103</v>
      </c>
      <c r="C1372">
        <v>90.43</v>
      </c>
      <c r="D1372">
        <v>1</v>
      </c>
      <c r="E1372">
        <v>0</v>
      </c>
      <c r="F1372" t="s">
        <v>5444</v>
      </c>
      <c r="G1372">
        <v>271.29000000000002</v>
      </c>
      <c r="H1372">
        <v>0</v>
      </c>
      <c r="I1372" t="s">
        <v>105</v>
      </c>
      <c r="J1372" t="s">
        <v>3155</v>
      </c>
      <c r="K1372" t="s">
        <v>3156</v>
      </c>
      <c r="L1372" t="s">
        <v>3157</v>
      </c>
      <c r="M1372" t="s">
        <v>3158</v>
      </c>
      <c r="N1372" t="s">
        <v>5442</v>
      </c>
      <c r="O1372" t="s">
        <v>27</v>
      </c>
      <c r="P1372" t="s">
        <v>48</v>
      </c>
      <c r="Q1372" t="s">
        <v>49</v>
      </c>
      <c r="R1372" t="s">
        <v>50</v>
      </c>
      <c r="S1372" t="s">
        <v>28</v>
      </c>
      <c r="T1372" t="s">
        <v>5445</v>
      </c>
      <c r="U1372" t="s">
        <v>5442</v>
      </c>
    </row>
    <row r="1373" spans="1:21" x14ac:dyDescent="0.25">
      <c r="A1373" t="s">
        <v>58</v>
      </c>
      <c r="B1373" t="s">
        <v>103</v>
      </c>
      <c r="C1373">
        <v>90.43</v>
      </c>
      <c r="D1373">
        <v>1</v>
      </c>
      <c r="E1373">
        <v>0</v>
      </c>
      <c r="F1373" t="s">
        <v>5444</v>
      </c>
      <c r="G1373">
        <v>271.29000000000002</v>
      </c>
      <c r="H1373">
        <v>0</v>
      </c>
      <c r="I1373" t="s">
        <v>105</v>
      </c>
      <c r="J1373" t="s">
        <v>3155</v>
      </c>
      <c r="K1373" t="s">
        <v>3156</v>
      </c>
      <c r="L1373" t="s">
        <v>3157</v>
      </c>
      <c r="M1373" t="s">
        <v>3158</v>
      </c>
      <c r="N1373" t="s">
        <v>5442</v>
      </c>
      <c r="O1373" t="s">
        <v>27</v>
      </c>
      <c r="P1373" t="s">
        <v>48</v>
      </c>
      <c r="Q1373" t="s">
        <v>49</v>
      </c>
      <c r="R1373" t="s">
        <v>50</v>
      </c>
      <c r="S1373" t="s">
        <v>28</v>
      </c>
      <c r="T1373" t="s">
        <v>5445</v>
      </c>
      <c r="U1373" t="s">
        <v>5442</v>
      </c>
    </row>
    <row r="1374" spans="1:21" x14ac:dyDescent="0.25">
      <c r="A1374" t="s">
        <v>456</v>
      </c>
      <c r="B1374" t="s">
        <v>1178</v>
      </c>
      <c r="C1374">
        <v>148.19999999999999</v>
      </c>
      <c r="D1374">
        <v>1</v>
      </c>
      <c r="E1374">
        <v>0</v>
      </c>
      <c r="F1374" t="s">
        <v>5446</v>
      </c>
      <c r="G1374">
        <v>153.19999999999999</v>
      </c>
      <c r="H1374">
        <v>5</v>
      </c>
      <c r="I1374" t="s">
        <v>628</v>
      </c>
      <c r="J1374" t="s">
        <v>5447</v>
      </c>
      <c r="K1374" t="s">
        <v>5448</v>
      </c>
      <c r="L1374" t="s">
        <v>1146</v>
      </c>
      <c r="M1374" t="s">
        <v>5449</v>
      </c>
      <c r="N1374" t="s">
        <v>5442</v>
      </c>
      <c r="O1374" t="s">
        <v>27</v>
      </c>
      <c r="P1374" t="s">
        <v>48</v>
      </c>
      <c r="Q1374" t="s">
        <v>49</v>
      </c>
      <c r="R1374" t="s">
        <v>50</v>
      </c>
      <c r="S1374" t="s">
        <v>28</v>
      </c>
      <c r="T1374" t="s">
        <v>5450</v>
      </c>
      <c r="U1374" t="s">
        <v>5442</v>
      </c>
    </row>
    <row r="1375" spans="1:21" x14ac:dyDescent="0.25">
      <c r="A1375" t="s">
        <v>635</v>
      </c>
      <c r="B1375" t="s">
        <v>714</v>
      </c>
      <c r="C1375">
        <v>453.58</v>
      </c>
      <c r="D1375">
        <v>1</v>
      </c>
      <c r="E1375">
        <v>0</v>
      </c>
      <c r="F1375" t="s">
        <v>5451</v>
      </c>
      <c r="G1375">
        <v>467.58</v>
      </c>
      <c r="H1375">
        <v>14</v>
      </c>
      <c r="I1375" t="s">
        <v>628</v>
      </c>
      <c r="J1375" t="s">
        <v>2446</v>
      </c>
      <c r="K1375" t="s">
        <v>2447</v>
      </c>
      <c r="L1375" t="s">
        <v>1809</v>
      </c>
      <c r="M1375" t="s">
        <v>2448</v>
      </c>
      <c r="N1375" t="s">
        <v>5452</v>
      </c>
      <c r="O1375" t="s">
        <v>27</v>
      </c>
      <c r="P1375" t="s">
        <v>48</v>
      </c>
      <c r="Q1375" t="s">
        <v>49</v>
      </c>
      <c r="R1375" t="s">
        <v>50</v>
      </c>
      <c r="S1375" t="s">
        <v>28</v>
      </c>
      <c r="T1375" t="s">
        <v>5453</v>
      </c>
      <c r="U1375" t="s">
        <v>5452</v>
      </c>
    </row>
    <row r="1376" spans="1:21" x14ac:dyDescent="0.25">
      <c r="A1376" t="s">
        <v>21</v>
      </c>
      <c r="B1376" t="s">
        <v>22</v>
      </c>
      <c r="C1376">
        <v>100</v>
      </c>
      <c r="D1376">
        <v>1</v>
      </c>
      <c r="E1376">
        <v>0</v>
      </c>
      <c r="F1376" t="s">
        <v>5454</v>
      </c>
      <c r="G1376">
        <v>300</v>
      </c>
      <c r="H1376">
        <v>0</v>
      </c>
      <c r="I1376" t="s">
        <v>24</v>
      </c>
      <c r="J1376" t="s">
        <v>5455</v>
      </c>
      <c r="K1376" t="s">
        <v>247</v>
      </c>
      <c r="L1376" t="s">
        <v>27</v>
      </c>
      <c r="M1376" t="s">
        <v>28</v>
      </c>
      <c r="N1376" t="s">
        <v>5452</v>
      </c>
      <c r="O1376" t="s">
        <v>27</v>
      </c>
      <c r="P1376" t="s">
        <v>39</v>
      </c>
      <c r="Q1376" t="s">
        <v>31</v>
      </c>
      <c r="R1376" t="s">
        <v>32</v>
      </c>
      <c r="S1376" t="s">
        <v>28</v>
      </c>
      <c r="T1376" t="s">
        <v>5456</v>
      </c>
      <c r="U1376" t="s">
        <v>5452</v>
      </c>
    </row>
    <row r="1377" spans="1:21" x14ac:dyDescent="0.25">
      <c r="A1377" t="s">
        <v>63</v>
      </c>
      <c r="B1377" t="s">
        <v>64</v>
      </c>
      <c r="C1377">
        <v>100</v>
      </c>
      <c r="D1377">
        <v>2</v>
      </c>
      <c r="E1377">
        <v>0</v>
      </c>
      <c r="F1377" t="s">
        <v>5454</v>
      </c>
      <c r="G1377">
        <v>300</v>
      </c>
      <c r="H1377">
        <v>0</v>
      </c>
      <c r="I1377" t="s">
        <v>24</v>
      </c>
      <c r="J1377" t="s">
        <v>5455</v>
      </c>
      <c r="K1377" t="s">
        <v>247</v>
      </c>
      <c r="L1377" t="s">
        <v>27</v>
      </c>
      <c r="M1377" t="s">
        <v>28</v>
      </c>
      <c r="N1377" t="s">
        <v>5452</v>
      </c>
      <c r="O1377" t="s">
        <v>27</v>
      </c>
      <c r="P1377" t="s">
        <v>39</v>
      </c>
      <c r="Q1377" t="s">
        <v>31</v>
      </c>
      <c r="R1377" t="s">
        <v>32</v>
      </c>
      <c r="S1377" t="s">
        <v>28</v>
      </c>
      <c r="T1377" t="s">
        <v>5456</v>
      </c>
      <c r="U1377" t="s">
        <v>5452</v>
      </c>
    </row>
    <row r="1378" spans="1:21" x14ac:dyDescent="0.25">
      <c r="A1378" t="s">
        <v>456</v>
      </c>
      <c r="B1378" t="s">
        <v>1178</v>
      </c>
      <c r="C1378">
        <v>94.38</v>
      </c>
      <c r="D1378">
        <v>1</v>
      </c>
      <c r="E1378">
        <v>0</v>
      </c>
      <c r="F1378" t="s">
        <v>5457</v>
      </c>
      <c r="G1378">
        <v>377.5</v>
      </c>
      <c r="H1378">
        <v>0</v>
      </c>
      <c r="I1378" t="s">
        <v>628</v>
      </c>
      <c r="J1378" t="s">
        <v>5458</v>
      </c>
      <c r="K1378" t="s">
        <v>5459</v>
      </c>
      <c r="L1378" t="s">
        <v>5460</v>
      </c>
      <c r="M1378" t="s">
        <v>5461</v>
      </c>
      <c r="N1378" t="s">
        <v>5462</v>
      </c>
      <c r="O1378" t="s">
        <v>27</v>
      </c>
      <c r="P1378" t="s">
        <v>48</v>
      </c>
      <c r="Q1378" t="s">
        <v>49</v>
      </c>
      <c r="R1378" t="s">
        <v>50</v>
      </c>
      <c r="S1378" t="s">
        <v>28</v>
      </c>
      <c r="T1378" t="s">
        <v>5463</v>
      </c>
      <c r="U1378" t="s">
        <v>5462</v>
      </c>
    </row>
    <row r="1379" spans="1:21" x14ac:dyDescent="0.25">
      <c r="A1379" t="s">
        <v>456</v>
      </c>
      <c r="B1379" t="s">
        <v>1178</v>
      </c>
      <c r="C1379">
        <v>94.37</v>
      </c>
      <c r="D1379">
        <v>1</v>
      </c>
      <c r="E1379">
        <v>0</v>
      </c>
      <c r="F1379" t="s">
        <v>5457</v>
      </c>
      <c r="G1379">
        <v>377.5</v>
      </c>
      <c r="H1379">
        <v>0</v>
      </c>
      <c r="I1379" t="s">
        <v>628</v>
      </c>
      <c r="J1379" t="s">
        <v>5458</v>
      </c>
      <c r="K1379" t="s">
        <v>5459</v>
      </c>
      <c r="L1379" t="s">
        <v>5460</v>
      </c>
      <c r="M1379" t="s">
        <v>5461</v>
      </c>
      <c r="N1379" t="s">
        <v>5462</v>
      </c>
      <c r="O1379" t="s">
        <v>27</v>
      </c>
      <c r="P1379" t="s">
        <v>48</v>
      </c>
      <c r="Q1379" t="s">
        <v>49</v>
      </c>
      <c r="R1379" t="s">
        <v>50</v>
      </c>
      <c r="S1379" t="s">
        <v>28</v>
      </c>
      <c r="T1379" t="s">
        <v>5463</v>
      </c>
      <c r="U1379" t="s">
        <v>5462</v>
      </c>
    </row>
    <row r="1380" spans="1:21" x14ac:dyDescent="0.25">
      <c r="A1380" t="s">
        <v>456</v>
      </c>
      <c r="B1380" t="s">
        <v>1178</v>
      </c>
      <c r="C1380">
        <v>94.38</v>
      </c>
      <c r="D1380">
        <v>1</v>
      </c>
      <c r="E1380">
        <v>0</v>
      </c>
      <c r="F1380" t="s">
        <v>5457</v>
      </c>
      <c r="G1380">
        <v>377.5</v>
      </c>
      <c r="H1380">
        <v>0</v>
      </c>
      <c r="I1380" t="s">
        <v>628</v>
      </c>
      <c r="J1380" t="s">
        <v>5458</v>
      </c>
      <c r="K1380" t="s">
        <v>5459</v>
      </c>
      <c r="L1380" t="s">
        <v>5460</v>
      </c>
      <c r="M1380" t="s">
        <v>5461</v>
      </c>
      <c r="N1380" t="s">
        <v>5462</v>
      </c>
      <c r="O1380" t="s">
        <v>27</v>
      </c>
      <c r="P1380" t="s">
        <v>48</v>
      </c>
      <c r="Q1380" t="s">
        <v>49</v>
      </c>
      <c r="R1380" t="s">
        <v>50</v>
      </c>
      <c r="S1380" t="s">
        <v>28</v>
      </c>
      <c r="T1380" t="s">
        <v>5463</v>
      </c>
      <c r="U1380" t="s">
        <v>5462</v>
      </c>
    </row>
    <row r="1381" spans="1:21" x14ac:dyDescent="0.25">
      <c r="A1381" t="s">
        <v>456</v>
      </c>
      <c r="B1381" t="s">
        <v>1178</v>
      </c>
      <c r="C1381">
        <v>94.37</v>
      </c>
      <c r="D1381">
        <v>1</v>
      </c>
      <c r="E1381">
        <v>0</v>
      </c>
      <c r="F1381" t="s">
        <v>5457</v>
      </c>
      <c r="G1381">
        <v>377.5</v>
      </c>
      <c r="H1381">
        <v>0</v>
      </c>
      <c r="I1381" t="s">
        <v>628</v>
      </c>
      <c r="J1381" t="s">
        <v>5458</v>
      </c>
      <c r="K1381" t="s">
        <v>5459</v>
      </c>
      <c r="L1381" t="s">
        <v>5460</v>
      </c>
      <c r="M1381" t="s">
        <v>5461</v>
      </c>
      <c r="N1381" t="s">
        <v>5462</v>
      </c>
      <c r="O1381" t="s">
        <v>27</v>
      </c>
      <c r="P1381" t="s">
        <v>48</v>
      </c>
      <c r="Q1381" t="s">
        <v>49</v>
      </c>
      <c r="R1381" t="s">
        <v>50</v>
      </c>
      <c r="S1381" t="s">
        <v>28</v>
      </c>
      <c r="T1381" t="s">
        <v>5463</v>
      </c>
      <c r="U1381" t="s">
        <v>5462</v>
      </c>
    </row>
    <row r="1382" spans="1:21" x14ac:dyDescent="0.25">
      <c r="A1382" t="s">
        <v>21</v>
      </c>
      <c r="B1382" t="s">
        <v>22</v>
      </c>
      <c r="C1382">
        <v>100</v>
      </c>
      <c r="D1382">
        <v>2</v>
      </c>
      <c r="E1382">
        <v>0</v>
      </c>
      <c r="F1382" t="s">
        <v>5464</v>
      </c>
      <c r="G1382">
        <v>200</v>
      </c>
      <c r="H1382">
        <v>0</v>
      </c>
      <c r="I1382" t="s">
        <v>140</v>
      </c>
      <c r="J1382" t="s">
        <v>5465</v>
      </c>
      <c r="K1382" t="s">
        <v>5378</v>
      </c>
      <c r="L1382" t="s">
        <v>27</v>
      </c>
      <c r="M1382" t="s">
        <v>28</v>
      </c>
      <c r="N1382" t="s">
        <v>5466</v>
      </c>
      <c r="O1382" t="s">
        <v>27</v>
      </c>
      <c r="P1382" t="s">
        <v>30</v>
      </c>
      <c r="Q1382" t="s">
        <v>31</v>
      </c>
      <c r="R1382" t="s">
        <v>32</v>
      </c>
      <c r="S1382" t="s">
        <v>28</v>
      </c>
      <c r="T1382" t="s">
        <v>5467</v>
      </c>
      <c r="U1382" t="s">
        <v>5466</v>
      </c>
    </row>
    <row r="1383" spans="1:21" x14ac:dyDescent="0.25">
      <c r="A1383" t="s">
        <v>21</v>
      </c>
      <c r="B1383" t="s">
        <v>5468</v>
      </c>
      <c r="C1383">
        <v>72.83</v>
      </c>
      <c r="D1383">
        <v>1</v>
      </c>
      <c r="E1383">
        <v>0</v>
      </c>
      <c r="F1383" t="s">
        <v>5469</v>
      </c>
      <c r="G1383">
        <v>436.98</v>
      </c>
      <c r="H1383">
        <v>0</v>
      </c>
      <c r="I1383" t="s">
        <v>720</v>
      </c>
      <c r="J1383" t="s">
        <v>5470</v>
      </c>
      <c r="K1383" t="s">
        <v>5471</v>
      </c>
      <c r="L1383" t="s">
        <v>5472</v>
      </c>
      <c r="M1383" t="s">
        <v>5473</v>
      </c>
      <c r="N1383" t="s">
        <v>5462</v>
      </c>
      <c r="O1383" t="s">
        <v>27</v>
      </c>
      <c r="P1383" t="s">
        <v>48</v>
      </c>
      <c r="Q1383" t="s">
        <v>49</v>
      </c>
      <c r="R1383" t="s">
        <v>50</v>
      </c>
      <c r="S1383" t="s">
        <v>28</v>
      </c>
      <c r="T1383" t="s">
        <v>5474</v>
      </c>
      <c r="U1383" t="s">
        <v>5466</v>
      </c>
    </row>
    <row r="1384" spans="1:21" x14ac:dyDescent="0.25">
      <c r="A1384" t="s">
        <v>21</v>
      </c>
      <c r="B1384" t="s">
        <v>5468</v>
      </c>
      <c r="C1384">
        <v>72.84</v>
      </c>
      <c r="D1384">
        <v>1</v>
      </c>
      <c r="E1384">
        <v>0</v>
      </c>
      <c r="F1384" t="s">
        <v>5469</v>
      </c>
      <c r="G1384">
        <v>436.98</v>
      </c>
      <c r="H1384">
        <v>0</v>
      </c>
      <c r="I1384" t="s">
        <v>720</v>
      </c>
      <c r="J1384" t="s">
        <v>5470</v>
      </c>
      <c r="K1384" t="s">
        <v>5471</v>
      </c>
      <c r="L1384" t="s">
        <v>5472</v>
      </c>
      <c r="M1384" t="s">
        <v>5473</v>
      </c>
      <c r="N1384" t="s">
        <v>5462</v>
      </c>
      <c r="O1384" t="s">
        <v>27</v>
      </c>
      <c r="P1384" t="s">
        <v>48</v>
      </c>
      <c r="Q1384" t="s">
        <v>49</v>
      </c>
      <c r="R1384" t="s">
        <v>50</v>
      </c>
      <c r="S1384" t="s">
        <v>28</v>
      </c>
      <c r="T1384" t="s">
        <v>5474</v>
      </c>
      <c r="U1384" t="s">
        <v>5466</v>
      </c>
    </row>
    <row r="1385" spans="1:21" x14ac:dyDescent="0.25">
      <c r="A1385" t="s">
        <v>21</v>
      </c>
      <c r="B1385" t="s">
        <v>5468</v>
      </c>
      <c r="C1385">
        <v>72.83</v>
      </c>
      <c r="D1385">
        <v>1</v>
      </c>
      <c r="E1385">
        <v>0</v>
      </c>
      <c r="F1385" t="s">
        <v>5469</v>
      </c>
      <c r="G1385">
        <v>436.98</v>
      </c>
      <c r="H1385">
        <v>0</v>
      </c>
      <c r="I1385" t="s">
        <v>720</v>
      </c>
      <c r="J1385" t="s">
        <v>5470</v>
      </c>
      <c r="K1385" t="s">
        <v>5471</v>
      </c>
      <c r="L1385" t="s">
        <v>5472</v>
      </c>
      <c r="M1385" t="s">
        <v>5473</v>
      </c>
      <c r="N1385" t="s">
        <v>5462</v>
      </c>
      <c r="O1385" t="s">
        <v>27</v>
      </c>
      <c r="P1385" t="s">
        <v>48</v>
      </c>
      <c r="Q1385" t="s">
        <v>49</v>
      </c>
      <c r="R1385" t="s">
        <v>50</v>
      </c>
      <c r="S1385" t="s">
        <v>28</v>
      </c>
      <c r="T1385" t="s">
        <v>5474</v>
      </c>
      <c r="U1385" t="s">
        <v>5466</v>
      </c>
    </row>
    <row r="1386" spans="1:21" x14ac:dyDescent="0.25">
      <c r="A1386" t="s">
        <v>21</v>
      </c>
      <c r="B1386" t="s">
        <v>5468</v>
      </c>
      <c r="C1386">
        <v>72.83</v>
      </c>
      <c r="D1386">
        <v>1</v>
      </c>
      <c r="E1386">
        <v>0</v>
      </c>
      <c r="F1386" t="s">
        <v>5469</v>
      </c>
      <c r="G1386">
        <v>436.98</v>
      </c>
      <c r="H1386">
        <v>0</v>
      </c>
      <c r="I1386" t="s">
        <v>720</v>
      </c>
      <c r="J1386" t="s">
        <v>5470</v>
      </c>
      <c r="K1386" t="s">
        <v>5471</v>
      </c>
      <c r="L1386" t="s">
        <v>5472</v>
      </c>
      <c r="M1386" t="s">
        <v>5473</v>
      </c>
      <c r="N1386" t="s">
        <v>5462</v>
      </c>
      <c r="O1386" t="s">
        <v>27</v>
      </c>
      <c r="P1386" t="s">
        <v>48</v>
      </c>
      <c r="Q1386" t="s">
        <v>49</v>
      </c>
      <c r="R1386" t="s">
        <v>50</v>
      </c>
      <c r="S1386" t="s">
        <v>28</v>
      </c>
      <c r="T1386" t="s">
        <v>5474</v>
      </c>
      <c r="U1386" t="s">
        <v>5466</v>
      </c>
    </row>
    <row r="1387" spans="1:21" x14ac:dyDescent="0.25">
      <c r="A1387" t="s">
        <v>21</v>
      </c>
      <c r="B1387" t="s">
        <v>5468</v>
      </c>
      <c r="C1387">
        <v>72.819999999999993</v>
      </c>
      <c r="D1387">
        <v>1</v>
      </c>
      <c r="E1387">
        <v>0</v>
      </c>
      <c r="F1387" t="s">
        <v>5469</v>
      </c>
      <c r="G1387">
        <v>436.98</v>
      </c>
      <c r="H1387">
        <v>0</v>
      </c>
      <c r="I1387" t="s">
        <v>720</v>
      </c>
      <c r="J1387" t="s">
        <v>5470</v>
      </c>
      <c r="K1387" t="s">
        <v>5471</v>
      </c>
      <c r="L1387" t="s">
        <v>5472</v>
      </c>
      <c r="M1387" t="s">
        <v>5473</v>
      </c>
      <c r="N1387" t="s">
        <v>5462</v>
      </c>
      <c r="O1387" t="s">
        <v>27</v>
      </c>
      <c r="P1387" t="s">
        <v>48</v>
      </c>
      <c r="Q1387" t="s">
        <v>49</v>
      </c>
      <c r="R1387" t="s">
        <v>50</v>
      </c>
      <c r="S1387" t="s">
        <v>28</v>
      </c>
      <c r="T1387" t="s">
        <v>5474</v>
      </c>
      <c r="U1387" t="s">
        <v>5466</v>
      </c>
    </row>
    <row r="1388" spans="1:21" x14ac:dyDescent="0.25">
      <c r="A1388" t="s">
        <v>21</v>
      </c>
      <c r="B1388" t="s">
        <v>5468</v>
      </c>
      <c r="C1388">
        <v>72.83</v>
      </c>
      <c r="D1388">
        <v>1</v>
      </c>
      <c r="E1388">
        <v>0</v>
      </c>
      <c r="F1388" t="s">
        <v>5469</v>
      </c>
      <c r="G1388">
        <v>436.98</v>
      </c>
      <c r="H1388">
        <v>0</v>
      </c>
      <c r="I1388" t="s">
        <v>720</v>
      </c>
      <c r="J1388" t="s">
        <v>5470</v>
      </c>
      <c r="K1388" t="s">
        <v>5471</v>
      </c>
      <c r="L1388" t="s">
        <v>5472</v>
      </c>
      <c r="M1388" t="s">
        <v>5473</v>
      </c>
      <c r="N1388" t="s">
        <v>5462</v>
      </c>
      <c r="O1388" t="s">
        <v>27</v>
      </c>
      <c r="P1388" t="s">
        <v>48</v>
      </c>
      <c r="Q1388" t="s">
        <v>49</v>
      </c>
      <c r="R1388" t="s">
        <v>50</v>
      </c>
      <c r="S1388" t="s">
        <v>28</v>
      </c>
      <c r="T1388" t="s">
        <v>5474</v>
      </c>
      <c r="U1388" t="s">
        <v>5466</v>
      </c>
    </row>
    <row r="1389" spans="1:21" x14ac:dyDescent="0.25">
      <c r="A1389" t="s">
        <v>21</v>
      </c>
      <c r="B1389" t="s">
        <v>22</v>
      </c>
      <c r="C1389">
        <v>100</v>
      </c>
      <c r="D1389">
        <v>2</v>
      </c>
      <c r="E1389">
        <v>0</v>
      </c>
      <c r="F1389" t="s">
        <v>5475</v>
      </c>
      <c r="G1389">
        <v>200</v>
      </c>
      <c r="H1389">
        <v>0</v>
      </c>
      <c r="I1389" t="s">
        <v>24</v>
      </c>
      <c r="J1389" t="s">
        <v>5476</v>
      </c>
      <c r="K1389" t="s">
        <v>151</v>
      </c>
      <c r="L1389" t="s">
        <v>27</v>
      </c>
      <c r="M1389" t="s">
        <v>28</v>
      </c>
      <c r="N1389" t="s">
        <v>5466</v>
      </c>
      <c r="O1389" t="s">
        <v>27</v>
      </c>
      <c r="P1389" t="s">
        <v>39</v>
      </c>
      <c r="Q1389" t="s">
        <v>31</v>
      </c>
      <c r="R1389" t="s">
        <v>32</v>
      </c>
      <c r="S1389" t="s">
        <v>28</v>
      </c>
      <c r="T1389" t="s">
        <v>5477</v>
      </c>
      <c r="U1389" t="s">
        <v>5466</v>
      </c>
    </row>
    <row r="1390" spans="1:21" x14ac:dyDescent="0.25">
      <c r="A1390" t="s">
        <v>21</v>
      </c>
      <c r="B1390" t="s">
        <v>22</v>
      </c>
      <c r="C1390">
        <v>100</v>
      </c>
      <c r="D1390">
        <v>1</v>
      </c>
      <c r="E1390">
        <v>0</v>
      </c>
      <c r="F1390" t="s">
        <v>5478</v>
      </c>
      <c r="G1390">
        <v>106</v>
      </c>
      <c r="H1390">
        <v>6</v>
      </c>
      <c r="I1390" t="s">
        <v>140</v>
      </c>
      <c r="J1390" t="s">
        <v>5479</v>
      </c>
      <c r="K1390" t="s">
        <v>791</v>
      </c>
      <c r="L1390" t="s">
        <v>27</v>
      </c>
      <c r="M1390" t="s">
        <v>28</v>
      </c>
      <c r="N1390" t="s">
        <v>5466</v>
      </c>
      <c r="O1390" t="s">
        <v>27</v>
      </c>
      <c r="P1390" t="s">
        <v>369</v>
      </c>
      <c r="Q1390" t="s">
        <v>31</v>
      </c>
      <c r="R1390" t="s">
        <v>57</v>
      </c>
      <c r="S1390" t="s">
        <v>28</v>
      </c>
      <c r="T1390" t="s">
        <v>5480</v>
      </c>
      <c r="U1390" t="s">
        <v>5481</v>
      </c>
    </row>
    <row r="1391" spans="1:21" x14ac:dyDescent="0.25">
      <c r="A1391" t="s">
        <v>33</v>
      </c>
      <c r="B1391" t="s">
        <v>34</v>
      </c>
      <c r="C1391">
        <v>200</v>
      </c>
      <c r="D1391">
        <v>1</v>
      </c>
      <c r="E1391">
        <v>0</v>
      </c>
      <c r="F1391" t="s">
        <v>5482</v>
      </c>
      <c r="G1391">
        <v>200</v>
      </c>
      <c r="H1391">
        <v>0</v>
      </c>
      <c r="I1391" t="s">
        <v>24</v>
      </c>
      <c r="J1391" t="s">
        <v>5483</v>
      </c>
      <c r="K1391" t="s">
        <v>797</v>
      </c>
      <c r="L1391" t="s">
        <v>27</v>
      </c>
      <c r="M1391" t="s">
        <v>28</v>
      </c>
      <c r="N1391" t="s">
        <v>5484</v>
      </c>
      <c r="O1391" t="s">
        <v>27</v>
      </c>
      <c r="P1391" t="s">
        <v>39</v>
      </c>
      <c r="Q1391" t="s">
        <v>31</v>
      </c>
      <c r="R1391" t="s">
        <v>32</v>
      </c>
      <c r="S1391" t="s">
        <v>28</v>
      </c>
      <c r="T1391" t="s">
        <v>5485</v>
      </c>
      <c r="U1391" t="s">
        <v>5484</v>
      </c>
    </row>
    <row r="1392" spans="1:21" x14ac:dyDescent="0.25">
      <c r="A1392" t="s">
        <v>58</v>
      </c>
      <c r="B1392" t="s">
        <v>58</v>
      </c>
      <c r="C1392">
        <v>100</v>
      </c>
      <c r="D1392">
        <v>2</v>
      </c>
      <c r="E1392">
        <v>0</v>
      </c>
      <c r="F1392" t="s">
        <v>5486</v>
      </c>
      <c r="G1392">
        <v>200</v>
      </c>
      <c r="H1392">
        <v>0</v>
      </c>
      <c r="I1392" t="s">
        <v>140</v>
      </c>
      <c r="J1392" t="s">
        <v>5487</v>
      </c>
      <c r="K1392" t="s">
        <v>137</v>
      </c>
      <c r="L1392" t="s">
        <v>27</v>
      </c>
      <c r="M1392" t="s">
        <v>28</v>
      </c>
      <c r="N1392" t="s">
        <v>5488</v>
      </c>
      <c r="O1392" t="s">
        <v>27</v>
      </c>
      <c r="P1392" t="s">
        <v>30</v>
      </c>
      <c r="Q1392" t="s">
        <v>31</v>
      </c>
      <c r="R1392" t="s">
        <v>32</v>
      </c>
      <c r="S1392" t="s">
        <v>28</v>
      </c>
      <c r="T1392" t="s">
        <v>5489</v>
      </c>
      <c r="U1392" t="s">
        <v>5488</v>
      </c>
    </row>
    <row r="1393" spans="1:21" x14ac:dyDescent="0.25">
      <c r="A1393" t="s">
        <v>21</v>
      </c>
      <c r="B1393" t="s">
        <v>22</v>
      </c>
      <c r="C1393">
        <v>100</v>
      </c>
      <c r="D1393">
        <v>1</v>
      </c>
      <c r="E1393">
        <v>0</v>
      </c>
      <c r="F1393" t="s">
        <v>5490</v>
      </c>
      <c r="G1393">
        <v>200</v>
      </c>
      <c r="H1393">
        <v>0</v>
      </c>
      <c r="I1393" t="s">
        <v>445</v>
      </c>
      <c r="J1393" t="s">
        <v>5491</v>
      </c>
      <c r="K1393" t="s">
        <v>579</v>
      </c>
      <c r="L1393" t="s">
        <v>27</v>
      </c>
      <c r="M1393" t="s">
        <v>28</v>
      </c>
      <c r="N1393" t="s">
        <v>5492</v>
      </c>
      <c r="O1393" t="s">
        <v>27</v>
      </c>
      <c r="P1393" t="s">
        <v>39</v>
      </c>
      <c r="Q1393" t="s">
        <v>31</v>
      </c>
      <c r="R1393" t="s">
        <v>32</v>
      </c>
      <c r="S1393" t="s">
        <v>28</v>
      </c>
      <c r="T1393" t="s">
        <v>5493</v>
      </c>
      <c r="U1393" t="s">
        <v>5492</v>
      </c>
    </row>
    <row r="1394" spans="1:21" x14ac:dyDescent="0.25">
      <c r="A1394" t="s">
        <v>58</v>
      </c>
      <c r="B1394" t="s">
        <v>58</v>
      </c>
      <c r="C1394">
        <v>100</v>
      </c>
      <c r="D1394">
        <v>1</v>
      </c>
      <c r="E1394">
        <v>0</v>
      </c>
      <c r="F1394" t="s">
        <v>5490</v>
      </c>
      <c r="G1394">
        <v>200</v>
      </c>
      <c r="H1394">
        <v>0</v>
      </c>
      <c r="I1394" t="s">
        <v>445</v>
      </c>
      <c r="J1394" t="s">
        <v>5491</v>
      </c>
      <c r="K1394" t="s">
        <v>579</v>
      </c>
      <c r="L1394" t="s">
        <v>27</v>
      </c>
      <c r="M1394" t="s">
        <v>28</v>
      </c>
      <c r="N1394" t="s">
        <v>5492</v>
      </c>
      <c r="O1394" t="s">
        <v>27</v>
      </c>
      <c r="P1394" t="s">
        <v>39</v>
      </c>
      <c r="Q1394" t="s">
        <v>31</v>
      </c>
      <c r="R1394" t="s">
        <v>32</v>
      </c>
      <c r="S1394" t="s">
        <v>28</v>
      </c>
      <c r="T1394" t="s">
        <v>5493</v>
      </c>
      <c r="U1394" t="s">
        <v>5492</v>
      </c>
    </row>
    <row r="1395" spans="1:21" x14ac:dyDescent="0.25">
      <c r="A1395" t="s">
        <v>499</v>
      </c>
      <c r="B1395" t="s">
        <v>500</v>
      </c>
      <c r="C1395">
        <v>130</v>
      </c>
      <c r="D1395">
        <v>1</v>
      </c>
      <c r="E1395">
        <v>0</v>
      </c>
      <c r="F1395" t="s">
        <v>5494</v>
      </c>
      <c r="G1395">
        <v>159</v>
      </c>
      <c r="H1395">
        <v>29</v>
      </c>
      <c r="I1395" t="s">
        <v>24</v>
      </c>
      <c r="J1395" t="s">
        <v>5495</v>
      </c>
      <c r="K1395" t="s">
        <v>5496</v>
      </c>
      <c r="L1395" t="s">
        <v>1677</v>
      </c>
      <c r="M1395" t="s">
        <v>481</v>
      </c>
      <c r="N1395" t="s">
        <v>5492</v>
      </c>
      <c r="O1395" t="s">
        <v>27</v>
      </c>
      <c r="P1395" t="s">
        <v>193</v>
      </c>
      <c r="Q1395" t="s">
        <v>85</v>
      </c>
      <c r="R1395" t="s">
        <v>86</v>
      </c>
      <c r="S1395" t="s">
        <v>28</v>
      </c>
      <c r="T1395" t="s">
        <v>5497</v>
      </c>
      <c r="U1395" t="s">
        <v>5498</v>
      </c>
    </row>
    <row r="1396" spans="1:21" x14ac:dyDescent="0.25">
      <c r="A1396" t="s">
        <v>195</v>
      </c>
      <c r="B1396" t="s">
        <v>1003</v>
      </c>
      <c r="C1396">
        <v>112.35</v>
      </c>
      <c r="D1396">
        <v>1</v>
      </c>
      <c r="E1396">
        <v>0</v>
      </c>
      <c r="F1396" t="s">
        <v>5499</v>
      </c>
      <c r="G1396">
        <v>112.35</v>
      </c>
      <c r="H1396">
        <v>0</v>
      </c>
      <c r="I1396" t="s">
        <v>628</v>
      </c>
      <c r="J1396" t="s">
        <v>5500</v>
      </c>
      <c r="K1396" t="s">
        <v>5501</v>
      </c>
      <c r="L1396" t="s">
        <v>3228</v>
      </c>
      <c r="M1396" t="s">
        <v>5502</v>
      </c>
      <c r="N1396" t="s">
        <v>5503</v>
      </c>
      <c r="O1396" t="s">
        <v>27</v>
      </c>
      <c r="P1396" t="s">
        <v>48</v>
      </c>
      <c r="Q1396" t="s">
        <v>49</v>
      </c>
      <c r="R1396" t="s">
        <v>50</v>
      </c>
      <c r="S1396" t="s">
        <v>28</v>
      </c>
      <c r="T1396" t="s">
        <v>5504</v>
      </c>
      <c r="U1396" t="s">
        <v>5505</v>
      </c>
    </row>
    <row r="1397" spans="1:21" x14ac:dyDescent="0.25">
      <c r="A1397" t="s">
        <v>21</v>
      </c>
      <c r="B1397" t="s">
        <v>22</v>
      </c>
      <c r="C1397">
        <v>100</v>
      </c>
      <c r="D1397">
        <v>2</v>
      </c>
      <c r="E1397">
        <v>0</v>
      </c>
      <c r="F1397" t="s">
        <v>5506</v>
      </c>
      <c r="G1397">
        <v>206</v>
      </c>
      <c r="H1397">
        <v>6</v>
      </c>
      <c r="I1397" t="s">
        <v>24</v>
      </c>
      <c r="J1397" t="s">
        <v>5507</v>
      </c>
      <c r="K1397" t="s">
        <v>285</v>
      </c>
      <c r="L1397" t="s">
        <v>27</v>
      </c>
      <c r="M1397" t="s">
        <v>28</v>
      </c>
      <c r="N1397" t="s">
        <v>5508</v>
      </c>
      <c r="O1397" t="s">
        <v>27</v>
      </c>
      <c r="P1397" t="s">
        <v>39</v>
      </c>
      <c r="Q1397" t="s">
        <v>31</v>
      </c>
      <c r="R1397" t="s">
        <v>32</v>
      </c>
      <c r="S1397" t="s">
        <v>28</v>
      </c>
      <c r="T1397" t="s">
        <v>5509</v>
      </c>
      <c r="U1397" t="s">
        <v>5508</v>
      </c>
    </row>
    <row r="1398" spans="1:21" x14ac:dyDescent="0.25">
      <c r="A1398" t="s">
        <v>456</v>
      </c>
      <c r="B1398" t="s">
        <v>1178</v>
      </c>
      <c r="C1398">
        <v>142.31</v>
      </c>
      <c r="D1398">
        <v>1</v>
      </c>
      <c r="E1398">
        <v>0</v>
      </c>
      <c r="F1398" t="s">
        <v>5510</v>
      </c>
      <c r="G1398">
        <v>147.31</v>
      </c>
      <c r="H1398">
        <v>5</v>
      </c>
      <c r="I1398" t="s">
        <v>628</v>
      </c>
      <c r="J1398" t="s">
        <v>5511</v>
      </c>
      <c r="K1398" t="s">
        <v>5512</v>
      </c>
      <c r="L1398" t="s">
        <v>1972</v>
      </c>
      <c r="M1398" t="s">
        <v>5513</v>
      </c>
      <c r="N1398" t="s">
        <v>5514</v>
      </c>
      <c r="O1398" t="s">
        <v>27</v>
      </c>
      <c r="P1398" t="s">
        <v>48</v>
      </c>
      <c r="Q1398" t="s">
        <v>49</v>
      </c>
      <c r="R1398" t="s">
        <v>50</v>
      </c>
      <c r="S1398" t="s">
        <v>28</v>
      </c>
      <c r="T1398" t="s">
        <v>5515</v>
      </c>
      <c r="U1398" t="s">
        <v>5514</v>
      </c>
    </row>
    <row r="1399" spans="1:21" x14ac:dyDescent="0.25">
      <c r="A1399" t="s">
        <v>143</v>
      </c>
      <c r="B1399" t="s">
        <v>144</v>
      </c>
      <c r="C1399">
        <v>200</v>
      </c>
      <c r="D1399">
        <v>1</v>
      </c>
      <c r="E1399">
        <v>0</v>
      </c>
      <c r="F1399" t="s">
        <v>5516</v>
      </c>
      <c r="G1399">
        <v>300</v>
      </c>
      <c r="H1399">
        <v>0</v>
      </c>
      <c r="I1399" t="s">
        <v>445</v>
      </c>
      <c r="J1399" t="s">
        <v>5517</v>
      </c>
      <c r="K1399" t="s">
        <v>37</v>
      </c>
      <c r="L1399" t="s">
        <v>27</v>
      </c>
      <c r="M1399" t="s">
        <v>28</v>
      </c>
      <c r="N1399" t="s">
        <v>5518</v>
      </c>
      <c r="O1399" t="s">
        <v>27</v>
      </c>
      <c r="P1399" t="s">
        <v>39</v>
      </c>
      <c r="Q1399" t="s">
        <v>31</v>
      </c>
      <c r="R1399" t="s">
        <v>32</v>
      </c>
      <c r="S1399" t="s">
        <v>28</v>
      </c>
      <c r="T1399" t="s">
        <v>5519</v>
      </c>
      <c r="U1399" t="s">
        <v>5518</v>
      </c>
    </row>
    <row r="1400" spans="1:21" x14ac:dyDescent="0.25">
      <c r="A1400" t="s">
        <v>58</v>
      </c>
      <c r="B1400" t="s">
        <v>58</v>
      </c>
      <c r="C1400">
        <v>100</v>
      </c>
      <c r="D1400">
        <v>1</v>
      </c>
      <c r="E1400">
        <v>0</v>
      </c>
      <c r="F1400" t="s">
        <v>5516</v>
      </c>
      <c r="G1400">
        <v>300</v>
      </c>
      <c r="H1400">
        <v>0</v>
      </c>
      <c r="I1400" t="s">
        <v>445</v>
      </c>
      <c r="J1400" t="s">
        <v>5517</v>
      </c>
      <c r="K1400" t="s">
        <v>37</v>
      </c>
      <c r="L1400" t="s">
        <v>27</v>
      </c>
      <c r="M1400" t="s">
        <v>28</v>
      </c>
      <c r="N1400" t="s">
        <v>5518</v>
      </c>
      <c r="O1400" t="s">
        <v>27</v>
      </c>
      <c r="P1400" t="s">
        <v>39</v>
      </c>
      <c r="Q1400" t="s">
        <v>31</v>
      </c>
      <c r="R1400" t="s">
        <v>32</v>
      </c>
      <c r="S1400" t="s">
        <v>28</v>
      </c>
      <c r="T1400" t="s">
        <v>5519</v>
      </c>
      <c r="U1400" t="s">
        <v>5518</v>
      </c>
    </row>
    <row r="1401" spans="1:21" x14ac:dyDescent="0.25">
      <c r="A1401" t="s">
        <v>3751</v>
      </c>
      <c r="B1401" t="s">
        <v>276</v>
      </c>
      <c r="C1401">
        <v>396.78</v>
      </c>
      <c r="D1401">
        <v>1</v>
      </c>
      <c r="E1401">
        <v>0</v>
      </c>
      <c r="F1401" t="s">
        <v>5520</v>
      </c>
      <c r="G1401">
        <v>949.95</v>
      </c>
      <c r="H1401">
        <v>29</v>
      </c>
      <c r="I1401" t="s">
        <v>24</v>
      </c>
      <c r="J1401" t="s">
        <v>5521</v>
      </c>
      <c r="K1401" t="s">
        <v>5522</v>
      </c>
      <c r="L1401" t="s">
        <v>1204</v>
      </c>
      <c r="M1401" t="s">
        <v>5523</v>
      </c>
      <c r="N1401" t="s">
        <v>5524</v>
      </c>
      <c r="O1401" t="s">
        <v>27</v>
      </c>
      <c r="P1401" t="s">
        <v>48</v>
      </c>
      <c r="Q1401" t="s">
        <v>49</v>
      </c>
      <c r="R1401" t="s">
        <v>50</v>
      </c>
      <c r="S1401" t="s">
        <v>28</v>
      </c>
      <c r="T1401" t="s">
        <v>5525</v>
      </c>
      <c r="U1401" t="s">
        <v>5518</v>
      </c>
    </row>
    <row r="1402" spans="1:21" x14ac:dyDescent="0.25">
      <c r="A1402" t="s">
        <v>63</v>
      </c>
      <c r="B1402" t="s">
        <v>64</v>
      </c>
      <c r="C1402">
        <v>103.97</v>
      </c>
      <c r="D1402">
        <v>1</v>
      </c>
      <c r="E1402">
        <v>0</v>
      </c>
      <c r="F1402" t="s">
        <v>5520</v>
      </c>
      <c r="G1402">
        <v>949.95</v>
      </c>
      <c r="H1402">
        <v>29</v>
      </c>
      <c r="I1402" t="s">
        <v>24</v>
      </c>
      <c r="J1402" t="s">
        <v>5521</v>
      </c>
      <c r="K1402" t="s">
        <v>5522</v>
      </c>
      <c r="L1402" t="s">
        <v>1204</v>
      </c>
      <c r="M1402" t="s">
        <v>5523</v>
      </c>
      <c r="N1402" t="s">
        <v>5524</v>
      </c>
      <c r="O1402" t="s">
        <v>27</v>
      </c>
      <c r="P1402" t="s">
        <v>48</v>
      </c>
      <c r="Q1402" t="s">
        <v>49</v>
      </c>
      <c r="R1402" t="s">
        <v>50</v>
      </c>
      <c r="S1402" t="s">
        <v>28</v>
      </c>
      <c r="T1402" t="s">
        <v>5525</v>
      </c>
      <c r="U1402" t="s">
        <v>5518</v>
      </c>
    </row>
    <row r="1403" spans="1:21" x14ac:dyDescent="0.25">
      <c r="A1403" t="s">
        <v>2703</v>
      </c>
      <c r="B1403" t="s">
        <v>2704</v>
      </c>
      <c r="C1403">
        <v>320.39999999999998</v>
      </c>
      <c r="D1403">
        <v>1</v>
      </c>
      <c r="E1403">
        <v>0</v>
      </c>
      <c r="F1403" t="s">
        <v>5520</v>
      </c>
      <c r="G1403">
        <v>949.95</v>
      </c>
      <c r="H1403">
        <v>29</v>
      </c>
      <c r="I1403" t="s">
        <v>24</v>
      </c>
      <c r="J1403" t="s">
        <v>5521</v>
      </c>
      <c r="K1403" t="s">
        <v>5522</v>
      </c>
      <c r="L1403" t="s">
        <v>1204</v>
      </c>
      <c r="M1403" t="s">
        <v>5523</v>
      </c>
      <c r="N1403" t="s">
        <v>5524</v>
      </c>
      <c r="O1403" t="s">
        <v>27</v>
      </c>
      <c r="P1403" t="s">
        <v>48</v>
      </c>
      <c r="Q1403" t="s">
        <v>49</v>
      </c>
      <c r="R1403" t="s">
        <v>50</v>
      </c>
      <c r="S1403" t="s">
        <v>28</v>
      </c>
      <c r="T1403" t="s">
        <v>5525</v>
      </c>
      <c r="U1403" t="s">
        <v>5518</v>
      </c>
    </row>
    <row r="1404" spans="1:21" x14ac:dyDescent="0.25">
      <c r="A1404" t="s">
        <v>40</v>
      </c>
      <c r="B1404" t="s">
        <v>41</v>
      </c>
      <c r="C1404">
        <v>99.8</v>
      </c>
      <c r="D1404">
        <v>1</v>
      </c>
      <c r="E1404">
        <v>0</v>
      </c>
      <c r="F1404" t="s">
        <v>5520</v>
      </c>
      <c r="G1404">
        <v>949.95</v>
      </c>
      <c r="H1404">
        <v>29</v>
      </c>
      <c r="I1404" t="s">
        <v>24</v>
      </c>
      <c r="J1404" t="s">
        <v>5521</v>
      </c>
      <c r="K1404" t="s">
        <v>5522</v>
      </c>
      <c r="L1404" t="s">
        <v>1204</v>
      </c>
      <c r="M1404" t="s">
        <v>5523</v>
      </c>
      <c r="N1404" t="s">
        <v>5524</v>
      </c>
      <c r="O1404" t="s">
        <v>27</v>
      </c>
      <c r="P1404" t="s">
        <v>48</v>
      </c>
      <c r="Q1404" t="s">
        <v>49</v>
      </c>
      <c r="R1404" t="s">
        <v>50</v>
      </c>
      <c r="S1404" t="s">
        <v>28</v>
      </c>
      <c r="T1404" t="s">
        <v>5525</v>
      </c>
      <c r="U1404" t="s">
        <v>5524</v>
      </c>
    </row>
    <row r="1405" spans="1:21" x14ac:dyDescent="0.25">
      <c r="A1405" t="s">
        <v>134</v>
      </c>
      <c r="B1405" t="s">
        <v>64</v>
      </c>
      <c r="C1405">
        <v>100</v>
      </c>
      <c r="D1405">
        <v>2</v>
      </c>
      <c r="E1405">
        <v>0</v>
      </c>
      <c r="F1405" t="s">
        <v>5526</v>
      </c>
      <c r="G1405">
        <v>200</v>
      </c>
      <c r="H1405">
        <v>0</v>
      </c>
      <c r="I1405" t="s">
        <v>24</v>
      </c>
      <c r="J1405" t="s">
        <v>5527</v>
      </c>
      <c r="K1405" t="s">
        <v>73</v>
      </c>
      <c r="L1405" t="s">
        <v>27</v>
      </c>
      <c r="M1405" t="s">
        <v>28</v>
      </c>
      <c r="N1405" t="s">
        <v>5524</v>
      </c>
      <c r="O1405" t="s">
        <v>27</v>
      </c>
      <c r="P1405" t="s">
        <v>39</v>
      </c>
      <c r="Q1405" t="s">
        <v>31</v>
      </c>
      <c r="R1405" t="s">
        <v>32</v>
      </c>
      <c r="S1405" t="s">
        <v>28</v>
      </c>
      <c r="T1405" t="s">
        <v>5528</v>
      </c>
      <c r="U1405" t="s">
        <v>5524</v>
      </c>
    </row>
    <row r="1406" spans="1:21" x14ac:dyDescent="0.25">
      <c r="A1406" t="s">
        <v>33</v>
      </c>
      <c r="B1406" t="s">
        <v>34</v>
      </c>
      <c r="C1406">
        <v>200</v>
      </c>
      <c r="D1406">
        <v>1</v>
      </c>
      <c r="E1406">
        <v>0</v>
      </c>
      <c r="F1406" t="s">
        <v>5529</v>
      </c>
      <c r="G1406">
        <v>200</v>
      </c>
      <c r="H1406">
        <v>0</v>
      </c>
      <c r="I1406" t="s">
        <v>24</v>
      </c>
      <c r="J1406" t="s">
        <v>5530</v>
      </c>
      <c r="K1406" t="s">
        <v>213</v>
      </c>
      <c r="L1406" t="s">
        <v>27</v>
      </c>
      <c r="M1406" t="s">
        <v>28</v>
      </c>
      <c r="N1406" t="s">
        <v>5531</v>
      </c>
      <c r="O1406" t="s">
        <v>27</v>
      </c>
      <c r="P1406" t="s">
        <v>39</v>
      </c>
      <c r="Q1406" t="s">
        <v>31</v>
      </c>
      <c r="R1406" t="s">
        <v>32</v>
      </c>
      <c r="S1406" t="s">
        <v>28</v>
      </c>
      <c r="T1406" t="s">
        <v>5532</v>
      </c>
      <c r="U1406" t="s">
        <v>5531</v>
      </c>
    </row>
    <row r="1407" spans="1:21" x14ac:dyDescent="0.25">
      <c r="A1407" t="s">
        <v>58</v>
      </c>
      <c r="B1407" t="s">
        <v>58</v>
      </c>
      <c r="C1407">
        <v>100</v>
      </c>
      <c r="D1407">
        <v>2</v>
      </c>
      <c r="E1407">
        <v>0</v>
      </c>
      <c r="F1407" t="s">
        <v>5533</v>
      </c>
      <c r="G1407">
        <v>500</v>
      </c>
      <c r="H1407">
        <v>0</v>
      </c>
      <c r="I1407" t="s">
        <v>140</v>
      </c>
      <c r="J1407" t="s">
        <v>5534</v>
      </c>
      <c r="K1407" t="s">
        <v>165</v>
      </c>
      <c r="L1407" t="s">
        <v>27</v>
      </c>
      <c r="M1407" t="s">
        <v>28</v>
      </c>
      <c r="N1407" t="s">
        <v>5535</v>
      </c>
      <c r="O1407" t="s">
        <v>27</v>
      </c>
      <c r="P1407" t="s">
        <v>30</v>
      </c>
      <c r="Q1407" t="s">
        <v>31</v>
      </c>
      <c r="R1407" t="s">
        <v>32</v>
      </c>
      <c r="S1407" t="s">
        <v>28</v>
      </c>
      <c r="T1407" t="s">
        <v>5536</v>
      </c>
      <c r="U1407" t="s">
        <v>5537</v>
      </c>
    </row>
    <row r="1408" spans="1:21" x14ac:dyDescent="0.25">
      <c r="A1408" t="s">
        <v>21</v>
      </c>
      <c r="B1408" t="s">
        <v>22</v>
      </c>
      <c r="C1408">
        <v>100</v>
      </c>
      <c r="D1408">
        <v>2</v>
      </c>
      <c r="E1408">
        <v>0</v>
      </c>
      <c r="F1408" t="s">
        <v>5533</v>
      </c>
      <c r="G1408">
        <v>500</v>
      </c>
      <c r="H1408">
        <v>0</v>
      </c>
      <c r="I1408" t="s">
        <v>140</v>
      </c>
      <c r="J1408" t="s">
        <v>5534</v>
      </c>
      <c r="K1408" t="s">
        <v>165</v>
      </c>
      <c r="L1408" t="s">
        <v>27</v>
      </c>
      <c r="M1408" t="s">
        <v>28</v>
      </c>
      <c r="N1408" t="s">
        <v>5535</v>
      </c>
      <c r="O1408" t="s">
        <v>27</v>
      </c>
      <c r="P1408" t="s">
        <v>30</v>
      </c>
      <c r="Q1408" t="s">
        <v>31</v>
      </c>
      <c r="R1408" t="s">
        <v>32</v>
      </c>
      <c r="S1408" t="s">
        <v>28</v>
      </c>
      <c r="T1408" t="s">
        <v>5536</v>
      </c>
      <c r="U1408" t="s">
        <v>5537</v>
      </c>
    </row>
    <row r="1409" spans="1:21" x14ac:dyDescent="0.25">
      <c r="A1409" t="s">
        <v>134</v>
      </c>
      <c r="B1409" t="s">
        <v>64</v>
      </c>
      <c r="C1409">
        <v>100</v>
      </c>
      <c r="D1409">
        <v>1</v>
      </c>
      <c r="E1409">
        <v>0</v>
      </c>
      <c r="F1409" t="s">
        <v>5533</v>
      </c>
      <c r="G1409">
        <v>500</v>
      </c>
      <c r="H1409">
        <v>0</v>
      </c>
      <c r="I1409" t="s">
        <v>140</v>
      </c>
      <c r="J1409" t="s">
        <v>5534</v>
      </c>
      <c r="K1409" t="s">
        <v>165</v>
      </c>
      <c r="L1409" t="s">
        <v>27</v>
      </c>
      <c r="M1409" t="s">
        <v>28</v>
      </c>
      <c r="N1409" t="s">
        <v>5535</v>
      </c>
      <c r="O1409" t="s">
        <v>27</v>
      </c>
      <c r="P1409" t="s">
        <v>30</v>
      </c>
      <c r="Q1409" t="s">
        <v>31</v>
      </c>
      <c r="R1409" t="s">
        <v>32</v>
      </c>
      <c r="S1409" t="s">
        <v>28</v>
      </c>
      <c r="T1409" t="s">
        <v>5536</v>
      </c>
      <c r="U1409" t="s">
        <v>5537</v>
      </c>
    </row>
    <row r="1410" spans="1:21" x14ac:dyDescent="0.25">
      <c r="A1410" t="s">
        <v>456</v>
      </c>
      <c r="B1410" t="s">
        <v>1178</v>
      </c>
      <c r="C1410">
        <v>142.31</v>
      </c>
      <c r="D1410">
        <v>1</v>
      </c>
      <c r="E1410">
        <v>0</v>
      </c>
      <c r="F1410" t="s">
        <v>5538</v>
      </c>
      <c r="G1410">
        <v>147.31</v>
      </c>
      <c r="H1410">
        <v>5</v>
      </c>
      <c r="I1410" t="s">
        <v>628</v>
      </c>
      <c r="J1410" t="s">
        <v>4060</v>
      </c>
      <c r="K1410" t="s">
        <v>4061</v>
      </c>
      <c r="L1410" t="s">
        <v>4062</v>
      </c>
      <c r="M1410" t="s">
        <v>4063</v>
      </c>
      <c r="N1410" t="s">
        <v>5535</v>
      </c>
      <c r="O1410" t="s">
        <v>27</v>
      </c>
      <c r="P1410" t="s">
        <v>48</v>
      </c>
      <c r="Q1410" t="s">
        <v>49</v>
      </c>
      <c r="R1410" t="s">
        <v>50</v>
      </c>
      <c r="S1410" t="s">
        <v>28</v>
      </c>
      <c r="T1410" t="s">
        <v>5539</v>
      </c>
      <c r="U1410" t="s">
        <v>5535</v>
      </c>
    </row>
    <row r="1411" spans="1:21" x14ac:dyDescent="0.25">
      <c r="A1411" t="s">
        <v>21</v>
      </c>
      <c r="B1411" t="s">
        <v>22</v>
      </c>
      <c r="C1411">
        <v>100</v>
      </c>
      <c r="D1411">
        <v>1</v>
      </c>
      <c r="E1411">
        <v>0</v>
      </c>
      <c r="F1411" t="s">
        <v>5540</v>
      </c>
      <c r="G1411">
        <v>106</v>
      </c>
      <c r="H1411">
        <v>6</v>
      </c>
      <c r="I1411" t="s">
        <v>445</v>
      </c>
      <c r="J1411" t="s">
        <v>5541</v>
      </c>
      <c r="K1411" t="s">
        <v>1198</v>
      </c>
      <c r="L1411" t="s">
        <v>27</v>
      </c>
      <c r="M1411" t="s">
        <v>28</v>
      </c>
      <c r="N1411" t="s">
        <v>5542</v>
      </c>
      <c r="O1411" t="s">
        <v>27</v>
      </c>
      <c r="P1411" t="s">
        <v>39</v>
      </c>
      <c r="Q1411" t="s">
        <v>31</v>
      </c>
      <c r="R1411" t="s">
        <v>32</v>
      </c>
      <c r="S1411" t="s">
        <v>28</v>
      </c>
      <c r="T1411" t="s">
        <v>5543</v>
      </c>
      <c r="U1411" t="s">
        <v>5542</v>
      </c>
    </row>
    <row r="1412" spans="1:21" x14ac:dyDescent="0.25">
      <c r="A1412" t="s">
        <v>195</v>
      </c>
      <c r="B1412" t="s">
        <v>1003</v>
      </c>
      <c r="C1412">
        <v>112.35</v>
      </c>
      <c r="D1412">
        <v>1</v>
      </c>
      <c r="E1412">
        <v>0</v>
      </c>
      <c r="F1412" t="s">
        <v>5544</v>
      </c>
      <c r="G1412">
        <v>117.35</v>
      </c>
      <c r="H1412">
        <v>5</v>
      </c>
      <c r="I1412" t="s">
        <v>628</v>
      </c>
      <c r="J1412" t="s">
        <v>5545</v>
      </c>
      <c r="K1412" t="s">
        <v>5546</v>
      </c>
      <c r="L1412" t="s">
        <v>5547</v>
      </c>
      <c r="M1412" t="s">
        <v>5548</v>
      </c>
      <c r="N1412" t="s">
        <v>5542</v>
      </c>
      <c r="O1412" t="s">
        <v>27</v>
      </c>
      <c r="P1412" t="s">
        <v>48</v>
      </c>
      <c r="Q1412" t="s">
        <v>49</v>
      </c>
      <c r="R1412" t="s">
        <v>50</v>
      </c>
      <c r="S1412" t="s">
        <v>28</v>
      </c>
      <c r="T1412" t="s">
        <v>5549</v>
      </c>
      <c r="U1412" t="s">
        <v>5542</v>
      </c>
    </row>
    <row r="1413" spans="1:21" x14ac:dyDescent="0.25">
      <c r="A1413" t="s">
        <v>134</v>
      </c>
      <c r="B1413" t="s">
        <v>64</v>
      </c>
      <c r="C1413">
        <v>100</v>
      </c>
      <c r="D1413">
        <v>1</v>
      </c>
      <c r="E1413">
        <v>0</v>
      </c>
      <c r="F1413" t="s">
        <v>5550</v>
      </c>
      <c r="G1413">
        <v>100</v>
      </c>
      <c r="H1413">
        <v>0</v>
      </c>
      <c r="I1413" t="s">
        <v>445</v>
      </c>
      <c r="J1413" t="s">
        <v>5551</v>
      </c>
      <c r="K1413" t="s">
        <v>26</v>
      </c>
      <c r="L1413" t="s">
        <v>27</v>
      </c>
      <c r="M1413" t="s">
        <v>28</v>
      </c>
      <c r="N1413" t="s">
        <v>5552</v>
      </c>
      <c r="O1413" t="s">
        <v>27</v>
      </c>
      <c r="P1413" t="s">
        <v>39</v>
      </c>
      <c r="Q1413" t="s">
        <v>31</v>
      </c>
      <c r="R1413" t="s">
        <v>32</v>
      </c>
      <c r="S1413" t="s">
        <v>28</v>
      </c>
      <c r="T1413" t="s">
        <v>5553</v>
      </c>
      <c r="U1413" t="s">
        <v>5552</v>
      </c>
    </row>
    <row r="1414" spans="1:21" x14ac:dyDescent="0.25">
      <c r="A1414" t="s">
        <v>21</v>
      </c>
      <c r="B1414" t="s">
        <v>22</v>
      </c>
      <c r="C1414">
        <v>100</v>
      </c>
      <c r="D1414">
        <v>1</v>
      </c>
      <c r="E1414">
        <v>0</v>
      </c>
      <c r="F1414" t="s">
        <v>5554</v>
      </c>
      <c r="G1414">
        <v>300</v>
      </c>
      <c r="H1414">
        <v>0</v>
      </c>
      <c r="I1414" t="s">
        <v>140</v>
      </c>
      <c r="J1414" t="s">
        <v>5555</v>
      </c>
      <c r="K1414" t="s">
        <v>89</v>
      </c>
      <c r="L1414" t="s">
        <v>27</v>
      </c>
      <c r="M1414" t="s">
        <v>28</v>
      </c>
      <c r="N1414" t="s">
        <v>5556</v>
      </c>
      <c r="O1414" t="s">
        <v>27</v>
      </c>
      <c r="P1414" t="s">
        <v>369</v>
      </c>
      <c r="Q1414" t="s">
        <v>31</v>
      </c>
      <c r="R1414" t="s">
        <v>57</v>
      </c>
      <c r="S1414" t="s">
        <v>28</v>
      </c>
      <c r="T1414" t="s">
        <v>5557</v>
      </c>
      <c r="U1414" t="s">
        <v>5556</v>
      </c>
    </row>
    <row r="1415" spans="1:21" x14ac:dyDescent="0.25">
      <c r="A1415" t="s">
        <v>143</v>
      </c>
      <c r="B1415" t="s">
        <v>144</v>
      </c>
      <c r="C1415">
        <v>200</v>
      </c>
      <c r="D1415">
        <v>1</v>
      </c>
      <c r="E1415">
        <v>0</v>
      </c>
      <c r="F1415" t="s">
        <v>5554</v>
      </c>
      <c r="G1415">
        <v>300</v>
      </c>
      <c r="H1415">
        <v>0</v>
      </c>
      <c r="I1415" t="s">
        <v>140</v>
      </c>
      <c r="J1415" t="s">
        <v>5555</v>
      </c>
      <c r="K1415" t="s">
        <v>89</v>
      </c>
      <c r="L1415" t="s">
        <v>27</v>
      </c>
      <c r="M1415" t="s">
        <v>28</v>
      </c>
      <c r="N1415" t="s">
        <v>5556</v>
      </c>
      <c r="O1415" t="s">
        <v>27</v>
      </c>
      <c r="P1415" t="s">
        <v>369</v>
      </c>
      <c r="Q1415" t="s">
        <v>31</v>
      </c>
      <c r="R1415" t="s">
        <v>57</v>
      </c>
      <c r="S1415" t="s">
        <v>28</v>
      </c>
      <c r="T1415" t="s">
        <v>5557</v>
      </c>
      <c r="U1415" t="s">
        <v>5556</v>
      </c>
    </row>
    <row r="1416" spans="1:21" x14ac:dyDescent="0.25">
      <c r="A1416" t="s">
        <v>456</v>
      </c>
      <c r="B1416" t="s">
        <v>1178</v>
      </c>
      <c r="C1416">
        <v>112.35</v>
      </c>
      <c r="D1416">
        <v>1</v>
      </c>
      <c r="E1416">
        <v>0</v>
      </c>
      <c r="F1416" t="s">
        <v>5558</v>
      </c>
      <c r="G1416">
        <v>117.35</v>
      </c>
      <c r="H1416">
        <v>5</v>
      </c>
      <c r="I1416" t="s">
        <v>628</v>
      </c>
      <c r="J1416" t="s">
        <v>5559</v>
      </c>
      <c r="K1416" t="s">
        <v>5560</v>
      </c>
      <c r="L1416" t="s">
        <v>555</v>
      </c>
      <c r="M1416" t="s">
        <v>5561</v>
      </c>
      <c r="N1416" t="s">
        <v>5556</v>
      </c>
      <c r="O1416" t="s">
        <v>27</v>
      </c>
      <c r="P1416" t="s">
        <v>48</v>
      </c>
      <c r="Q1416" t="s">
        <v>49</v>
      </c>
      <c r="R1416" t="s">
        <v>50</v>
      </c>
      <c r="S1416" t="s">
        <v>28</v>
      </c>
      <c r="T1416" t="s">
        <v>5562</v>
      </c>
      <c r="U1416" t="s">
        <v>5563</v>
      </c>
    </row>
    <row r="1417" spans="1:21" x14ac:dyDescent="0.25">
      <c r="A1417" t="s">
        <v>456</v>
      </c>
      <c r="B1417" t="s">
        <v>1178</v>
      </c>
      <c r="C1417">
        <v>97.37</v>
      </c>
      <c r="D1417">
        <v>1</v>
      </c>
      <c r="E1417">
        <v>0</v>
      </c>
      <c r="F1417" t="s">
        <v>5564</v>
      </c>
      <c r="G1417">
        <v>199.74</v>
      </c>
      <c r="H1417">
        <v>5</v>
      </c>
      <c r="I1417" t="s">
        <v>628</v>
      </c>
      <c r="J1417" t="s">
        <v>5565</v>
      </c>
      <c r="K1417" t="s">
        <v>5566</v>
      </c>
      <c r="L1417" t="s">
        <v>5567</v>
      </c>
      <c r="M1417" t="s">
        <v>5568</v>
      </c>
      <c r="N1417" t="s">
        <v>5569</v>
      </c>
      <c r="O1417" t="s">
        <v>27</v>
      </c>
      <c r="P1417" t="s">
        <v>48</v>
      </c>
      <c r="Q1417" t="s">
        <v>49</v>
      </c>
      <c r="R1417" t="s">
        <v>50</v>
      </c>
      <c r="S1417" t="s">
        <v>28</v>
      </c>
      <c r="T1417" t="s">
        <v>5570</v>
      </c>
      <c r="U1417" t="s">
        <v>5569</v>
      </c>
    </row>
    <row r="1418" spans="1:21" x14ac:dyDescent="0.25">
      <c r="A1418" t="s">
        <v>456</v>
      </c>
      <c r="B1418" t="s">
        <v>1178</v>
      </c>
      <c r="C1418">
        <v>97.37</v>
      </c>
      <c r="D1418">
        <v>1</v>
      </c>
      <c r="E1418">
        <v>0</v>
      </c>
      <c r="F1418" t="s">
        <v>5564</v>
      </c>
      <c r="G1418">
        <v>199.74</v>
      </c>
      <c r="H1418">
        <v>5</v>
      </c>
      <c r="I1418" t="s">
        <v>628</v>
      </c>
      <c r="J1418" t="s">
        <v>5565</v>
      </c>
      <c r="K1418" t="s">
        <v>5566</v>
      </c>
      <c r="L1418" t="s">
        <v>5567</v>
      </c>
      <c r="M1418" t="s">
        <v>5568</v>
      </c>
      <c r="N1418" t="s">
        <v>5569</v>
      </c>
      <c r="O1418" t="s">
        <v>27</v>
      </c>
      <c r="P1418" t="s">
        <v>48</v>
      </c>
      <c r="Q1418" t="s">
        <v>49</v>
      </c>
      <c r="R1418" t="s">
        <v>50</v>
      </c>
      <c r="S1418" t="s">
        <v>28</v>
      </c>
      <c r="T1418" t="s">
        <v>5570</v>
      </c>
      <c r="U1418" t="s">
        <v>5569</v>
      </c>
    </row>
    <row r="1419" spans="1:21" x14ac:dyDescent="0.25">
      <c r="A1419" t="s">
        <v>21</v>
      </c>
      <c r="B1419" t="s">
        <v>22</v>
      </c>
      <c r="C1419">
        <v>100</v>
      </c>
      <c r="D1419">
        <v>1</v>
      </c>
      <c r="E1419">
        <v>0</v>
      </c>
      <c r="F1419" t="s">
        <v>5571</v>
      </c>
      <c r="G1419">
        <v>100</v>
      </c>
      <c r="H1419">
        <v>0</v>
      </c>
      <c r="I1419" t="s">
        <v>24</v>
      </c>
      <c r="J1419" t="s">
        <v>5572</v>
      </c>
      <c r="K1419" t="s">
        <v>384</v>
      </c>
      <c r="L1419" t="s">
        <v>27</v>
      </c>
      <c r="M1419" t="s">
        <v>28</v>
      </c>
      <c r="N1419" t="s">
        <v>5573</v>
      </c>
      <c r="O1419" t="s">
        <v>27</v>
      </c>
      <c r="P1419" t="s">
        <v>39</v>
      </c>
      <c r="Q1419" t="s">
        <v>31</v>
      </c>
      <c r="R1419" t="s">
        <v>32</v>
      </c>
      <c r="S1419" t="s">
        <v>28</v>
      </c>
      <c r="T1419" t="s">
        <v>5574</v>
      </c>
      <c r="U1419" t="s">
        <v>5573</v>
      </c>
    </row>
    <row r="1420" spans="1:21" x14ac:dyDescent="0.25">
      <c r="A1420" t="s">
        <v>33</v>
      </c>
      <c r="B1420" t="s">
        <v>34</v>
      </c>
      <c r="C1420">
        <v>200</v>
      </c>
      <c r="D1420">
        <v>1</v>
      </c>
      <c r="E1420">
        <v>0</v>
      </c>
      <c r="F1420" t="s">
        <v>5575</v>
      </c>
      <c r="G1420">
        <v>200</v>
      </c>
      <c r="H1420">
        <v>0</v>
      </c>
      <c r="I1420" t="s">
        <v>445</v>
      </c>
      <c r="J1420" t="s">
        <v>5576</v>
      </c>
      <c r="K1420" t="s">
        <v>241</v>
      </c>
      <c r="L1420" t="s">
        <v>27</v>
      </c>
      <c r="M1420" t="s">
        <v>28</v>
      </c>
      <c r="N1420" t="s">
        <v>5577</v>
      </c>
      <c r="O1420" t="s">
        <v>27</v>
      </c>
      <c r="P1420" t="s">
        <v>56</v>
      </c>
      <c r="Q1420" t="s">
        <v>31</v>
      </c>
      <c r="R1420" t="s">
        <v>57</v>
      </c>
      <c r="S1420" t="s">
        <v>28</v>
      </c>
      <c r="T1420" t="s">
        <v>5578</v>
      </c>
      <c r="U1420" t="s">
        <v>5579</v>
      </c>
    </row>
    <row r="1421" spans="1:21" x14ac:dyDescent="0.25">
      <c r="A1421" t="s">
        <v>143</v>
      </c>
      <c r="B1421" t="s">
        <v>144</v>
      </c>
      <c r="C1421">
        <v>200</v>
      </c>
      <c r="D1421">
        <v>1</v>
      </c>
      <c r="E1421">
        <v>0</v>
      </c>
      <c r="F1421" t="s">
        <v>5580</v>
      </c>
      <c r="G1421">
        <v>200</v>
      </c>
      <c r="H1421">
        <v>0</v>
      </c>
      <c r="I1421" t="s">
        <v>24</v>
      </c>
      <c r="J1421" t="s">
        <v>5581</v>
      </c>
      <c r="K1421" t="s">
        <v>611</v>
      </c>
      <c r="L1421" t="s">
        <v>27</v>
      </c>
      <c r="M1421" t="s">
        <v>28</v>
      </c>
      <c r="N1421" t="s">
        <v>5582</v>
      </c>
      <c r="O1421" t="s">
        <v>27</v>
      </c>
      <c r="P1421" t="s">
        <v>39</v>
      </c>
      <c r="Q1421" t="s">
        <v>31</v>
      </c>
      <c r="R1421" t="s">
        <v>32</v>
      </c>
      <c r="S1421" t="s">
        <v>28</v>
      </c>
      <c r="T1421" t="s">
        <v>5583</v>
      </c>
      <c r="U1421" t="s">
        <v>5582</v>
      </c>
    </row>
    <row r="1422" spans="1:21" x14ac:dyDescent="0.25">
      <c r="A1422" t="s">
        <v>21</v>
      </c>
      <c r="B1422" t="s">
        <v>22</v>
      </c>
      <c r="C1422">
        <v>100</v>
      </c>
      <c r="D1422">
        <v>1</v>
      </c>
      <c r="E1422">
        <v>0</v>
      </c>
      <c r="F1422" t="s">
        <v>5584</v>
      </c>
      <c r="G1422">
        <v>106</v>
      </c>
      <c r="H1422">
        <v>6</v>
      </c>
      <c r="I1422" t="s">
        <v>24</v>
      </c>
      <c r="J1422" t="s">
        <v>5585</v>
      </c>
      <c r="K1422" t="s">
        <v>311</v>
      </c>
      <c r="L1422" t="s">
        <v>27</v>
      </c>
      <c r="M1422" t="s">
        <v>28</v>
      </c>
      <c r="N1422" t="s">
        <v>5586</v>
      </c>
      <c r="O1422" t="s">
        <v>27</v>
      </c>
      <c r="P1422" t="s">
        <v>39</v>
      </c>
      <c r="Q1422" t="s">
        <v>31</v>
      </c>
      <c r="R1422" t="s">
        <v>32</v>
      </c>
      <c r="S1422" t="s">
        <v>28</v>
      </c>
      <c r="T1422" t="s">
        <v>5587</v>
      </c>
      <c r="U1422" t="s">
        <v>5586</v>
      </c>
    </row>
    <row r="1423" spans="1:21" x14ac:dyDescent="0.25">
      <c r="A1423" t="s">
        <v>134</v>
      </c>
      <c r="B1423" t="s">
        <v>64</v>
      </c>
      <c r="C1423">
        <v>100</v>
      </c>
      <c r="D1423">
        <v>1</v>
      </c>
      <c r="E1423">
        <v>0</v>
      </c>
      <c r="F1423" t="s">
        <v>5588</v>
      </c>
      <c r="G1423">
        <v>106</v>
      </c>
      <c r="H1423">
        <v>6</v>
      </c>
      <c r="I1423" t="s">
        <v>24</v>
      </c>
      <c r="J1423" t="s">
        <v>5589</v>
      </c>
      <c r="K1423" t="s">
        <v>1029</v>
      </c>
      <c r="L1423" t="s">
        <v>27</v>
      </c>
      <c r="M1423" t="s">
        <v>28</v>
      </c>
      <c r="N1423" t="s">
        <v>5590</v>
      </c>
      <c r="O1423" t="s">
        <v>27</v>
      </c>
      <c r="P1423" t="s">
        <v>39</v>
      </c>
      <c r="Q1423" t="s">
        <v>31</v>
      </c>
      <c r="R1423" t="s">
        <v>32</v>
      </c>
      <c r="S1423" t="s">
        <v>28</v>
      </c>
      <c r="T1423" t="s">
        <v>5591</v>
      </c>
      <c r="U1423" t="s">
        <v>5590</v>
      </c>
    </row>
    <row r="1424" spans="1:21" x14ac:dyDescent="0.25">
      <c r="A1424" t="s">
        <v>58</v>
      </c>
      <c r="B1424" t="s">
        <v>58</v>
      </c>
      <c r="C1424">
        <v>100</v>
      </c>
      <c r="D1424">
        <v>1</v>
      </c>
      <c r="E1424">
        <v>0</v>
      </c>
      <c r="F1424" t="s">
        <v>5592</v>
      </c>
      <c r="G1424">
        <v>145</v>
      </c>
      <c r="H1424">
        <v>45</v>
      </c>
      <c r="I1424" t="s">
        <v>140</v>
      </c>
      <c r="J1424" t="s">
        <v>5593</v>
      </c>
      <c r="K1424" t="s">
        <v>839</v>
      </c>
      <c r="L1424" t="s">
        <v>27</v>
      </c>
      <c r="M1424" t="s">
        <v>28</v>
      </c>
      <c r="N1424" t="s">
        <v>5590</v>
      </c>
      <c r="O1424" t="s">
        <v>27</v>
      </c>
      <c r="P1424" t="s">
        <v>369</v>
      </c>
      <c r="Q1424" t="s">
        <v>31</v>
      </c>
      <c r="R1424" t="s">
        <v>57</v>
      </c>
      <c r="S1424" t="s">
        <v>28</v>
      </c>
      <c r="T1424" t="s">
        <v>5594</v>
      </c>
      <c r="U1424" t="s">
        <v>5590</v>
      </c>
    </row>
    <row r="1425" spans="1:21" x14ac:dyDescent="0.25">
      <c r="A1425" t="s">
        <v>195</v>
      </c>
      <c r="B1425" t="s">
        <v>1003</v>
      </c>
      <c r="C1425">
        <v>112.35</v>
      </c>
      <c r="D1425">
        <v>1</v>
      </c>
      <c r="E1425">
        <v>0</v>
      </c>
      <c r="F1425" t="s">
        <v>5595</v>
      </c>
      <c r="G1425">
        <v>112.35</v>
      </c>
      <c r="H1425">
        <v>0</v>
      </c>
      <c r="I1425" t="s">
        <v>628</v>
      </c>
      <c r="J1425" t="s">
        <v>5596</v>
      </c>
      <c r="K1425" t="s">
        <v>5597</v>
      </c>
      <c r="L1425" t="s">
        <v>5598</v>
      </c>
      <c r="M1425" t="s">
        <v>5599</v>
      </c>
      <c r="N1425" t="s">
        <v>5600</v>
      </c>
      <c r="O1425" t="s">
        <v>27</v>
      </c>
      <c r="P1425" t="s">
        <v>48</v>
      </c>
      <c r="Q1425" t="s">
        <v>49</v>
      </c>
      <c r="R1425" t="s">
        <v>50</v>
      </c>
      <c r="S1425" t="s">
        <v>28</v>
      </c>
      <c r="T1425" t="s">
        <v>5601</v>
      </c>
      <c r="U1425" t="s">
        <v>5600</v>
      </c>
    </row>
    <row r="1426" spans="1:21" x14ac:dyDescent="0.25">
      <c r="A1426" t="s">
        <v>275</v>
      </c>
      <c r="B1426" t="s">
        <v>276</v>
      </c>
      <c r="C1426">
        <v>106.58</v>
      </c>
      <c r="D1426">
        <v>1</v>
      </c>
      <c r="E1426">
        <v>0</v>
      </c>
      <c r="F1426" t="s">
        <v>5602</v>
      </c>
      <c r="G1426">
        <v>111.58</v>
      </c>
      <c r="H1426">
        <v>5</v>
      </c>
      <c r="I1426" t="s">
        <v>24</v>
      </c>
      <c r="J1426" t="s">
        <v>5603</v>
      </c>
      <c r="K1426" t="s">
        <v>5604</v>
      </c>
      <c r="L1426" t="s">
        <v>2427</v>
      </c>
      <c r="M1426" t="s">
        <v>5605</v>
      </c>
      <c r="N1426" t="s">
        <v>5606</v>
      </c>
      <c r="O1426" t="s">
        <v>27</v>
      </c>
      <c r="P1426" t="s">
        <v>48</v>
      </c>
      <c r="Q1426" t="s">
        <v>49</v>
      </c>
      <c r="R1426" t="s">
        <v>50</v>
      </c>
      <c r="S1426" t="s">
        <v>28</v>
      </c>
      <c r="T1426" t="s">
        <v>5607</v>
      </c>
      <c r="U1426" t="s">
        <v>5606</v>
      </c>
    </row>
    <row r="1427" spans="1:21" x14ac:dyDescent="0.25">
      <c r="A1427" t="s">
        <v>21</v>
      </c>
      <c r="B1427" t="s">
        <v>22</v>
      </c>
      <c r="C1427">
        <v>100</v>
      </c>
      <c r="D1427">
        <v>1</v>
      </c>
      <c r="E1427">
        <v>0</v>
      </c>
      <c r="F1427" t="s">
        <v>5608</v>
      </c>
      <c r="G1427">
        <v>106</v>
      </c>
      <c r="H1427">
        <v>6</v>
      </c>
      <c r="I1427" t="s">
        <v>445</v>
      </c>
      <c r="J1427" t="s">
        <v>5609</v>
      </c>
      <c r="K1427" t="s">
        <v>711</v>
      </c>
      <c r="L1427" t="s">
        <v>27</v>
      </c>
      <c r="M1427" t="s">
        <v>28</v>
      </c>
      <c r="N1427" t="s">
        <v>5606</v>
      </c>
      <c r="O1427" t="s">
        <v>27</v>
      </c>
      <c r="P1427" t="s">
        <v>39</v>
      </c>
      <c r="Q1427" t="s">
        <v>31</v>
      </c>
      <c r="R1427" t="s">
        <v>32</v>
      </c>
      <c r="S1427" t="s">
        <v>28</v>
      </c>
      <c r="T1427" t="s">
        <v>5610</v>
      </c>
      <c r="U1427" t="s">
        <v>5606</v>
      </c>
    </row>
    <row r="1428" spans="1:21" x14ac:dyDescent="0.25">
      <c r="A1428" t="s">
        <v>58</v>
      </c>
      <c r="B1428" t="s">
        <v>103</v>
      </c>
      <c r="C1428">
        <v>90.43</v>
      </c>
      <c r="D1428">
        <v>1</v>
      </c>
      <c r="E1428">
        <v>0</v>
      </c>
      <c r="F1428" t="s">
        <v>5611</v>
      </c>
      <c r="G1428">
        <v>135.43</v>
      </c>
      <c r="H1428">
        <v>45</v>
      </c>
      <c r="I1428" t="s">
        <v>105</v>
      </c>
      <c r="J1428" t="s">
        <v>5612</v>
      </c>
      <c r="K1428" t="s">
        <v>5613</v>
      </c>
      <c r="L1428" t="s">
        <v>5614</v>
      </c>
      <c r="M1428" t="s">
        <v>5615</v>
      </c>
      <c r="N1428" t="s">
        <v>5606</v>
      </c>
      <c r="O1428" t="s">
        <v>27</v>
      </c>
      <c r="P1428" t="s">
        <v>48</v>
      </c>
      <c r="Q1428" t="s">
        <v>49</v>
      </c>
      <c r="R1428" t="s">
        <v>50</v>
      </c>
      <c r="S1428" t="s">
        <v>28</v>
      </c>
      <c r="T1428" t="s">
        <v>5616</v>
      </c>
      <c r="U1428" t="s">
        <v>5606</v>
      </c>
    </row>
    <row r="1429" spans="1:21" x14ac:dyDescent="0.25">
      <c r="A1429" t="s">
        <v>63</v>
      </c>
      <c r="B1429" t="s">
        <v>64</v>
      </c>
      <c r="C1429">
        <v>100</v>
      </c>
      <c r="D1429">
        <v>1</v>
      </c>
      <c r="E1429">
        <v>0</v>
      </c>
      <c r="F1429" t="s">
        <v>5617</v>
      </c>
      <c r="G1429">
        <v>106</v>
      </c>
      <c r="H1429">
        <v>6</v>
      </c>
      <c r="I1429" t="s">
        <v>24</v>
      </c>
      <c r="J1429" t="s">
        <v>5618</v>
      </c>
      <c r="K1429" t="s">
        <v>1772</v>
      </c>
      <c r="L1429" t="s">
        <v>27</v>
      </c>
      <c r="M1429" t="s">
        <v>28</v>
      </c>
      <c r="N1429" t="s">
        <v>5619</v>
      </c>
      <c r="O1429" t="s">
        <v>27</v>
      </c>
      <c r="P1429" t="s">
        <v>39</v>
      </c>
      <c r="Q1429" t="s">
        <v>31</v>
      </c>
      <c r="R1429" t="s">
        <v>32</v>
      </c>
      <c r="S1429" t="s">
        <v>28</v>
      </c>
      <c r="T1429" t="s">
        <v>5620</v>
      </c>
      <c r="U1429" t="s">
        <v>5619</v>
      </c>
    </row>
    <row r="1430" spans="1:21" x14ac:dyDescent="0.25">
      <c r="A1430" t="s">
        <v>21</v>
      </c>
      <c r="B1430" t="s">
        <v>22</v>
      </c>
      <c r="C1430">
        <v>100</v>
      </c>
      <c r="D1430">
        <v>3</v>
      </c>
      <c r="E1430">
        <v>0</v>
      </c>
      <c r="F1430" t="s">
        <v>5621</v>
      </c>
      <c r="G1430">
        <v>300</v>
      </c>
      <c r="H1430">
        <v>0</v>
      </c>
      <c r="I1430" t="s">
        <v>445</v>
      </c>
      <c r="J1430" t="s">
        <v>5622</v>
      </c>
      <c r="K1430" t="s">
        <v>61</v>
      </c>
      <c r="L1430" t="s">
        <v>27</v>
      </c>
      <c r="M1430" t="s">
        <v>28</v>
      </c>
      <c r="N1430" t="s">
        <v>5623</v>
      </c>
      <c r="O1430" t="s">
        <v>27</v>
      </c>
      <c r="P1430" t="s">
        <v>39</v>
      </c>
      <c r="Q1430" t="s">
        <v>31</v>
      </c>
      <c r="R1430" t="s">
        <v>32</v>
      </c>
      <c r="S1430" t="s">
        <v>28</v>
      </c>
      <c r="T1430" t="s">
        <v>5624</v>
      </c>
      <c r="U1430" t="s">
        <v>5623</v>
      </c>
    </row>
    <row r="1431" spans="1:21" x14ac:dyDescent="0.25">
      <c r="A1431" t="s">
        <v>5625</v>
      </c>
      <c r="B1431" t="s">
        <v>5626</v>
      </c>
      <c r="C1431">
        <v>1200</v>
      </c>
      <c r="D1431">
        <v>1</v>
      </c>
      <c r="E1431">
        <v>0</v>
      </c>
      <c r="F1431" t="s">
        <v>5627</v>
      </c>
      <c r="G1431">
        <v>1200</v>
      </c>
      <c r="H1431">
        <v>0</v>
      </c>
      <c r="I1431" t="s">
        <v>140</v>
      </c>
      <c r="J1431" t="s">
        <v>5628</v>
      </c>
      <c r="K1431" t="s">
        <v>321</v>
      </c>
      <c r="L1431" t="s">
        <v>27</v>
      </c>
      <c r="M1431" t="s">
        <v>28</v>
      </c>
      <c r="N1431" t="s">
        <v>5629</v>
      </c>
      <c r="O1431" t="s">
        <v>27</v>
      </c>
      <c r="P1431" t="s">
        <v>30</v>
      </c>
      <c r="Q1431" t="s">
        <v>31</v>
      </c>
      <c r="R1431" t="s">
        <v>32</v>
      </c>
      <c r="S1431" t="s">
        <v>28</v>
      </c>
      <c r="T1431" t="s">
        <v>5630</v>
      </c>
      <c r="U1431" t="s">
        <v>5629</v>
      </c>
    </row>
    <row r="1432" spans="1:21" x14ac:dyDescent="0.25">
      <c r="A1432" t="s">
        <v>456</v>
      </c>
      <c r="B1432" t="s">
        <v>1178</v>
      </c>
      <c r="C1432">
        <v>127.33</v>
      </c>
      <c r="D1432">
        <v>1</v>
      </c>
      <c r="E1432">
        <v>0</v>
      </c>
      <c r="F1432" t="s">
        <v>5631</v>
      </c>
      <c r="G1432">
        <v>259.66000000000003</v>
      </c>
      <c r="H1432">
        <v>5</v>
      </c>
      <c r="I1432" t="s">
        <v>628</v>
      </c>
      <c r="J1432" t="s">
        <v>5632</v>
      </c>
      <c r="K1432" t="s">
        <v>5633</v>
      </c>
      <c r="L1432" t="s">
        <v>5634</v>
      </c>
      <c r="M1432" t="s">
        <v>5635</v>
      </c>
      <c r="N1432" t="s">
        <v>5636</v>
      </c>
      <c r="O1432" t="s">
        <v>27</v>
      </c>
      <c r="P1432" t="s">
        <v>48</v>
      </c>
      <c r="Q1432" t="s">
        <v>49</v>
      </c>
      <c r="R1432" t="s">
        <v>50</v>
      </c>
      <c r="S1432" t="s">
        <v>28</v>
      </c>
      <c r="T1432" t="s">
        <v>5637</v>
      </c>
      <c r="U1432" t="s">
        <v>5638</v>
      </c>
    </row>
    <row r="1433" spans="1:21" x14ac:dyDescent="0.25">
      <c r="A1433" t="s">
        <v>195</v>
      </c>
      <c r="B1433" t="s">
        <v>1003</v>
      </c>
      <c r="C1433">
        <v>127.33</v>
      </c>
      <c r="D1433">
        <v>1</v>
      </c>
      <c r="E1433">
        <v>0</v>
      </c>
      <c r="F1433" t="s">
        <v>5631</v>
      </c>
      <c r="G1433">
        <v>259.66000000000003</v>
      </c>
      <c r="H1433">
        <v>5</v>
      </c>
      <c r="I1433" t="s">
        <v>628</v>
      </c>
      <c r="J1433" t="s">
        <v>5632</v>
      </c>
      <c r="K1433" t="s">
        <v>5633</v>
      </c>
      <c r="L1433" t="s">
        <v>5634</v>
      </c>
      <c r="M1433" t="s">
        <v>5635</v>
      </c>
      <c r="N1433" t="s">
        <v>5636</v>
      </c>
      <c r="O1433" t="s">
        <v>27</v>
      </c>
      <c r="P1433" t="s">
        <v>48</v>
      </c>
      <c r="Q1433" t="s">
        <v>49</v>
      </c>
      <c r="R1433" t="s">
        <v>50</v>
      </c>
      <c r="S1433" t="s">
        <v>28</v>
      </c>
      <c r="T1433" t="s">
        <v>5637</v>
      </c>
      <c r="U1433" t="s">
        <v>5638</v>
      </c>
    </row>
    <row r="1434" spans="1:21" x14ac:dyDescent="0.25">
      <c r="A1434" t="s">
        <v>5037</v>
      </c>
      <c r="B1434" t="s">
        <v>276</v>
      </c>
      <c r="C1434">
        <v>306.87</v>
      </c>
      <c r="D1434">
        <v>1</v>
      </c>
      <c r="E1434">
        <v>0</v>
      </c>
      <c r="F1434" t="s">
        <v>5639</v>
      </c>
      <c r="G1434">
        <v>559.29999999999995</v>
      </c>
      <c r="H1434">
        <v>19</v>
      </c>
      <c r="I1434" t="s">
        <v>24</v>
      </c>
      <c r="J1434" t="s">
        <v>5640</v>
      </c>
      <c r="K1434" t="s">
        <v>5641</v>
      </c>
      <c r="L1434" t="s">
        <v>5642</v>
      </c>
      <c r="M1434" t="s">
        <v>5643</v>
      </c>
      <c r="N1434" t="s">
        <v>5644</v>
      </c>
      <c r="O1434" t="s">
        <v>27</v>
      </c>
      <c r="P1434" t="s">
        <v>48</v>
      </c>
      <c r="Q1434" t="s">
        <v>49</v>
      </c>
      <c r="R1434" t="s">
        <v>50</v>
      </c>
      <c r="S1434" t="s">
        <v>28</v>
      </c>
      <c r="T1434" t="s">
        <v>5645</v>
      </c>
      <c r="U1434" t="s">
        <v>5644</v>
      </c>
    </row>
    <row r="1435" spans="1:21" x14ac:dyDescent="0.25">
      <c r="A1435" t="s">
        <v>2990</v>
      </c>
      <c r="B1435" t="s">
        <v>2169</v>
      </c>
      <c r="C1435">
        <v>157.91999999999999</v>
      </c>
      <c r="D1435">
        <v>1</v>
      </c>
      <c r="E1435">
        <v>0</v>
      </c>
      <c r="F1435" t="s">
        <v>5639</v>
      </c>
      <c r="G1435">
        <v>559.29999999999995</v>
      </c>
      <c r="H1435">
        <v>19</v>
      </c>
      <c r="I1435" t="s">
        <v>24</v>
      </c>
      <c r="J1435" t="s">
        <v>5640</v>
      </c>
      <c r="K1435" t="s">
        <v>5641</v>
      </c>
      <c r="L1435" t="s">
        <v>5642</v>
      </c>
      <c r="M1435" t="s">
        <v>5643</v>
      </c>
      <c r="N1435" t="s">
        <v>5644</v>
      </c>
      <c r="O1435" t="s">
        <v>27</v>
      </c>
      <c r="P1435" t="s">
        <v>48</v>
      </c>
      <c r="Q1435" t="s">
        <v>49</v>
      </c>
      <c r="R1435" t="s">
        <v>50</v>
      </c>
      <c r="S1435" t="s">
        <v>28</v>
      </c>
      <c r="T1435" t="s">
        <v>5645</v>
      </c>
      <c r="U1435" t="s">
        <v>5644</v>
      </c>
    </row>
    <row r="1436" spans="1:21" x14ac:dyDescent="0.25">
      <c r="A1436" t="s">
        <v>143</v>
      </c>
      <c r="B1436" t="s">
        <v>144</v>
      </c>
      <c r="C1436">
        <v>200</v>
      </c>
      <c r="D1436">
        <v>1</v>
      </c>
      <c r="E1436">
        <v>0</v>
      </c>
      <c r="F1436" t="s">
        <v>5646</v>
      </c>
      <c r="G1436">
        <v>200</v>
      </c>
      <c r="H1436">
        <v>0</v>
      </c>
      <c r="I1436" t="s">
        <v>140</v>
      </c>
      <c r="J1436" t="s">
        <v>5647</v>
      </c>
      <c r="K1436" t="s">
        <v>753</v>
      </c>
      <c r="L1436" t="s">
        <v>27</v>
      </c>
      <c r="M1436" t="s">
        <v>28</v>
      </c>
      <c r="N1436" t="s">
        <v>5648</v>
      </c>
      <c r="O1436" t="s">
        <v>27</v>
      </c>
      <c r="P1436" t="s">
        <v>30</v>
      </c>
      <c r="Q1436" t="s">
        <v>31</v>
      </c>
      <c r="R1436" t="s">
        <v>32</v>
      </c>
      <c r="S1436" t="s">
        <v>28</v>
      </c>
      <c r="T1436" t="s">
        <v>5649</v>
      </c>
      <c r="U1436" t="s">
        <v>5648</v>
      </c>
    </row>
    <row r="1437" spans="1:21" x14ac:dyDescent="0.25">
      <c r="A1437" t="s">
        <v>456</v>
      </c>
      <c r="B1437" t="s">
        <v>457</v>
      </c>
      <c r="C1437">
        <v>250</v>
      </c>
      <c r="D1437">
        <v>1</v>
      </c>
      <c r="E1437">
        <v>0</v>
      </c>
      <c r="F1437" t="s">
        <v>5650</v>
      </c>
      <c r="G1437">
        <v>250</v>
      </c>
      <c r="H1437">
        <v>0</v>
      </c>
      <c r="I1437" t="s">
        <v>140</v>
      </c>
      <c r="J1437" t="s">
        <v>5651</v>
      </c>
      <c r="K1437" t="s">
        <v>797</v>
      </c>
      <c r="L1437" t="s">
        <v>27</v>
      </c>
      <c r="M1437" t="s">
        <v>28</v>
      </c>
      <c r="N1437" t="s">
        <v>5652</v>
      </c>
      <c r="O1437" t="s">
        <v>27</v>
      </c>
      <c r="P1437" t="s">
        <v>30</v>
      </c>
      <c r="Q1437" t="s">
        <v>31</v>
      </c>
      <c r="R1437" t="s">
        <v>32</v>
      </c>
      <c r="S1437" t="s">
        <v>28</v>
      </c>
      <c r="T1437" t="s">
        <v>5653</v>
      </c>
      <c r="U1437" t="s">
        <v>5652</v>
      </c>
    </row>
    <row r="1438" spans="1:21" x14ac:dyDescent="0.25">
      <c r="A1438" t="s">
        <v>58</v>
      </c>
      <c r="B1438" t="s">
        <v>103</v>
      </c>
      <c r="C1438">
        <v>90.43</v>
      </c>
      <c r="D1438">
        <v>1</v>
      </c>
      <c r="E1438">
        <v>0</v>
      </c>
      <c r="F1438" t="s">
        <v>5654</v>
      </c>
      <c r="G1438">
        <v>95.43</v>
      </c>
      <c r="H1438">
        <v>5</v>
      </c>
      <c r="I1438" t="s">
        <v>105</v>
      </c>
      <c r="J1438" t="s">
        <v>5655</v>
      </c>
      <c r="K1438" t="s">
        <v>5656</v>
      </c>
      <c r="L1438" t="s">
        <v>1809</v>
      </c>
      <c r="M1438" t="s">
        <v>5657</v>
      </c>
      <c r="N1438" t="s">
        <v>5652</v>
      </c>
      <c r="O1438" t="s">
        <v>27</v>
      </c>
      <c r="P1438" t="s">
        <v>48</v>
      </c>
      <c r="Q1438" t="s">
        <v>49</v>
      </c>
      <c r="R1438" t="s">
        <v>50</v>
      </c>
      <c r="S1438" t="s">
        <v>28</v>
      </c>
      <c r="T1438" t="s">
        <v>5658</v>
      </c>
      <c r="U1438" t="s">
        <v>5652</v>
      </c>
    </row>
    <row r="1439" spans="1:21" x14ac:dyDescent="0.25">
      <c r="A1439" t="s">
        <v>94</v>
      </c>
      <c r="B1439" t="s">
        <v>4455</v>
      </c>
      <c r="C1439">
        <v>58.43</v>
      </c>
      <c r="D1439">
        <v>1</v>
      </c>
      <c r="E1439">
        <v>0</v>
      </c>
      <c r="F1439" t="s">
        <v>5659</v>
      </c>
      <c r="G1439">
        <v>58.43</v>
      </c>
      <c r="H1439">
        <v>0</v>
      </c>
      <c r="I1439" t="s">
        <v>720</v>
      </c>
      <c r="J1439" t="s">
        <v>5660</v>
      </c>
      <c r="K1439" t="s">
        <v>5661</v>
      </c>
      <c r="L1439" t="s">
        <v>3539</v>
      </c>
      <c r="M1439" t="s">
        <v>3540</v>
      </c>
      <c r="N1439" t="s">
        <v>5662</v>
      </c>
      <c r="O1439" t="s">
        <v>27</v>
      </c>
      <c r="P1439" t="s">
        <v>48</v>
      </c>
      <c r="Q1439" t="s">
        <v>49</v>
      </c>
      <c r="R1439" t="s">
        <v>50</v>
      </c>
      <c r="S1439" t="s">
        <v>28</v>
      </c>
      <c r="T1439" t="s">
        <v>5663</v>
      </c>
      <c r="U1439" t="s">
        <v>5662</v>
      </c>
    </row>
    <row r="1440" spans="1:21" x14ac:dyDescent="0.25">
      <c r="A1440" t="s">
        <v>143</v>
      </c>
      <c r="B1440" t="s">
        <v>144</v>
      </c>
      <c r="C1440">
        <v>200</v>
      </c>
      <c r="D1440">
        <v>1</v>
      </c>
      <c r="E1440">
        <v>0</v>
      </c>
      <c r="F1440" t="s">
        <v>5664</v>
      </c>
      <c r="G1440">
        <v>200</v>
      </c>
      <c r="H1440">
        <v>0</v>
      </c>
      <c r="I1440" t="s">
        <v>140</v>
      </c>
      <c r="J1440" t="s">
        <v>5665</v>
      </c>
      <c r="K1440" t="s">
        <v>594</v>
      </c>
      <c r="L1440" t="s">
        <v>27</v>
      </c>
      <c r="M1440" t="s">
        <v>28</v>
      </c>
      <c r="N1440" t="s">
        <v>5666</v>
      </c>
      <c r="O1440" t="s">
        <v>27</v>
      </c>
      <c r="P1440" t="s">
        <v>30</v>
      </c>
      <c r="Q1440" t="s">
        <v>31</v>
      </c>
      <c r="R1440" t="s">
        <v>32</v>
      </c>
      <c r="S1440" t="s">
        <v>28</v>
      </c>
      <c r="T1440" t="s">
        <v>5667</v>
      </c>
      <c r="U1440" t="s">
        <v>5662</v>
      </c>
    </row>
    <row r="1441" spans="1:21" x14ac:dyDescent="0.25">
      <c r="A1441" t="s">
        <v>21</v>
      </c>
      <c r="B1441" t="s">
        <v>22</v>
      </c>
      <c r="C1441">
        <v>100</v>
      </c>
      <c r="D1441">
        <v>1</v>
      </c>
      <c r="E1441">
        <v>0</v>
      </c>
      <c r="F1441" t="s">
        <v>5668</v>
      </c>
      <c r="G1441">
        <v>106</v>
      </c>
      <c r="H1441">
        <v>6</v>
      </c>
      <c r="I1441" t="s">
        <v>445</v>
      </c>
      <c r="J1441" t="s">
        <v>5669</v>
      </c>
      <c r="K1441" t="s">
        <v>89</v>
      </c>
      <c r="L1441" t="s">
        <v>27</v>
      </c>
      <c r="M1441" t="s">
        <v>28</v>
      </c>
      <c r="N1441" t="s">
        <v>5666</v>
      </c>
      <c r="O1441" t="s">
        <v>27</v>
      </c>
      <c r="P1441" t="s">
        <v>39</v>
      </c>
      <c r="Q1441" t="s">
        <v>31</v>
      </c>
      <c r="R1441" t="s">
        <v>32</v>
      </c>
      <c r="S1441" t="s">
        <v>28</v>
      </c>
      <c r="T1441" t="s">
        <v>5670</v>
      </c>
      <c r="U1441" t="s">
        <v>5671</v>
      </c>
    </row>
    <row r="1442" spans="1:21" x14ac:dyDescent="0.25">
      <c r="A1442" t="s">
        <v>456</v>
      </c>
      <c r="B1442" t="s">
        <v>457</v>
      </c>
      <c r="C1442">
        <v>250</v>
      </c>
      <c r="D1442">
        <v>1</v>
      </c>
      <c r="E1442">
        <v>0</v>
      </c>
      <c r="F1442" t="s">
        <v>5672</v>
      </c>
      <c r="G1442">
        <v>250</v>
      </c>
      <c r="H1442">
        <v>0</v>
      </c>
      <c r="I1442" t="s">
        <v>445</v>
      </c>
      <c r="J1442" t="s">
        <v>5673</v>
      </c>
      <c r="K1442" t="s">
        <v>37</v>
      </c>
      <c r="L1442" t="s">
        <v>27</v>
      </c>
      <c r="M1442" t="s">
        <v>28</v>
      </c>
      <c r="N1442" t="s">
        <v>5674</v>
      </c>
      <c r="O1442" t="s">
        <v>27</v>
      </c>
      <c r="P1442" t="s">
        <v>39</v>
      </c>
      <c r="Q1442" t="s">
        <v>31</v>
      </c>
      <c r="R1442" t="s">
        <v>32</v>
      </c>
      <c r="S1442" t="s">
        <v>28</v>
      </c>
      <c r="T1442" t="s">
        <v>5675</v>
      </c>
      <c r="U1442" t="s">
        <v>5671</v>
      </c>
    </row>
    <row r="1443" spans="1:21" x14ac:dyDescent="0.25">
      <c r="A1443" t="s">
        <v>33</v>
      </c>
      <c r="B1443" t="s">
        <v>34</v>
      </c>
      <c r="C1443">
        <v>200</v>
      </c>
      <c r="D1443">
        <v>1</v>
      </c>
      <c r="E1443">
        <v>0</v>
      </c>
      <c r="F1443" t="s">
        <v>5676</v>
      </c>
      <c r="G1443">
        <v>200</v>
      </c>
      <c r="H1443">
        <v>0</v>
      </c>
      <c r="I1443" t="s">
        <v>24</v>
      </c>
      <c r="J1443" t="s">
        <v>5677</v>
      </c>
      <c r="K1443" t="s">
        <v>273</v>
      </c>
      <c r="L1443" t="s">
        <v>27</v>
      </c>
      <c r="M1443" t="s">
        <v>28</v>
      </c>
      <c r="N1443" t="s">
        <v>5678</v>
      </c>
      <c r="O1443" t="s">
        <v>27</v>
      </c>
      <c r="P1443" t="s">
        <v>39</v>
      </c>
      <c r="Q1443" t="s">
        <v>31</v>
      </c>
      <c r="R1443" t="s">
        <v>32</v>
      </c>
      <c r="S1443" t="s">
        <v>28</v>
      </c>
      <c r="T1443" t="s">
        <v>5679</v>
      </c>
      <c r="U1443" t="s">
        <v>5674</v>
      </c>
    </row>
    <row r="1444" spans="1:21" x14ac:dyDescent="0.25">
      <c r="A1444" t="s">
        <v>58</v>
      </c>
      <c r="B1444" t="s">
        <v>103</v>
      </c>
      <c r="C1444">
        <v>90.43</v>
      </c>
      <c r="D1444">
        <v>1</v>
      </c>
      <c r="E1444">
        <v>0</v>
      </c>
      <c r="F1444" t="s">
        <v>5680</v>
      </c>
      <c r="G1444">
        <v>203.91</v>
      </c>
      <c r="H1444">
        <v>5</v>
      </c>
      <c r="I1444" t="s">
        <v>105</v>
      </c>
      <c r="J1444" t="s">
        <v>5681</v>
      </c>
      <c r="K1444" t="s">
        <v>5682</v>
      </c>
      <c r="L1444" t="s">
        <v>5683</v>
      </c>
      <c r="M1444" t="s">
        <v>5684</v>
      </c>
      <c r="N1444" t="s">
        <v>5685</v>
      </c>
      <c r="O1444" t="s">
        <v>27</v>
      </c>
      <c r="P1444" t="s">
        <v>48</v>
      </c>
      <c r="Q1444" t="s">
        <v>49</v>
      </c>
      <c r="R1444" t="s">
        <v>50</v>
      </c>
      <c r="S1444" t="s">
        <v>28</v>
      </c>
      <c r="T1444" t="s">
        <v>5686</v>
      </c>
      <c r="U1444" t="s">
        <v>5685</v>
      </c>
    </row>
    <row r="1445" spans="1:21" x14ac:dyDescent="0.25">
      <c r="A1445" t="s">
        <v>58</v>
      </c>
      <c r="B1445" t="s">
        <v>103</v>
      </c>
      <c r="C1445">
        <v>90.43</v>
      </c>
      <c r="D1445">
        <v>1</v>
      </c>
      <c r="E1445">
        <v>0</v>
      </c>
      <c r="F1445" t="s">
        <v>5680</v>
      </c>
      <c r="G1445">
        <v>203.91</v>
      </c>
      <c r="H1445">
        <v>5</v>
      </c>
      <c r="I1445" t="s">
        <v>105</v>
      </c>
      <c r="J1445" t="s">
        <v>5681</v>
      </c>
      <c r="K1445" t="s">
        <v>5682</v>
      </c>
      <c r="L1445" t="s">
        <v>5683</v>
      </c>
      <c r="M1445" t="s">
        <v>5684</v>
      </c>
      <c r="N1445" t="s">
        <v>5685</v>
      </c>
      <c r="O1445" t="s">
        <v>27</v>
      </c>
      <c r="P1445" t="s">
        <v>48</v>
      </c>
      <c r="Q1445" t="s">
        <v>49</v>
      </c>
      <c r="R1445" t="s">
        <v>50</v>
      </c>
      <c r="S1445" t="s">
        <v>28</v>
      </c>
      <c r="T1445" t="s">
        <v>5686</v>
      </c>
      <c r="U1445" t="s">
        <v>5685</v>
      </c>
    </row>
    <row r="1446" spans="1:21" x14ac:dyDescent="0.25">
      <c r="A1446" t="s">
        <v>63</v>
      </c>
      <c r="B1446" t="s">
        <v>64</v>
      </c>
      <c r="C1446">
        <v>100</v>
      </c>
      <c r="D1446">
        <v>1</v>
      </c>
      <c r="E1446">
        <v>0</v>
      </c>
      <c r="F1446" t="s">
        <v>5687</v>
      </c>
      <c r="G1446">
        <v>200</v>
      </c>
      <c r="H1446">
        <v>0</v>
      </c>
      <c r="I1446" t="s">
        <v>24</v>
      </c>
      <c r="J1446" t="s">
        <v>5688</v>
      </c>
      <c r="K1446" t="s">
        <v>247</v>
      </c>
      <c r="L1446" t="s">
        <v>27</v>
      </c>
      <c r="M1446" t="s">
        <v>28</v>
      </c>
      <c r="N1446" t="s">
        <v>5689</v>
      </c>
      <c r="O1446" t="s">
        <v>27</v>
      </c>
      <c r="P1446" t="s">
        <v>56</v>
      </c>
      <c r="Q1446" t="s">
        <v>31</v>
      </c>
      <c r="R1446" t="s">
        <v>57</v>
      </c>
      <c r="S1446" t="s">
        <v>28</v>
      </c>
      <c r="T1446" t="s">
        <v>5690</v>
      </c>
      <c r="U1446" t="s">
        <v>5678</v>
      </c>
    </row>
    <row r="1447" spans="1:21" x14ac:dyDescent="0.25">
      <c r="A1447" t="s">
        <v>134</v>
      </c>
      <c r="B1447" t="s">
        <v>64</v>
      </c>
      <c r="C1447">
        <v>100</v>
      </c>
      <c r="D1447">
        <v>1</v>
      </c>
      <c r="E1447">
        <v>0</v>
      </c>
      <c r="F1447" t="s">
        <v>5687</v>
      </c>
      <c r="G1447">
        <v>200</v>
      </c>
      <c r="H1447">
        <v>0</v>
      </c>
      <c r="I1447" t="s">
        <v>24</v>
      </c>
      <c r="J1447" t="s">
        <v>5688</v>
      </c>
      <c r="K1447" t="s">
        <v>247</v>
      </c>
      <c r="L1447" t="s">
        <v>27</v>
      </c>
      <c r="M1447" t="s">
        <v>28</v>
      </c>
      <c r="N1447" t="s">
        <v>5689</v>
      </c>
      <c r="O1447" t="s">
        <v>27</v>
      </c>
      <c r="P1447" t="s">
        <v>56</v>
      </c>
      <c r="Q1447" t="s">
        <v>31</v>
      </c>
      <c r="R1447" t="s">
        <v>57</v>
      </c>
      <c r="S1447" t="s">
        <v>28</v>
      </c>
      <c r="T1447" t="s">
        <v>5690</v>
      </c>
      <c r="U1447" t="s">
        <v>5678</v>
      </c>
    </row>
    <row r="1448" spans="1:21" x14ac:dyDescent="0.25">
      <c r="A1448" t="s">
        <v>143</v>
      </c>
      <c r="B1448" t="s">
        <v>144</v>
      </c>
      <c r="C1448">
        <v>200</v>
      </c>
      <c r="D1448">
        <v>1</v>
      </c>
      <c r="E1448">
        <v>0</v>
      </c>
      <c r="F1448" t="s">
        <v>5691</v>
      </c>
      <c r="G1448">
        <v>200</v>
      </c>
      <c r="H1448">
        <v>0</v>
      </c>
      <c r="I1448" t="s">
        <v>24</v>
      </c>
      <c r="J1448" t="s">
        <v>947</v>
      </c>
      <c r="K1448" t="s">
        <v>350</v>
      </c>
      <c r="L1448" t="s">
        <v>27</v>
      </c>
      <c r="M1448" t="s">
        <v>28</v>
      </c>
      <c r="N1448" t="s">
        <v>5692</v>
      </c>
      <c r="O1448" t="s">
        <v>27</v>
      </c>
      <c r="P1448" t="s">
        <v>39</v>
      </c>
      <c r="Q1448" t="s">
        <v>31</v>
      </c>
      <c r="R1448" t="s">
        <v>32</v>
      </c>
      <c r="S1448" t="s">
        <v>28</v>
      </c>
      <c r="T1448" t="s">
        <v>5693</v>
      </c>
      <c r="U1448" t="s">
        <v>5678</v>
      </c>
    </row>
    <row r="1449" spans="1:21" x14ac:dyDescent="0.25">
      <c r="A1449" t="s">
        <v>21</v>
      </c>
      <c r="B1449" t="s">
        <v>22</v>
      </c>
      <c r="C1449">
        <v>100</v>
      </c>
      <c r="D1449">
        <v>1</v>
      </c>
      <c r="E1449">
        <v>0</v>
      </c>
      <c r="F1449" t="s">
        <v>5694</v>
      </c>
      <c r="G1449">
        <v>106</v>
      </c>
      <c r="H1449">
        <v>6</v>
      </c>
      <c r="I1449" t="s">
        <v>24</v>
      </c>
      <c r="J1449" t="s">
        <v>5695</v>
      </c>
      <c r="K1449" t="s">
        <v>791</v>
      </c>
      <c r="L1449" t="s">
        <v>27</v>
      </c>
      <c r="M1449" t="s">
        <v>28</v>
      </c>
      <c r="N1449" t="s">
        <v>5689</v>
      </c>
      <c r="O1449" t="s">
        <v>27</v>
      </c>
      <c r="P1449" t="s">
        <v>56</v>
      </c>
      <c r="Q1449" t="s">
        <v>31</v>
      </c>
      <c r="R1449" t="s">
        <v>57</v>
      </c>
      <c r="S1449" t="s">
        <v>28</v>
      </c>
      <c r="T1449" t="s">
        <v>5696</v>
      </c>
      <c r="U1449" t="s">
        <v>5697</v>
      </c>
    </row>
    <row r="1450" spans="1:21" x14ac:dyDescent="0.25">
      <c r="A1450" t="s">
        <v>21</v>
      </c>
      <c r="B1450" t="s">
        <v>22</v>
      </c>
      <c r="C1450">
        <v>100</v>
      </c>
      <c r="D1450">
        <v>1</v>
      </c>
      <c r="E1450">
        <v>0</v>
      </c>
      <c r="F1450" t="s">
        <v>5698</v>
      </c>
      <c r="G1450">
        <v>145</v>
      </c>
      <c r="H1450">
        <v>45</v>
      </c>
      <c r="I1450" t="s">
        <v>24</v>
      </c>
      <c r="J1450" t="s">
        <v>5699</v>
      </c>
      <c r="K1450" t="s">
        <v>54</v>
      </c>
      <c r="L1450" t="s">
        <v>27</v>
      </c>
      <c r="M1450" t="s">
        <v>28</v>
      </c>
      <c r="N1450" t="s">
        <v>5700</v>
      </c>
      <c r="O1450" t="s">
        <v>27</v>
      </c>
      <c r="P1450" t="s">
        <v>39</v>
      </c>
      <c r="Q1450" t="s">
        <v>31</v>
      </c>
      <c r="R1450" t="s">
        <v>32</v>
      </c>
      <c r="S1450" t="s">
        <v>28</v>
      </c>
      <c r="T1450" t="s">
        <v>5701</v>
      </c>
      <c r="U1450" t="s">
        <v>5702</v>
      </c>
    </row>
    <row r="1451" spans="1:21" x14ac:dyDescent="0.25">
      <c r="A1451" t="s">
        <v>63</v>
      </c>
      <c r="B1451" t="s">
        <v>64</v>
      </c>
      <c r="C1451">
        <v>100</v>
      </c>
      <c r="D1451">
        <v>1</v>
      </c>
      <c r="E1451">
        <v>0</v>
      </c>
      <c r="F1451" t="s">
        <v>5703</v>
      </c>
      <c r="G1451">
        <v>100</v>
      </c>
      <c r="H1451">
        <v>0</v>
      </c>
      <c r="I1451" t="s">
        <v>140</v>
      </c>
      <c r="J1451" t="s">
        <v>5704</v>
      </c>
      <c r="K1451" t="s">
        <v>3713</v>
      </c>
      <c r="L1451" t="s">
        <v>27</v>
      </c>
      <c r="M1451" t="s">
        <v>28</v>
      </c>
      <c r="N1451" t="s">
        <v>5705</v>
      </c>
      <c r="O1451" t="s">
        <v>27</v>
      </c>
      <c r="P1451" t="s">
        <v>30</v>
      </c>
      <c r="Q1451" t="s">
        <v>31</v>
      </c>
      <c r="R1451" t="s">
        <v>32</v>
      </c>
      <c r="S1451" t="s">
        <v>28</v>
      </c>
      <c r="T1451" t="s">
        <v>5706</v>
      </c>
      <c r="U1451" t="s">
        <v>5707</v>
      </c>
    </row>
    <row r="1452" spans="1:21" x14ac:dyDescent="0.25">
      <c r="A1452" t="s">
        <v>33</v>
      </c>
      <c r="B1452" t="s">
        <v>34</v>
      </c>
      <c r="C1452">
        <v>200</v>
      </c>
      <c r="D1452">
        <v>1</v>
      </c>
      <c r="E1452">
        <v>0</v>
      </c>
      <c r="F1452" t="s">
        <v>5698</v>
      </c>
      <c r="G1452">
        <v>200</v>
      </c>
      <c r="H1452">
        <v>0</v>
      </c>
      <c r="I1452" t="s">
        <v>445</v>
      </c>
      <c r="J1452" t="s">
        <v>5708</v>
      </c>
      <c r="K1452" t="s">
        <v>325</v>
      </c>
      <c r="L1452" t="s">
        <v>27</v>
      </c>
      <c r="M1452" t="s">
        <v>28</v>
      </c>
      <c r="N1452" t="s">
        <v>5700</v>
      </c>
      <c r="O1452" t="s">
        <v>27</v>
      </c>
      <c r="P1452" t="s">
        <v>39</v>
      </c>
      <c r="Q1452" t="s">
        <v>31</v>
      </c>
      <c r="R1452" t="s">
        <v>32</v>
      </c>
      <c r="S1452" t="s">
        <v>28</v>
      </c>
      <c r="T1452" t="s">
        <v>5709</v>
      </c>
      <c r="U1452" t="s">
        <v>5710</v>
      </c>
    </row>
    <row r="1453" spans="1:21" x14ac:dyDescent="0.25">
      <c r="A1453" t="s">
        <v>63</v>
      </c>
      <c r="B1453" t="s">
        <v>64</v>
      </c>
      <c r="C1453">
        <v>100</v>
      </c>
      <c r="D1453">
        <v>1</v>
      </c>
      <c r="E1453">
        <v>0</v>
      </c>
      <c r="F1453" t="s">
        <v>5711</v>
      </c>
      <c r="G1453">
        <v>145</v>
      </c>
      <c r="H1453">
        <v>45</v>
      </c>
      <c r="I1453" t="s">
        <v>24</v>
      </c>
      <c r="J1453" t="s">
        <v>5712</v>
      </c>
      <c r="K1453" t="s">
        <v>358</v>
      </c>
      <c r="L1453" t="s">
        <v>27</v>
      </c>
      <c r="M1453" t="s">
        <v>28</v>
      </c>
      <c r="N1453" t="s">
        <v>5713</v>
      </c>
      <c r="O1453" t="s">
        <v>27</v>
      </c>
      <c r="P1453" t="s">
        <v>39</v>
      </c>
      <c r="Q1453" t="s">
        <v>31</v>
      </c>
      <c r="R1453" t="s">
        <v>32</v>
      </c>
      <c r="S1453" t="s">
        <v>28</v>
      </c>
      <c r="T1453" t="s">
        <v>5714</v>
      </c>
      <c r="U1453" t="s">
        <v>5713</v>
      </c>
    </row>
    <row r="1454" spans="1:21" x14ac:dyDescent="0.25">
      <c r="A1454" t="s">
        <v>195</v>
      </c>
      <c r="B1454" t="s">
        <v>1003</v>
      </c>
      <c r="C1454">
        <v>149.80000000000001</v>
      </c>
      <c r="D1454">
        <v>1</v>
      </c>
      <c r="E1454">
        <v>0</v>
      </c>
      <c r="F1454" t="s">
        <v>5711</v>
      </c>
      <c r="G1454">
        <v>194.8</v>
      </c>
      <c r="H1454">
        <v>45</v>
      </c>
      <c r="I1454" t="s">
        <v>628</v>
      </c>
      <c r="J1454" t="s">
        <v>5715</v>
      </c>
      <c r="K1454" t="s">
        <v>5716</v>
      </c>
      <c r="L1454" t="s">
        <v>2885</v>
      </c>
      <c r="M1454" t="s">
        <v>5717</v>
      </c>
      <c r="N1454" t="s">
        <v>5718</v>
      </c>
      <c r="O1454" t="s">
        <v>27</v>
      </c>
      <c r="P1454" t="s">
        <v>48</v>
      </c>
      <c r="Q1454" t="s">
        <v>49</v>
      </c>
      <c r="R1454" t="s">
        <v>50</v>
      </c>
      <c r="S1454" t="s">
        <v>28</v>
      </c>
      <c r="T1454" t="s">
        <v>5719</v>
      </c>
      <c r="U1454" t="s">
        <v>5718</v>
      </c>
    </row>
    <row r="1455" spans="1:21" x14ac:dyDescent="0.25">
      <c r="A1455" t="s">
        <v>21</v>
      </c>
      <c r="B1455" t="s">
        <v>22</v>
      </c>
      <c r="C1455">
        <v>100</v>
      </c>
      <c r="D1455">
        <v>1</v>
      </c>
      <c r="E1455">
        <v>0</v>
      </c>
      <c r="F1455" t="s">
        <v>5720</v>
      </c>
      <c r="G1455">
        <v>106</v>
      </c>
      <c r="H1455">
        <v>6</v>
      </c>
      <c r="I1455" t="s">
        <v>24</v>
      </c>
      <c r="J1455" t="s">
        <v>5721</v>
      </c>
      <c r="K1455" t="s">
        <v>155</v>
      </c>
      <c r="L1455" t="s">
        <v>27</v>
      </c>
      <c r="M1455" t="s">
        <v>28</v>
      </c>
      <c r="N1455" t="s">
        <v>5722</v>
      </c>
      <c r="O1455" t="s">
        <v>27</v>
      </c>
      <c r="P1455" t="s">
        <v>39</v>
      </c>
      <c r="Q1455" t="s">
        <v>31</v>
      </c>
      <c r="R1455" t="s">
        <v>32</v>
      </c>
      <c r="S1455" t="s">
        <v>28</v>
      </c>
      <c r="T1455" t="s">
        <v>5723</v>
      </c>
      <c r="U1455" t="s">
        <v>5722</v>
      </c>
    </row>
    <row r="1456" spans="1:21" x14ac:dyDescent="0.25">
      <c r="A1456" t="s">
        <v>21</v>
      </c>
      <c r="B1456" t="s">
        <v>22</v>
      </c>
      <c r="C1456">
        <v>100</v>
      </c>
      <c r="D1456">
        <v>1</v>
      </c>
      <c r="E1456">
        <v>0</v>
      </c>
      <c r="F1456" t="s">
        <v>5724</v>
      </c>
      <c r="G1456">
        <v>106</v>
      </c>
      <c r="H1456">
        <v>6</v>
      </c>
      <c r="I1456" t="s">
        <v>24</v>
      </c>
      <c r="J1456" t="s">
        <v>5725</v>
      </c>
      <c r="K1456" t="s">
        <v>67</v>
      </c>
      <c r="L1456" t="s">
        <v>27</v>
      </c>
      <c r="M1456" t="s">
        <v>28</v>
      </c>
      <c r="N1456" t="s">
        <v>5726</v>
      </c>
      <c r="O1456" t="s">
        <v>27</v>
      </c>
      <c r="P1456" t="s">
        <v>39</v>
      </c>
      <c r="Q1456" t="s">
        <v>31</v>
      </c>
      <c r="R1456" t="s">
        <v>32</v>
      </c>
      <c r="S1456" t="s">
        <v>28</v>
      </c>
      <c r="T1456" t="s">
        <v>5727</v>
      </c>
      <c r="U1456" t="s">
        <v>5726</v>
      </c>
    </row>
    <row r="1457" spans="1:21" x14ac:dyDescent="0.25">
      <c r="A1457" t="s">
        <v>33</v>
      </c>
      <c r="B1457" t="s">
        <v>34</v>
      </c>
      <c r="C1457">
        <v>200</v>
      </c>
      <c r="D1457">
        <v>1</v>
      </c>
      <c r="E1457">
        <v>0</v>
      </c>
      <c r="F1457" t="s">
        <v>5728</v>
      </c>
      <c r="G1457">
        <v>200</v>
      </c>
      <c r="H1457">
        <v>0</v>
      </c>
      <c r="I1457" t="s">
        <v>24</v>
      </c>
      <c r="J1457" t="s">
        <v>5729</v>
      </c>
      <c r="K1457" t="s">
        <v>5730</v>
      </c>
      <c r="L1457" t="s">
        <v>27</v>
      </c>
      <c r="M1457" t="s">
        <v>28</v>
      </c>
      <c r="N1457" t="s">
        <v>5731</v>
      </c>
      <c r="O1457" t="s">
        <v>27</v>
      </c>
      <c r="P1457" t="s">
        <v>39</v>
      </c>
      <c r="Q1457" t="s">
        <v>31</v>
      </c>
      <c r="R1457" t="s">
        <v>32</v>
      </c>
      <c r="S1457" t="s">
        <v>28</v>
      </c>
      <c r="T1457" t="s">
        <v>5732</v>
      </c>
      <c r="U1457" t="s">
        <v>5733</v>
      </c>
    </row>
    <row r="1458" spans="1:21" x14ac:dyDescent="0.25">
      <c r="A1458" t="s">
        <v>21</v>
      </c>
      <c r="B1458" t="s">
        <v>22</v>
      </c>
      <c r="C1458">
        <v>100</v>
      </c>
      <c r="D1458">
        <v>1</v>
      </c>
      <c r="E1458">
        <v>0</v>
      </c>
      <c r="F1458" t="s">
        <v>5734</v>
      </c>
      <c r="G1458">
        <v>200</v>
      </c>
      <c r="H1458">
        <v>0</v>
      </c>
      <c r="I1458" t="s">
        <v>140</v>
      </c>
      <c r="J1458" t="s">
        <v>5735</v>
      </c>
      <c r="K1458" t="s">
        <v>89</v>
      </c>
      <c r="L1458" t="s">
        <v>27</v>
      </c>
      <c r="M1458" t="s">
        <v>28</v>
      </c>
      <c r="N1458" t="s">
        <v>5731</v>
      </c>
      <c r="O1458" t="s">
        <v>27</v>
      </c>
      <c r="P1458" t="s">
        <v>30</v>
      </c>
      <c r="Q1458" t="s">
        <v>31</v>
      </c>
      <c r="R1458" t="s">
        <v>32</v>
      </c>
      <c r="S1458" t="s">
        <v>28</v>
      </c>
      <c r="T1458" t="s">
        <v>5736</v>
      </c>
      <c r="U1458" t="s">
        <v>5731</v>
      </c>
    </row>
    <row r="1459" spans="1:21" x14ac:dyDescent="0.25">
      <c r="A1459" t="s">
        <v>58</v>
      </c>
      <c r="B1459" t="s">
        <v>58</v>
      </c>
      <c r="C1459">
        <v>100</v>
      </c>
      <c r="D1459">
        <v>1</v>
      </c>
      <c r="E1459">
        <v>0</v>
      </c>
      <c r="F1459" t="s">
        <v>5734</v>
      </c>
      <c r="G1459">
        <v>200</v>
      </c>
      <c r="H1459">
        <v>0</v>
      </c>
      <c r="I1459" t="s">
        <v>140</v>
      </c>
      <c r="J1459" t="s">
        <v>5735</v>
      </c>
      <c r="K1459" t="s">
        <v>89</v>
      </c>
      <c r="L1459" t="s">
        <v>27</v>
      </c>
      <c r="M1459" t="s">
        <v>28</v>
      </c>
      <c r="N1459" t="s">
        <v>5731</v>
      </c>
      <c r="O1459" t="s">
        <v>27</v>
      </c>
      <c r="P1459" t="s">
        <v>30</v>
      </c>
      <c r="Q1459" t="s">
        <v>31</v>
      </c>
      <c r="R1459" t="s">
        <v>32</v>
      </c>
      <c r="S1459" t="s">
        <v>28</v>
      </c>
      <c r="T1459" t="s">
        <v>5736</v>
      </c>
      <c r="U1459" t="s">
        <v>5731</v>
      </c>
    </row>
    <row r="1460" spans="1:21" x14ac:dyDescent="0.25">
      <c r="A1460" t="s">
        <v>21</v>
      </c>
      <c r="B1460" t="s">
        <v>22</v>
      </c>
      <c r="C1460">
        <v>100</v>
      </c>
      <c r="D1460">
        <v>2</v>
      </c>
      <c r="E1460">
        <v>0</v>
      </c>
      <c r="F1460" t="s">
        <v>5737</v>
      </c>
      <c r="G1460">
        <v>200</v>
      </c>
      <c r="H1460">
        <v>0</v>
      </c>
      <c r="I1460" t="s">
        <v>140</v>
      </c>
      <c r="J1460" t="s">
        <v>947</v>
      </c>
      <c r="K1460" t="s">
        <v>350</v>
      </c>
      <c r="L1460" t="s">
        <v>27</v>
      </c>
      <c r="M1460" t="s">
        <v>28</v>
      </c>
      <c r="N1460" t="s">
        <v>5731</v>
      </c>
      <c r="O1460" t="s">
        <v>27</v>
      </c>
      <c r="P1460" t="s">
        <v>30</v>
      </c>
      <c r="Q1460" t="s">
        <v>31</v>
      </c>
      <c r="R1460" t="s">
        <v>32</v>
      </c>
      <c r="S1460" t="s">
        <v>28</v>
      </c>
      <c r="T1460" t="s">
        <v>5738</v>
      </c>
      <c r="U1460" t="s">
        <v>5731</v>
      </c>
    </row>
    <row r="1461" spans="1:21" x14ac:dyDescent="0.25">
      <c r="A1461" t="s">
        <v>33</v>
      </c>
      <c r="B1461" t="s">
        <v>34</v>
      </c>
      <c r="C1461">
        <v>200</v>
      </c>
      <c r="D1461">
        <v>1</v>
      </c>
      <c r="E1461">
        <v>0</v>
      </c>
      <c r="F1461" t="s">
        <v>5739</v>
      </c>
      <c r="G1461">
        <v>200</v>
      </c>
      <c r="H1461">
        <v>0</v>
      </c>
      <c r="I1461" t="s">
        <v>24</v>
      </c>
      <c r="J1461" t="s">
        <v>5740</v>
      </c>
      <c r="K1461" t="s">
        <v>241</v>
      </c>
      <c r="L1461" t="s">
        <v>27</v>
      </c>
      <c r="M1461" t="s">
        <v>28</v>
      </c>
      <c r="N1461" t="s">
        <v>5731</v>
      </c>
      <c r="O1461" t="s">
        <v>27</v>
      </c>
      <c r="P1461" t="s">
        <v>39</v>
      </c>
      <c r="Q1461" t="s">
        <v>31</v>
      </c>
      <c r="R1461" t="s">
        <v>32</v>
      </c>
      <c r="S1461" t="s">
        <v>28</v>
      </c>
      <c r="T1461" t="s">
        <v>5741</v>
      </c>
      <c r="U1461" t="s">
        <v>5731</v>
      </c>
    </row>
    <row r="1462" spans="1:21" x14ac:dyDescent="0.25">
      <c r="A1462" t="s">
        <v>63</v>
      </c>
      <c r="B1462" t="s">
        <v>64</v>
      </c>
      <c r="C1462">
        <v>100</v>
      </c>
      <c r="D1462">
        <v>1</v>
      </c>
      <c r="E1462">
        <v>0</v>
      </c>
      <c r="F1462" t="s">
        <v>5742</v>
      </c>
      <c r="G1462">
        <v>200</v>
      </c>
      <c r="H1462">
        <v>0</v>
      </c>
      <c r="I1462" t="s">
        <v>140</v>
      </c>
      <c r="J1462" t="s">
        <v>5743</v>
      </c>
      <c r="K1462" t="s">
        <v>797</v>
      </c>
      <c r="L1462" t="s">
        <v>27</v>
      </c>
      <c r="M1462" t="s">
        <v>28</v>
      </c>
      <c r="N1462" t="s">
        <v>5744</v>
      </c>
      <c r="O1462" t="s">
        <v>27</v>
      </c>
      <c r="P1462" t="s">
        <v>369</v>
      </c>
      <c r="Q1462" t="s">
        <v>31</v>
      </c>
      <c r="R1462" t="s">
        <v>57</v>
      </c>
      <c r="S1462" t="s">
        <v>5745</v>
      </c>
      <c r="T1462" t="s">
        <v>5746</v>
      </c>
      <c r="U1462" t="s">
        <v>5744</v>
      </c>
    </row>
    <row r="1463" spans="1:21" x14ac:dyDescent="0.25">
      <c r="A1463" t="s">
        <v>58</v>
      </c>
      <c r="B1463" t="s">
        <v>58</v>
      </c>
      <c r="C1463">
        <v>100</v>
      </c>
      <c r="D1463">
        <v>1</v>
      </c>
      <c r="E1463">
        <v>0</v>
      </c>
      <c r="F1463" t="s">
        <v>5742</v>
      </c>
      <c r="G1463">
        <v>200</v>
      </c>
      <c r="H1463">
        <v>0</v>
      </c>
      <c r="I1463" t="s">
        <v>140</v>
      </c>
      <c r="J1463" t="s">
        <v>5743</v>
      </c>
      <c r="K1463" t="s">
        <v>797</v>
      </c>
      <c r="L1463" t="s">
        <v>27</v>
      </c>
      <c r="M1463" t="s">
        <v>28</v>
      </c>
      <c r="N1463" t="s">
        <v>5744</v>
      </c>
      <c r="O1463" t="s">
        <v>27</v>
      </c>
      <c r="P1463" t="s">
        <v>369</v>
      </c>
      <c r="Q1463" t="s">
        <v>31</v>
      </c>
      <c r="R1463" t="s">
        <v>57</v>
      </c>
      <c r="S1463" t="s">
        <v>5745</v>
      </c>
      <c r="T1463" t="s">
        <v>5746</v>
      </c>
      <c r="U1463" t="s">
        <v>5744</v>
      </c>
    </row>
    <row r="1464" spans="1:21" x14ac:dyDescent="0.25">
      <c r="A1464" t="s">
        <v>635</v>
      </c>
      <c r="B1464" t="s">
        <v>1129</v>
      </c>
      <c r="C1464">
        <v>504.52</v>
      </c>
      <c r="D1464">
        <v>1</v>
      </c>
      <c r="E1464">
        <v>0</v>
      </c>
      <c r="F1464" t="s">
        <v>5747</v>
      </c>
      <c r="G1464">
        <v>538.08000000000004</v>
      </c>
      <c r="H1464">
        <v>33.56</v>
      </c>
      <c r="I1464" t="s">
        <v>105</v>
      </c>
      <c r="J1464" t="s">
        <v>5748</v>
      </c>
      <c r="K1464" t="s">
        <v>5749</v>
      </c>
      <c r="L1464" t="s">
        <v>861</v>
      </c>
      <c r="M1464" t="s">
        <v>5750</v>
      </c>
      <c r="N1464" t="s">
        <v>5744</v>
      </c>
      <c r="O1464" t="s">
        <v>27</v>
      </c>
      <c r="P1464" t="s">
        <v>48</v>
      </c>
      <c r="Q1464" t="s">
        <v>49</v>
      </c>
      <c r="R1464" t="s">
        <v>50</v>
      </c>
      <c r="S1464" t="s">
        <v>28</v>
      </c>
      <c r="T1464" t="s">
        <v>5751</v>
      </c>
      <c r="U1464" t="s">
        <v>5744</v>
      </c>
    </row>
    <row r="1465" spans="1:21" x14ac:dyDescent="0.25">
      <c r="A1465" t="s">
        <v>143</v>
      </c>
      <c r="B1465" t="s">
        <v>144</v>
      </c>
      <c r="C1465">
        <v>200</v>
      </c>
      <c r="D1465">
        <v>1</v>
      </c>
      <c r="E1465">
        <v>0</v>
      </c>
      <c r="F1465" t="s">
        <v>5752</v>
      </c>
      <c r="G1465">
        <v>200</v>
      </c>
      <c r="H1465">
        <v>0</v>
      </c>
      <c r="I1465" t="s">
        <v>140</v>
      </c>
      <c r="J1465" t="s">
        <v>5753</v>
      </c>
      <c r="K1465" t="s">
        <v>342</v>
      </c>
      <c r="L1465" t="s">
        <v>27</v>
      </c>
      <c r="M1465" t="s">
        <v>28</v>
      </c>
      <c r="N1465" t="s">
        <v>5754</v>
      </c>
      <c r="O1465" t="s">
        <v>27</v>
      </c>
      <c r="P1465" t="s">
        <v>30</v>
      </c>
      <c r="Q1465" t="s">
        <v>31</v>
      </c>
      <c r="R1465" t="s">
        <v>32</v>
      </c>
      <c r="S1465" t="s">
        <v>28</v>
      </c>
      <c r="T1465" t="s">
        <v>5755</v>
      </c>
      <c r="U1465" t="s">
        <v>5754</v>
      </c>
    </row>
    <row r="1466" spans="1:21" x14ac:dyDescent="0.25">
      <c r="A1466" t="s">
        <v>21</v>
      </c>
      <c r="B1466" t="s">
        <v>22</v>
      </c>
      <c r="C1466">
        <v>100</v>
      </c>
      <c r="D1466">
        <v>1</v>
      </c>
      <c r="E1466">
        <v>0</v>
      </c>
      <c r="F1466" t="s">
        <v>5756</v>
      </c>
      <c r="G1466">
        <v>100</v>
      </c>
      <c r="H1466">
        <v>0</v>
      </c>
      <c r="I1466" t="s">
        <v>24</v>
      </c>
      <c r="J1466" t="s">
        <v>5757</v>
      </c>
      <c r="K1466" t="s">
        <v>753</v>
      </c>
      <c r="L1466" t="s">
        <v>27</v>
      </c>
      <c r="M1466" t="s">
        <v>28</v>
      </c>
      <c r="N1466" t="s">
        <v>5758</v>
      </c>
      <c r="O1466" t="s">
        <v>27</v>
      </c>
      <c r="P1466" t="s">
        <v>39</v>
      </c>
      <c r="Q1466" t="s">
        <v>31</v>
      </c>
      <c r="R1466" t="s">
        <v>32</v>
      </c>
      <c r="S1466" t="s">
        <v>28</v>
      </c>
      <c r="T1466" t="s">
        <v>5759</v>
      </c>
      <c r="U1466" t="s">
        <v>5760</v>
      </c>
    </row>
    <row r="1467" spans="1:21" x14ac:dyDescent="0.25">
      <c r="A1467" t="s">
        <v>21</v>
      </c>
      <c r="B1467" t="s">
        <v>22</v>
      </c>
      <c r="C1467">
        <v>100</v>
      </c>
      <c r="D1467">
        <v>1</v>
      </c>
      <c r="E1467">
        <v>0</v>
      </c>
      <c r="F1467" t="s">
        <v>5761</v>
      </c>
      <c r="G1467">
        <v>300</v>
      </c>
      <c r="H1467">
        <v>0</v>
      </c>
      <c r="I1467" t="s">
        <v>140</v>
      </c>
      <c r="J1467" t="s">
        <v>5762</v>
      </c>
      <c r="K1467" t="s">
        <v>37</v>
      </c>
      <c r="L1467" t="s">
        <v>27</v>
      </c>
      <c r="M1467" t="s">
        <v>28</v>
      </c>
      <c r="N1467" t="s">
        <v>5763</v>
      </c>
      <c r="O1467" t="s">
        <v>27</v>
      </c>
      <c r="P1467" t="s">
        <v>369</v>
      </c>
      <c r="Q1467" t="s">
        <v>31</v>
      </c>
      <c r="R1467" t="s">
        <v>57</v>
      </c>
      <c r="S1467" t="s">
        <v>28</v>
      </c>
      <c r="T1467" t="s">
        <v>5764</v>
      </c>
      <c r="U1467" t="s">
        <v>5765</v>
      </c>
    </row>
    <row r="1468" spans="1:21" x14ac:dyDescent="0.25">
      <c r="A1468" t="s">
        <v>143</v>
      </c>
      <c r="B1468" t="s">
        <v>144</v>
      </c>
      <c r="C1468">
        <v>200</v>
      </c>
      <c r="D1468">
        <v>1</v>
      </c>
      <c r="E1468">
        <v>0</v>
      </c>
      <c r="F1468" t="s">
        <v>5761</v>
      </c>
      <c r="G1468">
        <v>300</v>
      </c>
      <c r="H1468">
        <v>0</v>
      </c>
      <c r="I1468" t="s">
        <v>140</v>
      </c>
      <c r="J1468" t="s">
        <v>5762</v>
      </c>
      <c r="K1468" t="s">
        <v>37</v>
      </c>
      <c r="L1468" t="s">
        <v>27</v>
      </c>
      <c r="M1468" t="s">
        <v>28</v>
      </c>
      <c r="N1468" t="s">
        <v>5763</v>
      </c>
      <c r="O1468" t="s">
        <v>27</v>
      </c>
      <c r="P1468" t="s">
        <v>369</v>
      </c>
      <c r="Q1468" t="s">
        <v>31</v>
      </c>
      <c r="R1468" t="s">
        <v>57</v>
      </c>
      <c r="S1468" t="s">
        <v>28</v>
      </c>
      <c r="T1468" t="s">
        <v>5764</v>
      </c>
      <c r="U1468" t="s">
        <v>5765</v>
      </c>
    </row>
    <row r="1469" spans="1:21" x14ac:dyDescent="0.25">
      <c r="A1469" t="s">
        <v>21</v>
      </c>
      <c r="B1469" t="s">
        <v>22</v>
      </c>
      <c r="C1469">
        <v>100</v>
      </c>
      <c r="D1469">
        <v>1</v>
      </c>
      <c r="E1469">
        <v>0</v>
      </c>
      <c r="F1469" t="s">
        <v>5766</v>
      </c>
      <c r="G1469">
        <v>106</v>
      </c>
      <c r="H1469">
        <v>6</v>
      </c>
      <c r="I1469" t="s">
        <v>24</v>
      </c>
      <c r="J1469" t="s">
        <v>5767</v>
      </c>
      <c r="K1469" t="s">
        <v>89</v>
      </c>
      <c r="L1469" t="s">
        <v>27</v>
      </c>
      <c r="M1469" t="s">
        <v>28</v>
      </c>
      <c r="N1469" t="s">
        <v>5768</v>
      </c>
      <c r="O1469" t="s">
        <v>27</v>
      </c>
      <c r="P1469" t="s">
        <v>39</v>
      </c>
      <c r="Q1469" t="s">
        <v>31</v>
      </c>
      <c r="R1469" t="s">
        <v>32</v>
      </c>
      <c r="S1469" t="s">
        <v>28</v>
      </c>
      <c r="T1469" t="s">
        <v>5769</v>
      </c>
      <c r="U1469" t="s">
        <v>5770</v>
      </c>
    </row>
    <row r="1470" spans="1:21" x14ac:dyDescent="0.25">
      <c r="A1470" t="s">
        <v>21</v>
      </c>
      <c r="B1470" t="s">
        <v>22</v>
      </c>
      <c r="C1470">
        <v>100</v>
      </c>
      <c r="D1470">
        <v>1</v>
      </c>
      <c r="E1470">
        <v>0</v>
      </c>
      <c r="F1470" t="s">
        <v>5771</v>
      </c>
      <c r="G1470">
        <v>106</v>
      </c>
      <c r="H1470">
        <v>6</v>
      </c>
      <c r="I1470" t="s">
        <v>24</v>
      </c>
      <c r="J1470" t="s">
        <v>5772</v>
      </c>
      <c r="K1470" t="s">
        <v>350</v>
      </c>
      <c r="L1470" t="s">
        <v>27</v>
      </c>
      <c r="M1470" t="s">
        <v>28</v>
      </c>
      <c r="N1470" t="s">
        <v>5768</v>
      </c>
      <c r="O1470" t="s">
        <v>27</v>
      </c>
      <c r="P1470" t="s">
        <v>39</v>
      </c>
      <c r="Q1470" t="s">
        <v>31</v>
      </c>
      <c r="R1470" t="s">
        <v>32</v>
      </c>
      <c r="S1470" t="s">
        <v>28</v>
      </c>
      <c r="T1470" t="s">
        <v>5773</v>
      </c>
      <c r="U1470" t="s">
        <v>5768</v>
      </c>
    </row>
    <row r="1471" spans="1:21" x14ac:dyDescent="0.25">
      <c r="A1471" t="s">
        <v>63</v>
      </c>
      <c r="B1471" t="s">
        <v>64</v>
      </c>
      <c r="C1471">
        <v>100</v>
      </c>
      <c r="D1471">
        <v>1</v>
      </c>
      <c r="E1471">
        <v>0</v>
      </c>
      <c r="F1471" t="s">
        <v>5774</v>
      </c>
      <c r="G1471">
        <v>106</v>
      </c>
      <c r="H1471">
        <v>6</v>
      </c>
      <c r="I1471" t="s">
        <v>445</v>
      </c>
      <c r="J1471" t="s">
        <v>5775</v>
      </c>
      <c r="K1471" t="s">
        <v>54</v>
      </c>
      <c r="L1471" t="s">
        <v>27</v>
      </c>
      <c r="M1471" t="s">
        <v>28</v>
      </c>
      <c r="N1471" t="s">
        <v>5768</v>
      </c>
      <c r="O1471" t="s">
        <v>27</v>
      </c>
      <c r="P1471" t="s">
        <v>39</v>
      </c>
      <c r="Q1471" t="s">
        <v>31</v>
      </c>
      <c r="R1471" t="s">
        <v>32</v>
      </c>
      <c r="S1471" t="s">
        <v>28</v>
      </c>
      <c r="T1471" t="s">
        <v>5776</v>
      </c>
      <c r="U1471" t="s">
        <v>5768</v>
      </c>
    </row>
    <row r="1472" spans="1:21" x14ac:dyDescent="0.25">
      <c r="A1472" t="s">
        <v>33</v>
      </c>
      <c r="B1472" t="s">
        <v>34</v>
      </c>
      <c r="C1472">
        <v>200</v>
      </c>
      <c r="D1472">
        <v>1</v>
      </c>
      <c r="E1472">
        <v>0</v>
      </c>
      <c r="F1472" t="s">
        <v>5777</v>
      </c>
      <c r="G1472">
        <v>200</v>
      </c>
      <c r="H1472">
        <v>0</v>
      </c>
      <c r="I1472" t="s">
        <v>24</v>
      </c>
      <c r="J1472" t="s">
        <v>1037</v>
      </c>
      <c r="K1472" t="s">
        <v>1038</v>
      </c>
      <c r="L1472" t="s">
        <v>27</v>
      </c>
      <c r="M1472" t="s">
        <v>28</v>
      </c>
      <c r="N1472" t="s">
        <v>5768</v>
      </c>
      <c r="O1472" t="s">
        <v>27</v>
      </c>
      <c r="P1472" t="s">
        <v>56</v>
      </c>
      <c r="Q1472" t="s">
        <v>31</v>
      </c>
      <c r="R1472" t="s">
        <v>57</v>
      </c>
      <c r="S1472" t="s">
        <v>28</v>
      </c>
      <c r="T1472" t="s">
        <v>5778</v>
      </c>
      <c r="U1472" t="s">
        <v>5779</v>
      </c>
    </row>
    <row r="1473" spans="1:21" x14ac:dyDescent="0.25">
      <c r="A1473" t="s">
        <v>909</v>
      </c>
      <c r="B1473" t="s">
        <v>3592</v>
      </c>
      <c r="C1473">
        <v>240</v>
      </c>
      <c r="D1473">
        <v>1</v>
      </c>
      <c r="E1473">
        <v>0</v>
      </c>
      <c r="F1473" t="s">
        <v>5780</v>
      </c>
      <c r="G1473">
        <v>240</v>
      </c>
      <c r="H1473">
        <v>0</v>
      </c>
      <c r="I1473" t="s">
        <v>140</v>
      </c>
      <c r="J1473" t="s">
        <v>947</v>
      </c>
      <c r="K1473" t="s">
        <v>350</v>
      </c>
      <c r="L1473" t="s">
        <v>27</v>
      </c>
      <c r="M1473" t="s">
        <v>28</v>
      </c>
      <c r="N1473" t="s">
        <v>5779</v>
      </c>
      <c r="O1473" t="s">
        <v>27</v>
      </c>
      <c r="P1473" t="s">
        <v>30</v>
      </c>
      <c r="Q1473" t="s">
        <v>31</v>
      </c>
      <c r="R1473" t="s">
        <v>32</v>
      </c>
      <c r="S1473" t="s">
        <v>28</v>
      </c>
      <c r="T1473" t="s">
        <v>5781</v>
      </c>
      <c r="U1473" t="s">
        <v>5779</v>
      </c>
    </row>
    <row r="1474" spans="1:21" x14ac:dyDescent="0.25">
      <c r="A1474" t="s">
        <v>63</v>
      </c>
      <c r="B1474" t="s">
        <v>64</v>
      </c>
      <c r="C1474">
        <v>100</v>
      </c>
      <c r="D1474">
        <v>1</v>
      </c>
      <c r="E1474">
        <v>0</v>
      </c>
      <c r="F1474" t="s">
        <v>5782</v>
      </c>
      <c r="G1474">
        <v>106</v>
      </c>
      <c r="H1474">
        <v>6</v>
      </c>
      <c r="I1474" t="s">
        <v>24</v>
      </c>
      <c r="J1474" t="s">
        <v>5783</v>
      </c>
      <c r="K1474" t="s">
        <v>1989</v>
      </c>
      <c r="L1474" t="s">
        <v>27</v>
      </c>
      <c r="M1474" t="s">
        <v>28</v>
      </c>
      <c r="N1474" t="s">
        <v>5784</v>
      </c>
      <c r="O1474" t="s">
        <v>27</v>
      </c>
      <c r="P1474" t="s">
        <v>39</v>
      </c>
      <c r="Q1474" t="s">
        <v>31</v>
      </c>
      <c r="R1474" t="s">
        <v>32</v>
      </c>
      <c r="S1474" t="s">
        <v>28</v>
      </c>
      <c r="T1474" t="s">
        <v>5785</v>
      </c>
      <c r="U1474" t="s">
        <v>5784</v>
      </c>
    </row>
    <row r="1475" spans="1:21" x14ac:dyDescent="0.25">
      <c r="A1475" t="s">
        <v>21</v>
      </c>
      <c r="B1475" t="s">
        <v>22</v>
      </c>
      <c r="C1475">
        <v>100</v>
      </c>
      <c r="D1475">
        <v>1</v>
      </c>
      <c r="E1475">
        <v>0</v>
      </c>
      <c r="F1475" t="s">
        <v>5786</v>
      </c>
      <c r="G1475">
        <v>106</v>
      </c>
      <c r="H1475">
        <v>6</v>
      </c>
      <c r="I1475" t="s">
        <v>24</v>
      </c>
      <c r="J1475" t="s">
        <v>5787</v>
      </c>
      <c r="K1475" t="s">
        <v>1989</v>
      </c>
      <c r="L1475" t="s">
        <v>27</v>
      </c>
      <c r="M1475" t="s">
        <v>28</v>
      </c>
      <c r="N1475" t="s">
        <v>5788</v>
      </c>
      <c r="O1475" t="s">
        <v>27</v>
      </c>
      <c r="P1475" t="s">
        <v>56</v>
      </c>
      <c r="Q1475" t="s">
        <v>31</v>
      </c>
      <c r="R1475" t="s">
        <v>57</v>
      </c>
      <c r="S1475" t="s">
        <v>28</v>
      </c>
      <c r="T1475" t="s">
        <v>5789</v>
      </c>
      <c r="U1475" t="s">
        <v>5788</v>
      </c>
    </row>
    <row r="1476" spans="1:21" x14ac:dyDescent="0.25">
      <c r="A1476" t="s">
        <v>195</v>
      </c>
      <c r="B1476" t="s">
        <v>1003</v>
      </c>
      <c r="C1476">
        <v>112.1</v>
      </c>
      <c r="D1476">
        <v>1</v>
      </c>
      <c r="E1476">
        <v>0</v>
      </c>
      <c r="F1476" t="s">
        <v>5790</v>
      </c>
      <c r="G1476">
        <v>117.1</v>
      </c>
      <c r="H1476">
        <v>5</v>
      </c>
      <c r="I1476" t="s">
        <v>628</v>
      </c>
      <c r="J1476" t="s">
        <v>5791</v>
      </c>
      <c r="K1476" t="s">
        <v>5792</v>
      </c>
      <c r="L1476" t="s">
        <v>5793</v>
      </c>
      <c r="M1476" t="s">
        <v>5794</v>
      </c>
      <c r="N1476" t="s">
        <v>5795</v>
      </c>
      <c r="O1476" t="s">
        <v>27</v>
      </c>
      <c r="P1476" t="s">
        <v>48</v>
      </c>
      <c r="Q1476" t="s">
        <v>49</v>
      </c>
      <c r="R1476" t="s">
        <v>50</v>
      </c>
      <c r="S1476" t="s">
        <v>28</v>
      </c>
      <c r="T1476" t="s">
        <v>5796</v>
      </c>
      <c r="U1476" t="s">
        <v>5795</v>
      </c>
    </row>
    <row r="1477" spans="1:21" x14ac:dyDescent="0.25">
      <c r="A1477" t="s">
        <v>456</v>
      </c>
      <c r="B1477" t="s">
        <v>1178</v>
      </c>
      <c r="C1477">
        <v>92.96</v>
      </c>
      <c r="D1477">
        <v>1</v>
      </c>
      <c r="E1477">
        <v>0</v>
      </c>
      <c r="F1477" t="s">
        <v>5797</v>
      </c>
      <c r="G1477">
        <v>376.8</v>
      </c>
      <c r="H1477">
        <v>5</v>
      </c>
      <c r="I1477" t="s">
        <v>628</v>
      </c>
      <c r="J1477" t="s">
        <v>5798</v>
      </c>
      <c r="K1477" t="s">
        <v>5799</v>
      </c>
      <c r="L1477" t="s">
        <v>5800</v>
      </c>
      <c r="M1477" t="s">
        <v>5801</v>
      </c>
      <c r="N1477" t="s">
        <v>5802</v>
      </c>
      <c r="O1477" t="s">
        <v>27</v>
      </c>
      <c r="P1477" t="s">
        <v>48</v>
      </c>
      <c r="Q1477" t="s">
        <v>49</v>
      </c>
      <c r="R1477" t="s">
        <v>50</v>
      </c>
      <c r="S1477" t="s">
        <v>28</v>
      </c>
      <c r="T1477" t="s">
        <v>5803</v>
      </c>
      <c r="U1477" t="s">
        <v>5802</v>
      </c>
    </row>
    <row r="1478" spans="1:21" x14ac:dyDescent="0.25">
      <c r="A1478" t="s">
        <v>456</v>
      </c>
      <c r="B1478" t="s">
        <v>1178</v>
      </c>
      <c r="C1478">
        <v>92.95</v>
      </c>
      <c r="D1478">
        <v>1</v>
      </c>
      <c r="E1478">
        <v>0</v>
      </c>
      <c r="F1478" t="s">
        <v>5797</v>
      </c>
      <c r="G1478">
        <v>376.8</v>
      </c>
      <c r="H1478">
        <v>5</v>
      </c>
      <c r="I1478" t="s">
        <v>628</v>
      </c>
      <c r="J1478" t="s">
        <v>5798</v>
      </c>
      <c r="K1478" t="s">
        <v>5799</v>
      </c>
      <c r="L1478" t="s">
        <v>5800</v>
      </c>
      <c r="M1478" t="s">
        <v>5801</v>
      </c>
      <c r="N1478" t="s">
        <v>5802</v>
      </c>
      <c r="O1478" t="s">
        <v>27</v>
      </c>
      <c r="P1478" t="s">
        <v>48</v>
      </c>
      <c r="Q1478" t="s">
        <v>49</v>
      </c>
      <c r="R1478" t="s">
        <v>50</v>
      </c>
      <c r="S1478" t="s">
        <v>28</v>
      </c>
      <c r="T1478" t="s">
        <v>5803</v>
      </c>
      <c r="U1478" t="s">
        <v>5802</v>
      </c>
    </row>
    <row r="1479" spans="1:21" x14ac:dyDescent="0.25">
      <c r="A1479" t="s">
        <v>456</v>
      </c>
      <c r="B1479" t="s">
        <v>1178</v>
      </c>
      <c r="C1479">
        <v>92.95</v>
      </c>
      <c r="D1479">
        <v>1</v>
      </c>
      <c r="E1479">
        <v>0</v>
      </c>
      <c r="F1479" t="s">
        <v>5797</v>
      </c>
      <c r="G1479">
        <v>376.8</v>
      </c>
      <c r="H1479">
        <v>5</v>
      </c>
      <c r="I1479" t="s">
        <v>628</v>
      </c>
      <c r="J1479" t="s">
        <v>5798</v>
      </c>
      <c r="K1479" t="s">
        <v>5799</v>
      </c>
      <c r="L1479" t="s">
        <v>5800</v>
      </c>
      <c r="M1479" t="s">
        <v>5801</v>
      </c>
      <c r="N1479" t="s">
        <v>5802</v>
      </c>
      <c r="O1479" t="s">
        <v>27</v>
      </c>
      <c r="P1479" t="s">
        <v>48</v>
      </c>
      <c r="Q1479" t="s">
        <v>49</v>
      </c>
      <c r="R1479" t="s">
        <v>50</v>
      </c>
      <c r="S1479" t="s">
        <v>28</v>
      </c>
      <c r="T1479" t="s">
        <v>5803</v>
      </c>
      <c r="U1479" t="s">
        <v>5802</v>
      </c>
    </row>
    <row r="1480" spans="1:21" x14ac:dyDescent="0.25">
      <c r="A1480" t="s">
        <v>456</v>
      </c>
      <c r="B1480" t="s">
        <v>1178</v>
      </c>
      <c r="C1480">
        <v>92.94</v>
      </c>
      <c r="D1480">
        <v>1</v>
      </c>
      <c r="E1480">
        <v>0</v>
      </c>
      <c r="F1480" t="s">
        <v>5797</v>
      </c>
      <c r="G1480">
        <v>376.8</v>
      </c>
      <c r="H1480">
        <v>5</v>
      </c>
      <c r="I1480" t="s">
        <v>628</v>
      </c>
      <c r="J1480" t="s">
        <v>5798</v>
      </c>
      <c r="K1480" t="s">
        <v>5799</v>
      </c>
      <c r="L1480" t="s">
        <v>5800</v>
      </c>
      <c r="M1480" t="s">
        <v>5801</v>
      </c>
      <c r="N1480" t="s">
        <v>5802</v>
      </c>
      <c r="O1480" t="s">
        <v>27</v>
      </c>
      <c r="P1480" t="s">
        <v>48</v>
      </c>
      <c r="Q1480" t="s">
        <v>49</v>
      </c>
      <c r="R1480" t="s">
        <v>50</v>
      </c>
      <c r="S1480" t="s">
        <v>28</v>
      </c>
      <c r="T1480" t="s">
        <v>5803</v>
      </c>
      <c r="U1480" t="s">
        <v>5802</v>
      </c>
    </row>
    <row r="1481" spans="1:21" x14ac:dyDescent="0.25">
      <c r="A1481" t="s">
        <v>635</v>
      </c>
      <c r="B1481" t="s">
        <v>714</v>
      </c>
      <c r="C1481">
        <v>420.96</v>
      </c>
      <c r="D1481">
        <v>1</v>
      </c>
      <c r="E1481">
        <v>0</v>
      </c>
      <c r="F1481" t="s">
        <v>5804</v>
      </c>
      <c r="G1481">
        <v>439.96</v>
      </c>
      <c r="H1481">
        <v>19</v>
      </c>
      <c r="I1481" t="s">
        <v>628</v>
      </c>
      <c r="J1481" t="s">
        <v>5805</v>
      </c>
      <c r="K1481" t="s">
        <v>5806</v>
      </c>
      <c r="L1481" t="s">
        <v>925</v>
      </c>
      <c r="M1481" t="s">
        <v>5807</v>
      </c>
      <c r="N1481" t="s">
        <v>5802</v>
      </c>
      <c r="O1481" t="s">
        <v>27</v>
      </c>
      <c r="P1481" t="s">
        <v>48</v>
      </c>
      <c r="Q1481" t="s">
        <v>49</v>
      </c>
      <c r="R1481" t="s">
        <v>50</v>
      </c>
      <c r="S1481" t="s">
        <v>28</v>
      </c>
      <c r="T1481" t="s">
        <v>5808</v>
      </c>
      <c r="U1481" t="s">
        <v>5802</v>
      </c>
    </row>
    <row r="1482" spans="1:21" x14ac:dyDescent="0.25">
      <c r="A1482" t="s">
        <v>33</v>
      </c>
      <c r="B1482" t="s">
        <v>34</v>
      </c>
      <c r="C1482">
        <v>200</v>
      </c>
      <c r="D1482">
        <v>1</v>
      </c>
      <c r="E1482">
        <v>0</v>
      </c>
      <c r="F1482" t="s">
        <v>5809</v>
      </c>
      <c r="G1482">
        <v>200</v>
      </c>
      <c r="H1482">
        <v>0</v>
      </c>
      <c r="I1482" t="s">
        <v>24</v>
      </c>
      <c r="J1482" t="s">
        <v>5810</v>
      </c>
      <c r="K1482" t="s">
        <v>677</v>
      </c>
      <c r="L1482" t="s">
        <v>27</v>
      </c>
      <c r="M1482" t="s">
        <v>28</v>
      </c>
      <c r="N1482" t="s">
        <v>5811</v>
      </c>
      <c r="O1482" t="s">
        <v>27</v>
      </c>
      <c r="P1482" t="s">
        <v>56</v>
      </c>
      <c r="Q1482" t="s">
        <v>31</v>
      </c>
      <c r="R1482" t="s">
        <v>57</v>
      </c>
      <c r="S1482" t="s">
        <v>28</v>
      </c>
      <c r="T1482" t="s">
        <v>5812</v>
      </c>
      <c r="U1482" t="s">
        <v>5813</v>
      </c>
    </row>
    <row r="1483" spans="1:21" x14ac:dyDescent="0.25">
      <c r="A1483" t="s">
        <v>58</v>
      </c>
      <c r="B1483" t="s">
        <v>58</v>
      </c>
      <c r="C1483">
        <v>100</v>
      </c>
      <c r="D1483">
        <v>2</v>
      </c>
      <c r="E1483">
        <v>0</v>
      </c>
      <c r="F1483" t="s">
        <v>5814</v>
      </c>
      <c r="G1483">
        <v>200</v>
      </c>
      <c r="H1483">
        <v>0</v>
      </c>
      <c r="I1483" t="s">
        <v>140</v>
      </c>
      <c r="J1483" t="s">
        <v>5815</v>
      </c>
      <c r="K1483" t="s">
        <v>711</v>
      </c>
      <c r="L1483" t="s">
        <v>27</v>
      </c>
      <c r="M1483" t="s">
        <v>28</v>
      </c>
      <c r="N1483" t="s">
        <v>5816</v>
      </c>
      <c r="O1483" t="s">
        <v>27</v>
      </c>
      <c r="P1483" t="s">
        <v>30</v>
      </c>
      <c r="Q1483" t="s">
        <v>31</v>
      </c>
      <c r="R1483" t="s">
        <v>32</v>
      </c>
      <c r="S1483" t="s">
        <v>28</v>
      </c>
      <c r="T1483" t="s">
        <v>5817</v>
      </c>
      <c r="U1483" t="s">
        <v>5816</v>
      </c>
    </row>
    <row r="1484" spans="1:21" x14ac:dyDescent="0.25">
      <c r="A1484" t="s">
        <v>33</v>
      </c>
      <c r="B1484" t="s">
        <v>34</v>
      </c>
      <c r="C1484">
        <v>200</v>
      </c>
      <c r="D1484">
        <v>1</v>
      </c>
      <c r="E1484">
        <v>0</v>
      </c>
      <c r="F1484" t="s">
        <v>5818</v>
      </c>
      <c r="G1484">
        <v>200</v>
      </c>
      <c r="H1484">
        <v>0</v>
      </c>
      <c r="I1484" t="s">
        <v>24</v>
      </c>
      <c r="J1484" t="s">
        <v>5819</v>
      </c>
      <c r="K1484" t="s">
        <v>37</v>
      </c>
      <c r="L1484" t="s">
        <v>27</v>
      </c>
      <c r="M1484" t="s">
        <v>28</v>
      </c>
      <c r="N1484" t="s">
        <v>5820</v>
      </c>
      <c r="O1484" t="s">
        <v>27</v>
      </c>
      <c r="P1484" t="s">
        <v>56</v>
      </c>
      <c r="Q1484" t="s">
        <v>31</v>
      </c>
      <c r="R1484" t="s">
        <v>57</v>
      </c>
      <c r="S1484" t="s">
        <v>28</v>
      </c>
      <c r="T1484" t="s">
        <v>5821</v>
      </c>
      <c r="U1484" t="s">
        <v>5820</v>
      </c>
    </row>
    <row r="1485" spans="1:21" x14ac:dyDescent="0.25">
      <c r="A1485" t="s">
        <v>21</v>
      </c>
      <c r="B1485" t="s">
        <v>22</v>
      </c>
      <c r="C1485">
        <v>100</v>
      </c>
      <c r="D1485">
        <v>1</v>
      </c>
      <c r="E1485">
        <v>0</v>
      </c>
      <c r="F1485" t="s">
        <v>5822</v>
      </c>
      <c r="G1485">
        <v>106</v>
      </c>
      <c r="H1485">
        <v>6</v>
      </c>
      <c r="I1485" t="s">
        <v>24</v>
      </c>
      <c r="J1485" t="s">
        <v>5823</v>
      </c>
      <c r="K1485" t="s">
        <v>350</v>
      </c>
      <c r="L1485" t="s">
        <v>27</v>
      </c>
      <c r="M1485" t="s">
        <v>28</v>
      </c>
      <c r="N1485" t="s">
        <v>5824</v>
      </c>
      <c r="O1485" t="s">
        <v>27</v>
      </c>
      <c r="P1485" t="s">
        <v>39</v>
      </c>
      <c r="Q1485" t="s">
        <v>31</v>
      </c>
      <c r="R1485" t="s">
        <v>32</v>
      </c>
      <c r="S1485" t="s">
        <v>28</v>
      </c>
      <c r="T1485" t="s">
        <v>5825</v>
      </c>
      <c r="U1485" t="s">
        <v>5824</v>
      </c>
    </row>
    <row r="1486" spans="1:21" x14ac:dyDescent="0.25">
      <c r="A1486" t="s">
        <v>2295</v>
      </c>
      <c r="B1486" t="s">
        <v>2854</v>
      </c>
      <c r="C1486">
        <v>143.69999999999999</v>
      </c>
      <c r="D1486">
        <v>1</v>
      </c>
      <c r="E1486">
        <v>0</v>
      </c>
      <c r="F1486" t="s">
        <v>5826</v>
      </c>
      <c r="G1486">
        <v>148.69999999999999</v>
      </c>
      <c r="H1486">
        <v>5</v>
      </c>
      <c r="I1486" t="s">
        <v>2856</v>
      </c>
      <c r="J1486" t="s">
        <v>5827</v>
      </c>
      <c r="K1486" t="s">
        <v>5828</v>
      </c>
      <c r="L1486" t="s">
        <v>1146</v>
      </c>
      <c r="M1486" t="s">
        <v>5829</v>
      </c>
      <c r="N1486" t="s">
        <v>5830</v>
      </c>
      <c r="O1486" t="s">
        <v>27</v>
      </c>
      <c r="P1486" t="s">
        <v>48</v>
      </c>
      <c r="Q1486" t="s">
        <v>49</v>
      </c>
      <c r="R1486" t="s">
        <v>50</v>
      </c>
      <c r="S1486" t="s">
        <v>28</v>
      </c>
      <c r="T1486" t="s">
        <v>5831</v>
      </c>
      <c r="U1486" t="s">
        <v>5830</v>
      </c>
    </row>
    <row r="1487" spans="1:21" x14ac:dyDescent="0.25">
      <c r="A1487" t="s">
        <v>134</v>
      </c>
      <c r="B1487" t="s">
        <v>64</v>
      </c>
      <c r="C1487">
        <v>100</v>
      </c>
      <c r="D1487">
        <v>1</v>
      </c>
      <c r="E1487">
        <v>0</v>
      </c>
      <c r="F1487" t="s">
        <v>5832</v>
      </c>
      <c r="G1487">
        <v>106</v>
      </c>
      <c r="H1487">
        <v>6</v>
      </c>
      <c r="I1487" t="s">
        <v>140</v>
      </c>
      <c r="J1487" t="s">
        <v>5833</v>
      </c>
      <c r="K1487" t="s">
        <v>677</v>
      </c>
      <c r="L1487" t="s">
        <v>27</v>
      </c>
      <c r="M1487" t="s">
        <v>28</v>
      </c>
      <c r="N1487" t="s">
        <v>5763</v>
      </c>
      <c r="O1487" t="s">
        <v>27</v>
      </c>
      <c r="P1487" t="s">
        <v>30</v>
      </c>
      <c r="Q1487" t="s">
        <v>31</v>
      </c>
      <c r="R1487" t="s">
        <v>32</v>
      </c>
      <c r="S1487" t="s">
        <v>28</v>
      </c>
      <c r="T1487" t="s">
        <v>5834</v>
      </c>
      <c r="U1487" t="s">
        <v>5763</v>
      </c>
    </row>
    <row r="1488" spans="1:21" x14ac:dyDescent="0.25">
      <c r="A1488" t="s">
        <v>21</v>
      </c>
      <c r="B1488" t="s">
        <v>22</v>
      </c>
      <c r="C1488">
        <v>100</v>
      </c>
      <c r="D1488">
        <v>1</v>
      </c>
      <c r="E1488">
        <v>0</v>
      </c>
      <c r="F1488" t="s">
        <v>5835</v>
      </c>
      <c r="G1488">
        <v>200</v>
      </c>
      <c r="H1488">
        <v>0</v>
      </c>
      <c r="I1488" t="s">
        <v>140</v>
      </c>
      <c r="J1488" t="s">
        <v>5836</v>
      </c>
      <c r="K1488" t="s">
        <v>54</v>
      </c>
      <c r="L1488" t="s">
        <v>27</v>
      </c>
      <c r="M1488" t="s">
        <v>28</v>
      </c>
      <c r="N1488" t="s">
        <v>5763</v>
      </c>
      <c r="O1488" t="s">
        <v>27</v>
      </c>
      <c r="P1488" t="s">
        <v>30</v>
      </c>
      <c r="Q1488" t="s">
        <v>31</v>
      </c>
      <c r="R1488" t="s">
        <v>32</v>
      </c>
      <c r="S1488" t="s">
        <v>28</v>
      </c>
      <c r="T1488" t="s">
        <v>5837</v>
      </c>
      <c r="U1488" t="s">
        <v>5763</v>
      </c>
    </row>
    <row r="1489" spans="1:21" x14ac:dyDescent="0.25">
      <c r="A1489" t="s">
        <v>63</v>
      </c>
      <c r="B1489" t="s">
        <v>64</v>
      </c>
      <c r="C1489">
        <v>100</v>
      </c>
      <c r="D1489">
        <v>1</v>
      </c>
      <c r="E1489">
        <v>0</v>
      </c>
      <c r="F1489" t="s">
        <v>5835</v>
      </c>
      <c r="G1489">
        <v>200</v>
      </c>
      <c r="H1489">
        <v>0</v>
      </c>
      <c r="I1489" t="s">
        <v>140</v>
      </c>
      <c r="J1489" t="s">
        <v>5836</v>
      </c>
      <c r="K1489" t="s">
        <v>54</v>
      </c>
      <c r="L1489" t="s">
        <v>27</v>
      </c>
      <c r="M1489" t="s">
        <v>28</v>
      </c>
      <c r="N1489" t="s">
        <v>5763</v>
      </c>
      <c r="O1489" t="s">
        <v>27</v>
      </c>
      <c r="P1489" t="s">
        <v>30</v>
      </c>
      <c r="Q1489" t="s">
        <v>31</v>
      </c>
      <c r="R1489" t="s">
        <v>32</v>
      </c>
      <c r="S1489" t="s">
        <v>28</v>
      </c>
      <c r="T1489" t="s">
        <v>5837</v>
      </c>
      <c r="U1489" t="s">
        <v>5763</v>
      </c>
    </row>
    <row r="1490" spans="1:21" x14ac:dyDescent="0.25">
      <c r="A1490" t="s">
        <v>2295</v>
      </c>
      <c r="B1490" t="s">
        <v>3286</v>
      </c>
      <c r="C1490">
        <v>199</v>
      </c>
      <c r="D1490">
        <v>1</v>
      </c>
      <c r="E1490">
        <v>0</v>
      </c>
      <c r="F1490" t="s">
        <v>5838</v>
      </c>
      <c r="G1490">
        <v>234</v>
      </c>
      <c r="H1490">
        <v>35</v>
      </c>
      <c r="I1490" t="s">
        <v>24</v>
      </c>
      <c r="J1490" t="s">
        <v>5239</v>
      </c>
      <c r="K1490" t="s">
        <v>5839</v>
      </c>
      <c r="L1490" t="s">
        <v>190</v>
      </c>
      <c r="M1490" t="s">
        <v>1708</v>
      </c>
      <c r="N1490" t="s">
        <v>5840</v>
      </c>
      <c r="O1490" t="s">
        <v>27</v>
      </c>
      <c r="P1490" t="s">
        <v>193</v>
      </c>
      <c r="Q1490" t="s">
        <v>85</v>
      </c>
      <c r="R1490" t="s">
        <v>86</v>
      </c>
      <c r="S1490" t="s">
        <v>28</v>
      </c>
      <c r="T1490" t="s">
        <v>5841</v>
      </c>
      <c r="U1490" t="s">
        <v>5840</v>
      </c>
    </row>
    <row r="1491" spans="1:21" x14ac:dyDescent="0.25">
      <c r="A1491" t="s">
        <v>195</v>
      </c>
      <c r="B1491" t="s">
        <v>1003</v>
      </c>
      <c r="C1491">
        <v>119.84</v>
      </c>
      <c r="D1491">
        <v>1</v>
      </c>
      <c r="E1491">
        <v>0</v>
      </c>
      <c r="F1491" t="s">
        <v>5842</v>
      </c>
      <c r="G1491">
        <v>119.84</v>
      </c>
      <c r="H1491">
        <v>0</v>
      </c>
      <c r="I1491" t="s">
        <v>628</v>
      </c>
      <c r="J1491" t="s">
        <v>5843</v>
      </c>
      <c r="K1491" t="s">
        <v>5844</v>
      </c>
      <c r="L1491" t="s">
        <v>1677</v>
      </c>
      <c r="M1491" t="s">
        <v>5845</v>
      </c>
      <c r="N1491" t="s">
        <v>5840</v>
      </c>
      <c r="O1491" t="s">
        <v>27</v>
      </c>
      <c r="P1491" t="s">
        <v>48</v>
      </c>
      <c r="Q1491" t="s">
        <v>49</v>
      </c>
      <c r="R1491" t="s">
        <v>50</v>
      </c>
      <c r="S1491" t="s">
        <v>28</v>
      </c>
      <c r="T1491" t="s">
        <v>5846</v>
      </c>
      <c r="U1491" t="s">
        <v>5840</v>
      </c>
    </row>
    <row r="1492" spans="1:21" x14ac:dyDescent="0.25">
      <c r="A1492" t="s">
        <v>456</v>
      </c>
      <c r="B1492" t="s">
        <v>1178</v>
      </c>
      <c r="C1492">
        <v>142.31</v>
      </c>
      <c r="D1492">
        <v>1</v>
      </c>
      <c r="E1492">
        <v>0</v>
      </c>
      <c r="F1492" t="s">
        <v>5847</v>
      </c>
      <c r="G1492">
        <v>142.31</v>
      </c>
      <c r="H1492">
        <v>0</v>
      </c>
      <c r="I1492" t="s">
        <v>628</v>
      </c>
      <c r="J1492" t="s">
        <v>5848</v>
      </c>
      <c r="K1492" t="s">
        <v>5849</v>
      </c>
      <c r="L1492" t="s">
        <v>1184</v>
      </c>
      <c r="M1492" t="s">
        <v>5850</v>
      </c>
      <c r="N1492" t="s">
        <v>5851</v>
      </c>
      <c r="O1492" t="s">
        <v>27</v>
      </c>
      <c r="P1492" t="s">
        <v>48</v>
      </c>
      <c r="Q1492" t="s">
        <v>49</v>
      </c>
      <c r="R1492" t="s">
        <v>50</v>
      </c>
      <c r="S1492" t="s">
        <v>28</v>
      </c>
      <c r="T1492" t="s">
        <v>5852</v>
      </c>
      <c r="U1492" t="s">
        <v>5851</v>
      </c>
    </row>
    <row r="1493" spans="1:21" x14ac:dyDescent="0.25">
      <c r="A1493" t="s">
        <v>21</v>
      </c>
      <c r="B1493" t="s">
        <v>22</v>
      </c>
      <c r="C1493">
        <v>100</v>
      </c>
      <c r="D1493">
        <v>1</v>
      </c>
      <c r="E1493">
        <v>0</v>
      </c>
      <c r="F1493" t="s">
        <v>5853</v>
      </c>
      <c r="G1493">
        <v>300</v>
      </c>
      <c r="H1493">
        <v>0</v>
      </c>
      <c r="I1493" t="s">
        <v>24</v>
      </c>
      <c r="J1493" t="s">
        <v>5854</v>
      </c>
      <c r="K1493" t="s">
        <v>171</v>
      </c>
      <c r="L1493" t="s">
        <v>27</v>
      </c>
      <c r="M1493" t="s">
        <v>28</v>
      </c>
      <c r="N1493" t="s">
        <v>5851</v>
      </c>
      <c r="O1493" t="s">
        <v>27</v>
      </c>
      <c r="P1493" t="s">
        <v>39</v>
      </c>
      <c r="Q1493" t="s">
        <v>31</v>
      </c>
      <c r="R1493" t="s">
        <v>32</v>
      </c>
      <c r="S1493" t="s">
        <v>28</v>
      </c>
      <c r="T1493" t="s">
        <v>5855</v>
      </c>
      <c r="U1493" t="s">
        <v>5851</v>
      </c>
    </row>
    <row r="1494" spans="1:21" x14ac:dyDescent="0.25">
      <c r="A1494" t="s">
        <v>243</v>
      </c>
      <c r="B1494" t="s">
        <v>244</v>
      </c>
      <c r="C1494">
        <v>200</v>
      </c>
      <c r="D1494">
        <v>1</v>
      </c>
      <c r="E1494">
        <v>0</v>
      </c>
      <c r="F1494" t="s">
        <v>5853</v>
      </c>
      <c r="G1494">
        <v>300</v>
      </c>
      <c r="H1494">
        <v>0</v>
      </c>
      <c r="I1494" t="s">
        <v>24</v>
      </c>
      <c r="J1494" t="s">
        <v>5854</v>
      </c>
      <c r="K1494" t="s">
        <v>171</v>
      </c>
      <c r="L1494" t="s">
        <v>27</v>
      </c>
      <c r="M1494" t="s">
        <v>28</v>
      </c>
      <c r="N1494" t="s">
        <v>5851</v>
      </c>
      <c r="O1494" t="s">
        <v>27</v>
      </c>
      <c r="P1494" t="s">
        <v>39</v>
      </c>
      <c r="Q1494" t="s">
        <v>31</v>
      </c>
      <c r="R1494" t="s">
        <v>32</v>
      </c>
      <c r="S1494" t="s">
        <v>28</v>
      </c>
      <c r="T1494" t="s">
        <v>5855</v>
      </c>
      <c r="U1494" t="s">
        <v>5851</v>
      </c>
    </row>
    <row r="1495" spans="1:21" x14ac:dyDescent="0.25">
      <c r="A1495" t="s">
        <v>143</v>
      </c>
      <c r="B1495" t="s">
        <v>144</v>
      </c>
      <c r="C1495">
        <v>200</v>
      </c>
      <c r="D1495">
        <v>1</v>
      </c>
      <c r="E1495">
        <v>0</v>
      </c>
      <c r="F1495" t="s">
        <v>5856</v>
      </c>
      <c r="G1495">
        <v>200</v>
      </c>
      <c r="H1495">
        <v>0</v>
      </c>
      <c r="I1495" t="s">
        <v>140</v>
      </c>
      <c r="J1495" t="s">
        <v>5857</v>
      </c>
      <c r="K1495" t="s">
        <v>797</v>
      </c>
      <c r="L1495" t="s">
        <v>27</v>
      </c>
      <c r="M1495" t="s">
        <v>28</v>
      </c>
      <c r="N1495" t="s">
        <v>5858</v>
      </c>
      <c r="O1495" t="s">
        <v>27</v>
      </c>
      <c r="P1495" t="s">
        <v>30</v>
      </c>
      <c r="Q1495" t="s">
        <v>31</v>
      </c>
      <c r="R1495" t="s">
        <v>32</v>
      </c>
      <c r="S1495" t="s">
        <v>28</v>
      </c>
      <c r="T1495" t="s">
        <v>5859</v>
      </c>
      <c r="U1495" t="s">
        <v>5858</v>
      </c>
    </row>
    <row r="1496" spans="1:21" x14ac:dyDescent="0.25">
      <c r="A1496" t="s">
        <v>3543</v>
      </c>
      <c r="B1496" t="s">
        <v>3544</v>
      </c>
      <c r="C1496">
        <v>236.73</v>
      </c>
      <c r="D1496">
        <v>1</v>
      </c>
      <c r="E1496">
        <v>0</v>
      </c>
      <c r="F1496" t="s">
        <v>5860</v>
      </c>
      <c r="G1496">
        <v>473.45</v>
      </c>
      <c r="H1496">
        <v>0</v>
      </c>
      <c r="I1496" t="s">
        <v>720</v>
      </c>
      <c r="J1496" t="s">
        <v>3901</v>
      </c>
      <c r="K1496" t="s">
        <v>3902</v>
      </c>
      <c r="L1496" t="s">
        <v>3903</v>
      </c>
      <c r="M1496" t="s">
        <v>3904</v>
      </c>
      <c r="N1496" t="s">
        <v>5861</v>
      </c>
      <c r="O1496" t="s">
        <v>27</v>
      </c>
      <c r="P1496" t="s">
        <v>48</v>
      </c>
      <c r="Q1496" t="s">
        <v>49</v>
      </c>
      <c r="R1496" t="s">
        <v>50</v>
      </c>
      <c r="S1496" t="s">
        <v>28</v>
      </c>
      <c r="T1496" t="s">
        <v>5862</v>
      </c>
      <c r="U1496" t="s">
        <v>5861</v>
      </c>
    </row>
    <row r="1497" spans="1:21" x14ac:dyDescent="0.25">
      <c r="A1497" t="s">
        <v>3543</v>
      </c>
      <c r="B1497" t="s">
        <v>3544</v>
      </c>
      <c r="C1497">
        <v>236.72</v>
      </c>
      <c r="D1497">
        <v>1</v>
      </c>
      <c r="E1497">
        <v>0</v>
      </c>
      <c r="F1497" t="s">
        <v>5860</v>
      </c>
      <c r="G1497">
        <v>473.45</v>
      </c>
      <c r="H1497">
        <v>0</v>
      </c>
      <c r="I1497" t="s">
        <v>720</v>
      </c>
      <c r="J1497" t="s">
        <v>3901</v>
      </c>
      <c r="K1497" t="s">
        <v>3902</v>
      </c>
      <c r="L1497" t="s">
        <v>3903</v>
      </c>
      <c r="M1497" t="s">
        <v>3904</v>
      </c>
      <c r="N1497" t="s">
        <v>5861</v>
      </c>
      <c r="O1497" t="s">
        <v>27</v>
      </c>
      <c r="P1497" t="s">
        <v>48</v>
      </c>
      <c r="Q1497" t="s">
        <v>49</v>
      </c>
      <c r="R1497" t="s">
        <v>50</v>
      </c>
      <c r="S1497" t="s">
        <v>28</v>
      </c>
      <c r="T1497" t="s">
        <v>5862</v>
      </c>
      <c r="U1497" t="s">
        <v>5863</v>
      </c>
    </row>
    <row r="1498" spans="1:21" x14ac:dyDescent="0.25">
      <c r="A1498" t="s">
        <v>456</v>
      </c>
      <c r="B1498" t="s">
        <v>1178</v>
      </c>
      <c r="C1498">
        <v>119.84</v>
      </c>
      <c r="D1498">
        <v>1</v>
      </c>
      <c r="E1498">
        <v>0</v>
      </c>
      <c r="F1498" t="s">
        <v>5864</v>
      </c>
      <c r="G1498">
        <v>119.84</v>
      </c>
      <c r="H1498">
        <v>0</v>
      </c>
      <c r="I1498" t="s">
        <v>628</v>
      </c>
      <c r="J1498" t="s">
        <v>5865</v>
      </c>
      <c r="K1498" t="s">
        <v>5866</v>
      </c>
      <c r="L1498" t="s">
        <v>1084</v>
      </c>
      <c r="M1498" t="s">
        <v>5867</v>
      </c>
      <c r="N1498" t="s">
        <v>5868</v>
      </c>
      <c r="O1498" t="s">
        <v>27</v>
      </c>
      <c r="P1498" t="s">
        <v>48</v>
      </c>
      <c r="Q1498" t="s">
        <v>49</v>
      </c>
      <c r="R1498" t="s">
        <v>50</v>
      </c>
      <c r="S1498" t="s">
        <v>28</v>
      </c>
      <c r="T1498" t="s">
        <v>5869</v>
      </c>
      <c r="U1498" t="s">
        <v>5868</v>
      </c>
    </row>
    <row r="1499" spans="1:21" x14ac:dyDescent="0.25">
      <c r="A1499" t="s">
        <v>58</v>
      </c>
      <c r="B1499" t="s">
        <v>58</v>
      </c>
      <c r="C1499">
        <v>100</v>
      </c>
      <c r="D1499">
        <v>1</v>
      </c>
      <c r="E1499">
        <v>0</v>
      </c>
      <c r="F1499" t="s">
        <v>5870</v>
      </c>
      <c r="G1499">
        <v>200</v>
      </c>
      <c r="H1499">
        <v>0</v>
      </c>
      <c r="I1499" t="s">
        <v>24</v>
      </c>
      <c r="J1499" t="s">
        <v>5871</v>
      </c>
      <c r="K1499" t="s">
        <v>124</v>
      </c>
      <c r="L1499" t="s">
        <v>27</v>
      </c>
      <c r="M1499" t="s">
        <v>28</v>
      </c>
      <c r="N1499" t="s">
        <v>5872</v>
      </c>
      <c r="O1499" t="s">
        <v>27</v>
      </c>
      <c r="P1499" t="s">
        <v>56</v>
      </c>
      <c r="Q1499" t="s">
        <v>31</v>
      </c>
      <c r="R1499" t="s">
        <v>57</v>
      </c>
      <c r="S1499" t="s">
        <v>28</v>
      </c>
      <c r="T1499" t="s">
        <v>5873</v>
      </c>
      <c r="U1499" t="s">
        <v>5872</v>
      </c>
    </row>
    <row r="1500" spans="1:21" x14ac:dyDescent="0.25">
      <c r="A1500" t="s">
        <v>63</v>
      </c>
      <c r="B1500" t="s">
        <v>64</v>
      </c>
      <c r="C1500">
        <v>100</v>
      </c>
      <c r="D1500">
        <v>1</v>
      </c>
      <c r="E1500">
        <v>0</v>
      </c>
      <c r="F1500" t="s">
        <v>5870</v>
      </c>
      <c r="G1500">
        <v>200</v>
      </c>
      <c r="H1500">
        <v>0</v>
      </c>
      <c r="I1500" t="s">
        <v>24</v>
      </c>
      <c r="J1500" t="s">
        <v>5871</v>
      </c>
      <c r="K1500" t="s">
        <v>124</v>
      </c>
      <c r="L1500" t="s">
        <v>27</v>
      </c>
      <c r="M1500" t="s">
        <v>28</v>
      </c>
      <c r="N1500" t="s">
        <v>5872</v>
      </c>
      <c r="O1500" t="s">
        <v>27</v>
      </c>
      <c r="P1500" t="s">
        <v>56</v>
      </c>
      <c r="Q1500" t="s">
        <v>31</v>
      </c>
      <c r="R1500" t="s">
        <v>57</v>
      </c>
      <c r="S1500" t="s">
        <v>28</v>
      </c>
      <c r="T1500" t="s">
        <v>5873</v>
      </c>
      <c r="U1500" t="s">
        <v>5872</v>
      </c>
    </row>
    <row r="1501" spans="1:21" x14ac:dyDescent="0.25">
      <c r="A1501" t="s">
        <v>2990</v>
      </c>
      <c r="B1501" t="s">
        <v>2991</v>
      </c>
      <c r="C1501">
        <v>200</v>
      </c>
      <c r="D1501">
        <v>1</v>
      </c>
      <c r="E1501">
        <v>0</v>
      </c>
      <c r="F1501" t="s">
        <v>5874</v>
      </c>
      <c r="G1501">
        <v>206</v>
      </c>
      <c r="H1501">
        <v>6</v>
      </c>
      <c r="I1501" t="s">
        <v>445</v>
      </c>
      <c r="J1501" t="s">
        <v>5875</v>
      </c>
      <c r="K1501" t="s">
        <v>241</v>
      </c>
      <c r="L1501" t="s">
        <v>27</v>
      </c>
      <c r="M1501" t="s">
        <v>28</v>
      </c>
      <c r="N1501" t="s">
        <v>5876</v>
      </c>
      <c r="O1501" t="s">
        <v>27</v>
      </c>
      <c r="P1501" t="s">
        <v>39</v>
      </c>
      <c r="Q1501" t="s">
        <v>31</v>
      </c>
      <c r="R1501" t="s">
        <v>32</v>
      </c>
      <c r="S1501" t="s">
        <v>28</v>
      </c>
      <c r="T1501" t="s">
        <v>5877</v>
      </c>
      <c r="U1501" t="s">
        <v>5876</v>
      </c>
    </row>
    <row r="1502" spans="1:21" x14ac:dyDescent="0.25">
      <c r="A1502" t="s">
        <v>33</v>
      </c>
      <c r="B1502" t="s">
        <v>34</v>
      </c>
      <c r="C1502">
        <v>200</v>
      </c>
      <c r="D1502">
        <v>1</v>
      </c>
      <c r="E1502">
        <v>0</v>
      </c>
      <c r="F1502" t="s">
        <v>5878</v>
      </c>
      <c r="G1502">
        <v>200</v>
      </c>
      <c r="H1502">
        <v>0</v>
      </c>
      <c r="I1502" t="s">
        <v>24</v>
      </c>
      <c r="J1502" t="s">
        <v>5879</v>
      </c>
      <c r="K1502" t="s">
        <v>1772</v>
      </c>
      <c r="L1502" t="s">
        <v>27</v>
      </c>
      <c r="M1502" t="s">
        <v>28</v>
      </c>
      <c r="N1502" t="s">
        <v>5880</v>
      </c>
      <c r="O1502" t="s">
        <v>27</v>
      </c>
      <c r="P1502" t="s">
        <v>39</v>
      </c>
      <c r="Q1502" t="s">
        <v>31</v>
      </c>
      <c r="R1502" t="s">
        <v>32</v>
      </c>
      <c r="S1502" t="s">
        <v>28</v>
      </c>
      <c r="T1502" t="s">
        <v>5881</v>
      </c>
      <c r="U1502" t="s">
        <v>5880</v>
      </c>
    </row>
    <row r="1503" spans="1:21" x14ac:dyDescent="0.25">
      <c r="A1503" t="s">
        <v>456</v>
      </c>
      <c r="B1503" t="s">
        <v>1178</v>
      </c>
      <c r="C1503">
        <v>119.84</v>
      </c>
      <c r="D1503">
        <v>1</v>
      </c>
      <c r="E1503">
        <v>0</v>
      </c>
      <c r="F1503" t="s">
        <v>5882</v>
      </c>
      <c r="G1503">
        <v>124.84</v>
      </c>
      <c r="H1503">
        <v>5</v>
      </c>
      <c r="I1503" t="s">
        <v>628</v>
      </c>
      <c r="J1503" t="s">
        <v>1424</v>
      </c>
      <c r="K1503" t="s">
        <v>1425</v>
      </c>
      <c r="L1503" t="s">
        <v>160</v>
      </c>
      <c r="M1503" t="s">
        <v>1426</v>
      </c>
      <c r="N1503" t="s">
        <v>5876</v>
      </c>
      <c r="O1503" t="s">
        <v>27</v>
      </c>
      <c r="P1503" t="s">
        <v>48</v>
      </c>
      <c r="Q1503" t="s">
        <v>49</v>
      </c>
      <c r="R1503" t="s">
        <v>50</v>
      </c>
      <c r="S1503" t="s">
        <v>28</v>
      </c>
      <c r="T1503" t="s">
        <v>5883</v>
      </c>
      <c r="U1503" t="s">
        <v>5880</v>
      </c>
    </row>
    <row r="1504" spans="1:21" x14ac:dyDescent="0.25">
      <c r="A1504" t="s">
        <v>21</v>
      </c>
      <c r="B1504" t="s">
        <v>22</v>
      </c>
      <c r="C1504">
        <v>100</v>
      </c>
      <c r="D1504">
        <v>1</v>
      </c>
      <c r="E1504">
        <v>0</v>
      </c>
      <c r="F1504" t="s">
        <v>5884</v>
      </c>
      <c r="G1504">
        <v>300</v>
      </c>
      <c r="H1504">
        <v>0</v>
      </c>
      <c r="I1504" t="s">
        <v>140</v>
      </c>
      <c r="J1504" t="s">
        <v>5885</v>
      </c>
      <c r="K1504" t="s">
        <v>342</v>
      </c>
      <c r="L1504" t="s">
        <v>27</v>
      </c>
      <c r="M1504" t="s">
        <v>28</v>
      </c>
      <c r="N1504" t="s">
        <v>5886</v>
      </c>
      <c r="O1504" t="s">
        <v>27</v>
      </c>
      <c r="P1504" t="s">
        <v>30</v>
      </c>
      <c r="Q1504" t="s">
        <v>31</v>
      </c>
      <c r="R1504" t="s">
        <v>32</v>
      </c>
      <c r="S1504" t="s">
        <v>28</v>
      </c>
      <c r="T1504" t="s">
        <v>5887</v>
      </c>
      <c r="U1504" t="s">
        <v>5886</v>
      </c>
    </row>
    <row r="1505" spans="1:21" x14ac:dyDescent="0.25">
      <c r="A1505" t="s">
        <v>58</v>
      </c>
      <c r="B1505" t="s">
        <v>58</v>
      </c>
      <c r="C1505">
        <v>100</v>
      </c>
      <c r="D1505">
        <v>2</v>
      </c>
      <c r="E1505">
        <v>0</v>
      </c>
      <c r="F1505" t="s">
        <v>5884</v>
      </c>
      <c r="G1505">
        <v>300</v>
      </c>
      <c r="H1505">
        <v>0</v>
      </c>
      <c r="I1505" t="s">
        <v>140</v>
      </c>
      <c r="J1505" t="s">
        <v>5885</v>
      </c>
      <c r="K1505" t="s">
        <v>342</v>
      </c>
      <c r="L1505" t="s">
        <v>27</v>
      </c>
      <c r="M1505" t="s">
        <v>28</v>
      </c>
      <c r="N1505" t="s">
        <v>5886</v>
      </c>
      <c r="O1505" t="s">
        <v>27</v>
      </c>
      <c r="P1505" t="s">
        <v>30</v>
      </c>
      <c r="Q1505" t="s">
        <v>31</v>
      </c>
      <c r="R1505" t="s">
        <v>32</v>
      </c>
      <c r="S1505" t="s">
        <v>28</v>
      </c>
      <c r="T1505" t="s">
        <v>5887</v>
      </c>
      <c r="U1505" t="s">
        <v>5886</v>
      </c>
    </row>
    <row r="1506" spans="1:21" x14ac:dyDescent="0.25">
      <c r="A1506" t="s">
        <v>2873</v>
      </c>
      <c r="B1506" t="s">
        <v>3106</v>
      </c>
      <c r="C1506">
        <v>232.24</v>
      </c>
      <c r="D1506">
        <v>1</v>
      </c>
      <c r="E1506">
        <v>0</v>
      </c>
      <c r="F1506" t="s">
        <v>5888</v>
      </c>
      <c r="G1506">
        <v>232.24</v>
      </c>
      <c r="H1506">
        <v>0</v>
      </c>
      <c r="I1506" t="s">
        <v>720</v>
      </c>
      <c r="J1506" t="s">
        <v>5889</v>
      </c>
      <c r="K1506" t="s">
        <v>5890</v>
      </c>
      <c r="L1506" t="s">
        <v>5891</v>
      </c>
      <c r="M1506" t="s">
        <v>5892</v>
      </c>
      <c r="N1506" t="s">
        <v>5893</v>
      </c>
      <c r="O1506" t="s">
        <v>27</v>
      </c>
      <c r="P1506" t="s">
        <v>48</v>
      </c>
      <c r="Q1506" t="s">
        <v>49</v>
      </c>
      <c r="R1506" t="s">
        <v>50</v>
      </c>
      <c r="S1506" t="s">
        <v>28</v>
      </c>
      <c r="T1506" t="s">
        <v>5894</v>
      </c>
      <c r="U1506" t="s">
        <v>5895</v>
      </c>
    </row>
    <row r="1507" spans="1:21" x14ac:dyDescent="0.25">
      <c r="A1507" t="s">
        <v>33</v>
      </c>
      <c r="B1507" t="s">
        <v>34</v>
      </c>
      <c r="C1507">
        <v>200</v>
      </c>
      <c r="D1507">
        <v>1</v>
      </c>
      <c r="E1507">
        <v>0</v>
      </c>
      <c r="F1507" t="s">
        <v>5896</v>
      </c>
      <c r="G1507">
        <v>200</v>
      </c>
      <c r="H1507">
        <v>0</v>
      </c>
      <c r="I1507" t="s">
        <v>24</v>
      </c>
      <c r="J1507" t="s">
        <v>5897</v>
      </c>
      <c r="K1507" t="s">
        <v>299</v>
      </c>
      <c r="L1507" t="s">
        <v>27</v>
      </c>
      <c r="M1507" t="s">
        <v>28</v>
      </c>
      <c r="N1507" t="s">
        <v>5895</v>
      </c>
      <c r="O1507" t="s">
        <v>27</v>
      </c>
      <c r="P1507" t="s">
        <v>56</v>
      </c>
      <c r="Q1507" t="s">
        <v>31</v>
      </c>
      <c r="R1507" t="s">
        <v>57</v>
      </c>
      <c r="S1507" t="s">
        <v>28</v>
      </c>
      <c r="T1507" t="s">
        <v>5898</v>
      </c>
      <c r="U1507" t="s">
        <v>5895</v>
      </c>
    </row>
    <row r="1508" spans="1:21" x14ac:dyDescent="0.25">
      <c r="A1508" t="s">
        <v>143</v>
      </c>
      <c r="B1508" t="s">
        <v>144</v>
      </c>
      <c r="C1508">
        <v>200</v>
      </c>
      <c r="D1508">
        <v>1</v>
      </c>
      <c r="E1508">
        <v>0</v>
      </c>
      <c r="F1508" t="s">
        <v>5899</v>
      </c>
      <c r="G1508">
        <v>200</v>
      </c>
      <c r="H1508">
        <v>0</v>
      </c>
      <c r="I1508" t="s">
        <v>445</v>
      </c>
      <c r="J1508" t="s">
        <v>5900</v>
      </c>
      <c r="K1508" t="s">
        <v>124</v>
      </c>
      <c r="L1508" t="s">
        <v>27</v>
      </c>
      <c r="M1508" t="s">
        <v>28</v>
      </c>
      <c r="N1508" t="s">
        <v>5901</v>
      </c>
      <c r="O1508" t="s">
        <v>27</v>
      </c>
      <c r="P1508" t="s">
        <v>39</v>
      </c>
      <c r="Q1508" t="s">
        <v>31</v>
      </c>
      <c r="R1508" t="s">
        <v>32</v>
      </c>
      <c r="S1508" t="s">
        <v>28</v>
      </c>
      <c r="T1508" t="s">
        <v>5902</v>
      </c>
      <c r="U1508" t="s">
        <v>5901</v>
      </c>
    </row>
    <row r="1509" spans="1:21" x14ac:dyDescent="0.25">
      <c r="A1509" t="s">
        <v>33</v>
      </c>
      <c r="B1509" t="s">
        <v>34</v>
      </c>
      <c r="C1509">
        <v>184.46</v>
      </c>
      <c r="D1509">
        <v>1</v>
      </c>
      <c r="E1509">
        <v>0</v>
      </c>
      <c r="F1509" t="s">
        <v>5903</v>
      </c>
      <c r="G1509">
        <v>617.36</v>
      </c>
      <c r="H1509">
        <v>64</v>
      </c>
      <c r="I1509" t="s">
        <v>24</v>
      </c>
      <c r="J1509" t="s">
        <v>5904</v>
      </c>
      <c r="K1509" t="s">
        <v>5905</v>
      </c>
      <c r="L1509" t="s">
        <v>5906</v>
      </c>
      <c r="M1509" t="s">
        <v>5907</v>
      </c>
      <c r="N1509" t="s">
        <v>5901</v>
      </c>
      <c r="O1509" t="s">
        <v>27</v>
      </c>
      <c r="P1509" t="s">
        <v>48</v>
      </c>
      <c r="Q1509" t="s">
        <v>49</v>
      </c>
      <c r="R1509" t="s">
        <v>50</v>
      </c>
      <c r="S1509" t="s">
        <v>28</v>
      </c>
      <c r="T1509" t="s">
        <v>5908</v>
      </c>
      <c r="U1509" t="s">
        <v>5901</v>
      </c>
    </row>
    <row r="1510" spans="1:21" x14ac:dyDescent="0.25">
      <c r="A1510" t="s">
        <v>33</v>
      </c>
      <c r="B1510" t="s">
        <v>34</v>
      </c>
      <c r="C1510">
        <v>184.45</v>
      </c>
      <c r="D1510">
        <v>1</v>
      </c>
      <c r="E1510">
        <v>0</v>
      </c>
      <c r="F1510" t="s">
        <v>5903</v>
      </c>
      <c r="G1510">
        <v>617.36</v>
      </c>
      <c r="H1510">
        <v>64</v>
      </c>
      <c r="I1510" t="s">
        <v>24</v>
      </c>
      <c r="J1510" t="s">
        <v>5904</v>
      </c>
      <c r="K1510" t="s">
        <v>5905</v>
      </c>
      <c r="L1510" t="s">
        <v>5906</v>
      </c>
      <c r="M1510" t="s">
        <v>5907</v>
      </c>
      <c r="N1510" t="s">
        <v>5901</v>
      </c>
      <c r="O1510" t="s">
        <v>27</v>
      </c>
      <c r="P1510" t="s">
        <v>48</v>
      </c>
      <c r="Q1510" t="s">
        <v>49</v>
      </c>
      <c r="R1510" t="s">
        <v>50</v>
      </c>
      <c r="S1510" t="s">
        <v>28</v>
      </c>
      <c r="T1510" t="s">
        <v>5908</v>
      </c>
      <c r="U1510" t="s">
        <v>5901</v>
      </c>
    </row>
    <row r="1511" spans="1:21" x14ac:dyDescent="0.25">
      <c r="A1511" t="s">
        <v>33</v>
      </c>
      <c r="B1511" t="s">
        <v>34</v>
      </c>
      <c r="C1511">
        <v>184.45</v>
      </c>
      <c r="D1511">
        <v>1</v>
      </c>
      <c r="E1511">
        <v>0</v>
      </c>
      <c r="F1511" t="s">
        <v>5903</v>
      </c>
      <c r="G1511">
        <v>617.36</v>
      </c>
      <c r="H1511">
        <v>64</v>
      </c>
      <c r="I1511" t="s">
        <v>24</v>
      </c>
      <c r="J1511" t="s">
        <v>5904</v>
      </c>
      <c r="K1511" t="s">
        <v>5905</v>
      </c>
      <c r="L1511" t="s">
        <v>5906</v>
      </c>
      <c r="M1511" t="s">
        <v>5907</v>
      </c>
      <c r="N1511" t="s">
        <v>5901</v>
      </c>
      <c r="O1511" t="s">
        <v>27</v>
      </c>
      <c r="P1511" t="s">
        <v>48</v>
      </c>
      <c r="Q1511" t="s">
        <v>49</v>
      </c>
      <c r="R1511" t="s">
        <v>50</v>
      </c>
      <c r="S1511" t="s">
        <v>28</v>
      </c>
      <c r="T1511" t="s">
        <v>5908</v>
      </c>
      <c r="U1511" t="s">
        <v>5901</v>
      </c>
    </row>
    <row r="1512" spans="1:21" x14ac:dyDescent="0.25">
      <c r="A1512" t="s">
        <v>2703</v>
      </c>
      <c r="B1512" t="s">
        <v>5909</v>
      </c>
      <c r="C1512">
        <v>420</v>
      </c>
      <c r="D1512">
        <v>1</v>
      </c>
      <c r="E1512">
        <v>0</v>
      </c>
      <c r="F1512" t="s">
        <v>5910</v>
      </c>
      <c r="G1512">
        <v>480</v>
      </c>
      <c r="H1512">
        <v>60</v>
      </c>
      <c r="I1512" t="s">
        <v>24</v>
      </c>
      <c r="J1512" t="s">
        <v>5911</v>
      </c>
      <c r="K1512" t="s">
        <v>5912</v>
      </c>
      <c r="L1512" t="s">
        <v>4907</v>
      </c>
      <c r="M1512" t="s">
        <v>505</v>
      </c>
      <c r="N1512" t="s">
        <v>5913</v>
      </c>
      <c r="O1512" t="s">
        <v>27</v>
      </c>
      <c r="P1512" t="s">
        <v>193</v>
      </c>
      <c r="Q1512" t="s">
        <v>85</v>
      </c>
      <c r="R1512" t="s">
        <v>86</v>
      </c>
      <c r="S1512" t="s">
        <v>28</v>
      </c>
      <c r="T1512" t="s">
        <v>5914</v>
      </c>
      <c r="U1512" t="s">
        <v>5913</v>
      </c>
    </row>
    <row r="1513" spans="1:21" x14ac:dyDescent="0.25">
      <c r="A1513" t="s">
        <v>58</v>
      </c>
      <c r="B1513" t="s">
        <v>103</v>
      </c>
      <c r="C1513">
        <v>65.19</v>
      </c>
      <c r="D1513">
        <v>1</v>
      </c>
      <c r="E1513">
        <v>0</v>
      </c>
      <c r="F1513" t="s">
        <v>5915</v>
      </c>
      <c r="G1513">
        <v>130.38</v>
      </c>
      <c r="H1513">
        <v>0</v>
      </c>
      <c r="I1513" t="s">
        <v>105</v>
      </c>
      <c r="J1513" t="s">
        <v>5916</v>
      </c>
      <c r="K1513" t="s">
        <v>5917</v>
      </c>
      <c r="L1513" t="s">
        <v>5918</v>
      </c>
      <c r="M1513" t="s">
        <v>5919</v>
      </c>
      <c r="N1513" t="s">
        <v>5913</v>
      </c>
      <c r="O1513" t="s">
        <v>27</v>
      </c>
      <c r="P1513" t="s">
        <v>48</v>
      </c>
      <c r="Q1513" t="s">
        <v>49</v>
      </c>
      <c r="R1513" t="s">
        <v>50</v>
      </c>
      <c r="S1513" t="s">
        <v>28</v>
      </c>
      <c r="T1513" t="s">
        <v>5920</v>
      </c>
      <c r="U1513" t="s">
        <v>5921</v>
      </c>
    </row>
    <row r="1514" spans="1:21" x14ac:dyDescent="0.25">
      <c r="A1514" t="s">
        <v>58</v>
      </c>
      <c r="B1514" t="s">
        <v>103</v>
      </c>
      <c r="C1514">
        <v>65.19</v>
      </c>
      <c r="D1514">
        <v>1</v>
      </c>
      <c r="E1514">
        <v>0</v>
      </c>
      <c r="F1514" t="s">
        <v>5915</v>
      </c>
      <c r="G1514">
        <v>130.38</v>
      </c>
      <c r="H1514">
        <v>0</v>
      </c>
      <c r="I1514" t="s">
        <v>105</v>
      </c>
      <c r="J1514" t="s">
        <v>5916</v>
      </c>
      <c r="K1514" t="s">
        <v>5917</v>
      </c>
      <c r="L1514" t="s">
        <v>5918</v>
      </c>
      <c r="M1514" t="s">
        <v>5919</v>
      </c>
      <c r="N1514" t="s">
        <v>5913</v>
      </c>
      <c r="O1514" t="s">
        <v>27</v>
      </c>
      <c r="P1514" t="s">
        <v>48</v>
      </c>
      <c r="Q1514" t="s">
        <v>49</v>
      </c>
      <c r="R1514" t="s">
        <v>50</v>
      </c>
      <c r="S1514" t="s">
        <v>28</v>
      </c>
      <c r="T1514" t="s">
        <v>5920</v>
      </c>
      <c r="U1514" t="s">
        <v>5921</v>
      </c>
    </row>
    <row r="1515" spans="1:21" x14ac:dyDescent="0.25">
      <c r="A1515" t="s">
        <v>134</v>
      </c>
      <c r="B1515" t="s">
        <v>64</v>
      </c>
      <c r="C1515">
        <v>100</v>
      </c>
      <c r="D1515">
        <v>2</v>
      </c>
      <c r="E1515">
        <v>0</v>
      </c>
      <c r="F1515" t="s">
        <v>5922</v>
      </c>
      <c r="G1515">
        <v>200</v>
      </c>
      <c r="H1515">
        <v>0</v>
      </c>
      <c r="I1515" t="s">
        <v>24</v>
      </c>
      <c r="J1515" t="s">
        <v>3094</v>
      </c>
      <c r="K1515" t="s">
        <v>753</v>
      </c>
      <c r="L1515" t="s">
        <v>27</v>
      </c>
      <c r="M1515" t="s">
        <v>28</v>
      </c>
      <c r="N1515" t="s">
        <v>5923</v>
      </c>
      <c r="O1515" t="s">
        <v>27</v>
      </c>
      <c r="P1515" t="s">
        <v>56</v>
      </c>
      <c r="Q1515" t="s">
        <v>31</v>
      </c>
      <c r="R1515" t="s">
        <v>57</v>
      </c>
      <c r="S1515" t="s">
        <v>28</v>
      </c>
      <c r="T1515" t="s">
        <v>5924</v>
      </c>
      <c r="U1515" t="s">
        <v>5923</v>
      </c>
    </row>
    <row r="1516" spans="1:21" x14ac:dyDescent="0.25">
      <c r="A1516" t="s">
        <v>195</v>
      </c>
      <c r="B1516" t="s">
        <v>1003</v>
      </c>
      <c r="C1516">
        <v>142.31</v>
      </c>
      <c r="D1516">
        <v>1</v>
      </c>
      <c r="E1516">
        <v>0</v>
      </c>
      <c r="F1516" t="s">
        <v>5925</v>
      </c>
      <c r="G1516">
        <v>147.31</v>
      </c>
      <c r="H1516">
        <v>5</v>
      </c>
      <c r="I1516" t="s">
        <v>628</v>
      </c>
      <c r="J1516" t="s">
        <v>5926</v>
      </c>
      <c r="K1516" t="s">
        <v>5927</v>
      </c>
      <c r="L1516" t="s">
        <v>2042</v>
      </c>
      <c r="M1516" t="s">
        <v>5928</v>
      </c>
      <c r="N1516" t="s">
        <v>5929</v>
      </c>
      <c r="O1516" t="s">
        <v>27</v>
      </c>
      <c r="P1516" t="s">
        <v>48</v>
      </c>
      <c r="Q1516" t="s">
        <v>49</v>
      </c>
      <c r="R1516" t="s">
        <v>50</v>
      </c>
      <c r="S1516" t="s">
        <v>28</v>
      </c>
      <c r="T1516" t="s">
        <v>5930</v>
      </c>
      <c r="U1516" t="s">
        <v>5929</v>
      </c>
    </row>
    <row r="1517" spans="1:21" x14ac:dyDescent="0.25">
      <c r="A1517" t="s">
        <v>195</v>
      </c>
      <c r="B1517" t="s">
        <v>1003</v>
      </c>
      <c r="C1517">
        <v>104.86</v>
      </c>
      <c r="D1517">
        <v>1</v>
      </c>
      <c r="E1517">
        <v>0</v>
      </c>
      <c r="F1517" t="s">
        <v>5931</v>
      </c>
      <c r="G1517">
        <v>233.72</v>
      </c>
      <c r="H1517">
        <v>24</v>
      </c>
      <c r="I1517" t="s">
        <v>628</v>
      </c>
      <c r="J1517" t="s">
        <v>5932</v>
      </c>
      <c r="K1517" t="s">
        <v>5933</v>
      </c>
      <c r="L1517" t="s">
        <v>1362</v>
      </c>
      <c r="M1517" t="s">
        <v>5934</v>
      </c>
      <c r="N1517" t="s">
        <v>5935</v>
      </c>
      <c r="O1517" t="s">
        <v>27</v>
      </c>
      <c r="P1517" t="s">
        <v>48</v>
      </c>
      <c r="Q1517" t="s">
        <v>49</v>
      </c>
      <c r="R1517" t="s">
        <v>50</v>
      </c>
      <c r="S1517" t="s">
        <v>28</v>
      </c>
      <c r="T1517" t="s">
        <v>5936</v>
      </c>
      <c r="U1517" t="s">
        <v>5929</v>
      </c>
    </row>
    <row r="1518" spans="1:21" x14ac:dyDescent="0.25">
      <c r="A1518" t="s">
        <v>195</v>
      </c>
      <c r="B1518" t="s">
        <v>1003</v>
      </c>
      <c r="C1518">
        <v>104.86</v>
      </c>
      <c r="D1518">
        <v>1</v>
      </c>
      <c r="E1518">
        <v>0</v>
      </c>
      <c r="F1518" t="s">
        <v>5931</v>
      </c>
      <c r="G1518">
        <v>233.72</v>
      </c>
      <c r="H1518">
        <v>24</v>
      </c>
      <c r="I1518" t="s">
        <v>628</v>
      </c>
      <c r="J1518" t="s">
        <v>5932</v>
      </c>
      <c r="K1518" t="s">
        <v>5933</v>
      </c>
      <c r="L1518" t="s">
        <v>1362</v>
      </c>
      <c r="M1518" t="s">
        <v>5934</v>
      </c>
      <c r="N1518" t="s">
        <v>5935</v>
      </c>
      <c r="O1518" t="s">
        <v>27</v>
      </c>
      <c r="P1518" t="s">
        <v>48</v>
      </c>
      <c r="Q1518" t="s">
        <v>49</v>
      </c>
      <c r="R1518" t="s">
        <v>50</v>
      </c>
      <c r="S1518" t="s">
        <v>28</v>
      </c>
      <c r="T1518" t="s">
        <v>5936</v>
      </c>
      <c r="U1518" t="s">
        <v>5929</v>
      </c>
    </row>
    <row r="1519" spans="1:21" x14ac:dyDescent="0.25">
      <c r="A1519" t="s">
        <v>21</v>
      </c>
      <c r="B1519" t="s">
        <v>22</v>
      </c>
      <c r="C1519">
        <v>100</v>
      </c>
      <c r="D1519">
        <v>1</v>
      </c>
      <c r="E1519">
        <v>0</v>
      </c>
      <c r="F1519" t="s">
        <v>5937</v>
      </c>
      <c r="G1519">
        <v>106</v>
      </c>
      <c r="H1519">
        <v>6</v>
      </c>
      <c r="I1519" t="s">
        <v>24</v>
      </c>
      <c r="J1519" t="s">
        <v>5938</v>
      </c>
      <c r="K1519" t="s">
        <v>155</v>
      </c>
      <c r="L1519" t="s">
        <v>27</v>
      </c>
      <c r="M1519" t="s">
        <v>28</v>
      </c>
      <c r="N1519" t="s">
        <v>5939</v>
      </c>
      <c r="O1519" t="s">
        <v>27</v>
      </c>
      <c r="P1519" t="s">
        <v>39</v>
      </c>
      <c r="Q1519" t="s">
        <v>31</v>
      </c>
      <c r="R1519" t="s">
        <v>32</v>
      </c>
      <c r="S1519" t="s">
        <v>28</v>
      </c>
      <c r="T1519" t="s">
        <v>5940</v>
      </c>
      <c r="U1519" t="s">
        <v>5939</v>
      </c>
    </row>
    <row r="1520" spans="1:21" x14ac:dyDescent="0.25">
      <c r="A1520" t="s">
        <v>58</v>
      </c>
      <c r="B1520" t="s">
        <v>103</v>
      </c>
      <c r="C1520">
        <v>78.430000000000007</v>
      </c>
      <c r="D1520">
        <v>1</v>
      </c>
      <c r="E1520">
        <v>0</v>
      </c>
      <c r="F1520" t="s">
        <v>5941</v>
      </c>
      <c r="G1520">
        <v>83.43</v>
      </c>
      <c r="H1520">
        <v>5</v>
      </c>
      <c r="I1520" t="s">
        <v>105</v>
      </c>
      <c r="J1520" t="s">
        <v>5942</v>
      </c>
      <c r="K1520" t="s">
        <v>5943</v>
      </c>
      <c r="L1520" t="s">
        <v>885</v>
      </c>
      <c r="M1520" t="s">
        <v>5944</v>
      </c>
      <c r="N1520" t="s">
        <v>5945</v>
      </c>
      <c r="O1520" t="s">
        <v>27</v>
      </c>
      <c r="P1520" t="s">
        <v>48</v>
      </c>
      <c r="Q1520" t="s">
        <v>49</v>
      </c>
      <c r="R1520" t="s">
        <v>50</v>
      </c>
      <c r="S1520" t="s">
        <v>28</v>
      </c>
      <c r="T1520" t="s">
        <v>5946</v>
      </c>
      <c r="U1520" t="s">
        <v>5947</v>
      </c>
    </row>
    <row r="1521" spans="1:21" x14ac:dyDescent="0.25">
      <c r="A1521" t="s">
        <v>195</v>
      </c>
      <c r="B1521" t="s">
        <v>1003</v>
      </c>
      <c r="C1521">
        <v>109.84</v>
      </c>
      <c r="D1521">
        <v>1</v>
      </c>
      <c r="E1521">
        <v>0</v>
      </c>
      <c r="F1521" t="s">
        <v>5948</v>
      </c>
      <c r="G1521">
        <v>109.84</v>
      </c>
      <c r="H1521">
        <v>0</v>
      </c>
      <c r="I1521" t="s">
        <v>628</v>
      </c>
      <c r="J1521" t="s">
        <v>5949</v>
      </c>
      <c r="K1521" t="s">
        <v>5950</v>
      </c>
      <c r="L1521" t="s">
        <v>1677</v>
      </c>
      <c r="M1521" t="s">
        <v>5951</v>
      </c>
      <c r="N1521" t="s">
        <v>5952</v>
      </c>
      <c r="O1521" t="s">
        <v>27</v>
      </c>
      <c r="P1521" t="s">
        <v>48</v>
      </c>
      <c r="Q1521" t="s">
        <v>49</v>
      </c>
      <c r="R1521" t="s">
        <v>50</v>
      </c>
      <c r="S1521" t="s">
        <v>28</v>
      </c>
      <c r="T1521" t="s">
        <v>5953</v>
      </c>
      <c r="U1521" t="s">
        <v>5952</v>
      </c>
    </row>
    <row r="1522" spans="1:21" x14ac:dyDescent="0.25">
      <c r="A1522" t="s">
        <v>456</v>
      </c>
      <c r="B1522" t="s">
        <v>457</v>
      </c>
      <c r="C1522">
        <v>199</v>
      </c>
      <c r="D1522">
        <v>2</v>
      </c>
      <c r="E1522">
        <v>0</v>
      </c>
      <c r="F1522" t="s">
        <v>5954</v>
      </c>
      <c r="G1522">
        <v>462</v>
      </c>
      <c r="H1522">
        <v>64</v>
      </c>
      <c r="I1522" t="s">
        <v>24</v>
      </c>
      <c r="J1522" t="s">
        <v>5955</v>
      </c>
      <c r="K1522" t="s">
        <v>5956</v>
      </c>
      <c r="L1522" t="s">
        <v>5957</v>
      </c>
      <c r="M1522" t="s">
        <v>1147</v>
      </c>
      <c r="N1522" t="s">
        <v>5893</v>
      </c>
      <c r="O1522" t="s">
        <v>27</v>
      </c>
      <c r="P1522" t="s">
        <v>193</v>
      </c>
      <c r="Q1522" t="s">
        <v>85</v>
      </c>
      <c r="R1522" t="s">
        <v>86</v>
      </c>
      <c r="S1522" t="s">
        <v>28</v>
      </c>
      <c r="T1522" t="s">
        <v>5958</v>
      </c>
      <c r="U1522" t="s">
        <v>5959</v>
      </c>
    </row>
    <row r="1523" spans="1:21" x14ac:dyDescent="0.25">
      <c r="A1523" t="s">
        <v>456</v>
      </c>
      <c r="B1523" t="s">
        <v>1178</v>
      </c>
      <c r="C1523">
        <v>127.06</v>
      </c>
      <c r="D1523">
        <v>1</v>
      </c>
      <c r="E1523">
        <v>0</v>
      </c>
      <c r="F1523" t="s">
        <v>5960</v>
      </c>
      <c r="G1523">
        <v>132.06</v>
      </c>
      <c r="H1523">
        <v>5</v>
      </c>
      <c r="I1523" t="s">
        <v>628</v>
      </c>
      <c r="J1523" t="s">
        <v>5961</v>
      </c>
      <c r="K1523" t="s">
        <v>5962</v>
      </c>
      <c r="L1523" t="s">
        <v>5642</v>
      </c>
      <c r="M1523" t="s">
        <v>5963</v>
      </c>
      <c r="N1523" t="s">
        <v>5964</v>
      </c>
      <c r="O1523" t="s">
        <v>27</v>
      </c>
      <c r="P1523" t="s">
        <v>48</v>
      </c>
      <c r="Q1523" t="s">
        <v>49</v>
      </c>
      <c r="R1523" t="s">
        <v>50</v>
      </c>
      <c r="S1523" t="s">
        <v>28</v>
      </c>
      <c r="T1523" t="s">
        <v>5965</v>
      </c>
      <c r="U1523" t="s">
        <v>5964</v>
      </c>
    </row>
    <row r="1524" spans="1:21" x14ac:dyDescent="0.25">
      <c r="A1524" t="s">
        <v>21</v>
      </c>
      <c r="B1524" t="s">
        <v>22</v>
      </c>
      <c r="C1524">
        <v>100</v>
      </c>
      <c r="D1524">
        <v>1</v>
      </c>
      <c r="E1524">
        <v>0</v>
      </c>
      <c r="F1524" t="s">
        <v>5966</v>
      </c>
      <c r="G1524">
        <v>100</v>
      </c>
      <c r="H1524">
        <v>0</v>
      </c>
      <c r="I1524" t="s">
        <v>140</v>
      </c>
      <c r="J1524" t="s">
        <v>5967</v>
      </c>
      <c r="K1524" t="s">
        <v>653</v>
      </c>
      <c r="L1524" t="s">
        <v>27</v>
      </c>
      <c r="M1524" t="s">
        <v>28</v>
      </c>
      <c r="N1524" t="s">
        <v>5968</v>
      </c>
      <c r="O1524" t="s">
        <v>27</v>
      </c>
      <c r="P1524" t="s">
        <v>369</v>
      </c>
      <c r="Q1524" t="s">
        <v>31</v>
      </c>
      <c r="R1524" t="s">
        <v>57</v>
      </c>
      <c r="S1524" t="s">
        <v>28</v>
      </c>
      <c r="T1524" t="s">
        <v>5969</v>
      </c>
      <c r="U1524" t="s">
        <v>5968</v>
      </c>
    </row>
    <row r="1525" spans="1:21" x14ac:dyDescent="0.25">
      <c r="A1525" t="s">
        <v>58</v>
      </c>
      <c r="B1525" t="s">
        <v>103</v>
      </c>
      <c r="C1525">
        <v>90.43</v>
      </c>
      <c r="D1525">
        <v>1</v>
      </c>
      <c r="E1525">
        <v>0</v>
      </c>
      <c r="F1525" t="s">
        <v>5970</v>
      </c>
      <c r="G1525">
        <v>95.43</v>
      </c>
      <c r="H1525">
        <v>5</v>
      </c>
      <c r="I1525" t="s">
        <v>105</v>
      </c>
      <c r="J1525" t="s">
        <v>2235</v>
      </c>
      <c r="K1525" t="s">
        <v>2236</v>
      </c>
      <c r="L1525" t="s">
        <v>2237</v>
      </c>
      <c r="M1525" t="s">
        <v>2238</v>
      </c>
      <c r="N1525" t="s">
        <v>5968</v>
      </c>
      <c r="O1525" t="s">
        <v>27</v>
      </c>
      <c r="P1525" t="s">
        <v>48</v>
      </c>
      <c r="Q1525" t="s">
        <v>49</v>
      </c>
      <c r="R1525" t="s">
        <v>50</v>
      </c>
      <c r="S1525" t="s">
        <v>28</v>
      </c>
      <c r="T1525" t="s">
        <v>5971</v>
      </c>
      <c r="U1525" t="s">
        <v>5968</v>
      </c>
    </row>
    <row r="1526" spans="1:21" x14ac:dyDescent="0.25">
      <c r="A1526" t="s">
        <v>134</v>
      </c>
      <c r="B1526" t="s">
        <v>64</v>
      </c>
      <c r="C1526">
        <v>100</v>
      </c>
      <c r="D1526">
        <v>3</v>
      </c>
      <c r="E1526">
        <v>0</v>
      </c>
      <c r="F1526" t="s">
        <v>5972</v>
      </c>
      <c r="G1526">
        <v>300</v>
      </c>
      <c r="H1526">
        <v>0</v>
      </c>
      <c r="I1526" t="s">
        <v>140</v>
      </c>
      <c r="J1526" t="s">
        <v>5973</v>
      </c>
      <c r="K1526" t="s">
        <v>466</v>
      </c>
      <c r="L1526" t="s">
        <v>27</v>
      </c>
      <c r="M1526" t="s">
        <v>28</v>
      </c>
      <c r="N1526" t="s">
        <v>5974</v>
      </c>
      <c r="O1526" t="s">
        <v>27</v>
      </c>
      <c r="P1526" t="s">
        <v>30</v>
      </c>
      <c r="Q1526" t="s">
        <v>31</v>
      </c>
      <c r="R1526" t="s">
        <v>32</v>
      </c>
      <c r="S1526" t="s">
        <v>28</v>
      </c>
      <c r="T1526" t="s">
        <v>5975</v>
      </c>
      <c r="U1526" t="s">
        <v>5974</v>
      </c>
    </row>
    <row r="1527" spans="1:21" x14ac:dyDescent="0.25">
      <c r="A1527" t="s">
        <v>2820</v>
      </c>
      <c r="B1527" t="s">
        <v>2821</v>
      </c>
      <c r="C1527">
        <v>100</v>
      </c>
      <c r="D1527">
        <v>2</v>
      </c>
      <c r="E1527">
        <v>0</v>
      </c>
      <c r="F1527" t="s">
        <v>5976</v>
      </c>
      <c r="G1527">
        <v>200</v>
      </c>
      <c r="H1527">
        <v>0</v>
      </c>
      <c r="I1527" t="s">
        <v>140</v>
      </c>
      <c r="J1527" t="s">
        <v>5977</v>
      </c>
      <c r="K1527" t="s">
        <v>247</v>
      </c>
      <c r="L1527" t="s">
        <v>27</v>
      </c>
      <c r="M1527" t="s">
        <v>28</v>
      </c>
      <c r="N1527" t="s">
        <v>5978</v>
      </c>
      <c r="O1527" t="s">
        <v>27</v>
      </c>
      <c r="P1527" t="s">
        <v>30</v>
      </c>
      <c r="Q1527" t="s">
        <v>31</v>
      </c>
      <c r="R1527" t="s">
        <v>32</v>
      </c>
      <c r="S1527" t="s">
        <v>28</v>
      </c>
      <c r="T1527" t="s">
        <v>5979</v>
      </c>
      <c r="U1527" t="s">
        <v>5978</v>
      </c>
    </row>
    <row r="1528" spans="1:21" x14ac:dyDescent="0.25">
      <c r="A1528" t="s">
        <v>2144</v>
      </c>
      <c r="B1528" t="s">
        <v>2145</v>
      </c>
      <c r="C1528">
        <v>122.91</v>
      </c>
      <c r="D1528">
        <v>1</v>
      </c>
      <c r="E1528">
        <v>0</v>
      </c>
      <c r="F1528" t="s">
        <v>5980</v>
      </c>
      <c r="G1528">
        <v>122.91</v>
      </c>
      <c r="H1528">
        <v>0</v>
      </c>
      <c r="I1528" t="s">
        <v>720</v>
      </c>
      <c r="J1528" t="s">
        <v>5981</v>
      </c>
      <c r="K1528" t="s">
        <v>5982</v>
      </c>
      <c r="L1528" t="s">
        <v>5983</v>
      </c>
      <c r="M1528" t="s">
        <v>5984</v>
      </c>
      <c r="N1528" t="s">
        <v>5985</v>
      </c>
      <c r="O1528" t="s">
        <v>27</v>
      </c>
      <c r="P1528" t="s">
        <v>48</v>
      </c>
      <c r="Q1528" t="s">
        <v>49</v>
      </c>
      <c r="R1528" t="s">
        <v>50</v>
      </c>
      <c r="S1528" t="s">
        <v>28</v>
      </c>
      <c r="T1528" t="s">
        <v>5986</v>
      </c>
      <c r="U1528" t="s">
        <v>5985</v>
      </c>
    </row>
    <row r="1529" spans="1:21" x14ac:dyDescent="0.25">
      <c r="A1529" t="s">
        <v>3739</v>
      </c>
      <c r="B1529" t="s">
        <v>2854</v>
      </c>
      <c r="C1529">
        <v>284.5</v>
      </c>
      <c r="D1529">
        <v>1</v>
      </c>
      <c r="E1529">
        <v>0</v>
      </c>
      <c r="F1529" t="s">
        <v>5987</v>
      </c>
      <c r="G1529">
        <v>284.5</v>
      </c>
      <c r="H1529">
        <v>0</v>
      </c>
      <c r="I1529" t="s">
        <v>2856</v>
      </c>
      <c r="J1529" t="s">
        <v>5988</v>
      </c>
      <c r="K1529" t="s">
        <v>5989</v>
      </c>
      <c r="L1529" t="s">
        <v>5990</v>
      </c>
      <c r="M1529" t="s">
        <v>5991</v>
      </c>
      <c r="N1529" t="s">
        <v>5992</v>
      </c>
      <c r="O1529" t="s">
        <v>27</v>
      </c>
      <c r="P1529" t="s">
        <v>48</v>
      </c>
      <c r="Q1529" t="s">
        <v>49</v>
      </c>
      <c r="R1529" t="s">
        <v>50</v>
      </c>
      <c r="S1529" t="s">
        <v>28</v>
      </c>
      <c r="T1529" t="s">
        <v>5993</v>
      </c>
      <c r="U1529" t="s">
        <v>5992</v>
      </c>
    </row>
    <row r="1530" spans="1:21" x14ac:dyDescent="0.25">
      <c r="A1530" t="s">
        <v>3739</v>
      </c>
      <c r="B1530" t="s">
        <v>2854</v>
      </c>
      <c r="C1530">
        <v>274.5</v>
      </c>
      <c r="D1530">
        <v>1</v>
      </c>
      <c r="E1530">
        <v>0</v>
      </c>
      <c r="F1530" t="s">
        <v>5994</v>
      </c>
      <c r="G1530">
        <v>274.5</v>
      </c>
      <c r="H1530">
        <v>0</v>
      </c>
      <c r="I1530" t="s">
        <v>2856</v>
      </c>
      <c r="J1530" t="s">
        <v>5988</v>
      </c>
      <c r="K1530" t="s">
        <v>5989</v>
      </c>
      <c r="L1530" t="s">
        <v>5990</v>
      </c>
      <c r="M1530" t="s">
        <v>5991</v>
      </c>
      <c r="N1530" t="s">
        <v>5995</v>
      </c>
      <c r="O1530" t="s">
        <v>27</v>
      </c>
      <c r="P1530" t="s">
        <v>48</v>
      </c>
      <c r="Q1530" t="s">
        <v>49</v>
      </c>
      <c r="R1530" t="s">
        <v>50</v>
      </c>
      <c r="S1530" t="s">
        <v>28</v>
      </c>
      <c r="T1530" t="s">
        <v>5996</v>
      </c>
      <c r="U1530" t="s">
        <v>5995</v>
      </c>
    </row>
    <row r="1531" spans="1:21" x14ac:dyDescent="0.25">
      <c r="A1531" t="s">
        <v>456</v>
      </c>
      <c r="B1531" t="s">
        <v>1178</v>
      </c>
      <c r="C1531">
        <v>119.84</v>
      </c>
      <c r="D1531">
        <v>1</v>
      </c>
      <c r="E1531">
        <v>0</v>
      </c>
      <c r="F1531" t="s">
        <v>5997</v>
      </c>
      <c r="G1531">
        <v>124.84</v>
      </c>
      <c r="H1531">
        <v>5</v>
      </c>
      <c r="I1531" t="s">
        <v>628</v>
      </c>
      <c r="J1531" t="s">
        <v>5998</v>
      </c>
      <c r="K1531" t="s">
        <v>5999</v>
      </c>
      <c r="L1531" t="s">
        <v>1907</v>
      </c>
      <c r="M1531" t="s">
        <v>6000</v>
      </c>
      <c r="N1531" t="s">
        <v>6001</v>
      </c>
      <c r="O1531" t="s">
        <v>27</v>
      </c>
      <c r="P1531" t="s">
        <v>48</v>
      </c>
      <c r="Q1531" t="s">
        <v>49</v>
      </c>
      <c r="R1531" t="s">
        <v>50</v>
      </c>
      <c r="S1531" t="s">
        <v>28</v>
      </c>
      <c r="T1531" t="s">
        <v>6002</v>
      </c>
      <c r="U1531" t="s">
        <v>6001</v>
      </c>
    </row>
    <row r="1532" spans="1:21" x14ac:dyDescent="0.25">
      <c r="A1532" t="s">
        <v>58</v>
      </c>
      <c r="B1532" t="s">
        <v>58</v>
      </c>
      <c r="C1532">
        <v>100</v>
      </c>
      <c r="D1532">
        <v>1</v>
      </c>
      <c r="E1532">
        <v>0</v>
      </c>
      <c r="F1532" t="s">
        <v>6003</v>
      </c>
      <c r="G1532">
        <v>129</v>
      </c>
      <c r="H1532">
        <v>29</v>
      </c>
      <c r="I1532" t="s">
        <v>24</v>
      </c>
      <c r="J1532" t="s">
        <v>6004</v>
      </c>
      <c r="K1532" t="s">
        <v>3713</v>
      </c>
      <c r="L1532" t="s">
        <v>27</v>
      </c>
      <c r="M1532" t="s">
        <v>28</v>
      </c>
      <c r="N1532" t="s">
        <v>6005</v>
      </c>
      <c r="O1532" t="s">
        <v>27</v>
      </c>
      <c r="P1532" t="s">
        <v>39</v>
      </c>
      <c r="Q1532" t="s">
        <v>31</v>
      </c>
      <c r="R1532" t="s">
        <v>32</v>
      </c>
      <c r="S1532" t="s">
        <v>28</v>
      </c>
      <c r="T1532" t="s">
        <v>6006</v>
      </c>
      <c r="U1532" t="s">
        <v>6005</v>
      </c>
    </row>
    <row r="1533" spans="1:21" x14ac:dyDescent="0.25">
      <c r="A1533" t="s">
        <v>58</v>
      </c>
      <c r="B1533" t="s">
        <v>58</v>
      </c>
      <c r="C1533">
        <v>100</v>
      </c>
      <c r="D1533">
        <v>1</v>
      </c>
      <c r="E1533">
        <v>0</v>
      </c>
      <c r="F1533" t="s">
        <v>6007</v>
      </c>
      <c r="G1533">
        <v>129</v>
      </c>
      <c r="H1533">
        <v>29</v>
      </c>
      <c r="I1533" t="s">
        <v>445</v>
      </c>
      <c r="J1533" t="s">
        <v>6004</v>
      </c>
      <c r="K1533" t="s">
        <v>3713</v>
      </c>
      <c r="L1533" t="s">
        <v>27</v>
      </c>
      <c r="M1533" t="s">
        <v>28</v>
      </c>
      <c r="N1533" t="s">
        <v>6005</v>
      </c>
      <c r="O1533" t="s">
        <v>27</v>
      </c>
      <c r="P1533" t="s">
        <v>39</v>
      </c>
      <c r="Q1533" t="s">
        <v>31</v>
      </c>
      <c r="R1533" t="s">
        <v>32</v>
      </c>
      <c r="S1533" t="s">
        <v>28</v>
      </c>
      <c r="T1533" t="s">
        <v>6008</v>
      </c>
      <c r="U1533" t="s">
        <v>6005</v>
      </c>
    </row>
    <row r="1534" spans="1:21" x14ac:dyDescent="0.25">
      <c r="A1534" t="s">
        <v>456</v>
      </c>
      <c r="B1534" t="s">
        <v>1178</v>
      </c>
      <c r="C1534">
        <v>142.31</v>
      </c>
      <c r="D1534">
        <v>1</v>
      </c>
      <c r="E1534">
        <v>0</v>
      </c>
      <c r="F1534" t="s">
        <v>6009</v>
      </c>
      <c r="G1534">
        <v>147.31</v>
      </c>
      <c r="H1534">
        <v>5</v>
      </c>
      <c r="I1534" t="s">
        <v>628</v>
      </c>
      <c r="J1534" t="s">
        <v>6010</v>
      </c>
      <c r="K1534" t="s">
        <v>6011</v>
      </c>
      <c r="L1534" t="s">
        <v>3659</v>
      </c>
      <c r="M1534" t="s">
        <v>6012</v>
      </c>
      <c r="N1534" t="s">
        <v>6013</v>
      </c>
      <c r="O1534" t="s">
        <v>27</v>
      </c>
      <c r="P1534" t="s">
        <v>48</v>
      </c>
      <c r="Q1534" t="s">
        <v>49</v>
      </c>
      <c r="R1534" t="s">
        <v>50</v>
      </c>
      <c r="S1534" t="s">
        <v>28</v>
      </c>
      <c r="T1534" t="s">
        <v>6014</v>
      </c>
      <c r="U1534" t="s">
        <v>6013</v>
      </c>
    </row>
    <row r="1535" spans="1:21" x14ac:dyDescent="0.25">
      <c r="A1535" t="s">
        <v>21</v>
      </c>
      <c r="B1535" t="s">
        <v>1072</v>
      </c>
      <c r="C1535">
        <v>100.83</v>
      </c>
      <c r="D1535">
        <v>1</v>
      </c>
      <c r="E1535">
        <v>0</v>
      </c>
      <c r="F1535" t="s">
        <v>6015</v>
      </c>
      <c r="G1535">
        <v>100.83</v>
      </c>
      <c r="H1535">
        <v>0</v>
      </c>
      <c r="I1535" t="s">
        <v>105</v>
      </c>
      <c r="J1535" t="s">
        <v>6016</v>
      </c>
      <c r="K1535" t="s">
        <v>6017</v>
      </c>
      <c r="L1535" t="s">
        <v>1437</v>
      </c>
      <c r="M1535" t="s">
        <v>6018</v>
      </c>
      <c r="N1535" t="s">
        <v>6019</v>
      </c>
      <c r="O1535" t="s">
        <v>27</v>
      </c>
      <c r="P1535" t="s">
        <v>48</v>
      </c>
      <c r="Q1535" t="s">
        <v>49</v>
      </c>
      <c r="R1535" t="s">
        <v>50</v>
      </c>
      <c r="S1535" t="s">
        <v>28</v>
      </c>
      <c r="T1535" t="s">
        <v>6020</v>
      </c>
      <c r="U1535" t="s">
        <v>6019</v>
      </c>
    </row>
    <row r="1536" spans="1:21" x14ac:dyDescent="0.25">
      <c r="A1536" t="s">
        <v>21</v>
      </c>
      <c r="B1536" t="s">
        <v>22</v>
      </c>
      <c r="C1536">
        <v>100</v>
      </c>
      <c r="D1536">
        <v>2</v>
      </c>
      <c r="E1536">
        <v>0</v>
      </c>
      <c r="F1536" t="s">
        <v>6021</v>
      </c>
      <c r="G1536">
        <v>200</v>
      </c>
      <c r="H1536">
        <v>0</v>
      </c>
      <c r="I1536" t="s">
        <v>140</v>
      </c>
      <c r="J1536" t="s">
        <v>6022</v>
      </c>
      <c r="K1536" t="s">
        <v>89</v>
      </c>
      <c r="L1536" t="s">
        <v>27</v>
      </c>
      <c r="M1536" t="s">
        <v>28</v>
      </c>
      <c r="N1536" t="s">
        <v>6023</v>
      </c>
      <c r="O1536" t="s">
        <v>27</v>
      </c>
      <c r="P1536" t="s">
        <v>30</v>
      </c>
      <c r="Q1536" t="s">
        <v>31</v>
      </c>
      <c r="R1536" t="s">
        <v>32</v>
      </c>
      <c r="S1536" t="s">
        <v>28</v>
      </c>
      <c r="T1536" t="s">
        <v>6024</v>
      </c>
      <c r="U1536" t="s">
        <v>6023</v>
      </c>
    </row>
    <row r="1537" spans="1:21" x14ac:dyDescent="0.25">
      <c r="A1537" t="s">
        <v>2820</v>
      </c>
      <c r="B1537" t="s">
        <v>2821</v>
      </c>
      <c r="C1537">
        <v>100</v>
      </c>
      <c r="D1537">
        <v>2</v>
      </c>
      <c r="E1537">
        <v>0</v>
      </c>
      <c r="F1537" t="s">
        <v>6025</v>
      </c>
      <c r="G1537">
        <v>200</v>
      </c>
      <c r="H1537">
        <v>0</v>
      </c>
      <c r="I1537" t="s">
        <v>140</v>
      </c>
      <c r="J1537" t="s">
        <v>6026</v>
      </c>
      <c r="K1537" t="s">
        <v>791</v>
      </c>
      <c r="L1537" t="s">
        <v>27</v>
      </c>
      <c r="M1537" t="s">
        <v>28</v>
      </c>
      <c r="N1537" t="s">
        <v>6027</v>
      </c>
      <c r="O1537" t="s">
        <v>27</v>
      </c>
      <c r="P1537" t="s">
        <v>30</v>
      </c>
      <c r="Q1537" t="s">
        <v>31</v>
      </c>
      <c r="R1537" t="s">
        <v>32</v>
      </c>
      <c r="S1537" t="s">
        <v>28</v>
      </c>
      <c r="T1537" t="s">
        <v>6028</v>
      </c>
      <c r="U1537" t="s">
        <v>6029</v>
      </c>
    </row>
    <row r="1538" spans="1:21" x14ac:dyDescent="0.25">
      <c r="A1538" t="s">
        <v>6030</v>
      </c>
      <c r="B1538" t="s">
        <v>6031</v>
      </c>
      <c r="C1538">
        <v>200</v>
      </c>
      <c r="D1538">
        <v>1</v>
      </c>
      <c r="E1538">
        <v>0</v>
      </c>
      <c r="F1538" t="s">
        <v>6032</v>
      </c>
      <c r="G1538">
        <v>2570</v>
      </c>
      <c r="H1538">
        <v>230</v>
      </c>
      <c r="I1538" t="s">
        <v>24</v>
      </c>
      <c r="J1538" t="s">
        <v>6033</v>
      </c>
      <c r="K1538" t="s">
        <v>6034</v>
      </c>
      <c r="L1538" t="s">
        <v>6035</v>
      </c>
      <c r="M1538" t="s">
        <v>6036</v>
      </c>
      <c r="N1538" t="s">
        <v>6037</v>
      </c>
      <c r="O1538" t="s">
        <v>27</v>
      </c>
      <c r="P1538" t="s">
        <v>48</v>
      </c>
      <c r="Q1538" t="s">
        <v>49</v>
      </c>
      <c r="R1538" t="s">
        <v>50</v>
      </c>
      <c r="S1538" t="s">
        <v>28</v>
      </c>
      <c r="T1538" t="s">
        <v>6038</v>
      </c>
      <c r="U1538" t="s">
        <v>6037</v>
      </c>
    </row>
    <row r="1539" spans="1:21" x14ac:dyDescent="0.25">
      <c r="A1539" t="s">
        <v>6030</v>
      </c>
      <c r="B1539" t="s">
        <v>6031</v>
      </c>
      <c r="C1539">
        <v>200</v>
      </c>
      <c r="D1539">
        <v>1</v>
      </c>
      <c r="E1539">
        <v>0</v>
      </c>
      <c r="F1539" t="s">
        <v>6032</v>
      </c>
      <c r="G1539">
        <v>2570</v>
      </c>
      <c r="H1539">
        <v>230</v>
      </c>
      <c r="I1539" t="s">
        <v>24</v>
      </c>
      <c r="J1539" t="s">
        <v>6033</v>
      </c>
      <c r="K1539" t="s">
        <v>6034</v>
      </c>
      <c r="L1539" t="s">
        <v>6035</v>
      </c>
      <c r="M1539" t="s">
        <v>6036</v>
      </c>
      <c r="N1539" t="s">
        <v>6037</v>
      </c>
      <c r="O1539" t="s">
        <v>27</v>
      </c>
      <c r="P1539" t="s">
        <v>48</v>
      </c>
      <c r="Q1539" t="s">
        <v>49</v>
      </c>
      <c r="R1539" t="s">
        <v>50</v>
      </c>
      <c r="S1539" t="s">
        <v>28</v>
      </c>
      <c r="T1539" t="s">
        <v>6038</v>
      </c>
      <c r="U1539" t="s">
        <v>6037</v>
      </c>
    </row>
    <row r="1540" spans="1:21" x14ac:dyDescent="0.25">
      <c r="A1540" t="s">
        <v>6039</v>
      </c>
      <c r="B1540" t="s">
        <v>6040</v>
      </c>
      <c r="C1540">
        <v>200</v>
      </c>
      <c r="D1540">
        <v>1</v>
      </c>
      <c r="E1540">
        <v>0</v>
      </c>
      <c r="F1540" t="s">
        <v>6032</v>
      </c>
      <c r="G1540">
        <v>2570</v>
      </c>
      <c r="H1540">
        <v>230</v>
      </c>
      <c r="I1540" t="s">
        <v>24</v>
      </c>
      <c r="J1540" t="s">
        <v>6033</v>
      </c>
      <c r="K1540" t="s">
        <v>6034</v>
      </c>
      <c r="L1540" t="s">
        <v>6035</v>
      </c>
      <c r="M1540" t="s">
        <v>6036</v>
      </c>
      <c r="N1540" t="s">
        <v>6037</v>
      </c>
      <c r="O1540" t="s">
        <v>27</v>
      </c>
      <c r="P1540" t="s">
        <v>48</v>
      </c>
      <c r="Q1540" t="s">
        <v>49</v>
      </c>
      <c r="R1540" t="s">
        <v>50</v>
      </c>
      <c r="S1540" t="s">
        <v>28</v>
      </c>
      <c r="T1540" t="s">
        <v>6038</v>
      </c>
      <c r="U1540" t="s">
        <v>6037</v>
      </c>
    </row>
    <row r="1541" spans="1:21" x14ac:dyDescent="0.25">
      <c r="A1541" t="s">
        <v>6039</v>
      </c>
      <c r="B1541" t="s">
        <v>6040</v>
      </c>
      <c r="C1541">
        <v>200</v>
      </c>
      <c r="D1541">
        <v>1</v>
      </c>
      <c r="E1541">
        <v>0</v>
      </c>
      <c r="F1541" t="s">
        <v>6032</v>
      </c>
      <c r="G1541">
        <v>2570</v>
      </c>
      <c r="H1541">
        <v>230</v>
      </c>
      <c r="I1541" t="s">
        <v>24</v>
      </c>
      <c r="J1541" t="s">
        <v>6033</v>
      </c>
      <c r="K1541" t="s">
        <v>6034</v>
      </c>
      <c r="L1541" t="s">
        <v>6035</v>
      </c>
      <c r="M1541" t="s">
        <v>6036</v>
      </c>
      <c r="N1541" t="s">
        <v>6037</v>
      </c>
      <c r="O1541" t="s">
        <v>27</v>
      </c>
      <c r="P1541" t="s">
        <v>48</v>
      </c>
      <c r="Q1541" t="s">
        <v>49</v>
      </c>
      <c r="R1541" t="s">
        <v>50</v>
      </c>
      <c r="S1541" t="s">
        <v>28</v>
      </c>
      <c r="T1541" t="s">
        <v>6038</v>
      </c>
      <c r="U1541" t="s">
        <v>6037</v>
      </c>
    </row>
    <row r="1542" spans="1:21" x14ac:dyDescent="0.25">
      <c r="A1542" t="s">
        <v>214</v>
      </c>
      <c r="B1542" t="s">
        <v>215</v>
      </c>
      <c r="C1542">
        <v>80</v>
      </c>
      <c r="D1542">
        <v>1</v>
      </c>
      <c r="E1542">
        <v>0</v>
      </c>
      <c r="F1542" t="s">
        <v>6032</v>
      </c>
      <c r="G1542">
        <v>2570</v>
      </c>
      <c r="H1542">
        <v>230</v>
      </c>
      <c r="I1542" t="s">
        <v>24</v>
      </c>
      <c r="J1542" t="s">
        <v>6033</v>
      </c>
      <c r="K1542" t="s">
        <v>6034</v>
      </c>
      <c r="L1542" t="s">
        <v>6035</v>
      </c>
      <c r="M1542" t="s">
        <v>6036</v>
      </c>
      <c r="N1542" t="s">
        <v>6037</v>
      </c>
      <c r="O1542" t="s">
        <v>27</v>
      </c>
      <c r="P1542" t="s">
        <v>48</v>
      </c>
      <c r="Q1542" t="s">
        <v>49</v>
      </c>
      <c r="R1542" t="s">
        <v>50</v>
      </c>
      <c r="S1542" t="s">
        <v>28</v>
      </c>
      <c r="T1542" t="s">
        <v>6038</v>
      </c>
      <c r="U1542" t="s">
        <v>6037</v>
      </c>
    </row>
    <row r="1543" spans="1:21" x14ac:dyDescent="0.25">
      <c r="A1543" t="s">
        <v>214</v>
      </c>
      <c r="B1543" t="s">
        <v>215</v>
      </c>
      <c r="C1543">
        <v>80</v>
      </c>
      <c r="D1543">
        <v>1</v>
      </c>
      <c r="E1543">
        <v>0</v>
      </c>
      <c r="F1543" t="s">
        <v>6032</v>
      </c>
      <c r="G1543">
        <v>2570</v>
      </c>
      <c r="H1543">
        <v>230</v>
      </c>
      <c r="I1543" t="s">
        <v>24</v>
      </c>
      <c r="J1543" t="s">
        <v>6033</v>
      </c>
      <c r="K1543" t="s">
        <v>6034</v>
      </c>
      <c r="L1543" t="s">
        <v>6035</v>
      </c>
      <c r="M1543" t="s">
        <v>6036</v>
      </c>
      <c r="N1543" t="s">
        <v>6037</v>
      </c>
      <c r="O1543" t="s">
        <v>27</v>
      </c>
      <c r="P1543" t="s">
        <v>48</v>
      </c>
      <c r="Q1543" t="s">
        <v>49</v>
      </c>
      <c r="R1543" t="s">
        <v>50</v>
      </c>
      <c r="S1543" t="s">
        <v>28</v>
      </c>
      <c r="T1543" t="s">
        <v>6038</v>
      </c>
      <c r="U1543" t="s">
        <v>6037</v>
      </c>
    </row>
    <row r="1544" spans="1:21" x14ac:dyDescent="0.25">
      <c r="A1544" t="s">
        <v>214</v>
      </c>
      <c r="B1544" t="s">
        <v>215</v>
      </c>
      <c r="C1544">
        <v>80</v>
      </c>
      <c r="D1544">
        <v>1</v>
      </c>
      <c r="E1544">
        <v>0</v>
      </c>
      <c r="F1544" t="s">
        <v>6032</v>
      </c>
      <c r="G1544">
        <v>2570</v>
      </c>
      <c r="H1544">
        <v>230</v>
      </c>
      <c r="I1544" t="s">
        <v>24</v>
      </c>
      <c r="J1544" t="s">
        <v>6033</v>
      </c>
      <c r="K1544" t="s">
        <v>6034</v>
      </c>
      <c r="L1544" t="s">
        <v>6035</v>
      </c>
      <c r="M1544" t="s">
        <v>6036</v>
      </c>
      <c r="N1544" t="s">
        <v>6037</v>
      </c>
      <c r="O1544" t="s">
        <v>27</v>
      </c>
      <c r="P1544" t="s">
        <v>48</v>
      </c>
      <c r="Q1544" t="s">
        <v>49</v>
      </c>
      <c r="R1544" t="s">
        <v>50</v>
      </c>
      <c r="S1544" t="s">
        <v>28</v>
      </c>
      <c r="T1544" t="s">
        <v>6038</v>
      </c>
      <c r="U1544" t="s">
        <v>6037</v>
      </c>
    </row>
    <row r="1545" spans="1:21" x14ac:dyDescent="0.25">
      <c r="A1545" t="s">
        <v>214</v>
      </c>
      <c r="B1545" t="s">
        <v>215</v>
      </c>
      <c r="C1545">
        <v>80</v>
      </c>
      <c r="D1545">
        <v>1</v>
      </c>
      <c r="E1545">
        <v>0</v>
      </c>
      <c r="F1545" t="s">
        <v>6032</v>
      </c>
      <c r="G1545">
        <v>2570</v>
      </c>
      <c r="H1545">
        <v>230</v>
      </c>
      <c r="I1545" t="s">
        <v>24</v>
      </c>
      <c r="J1545" t="s">
        <v>6033</v>
      </c>
      <c r="K1545" t="s">
        <v>6034</v>
      </c>
      <c r="L1545" t="s">
        <v>6035</v>
      </c>
      <c r="M1545" t="s">
        <v>6036</v>
      </c>
      <c r="N1545" t="s">
        <v>6037</v>
      </c>
      <c r="O1545" t="s">
        <v>27</v>
      </c>
      <c r="P1545" t="s">
        <v>48</v>
      </c>
      <c r="Q1545" t="s">
        <v>49</v>
      </c>
      <c r="R1545" t="s">
        <v>50</v>
      </c>
      <c r="S1545" t="s">
        <v>28</v>
      </c>
      <c r="T1545" t="s">
        <v>6038</v>
      </c>
      <c r="U1545" t="s">
        <v>6037</v>
      </c>
    </row>
    <row r="1546" spans="1:21" x14ac:dyDescent="0.25">
      <c r="A1546" t="s">
        <v>214</v>
      </c>
      <c r="B1546" t="s">
        <v>215</v>
      </c>
      <c r="C1546">
        <v>80</v>
      </c>
      <c r="D1546">
        <v>1</v>
      </c>
      <c r="E1546">
        <v>0</v>
      </c>
      <c r="F1546" t="s">
        <v>6032</v>
      </c>
      <c r="G1546">
        <v>2570</v>
      </c>
      <c r="H1546">
        <v>230</v>
      </c>
      <c r="I1546" t="s">
        <v>24</v>
      </c>
      <c r="J1546" t="s">
        <v>6033</v>
      </c>
      <c r="K1546" t="s">
        <v>6034</v>
      </c>
      <c r="L1546" t="s">
        <v>6035</v>
      </c>
      <c r="M1546" t="s">
        <v>6036</v>
      </c>
      <c r="N1546" t="s">
        <v>6037</v>
      </c>
      <c r="O1546" t="s">
        <v>27</v>
      </c>
      <c r="P1546" t="s">
        <v>48</v>
      </c>
      <c r="Q1546" t="s">
        <v>49</v>
      </c>
      <c r="R1546" t="s">
        <v>50</v>
      </c>
      <c r="S1546" t="s">
        <v>28</v>
      </c>
      <c r="T1546" t="s">
        <v>6038</v>
      </c>
      <c r="U1546" t="s">
        <v>6037</v>
      </c>
    </row>
    <row r="1547" spans="1:21" x14ac:dyDescent="0.25">
      <c r="A1547" t="s">
        <v>214</v>
      </c>
      <c r="B1547" t="s">
        <v>215</v>
      </c>
      <c r="C1547">
        <v>80</v>
      </c>
      <c r="D1547">
        <v>1</v>
      </c>
      <c r="E1547">
        <v>0</v>
      </c>
      <c r="F1547" t="s">
        <v>6032</v>
      </c>
      <c r="G1547">
        <v>2570</v>
      </c>
      <c r="H1547">
        <v>230</v>
      </c>
      <c r="I1547" t="s">
        <v>24</v>
      </c>
      <c r="J1547" t="s">
        <v>6033</v>
      </c>
      <c r="K1547" t="s">
        <v>6034</v>
      </c>
      <c r="L1547" t="s">
        <v>6035</v>
      </c>
      <c r="M1547" t="s">
        <v>6036</v>
      </c>
      <c r="N1547" t="s">
        <v>6037</v>
      </c>
      <c r="O1547" t="s">
        <v>27</v>
      </c>
      <c r="P1547" t="s">
        <v>48</v>
      </c>
      <c r="Q1547" t="s">
        <v>49</v>
      </c>
      <c r="R1547" t="s">
        <v>50</v>
      </c>
      <c r="S1547" t="s">
        <v>28</v>
      </c>
      <c r="T1547" t="s">
        <v>6038</v>
      </c>
      <c r="U1547" t="s">
        <v>6037</v>
      </c>
    </row>
    <row r="1548" spans="1:21" x14ac:dyDescent="0.25">
      <c r="A1548" t="s">
        <v>6041</v>
      </c>
      <c r="B1548" t="s">
        <v>6042</v>
      </c>
      <c r="C1548">
        <v>80</v>
      </c>
      <c r="D1548">
        <v>1</v>
      </c>
      <c r="E1548">
        <v>0</v>
      </c>
      <c r="F1548" t="s">
        <v>6032</v>
      </c>
      <c r="G1548">
        <v>2570</v>
      </c>
      <c r="H1548">
        <v>230</v>
      </c>
      <c r="I1548" t="s">
        <v>24</v>
      </c>
      <c r="J1548" t="s">
        <v>6033</v>
      </c>
      <c r="K1548" t="s">
        <v>6034</v>
      </c>
      <c r="L1548" t="s">
        <v>6035</v>
      </c>
      <c r="M1548" t="s">
        <v>6036</v>
      </c>
      <c r="N1548" t="s">
        <v>6037</v>
      </c>
      <c r="O1548" t="s">
        <v>27</v>
      </c>
      <c r="P1548" t="s">
        <v>48</v>
      </c>
      <c r="Q1548" t="s">
        <v>49</v>
      </c>
      <c r="R1548" t="s">
        <v>50</v>
      </c>
      <c r="S1548" t="s">
        <v>28</v>
      </c>
      <c r="T1548" t="s">
        <v>6038</v>
      </c>
      <c r="U1548" t="s">
        <v>6037</v>
      </c>
    </row>
    <row r="1549" spans="1:21" x14ac:dyDescent="0.25">
      <c r="A1549" t="s">
        <v>6041</v>
      </c>
      <c r="B1549" t="s">
        <v>6042</v>
      </c>
      <c r="C1549">
        <v>80</v>
      </c>
      <c r="D1549">
        <v>1</v>
      </c>
      <c r="E1549">
        <v>0</v>
      </c>
      <c r="F1549" t="s">
        <v>6032</v>
      </c>
      <c r="G1549">
        <v>2570</v>
      </c>
      <c r="H1549">
        <v>230</v>
      </c>
      <c r="I1549" t="s">
        <v>24</v>
      </c>
      <c r="J1549" t="s">
        <v>6033</v>
      </c>
      <c r="K1549" t="s">
        <v>6034</v>
      </c>
      <c r="L1549" t="s">
        <v>6035</v>
      </c>
      <c r="M1549" t="s">
        <v>6036</v>
      </c>
      <c r="N1549" t="s">
        <v>6037</v>
      </c>
      <c r="O1549" t="s">
        <v>27</v>
      </c>
      <c r="P1549" t="s">
        <v>48</v>
      </c>
      <c r="Q1549" t="s">
        <v>49</v>
      </c>
      <c r="R1549" t="s">
        <v>50</v>
      </c>
      <c r="S1549" t="s">
        <v>28</v>
      </c>
      <c r="T1549" t="s">
        <v>6038</v>
      </c>
      <c r="U1549" t="s">
        <v>6037</v>
      </c>
    </row>
    <row r="1550" spans="1:21" x14ac:dyDescent="0.25">
      <c r="A1550" t="s">
        <v>6041</v>
      </c>
      <c r="B1550" t="s">
        <v>6042</v>
      </c>
      <c r="C1550">
        <v>80</v>
      </c>
      <c r="D1550">
        <v>1</v>
      </c>
      <c r="E1550">
        <v>0</v>
      </c>
      <c r="F1550" t="s">
        <v>6032</v>
      </c>
      <c r="G1550">
        <v>2570</v>
      </c>
      <c r="H1550">
        <v>230</v>
      </c>
      <c r="I1550" t="s">
        <v>24</v>
      </c>
      <c r="J1550" t="s">
        <v>6033</v>
      </c>
      <c r="K1550" t="s">
        <v>6034</v>
      </c>
      <c r="L1550" t="s">
        <v>6035</v>
      </c>
      <c r="M1550" t="s">
        <v>6036</v>
      </c>
      <c r="N1550" t="s">
        <v>6037</v>
      </c>
      <c r="O1550" t="s">
        <v>27</v>
      </c>
      <c r="P1550" t="s">
        <v>48</v>
      </c>
      <c r="Q1550" t="s">
        <v>49</v>
      </c>
      <c r="R1550" t="s">
        <v>50</v>
      </c>
      <c r="S1550" t="s">
        <v>28</v>
      </c>
      <c r="T1550" t="s">
        <v>6038</v>
      </c>
      <c r="U1550" t="s">
        <v>6037</v>
      </c>
    </row>
    <row r="1551" spans="1:21" x14ac:dyDescent="0.25">
      <c r="A1551" t="s">
        <v>6041</v>
      </c>
      <c r="B1551" t="s">
        <v>6042</v>
      </c>
      <c r="C1551">
        <v>80</v>
      </c>
      <c r="D1551">
        <v>1</v>
      </c>
      <c r="E1551">
        <v>0</v>
      </c>
      <c r="F1551" t="s">
        <v>6032</v>
      </c>
      <c r="G1551">
        <v>2570</v>
      </c>
      <c r="H1551">
        <v>230</v>
      </c>
      <c r="I1551" t="s">
        <v>24</v>
      </c>
      <c r="J1551" t="s">
        <v>6033</v>
      </c>
      <c r="K1551" t="s">
        <v>6034</v>
      </c>
      <c r="L1551" t="s">
        <v>6035</v>
      </c>
      <c r="M1551" t="s">
        <v>6036</v>
      </c>
      <c r="N1551" t="s">
        <v>6037</v>
      </c>
      <c r="O1551" t="s">
        <v>27</v>
      </c>
      <c r="P1551" t="s">
        <v>48</v>
      </c>
      <c r="Q1551" t="s">
        <v>49</v>
      </c>
      <c r="R1551" t="s">
        <v>50</v>
      </c>
      <c r="S1551" t="s">
        <v>28</v>
      </c>
      <c r="T1551" t="s">
        <v>6038</v>
      </c>
      <c r="U1551" t="s">
        <v>6037</v>
      </c>
    </row>
    <row r="1552" spans="1:21" x14ac:dyDescent="0.25">
      <c r="A1552" t="s">
        <v>6041</v>
      </c>
      <c r="B1552" t="s">
        <v>6042</v>
      </c>
      <c r="C1552">
        <v>80</v>
      </c>
      <c r="D1552">
        <v>1</v>
      </c>
      <c r="E1552">
        <v>0</v>
      </c>
      <c r="F1552" t="s">
        <v>6032</v>
      </c>
      <c r="G1552">
        <v>2570</v>
      </c>
      <c r="H1552">
        <v>230</v>
      </c>
      <c r="I1552" t="s">
        <v>24</v>
      </c>
      <c r="J1552" t="s">
        <v>6033</v>
      </c>
      <c r="K1552" t="s">
        <v>6034</v>
      </c>
      <c r="L1552" t="s">
        <v>6035</v>
      </c>
      <c r="M1552" t="s">
        <v>6036</v>
      </c>
      <c r="N1552" t="s">
        <v>6037</v>
      </c>
      <c r="O1552" t="s">
        <v>27</v>
      </c>
      <c r="P1552" t="s">
        <v>48</v>
      </c>
      <c r="Q1552" t="s">
        <v>49</v>
      </c>
      <c r="R1552" t="s">
        <v>50</v>
      </c>
      <c r="S1552" t="s">
        <v>28</v>
      </c>
      <c r="T1552" t="s">
        <v>6038</v>
      </c>
      <c r="U1552" t="s">
        <v>6037</v>
      </c>
    </row>
    <row r="1553" spans="1:21" x14ac:dyDescent="0.25">
      <c r="A1553" t="s">
        <v>6041</v>
      </c>
      <c r="B1553" t="s">
        <v>6042</v>
      </c>
      <c r="C1553">
        <v>80</v>
      </c>
      <c r="D1553">
        <v>1</v>
      </c>
      <c r="E1553">
        <v>0</v>
      </c>
      <c r="F1553" t="s">
        <v>6032</v>
      </c>
      <c r="G1553">
        <v>2570</v>
      </c>
      <c r="H1553">
        <v>230</v>
      </c>
      <c r="I1553" t="s">
        <v>24</v>
      </c>
      <c r="J1553" t="s">
        <v>6033</v>
      </c>
      <c r="K1553" t="s">
        <v>6034</v>
      </c>
      <c r="L1553" t="s">
        <v>6035</v>
      </c>
      <c r="M1553" t="s">
        <v>6036</v>
      </c>
      <c r="N1553" t="s">
        <v>6037</v>
      </c>
      <c r="O1553" t="s">
        <v>27</v>
      </c>
      <c r="P1553" t="s">
        <v>48</v>
      </c>
      <c r="Q1553" t="s">
        <v>49</v>
      </c>
      <c r="R1553" t="s">
        <v>50</v>
      </c>
      <c r="S1553" t="s">
        <v>28</v>
      </c>
      <c r="T1553" t="s">
        <v>6038</v>
      </c>
      <c r="U1553" t="s">
        <v>6037</v>
      </c>
    </row>
    <row r="1554" spans="1:21" x14ac:dyDescent="0.25">
      <c r="A1554" t="s">
        <v>94</v>
      </c>
      <c r="B1554" t="s">
        <v>95</v>
      </c>
      <c r="C1554">
        <v>80</v>
      </c>
      <c r="D1554">
        <v>1</v>
      </c>
      <c r="E1554">
        <v>0</v>
      </c>
      <c r="F1554" t="s">
        <v>6032</v>
      </c>
      <c r="G1554">
        <v>2570</v>
      </c>
      <c r="H1554">
        <v>230</v>
      </c>
      <c r="I1554" t="s">
        <v>24</v>
      </c>
      <c r="J1554" t="s">
        <v>6033</v>
      </c>
      <c r="K1554" t="s">
        <v>6034</v>
      </c>
      <c r="L1554" t="s">
        <v>6035</v>
      </c>
      <c r="M1554" t="s">
        <v>6036</v>
      </c>
      <c r="N1554" t="s">
        <v>6037</v>
      </c>
      <c r="O1554" t="s">
        <v>27</v>
      </c>
      <c r="P1554" t="s">
        <v>48</v>
      </c>
      <c r="Q1554" t="s">
        <v>49</v>
      </c>
      <c r="R1554" t="s">
        <v>50</v>
      </c>
      <c r="S1554" t="s">
        <v>28</v>
      </c>
      <c r="T1554" t="s">
        <v>6038</v>
      </c>
      <c r="U1554" t="s">
        <v>6037</v>
      </c>
    </row>
    <row r="1555" spans="1:21" x14ac:dyDescent="0.25">
      <c r="A1555" t="s">
        <v>94</v>
      </c>
      <c r="B1555" t="s">
        <v>95</v>
      </c>
      <c r="C1555">
        <v>80</v>
      </c>
      <c r="D1555">
        <v>1</v>
      </c>
      <c r="E1555">
        <v>0</v>
      </c>
      <c r="F1555" t="s">
        <v>6032</v>
      </c>
      <c r="G1555">
        <v>2570</v>
      </c>
      <c r="H1555">
        <v>230</v>
      </c>
      <c r="I1555" t="s">
        <v>24</v>
      </c>
      <c r="J1555" t="s">
        <v>6033</v>
      </c>
      <c r="K1555" t="s">
        <v>6034</v>
      </c>
      <c r="L1555" t="s">
        <v>6035</v>
      </c>
      <c r="M1555" t="s">
        <v>6036</v>
      </c>
      <c r="N1555" t="s">
        <v>6037</v>
      </c>
      <c r="O1555" t="s">
        <v>27</v>
      </c>
      <c r="P1555" t="s">
        <v>48</v>
      </c>
      <c r="Q1555" t="s">
        <v>49</v>
      </c>
      <c r="R1555" t="s">
        <v>50</v>
      </c>
      <c r="S1555" t="s">
        <v>28</v>
      </c>
      <c r="T1555" t="s">
        <v>6038</v>
      </c>
      <c r="U1555" t="s">
        <v>6037</v>
      </c>
    </row>
    <row r="1556" spans="1:21" x14ac:dyDescent="0.25">
      <c r="A1556" t="s">
        <v>94</v>
      </c>
      <c r="B1556" t="s">
        <v>95</v>
      </c>
      <c r="C1556">
        <v>80</v>
      </c>
      <c r="D1556">
        <v>1</v>
      </c>
      <c r="E1556">
        <v>0</v>
      </c>
      <c r="F1556" t="s">
        <v>6032</v>
      </c>
      <c r="G1556">
        <v>2570</v>
      </c>
      <c r="H1556">
        <v>230</v>
      </c>
      <c r="I1556" t="s">
        <v>24</v>
      </c>
      <c r="J1556" t="s">
        <v>6033</v>
      </c>
      <c r="K1556" t="s">
        <v>6034</v>
      </c>
      <c r="L1556" t="s">
        <v>6035</v>
      </c>
      <c r="M1556" t="s">
        <v>6036</v>
      </c>
      <c r="N1556" t="s">
        <v>6037</v>
      </c>
      <c r="O1556" t="s">
        <v>27</v>
      </c>
      <c r="P1556" t="s">
        <v>48</v>
      </c>
      <c r="Q1556" t="s">
        <v>49</v>
      </c>
      <c r="R1556" t="s">
        <v>50</v>
      </c>
      <c r="S1556" t="s">
        <v>28</v>
      </c>
      <c r="T1556" t="s">
        <v>6038</v>
      </c>
      <c r="U1556" t="s">
        <v>6037</v>
      </c>
    </row>
    <row r="1557" spans="1:21" x14ac:dyDescent="0.25">
      <c r="A1557" t="s">
        <v>94</v>
      </c>
      <c r="B1557" t="s">
        <v>95</v>
      </c>
      <c r="C1557">
        <v>80</v>
      </c>
      <c r="D1557">
        <v>1</v>
      </c>
      <c r="E1557">
        <v>0</v>
      </c>
      <c r="F1557" t="s">
        <v>6032</v>
      </c>
      <c r="G1557">
        <v>2570</v>
      </c>
      <c r="H1557">
        <v>230</v>
      </c>
      <c r="I1557" t="s">
        <v>24</v>
      </c>
      <c r="J1557" t="s">
        <v>6033</v>
      </c>
      <c r="K1557" t="s">
        <v>6034</v>
      </c>
      <c r="L1557" t="s">
        <v>6035</v>
      </c>
      <c r="M1557" t="s">
        <v>6036</v>
      </c>
      <c r="N1557" t="s">
        <v>6037</v>
      </c>
      <c r="O1557" t="s">
        <v>27</v>
      </c>
      <c r="P1557" t="s">
        <v>48</v>
      </c>
      <c r="Q1557" t="s">
        <v>49</v>
      </c>
      <c r="R1557" t="s">
        <v>50</v>
      </c>
      <c r="S1557" t="s">
        <v>28</v>
      </c>
      <c r="T1557" t="s">
        <v>6038</v>
      </c>
      <c r="U1557" t="s">
        <v>6037</v>
      </c>
    </row>
    <row r="1558" spans="1:21" x14ac:dyDescent="0.25">
      <c r="A1558" t="s">
        <v>94</v>
      </c>
      <c r="B1558" t="s">
        <v>95</v>
      </c>
      <c r="C1558">
        <v>80</v>
      </c>
      <c r="D1558">
        <v>1</v>
      </c>
      <c r="E1558">
        <v>0</v>
      </c>
      <c r="F1558" t="s">
        <v>6032</v>
      </c>
      <c r="G1558">
        <v>2570</v>
      </c>
      <c r="H1558">
        <v>230</v>
      </c>
      <c r="I1558" t="s">
        <v>24</v>
      </c>
      <c r="J1558" t="s">
        <v>6033</v>
      </c>
      <c r="K1558" t="s">
        <v>6034</v>
      </c>
      <c r="L1558" t="s">
        <v>6035</v>
      </c>
      <c r="M1558" t="s">
        <v>6036</v>
      </c>
      <c r="N1558" t="s">
        <v>6037</v>
      </c>
      <c r="O1558" t="s">
        <v>27</v>
      </c>
      <c r="P1558" t="s">
        <v>48</v>
      </c>
      <c r="Q1558" t="s">
        <v>49</v>
      </c>
      <c r="R1558" t="s">
        <v>50</v>
      </c>
      <c r="S1558" t="s">
        <v>28</v>
      </c>
      <c r="T1558" t="s">
        <v>6038</v>
      </c>
      <c r="U1558" t="s">
        <v>6037</v>
      </c>
    </row>
    <row r="1559" spans="1:21" x14ac:dyDescent="0.25">
      <c r="A1559" t="s">
        <v>94</v>
      </c>
      <c r="B1559" t="s">
        <v>95</v>
      </c>
      <c r="C1559">
        <v>80</v>
      </c>
      <c r="D1559">
        <v>1</v>
      </c>
      <c r="E1559">
        <v>0</v>
      </c>
      <c r="F1559" t="s">
        <v>6032</v>
      </c>
      <c r="G1559">
        <v>2570</v>
      </c>
      <c r="H1559">
        <v>230</v>
      </c>
      <c r="I1559" t="s">
        <v>24</v>
      </c>
      <c r="J1559" t="s">
        <v>6033</v>
      </c>
      <c r="K1559" t="s">
        <v>6034</v>
      </c>
      <c r="L1559" t="s">
        <v>6035</v>
      </c>
      <c r="M1559" t="s">
        <v>6036</v>
      </c>
      <c r="N1559" t="s">
        <v>6037</v>
      </c>
      <c r="O1559" t="s">
        <v>27</v>
      </c>
      <c r="P1559" t="s">
        <v>48</v>
      </c>
      <c r="Q1559" t="s">
        <v>49</v>
      </c>
      <c r="R1559" t="s">
        <v>50</v>
      </c>
      <c r="S1559" t="s">
        <v>28</v>
      </c>
      <c r="T1559" t="s">
        <v>6038</v>
      </c>
      <c r="U1559" t="s">
        <v>6037</v>
      </c>
    </row>
    <row r="1560" spans="1:21" x14ac:dyDescent="0.25">
      <c r="A1560" t="s">
        <v>3739</v>
      </c>
      <c r="B1560" t="s">
        <v>2854</v>
      </c>
      <c r="C1560">
        <v>284.5</v>
      </c>
      <c r="D1560">
        <v>1</v>
      </c>
      <c r="E1560">
        <v>0</v>
      </c>
      <c r="F1560" t="s">
        <v>6043</v>
      </c>
      <c r="G1560">
        <v>339.5</v>
      </c>
      <c r="H1560">
        <v>55</v>
      </c>
      <c r="I1560" t="s">
        <v>2856</v>
      </c>
      <c r="J1560" t="s">
        <v>6044</v>
      </c>
      <c r="K1560" t="s">
        <v>6045</v>
      </c>
      <c r="L1560" t="s">
        <v>6046</v>
      </c>
      <c r="M1560" t="s">
        <v>6047</v>
      </c>
      <c r="N1560" t="s">
        <v>6048</v>
      </c>
      <c r="O1560" t="s">
        <v>27</v>
      </c>
      <c r="P1560" t="s">
        <v>48</v>
      </c>
      <c r="Q1560" t="s">
        <v>49</v>
      </c>
      <c r="R1560" t="s">
        <v>50</v>
      </c>
      <c r="S1560" t="s">
        <v>28</v>
      </c>
      <c r="T1560" t="s">
        <v>6049</v>
      </c>
      <c r="U1560" t="s">
        <v>6048</v>
      </c>
    </row>
    <row r="1561" spans="1:21" x14ac:dyDescent="0.25">
      <c r="A1561" t="s">
        <v>33</v>
      </c>
      <c r="B1561" t="s">
        <v>34</v>
      </c>
      <c r="C1561">
        <v>200</v>
      </c>
      <c r="D1561">
        <v>1</v>
      </c>
      <c r="E1561">
        <v>0</v>
      </c>
      <c r="F1561" t="s">
        <v>6050</v>
      </c>
      <c r="G1561">
        <v>200</v>
      </c>
      <c r="H1561">
        <v>0</v>
      </c>
      <c r="I1561" t="s">
        <v>24</v>
      </c>
      <c r="J1561" t="s">
        <v>6051</v>
      </c>
      <c r="K1561" t="s">
        <v>1198</v>
      </c>
      <c r="L1561" t="s">
        <v>27</v>
      </c>
      <c r="M1561" t="s">
        <v>28</v>
      </c>
      <c r="N1561" t="s">
        <v>6052</v>
      </c>
      <c r="O1561" t="s">
        <v>27</v>
      </c>
      <c r="P1561" t="s">
        <v>39</v>
      </c>
      <c r="Q1561" t="s">
        <v>31</v>
      </c>
      <c r="R1561" t="s">
        <v>32</v>
      </c>
      <c r="S1561" t="s">
        <v>28</v>
      </c>
      <c r="T1561" t="s">
        <v>6053</v>
      </c>
      <c r="U1561" t="s">
        <v>6052</v>
      </c>
    </row>
    <row r="1562" spans="1:21" x14ac:dyDescent="0.25">
      <c r="A1562" t="s">
        <v>456</v>
      </c>
      <c r="B1562" t="s">
        <v>1178</v>
      </c>
      <c r="C1562">
        <v>145.69999999999999</v>
      </c>
      <c r="D1562">
        <v>1</v>
      </c>
      <c r="E1562">
        <v>0</v>
      </c>
      <c r="F1562" t="s">
        <v>6054</v>
      </c>
      <c r="G1562">
        <v>145.69999999999999</v>
      </c>
      <c r="H1562">
        <v>0</v>
      </c>
      <c r="I1562" t="s">
        <v>628</v>
      </c>
      <c r="J1562" t="s">
        <v>6055</v>
      </c>
      <c r="K1562" t="s">
        <v>6056</v>
      </c>
      <c r="L1562" t="s">
        <v>1437</v>
      </c>
      <c r="M1562" t="s">
        <v>6057</v>
      </c>
      <c r="N1562" t="s">
        <v>6052</v>
      </c>
      <c r="O1562" t="s">
        <v>27</v>
      </c>
      <c r="P1562" t="s">
        <v>48</v>
      </c>
      <c r="Q1562" t="s">
        <v>49</v>
      </c>
      <c r="R1562" t="s">
        <v>50</v>
      </c>
      <c r="S1562" t="s">
        <v>28</v>
      </c>
      <c r="T1562" t="s">
        <v>6058</v>
      </c>
      <c r="U1562" t="s">
        <v>6052</v>
      </c>
    </row>
    <row r="1563" spans="1:21" x14ac:dyDescent="0.25">
      <c r="A1563" t="s">
        <v>3543</v>
      </c>
      <c r="B1563" t="s">
        <v>3544</v>
      </c>
      <c r="C1563">
        <v>243.69</v>
      </c>
      <c r="D1563">
        <v>1</v>
      </c>
      <c r="E1563">
        <v>0</v>
      </c>
      <c r="F1563" t="s">
        <v>6059</v>
      </c>
      <c r="G1563">
        <v>243.69</v>
      </c>
      <c r="H1563">
        <v>0</v>
      </c>
      <c r="I1563" t="s">
        <v>720</v>
      </c>
      <c r="J1563" t="s">
        <v>6060</v>
      </c>
      <c r="K1563" t="s">
        <v>6061</v>
      </c>
      <c r="L1563" t="s">
        <v>6062</v>
      </c>
      <c r="M1563" t="s">
        <v>6063</v>
      </c>
      <c r="N1563" t="s">
        <v>6052</v>
      </c>
      <c r="O1563" t="s">
        <v>27</v>
      </c>
      <c r="P1563" t="s">
        <v>48</v>
      </c>
      <c r="Q1563" t="s">
        <v>49</v>
      </c>
      <c r="R1563" t="s">
        <v>50</v>
      </c>
      <c r="S1563" t="s">
        <v>28</v>
      </c>
      <c r="T1563" t="s">
        <v>6064</v>
      </c>
      <c r="U1563" t="s">
        <v>6052</v>
      </c>
    </row>
    <row r="1564" spans="1:21" x14ac:dyDescent="0.25">
      <c r="A1564" t="s">
        <v>635</v>
      </c>
      <c r="B1564" t="s">
        <v>714</v>
      </c>
      <c r="C1564">
        <v>436.75</v>
      </c>
      <c r="D1564">
        <v>1</v>
      </c>
      <c r="E1564">
        <v>0</v>
      </c>
      <c r="F1564" t="s">
        <v>6065</v>
      </c>
      <c r="G1564">
        <v>912.49</v>
      </c>
      <c r="H1564">
        <v>39</v>
      </c>
      <c r="I1564" t="s">
        <v>628</v>
      </c>
      <c r="J1564" t="s">
        <v>6066</v>
      </c>
      <c r="K1564" t="s">
        <v>6067</v>
      </c>
      <c r="L1564" t="s">
        <v>6068</v>
      </c>
      <c r="M1564" t="s">
        <v>6069</v>
      </c>
      <c r="N1564" t="s">
        <v>6070</v>
      </c>
      <c r="O1564" t="s">
        <v>27</v>
      </c>
      <c r="P1564" t="s">
        <v>48</v>
      </c>
      <c r="Q1564" t="s">
        <v>49</v>
      </c>
      <c r="R1564" t="s">
        <v>50</v>
      </c>
      <c r="S1564" t="s">
        <v>28</v>
      </c>
      <c r="T1564" t="s">
        <v>6071</v>
      </c>
      <c r="U1564" t="s">
        <v>6070</v>
      </c>
    </row>
    <row r="1565" spans="1:21" x14ac:dyDescent="0.25">
      <c r="A1565" t="s">
        <v>635</v>
      </c>
      <c r="B1565" t="s">
        <v>714</v>
      </c>
      <c r="C1565">
        <v>436.74</v>
      </c>
      <c r="D1565">
        <v>1</v>
      </c>
      <c r="E1565">
        <v>0</v>
      </c>
      <c r="F1565" t="s">
        <v>6065</v>
      </c>
      <c r="G1565">
        <v>912.49</v>
      </c>
      <c r="H1565">
        <v>39</v>
      </c>
      <c r="I1565" t="s">
        <v>628</v>
      </c>
      <c r="J1565" t="s">
        <v>6066</v>
      </c>
      <c r="K1565" t="s">
        <v>6067</v>
      </c>
      <c r="L1565" t="s">
        <v>6068</v>
      </c>
      <c r="M1565" t="s">
        <v>6069</v>
      </c>
      <c r="N1565" t="s">
        <v>6070</v>
      </c>
      <c r="O1565" t="s">
        <v>27</v>
      </c>
      <c r="P1565" t="s">
        <v>48</v>
      </c>
      <c r="Q1565" t="s">
        <v>49</v>
      </c>
      <c r="R1565" t="s">
        <v>50</v>
      </c>
      <c r="S1565" t="s">
        <v>28</v>
      </c>
      <c r="T1565" t="s">
        <v>6071</v>
      </c>
      <c r="U1565" t="s">
        <v>6070</v>
      </c>
    </row>
    <row r="1566" spans="1:21" x14ac:dyDescent="0.25">
      <c r="A1566" t="s">
        <v>456</v>
      </c>
      <c r="B1566" t="s">
        <v>457</v>
      </c>
      <c r="C1566">
        <v>225</v>
      </c>
      <c r="D1566">
        <v>1</v>
      </c>
      <c r="E1566">
        <v>0</v>
      </c>
      <c r="F1566" t="s">
        <v>6072</v>
      </c>
      <c r="G1566">
        <v>225</v>
      </c>
      <c r="H1566">
        <v>0</v>
      </c>
      <c r="I1566" t="s">
        <v>445</v>
      </c>
      <c r="J1566" t="s">
        <v>6073</v>
      </c>
      <c r="K1566" t="s">
        <v>6074</v>
      </c>
      <c r="L1566" t="s">
        <v>6075</v>
      </c>
      <c r="M1566" t="s">
        <v>6076</v>
      </c>
      <c r="N1566" t="s">
        <v>6077</v>
      </c>
      <c r="O1566" t="s">
        <v>27</v>
      </c>
      <c r="P1566" t="s">
        <v>193</v>
      </c>
      <c r="Q1566" t="s">
        <v>85</v>
      </c>
      <c r="R1566" t="s">
        <v>86</v>
      </c>
      <c r="S1566" t="s">
        <v>28</v>
      </c>
      <c r="T1566" t="s">
        <v>6078</v>
      </c>
      <c r="U1566" t="s">
        <v>6079</v>
      </c>
    </row>
    <row r="1567" spans="1:21" x14ac:dyDescent="0.25">
      <c r="A1567" t="s">
        <v>456</v>
      </c>
      <c r="B1567" t="s">
        <v>1178</v>
      </c>
      <c r="C1567">
        <v>119.84</v>
      </c>
      <c r="D1567">
        <v>1</v>
      </c>
      <c r="E1567">
        <v>0</v>
      </c>
      <c r="F1567" t="s">
        <v>6080</v>
      </c>
      <c r="G1567">
        <v>124.84</v>
      </c>
      <c r="H1567">
        <v>5</v>
      </c>
      <c r="I1567" t="s">
        <v>628</v>
      </c>
      <c r="J1567" t="s">
        <v>6081</v>
      </c>
      <c r="K1567" t="s">
        <v>6082</v>
      </c>
      <c r="L1567" t="s">
        <v>480</v>
      </c>
      <c r="M1567" t="s">
        <v>2725</v>
      </c>
      <c r="N1567" t="s">
        <v>6083</v>
      </c>
      <c r="O1567" t="s">
        <v>27</v>
      </c>
      <c r="P1567" t="s">
        <v>48</v>
      </c>
      <c r="Q1567" t="s">
        <v>49</v>
      </c>
      <c r="R1567" t="s">
        <v>50</v>
      </c>
      <c r="S1567" t="s">
        <v>28</v>
      </c>
      <c r="T1567" t="s">
        <v>6084</v>
      </c>
      <c r="U1567" t="s">
        <v>6083</v>
      </c>
    </row>
    <row r="1568" spans="1:21" x14ac:dyDescent="0.25">
      <c r="A1568" t="s">
        <v>58</v>
      </c>
      <c r="B1568" t="s">
        <v>103</v>
      </c>
      <c r="C1568">
        <v>89.95</v>
      </c>
      <c r="D1568">
        <v>1</v>
      </c>
      <c r="E1568">
        <v>0</v>
      </c>
      <c r="F1568" t="s">
        <v>6085</v>
      </c>
      <c r="G1568">
        <v>274.83999999999997</v>
      </c>
      <c r="H1568">
        <v>5</v>
      </c>
      <c r="I1568" t="s">
        <v>105</v>
      </c>
      <c r="J1568" t="s">
        <v>6066</v>
      </c>
      <c r="K1568" t="s">
        <v>6067</v>
      </c>
      <c r="L1568" t="s">
        <v>6068</v>
      </c>
      <c r="M1568" t="s">
        <v>6069</v>
      </c>
      <c r="N1568" t="s">
        <v>6086</v>
      </c>
      <c r="O1568" t="s">
        <v>27</v>
      </c>
      <c r="P1568" t="s">
        <v>48</v>
      </c>
      <c r="Q1568" t="s">
        <v>49</v>
      </c>
      <c r="R1568" t="s">
        <v>50</v>
      </c>
      <c r="S1568" t="s">
        <v>28</v>
      </c>
      <c r="T1568" t="s">
        <v>6087</v>
      </c>
      <c r="U1568" t="s">
        <v>6086</v>
      </c>
    </row>
    <row r="1569" spans="1:21" x14ac:dyDescent="0.25">
      <c r="A1569" t="s">
        <v>58</v>
      </c>
      <c r="B1569" t="s">
        <v>103</v>
      </c>
      <c r="C1569">
        <v>89.94</v>
      </c>
      <c r="D1569">
        <v>1</v>
      </c>
      <c r="E1569">
        <v>0</v>
      </c>
      <c r="F1569" t="s">
        <v>6085</v>
      </c>
      <c r="G1569">
        <v>274.83999999999997</v>
      </c>
      <c r="H1569">
        <v>5</v>
      </c>
      <c r="I1569" t="s">
        <v>105</v>
      </c>
      <c r="J1569" t="s">
        <v>6066</v>
      </c>
      <c r="K1569" t="s">
        <v>6067</v>
      </c>
      <c r="L1569" t="s">
        <v>6068</v>
      </c>
      <c r="M1569" t="s">
        <v>6069</v>
      </c>
      <c r="N1569" t="s">
        <v>6086</v>
      </c>
      <c r="O1569" t="s">
        <v>27</v>
      </c>
      <c r="P1569" t="s">
        <v>48</v>
      </c>
      <c r="Q1569" t="s">
        <v>49</v>
      </c>
      <c r="R1569" t="s">
        <v>50</v>
      </c>
      <c r="S1569" t="s">
        <v>28</v>
      </c>
      <c r="T1569" t="s">
        <v>6087</v>
      </c>
      <c r="U1569" t="s">
        <v>6086</v>
      </c>
    </row>
    <row r="1570" spans="1:21" x14ac:dyDescent="0.25">
      <c r="A1570" t="s">
        <v>58</v>
      </c>
      <c r="B1570" t="s">
        <v>103</v>
      </c>
      <c r="C1570">
        <v>89.95</v>
      </c>
      <c r="D1570">
        <v>1</v>
      </c>
      <c r="E1570">
        <v>0</v>
      </c>
      <c r="F1570" t="s">
        <v>6085</v>
      </c>
      <c r="G1570">
        <v>274.83999999999997</v>
      </c>
      <c r="H1570">
        <v>5</v>
      </c>
      <c r="I1570" t="s">
        <v>105</v>
      </c>
      <c r="J1570" t="s">
        <v>6066</v>
      </c>
      <c r="K1570" t="s">
        <v>6067</v>
      </c>
      <c r="L1570" t="s">
        <v>6068</v>
      </c>
      <c r="M1570" t="s">
        <v>6069</v>
      </c>
      <c r="N1570" t="s">
        <v>6086</v>
      </c>
      <c r="O1570" t="s">
        <v>27</v>
      </c>
      <c r="P1570" t="s">
        <v>48</v>
      </c>
      <c r="Q1570" t="s">
        <v>49</v>
      </c>
      <c r="R1570" t="s">
        <v>50</v>
      </c>
      <c r="S1570" t="s">
        <v>28</v>
      </c>
      <c r="T1570" t="s">
        <v>6087</v>
      </c>
      <c r="U1570" t="s">
        <v>6086</v>
      </c>
    </row>
    <row r="1571" spans="1:21" x14ac:dyDescent="0.25">
      <c r="A1571" t="s">
        <v>195</v>
      </c>
      <c r="B1571" t="s">
        <v>1003</v>
      </c>
      <c r="C1571">
        <v>95.02</v>
      </c>
      <c r="D1571">
        <v>1</v>
      </c>
      <c r="E1571">
        <v>0</v>
      </c>
      <c r="F1571" t="s">
        <v>6088</v>
      </c>
      <c r="G1571">
        <v>95.02</v>
      </c>
      <c r="H1571">
        <v>0</v>
      </c>
      <c r="I1571" t="s">
        <v>628</v>
      </c>
      <c r="J1571" t="s">
        <v>6089</v>
      </c>
      <c r="K1571" t="s">
        <v>6090</v>
      </c>
      <c r="L1571" t="s">
        <v>6091</v>
      </c>
      <c r="M1571" t="s">
        <v>6092</v>
      </c>
      <c r="N1571" t="s">
        <v>6093</v>
      </c>
      <c r="O1571" t="s">
        <v>27</v>
      </c>
      <c r="P1571" t="s">
        <v>48</v>
      </c>
      <c r="Q1571" t="s">
        <v>49</v>
      </c>
      <c r="R1571" t="s">
        <v>50</v>
      </c>
      <c r="S1571" t="s">
        <v>28</v>
      </c>
      <c r="T1571" t="s">
        <v>6094</v>
      </c>
      <c r="U1571" t="s">
        <v>6093</v>
      </c>
    </row>
    <row r="1572" spans="1:21" x14ac:dyDescent="0.25">
      <c r="A1572" t="s">
        <v>6095</v>
      </c>
      <c r="B1572" t="s">
        <v>276</v>
      </c>
      <c r="C1572">
        <v>440.58</v>
      </c>
      <c r="D1572">
        <v>1</v>
      </c>
      <c r="E1572">
        <v>0</v>
      </c>
      <c r="F1572" t="s">
        <v>6096</v>
      </c>
      <c r="G1572">
        <v>440.58</v>
      </c>
      <c r="H1572">
        <v>0</v>
      </c>
      <c r="I1572" t="s">
        <v>24</v>
      </c>
      <c r="J1572" t="s">
        <v>6097</v>
      </c>
      <c r="K1572" t="s">
        <v>6098</v>
      </c>
      <c r="L1572" t="s">
        <v>6099</v>
      </c>
      <c r="M1572" t="s">
        <v>6100</v>
      </c>
      <c r="N1572" t="s">
        <v>6101</v>
      </c>
      <c r="O1572" t="s">
        <v>27</v>
      </c>
      <c r="P1572" t="s">
        <v>48</v>
      </c>
      <c r="Q1572" t="s">
        <v>49</v>
      </c>
      <c r="R1572" t="s">
        <v>50</v>
      </c>
      <c r="S1572" t="s">
        <v>28</v>
      </c>
      <c r="T1572" t="s">
        <v>6102</v>
      </c>
      <c r="U1572" t="s">
        <v>6101</v>
      </c>
    </row>
    <row r="1573" spans="1:21" x14ac:dyDescent="0.25">
      <c r="A1573" t="s">
        <v>456</v>
      </c>
      <c r="B1573" t="s">
        <v>1178</v>
      </c>
      <c r="C1573">
        <v>119.84</v>
      </c>
      <c r="D1573">
        <v>1</v>
      </c>
      <c r="E1573">
        <v>0</v>
      </c>
      <c r="F1573" t="s">
        <v>6103</v>
      </c>
      <c r="G1573">
        <v>124.84</v>
      </c>
      <c r="H1573">
        <v>5</v>
      </c>
      <c r="I1573" t="s">
        <v>628</v>
      </c>
      <c r="J1573" t="s">
        <v>6104</v>
      </c>
      <c r="K1573" t="s">
        <v>6105</v>
      </c>
      <c r="L1573" t="s">
        <v>190</v>
      </c>
      <c r="M1573" t="s">
        <v>6106</v>
      </c>
      <c r="N1573" t="s">
        <v>6107</v>
      </c>
      <c r="O1573" t="s">
        <v>27</v>
      </c>
      <c r="P1573" t="s">
        <v>48</v>
      </c>
      <c r="Q1573" t="s">
        <v>49</v>
      </c>
      <c r="R1573" t="s">
        <v>50</v>
      </c>
      <c r="S1573" t="s">
        <v>28</v>
      </c>
      <c r="T1573" t="s">
        <v>6108</v>
      </c>
      <c r="U1573" t="s">
        <v>6107</v>
      </c>
    </row>
    <row r="1574" spans="1:21" x14ac:dyDescent="0.25">
      <c r="A1574" t="s">
        <v>195</v>
      </c>
      <c r="B1574" t="s">
        <v>1003</v>
      </c>
      <c r="C1574">
        <v>119.59</v>
      </c>
      <c r="D1574">
        <v>1</v>
      </c>
      <c r="E1574">
        <v>0</v>
      </c>
      <c r="F1574" t="s">
        <v>6109</v>
      </c>
      <c r="G1574">
        <v>124.59</v>
      </c>
      <c r="H1574">
        <v>5</v>
      </c>
      <c r="I1574" t="s">
        <v>628</v>
      </c>
      <c r="J1574" t="s">
        <v>6110</v>
      </c>
      <c r="K1574" t="s">
        <v>6111</v>
      </c>
      <c r="L1574" t="s">
        <v>258</v>
      </c>
      <c r="M1574" t="s">
        <v>6112</v>
      </c>
      <c r="N1574" t="s">
        <v>6113</v>
      </c>
      <c r="O1574" t="s">
        <v>27</v>
      </c>
      <c r="P1574" t="s">
        <v>48</v>
      </c>
      <c r="Q1574" t="s">
        <v>49</v>
      </c>
      <c r="R1574" t="s">
        <v>50</v>
      </c>
      <c r="S1574" t="s">
        <v>28</v>
      </c>
      <c r="T1574" t="s">
        <v>6114</v>
      </c>
      <c r="U1574" t="s">
        <v>6107</v>
      </c>
    </row>
    <row r="1575" spans="1:21" x14ac:dyDescent="0.25">
      <c r="A1575" t="s">
        <v>21</v>
      </c>
      <c r="B1575" t="s">
        <v>22</v>
      </c>
      <c r="C1575">
        <v>100</v>
      </c>
      <c r="D1575">
        <v>1</v>
      </c>
      <c r="E1575">
        <v>0</v>
      </c>
      <c r="F1575" t="s">
        <v>6115</v>
      </c>
      <c r="G1575">
        <v>100</v>
      </c>
      <c r="H1575">
        <v>0</v>
      </c>
      <c r="I1575" t="s">
        <v>24</v>
      </c>
      <c r="J1575" t="s">
        <v>6116</v>
      </c>
      <c r="K1575" t="s">
        <v>183</v>
      </c>
      <c r="L1575" t="s">
        <v>27</v>
      </c>
      <c r="M1575" t="s">
        <v>28</v>
      </c>
      <c r="N1575" t="s">
        <v>6117</v>
      </c>
      <c r="O1575" t="s">
        <v>27</v>
      </c>
      <c r="P1575" t="s">
        <v>39</v>
      </c>
      <c r="Q1575" t="s">
        <v>31</v>
      </c>
      <c r="R1575" t="s">
        <v>32</v>
      </c>
      <c r="S1575" t="s">
        <v>28</v>
      </c>
      <c r="T1575" t="s">
        <v>6118</v>
      </c>
      <c r="U1575" t="s">
        <v>6117</v>
      </c>
    </row>
    <row r="1576" spans="1:21" x14ac:dyDescent="0.25">
      <c r="A1576" t="s">
        <v>456</v>
      </c>
      <c r="B1576" t="s">
        <v>1178</v>
      </c>
      <c r="C1576">
        <v>104.86</v>
      </c>
      <c r="D1576">
        <v>1</v>
      </c>
      <c r="E1576">
        <v>0</v>
      </c>
      <c r="F1576" t="s">
        <v>6119</v>
      </c>
      <c r="G1576">
        <v>314.58</v>
      </c>
      <c r="H1576">
        <v>0</v>
      </c>
      <c r="I1576" t="s">
        <v>628</v>
      </c>
      <c r="J1576" t="s">
        <v>6120</v>
      </c>
      <c r="K1576" t="s">
        <v>6121</v>
      </c>
      <c r="L1576" t="s">
        <v>6122</v>
      </c>
      <c r="M1576" t="s">
        <v>6123</v>
      </c>
      <c r="N1576" t="s">
        <v>6124</v>
      </c>
      <c r="O1576" t="s">
        <v>27</v>
      </c>
      <c r="P1576" t="s">
        <v>48</v>
      </c>
      <c r="Q1576" t="s">
        <v>49</v>
      </c>
      <c r="R1576" t="s">
        <v>50</v>
      </c>
      <c r="S1576" t="s">
        <v>28</v>
      </c>
      <c r="T1576" t="s">
        <v>6125</v>
      </c>
      <c r="U1576" t="s">
        <v>6124</v>
      </c>
    </row>
    <row r="1577" spans="1:21" x14ac:dyDescent="0.25">
      <c r="A1577" t="s">
        <v>456</v>
      </c>
      <c r="B1577" t="s">
        <v>1178</v>
      </c>
      <c r="C1577">
        <v>104.86</v>
      </c>
      <c r="D1577">
        <v>1</v>
      </c>
      <c r="E1577">
        <v>0</v>
      </c>
      <c r="F1577" t="s">
        <v>6119</v>
      </c>
      <c r="G1577">
        <v>314.58</v>
      </c>
      <c r="H1577">
        <v>0</v>
      </c>
      <c r="I1577" t="s">
        <v>628</v>
      </c>
      <c r="J1577" t="s">
        <v>6120</v>
      </c>
      <c r="K1577" t="s">
        <v>6121</v>
      </c>
      <c r="L1577" t="s">
        <v>6122</v>
      </c>
      <c r="M1577" t="s">
        <v>6123</v>
      </c>
      <c r="N1577" t="s">
        <v>6124</v>
      </c>
      <c r="O1577" t="s">
        <v>27</v>
      </c>
      <c r="P1577" t="s">
        <v>48</v>
      </c>
      <c r="Q1577" t="s">
        <v>49</v>
      </c>
      <c r="R1577" t="s">
        <v>50</v>
      </c>
      <c r="S1577" t="s">
        <v>28</v>
      </c>
      <c r="T1577" t="s">
        <v>6125</v>
      </c>
      <c r="U1577" t="s">
        <v>6124</v>
      </c>
    </row>
    <row r="1578" spans="1:21" x14ac:dyDescent="0.25">
      <c r="A1578" t="s">
        <v>456</v>
      </c>
      <c r="B1578" t="s">
        <v>1178</v>
      </c>
      <c r="C1578">
        <v>104.86</v>
      </c>
      <c r="D1578">
        <v>1</v>
      </c>
      <c r="E1578">
        <v>0</v>
      </c>
      <c r="F1578" t="s">
        <v>6119</v>
      </c>
      <c r="G1578">
        <v>314.58</v>
      </c>
      <c r="H1578">
        <v>0</v>
      </c>
      <c r="I1578" t="s">
        <v>628</v>
      </c>
      <c r="J1578" t="s">
        <v>6120</v>
      </c>
      <c r="K1578" t="s">
        <v>6121</v>
      </c>
      <c r="L1578" t="s">
        <v>6122</v>
      </c>
      <c r="M1578" t="s">
        <v>6123</v>
      </c>
      <c r="N1578" t="s">
        <v>6124</v>
      </c>
      <c r="O1578" t="s">
        <v>27</v>
      </c>
      <c r="P1578" t="s">
        <v>48</v>
      </c>
      <c r="Q1578" t="s">
        <v>49</v>
      </c>
      <c r="R1578" t="s">
        <v>50</v>
      </c>
      <c r="S1578" t="s">
        <v>28</v>
      </c>
      <c r="T1578" t="s">
        <v>6125</v>
      </c>
      <c r="U1578" t="s">
        <v>6124</v>
      </c>
    </row>
    <row r="1579" spans="1:21" x14ac:dyDescent="0.25">
      <c r="A1579" t="s">
        <v>21</v>
      </c>
      <c r="B1579" t="s">
        <v>22</v>
      </c>
      <c r="C1579">
        <v>100</v>
      </c>
      <c r="D1579">
        <v>3</v>
      </c>
      <c r="E1579">
        <v>0</v>
      </c>
      <c r="F1579" t="s">
        <v>6126</v>
      </c>
      <c r="G1579">
        <v>300</v>
      </c>
      <c r="H1579">
        <v>0</v>
      </c>
      <c r="I1579" t="s">
        <v>140</v>
      </c>
      <c r="J1579" t="s">
        <v>1894</v>
      </c>
      <c r="K1579" t="s">
        <v>1878</v>
      </c>
      <c r="L1579" t="s">
        <v>27</v>
      </c>
      <c r="M1579" t="s">
        <v>28</v>
      </c>
      <c r="N1579" t="s">
        <v>6127</v>
      </c>
      <c r="O1579" t="s">
        <v>27</v>
      </c>
      <c r="P1579" t="s">
        <v>30</v>
      </c>
      <c r="Q1579" t="s">
        <v>31</v>
      </c>
      <c r="R1579" t="s">
        <v>32</v>
      </c>
      <c r="S1579" t="s">
        <v>28</v>
      </c>
      <c r="T1579" t="s">
        <v>6128</v>
      </c>
      <c r="U1579" t="s">
        <v>6127</v>
      </c>
    </row>
    <row r="1580" spans="1:21" x14ac:dyDescent="0.25">
      <c r="A1580" t="s">
        <v>21</v>
      </c>
      <c r="B1580" t="s">
        <v>22</v>
      </c>
      <c r="C1580">
        <v>100</v>
      </c>
      <c r="D1580">
        <v>1</v>
      </c>
      <c r="E1580">
        <v>0</v>
      </c>
      <c r="F1580" t="s">
        <v>6129</v>
      </c>
      <c r="G1580">
        <v>106</v>
      </c>
      <c r="H1580">
        <v>6</v>
      </c>
      <c r="I1580" t="s">
        <v>24</v>
      </c>
      <c r="J1580" t="s">
        <v>6130</v>
      </c>
      <c r="K1580" t="s">
        <v>611</v>
      </c>
      <c r="L1580" t="s">
        <v>27</v>
      </c>
      <c r="M1580" t="s">
        <v>28</v>
      </c>
      <c r="N1580" t="s">
        <v>6131</v>
      </c>
      <c r="O1580" t="s">
        <v>27</v>
      </c>
      <c r="P1580" t="s">
        <v>39</v>
      </c>
      <c r="Q1580" t="s">
        <v>31</v>
      </c>
      <c r="R1580" t="s">
        <v>32</v>
      </c>
      <c r="S1580" t="s">
        <v>28</v>
      </c>
      <c r="T1580" t="s">
        <v>6132</v>
      </c>
      <c r="U1580" t="s">
        <v>6131</v>
      </c>
    </row>
    <row r="1581" spans="1:21" x14ac:dyDescent="0.25">
      <c r="A1581" t="s">
        <v>456</v>
      </c>
      <c r="B1581" t="s">
        <v>1178</v>
      </c>
      <c r="C1581">
        <v>81.06</v>
      </c>
      <c r="D1581">
        <v>1</v>
      </c>
      <c r="E1581">
        <v>0</v>
      </c>
      <c r="F1581" t="s">
        <v>6133</v>
      </c>
      <c r="G1581">
        <v>81.06</v>
      </c>
      <c r="H1581">
        <v>0</v>
      </c>
      <c r="I1581" t="s">
        <v>628</v>
      </c>
      <c r="J1581" t="s">
        <v>6134</v>
      </c>
      <c r="K1581" t="s">
        <v>6135</v>
      </c>
      <c r="L1581" t="s">
        <v>5278</v>
      </c>
      <c r="M1581" t="s">
        <v>5279</v>
      </c>
      <c r="N1581" t="s">
        <v>6136</v>
      </c>
      <c r="O1581" t="s">
        <v>27</v>
      </c>
      <c r="P1581" t="s">
        <v>48</v>
      </c>
      <c r="Q1581" t="s">
        <v>49</v>
      </c>
      <c r="R1581" t="s">
        <v>50</v>
      </c>
      <c r="S1581" t="s">
        <v>28</v>
      </c>
      <c r="T1581" t="s">
        <v>6137</v>
      </c>
      <c r="U1581" t="s">
        <v>6138</v>
      </c>
    </row>
    <row r="1582" spans="1:21" x14ac:dyDescent="0.25">
      <c r="A1582" t="s">
        <v>195</v>
      </c>
      <c r="B1582" t="s">
        <v>1003</v>
      </c>
      <c r="C1582">
        <v>84.84</v>
      </c>
      <c r="D1582">
        <v>1</v>
      </c>
      <c r="E1582">
        <v>0</v>
      </c>
      <c r="F1582" t="s">
        <v>6139</v>
      </c>
      <c r="G1582">
        <v>84.84</v>
      </c>
      <c r="H1582">
        <v>0</v>
      </c>
      <c r="I1582" t="s">
        <v>628</v>
      </c>
      <c r="J1582" t="s">
        <v>6134</v>
      </c>
      <c r="K1582" t="s">
        <v>6135</v>
      </c>
      <c r="L1582" t="s">
        <v>5278</v>
      </c>
      <c r="M1582" t="s">
        <v>5279</v>
      </c>
      <c r="N1582" t="s">
        <v>6140</v>
      </c>
      <c r="O1582" t="s">
        <v>27</v>
      </c>
      <c r="P1582" t="s">
        <v>48</v>
      </c>
      <c r="Q1582" t="s">
        <v>49</v>
      </c>
      <c r="R1582" t="s">
        <v>50</v>
      </c>
      <c r="S1582" t="s">
        <v>28</v>
      </c>
      <c r="T1582" t="s">
        <v>6141</v>
      </c>
      <c r="U1582" t="s">
        <v>6140</v>
      </c>
    </row>
    <row r="1583" spans="1:21" x14ac:dyDescent="0.25">
      <c r="A1583" t="s">
        <v>635</v>
      </c>
      <c r="B1583" t="s">
        <v>714</v>
      </c>
      <c r="C1583">
        <v>447.27</v>
      </c>
      <c r="D1583">
        <v>1</v>
      </c>
      <c r="E1583">
        <v>0</v>
      </c>
      <c r="F1583" t="s">
        <v>6142</v>
      </c>
      <c r="G1583">
        <v>471.27</v>
      </c>
      <c r="H1583">
        <v>24</v>
      </c>
      <c r="I1583" t="s">
        <v>628</v>
      </c>
      <c r="J1583" t="s">
        <v>6143</v>
      </c>
      <c r="K1583" t="s">
        <v>6144</v>
      </c>
      <c r="L1583" t="s">
        <v>290</v>
      </c>
      <c r="M1583" t="s">
        <v>6145</v>
      </c>
      <c r="N1583" t="s">
        <v>6146</v>
      </c>
      <c r="O1583" t="s">
        <v>27</v>
      </c>
      <c r="P1583" t="s">
        <v>48</v>
      </c>
      <c r="Q1583" t="s">
        <v>49</v>
      </c>
      <c r="R1583" t="s">
        <v>50</v>
      </c>
      <c r="S1583" t="s">
        <v>28</v>
      </c>
      <c r="T1583" t="s">
        <v>6147</v>
      </c>
      <c r="U1583" t="s">
        <v>6146</v>
      </c>
    </row>
    <row r="1584" spans="1:21" x14ac:dyDescent="0.25">
      <c r="A1584" t="s">
        <v>63</v>
      </c>
      <c r="B1584" t="s">
        <v>64</v>
      </c>
      <c r="C1584">
        <v>100</v>
      </c>
      <c r="D1584">
        <v>1</v>
      </c>
      <c r="E1584">
        <v>0</v>
      </c>
      <c r="F1584" t="s">
        <v>6148</v>
      </c>
      <c r="G1584">
        <v>106</v>
      </c>
      <c r="H1584">
        <v>6</v>
      </c>
      <c r="I1584" t="s">
        <v>24</v>
      </c>
      <c r="J1584" t="s">
        <v>6149</v>
      </c>
      <c r="K1584" t="s">
        <v>1029</v>
      </c>
      <c r="L1584" t="s">
        <v>27</v>
      </c>
      <c r="M1584" t="s">
        <v>28</v>
      </c>
      <c r="N1584" t="s">
        <v>6150</v>
      </c>
      <c r="O1584" t="s">
        <v>27</v>
      </c>
      <c r="P1584" t="s">
        <v>39</v>
      </c>
      <c r="Q1584" t="s">
        <v>31</v>
      </c>
      <c r="R1584" t="s">
        <v>32</v>
      </c>
      <c r="S1584" t="s">
        <v>28</v>
      </c>
      <c r="T1584" t="s">
        <v>6151</v>
      </c>
      <c r="U1584" t="s">
        <v>6150</v>
      </c>
    </row>
    <row r="1585" spans="1:21" x14ac:dyDescent="0.25">
      <c r="A1585" t="s">
        <v>456</v>
      </c>
      <c r="B1585" t="s">
        <v>1178</v>
      </c>
      <c r="C1585">
        <v>142.31</v>
      </c>
      <c r="D1585">
        <v>1</v>
      </c>
      <c r="E1585">
        <v>0</v>
      </c>
      <c r="F1585" t="s">
        <v>6152</v>
      </c>
      <c r="G1585">
        <v>147.31</v>
      </c>
      <c r="H1585">
        <v>5</v>
      </c>
      <c r="I1585" t="s">
        <v>628</v>
      </c>
      <c r="J1585" t="s">
        <v>6153</v>
      </c>
      <c r="K1585" t="s">
        <v>6154</v>
      </c>
      <c r="L1585" t="s">
        <v>6155</v>
      </c>
      <c r="M1585" t="s">
        <v>6156</v>
      </c>
      <c r="N1585" t="s">
        <v>6157</v>
      </c>
      <c r="O1585" t="s">
        <v>27</v>
      </c>
      <c r="P1585" t="s">
        <v>48</v>
      </c>
      <c r="Q1585" t="s">
        <v>49</v>
      </c>
      <c r="R1585" t="s">
        <v>50</v>
      </c>
      <c r="S1585" t="s">
        <v>28</v>
      </c>
      <c r="T1585" t="s">
        <v>6158</v>
      </c>
      <c r="U1585" t="s">
        <v>6157</v>
      </c>
    </row>
    <row r="1586" spans="1:21" x14ac:dyDescent="0.25">
      <c r="A1586" t="s">
        <v>21</v>
      </c>
      <c r="B1586" t="s">
        <v>22</v>
      </c>
      <c r="C1586">
        <v>100</v>
      </c>
      <c r="D1586">
        <v>1</v>
      </c>
      <c r="E1586">
        <v>0</v>
      </c>
      <c r="F1586" t="s">
        <v>6159</v>
      </c>
      <c r="G1586">
        <v>106</v>
      </c>
      <c r="H1586">
        <v>6</v>
      </c>
      <c r="I1586" t="s">
        <v>24</v>
      </c>
      <c r="J1586" t="s">
        <v>6160</v>
      </c>
      <c r="K1586" t="s">
        <v>1315</v>
      </c>
      <c r="L1586" t="s">
        <v>27</v>
      </c>
      <c r="M1586" t="s">
        <v>28</v>
      </c>
      <c r="N1586" t="s">
        <v>6161</v>
      </c>
      <c r="O1586" t="s">
        <v>27</v>
      </c>
      <c r="P1586" t="s">
        <v>39</v>
      </c>
      <c r="Q1586" t="s">
        <v>31</v>
      </c>
      <c r="R1586" t="s">
        <v>32</v>
      </c>
      <c r="S1586" t="s">
        <v>28</v>
      </c>
      <c r="T1586" t="s">
        <v>6162</v>
      </c>
      <c r="U1586" t="s">
        <v>6163</v>
      </c>
    </row>
    <row r="1587" spans="1:21" x14ac:dyDescent="0.25">
      <c r="A1587" t="s">
        <v>63</v>
      </c>
      <c r="B1587" t="s">
        <v>64</v>
      </c>
      <c r="C1587">
        <v>100</v>
      </c>
      <c r="D1587">
        <v>1</v>
      </c>
      <c r="E1587">
        <v>0</v>
      </c>
      <c r="F1587" t="s">
        <v>6164</v>
      </c>
      <c r="G1587">
        <v>300</v>
      </c>
      <c r="H1587">
        <v>0</v>
      </c>
      <c r="I1587" t="s">
        <v>24</v>
      </c>
      <c r="J1587" t="s">
        <v>6165</v>
      </c>
      <c r="K1587" t="s">
        <v>1602</v>
      </c>
      <c r="L1587" t="s">
        <v>27</v>
      </c>
      <c r="M1587" t="s">
        <v>28</v>
      </c>
      <c r="N1587" t="s">
        <v>6166</v>
      </c>
      <c r="O1587" t="s">
        <v>27</v>
      </c>
      <c r="P1587" t="s">
        <v>56</v>
      </c>
      <c r="Q1587" t="s">
        <v>31</v>
      </c>
      <c r="R1587" t="s">
        <v>57</v>
      </c>
      <c r="S1587" t="s">
        <v>28</v>
      </c>
      <c r="T1587" t="s">
        <v>6167</v>
      </c>
      <c r="U1587" t="s">
        <v>6166</v>
      </c>
    </row>
    <row r="1588" spans="1:21" x14ac:dyDescent="0.25">
      <c r="A1588" t="s">
        <v>134</v>
      </c>
      <c r="B1588" t="s">
        <v>64</v>
      </c>
      <c r="C1588">
        <v>100</v>
      </c>
      <c r="D1588">
        <v>2</v>
      </c>
      <c r="E1588">
        <v>0</v>
      </c>
      <c r="F1588" t="s">
        <v>6164</v>
      </c>
      <c r="G1588">
        <v>300</v>
      </c>
      <c r="H1588">
        <v>0</v>
      </c>
      <c r="I1588" t="s">
        <v>24</v>
      </c>
      <c r="J1588" t="s">
        <v>6165</v>
      </c>
      <c r="K1588" t="s">
        <v>1602</v>
      </c>
      <c r="L1588" t="s">
        <v>27</v>
      </c>
      <c r="M1588" t="s">
        <v>28</v>
      </c>
      <c r="N1588" t="s">
        <v>6166</v>
      </c>
      <c r="O1588" t="s">
        <v>27</v>
      </c>
      <c r="P1588" t="s">
        <v>56</v>
      </c>
      <c r="Q1588" t="s">
        <v>31</v>
      </c>
      <c r="R1588" t="s">
        <v>57</v>
      </c>
      <c r="S1588" t="s">
        <v>28</v>
      </c>
      <c r="T1588" t="s">
        <v>6167</v>
      </c>
      <c r="U1588" t="s">
        <v>6166</v>
      </c>
    </row>
    <row r="1589" spans="1:21" x14ac:dyDescent="0.25">
      <c r="A1589" t="s">
        <v>21</v>
      </c>
      <c r="B1589" t="s">
        <v>22</v>
      </c>
      <c r="C1589">
        <v>100</v>
      </c>
      <c r="D1589">
        <v>1</v>
      </c>
      <c r="E1589">
        <v>0</v>
      </c>
      <c r="F1589" t="s">
        <v>6168</v>
      </c>
      <c r="G1589">
        <v>145</v>
      </c>
      <c r="H1589">
        <v>45</v>
      </c>
      <c r="I1589" t="s">
        <v>24</v>
      </c>
      <c r="J1589" t="s">
        <v>6169</v>
      </c>
      <c r="K1589" t="s">
        <v>37</v>
      </c>
      <c r="L1589" t="s">
        <v>27</v>
      </c>
      <c r="M1589" t="s">
        <v>28</v>
      </c>
      <c r="N1589" t="s">
        <v>6170</v>
      </c>
      <c r="O1589" t="s">
        <v>27</v>
      </c>
      <c r="P1589" t="s">
        <v>39</v>
      </c>
      <c r="Q1589" t="s">
        <v>31</v>
      </c>
      <c r="R1589" t="s">
        <v>32</v>
      </c>
      <c r="S1589" t="s">
        <v>28</v>
      </c>
      <c r="T1589" t="s">
        <v>6171</v>
      </c>
      <c r="U1589" t="s">
        <v>6170</v>
      </c>
    </row>
    <row r="1590" spans="1:21" x14ac:dyDescent="0.25">
      <c r="A1590" t="s">
        <v>456</v>
      </c>
      <c r="B1590" t="s">
        <v>1178</v>
      </c>
      <c r="C1590">
        <v>142.01</v>
      </c>
      <c r="D1590">
        <v>1</v>
      </c>
      <c r="E1590">
        <v>0</v>
      </c>
      <c r="F1590" t="s">
        <v>6172</v>
      </c>
      <c r="G1590">
        <v>147.01</v>
      </c>
      <c r="H1590">
        <v>5</v>
      </c>
      <c r="I1590" t="s">
        <v>628</v>
      </c>
      <c r="J1590" t="s">
        <v>3560</v>
      </c>
      <c r="K1590" t="s">
        <v>3561</v>
      </c>
      <c r="L1590" t="s">
        <v>3562</v>
      </c>
      <c r="M1590" t="s">
        <v>3563</v>
      </c>
      <c r="N1590" t="s">
        <v>6173</v>
      </c>
      <c r="O1590" t="s">
        <v>27</v>
      </c>
      <c r="P1590" t="s">
        <v>48</v>
      </c>
      <c r="Q1590" t="s">
        <v>49</v>
      </c>
      <c r="R1590" t="s">
        <v>50</v>
      </c>
      <c r="S1590" t="s">
        <v>28</v>
      </c>
      <c r="T1590" t="s">
        <v>6174</v>
      </c>
      <c r="U1590" t="s">
        <v>6173</v>
      </c>
    </row>
    <row r="1591" spans="1:21" x14ac:dyDescent="0.25">
      <c r="A1591" t="s">
        <v>21</v>
      </c>
      <c r="B1591" t="s">
        <v>1072</v>
      </c>
      <c r="C1591">
        <v>90.03</v>
      </c>
      <c r="D1591">
        <v>1</v>
      </c>
      <c r="E1591">
        <v>0</v>
      </c>
      <c r="F1591" t="s">
        <v>6175</v>
      </c>
      <c r="G1591">
        <v>90.03</v>
      </c>
      <c r="H1591">
        <v>0</v>
      </c>
      <c r="I1591" t="s">
        <v>105</v>
      </c>
      <c r="J1591" t="s">
        <v>6016</v>
      </c>
      <c r="K1591" t="s">
        <v>6017</v>
      </c>
      <c r="L1591" t="s">
        <v>1437</v>
      </c>
      <c r="M1591" t="s">
        <v>6018</v>
      </c>
      <c r="N1591" t="s">
        <v>6176</v>
      </c>
      <c r="O1591" t="s">
        <v>27</v>
      </c>
      <c r="P1591" t="s">
        <v>48</v>
      </c>
      <c r="Q1591" t="s">
        <v>49</v>
      </c>
      <c r="R1591" t="s">
        <v>50</v>
      </c>
      <c r="S1591" t="s">
        <v>28</v>
      </c>
      <c r="T1591" t="s">
        <v>6177</v>
      </c>
      <c r="U1591" t="s">
        <v>6176</v>
      </c>
    </row>
    <row r="1592" spans="1:21" x14ac:dyDescent="0.25">
      <c r="A1592" t="s">
        <v>21</v>
      </c>
      <c r="B1592" t="s">
        <v>22</v>
      </c>
      <c r="C1592">
        <v>100</v>
      </c>
      <c r="D1592">
        <v>1</v>
      </c>
      <c r="E1592">
        <v>0</v>
      </c>
      <c r="F1592" t="s">
        <v>6178</v>
      </c>
      <c r="G1592">
        <v>106</v>
      </c>
      <c r="H1592">
        <v>6</v>
      </c>
      <c r="I1592" t="s">
        <v>445</v>
      </c>
      <c r="J1592" t="s">
        <v>6179</v>
      </c>
      <c r="K1592" t="s">
        <v>358</v>
      </c>
      <c r="L1592" t="s">
        <v>27</v>
      </c>
      <c r="M1592" t="s">
        <v>28</v>
      </c>
      <c r="N1592" t="s">
        <v>6180</v>
      </c>
      <c r="O1592" t="s">
        <v>27</v>
      </c>
      <c r="P1592" t="s">
        <v>39</v>
      </c>
      <c r="Q1592" t="s">
        <v>31</v>
      </c>
      <c r="R1592" t="s">
        <v>32</v>
      </c>
      <c r="S1592" t="s">
        <v>28</v>
      </c>
      <c r="T1592" t="s">
        <v>6181</v>
      </c>
      <c r="U1592" t="s">
        <v>6180</v>
      </c>
    </row>
    <row r="1593" spans="1:21" x14ac:dyDescent="0.25">
      <c r="A1593" t="s">
        <v>134</v>
      </c>
      <c r="B1593" t="s">
        <v>64</v>
      </c>
      <c r="C1593">
        <v>100</v>
      </c>
      <c r="D1593">
        <v>1</v>
      </c>
      <c r="E1593">
        <v>0</v>
      </c>
      <c r="F1593" t="s">
        <v>6182</v>
      </c>
      <c r="G1593">
        <v>129</v>
      </c>
      <c r="H1593">
        <v>29</v>
      </c>
      <c r="I1593" t="s">
        <v>24</v>
      </c>
      <c r="J1593" t="s">
        <v>6183</v>
      </c>
      <c r="K1593" t="s">
        <v>474</v>
      </c>
      <c r="L1593" t="s">
        <v>27</v>
      </c>
      <c r="M1593" t="s">
        <v>28</v>
      </c>
      <c r="N1593" t="s">
        <v>6184</v>
      </c>
      <c r="O1593" t="s">
        <v>27</v>
      </c>
      <c r="P1593" t="s">
        <v>39</v>
      </c>
      <c r="Q1593" t="s">
        <v>31</v>
      </c>
      <c r="R1593" t="s">
        <v>32</v>
      </c>
      <c r="S1593" t="s">
        <v>28</v>
      </c>
      <c r="T1593" t="s">
        <v>6185</v>
      </c>
      <c r="U1593" t="s">
        <v>6180</v>
      </c>
    </row>
    <row r="1594" spans="1:21" x14ac:dyDescent="0.25">
      <c r="A1594" t="s">
        <v>143</v>
      </c>
      <c r="B1594" t="s">
        <v>144</v>
      </c>
      <c r="C1594">
        <v>200</v>
      </c>
      <c r="D1594">
        <v>1</v>
      </c>
      <c r="E1594">
        <v>0</v>
      </c>
      <c r="F1594" t="s">
        <v>6186</v>
      </c>
      <c r="G1594">
        <v>200</v>
      </c>
      <c r="H1594">
        <v>0</v>
      </c>
      <c r="I1594" t="s">
        <v>140</v>
      </c>
      <c r="J1594" t="s">
        <v>6187</v>
      </c>
      <c r="K1594" t="s">
        <v>89</v>
      </c>
      <c r="L1594" t="s">
        <v>27</v>
      </c>
      <c r="M1594" t="s">
        <v>28</v>
      </c>
      <c r="N1594" t="s">
        <v>6188</v>
      </c>
      <c r="O1594" t="s">
        <v>27</v>
      </c>
      <c r="P1594" t="s">
        <v>369</v>
      </c>
      <c r="Q1594" t="s">
        <v>31</v>
      </c>
      <c r="R1594" t="s">
        <v>57</v>
      </c>
      <c r="S1594" t="s">
        <v>28</v>
      </c>
      <c r="T1594" t="s">
        <v>6189</v>
      </c>
      <c r="U1594" t="s">
        <v>6190</v>
      </c>
    </row>
    <row r="1595" spans="1:21" x14ac:dyDescent="0.25">
      <c r="A1595" t="s">
        <v>63</v>
      </c>
      <c r="B1595" t="s">
        <v>64</v>
      </c>
      <c r="C1595">
        <v>100</v>
      </c>
      <c r="D1595">
        <v>1</v>
      </c>
      <c r="E1595">
        <v>0</v>
      </c>
      <c r="F1595" t="s">
        <v>6191</v>
      </c>
      <c r="G1595">
        <v>145</v>
      </c>
      <c r="H1595">
        <v>45</v>
      </c>
      <c r="I1595" t="s">
        <v>24</v>
      </c>
      <c r="J1595" t="s">
        <v>6192</v>
      </c>
      <c r="K1595" t="s">
        <v>273</v>
      </c>
      <c r="L1595" t="s">
        <v>27</v>
      </c>
      <c r="M1595" t="s">
        <v>28</v>
      </c>
      <c r="N1595" t="s">
        <v>6193</v>
      </c>
      <c r="O1595" t="s">
        <v>27</v>
      </c>
      <c r="P1595" t="s">
        <v>56</v>
      </c>
      <c r="Q1595" t="s">
        <v>31</v>
      </c>
      <c r="R1595" t="s">
        <v>57</v>
      </c>
      <c r="S1595" t="s">
        <v>28</v>
      </c>
      <c r="T1595" t="s">
        <v>6194</v>
      </c>
      <c r="U1595" t="s">
        <v>6193</v>
      </c>
    </row>
    <row r="1596" spans="1:21" x14ac:dyDescent="0.25">
      <c r="A1596" t="s">
        <v>635</v>
      </c>
      <c r="B1596" t="s">
        <v>714</v>
      </c>
      <c r="C1596">
        <v>442.86</v>
      </c>
      <c r="D1596">
        <v>1</v>
      </c>
      <c r="E1596">
        <v>0</v>
      </c>
      <c r="F1596" t="s">
        <v>6195</v>
      </c>
      <c r="G1596">
        <v>486.72</v>
      </c>
      <c r="H1596">
        <v>43.86</v>
      </c>
      <c r="I1596" t="s">
        <v>628</v>
      </c>
      <c r="J1596" t="s">
        <v>6196</v>
      </c>
      <c r="K1596" t="s">
        <v>6197</v>
      </c>
      <c r="L1596" t="s">
        <v>1146</v>
      </c>
      <c r="M1596" t="s">
        <v>6198</v>
      </c>
      <c r="N1596" t="s">
        <v>6199</v>
      </c>
      <c r="O1596" t="s">
        <v>27</v>
      </c>
      <c r="P1596" t="s">
        <v>48</v>
      </c>
      <c r="Q1596" t="s">
        <v>49</v>
      </c>
      <c r="R1596" t="s">
        <v>50</v>
      </c>
      <c r="S1596" t="s">
        <v>28</v>
      </c>
      <c r="T1596" t="s">
        <v>6200</v>
      </c>
      <c r="U1596" t="s">
        <v>6199</v>
      </c>
    </row>
    <row r="1597" spans="1:21" x14ac:dyDescent="0.25">
      <c r="A1597" t="s">
        <v>2168</v>
      </c>
      <c r="B1597" t="s">
        <v>2169</v>
      </c>
      <c r="C1597">
        <v>95.5</v>
      </c>
      <c r="D1597">
        <v>1</v>
      </c>
      <c r="E1597">
        <v>0</v>
      </c>
      <c r="F1597" t="s">
        <v>6201</v>
      </c>
      <c r="G1597">
        <v>100.5</v>
      </c>
      <c r="H1597">
        <v>5</v>
      </c>
      <c r="I1597" t="s">
        <v>24</v>
      </c>
      <c r="J1597" t="s">
        <v>6202</v>
      </c>
      <c r="K1597" t="s">
        <v>6203</v>
      </c>
      <c r="L1597" t="s">
        <v>6204</v>
      </c>
      <c r="M1597" t="s">
        <v>6205</v>
      </c>
      <c r="N1597" t="s">
        <v>6206</v>
      </c>
      <c r="O1597" t="s">
        <v>27</v>
      </c>
      <c r="P1597" t="s">
        <v>48</v>
      </c>
      <c r="Q1597" t="s">
        <v>49</v>
      </c>
      <c r="R1597" t="s">
        <v>50</v>
      </c>
      <c r="S1597" t="s">
        <v>28</v>
      </c>
      <c r="T1597" t="s">
        <v>6207</v>
      </c>
      <c r="U1597" t="s">
        <v>6206</v>
      </c>
    </row>
    <row r="1598" spans="1:21" x14ac:dyDescent="0.25">
      <c r="A1598" t="s">
        <v>143</v>
      </c>
      <c r="B1598" t="s">
        <v>144</v>
      </c>
      <c r="C1598">
        <v>200</v>
      </c>
      <c r="D1598">
        <v>2</v>
      </c>
      <c r="E1598">
        <v>0</v>
      </c>
      <c r="F1598" t="s">
        <v>6208</v>
      </c>
      <c r="G1598">
        <v>400</v>
      </c>
      <c r="H1598">
        <v>0</v>
      </c>
      <c r="I1598" t="s">
        <v>445</v>
      </c>
      <c r="J1598" t="s">
        <v>6209</v>
      </c>
      <c r="K1598" t="s">
        <v>797</v>
      </c>
      <c r="L1598" t="s">
        <v>27</v>
      </c>
      <c r="M1598" t="s">
        <v>28</v>
      </c>
      <c r="N1598" t="s">
        <v>6210</v>
      </c>
      <c r="O1598" t="s">
        <v>27</v>
      </c>
      <c r="P1598" t="s">
        <v>39</v>
      </c>
      <c r="Q1598" t="s">
        <v>31</v>
      </c>
      <c r="R1598" t="s">
        <v>32</v>
      </c>
      <c r="S1598" t="s">
        <v>28</v>
      </c>
      <c r="T1598" t="s">
        <v>6211</v>
      </c>
      <c r="U1598" t="s">
        <v>6210</v>
      </c>
    </row>
    <row r="1599" spans="1:21" x14ac:dyDescent="0.25">
      <c r="A1599" t="s">
        <v>70</v>
      </c>
      <c r="B1599" t="s">
        <v>70</v>
      </c>
      <c r="C1599">
        <v>350</v>
      </c>
      <c r="D1599">
        <v>1</v>
      </c>
      <c r="E1599">
        <v>0</v>
      </c>
      <c r="F1599" t="s">
        <v>6212</v>
      </c>
      <c r="G1599">
        <v>350</v>
      </c>
      <c r="H1599">
        <v>0</v>
      </c>
      <c r="I1599" t="s">
        <v>140</v>
      </c>
      <c r="J1599" t="s">
        <v>6213</v>
      </c>
      <c r="K1599" t="s">
        <v>672</v>
      </c>
      <c r="L1599" t="s">
        <v>27</v>
      </c>
      <c r="M1599" t="s">
        <v>28</v>
      </c>
      <c r="N1599" t="s">
        <v>6214</v>
      </c>
      <c r="O1599" t="s">
        <v>27</v>
      </c>
      <c r="P1599" t="s">
        <v>369</v>
      </c>
      <c r="Q1599" t="s">
        <v>31</v>
      </c>
      <c r="R1599" t="s">
        <v>57</v>
      </c>
      <c r="S1599" t="s">
        <v>28</v>
      </c>
      <c r="T1599" t="s">
        <v>6215</v>
      </c>
      <c r="U1599" t="s">
        <v>6216</v>
      </c>
    </row>
    <row r="1600" spans="1:21" x14ac:dyDescent="0.25">
      <c r="A1600" t="s">
        <v>134</v>
      </c>
      <c r="B1600" t="s">
        <v>64</v>
      </c>
      <c r="C1600">
        <v>100</v>
      </c>
      <c r="D1600">
        <v>2</v>
      </c>
      <c r="E1600">
        <v>0</v>
      </c>
      <c r="F1600" t="s">
        <v>6217</v>
      </c>
      <c r="G1600">
        <v>200</v>
      </c>
      <c r="H1600">
        <v>0</v>
      </c>
      <c r="I1600" t="s">
        <v>445</v>
      </c>
      <c r="J1600" t="s">
        <v>6218</v>
      </c>
      <c r="K1600" t="s">
        <v>37</v>
      </c>
      <c r="L1600" t="s">
        <v>27</v>
      </c>
      <c r="M1600" t="s">
        <v>28</v>
      </c>
      <c r="N1600" t="s">
        <v>6219</v>
      </c>
      <c r="O1600" t="s">
        <v>27</v>
      </c>
      <c r="P1600" t="s">
        <v>39</v>
      </c>
      <c r="Q1600" t="s">
        <v>31</v>
      </c>
      <c r="R1600" t="s">
        <v>32</v>
      </c>
      <c r="S1600" t="s">
        <v>28</v>
      </c>
      <c r="T1600" t="s">
        <v>6220</v>
      </c>
      <c r="U1600" t="s">
        <v>6216</v>
      </c>
    </row>
    <row r="1601" spans="1:21" x14ac:dyDescent="0.25">
      <c r="A1601" t="s">
        <v>456</v>
      </c>
      <c r="B1601" t="s">
        <v>1178</v>
      </c>
      <c r="C1601">
        <v>113.76</v>
      </c>
      <c r="D1601">
        <v>1</v>
      </c>
      <c r="E1601">
        <v>0</v>
      </c>
      <c r="F1601" t="s">
        <v>6221</v>
      </c>
      <c r="G1601">
        <v>113.76</v>
      </c>
      <c r="H1601">
        <v>0</v>
      </c>
      <c r="I1601" t="s">
        <v>628</v>
      </c>
      <c r="J1601" t="s">
        <v>6222</v>
      </c>
      <c r="K1601" t="s">
        <v>6223</v>
      </c>
      <c r="L1601" t="s">
        <v>1437</v>
      </c>
      <c r="M1601" t="s">
        <v>6224</v>
      </c>
      <c r="N1601" t="s">
        <v>6214</v>
      </c>
      <c r="O1601" t="s">
        <v>27</v>
      </c>
      <c r="P1601" t="s">
        <v>48</v>
      </c>
      <c r="Q1601" t="s">
        <v>49</v>
      </c>
      <c r="R1601" t="s">
        <v>50</v>
      </c>
      <c r="S1601" t="s">
        <v>28</v>
      </c>
      <c r="T1601" t="s">
        <v>6225</v>
      </c>
      <c r="U1601" t="s">
        <v>6214</v>
      </c>
    </row>
    <row r="1602" spans="1:21" x14ac:dyDescent="0.25">
      <c r="A1602" t="s">
        <v>195</v>
      </c>
      <c r="B1602" t="s">
        <v>1003</v>
      </c>
      <c r="C1602">
        <v>118.84</v>
      </c>
      <c r="D1602">
        <v>1</v>
      </c>
      <c r="E1602">
        <v>0</v>
      </c>
      <c r="F1602" t="s">
        <v>6226</v>
      </c>
      <c r="G1602">
        <v>123.84</v>
      </c>
      <c r="H1602">
        <v>5</v>
      </c>
      <c r="I1602" t="s">
        <v>628</v>
      </c>
      <c r="J1602" t="s">
        <v>3657</v>
      </c>
      <c r="K1602" t="s">
        <v>3658</v>
      </c>
      <c r="L1602" t="s">
        <v>3659</v>
      </c>
      <c r="M1602" t="s">
        <v>3660</v>
      </c>
      <c r="N1602" t="s">
        <v>6227</v>
      </c>
      <c r="O1602" t="s">
        <v>27</v>
      </c>
      <c r="P1602" t="s">
        <v>48</v>
      </c>
      <c r="Q1602" t="s">
        <v>49</v>
      </c>
      <c r="R1602" t="s">
        <v>50</v>
      </c>
      <c r="S1602" t="s">
        <v>28</v>
      </c>
      <c r="T1602" t="s">
        <v>6228</v>
      </c>
      <c r="U1602" t="s">
        <v>6227</v>
      </c>
    </row>
    <row r="1603" spans="1:21" x14ac:dyDescent="0.25">
      <c r="A1603" t="s">
        <v>143</v>
      </c>
      <c r="B1603" t="s">
        <v>144</v>
      </c>
      <c r="C1603">
        <v>200</v>
      </c>
      <c r="D1603">
        <v>1</v>
      </c>
      <c r="E1603">
        <v>0</v>
      </c>
      <c r="F1603" t="s">
        <v>6229</v>
      </c>
      <c r="G1603">
        <v>200</v>
      </c>
      <c r="H1603">
        <v>0</v>
      </c>
      <c r="I1603" t="s">
        <v>140</v>
      </c>
      <c r="J1603" t="s">
        <v>6230</v>
      </c>
      <c r="K1603" t="s">
        <v>753</v>
      </c>
      <c r="L1603" t="s">
        <v>27</v>
      </c>
      <c r="M1603" t="s">
        <v>28</v>
      </c>
      <c r="N1603" t="s">
        <v>6231</v>
      </c>
      <c r="O1603" t="s">
        <v>27</v>
      </c>
      <c r="P1603" t="s">
        <v>30</v>
      </c>
      <c r="Q1603" t="s">
        <v>31</v>
      </c>
      <c r="R1603" t="s">
        <v>32</v>
      </c>
      <c r="S1603" t="s">
        <v>28</v>
      </c>
      <c r="T1603" t="s">
        <v>6232</v>
      </c>
      <c r="U1603" t="s">
        <v>6233</v>
      </c>
    </row>
    <row r="1604" spans="1:21" x14ac:dyDescent="0.25">
      <c r="A1604" t="s">
        <v>134</v>
      </c>
      <c r="B1604" t="s">
        <v>64</v>
      </c>
      <c r="C1604">
        <v>100</v>
      </c>
      <c r="D1604">
        <v>1</v>
      </c>
      <c r="E1604">
        <v>0</v>
      </c>
      <c r="F1604" t="s">
        <v>6234</v>
      </c>
      <c r="G1604">
        <v>200</v>
      </c>
      <c r="H1604">
        <v>0</v>
      </c>
      <c r="I1604" t="s">
        <v>24</v>
      </c>
      <c r="J1604" t="s">
        <v>6235</v>
      </c>
      <c r="K1604" t="s">
        <v>1602</v>
      </c>
      <c r="L1604" t="s">
        <v>27</v>
      </c>
      <c r="M1604" t="s">
        <v>28</v>
      </c>
      <c r="N1604" t="s">
        <v>6236</v>
      </c>
      <c r="O1604" t="s">
        <v>27</v>
      </c>
      <c r="P1604" t="s">
        <v>56</v>
      </c>
      <c r="Q1604" t="s">
        <v>31</v>
      </c>
      <c r="R1604" t="s">
        <v>57</v>
      </c>
      <c r="S1604" t="s">
        <v>28</v>
      </c>
      <c r="T1604" t="s">
        <v>6237</v>
      </c>
      <c r="U1604" t="s">
        <v>6238</v>
      </c>
    </row>
    <row r="1605" spans="1:21" x14ac:dyDescent="0.25">
      <c r="A1605" t="s">
        <v>63</v>
      </c>
      <c r="B1605" t="s">
        <v>64</v>
      </c>
      <c r="C1605">
        <v>100</v>
      </c>
      <c r="D1605">
        <v>1</v>
      </c>
      <c r="E1605">
        <v>0</v>
      </c>
      <c r="F1605" t="s">
        <v>6234</v>
      </c>
      <c r="G1605">
        <v>200</v>
      </c>
      <c r="H1605">
        <v>0</v>
      </c>
      <c r="I1605" t="s">
        <v>24</v>
      </c>
      <c r="J1605" t="s">
        <v>6235</v>
      </c>
      <c r="K1605" t="s">
        <v>1602</v>
      </c>
      <c r="L1605" t="s">
        <v>27</v>
      </c>
      <c r="M1605" t="s">
        <v>28</v>
      </c>
      <c r="N1605" t="s">
        <v>6236</v>
      </c>
      <c r="O1605" t="s">
        <v>27</v>
      </c>
      <c r="P1605" t="s">
        <v>56</v>
      </c>
      <c r="Q1605" t="s">
        <v>31</v>
      </c>
      <c r="R1605" t="s">
        <v>57</v>
      </c>
      <c r="S1605" t="s">
        <v>28</v>
      </c>
      <c r="T1605" t="s">
        <v>6237</v>
      </c>
      <c r="U1605" t="s">
        <v>6238</v>
      </c>
    </row>
    <row r="1606" spans="1:21" x14ac:dyDescent="0.25">
      <c r="A1606" t="s">
        <v>143</v>
      </c>
      <c r="B1606" t="s">
        <v>144</v>
      </c>
      <c r="C1606">
        <v>200</v>
      </c>
      <c r="D1606">
        <v>1</v>
      </c>
      <c r="E1606">
        <v>0</v>
      </c>
      <c r="F1606" t="s">
        <v>6239</v>
      </c>
      <c r="G1606">
        <v>200</v>
      </c>
      <c r="H1606">
        <v>0</v>
      </c>
      <c r="I1606" t="s">
        <v>140</v>
      </c>
      <c r="J1606" t="s">
        <v>6240</v>
      </c>
      <c r="K1606" t="s">
        <v>753</v>
      </c>
      <c r="L1606" t="s">
        <v>27</v>
      </c>
      <c r="M1606" t="s">
        <v>28</v>
      </c>
      <c r="N1606" t="s">
        <v>6241</v>
      </c>
      <c r="O1606" t="s">
        <v>27</v>
      </c>
      <c r="P1606" t="s">
        <v>30</v>
      </c>
      <c r="Q1606" t="s">
        <v>31</v>
      </c>
      <c r="R1606" t="s">
        <v>32</v>
      </c>
      <c r="S1606" t="s">
        <v>28</v>
      </c>
      <c r="T1606" t="s">
        <v>6242</v>
      </c>
      <c r="U1606" t="s">
        <v>6231</v>
      </c>
    </row>
    <row r="1607" spans="1:21" x14ac:dyDescent="0.25">
      <c r="A1607" t="s">
        <v>94</v>
      </c>
      <c r="B1607" t="s">
        <v>95</v>
      </c>
      <c r="C1607">
        <v>66.400000000000006</v>
      </c>
      <c r="D1607">
        <v>1</v>
      </c>
      <c r="E1607">
        <v>0</v>
      </c>
      <c r="F1607" t="s">
        <v>6243</v>
      </c>
      <c r="G1607">
        <v>71.400000000000006</v>
      </c>
      <c r="H1607">
        <v>5</v>
      </c>
      <c r="I1607" t="s">
        <v>24</v>
      </c>
      <c r="J1607" t="s">
        <v>6244</v>
      </c>
      <c r="K1607" t="s">
        <v>6245</v>
      </c>
      <c r="L1607" t="s">
        <v>6246</v>
      </c>
      <c r="M1607" t="s">
        <v>6247</v>
      </c>
      <c r="N1607" t="s">
        <v>6236</v>
      </c>
      <c r="O1607" t="s">
        <v>27</v>
      </c>
      <c r="P1607" t="s">
        <v>48</v>
      </c>
      <c r="Q1607" t="s">
        <v>49</v>
      </c>
      <c r="R1607" t="s">
        <v>50</v>
      </c>
      <c r="S1607" t="s">
        <v>28</v>
      </c>
      <c r="T1607" t="s">
        <v>6248</v>
      </c>
      <c r="U1607" t="s">
        <v>6236</v>
      </c>
    </row>
    <row r="1608" spans="1:21" x14ac:dyDescent="0.25">
      <c r="A1608" t="s">
        <v>63</v>
      </c>
      <c r="B1608" t="s">
        <v>64</v>
      </c>
      <c r="C1608">
        <v>100</v>
      </c>
      <c r="D1608">
        <v>1</v>
      </c>
      <c r="E1608">
        <v>0</v>
      </c>
      <c r="F1608" t="s">
        <v>6249</v>
      </c>
      <c r="G1608">
        <v>100</v>
      </c>
      <c r="H1608">
        <v>0</v>
      </c>
      <c r="I1608" t="s">
        <v>24</v>
      </c>
      <c r="J1608" t="s">
        <v>6250</v>
      </c>
      <c r="K1608" t="s">
        <v>384</v>
      </c>
      <c r="L1608" t="s">
        <v>27</v>
      </c>
      <c r="M1608" t="s">
        <v>28</v>
      </c>
      <c r="N1608" t="s">
        <v>6241</v>
      </c>
      <c r="O1608" t="s">
        <v>27</v>
      </c>
      <c r="P1608" t="s">
        <v>39</v>
      </c>
      <c r="Q1608" t="s">
        <v>31</v>
      </c>
      <c r="R1608" t="s">
        <v>32</v>
      </c>
      <c r="S1608" t="s">
        <v>28</v>
      </c>
      <c r="T1608" t="s">
        <v>6251</v>
      </c>
      <c r="U1608" t="s">
        <v>6252</v>
      </c>
    </row>
    <row r="1609" spans="1:21" x14ac:dyDescent="0.25">
      <c r="A1609" t="s">
        <v>143</v>
      </c>
      <c r="B1609" t="s">
        <v>144</v>
      </c>
      <c r="C1609">
        <v>200</v>
      </c>
      <c r="D1609">
        <v>1</v>
      </c>
      <c r="E1609">
        <v>0</v>
      </c>
      <c r="F1609" t="s">
        <v>6253</v>
      </c>
      <c r="G1609">
        <v>200</v>
      </c>
      <c r="H1609">
        <v>0</v>
      </c>
      <c r="I1609" t="s">
        <v>140</v>
      </c>
      <c r="J1609" t="s">
        <v>1089</v>
      </c>
      <c r="K1609" t="s">
        <v>6254</v>
      </c>
      <c r="L1609" t="s">
        <v>27</v>
      </c>
      <c r="M1609" t="s">
        <v>28</v>
      </c>
      <c r="N1609" t="s">
        <v>6255</v>
      </c>
      <c r="O1609" t="s">
        <v>27</v>
      </c>
      <c r="P1609" t="s">
        <v>30</v>
      </c>
      <c r="Q1609" t="s">
        <v>31</v>
      </c>
      <c r="R1609" t="s">
        <v>32</v>
      </c>
      <c r="S1609" t="s">
        <v>28</v>
      </c>
      <c r="T1609" t="s">
        <v>6256</v>
      </c>
      <c r="U1609" t="s">
        <v>6257</v>
      </c>
    </row>
    <row r="1610" spans="1:21" x14ac:dyDescent="0.25">
      <c r="A1610" t="s">
        <v>195</v>
      </c>
      <c r="B1610" t="s">
        <v>1003</v>
      </c>
      <c r="C1610">
        <v>119.84</v>
      </c>
      <c r="D1610">
        <v>1</v>
      </c>
      <c r="E1610">
        <v>0</v>
      </c>
      <c r="F1610" t="s">
        <v>6258</v>
      </c>
      <c r="G1610">
        <v>124.84</v>
      </c>
      <c r="H1610">
        <v>5</v>
      </c>
      <c r="I1610" t="s">
        <v>628</v>
      </c>
      <c r="J1610" t="s">
        <v>6244</v>
      </c>
      <c r="K1610" t="s">
        <v>6245</v>
      </c>
      <c r="L1610" t="s">
        <v>6246</v>
      </c>
      <c r="M1610" t="s">
        <v>6247</v>
      </c>
      <c r="N1610" t="s">
        <v>6259</v>
      </c>
      <c r="O1610" t="s">
        <v>27</v>
      </c>
      <c r="P1610" t="s">
        <v>48</v>
      </c>
      <c r="Q1610" t="s">
        <v>49</v>
      </c>
      <c r="R1610" t="s">
        <v>50</v>
      </c>
      <c r="S1610" t="s">
        <v>28</v>
      </c>
      <c r="T1610" t="s">
        <v>6260</v>
      </c>
      <c r="U1610" t="s">
        <v>6259</v>
      </c>
    </row>
    <row r="1611" spans="1:21" x14ac:dyDescent="0.25">
      <c r="A1611" t="s">
        <v>143</v>
      </c>
      <c r="B1611" t="s">
        <v>144</v>
      </c>
      <c r="C1611">
        <v>200</v>
      </c>
      <c r="D1611">
        <v>1</v>
      </c>
      <c r="E1611">
        <v>0</v>
      </c>
      <c r="F1611" t="s">
        <v>6261</v>
      </c>
      <c r="G1611">
        <v>200</v>
      </c>
      <c r="H1611">
        <v>0</v>
      </c>
      <c r="I1611" t="s">
        <v>140</v>
      </c>
      <c r="J1611" t="s">
        <v>6262</v>
      </c>
      <c r="K1611" t="s">
        <v>797</v>
      </c>
      <c r="L1611" t="s">
        <v>27</v>
      </c>
      <c r="M1611" t="s">
        <v>28</v>
      </c>
      <c r="N1611" t="s">
        <v>6263</v>
      </c>
      <c r="O1611" t="s">
        <v>27</v>
      </c>
      <c r="P1611" t="s">
        <v>30</v>
      </c>
      <c r="Q1611" t="s">
        <v>31</v>
      </c>
      <c r="R1611" t="s">
        <v>32</v>
      </c>
      <c r="S1611" t="s">
        <v>28</v>
      </c>
      <c r="T1611" t="s">
        <v>6264</v>
      </c>
      <c r="U1611" t="s">
        <v>6263</v>
      </c>
    </row>
    <row r="1612" spans="1:21" x14ac:dyDescent="0.25">
      <c r="A1612" t="s">
        <v>63</v>
      </c>
      <c r="B1612" t="s">
        <v>64</v>
      </c>
      <c r="C1612">
        <v>100</v>
      </c>
      <c r="D1612">
        <v>2</v>
      </c>
      <c r="E1612">
        <v>0</v>
      </c>
      <c r="F1612" t="s">
        <v>6265</v>
      </c>
      <c r="G1612">
        <v>200</v>
      </c>
      <c r="H1612">
        <v>0</v>
      </c>
      <c r="I1612" t="s">
        <v>445</v>
      </c>
      <c r="J1612" t="s">
        <v>6266</v>
      </c>
      <c r="K1612" t="s">
        <v>6267</v>
      </c>
      <c r="L1612" t="s">
        <v>27</v>
      </c>
      <c r="M1612" t="s">
        <v>28</v>
      </c>
      <c r="N1612" t="s">
        <v>6268</v>
      </c>
      <c r="O1612" t="s">
        <v>27</v>
      </c>
      <c r="P1612" t="s">
        <v>39</v>
      </c>
      <c r="Q1612" t="s">
        <v>31</v>
      </c>
      <c r="R1612" t="s">
        <v>32</v>
      </c>
      <c r="S1612" t="s">
        <v>28</v>
      </c>
      <c r="T1612" t="s">
        <v>6269</v>
      </c>
      <c r="U1612" t="s">
        <v>6268</v>
      </c>
    </row>
    <row r="1613" spans="1:21" x14ac:dyDescent="0.25">
      <c r="A1613" t="s">
        <v>143</v>
      </c>
      <c r="B1613" t="s">
        <v>144</v>
      </c>
      <c r="C1613">
        <v>200</v>
      </c>
      <c r="D1613">
        <v>1</v>
      </c>
      <c r="E1613">
        <v>0</v>
      </c>
      <c r="F1613" t="s">
        <v>6270</v>
      </c>
      <c r="G1613">
        <v>245</v>
      </c>
      <c r="H1613">
        <v>45</v>
      </c>
      <c r="I1613" t="s">
        <v>140</v>
      </c>
      <c r="J1613" t="s">
        <v>6271</v>
      </c>
      <c r="K1613" t="s">
        <v>37</v>
      </c>
      <c r="L1613" t="s">
        <v>27</v>
      </c>
      <c r="M1613" t="s">
        <v>28</v>
      </c>
      <c r="N1613" t="s">
        <v>6272</v>
      </c>
      <c r="O1613" t="s">
        <v>27</v>
      </c>
      <c r="P1613" t="s">
        <v>30</v>
      </c>
      <c r="Q1613" t="s">
        <v>31</v>
      </c>
      <c r="R1613" t="s">
        <v>32</v>
      </c>
      <c r="S1613" t="s">
        <v>28</v>
      </c>
      <c r="T1613" t="s">
        <v>6273</v>
      </c>
      <c r="U1613" t="s">
        <v>6272</v>
      </c>
    </row>
    <row r="1614" spans="1:21" x14ac:dyDescent="0.25">
      <c r="A1614" t="s">
        <v>143</v>
      </c>
      <c r="B1614" t="s">
        <v>144</v>
      </c>
      <c r="C1614">
        <v>200</v>
      </c>
      <c r="D1614">
        <v>1</v>
      </c>
      <c r="E1614">
        <v>0</v>
      </c>
      <c r="F1614" t="s">
        <v>6274</v>
      </c>
      <c r="G1614">
        <v>200</v>
      </c>
      <c r="H1614">
        <v>0</v>
      </c>
      <c r="I1614" t="s">
        <v>140</v>
      </c>
      <c r="J1614" t="s">
        <v>6275</v>
      </c>
      <c r="K1614" t="s">
        <v>919</v>
      </c>
      <c r="L1614" t="s">
        <v>27</v>
      </c>
      <c r="M1614" t="s">
        <v>28</v>
      </c>
      <c r="N1614" t="s">
        <v>6276</v>
      </c>
      <c r="O1614" t="s">
        <v>27</v>
      </c>
      <c r="P1614" t="s">
        <v>30</v>
      </c>
      <c r="Q1614" t="s">
        <v>31</v>
      </c>
      <c r="R1614" t="s">
        <v>32</v>
      </c>
      <c r="S1614" t="s">
        <v>28</v>
      </c>
      <c r="T1614" t="s">
        <v>6277</v>
      </c>
      <c r="U1614" t="s">
        <v>6278</v>
      </c>
    </row>
    <row r="1615" spans="1:21" x14ac:dyDescent="0.25">
      <c r="A1615" t="s">
        <v>143</v>
      </c>
      <c r="B1615" t="s">
        <v>144</v>
      </c>
      <c r="C1615">
        <v>200</v>
      </c>
      <c r="D1615">
        <v>1</v>
      </c>
      <c r="E1615">
        <v>0</v>
      </c>
      <c r="F1615" t="s">
        <v>6279</v>
      </c>
      <c r="G1615">
        <v>200</v>
      </c>
      <c r="H1615">
        <v>0</v>
      </c>
      <c r="I1615" t="s">
        <v>140</v>
      </c>
      <c r="J1615" t="s">
        <v>4245</v>
      </c>
      <c r="K1615" t="s">
        <v>89</v>
      </c>
      <c r="L1615" t="s">
        <v>27</v>
      </c>
      <c r="M1615" t="s">
        <v>28</v>
      </c>
      <c r="N1615" t="s">
        <v>6280</v>
      </c>
      <c r="O1615" t="s">
        <v>27</v>
      </c>
      <c r="P1615" t="s">
        <v>30</v>
      </c>
      <c r="Q1615" t="s">
        <v>31</v>
      </c>
      <c r="R1615" t="s">
        <v>32</v>
      </c>
      <c r="S1615" t="s">
        <v>28</v>
      </c>
      <c r="T1615" t="s">
        <v>6281</v>
      </c>
      <c r="U1615" t="s">
        <v>6280</v>
      </c>
    </row>
    <row r="1616" spans="1:21" x14ac:dyDescent="0.25">
      <c r="A1616" t="s">
        <v>456</v>
      </c>
      <c r="B1616" t="s">
        <v>457</v>
      </c>
      <c r="C1616">
        <v>199</v>
      </c>
      <c r="D1616">
        <v>3</v>
      </c>
      <c r="E1616">
        <v>0</v>
      </c>
      <c r="F1616" t="s">
        <v>6282</v>
      </c>
      <c r="G1616">
        <v>676</v>
      </c>
      <c r="H1616">
        <v>79</v>
      </c>
      <c r="I1616" t="s">
        <v>24</v>
      </c>
      <c r="J1616" t="s">
        <v>3357</v>
      </c>
      <c r="K1616" t="s">
        <v>3358</v>
      </c>
      <c r="L1616" t="s">
        <v>219</v>
      </c>
      <c r="M1616" t="s">
        <v>1744</v>
      </c>
      <c r="N1616" t="s">
        <v>6283</v>
      </c>
      <c r="O1616" t="s">
        <v>27</v>
      </c>
      <c r="P1616" t="s">
        <v>84</v>
      </c>
      <c r="Q1616" t="s">
        <v>85</v>
      </c>
      <c r="R1616" t="s">
        <v>86</v>
      </c>
      <c r="S1616" t="s">
        <v>28</v>
      </c>
      <c r="T1616" t="s">
        <v>6284</v>
      </c>
      <c r="U1616" t="s">
        <v>6285</v>
      </c>
    </row>
    <row r="1617" spans="1:21" x14ac:dyDescent="0.25">
      <c r="A1617" t="s">
        <v>143</v>
      </c>
      <c r="B1617" t="s">
        <v>144</v>
      </c>
      <c r="C1617">
        <v>200</v>
      </c>
      <c r="D1617">
        <v>1</v>
      </c>
      <c r="E1617">
        <v>0</v>
      </c>
      <c r="F1617" t="s">
        <v>6286</v>
      </c>
      <c r="G1617">
        <v>200</v>
      </c>
      <c r="H1617">
        <v>0</v>
      </c>
      <c r="I1617" t="s">
        <v>140</v>
      </c>
      <c r="J1617" t="s">
        <v>6287</v>
      </c>
      <c r="K1617" t="s">
        <v>834</v>
      </c>
      <c r="L1617" t="s">
        <v>27</v>
      </c>
      <c r="M1617" t="s">
        <v>28</v>
      </c>
      <c r="N1617" t="s">
        <v>6288</v>
      </c>
      <c r="O1617" t="s">
        <v>27</v>
      </c>
      <c r="P1617" t="s">
        <v>30</v>
      </c>
      <c r="Q1617" t="s">
        <v>31</v>
      </c>
      <c r="R1617" t="s">
        <v>32</v>
      </c>
      <c r="S1617" t="s">
        <v>28</v>
      </c>
      <c r="T1617" t="s">
        <v>6289</v>
      </c>
      <c r="U1617" t="s">
        <v>6288</v>
      </c>
    </row>
    <row r="1618" spans="1:21" x14ac:dyDescent="0.25">
      <c r="A1618" t="s">
        <v>70</v>
      </c>
      <c r="B1618" t="s">
        <v>70</v>
      </c>
      <c r="C1618">
        <v>350</v>
      </c>
      <c r="D1618">
        <v>1</v>
      </c>
      <c r="E1618">
        <v>0</v>
      </c>
      <c r="F1618" t="s">
        <v>6290</v>
      </c>
      <c r="G1618">
        <v>350</v>
      </c>
      <c r="H1618">
        <v>0</v>
      </c>
      <c r="I1618" t="s">
        <v>140</v>
      </c>
      <c r="J1618" t="s">
        <v>6291</v>
      </c>
      <c r="K1618" t="s">
        <v>491</v>
      </c>
      <c r="L1618" t="s">
        <v>27</v>
      </c>
      <c r="M1618" t="s">
        <v>28</v>
      </c>
      <c r="N1618" t="s">
        <v>6292</v>
      </c>
      <c r="O1618" t="s">
        <v>27</v>
      </c>
      <c r="P1618" t="s">
        <v>30</v>
      </c>
      <c r="Q1618" t="s">
        <v>31</v>
      </c>
      <c r="R1618" t="s">
        <v>32</v>
      </c>
      <c r="S1618" t="s">
        <v>28</v>
      </c>
      <c r="T1618" t="s">
        <v>6293</v>
      </c>
      <c r="U1618" t="s">
        <v>6292</v>
      </c>
    </row>
    <row r="1619" spans="1:21" x14ac:dyDescent="0.25">
      <c r="A1619" t="s">
        <v>143</v>
      </c>
      <c r="B1619" t="s">
        <v>144</v>
      </c>
      <c r="C1619">
        <v>200</v>
      </c>
      <c r="D1619">
        <v>2</v>
      </c>
      <c r="E1619">
        <v>0</v>
      </c>
      <c r="F1619" t="s">
        <v>6294</v>
      </c>
      <c r="G1619">
        <v>400</v>
      </c>
      <c r="H1619">
        <v>0</v>
      </c>
      <c r="I1619" t="s">
        <v>445</v>
      </c>
      <c r="J1619" t="s">
        <v>6295</v>
      </c>
      <c r="K1619" t="s">
        <v>384</v>
      </c>
      <c r="L1619" t="s">
        <v>27</v>
      </c>
      <c r="M1619" t="s">
        <v>28</v>
      </c>
      <c r="N1619" t="s">
        <v>6296</v>
      </c>
      <c r="O1619" t="s">
        <v>27</v>
      </c>
      <c r="P1619" t="s">
        <v>39</v>
      </c>
      <c r="Q1619" t="s">
        <v>31</v>
      </c>
      <c r="R1619" t="s">
        <v>32</v>
      </c>
      <c r="S1619" t="s">
        <v>28</v>
      </c>
      <c r="T1619" t="s">
        <v>6297</v>
      </c>
      <c r="U1619" t="s">
        <v>6296</v>
      </c>
    </row>
    <row r="1620" spans="1:21" x14ac:dyDescent="0.25">
      <c r="A1620" t="s">
        <v>143</v>
      </c>
      <c r="B1620" t="s">
        <v>144</v>
      </c>
      <c r="C1620">
        <v>200</v>
      </c>
      <c r="D1620">
        <v>1</v>
      </c>
      <c r="E1620">
        <v>0</v>
      </c>
      <c r="F1620" t="s">
        <v>6298</v>
      </c>
      <c r="G1620">
        <v>200</v>
      </c>
      <c r="H1620">
        <v>0</v>
      </c>
      <c r="I1620" t="s">
        <v>24</v>
      </c>
      <c r="J1620" t="s">
        <v>2432</v>
      </c>
      <c r="K1620" t="s">
        <v>342</v>
      </c>
      <c r="L1620" t="s">
        <v>27</v>
      </c>
      <c r="M1620" t="s">
        <v>28</v>
      </c>
      <c r="N1620" t="s">
        <v>6299</v>
      </c>
      <c r="O1620" t="s">
        <v>27</v>
      </c>
      <c r="P1620" t="s">
        <v>56</v>
      </c>
      <c r="Q1620" t="s">
        <v>31</v>
      </c>
      <c r="R1620" t="s">
        <v>57</v>
      </c>
      <c r="S1620" t="s">
        <v>28</v>
      </c>
      <c r="T1620" t="s">
        <v>6300</v>
      </c>
      <c r="U1620" t="s">
        <v>6299</v>
      </c>
    </row>
    <row r="1621" spans="1:21" x14ac:dyDescent="0.25">
      <c r="A1621" t="s">
        <v>63</v>
      </c>
      <c r="B1621" t="s">
        <v>64</v>
      </c>
      <c r="C1621">
        <v>100</v>
      </c>
      <c r="D1621">
        <v>1</v>
      </c>
      <c r="E1621">
        <v>0</v>
      </c>
      <c r="F1621" t="s">
        <v>6301</v>
      </c>
      <c r="G1621">
        <v>106</v>
      </c>
      <c r="H1621">
        <v>6</v>
      </c>
      <c r="I1621" t="s">
        <v>24</v>
      </c>
      <c r="J1621" t="s">
        <v>6302</v>
      </c>
      <c r="K1621" t="s">
        <v>67</v>
      </c>
      <c r="L1621" t="s">
        <v>27</v>
      </c>
      <c r="M1621" t="s">
        <v>28</v>
      </c>
      <c r="N1621" t="s">
        <v>6303</v>
      </c>
      <c r="O1621" t="s">
        <v>27</v>
      </c>
      <c r="P1621" t="s">
        <v>30</v>
      </c>
      <c r="Q1621" t="s">
        <v>31</v>
      </c>
      <c r="R1621" t="s">
        <v>32</v>
      </c>
      <c r="S1621" t="s">
        <v>28</v>
      </c>
      <c r="T1621" t="s">
        <v>6304</v>
      </c>
      <c r="U1621" t="s">
        <v>6303</v>
      </c>
    </row>
    <row r="1622" spans="1:21" x14ac:dyDescent="0.25">
      <c r="A1622" t="s">
        <v>195</v>
      </c>
      <c r="B1622" t="s">
        <v>1003</v>
      </c>
      <c r="C1622">
        <v>119.84</v>
      </c>
      <c r="D1622">
        <v>1</v>
      </c>
      <c r="E1622">
        <v>0</v>
      </c>
      <c r="F1622" t="s">
        <v>6305</v>
      </c>
      <c r="G1622">
        <v>124.84</v>
      </c>
      <c r="H1622">
        <v>5</v>
      </c>
      <c r="I1622" t="s">
        <v>628</v>
      </c>
      <c r="J1622" t="s">
        <v>6306</v>
      </c>
      <c r="K1622" t="s">
        <v>6307</v>
      </c>
      <c r="L1622" t="s">
        <v>6308</v>
      </c>
      <c r="M1622" t="s">
        <v>6309</v>
      </c>
      <c r="N1622" t="s">
        <v>6310</v>
      </c>
      <c r="O1622" t="s">
        <v>27</v>
      </c>
      <c r="P1622" t="s">
        <v>48</v>
      </c>
      <c r="Q1622" t="s">
        <v>49</v>
      </c>
      <c r="R1622" t="s">
        <v>50</v>
      </c>
      <c r="S1622" t="s">
        <v>28</v>
      </c>
      <c r="T1622" t="s">
        <v>6311</v>
      </c>
      <c r="U1622" t="s">
        <v>6310</v>
      </c>
    </row>
    <row r="1623" spans="1:21" x14ac:dyDescent="0.25">
      <c r="A1623" t="s">
        <v>63</v>
      </c>
      <c r="B1623" t="s">
        <v>64</v>
      </c>
      <c r="C1623">
        <v>100</v>
      </c>
      <c r="D1623">
        <v>3</v>
      </c>
      <c r="E1623">
        <v>0</v>
      </c>
      <c r="F1623" t="s">
        <v>6312</v>
      </c>
      <c r="G1623">
        <v>600</v>
      </c>
      <c r="H1623">
        <v>0</v>
      </c>
      <c r="I1623" t="s">
        <v>24</v>
      </c>
      <c r="J1623" t="s">
        <v>6313</v>
      </c>
      <c r="K1623" t="s">
        <v>1629</v>
      </c>
      <c r="L1623" t="s">
        <v>27</v>
      </c>
      <c r="M1623" t="s">
        <v>28</v>
      </c>
      <c r="N1623" t="s">
        <v>6314</v>
      </c>
      <c r="O1623" t="s">
        <v>27</v>
      </c>
      <c r="P1623" t="s">
        <v>39</v>
      </c>
      <c r="Q1623" t="s">
        <v>31</v>
      </c>
      <c r="R1623" t="s">
        <v>32</v>
      </c>
      <c r="S1623" t="s">
        <v>28</v>
      </c>
      <c r="T1623" t="s">
        <v>6315</v>
      </c>
      <c r="U1623" t="s">
        <v>6314</v>
      </c>
    </row>
    <row r="1624" spans="1:21" x14ac:dyDescent="0.25">
      <c r="A1624" t="s">
        <v>134</v>
      </c>
      <c r="B1624" t="s">
        <v>64</v>
      </c>
      <c r="C1624">
        <v>100</v>
      </c>
      <c r="D1624">
        <v>3</v>
      </c>
      <c r="E1624">
        <v>0</v>
      </c>
      <c r="F1624" t="s">
        <v>6312</v>
      </c>
      <c r="G1624">
        <v>600</v>
      </c>
      <c r="H1624">
        <v>0</v>
      </c>
      <c r="I1624" t="s">
        <v>24</v>
      </c>
      <c r="J1624" t="s">
        <v>6313</v>
      </c>
      <c r="K1624" t="s">
        <v>1629</v>
      </c>
      <c r="L1624" t="s">
        <v>27</v>
      </c>
      <c r="M1624" t="s">
        <v>28</v>
      </c>
      <c r="N1624" t="s">
        <v>6314</v>
      </c>
      <c r="O1624" t="s">
        <v>27</v>
      </c>
      <c r="P1624" t="s">
        <v>39</v>
      </c>
      <c r="Q1624" t="s">
        <v>31</v>
      </c>
      <c r="R1624" t="s">
        <v>32</v>
      </c>
      <c r="S1624" t="s">
        <v>28</v>
      </c>
      <c r="T1624" t="s">
        <v>6315</v>
      </c>
      <c r="U1624" t="s">
        <v>6314</v>
      </c>
    </row>
    <row r="1625" spans="1:21" x14ac:dyDescent="0.25">
      <c r="A1625" t="s">
        <v>63</v>
      </c>
      <c r="B1625" t="s">
        <v>64</v>
      </c>
      <c r="C1625">
        <v>100</v>
      </c>
      <c r="D1625">
        <v>1</v>
      </c>
      <c r="E1625">
        <v>0</v>
      </c>
      <c r="F1625" t="s">
        <v>6316</v>
      </c>
      <c r="G1625">
        <v>106</v>
      </c>
      <c r="H1625">
        <v>6</v>
      </c>
      <c r="I1625" t="s">
        <v>24</v>
      </c>
      <c r="J1625" t="s">
        <v>6317</v>
      </c>
      <c r="K1625" t="s">
        <v>89</v>
      </c>
      <c r="L1625" t="s">
        <v>27</v>
      </c>
      <c r="M1625" t="s">
        <v>28</v>
      </c>
      <c r="N1625" t="s">
        <v>6318</v>
      </c>
      <c r="O1625" t="s">
        <v>27</v>
      </c>
      <c r="P1625" t="s">
        <v>39</v>
      </c>
      <c r="Q1625" t="s">
        <v>31</v>
      </c>
      <c r="R1625" t="s">
        <v>32</v>
      </c>
      <c r="S1625" t="s">
        <v>28</v>
      </c>
      <c r="T1625" t="s">
        <v>6319</v>
      </c>
      <c r="U1625" t="s">
        <v>6318</v>
      </c>
    </row>
    <row r="1626" spans="1:21" x14ac:dyDescent="0.25">
      <c r="A1626" t="s">
        <v>635</v>
      </c>
      <c r="B1626" t="s">
        <v>714</v>
      </c>
      <c r="C1626">
        <v>457.89</v>
      </c>
      <c r="D1626">
        <v>1</v>
      </c>
      <c r="E1626">
        <v>0</v>
      </c>
      <c r="F1626" t="s">
        <v>6320</v>
      </c>
      <c r="G1626">
        <v>1427.67</v>
      </c>
      <c r="H1626">
        <v>54</v>
      </c>
      <c r="I1626" t="s">
        <v>628</v>
      </c>
      <c r="J1626" t="s">
        <v>5109</v>
      </c>
      <c r="K1626" t="s">
        <v>5110</v>
      </c>
      <c r="L1626" t="s">
        <v>2285</v>
      </c>
      <c r="M1626" t="s">
        <v>5111</v>
      </c>
      <c r="N1626" t="s">
        <v>6321</v>
      </c>
      <c r="O1626" t="s">
        <v>27</v>
      </c>
      <c r="P1626" t="s">
        <v>48</v>
      </c>
      <c r="Q1626" t="s">
        <v>49</v>
      </c>
      <c r="R1626" t="s">
        <v>50</v>
      </c>
      <c r="S1626" t="s">
        <v>28</v>
      </c>
      <c r="T1626" t="s">
        <v>6322</v>
      </c>
      <c r="U1626" t="s">
        <v>6321</v>
      </c>
    </row>
    <row r="1627" spans="1:21" x14ac:dyDescent="0.25">
      <c r="A1627" t="s">
        <v>635</v>
      </c>
      <c r="B1627" t="s">
        <v>714</v>
      </c>
      <c r="C1627">
        <v>457.89</v>
      </c>
      <c r="D1627">
        <v>1</v>
      </c>
      <c r="E1627">
        <v>0</v>
      </c>
      <c r="F1627" t="s">
        <v>6320</v>
      </c>
      <c r="G1627">
        <v>1427.67</v>
      </c>
      <c r="H1627">
        <v>54</v>
      </c>
      <c r="I1627" t="s">
        <v>628</v>
      </c>
      <c r="J1627" t="s">
        <v>5109</v>
      </c>
      <c r="K1627" t="s">
        <v>5110</v>
      </c>
      <c r="L1627" t="s">
        <v>2285</v>
      </c>
      <c r="M1627" t="s">
        <v>5111</v>
      </c>
      <c r="N1627" t="s">
        <v>6321</v>
      </c>
      <c r="O1627" t="s">
        <v>27</v>
      </c>
      <c r="P1627" t="s">
        <v>48</v>
      </c>
      <c r="Q1627" t="s">
        <v>49</v>
      </c>
      <c r="R1627" t="s">
        <v>50</v>
      </c>
      <c r="S1627" t="s">
        <v>28</v>
      </c>
      <c r="T1627" t="s">
        <v>6322</v>
      </c>
      <c r="U1627" t="s">
        <v>6321</v>
      </c>
    </row>
    <row r="1628" spans="1:21" x14ac:dyDescent="0.25">
      <c r="A1628" t="s">
        <v>635</v>
      </c>
      <c r="B1628" t="s">
        <v>714</v>
      </c>
      <c r="C1628">
        <v>457.89</v>
      </c>
      <c r="D1628">
        <v>1</v>
      </c>
      <c r="E1628">
        <v>0</v>
      </c>
      <c r="F1628" t="s">
        <v>6320</v>
      </c>
      <c r="G1628">
        <v>1427.67</v>
      </c>
      <c r="H1628">
        <v>54</v>
      </c>
      <c r="I1628" t="s">
        <v>628</v>
      </c>
      <c r="J1628" t="s">
        <v>5109</v>
      </c>
      <c r="K1628" t="s">
        <v>5110</v>
      </c>
      <c r="L1628" t="s">
        <v>2285</v>
      </c>
      <c r="M1628" t="s">
        <v>5111</v>
      </c>
      <c r="N1628" t="s">
        <v>6321</v>
      </c>
      <c r="O1628" t="s">
        <v>27</v>
      </c>
      <c r="P1628" t="s">
        <v>48</v>
      </c>
      <c r="Q1628" t="s">
        <v>49</v>
      </c>
      <c r="R1628" t="s">
        <v>50</v>
      </c>
      <c r="S1628" t="s">
        <v>28</v>
      </c>
      <c r="T1628" t="s">
        <v>6322</v>
      </c>
      <c r="U1628" t="s">
        <v>6321</v>
      </c>
    </row>
    <row r="1629" spans="1:21" x14ac:dyDescent="0.25">
      <c r="A1629" t="s">
        <v>63</v>
      </c>
      <c r="B1629" t="s">
        <v>64</v>
      </c>
      <c r="C1629">
        <v>100</v>
      </c>
      <c r="D1629">
        <v>1</v>
      </c>
      <c r="E1629">
        <v>0</v>
      </c>
      <c r="F1629" t="s">
        <v>6323</v>
      </c>
      <c r="G1629">
        <v>100</v>
      </c>
      <c r="H1629">
        <v>0</v>
      </c>
      <c r="I1629" t="s">
        <v>445</v>
      </c>
      <c r="J1629" t="s">
        <v>6324</v>
      </c>
      <c r="K1629" t="s">
        <v>247</v>
      </c>
      <c r="L1629" t="s">
        <v>27</v>
      </c>
      <c r="M1629" t="s">
        <v>28</v>
      </c>
      <c r="N1629" t="s">
        <v>6321</v>
      </c>
      <c r="O1629" t="s">
        <v>27</v>
      </c>
      <c r="P1629" t="s">
        <v>39</v>
      </c>
      <c r="Q1629" t="s">
        <v>31</v>
      </c>
      <c r="R1629" t="s">
        <v>32</v>
      </c>
      <c r="S1629" t="s">
        <v>28</v>
      </c>
      <c r="T1629" t="s">
        <v>6325</v>
      </c>
      <c r="U1629" t="s">
        <v>6321</v>
      </c>
    </row>
    <row r="1630" spans="1:21" x14ac:dyDescent="0.25">
      <c r="A1630" t="s">
        <v>134</v>
      </c>
      <c r="B1630" t="s">
        <v>64</v>
      </c>
      <c r="C1630">
        <v>100</v>
      </c>
      <c r="D1630">
        <v>1</v>
      </c>
      <c r="E1630">
        <v>0</v>
      </c>
      <c r="F1630" t="s">
        <v>6326</v>
      </c>
      <c r="G1630">
        <v>100</v>
      </c>
      <c r="H1630">
        <v>0</v>
      </c>
      <c r="I1630" t="s">
        <v>445</v>
      </c>
      <c r="J1630" t="s">
        <v>6327</v>
      </c>
      <c r="K1630" t="s">
        <v>124</v>
      </c>
      <c r="L1630" t="s">
        <v>27</v>
      </c>
      <c r="M1630" t="s">
        <v>28</v>
      </c>
      <c r="N1630" t="s">
        <v>6328</v>
      </c>
      <c r="O1630" t="s">
        <v>27</v>
      </c>
      <c r="P1630" t="s">
        <v>39</v>
      </c>
      <c r="Q1630" t="s">
        <v>31</v>
      </c>
      <c r="R1630" t="s">
        <v>32</v>
      </c>
      <c r="S1630" t="s">
        <v>28</v>
      </c>
      <c r="T1630" t="s">
        <v>6329</v>
      </c>
      <c r="U1630" t="s">
        <v>6328</v>
      </c>
    </row>
    <row r="1631" spans="1:21" x14ac:dyDescent="0.25">
      <c r="A1631" t="s">
        <v>456</v>
      </c>
      <c r="B1631" t="s">
        <v>1178</v>
      </c>
      <c r="C1631">
        <v>119.84</v>
      </c>
      <c r="D1631">
        <v>1</v>
      </c>
      <c r="E1631">
        <v>0</v>
      </c>
      <c r="F1631" t="s">
        <v>6330</v>
      </c>
      <c r="G1631">
        <v>124.84</v>
      </c>
      <c r="H1631">
        <v>5</v>
      </c>
      <c r="I1631" t="s">
        <v>628</v>
      </c>
      <c r="J1631" t="s">
        <v>6331</v>
      </c>
      <c r="K1631" t="s">
        <v>6332</v>
      </c>
      <c r="L1631" t="s">
        <v>190</v>
      </c>
      <c r="M1631" t="s">
        <v>6333</v>
      </c>
      <c r="N1631" t="s">
        <v>6328</v>
      </c>
      <c r="O1631" t="s">
        <v>27</v>
      </c>
      <c r="P1631" t="s">
        <v>48</v>
      </c>
      <c r="Q1631" t="s">
        <v>49</v>
      </c>
      <c r="R1631" t="s">
        <v>50</v>
      </c>
      <c r="S1631" t="s">
        <v>28</v>
      </c>
      <c r="T1631" t="s">
        <v>6334</v>
      </c>
      <c r="U1631" t="s">
        <v>6328</v>
      </c>
    </row>
    <row r="1632" spans="1:21" x14ac:dyDescent="0.25">
      <c r="A1632" t="s">
        <v>195</v>
      </c>
      <c r="B1632" t="s">
        <v>1003</v>
      </c>
      <c r="C1632">
        <v>142.5</v>
      </c>
      <c r="D1632">
        <v>1</v>
      </c>
      <c r="E1632">
        <v>0</v>
      </c>
      <c r="F1632" t="s">
        <v>6335</v>
      </c>
      <c r="G1632">
        <v>147.5</v>
      </c>
      <c r="H1632">
        <v>5</v>
      </c>
      <c r="I1632" t="s">
        <v>628</v>
      </c>
      <c r="J1632" t="s">
        <v>6336</v>
      </c>
      <c r="K1632" t="s">
        <v>6337</v>
      </c>
      <c r="L1632" t="s">
        <v>1342</v>
      </c>
      <c r="M1632" t="s">
        <v>6338</v>
      </c>
      <c r="N1632" t="s">
        <v>6339</v>
      </c>
      <c r="O1632" t="s">
        <v>27</v>
      </c>
      <c r="P1632" t="s">
        <v>48</v>
      </c>
      <c r="Q1632" t="s">
        <v>49</v>
      </c>
      <c r="R1632" t="s">
        <v>50</v>
      </c>
      <c r="S1632" t="s">
        <v>28</v>
      </c>
      <c r="T1632" t="s">
        <v>6340</v>
      </c>
      <c r="U1632" t="s">
        <v>6339</v>
      </c>
    </row>
    <row r="1633" spans="1:21" x14ac:dyDescent="0.25">
      <c r="A1633" t="s">
        <v>456</v>
      </c>
      <c r="B1633" t="s">
        <v>1178</v>
      </c>
      <c r="C1633">
        <v>99.94</v>
      </c>
      <c r="D1633">
        <v>1</v>
      </c>
      <c r="E1633">
        <v>0</v>
      </c>
      <c r="F1633" t="s">
        <v>6341</v>
      </c>
      <c r="G1633">
        <v>99.94</v>
      </c>
      <c r="H1633">
        <v>0</v>
      </c>
      <c r="I1633" t="s">
        <v>628</v>
      </c>
      <c r="J1633" t="s">
        <v>6342</v>
      </c>
      <c r="K1633" t="s">
        <v>6343</v>
      </c>
      <c r="L1633" t="s">
        <v>6344</v>
      </c>
      <c r="M1633" t="s">
        <v>6345</v>
      </c>
      <c r="N1633" t="s">
        <v>6346</v>
      </c>
      <c r="O1633" t="s">
        <v>27</v>
      </c>
      <c r="P1633" t="s">
        <v>48</v>
      </c>
      <c r="Q1633" t="s">
        <v>49</v>
      </c>
      <c r="R1633" t="s">
        <v>50</v>
      </c>
      <c r="S1633" t="s">
        <v>28</v>
      </c>
      <c r="T1633" t="s">
        <v>6347</v>
      </c>
      <c r="U1633" t="s">
        <v>6346</v>
      </c>
    </row>
    <row r="1634" spans="1:21" x14ac:dyDescent="0.25">
      <c r="A1634" t="s">
        <v>635</v>
      </c>
      <c r="B1634" t="s">
        <v>714</v>
      </c>
      <c r="C1634">
        <v>463.48</v>
      </c>
      <c r="D1634">
        <v>1</v>
      </c>
      <c r="E1634">
        <v>0</v>
      </c>
      <c r="F1634" t="s">
        <v>6348</v>
      </c>
      <c r="G1634">
        <v>482.48</v>
      </c>
      <c r="H1634">
        <v>19</v>
      </c>
      <c r="I1634" t="s">
        <v>628</v>
      </c>
      <c r="J1634" t="s">
        <v>1151</v>
      </c>
      <c r="K1634" t="s">
        <v>1152</v>
      </c>
      <c r="L1634" t="s">
        <v>480</v>
      </c>
      <c r="M1634" t="s">
        <v>1153</v>
      </c>
      <c r="N1634" t="s">
        <v>6349</v>
      </c>
      <c r="O1634" t="s">
        <v>27</v>
      </c>
      <c r="P1634" t="s">
        <v>48</v>
      </c>
      <c r="Q1634" t="s">
        <v>49</v>
      </c>
      <c r="R1634" t="s">
        <v>50</v>
      </c>
      <c r="S1634" t="s">
        <v>28</v>
      </c>
      <c r="T1634" t="s">
        <v>6350</v>
      </c>
      <c r="U1634" t="s">
        <v>6349</v>
      </c>
    </row>
    <row r="1635" spans="1:21" x14ac:dyDescent="0.25">
      <c r="A1635" t="s">
        <v>134</v>
      </c>
      <c r="B1635" t="s">
        <v>64</v>
      </c>
      <c r="C1635">
        <v>100</v>
      </c>
      <c r="D1635">
        <v>1</v>
      </c>
      <c r="E1635">
        <v>0</v>
      </c>
      <c r="F1635" t="s">
        <v>6351</v>
      </c>
      <c r="G1635">
        <v>106</v>
      </c>
      <c r="H1635">
        <v>6</v>
      </c>
      <c r="I1635" t="s">
        <v>445</v>
      </c>
      <c r="J1635" t="s">
        <v>6352</v>
      </c>
      <c r="K1635" t="s">
        <v>61</v>
      </c>
      <c r="L1635" t="s">
        <v>27</v>
      </c>
      <c r="M1635" t="s">
        <v>28</v>
      </c>
      <c r="N1635" t="s">
        <v>6353</v>
      </c>
      <c r="O1635" t="s">
        <v>27</v>
      </c>
      <c r="P1635" t="s">
        <v>39</v>
      </c>
      <c r="Q1635" t="s">
        <v>31</v>
      </c>
      <c r="R1635" t="s">
        <v>32</v>
      </c>
      <c r="S1635" t="s">
        <v>28</v>
      </c>
      <c r="T1635" t="s">
        <v>6354</v>
      </c>
      <c r="U1635" t="s">
        <v>6355</v>
      </c>
    </row>
    <row r="1636" spans="1:21" x14ac:dyDescent="0.25">
      <c r="A1636" t="s">
        <v>143</v>
      </c>
      <c r="B1636" t="s">
        <v>144</v>
      </c>
      <c r="C1636">
        <v>200</v>
      </c>
      <c r="D1636">
        <v>1</v>
      </c>
      <c r="E1636">
        <v>0</v>
      </c>
      <c r="F1636" t="s">
        <v>6356</v>
      </c>
      <c r="G1636">
        <v>200</v>
      </c>
      <c r="H1636">
        <v>0</v>
      </c>
      <c r="I1636" t="s">
        <v>24</v>
      </c>
      <c r="J1636" t="s">
        <v>6357</v>
      </c>
      <c r="K1636" t="s">
        <v>358</v>
      </c>
      <c r="L1636" t="s">
        <v>27</v>
      </c>
      <c r="M1636" t="s">
        <v>28</v>
      </c>
      <c r="N1636" t="s">
        <v>6358</v>
      </c>
      <c r="O1636" t="s">
        <v>27</v>
      </c>
      <c r="P1636" t="s">
        <v>39</v>
      </c>
      <c r="Q1636" t="s">
        <v>31</v>
      </c>
      <c r="R1636" t="s">
        <v>32</v>
      </c>
      <c r="S1636" t="s">
        <v>28</v>
      </c>
      <c r="T1636" t="s">
        <v>6359</v>
      </c>
      <c r="U1636" t="s">
        <v>6358</v>
      </c>
    </row>
    <row r="1637" spans="1:21" x14ac:dyDescent="0.25">
      <c r="A1637" t="s">
        <v>456</v>
      </c>
      <c r="B1637" t="s">
        <v>1178</v>
      </c>
      <c r="C1637">
        <v>132.80000000000001</v>
      </c>
      <c r="D1637">
        <v>1</v>
      </c>
      <c r="E1637">
        <v>0</v>
      </c>
      <c r="F1637" t="s">
        <v>6360</v>
      </c>
      <c r="G1637">
        <v>1200.18</v>
      </c>
      <c r="H1637">
        <v>5</v>
      </c>
      <c r="I1637" t="s">
        <v>628</v>
      </c>
      <c r="J1637" t="s">
        <v>6361</v>
      </c>
      <c r="K1637" t="s">
        <v>6362</v>
      </c>
      <c r="L1637" t="s">
        <v>3493</v>
      </c>
      <c r="M1637" t="s">
        <v>6363</v>
      </c>
      <c r="N1637" t="s">
        <v>6364</v>
      </c>
      <c r="O1637" t="s">
        <v>27</v>
      </c>
      <c r="P1637" t="s">
        <v>48</v>
      </c>
      <c r="Q1637" t="s">
        <v>49</v>
      </c>
      <c r="R1637" t="s">
        <v>50</v>
      </c>
      <c r="S1637" t="s">
        <v>28</v>
      </c>
      <c r="T1637" t="s">
        <v>6365</v>
      </c>
      <c r="U1637" t="s">
        <v>6364</v>
      </c>
    </row>
    <row r="1638" spans="1:21" x14ac:dyDescent="0.25">
      <c r="A1638" t="s">
        <v>456</v>
      </c>
      <c r="B1638" t="s">
        <v>1178</v>
      </c>
      <c r="C1638">
        <v>132.79</v>
      </c>
      <c r="D1638">
        <v>1</v>
      </c>
      <c r="E1638">
        <v>0</v>
      </c>
      <c r="F1638" t="s">
        <v>6360</v>
      </c>
      <c r="G1638">
        <v>1200.18</v>
      </c>
      <c r="H1638">
        <v>5</v>
      </c>
      <c r="I1638" t="s">
        <v>628</v>
      </c>
      <c r="J1638" t="s">
        <v>6361</v>
      </c>
      <c r="K1638" t="s">
        <v>6362</v>
      </c>
      <c r="L1638" t="s">
        <v>3493</v>
      </c>
      <c r="M1638" t="s">
        <v>6363</v>
      </c>
      <c r="N1638" t="s">
        <v>6364</v>
      </c>
      <c r="O1638" t="s">
        <v>27</v>
      </c>
      <c r="P1638" t="s">
        <v>48</v>
      </c>
      <c r="Q1638" t="s">
        <v>49</v>
      </c>
      <c r="R1638" t="s">
        <v>50</v>
      </c>
      <c r="S1638" t="s">
        <v>28</v>
      </c>
      <c r="T1638" t="s">
        <v>6365</v>
      </c>
      <c r="U1638" t="s">
        <v>6364</v>
      </c>
    </row>
    <row r="1639" spans="1:21" x14ac:dyDescent="0.25">
      <c r="A1639" t="s">
        <v>456</v>
      </c>
      <c r="B1639" t="s">
        <v>1178</v>
      </c>
      <c r="C1639">
        <v>132.80000000000001</v>
      </c>
      <c r="D1639">
        <v>1</v>
      </c>
      <c r="E1639">
        <v>0</v>
      </c>
      <c r="F1639" t="s">
        <v>6360</v>
      </c>
      <c r="G1639">
        <v>1200.18</v>
      </c>
      <c r="H1639">
        <v>5</v>
      </c>
      <c r="I1639" t="s">
        <v>628</v>
      </c>
      <c r="J1639" t="s">
        <v>6361</v>
      </c>
      <c r="K1639" t="s">
        <v>6362</v>
      </c>
      <c r="L1639" t="s">
        <v>3493</v>
      </c>
      <c r="M1639" t="s">
        <v>6363</v>
      </c>
      <c r="N1639" t="s">
        <v>6364</v>
      </c>
      <c r="O1639" t="s">
        <v>27</v>
      </c>
      <c r="P1639" t="s">
        <v>48</v>
      </c>
      <c r="Q1639" t="s">
        <v>49</v>
      </c>
      <c r="R1639" t="s">
        <v>50</v>
      </c>
      <c r="S1639" t="s">
        <v>28</v>
      </c>
      <c r="T1639" t="s">
        <v>6365</v>
      </c>
      <c r="U1639" t="s">
        <v>6364</v>
      </c>
    </row>
    <row r="1640" spans="1:21" x14ac:dyDescent="0.25">
      <c r="A1640" t="s">
        <v>456</v>
      </c>
      <c r="B1640" t="s">
        <v>1178</v>
      </c>
      <c r="C1640">
        <v>132.79</v>
      </c>
      <c r="D1640">
        <v>1</v>
      </c>
      <c r="E1640">
        <v>0</v>
      </c>
      <c r="F1640" t="s">
        <v>6360</v>
      </c>
      <c r="G1640">
        <v>1200.18</v>
      </c>
      <c r="H1640">
        <v>5</v>
      </c>
      <c r="I1640" t="s">
        <v>628</v>
      </c>
      <c r="J1640" t="s">
        <v>6361</v>
      </c>
      <c r="K1640" t="s">
        <v>6362</v>
      </c>
      <c r="L1640" t="s">
        <v>3493</v>
      </c>
      <c r="M1640" t="s">
        <v>6363</v>
      </c>
      <c r="N1640" t="s">
        <v>6364</v>
      </c>
      <c r="O1640" t="s">
        <v>27</v>
      </c>
      <c r="P1640" t="s">
        <v>48</v>
      </c>
      <c r="Q1640" t="s">
        <v>49</v>
      </c>
      <c r="R1640" t="s">
        <v>50</v>
      </c>
      <c r="S1640" t="s">
        <v>28</v>
      </c>
      <c r="T1640" t="s">
        <v>6365</v>
      </c>
      <c r="U1640" t="s">
        <v>6364</v>
      </c>
    </row>
    <row r="1641" spans="1:21" x14ac:dyDescent="0.25">
      <c r="A1641" t="s">
        <v>456</v>
      </c>
      <c r="B1641" t="s">
        <v>1178</v>
      </c>
      <c r="C1641">
        <v>132.80000000000001</v>
      </c>
      <c r="D1641">
        <v>1</v>
      </c>
      <c r="E1641">
        <v>0</v>
      </c>
      <c r="F1641" t="s">
        <v>6360</v>
      </c>
      <c r="G1641">
        <v>1200.18</v>
      </c>
      <c r="H1641">
        <v>5</v>
      </c>
      <c r="I1641" t="s">
        <v>628</v>
      </c>
      <c r="J1641" t="s">
        <v>6361</v>
      </c>
      <c r="K1641" t="s">
        <v>6362</v>
      </c>
      <c r="L1641" t="s">
        <v>3493</v>
      </c>
      <c r="M1641" t="s">
        <v>6363</v>
      </c>
      <c r="N1641" t="s">
        <v>6364</v>
      </c>
      <c r="O1641" t="s">
        <v>27</v>
      </c>
      <c r="P1641" t="s">
        <v>48</v>
      </c>
      <c r="Q1641" t="s">
        <v>49</v>
      </c>
      <c r="R1641" t="s">
        <v>50</v>
      </c>
      <c r="S1641" t="s">
        <v>28</v>
      </c>
      <c r="T1641" t="s">
        <v>6365</v>
      </c>
      <c r="U1641" t="s">
        <v>6364</v>
      </c>
    </row>
    <row r="1642" spans="1:21" x14ac:dyDescent="0.25">
      <c r="A1642" t="s">
        <v>456</v>
      </c>
      <c r="B1642" t="s">
        <v>1178</v>
      </c>
      <c r="C1642">
        <v>132.80000000000001</v>
      </c>
      <c r="D1642">
        <v>1</v>
      </c>
      <c r="E1642">
        <v>0</v>
      </c>
      <c r="F1642" t="s">
        <v>6360</v>
      </c>
      <c r="G1642">
        <v>1200.18</v>
      </c>
      <c r="H1642">
        <v>5</v>
      </c>
      <c r="I1642" t="s">
        <v>628</v>
      </c>
      <c r="J1642" t="s">
        <v>6361</v>
      </c>
      <c r="K1642" t="s">
        <v>6362</v>
      </c>
      <c r="L1642" t="s">
        <v>3493</v>
      </c>
      <c r="M1642" t="s">
        <v>6363</v>
      </c>
      <c r="N1642" t="s">
        <v>6364</v>
      </c>
      <c r="O1642" t="s">
        <v>27</v>
      </c>
      <c r="P1642" t="s">
        <v>48</v>
      </c>
      <c r="Q1642" t="s">
        <v>49</v>
      </c>
      <c r="R1642" t="s">
        <v>50</v>
      </c>
      <c r="S1642" t="s">
        <v>28</v>
      </c>
      <c r="T1642" t="s">
        <v>6365</v>
      </c>
      <c r="U1642" t="s">
        <v>6364</v>
      </c>
    </row>
    <row r="1643" spans="1:21" x14ac:dyDescent="0.25">
      <c r="A1643" t="s">
        <v>456</v>
      </c>
      <c r="B1643" t="s">
        <v>1178</v>
      </c>
      <c r="C1643">
        <v>132.80000000000001</v>
      </c>
      <c r="D1643">
        <v>1</v>
      </c>
      <c r="E1643">
        <v>0</v>
      </c>
      <c r="F1643" t="s">
        <v>6360</v>
      </c>
      <c r="G1643">
        <v>1200.18</v>
      </c>
      <c r="H1643">
        <v>5</v>
      </c>
      <c r="I1643" t="s">
        <v>628</v>
      </c>
      <c r="J1643" t="s">
        <v>6361</v>
      </c>
      <c r="K1643" t="s">
        <v>6362</v>
      </c>
      <c r="L1643" t="s">
        <v>3493</v>
      </c>
      <c r="M1643" t="s">
        <v>6363</v>
      </c>
      <c r="N1643" t="s">
        <v>6364</v>
      </c>
      <c r="O1643" t="s">
        <v>27</v>
      </c>
      <c r="P1643" t="s">
        <v>48</v>
      </c>
      <c r="Q1643" t="s">
        <v>49</v>
      </c>
      <c r="R1643" t="s">
        <v>50</v>
      </c>
      <c r="S1643" t="s">
        <v>28</v>
      </c>
      <c r="T1643" t="s">
        <v>6365</v>
      </c>
      <c r="U1643" t="s">
        <v>6364</v>
      </c>
    </row>
    <row r="1644" spans="1:21" x14ac:dyDescent="0.25">
      <c r="A1644" t="s">
        <v>456</v>
      </c>
      <c r="B1644" t="s">
        <v>1178</v>
      </c>
      <c r="C1644">
        <v>132.80000000000001</v>
      </c>
      <c r="D1644">
        <v>1</v>
      </c>
      <c r="E1644">
        <v>0</v>
      </c>
      <c r="F1644" t="s">
        <v>6360</v>
      </c>
      <c r="G1644">
        <v>1200.18</v>
      </c>
      <c r="H1644">
        <v>5</v>
      </c>
      <c r="I1644" t="s">
        <v>628</v>
      </c>
      <c r="J1644" t="s">
        <v>6361</v>
      </c>
      <c r="K1644" t="s">
        <v>6362</v>
      </c>
      <c r="L1644" t="s">
        <v>3493</v>
      </c>
      <c r="M1644" t="s">
        <v>6363</v>
      </c>
      <c r="N1644" t="s">
        <v>6364</v>
      </c>
      <c r="O1644" t="s">
        <v>27</v>
      </c>
      <c r="P1644" t="s">
        <v>48</v>
      </c>
      <c r="Q1644" t="s">
        <v>49</v>
      </c>
      <c r="R1644" t="s">
        <v>50</v>
      </c>
      <c r="S1644" t="s">
        <v>28</v>
      </c>
      <c r="T1644" t="s">
        <v>6365</v>
      </c>
      <c r="U1644" t="s">
        <v>6364</v>
      </c>
    </row>
    <row r="1645" spans="1:21" x14ac:dyDescent="0.25">
      <c r="A1645" t="s">
        <v>456</v>
      </c>
      <c r="B1645" t="s">
        <v>1178</v>
      </c>
      <c r="C1645">
        <v>132.80000000000001</v>
      </c>
      <c r="D1645">
        <v>1</v>
      </c>
      <c r="E1645">
        <v>0</v>
      </c>
      <c r="F1645" t="s">
        <v>6360</v>
      </c>
      <c r="G1645">
        <v>1200.18</v>
      </c>
      <c r="H1645">
        <v>5</v>
      </c>
      <c r="I1645" t="s">
        <v>628</v>
      </c>
      <c r="J1645" t="s">
        <v>6361</v>
      </c>
      <c r="K1645" t="s">
        <v>6362</v>
      </c>
      <c r="L1645" t="s">
        <v>3493</v>
      </c>
      <c r="M1645" t="s">
        <v>6363</v>
      </c>
      <c r="N1645" t="s">
        <v>6364</v>
      </c>
      <c r="O1645" t="s">
        <v>27</v>
      </c>
      <c r="P1645" t="s">
        <v>48</v>
      </c>
      <c r="Q1645" t="s">
        <v>49</v>
      </c>
      <c r="R1645" t="s">
        <v>50</v>
      </c>
      <c r="S1645" t="s">
        <v>28</v>
      </c>
      <c r="T1645" t="s">
        <v>6365</v>
      </c>
      <c r="U1645" t="s">
        <v>6364</v>
      </c>
    </row>
    <row r="1646" spans="1:21" x14ac:dyDescent="0.25">
      <c r="A1646" t="s">
        <v>143</v>
      </c>
      <c r="B1646" t="s">
        <v>144</v>
      </c>
      <c r="C1646">
        <v>200</v>
      </c>
      <c r="D1646">
        <v>1</v>
      </c>
      <c r="E1646">
        <v>0</v>
      </c>
      <c r="F1646" t="s">
        <v>6366</v>
      </c>
      <c r="G1646">
        <v>200</v>
      </c>
      <c r="H1646">
        <v>0</v>
      </c>
      <c r="I1646" t="s">
        <v>24</v>
      </c>
      <c r="J1646" t="s">
        <v>6367</v>
      </c>
      <c r="K1646" t="s">
        <v>4310</v>
      </c>
      <c r="L1646" t="s">
        <v>27</v>
      </c>
      <c r="M1646" t="s">
        <v>28</v>
      </c>
      <c r="N1646" t="s">
        <v>6368</v>
      </c>
      <c r="O1646" t="s">
        <v>27</v>
      </c>
      <c r="P1646" t="s">
        <v>39</v>
      </c>
      <c r="Q1646" t="s">
        <v>31</v>
      </c>
      <c r="R1646" t="s">
        <v>32</v>
      </c>
      <c r="S1646" t="s">
        <v>28</v>
      </c>
      <c r="T1646" t="s">
        <v>6369</v>
      </c>
      <c r="U1646" t="s">
        <v>6368</v>
      </c>
    </row>
    <row r="1647" spans="1:21" x14ac:dyDescent="0.25">
      <c r="A1647" t="s">
        <v>143</v>
      </c>
      <c r="B1647" t="s">
        <v>144</v>
      </c>
      <c r="C1647">
        <v>200</v>
      </c>
      <c r="D1647">
        <v>1</v>
      </c>
      <c r="E1647">
        <v>0</v>
      </c>
      <c r="F1647" t="s">
        <v>6370</v>
      </c>
      <c r="G1647">
        <v>200</v>
      </c>
      <c r="H1647">
        <v>0</v>
      </c>
      <c r="I1647" t="s">
        <v>24</v>
      </c>
      <c r="J1647" t="s">
        <v>6371</v>
      </c>
      <c r="K1647" t="s">
        <v>118</v>
      </c>
      <c r="L1647" t="s">
        <v>27</v>
      </c>
      <c r="M1647" t="s">
        <v>28</v>
      </c>
      <c r="N1647" t="s">
        <v>6368</v>
      </c>
      <c r="O1647" t="s">
        <v>27</v>
      </c>
      <c r="P1647" t="s">
        <v>39</v>
      </c>
      <c r="Q1647" t="s">
        <v>31</v>
      </c>
      <c r="R1647" t="s">
        <v>32</v>
      </c>
      <c r="S1647" t="s">
        <v>28</v>
      </c>
      <c r="T1647" t="s">
        <v>6372</v>
      </c>
      <c r="U1647" t="s">
        <v>6368</v>
      </c>
    </row>
    <row r="1648" spans="1:21" x14ac:dyDescent="0.25">
      <c r="A1648" t="s">
        <v>143</v>
      </c>
      <c r="B1648" t="s">
        <v>144</v>
      </c>
      <c r="C1648">
        <v>200</v>
      </c>
      <c r="D1648">
        <v>1</v>
      </c>
      <c r="E1648">
        <v>0</v>
      </c>
      <c r="F1648" t="s">
        <v>6373</v>
      </c>
      <c r="G1648">
        <v>200</v>
      </c>
      <c r="H1648">
        <v>0</v>
      </c>
      <c r="I1648" t="s">
        <v>24</v>
      </c>
      <c r="J1648" t="s">
        <v>6374</v>
      </c>
      <c r="K1648" t="s">
        <v>677</v>
      </c>
      <c r="L1648" t="s">
        <v>27</v>
      </c>
      <c r="M1648" t="s">
        <v>28</v>
      </c>
      <c r="N1648" t="s">
        <v>6375</v>
      </c>
      <c r="O1648" t="s">
        <v>27</v>
      </c>
      <c r="P1648" t="s">
        <v>369</v>
      </c>
      <c r="Q1648" t="s">
        <v>31</v>
      </c>
      <c r="R1648" t="s">
        <v>57</v>
      </c>
      <c r="S1648" t="s">
        <v>28</v>
      </c>
      <c r="T1648" t="s">
        <v>6376</v>
      </c>
      <c r="U1648" t="s">
        <v>6377</v>
      </c>
    </row>
    <row r="1649" spans="1:21" x14ac:dyDescent="0.25">
      <c r="A1649" t="s">
        <v>456</v>
      </c>
      <c r="B1649" t="s">
        <v>1178</v>
      </c>
      <c r="C1649">
        <v>142.31</v>
      </c>
      <c r="D1649">
        <v>1</v>
      </c>
      <c r="E1649">
        <v>0</v>
      </c>
      <c r="F1649" t="s">
        <v>6378</v>
      </c>
      <c r="G1649">
        <v>147.31</v>
      </c>
      <c r="H1649">
        <v>5</v>
      </c>
      <c r="I1649" t="s">
        <v>628</v>
      </c>
      <c r="J1649" t="s">
        <v>4171</v>
      </c>
      <c r="K1649" t="s">
        <v>4172</v>
      </c>
      <c r="L1649" t="s">
        <v>4173</v>
      </c>
      <c r="M1649" t="s">
        <v>4174</v>
      </c>
      <c r="N1649" t="s">
        <v>6377</v>
      </c>
      <c r="O1649" t="s">
        <v>27</v>
      </c>
      <c r="P1649" t="s">
        <v>48</v>
      </c>
      <c r="Q1649" t="s">
        <v>49</v>
      </c>
      <c r="R1649" t="s">
        <v>50</v>
      </c>
      <c r="S1649" t="s">
        <v>28</v>
      </c>
      <c r="T1649" t="s">
        <v>6379</v>
      </c>
      <c r="U1649" t="s">
        <v>6377</v>
      </c>
    </row>
    <row r="1650" spans="1:21" x14ac:dyDescent="0.25">
      <c r="A1650" t="s">
        <v>143</v>
      </c>
      <c r="B1650" t="s">
        <v>144</v>
      </c>
      <c r="C1650">
        <v>200</v>
      </c>
      <c r="D1650">
        <v>1</v>
      </c>
      <c r="E1650">
        <v>0</v>
      </c>
      <c r="F1650" t="s">
        <v>6380</v>
      </c>
      <c r="G1650">
        <v>200</v>
      </c>
      <c r="H1650">
        <v>0</v>
      </c>
      <c r="I1650" t="s">
        <v>24</v>
      </c>
      <c r="J1650" t="s">
        <v>6381</v>
      </c>
      <c r="K1650" t="s">
        <v>1772</v>
      </c>
      <c r="L1650" t="s">
        <v>27</v>
      </c>
      <c r="M1650" t="s">
        <v>28</v>
      </c>
      <c r="N1650" t="s">
        <v>6382</v>
      </c>
      <c r="O1650" t="s">
        <v>27</v>
      </c>
      <c r="P1650" t="s">
        <v>39</v>
      </c>
      <c r="Q1650" t="s">
        <v>31</v>
      </c>
      <c r="R1650" t="s">
        <v>32</v>
      </c>
      <c r="S1650" t="s">
        <v>28</v>
      </c>
      <c r="T1650" t="s">
        <v>6383</v>
      </c>
      <c r="U1650" t="s">
        <v>6382</v>
      </c>
    </row>
    <row r="1651" spans="1:21" x14ac:dyDescent="0.25">
      <c r="A1651" t="s">
        <v>134</v>
      </c>
      <c r="B1651" t="s">
        <v>64</v>
      </c>
      <c r="C1651">
        <v>100</v>
      </c>
      <c r="D1651">
        <v>1</v>
      </c>
      <c r="E1651">
        <v>0</v>
      </c>
      <c r="F1651" t="s">
        <v>6384</v>
      </c>
      <c r="G1651">
        <v>106</v>
      </c>
      <c r="H1651">
        <v>6</v>
      </c>
      <c r="I1651" t="s">
        <v>24</v>
      </c>
      <c r="J1651" t="s">
        <v>6385</v>
      </c>
      <c r="K1651" t="s">
        <v>331</v>
      </c>
      <c r="L1651" t="s">
        <v>27</v>
      </c>
      <c r="M1651" t="s">
        <v>28</v>
      </c>
      <c r="N1651" t="s">
        <v>6375</v>
      </c>
      <c r="O1651" t="s">
        <v>27</v>
      </c>
      <c r="P1651" t="s">
        <v>56</v>
      </c>
      <c r="Q1651" t="s">
        <v>31</v>
      </c>
      <c r="R1651" t="s">
        <v>57</v>
      </c>
      <c r="S1651" t="s">
        <v>28</v>
      </c>
      <c r="T1651" t="s">
        <v>6386</v>
      </c>
      <c r="U1651" t="s">
        <v>6382</v>
      </c>
    </row>
    <row r="1652" spans="1:21" x14ac:dyDescent="0.25">
      <c r="A1652" t="s">
        <v>195</v>
      </c>
      <c r="B1652" t="s">
        <v>1003</v>
      </c>
      <c r="C1652">
        <v>147.9</v>
      </c>
      <c r="D1652">
        <v>1</v>
      </c>
      <c r="E1652">
        <v>0</v>
      </c>
      <c r="F1652" t="s">
        <v>6387</v>
      </c>
      <c r="G1652">
        <v>152.9</v>
      </c>
      <c r="H1652">
        <v>5</v>
      </c>
      <c r="I1652" t="s">
        <v>628</v>
      </c>
      <c r="J1652" t="s">
        <v>1561</v>
      </c>
      <c r="K1652" t="s">
        <v>1562</v>
      </c>
      <c r="L1652" t="s">
        <v>280</v>
      </c>
      <c r="M1652" t="s">
        <v>1563</v>
      </c>
      <c r="N1652" t="s">
        <v>6382</v>
      </c>
      <c r="O1652" t="s">
        <v>27</v>
      </c>
      <c r="P1652" t="s">
        <v>48</v>
      </c>
      <c r="Q1652" t="s">
        <v>49</v>
      </c>
      <c r="R1652" t="s">
        <v>50</v>
      </c>
      <c r="S1652" t="s">
        <v>28</v>
      </c>
      <c r="T1652" t="s">
        <v>6388</v>
      </c>
      <c r="U1652" t="s">
        <v>6382</v>
      </c>
    </row>
    <row r="1653" spans="1:21" x14ac:dyDescent="0.25">
      <c r="A1653" t="s">
        <v>63</v>
      </c>
      <c r="B1653" t="s">
        <v>64</v>
      </c>
      <c r="C1653">
        <v>100</v>
      </c>
      <c r="D1653">
        <v>2</v>
      </c>
      <c r="E1653">
        <v>0</v>
      </c>
      <c r="F1653" t="s">
        <v>6389</v>
      </c>
      <c r="G1653">
        <v>200</v>
      </c>
      <c r="H1653">
        <v>0</v>
      </c>
      <c r="I1653" t="s">
        <v>24</v>
      </c>
      <c r="J1653" t="s">
        <v>6390</v>
      </c>
      <c r="K1653" t="s">
        <v>466</v>
      </c>
      <c r="L1653" t="s">
        <v>27</v>
      </c>
      <c r="M1653" t="s">
        <v>28</v>
      </c>
      <c r="N1653" t="s">
        <v>6391</v>
      </c>
      <c r="O1653" t="s">
        <v>27</v>
      </c>
      <c r="P1653" t="s">
        <v>56</v>
      </c>
      <c r="Q1653" t="s">
        <v>31</v>
      </c>
      <c r="R1653" t="s">
        <v>57</v>
      </c>
      <c r="S1653" t="s">
        <v>28</v>
      </c>
      <c r="T1653" t="s">
        <v>6392</v>
      </c>
      <c r="U1653" t="s">
        <v>6391</v>
      </c>
    </row>
    <row r="1654" spans="1:21" x14ac:dyDescent="0.25">
      <c r="A1654" t="s">
        <v>63</v>
      </c>
      <c r="B1654" t="s">
        <v>64</v>
      </c>
      <c r="C1654">
        <v>100</v>
      </c>
      <c r="D1654">
        <v>1</v>
      </c>
      <c r="E1654">
        <v>0</v>
      </c>
      <c r="F1654" t="s">
        <v>6393</v>
      </c>
      <c r="G1654">
        <v>106</v>
      </c>
      <c r="H1654">
        <v>6</v>
      </c>
      <c r="I1654" t="s">
        <v>445</v>
      </c>
      <c r="J1654" t="s">
        <v>6394</v>
      </c>
      <c r="K1654" t="s">
        <v>1198</v>
      </c>
      <c r="L1654" t="s">
        <v>27</v>
      </c>
      <c r="M1654" t="s">
        <v>28</v>
      </c>
      <c r="N1654" t="s">
        <v>6391</v>
      </c>
      <c r="O1654" t="s">
        <v>27</v>
      </c>
      <c r="P1654" t="s">
        <v>39</v>
      </c>
      <c r="Q1654" t="s">
        <v>31</v>
      </c>
      <c r="R1654" t="s">
        <v>32</v>
      </c>
      <c r="S1654" t="s">
        <v>28</v>
      </c>
      <c r="T1654" t="s">
        <v>6395</v>
      </c>
      <c r="U1654" t="s">
        <v>6391</v>
      </c>
    </row>
    <row r="1655" spans="1:21" x14ac:dyDescent="0.25">
      <c r="A1655" t="s">
        <v>195</v>
      </c>
      <c r="B1655" t="s">
        <v>1003</v>
      </c>
      <c r="C1655">
        <v>119.84</v>
      </c>
      <c r="D1655">
        <v>1</v>
      </c>
      <c r="E1655">
        <v>0</v>
      </c>
      <c r="F1655" t="s">
        <v>6396</v>
      </c>
      <c r="G1655">
        <v>124.84</v>
      </c>
      <c r="H1655">
        <v>5</v>
      </c>
      <c r="I1655" t="s">
        <v>628</v>
      </c>
      <c r="J1655" t="s">
        <v>6397</v>
      </c>
      <c r="K1655" t="s">
        <v>6398</v>
      </c>
      <c r="L1655" t="s">
        <v>3375</v>
      </c>
      <c r="M1655" t="s">
        <v>6399</v>
      </c>
      <c r="N1655" t="s">
        <v>6400</v>
      </c>
      <c r="O1655" t="s">
        <v>27</v>
      </c>
      <c r="P1655" t="s">
        <v>48</v>
      </c>
      <c r="Q1655" t="s">
        <v>49</v>
      </c>
      <c r="R1655" t="s">
        <v>50</v>
      </c>
      <c r="S1655" t="s">
        <v>28</v>
      </c>
      <c r="T1655" t="s">
        <v>6401</v>
      </c>
      <c r="U1655" t="s">
        <v>6400</v>
      </c>
    </row>
    <row r="1656" spans="1:21" x14ac:dyDescent="0.25">
      <c r="A1656" t="s">
        <v>143</v>
      </c>
      <c r="B1656" t="s">
        <v>144</v>
      </c>
      <c r="C1656">
        <v>200</v>
      </c>
      <c r="D1656">
        <v>1</v>
      </c>
      <c r="E1656">
        <v>0</v>
      </c>
      <c r="F1656" t="s">
        <v>6402</v>
      </c>
      <c r="G1656">
        <v>200</v>
      </c>
      <c r="H1656">
        <v>0</v>
      </c>
      <c r="I1656" t="s">
        <v>24</v>
      </c>
      <c r="J1656" t="s">
        <v>6403</v>
      </c>
      <c r="K1656" t="s">
        <v>89</v>
      </c>
      <c r="L1656" t="s">
        <v>27</v>
      </c>
      <c r="M1656" t="s">
        <v>28</v>
      </c>
      <c r="N1656" t="s">
        <v>6404</v>
      </c>
      <c r="O1656" t="s">
        <v>27</v>
      </c>
      <c r="P1656" t="s">
        <v>39</v>
      </c>
      <c r="Q1656" t="s">
        <v>31</v>
      </c>
      <c r="R1656" t="s">
        <v>32</v>
      </c>
      <c r="S1656" t="s">
        <v>28</v>
      </c>
      <c r="T1656" t="s">
        <v>6405</v>
      </c>
      <c r="U1656" t="s">
        <v>6404</v>
      </c>
    </row>
    <row r="1657" spans="1:21" x14ac:dyDescent="0.25">
      <c r="A1657" t="s">
        <v>21</v>
      </c>
      <c r="B1657" t="s">
        <v>22</v>
      </c>
      <c r="C1657">
        <v>100</v>
      </c>
      <c r="D1657">
        <v>1</v>
      </c>
      <c r="E1657">
        <v>0</v>
      </c>
      <c r="F1657" t="s">
        <v>6406</v>
      </c>
      <c r="G1657">
        <v>106</v>
      </c>
      <c r="H1657">
        <v>6</v>
      </c>
      <c r="I1657" t="s">
        <v>24</v>
      </c>
      <c r="J1657" t="s">
        <v>6407</v>
      </c>
      <c r="K1657" t="s">
        <v>611</v>
      </c>
      <c r="L1657" t="s">
        <v>27</v>
      </c>
      <c r="M1657" t="s">
        <v>28</v>
      </c>
      <c r="N1657" t="s">
        <v>6408</v>
      </c>
      <c r="O1657" t="s">
        <v>27</v>
      </c>
      <c r="P1657" t="s">
        <v>39</v>
      </c>
      <c r="Q1657" t="s">
        <v>31</v>
      </c>
      <c r="R1657" t="s">
        <v>32</v>
      </c>
      <c r="S1657" t="s">
        <v>28</v>
      </c>
      <c r="T1657" t="s">
        <v>6409</v>
      </c>
      <c r="U1657" t="s">
        <v>6408</v>
      </c>
    </row>
    <row r="1658" spans="1:21" x14ac:dyDescent="0.25">
      <c r="A1658" t="s">
        <v>63</v>
      </c>
      <c r="B1658" t="s">
        <v>64</v>
      </c>
      <c r="C1658">
        <v>100</v>
      </c>
      <c r="D1658">
        <v>1</v>
      </c>
      <c r="E1658">
        <v>0</v>
      </c>
      <c r="F1658" t="s">
        <v>6410</v>
      </c>
      <c r="G1658">
        <v>100</v>
      </c>
      <c r="H1658">
        <v>0</v>
      </c>
      <c r="I1658" t="s">
        <v>445</v>
      </c>
      <c r="J1658" t="s">
        <v>6411</v>
      </c>
      <c r="K1658" t="s">
        <v>247</v>
      </c>
      <c r="L1658" t="s">
        <v>27</v>
      </c>
      <c r="M1658" t="s">
        <v>28</v>
      </c>
      <c r="N1658" t="s">
        <v>6408</v>
      </c>
      <c r="O1658" t="s">
        <v>27</v>
      </c>
      <c r="P1658" t="s">
        <v>39</v>
      </c>
      <c r="Q1658" t="s">
        <v>31</v>
      </c>
      <c r="R1658" t="s">
        <v>32</v>
      </c>
      <c r="S1658" t="s">
        <v>28</v>
      </c>
      <c r="T1658" t="s">
        <v>6412</v>
      </c>
      <c r="U1658" t="s">
        <v>6408</v>
      </c>
    </row>
    <row r="1659" spans="1:21" x14ac:dyDescent="0.25">
      <c r="A1659" t="s">
        <v>143</v>
      </c>
      <c r="B1659" t="s">
        <v>144</v>
      </c>
      <c r="C1659">
        <v>200</v>
      </c>
      <c r="D1659">
        <v>2</v>
      </c>
      <c r="E1659">
        <v>0</v>
      </c>
      <c r="F1659" t="s">
        <v>6413</v>
      </c>
      <c r="G1659">
        <v>400</v>
      </c>
      <c r="H1659">
        <v>0</v>
      </c>
      <c r="I1659" t="s">
        <v>445</v>
      </c>
      <c r="J1659" t="s">
        <v>6414</v>
      </c>
      <c r="K1659" t="s">
        <v>960</v>
      </c>
      <c r="L1659" t="s">
        <v>27</v>
      </c>
      <c r="M1659" t="s">
        <v>28</v>
      </c>
      <c r="N1659" t="s">
        <v>6408</v>
      </c>
      <c r="O1659" t="s">
        <v>27</v>
      </c>
      <c r="P1659" t="s">
        <v>56</v>
      </c>
      <c r="Q1659" t="s">
        <v>31</v>
      </c>
      <c r="R1659" t="s">
        <v>57</v>
      </c>
      <c r="S1659" t="s">
        <v>28</v>
      </c>
      <c r="T1659" t="s">
        <v>6415</v>
      </c>
      <c r="U1659" t="s">
        <v>6408</v>
      </c>
    </row>
    <row r="1660" spans="1:21" x14ac:dyDescent="0.25">
      <c r="A1660" t="s">
        <v>134</v>
      </c>
      <c r="B1660" t="s">
        <v>64</v>
      </c>
      <c r="C1660">
        <v>100</v>
      </c>
      <c r="D1660">
        <v>1</v>
      </c>
      <c r="E1660">
        <v>0</v>
      </c>
      <c r="F1660" t="s">
        <v>6416</v>
      </c>
      <c r="G1660">
        <v>129</v>
      </c>
      <c r="H1660">
        <v>29</v>
      </c>
      <c r="I1660" t="s">
        <v>445</v>
      </c>
      <c r="J1660" t="s">
        <v>6417</v>
      </c>
      <c r="K1660" t="s">
        <v>491</v>
      </c>
      <c r="L1660" t="s">
        <v>27</v>
      </c>
      <c r="M1660" t="s">
        <v>28</v>
      </c>
      <c r="N1660" t="s">
        <v>6418</v>
      </c>
      <c r="O1660" t="s">
        <v>27</v>
      </c>
      <c r="P1660" t="s">
        <v>39</v>
      </c>
      <c r="Q1660" t="s">
        <v>31</v>
      </c>
      <c r="R1660" t="s">
        <v>32</v>
      </c>
      <c r="S1660" t="s">
        <v>28</v>
      </c>
      <c r="T1660" t="s">
        <v>6419</v>
      </c>
      <c r="U1660" t="s">
        <v>6418</v>
      </c>
    </row>
    <row r="1661" spans="1:21" x14ac:dyDescent="0.25">
      <c r="A1661" t="s">
        <v>134</v>
      </c>
      <c r="B1661" t="s">
        <v>64</v>
      </c>
      <c r="C1661">
        <v>100</v>
      </c>
      <c r="D1661">
        <v>1</v>
      </c>
      <c r="E1661">
        <v>0</v>
      </c>
      <c r="F1661" t="s">
        <v>6420</v>
      </c>
      <c r="G1661">
        <v>100</v>
      </c>
      <c r="H1661">
        <v>0</v>
      </c>
      <c r="I1661" t="s">
        <v>24</v>
      </c>
      <c r="J1661" t="s">
        <v>6421</v>
      </c>
      <c r="K1661" t="s">
        <v>491</v>
      </c>
      <c r="L1661" t="s">
        <v>27</v>
      </c>
      <c r="M1661" t="s">
        <v>28</v>
      </c>
      <c r="N1661" t="s">
        <v>6422</v>
      </c>
      <c r="O1661" t="s">
        <v>27</v>
      </c>
      <c r="P1661" t="s">
        <v>56</v>
      </c>
      <c r="Q1661" t="s">
        <v>31</v>
      </c>
      <c r="R1661" t="s">
        <v>57</v>
      </c>
      <c r="S1661" t="s">
        <v>28</v>
      </c>
      <c r="T1661" t="s">
        <v>6423</v>
      </c>
      <c r="U1661" t="s">
        <v>6422</v>
      </c>
    </row>
    <row r="1662" spans="1:21" x14ac:dyDescent="0.25">
      <c r="A1662" t="s">
        <v>2990</v>
      </c>
      <c r="B1662" t="s">
        <v>2991</v>
      </c>
      <c r="C1662">
        <v>200</v>
      </c>
      <c r="D1662">
        <v>1</v>
      </c>
      <c r="E1662">
        <v>0</v>
      </c>
      <c r="F1662" t="s">
        <v>6424</v>
      </c>
      <c r="G1662">
        <v>200</v>
      </c>
      <c r="H1662">
        <v>0</v>
      </c>
      <c r="I1662" t="s">
        <v>24</v>
      </c>
      <c r="J1662" t="s">
        <v>6425</v>
      </c>
      <c r="K1662" t="s">
        <v>6426</v>
      </c>
      <c r="L1662" t="s">
        <v>27</v>
      </c>
      <c r="M1662" t="s">
        <v>28</v>
      </c>
      <c r="N1662" t="s">
        <v>6427</v>
      </c>
      <c r="O1662" t="s">
        <v>27</v>
      </c>
      <c r="P1662" t="s">
        <v>39</v>
      </c>
      <c r="Q1662" t="s">
        <v>31</v>
      </c>
      <c r="R1662" t="s">
        <v>32</v>
      </c>
      <c r="S1662" t="s">
        <v>28</v>
      </c>
      <c r="T1662" t="s">
        <v>6428</v>
      </c>
      <c r="U1662" t="s">
        <v>6427</v>
      </c>
    </row>
    <row r="1663" spans="1:21" x14ac:dyDescent="0.25">
      <c r="A1663" t="s">
        <v>635</v>
      </c>
      <c r="B1663" t="s">
        <v>714</v>
      </c>
      <c r="C1663">
        <v>447.27</v>
      </c>
      <c r="D1663">
        <v>1</v>
      </c>
      <c r="E1663">
        <v>0</v>
      </c>
      <c r="F1663" t="s">
        <v>6429</v>
      </c>
      <c r="G1663">
        <v>471.27</v>
      </c>
      <c r="H1663">
        <v>24</v>
      </c>
      <c r="I1663" t="s">
        <v>628</v>
      </c>
      <c r="J1663" t="s">
        <v>6430</v>
      </c>
      <c r="K1663" t="s">
        <v>6431</v>
      </c>
      <c r="L1663" t="s">
        <v>6432</v>
      </c>
      <c r="M1663" t="s">
        <v>6433</v>
      </c>
      <c r="N1663" t="s">
        <v>6427</v>
      </c>
      <c r="O1663" t="s">
        <v>27</v>
      </c>
      <c r="P1663" t="s">
        <v>48</v>
      </c>
      <c r="Q1663" t="s">
        <v>49</v>
      </c>
      <c r="R1663" t="s">
        <v>50</v>
      </c>
      <c r="S1663" t="s">
        <v>28</v>
      </c>
      <c r="T1663" t="s">
        <v>6434</v>
      </c>
      <c r="U1663" t="s">
        <v>6427</v>
      </c>
    </row>
    <row r="1664" spans="1:21" x14ac:dyDescent="0.25">
      <c r="A1664" t="s">
        <v>143</v>
      </c>
      <c r="B1664" t="s">
        <v>144</v>
      </c>
      <c r="C1664">
        <v>200</v>
      </c>
      <c r="D1664">
        <v>1</v>
      </c>
      <c r="E1664">
        <v>0</v>
      </c>
      <c r="F1664" t="s">
        <v>6435</v>
      </c>
      <c r="G1664">
        <v>200</v>
      </c>
      <c r="H1664">
        <v>0</v>
      </c>
      <c r="I1664" t="s">
        <v>445</v>
      </c>
      <c r="J1664" t="s">
        <v>6436</v>
      </c>
      <c r="K1664" t="s">
        <v>61</v>
      </c>
      <c r="L1664" t="s">
        <v>27</v>
      </c>
      <c r="M1664" t="s">
        <v>28</v>
      </c>
      <c r="N1664" t="s">
        <v>6437</v>
      </c>
      <c r="O1664" t="s">
        <v>27</v>
      </c>
      <c r="P1664" t="s">
        <v>56</v>
      </c>
      <c r="Q1664" t="s">
        <v>31</v>
      </c>
      <c r="R1664" t="s">
        <v>57</v>
      </c>
      <c r="S1664" t="s">
        <v>28</v>
      </c>
      <c r="T1664" t="s">
        <v>6438</v>
      </c>
      <c r="U1664" t="s">
        <v>6437</v>
      </c>
    </row>
    <row r="1665" spans="1:21" x14ac:dyDescent="0.25">
      <c r="A1665" t="s">
        <v>635</v>
      </c>
      <c r="B1665" t="s">
        <v>714</v>
      </c>
      <c r="C1665">
        <v>447.27</v>
      </c>
      <c r="D1665">
        <v>1</v>
      </c>
      <c r="E1665">
        <v>0</v>
      </c>
      <c r="F1665" t="s">
        <v>6439</v>
      </c>
      <c r="G1665">
        <v>471.27</v>
      </c>
      <c r="H1665">
        <v>24</v>
      </c>
      <c r="I1665" t="s">
        <v>628</v>
      </c>
      <c r="J1665" t="s">
        <v>6430</v>
      </c>
      <c r="K1665" t="s">
        <v>6431</v>
      </c>
      <c r="L1665" t="s">
        <v>6432</v>
      </c>
      <c r="M1665" t="s">
        <v>6433</v>
      </c>
      <c r="N1665" t="s">
        <v>6437</v>
      </c>
      <c r="O1665" t="s">
        <v>27</v>
      </c>
      <c r="P1665" t="s">
        <v>48</v>
      </c>
      <c r="Q1665" t="s">
        <v>49</v>
      </c>
      <c r="R1665" t="s">
        <v>50</v>
      </c>
      <c r="S1665" t="s">
        <v>28</v>
      </c>
      <c r="T1665" t="s">
        <v>6440</v>
      </c>
      <c r="U1665" t="s">
        <v>6441</v>
      </c>
    </row>
    <row r="1666" spans="1:21" x14ac:dyDescent="0.25">
      <c r="A1666" t="s">
        <v>143</v>
      </c>
      <c r="B1666" t="s">
        <v>144</v>
      </c>
      <c r="C1666">
        <v>200</v>
      </c>
      <c r="D1666">
        <v>1</v>
      </c>
      <c r="E1666">
        <v>0</v>
      </c>
      <c r="F1666" t="s">
        <v>6442</v>
      </c>
      <c r="G1666">
        <v>200</v>
      </c>
      <c r="H1666">
        <v>0</v>
      </c>
      <c r="I1666" t="s">
        <v>24</v>
      </c>
      <c r="J1666" t="s">
        <v>6443</v>
      </c>
      <c r="K1666" t="s">
        <v>753</v>
      </c>
      <c r="L1666" t="s">
        <v>27</v>
      </c>
      <c r="M1666" t="s">
        <v>28</v>
      </c>
      <c r="N1666" t="s">
        <v>6441</v>
      </c>
      <c r="O1666" t="s">
        <v>27</v>
      </c>
      <c r="P1666" t="s">
        <v>39</v>
      </c>
      <c r="Q1666" t="s">
        <v>31</v>
      </c>
      <c r="R1666" t="s">
        <v>32</v>
      </c>
      <c r="S1666" t="s">
        <v>28</v>
      </c>
      <c r="T1666" t="s">
        <v>6444</v>
      </c>
      <c r="U1666" t="s">
        <v>6441</v>
      </c>
    </row>
    <row r="1667" spans="1:21" x14ac:dyDescent="0.25">
      <c r="A1667" t="s">
        <v>635</v>
      </c>
      <c r="B1667" t="s">
        <v>1129</v>
      </c>
      <c r="C1667">
        <v>477.96</v>
      </c>
      <c r="D1667">
        <v>1</v>
      </c>
      <c r="E1667">
        <v>0</v>
      </c>
      <c r="F1667" t="s">
        <v>6445</v>
      </c>
      <c r="G1667">
        <v>477.96</v>
      </c>
      <c r="H1667">
        <v>0</v>
      </c>
      <c r="I1667" t="s">
        <v>105</v>
      </c>
      <c r="J1667" t="s">
        <v>6446</v>
      </c>
      <c r="K1667" t="s">
        <v>6447</v>
      </c>
      <c r="L1667" t="s">
        <v>1076</v>
      </c>
      <c r="M1667" t="s">
        <v>6448</v>
      </c>
      <c r="N1667" t="s">
        <v>6449</v>
      </c>
      <c r="O1667" t="s">
        <v>27</v>
      </c>
      <c r="P1667" t="s">
        <v>48</v>
      </c>
      <c r="Q1667" t="s">
        <v>49</v>
      </c>
      <c r="R1667" t="s">
        <v>50</v>
      </c>
      <c r="S1667" t="s">
        <v>28</v>
      </c>
      <c r="T1667" t="s">
        <v>6450</v>
      </c>
      <c r="U1667" t="s">
        <v>6449</v>
      </c>
    </row>
    <row r="1668" spans="1:21" x14ac:dyDescent="0.25">
      <c r="A1668" t="s">
        <v>635</v>
      </c>
      <c r="B1668" t="s">
        <v>714</v>
      </c>
      <c r="C1668">
        <v>447.27</v>
      </c>
      <c r="D1668">
        <v>1</v>
      </c>
      <c r="E1668">
        <v>0</v>
      </c>
      <c r="F1668" t="s">
        <v>6451</v>
      </c>
      <c r="G1668">
        <v>461.27</v>
      </c>
      <c r="H1668">
        <v>14</v>
      </c>
      <c r="I1668" t="s">
        <v>628</v>
      </c>
      <c r="J1668" t="s">
        <v>6452</v>
      </c>
      <c r="K1668" t="s">
        <v>6453</v>
      </c>
      <c r="L1668" t="s">
        <v>6454</v>
      </c>
      <c r="M1668" t="s">
        <v>6455</v>
      </c>
      <c r="N1668" t="s">
        <v>6456</v>
      </c>
      <c r="O1668" t="s">
        <v>27</v>
      </c>
      <c r="P1668" t="s">
        <v>48</v>
      </c>
      <c r="Q1668" t="s">
        <v>49</v>
      </c>
      <c r="R1668" t="s">
        <v>50</v>
      </c>
      <c r="S1668" t="s">
        <v>28</v>
      </c>
      <c r="T1668" t="s">
        <v>6457</v>
      </c>
      <c r="U1668" t="s">
        <v>6456</v>
      </c>
    </row>
    <row r="1669" spans="1:21" x14ac:dyDescent="0.25">
      <c r="A1669" t="s">
        <v>134</v>
      </c>
      <c r="B1669" t="s">
        <v>64</v>
      </c>
      <c r="C1669">
        <v>100</v>
      </c>
      <c r="D1669">
        <v>1</v>
      </c>
      <c r="E1669">
        <v>0</v>
      </c>
      <c r="F1669" t="s">
        <v>6458</v>
      </c>
      <c r="G1669">
        <v>106</v>
      </c>
      <c r="H1669">
        <v>6</v>
      </c>
      <c r="I1669" t="s">
        <v>445</v>
      </c>
      <c r="J1669" t="s">
        <v>6459</v>
      </c>
      <c r="K1669" t="s">
        <v>89</v>
      </c>
      <c r="L1669" t="s">
        <v>27</v>
      </c>
      <c r="M1669" t="s">
        <v>28</v>
      </c>
      <c r="N1669" t="s">
        <v>6460</v>
      </c>
      <c r="O1669" t="s">
        <v>27</v>
      </c>
      <c r="P1669" t="s">
        <v>39</v>
      </c>
      <c r="Q1669" t="s">
        <v>31</v>
      </c>
      <c r="R1669" t="s">
        <v>32</v>
      </c>
      <c r="S1669" t="s">
        <v>28</v>
      </c>
      <c r="T1669" t="s">
        <v>6461</v>
      </c>
      <c r="U1669" t="s">
        <v>6460</v>
      </c>
    </row>
    <row r="1670" spans="1:21" x14ac:dyDescent="0.25">
      <c r="A1670" t="s">
        <v>63</v>
      </c>
      <c r="B1670" t="s">
        <v>64</v>
      </c>
      <c r="C1670">
        <v>100</v>
      </c>
      <c r="D1670">
        <v>2</v>
      </c>
      <c r="E1670">
        <v>0</v>
      </c>
      <c r="F1670" t="s">
        <v>6462</v>
      </c>
      <c r="G1670">
        <v>800</v>
      </c>
      <c r="H1670">
        <v>0</v>
      </c>
      <c r="I1670" t="s">
        <v>445</v>
      </c>
      <c r="J1670" t="s">
        <v>6463</v>
      </c>
      <c r="K1670" t="s">
        <v>2470</v>
      </c>
      <c r="L1670" t="s">
        <v>27</v>
      </c>
      <c r="M1670" t="s">
        <v>28</v>
      </c>
      <c r="N1670" t="s">
        <v>6464</v>
      </c>
      <c r="O1670" t="s">
        <v>27</v>
      </c>
      <c r="P1670" t="s">
        <v>39</v>
      </c>
      <c r="Q1670" t="s">
        <v>31</v>
      </c>
      <c r="R1670" t="s">
        <v>32</v>
      </c>
      <c r="S1670" t="s">
        <v>28</v>
      </c>
      <c r="T1670" t="s">
        <v>6465</v>
      </c>
      <c r="U1670" t="s">
        <v>6466</v>
      </c>
    </row>
    <row r="1671" spans="1:21" x14ac:dyDescent="0.25">
      <c r="A1671" t="s">
        <v>134</v>
      </c>
      <c r="B1671" t="s">
        <v>64</v>
      </c>
      <c r="C1671">
        <v>100</v>
      </c>
      <c r="D1671">
        <v>6</v>
      </c>
      <c r="E1671">
        <v>0</v>
      </c>
      <c r="F1671" t="s">
        <v>6462</v>
      </c>
      <c r="G1671">
        <v>800</v>
      </c>
      <c r="H1671">
        <v>0</v>
      </c>
      <c r="I1671" t="s">
        <v>445</v>
      </c>
      <c r="J1671" t="s">
        <v>6463</v>
      </c>
      <c r="K1671" t="s">
        <v>2470</v>
      </c>
      <c r="L1671" t="s">
        <v>27</v>
      </c>
      <c r="M1671" t="s">
        <v>28</v>
      </c>
      <c r="N1671" t="s">
        <v>6464</v>
      </c>
      <c r="O1671" t="s">
        <v>27</v>
      </c>
      <c r="P1671" t="s">
        <v>39</v>
      </c>
      <c r="Q1671" t="s">
        <v>31</v>
      </c>
      <c r="R1671" t="s">
        <v>32</v>
      </c>
      <c r="S1671" t="s">
        <v>28</v>
      </c>
      <c r="T1671" t="s">
        <v>6465</v>
      </c>
      <c r="U1671" t="s">
        <v>6466</v>
      </c>
    </row>
    <row r="1672" spans="1:21" x14ac:dyDescent="0.25">
      <c r="A1672" t="s">
        <v>134</v>
      </c>
      <c r="B1672" t="s">
        <v>64</v>
      </c>
      <c r="C1672">
        <v>100</v>
      </c>
      <c r="D1672">
        <v>2</v>
      </c>
      <c r="E1672">
        <v>0</v>
      </c>
      <c r="F1672" t="s">
        <v>6467</v>
      </c>
      <c r="G1672">
        <v>206</v>
      </c>
      <c r="H1672">
        <v>6</v>
      </c>
      <c r="I1672" t="s">
        <v>24</v>
      </c>
      <c r="J1672" t="s">
        <v>6468</v>
      </c>
      <c r="K1672" t="s">
        <v>61</v>
      </c>
      <c r="L1672" t="s">
        <v>27</v>
      </c>
      <c r="M1672" t="s">
        <v>28</v>
      </c>
      <c r="N1672" t="s">
        <v>6469</v>
      </c>
      <c r="O1672" t="s">
        <v>27</v>
      </c>
      <c r="P1672" t="s">
        <v>39</v>
      </c>
      <c r="Q1672" t="s">
        <v>31</v>
      </c>
      <c r="R1672" t="s">
        <v>32</v>
      </c>
      <c r="S1672" t="s">
        <v>28</v>
      </c>
      <c r="T1672" t="s">
        <v>6470</v>
      </c>
      <c r="U1672" t="s">
        <v>6469</v>
      </c>
    </row>
    <row r="1673" spans="1:21" x14ac:dyDescent="0.25">
      <c r="A1673" t="s">
        <v>63</v>
      </c>
      <c r="B1673" t="s">
        <v>64</v>
      </c>
      <c r="C1673">
        <v>100</v>
      </c>
      <c r="D1673">
        <v>2</v>
      </c>
      <c r="E1673">
        <v>0</v>
      </c>
      <c r="F1673" t="s">
        <v>6471</v>
      </c>
      <c r="G1673">
        <v>200</v>
      </c>
      <c r="H1673">
        <v>0</v>
      </c>
      <c r="I1673" t="s">
        <v>445</v>
      </c>
      <c r="J1673" t="s">
        <v>6472</v>
      </c>
      <c r="K1673" t="s">
        <v>1878</v>
      </c>
      <c r="L1673" t="s">
        <v>27</v>
      </c>
      <c r="M1673" t="s">
        <v>28</v>
      </c>
      <c r="N1673" t="s">
        <v>6469</v>
      </c>
      <c r="O1673" t="s">
        <v>27</v>
      </c>
      <c r="P1673" t="s">
        <v>56</v>
      </c>
      <c r="Q1673" t="s">
        <v>31</v>
      </c>
      <c r="R1673" t="s">
        <v>57</v>
      </c>
      <c r="S1673" t="s">
        <v>28</v>
      </c>
      <c r="T1673" t="s">
        <v>6473</v>
      </c>
      <c r="U1673" t="s">
        <v>6469</v>
      </c>
    </row>
    <row r="1674" spans="1:21" x14ac:dyDescent="0.25">
      <c r="A1674" t="s">
        <v>63</v>
      </c>
      <c r="B1674" t="s">
        <v>64</v>
      </c>
      <c r="C1674">
        <v>100</v>
      </c>
      <c r="D1674">
        <v>1</v>
      </c>
      <c r="E1674">
        <v>0</v>
      </c>
      <c r="F1674" t="s">
        <v>6474</v>
      </c>
      <c r="G1674">
        <v>106</v>
      </c>
      <c r="H1674">
        <v>6</v>
      </c>
      <c r="I1674" t="s">
        <v>24</v>
      </c>
      <c r="J1674" t="s">
        <v>6475</v>
      </c>
      <c r="K1674" t="s">
        <v>4310</v>
      </c>
      <c r="L1674" t="s">
        <v>27</v>
      </c>
      <c r="M1674" t="s">
        <v>28</v>
      </c>
      <c r="N1674" t="s">
        <v>6476</v>
      </c>
      <c r="O1674" t="s">
        <v>27</v>
      </c>
      <c r="P1674" t="s">
        <v>39</v>
      </c>
      <c r="Q1674" t="s">
        <v>31</v>
      </c>
      <c r="R1674" t="s">
        <v>32</v>
      </c>
      <c r="S1674" t="s">
        <v>28</v>
      </c>
      <c r="T1674" t="s">
        <v>6477</v>
      </c>
      <c r="U1674" t="s">
        <v>6476</v>
      </c>
    </row>
    <row r="1675" spans="1:21" x14ac:dyDescent="0.25">
      <c r="A1675" t="s">
        <v>134</v>
      </c>
      <c r="B1675" t="s">
        <v>64</v>
      </c>
      <c r="C1675">
        <v>100</v>
      </c>
      <c r="D1675">
        <v>1</v>
      </c>
      <c r="E1675">
        <v>0</v>
      </c>
      <c r="F1675" t="s">
        <v>6478</v>
      </c>
      <c r="G1675">
        <v>106</v>
      </c>
      <c r="H1675">
        <v>6</v>
      </c>
      <c r="I1675" t="s">
        <v>445</v>
      </c>
      <c r="J1675" t="s">
        <v>6479</v>
      </c>
      <c r="K1675" t="s">
        <v>1107</v>
      </c>
      <c r="L1675" t="s">
        <v>27</v>
      </c>
      <c r="M1675" t="s">
        <v>28</v>
      </c>
      <c r="N1675" t="s">
        <v>6480</v>
      </c>
      <c r="O1675" t="s">
        <v>27</v>
      </c>
      <c r="P1675" t="s">
        <v>39</v>
      </c>
      <c r="Q1675" t="s">
        <v>31</v>
      </c>
      <c r="R1675" t="s">
        <v>32</v>
      </c>
      <c r="S1675" t="s">
        <v>28</v>
      </c>
      <c r="T1675" t="s">
        <v>6481</v>
      </c>
      <c r="U1675" t="s">
        <v>6482</v>
      </c>
    </row>
    <row r="1676" spans="1:21" x14ac:dyDescent="0.25">
      <c r="A1676" t="s">
        <v>63</v>
      </c>
      <c r="B1676" t="s">
        <v>64</v>
      </c>
      <c r="C1676">
        <v>100</v>
      </c>
      <c r="D1676">
        <v>1</v>
      </c>
      <c r="E1676">
        <v>0</v>
      </c>
      <c r="F1676" t="s">
        <v>6483</v>
      </c>
      <c r="G1676">
        <v>106</v>
      </c>
      <c r="H1676">
        <v>6</v>
      </c>
      <c r="I1676" t="s">
        <v>24</v>
      </c>
      <c r="J1676" t="s">
        <v>6484</v>
      </c>
      <c r="K1676" t="s">
        <v>250</v>
      </c>
      <c r="L1676" t="s">
        <v>27</v>
      </c>
      <c r="M1676" t="s">
        <v>28</v>
      </c>
      <c r="N1676" t="s">
        <v>6485</v>
      </c>
      <c r="O1676" t="s">
        <v>27</v>
      </c>
      <c r="P1676" t="s">
        <v>39</v>
      </c>
      <c r="Q1676" t="s">
        <v>31</v>
      </c>
      <c r="R1676" t="s">
        <v>32</v>
      </c>
      <c r="S1676" t="s">
        <v>28</v>
      </c>
      <c r="T1676" t="s">
        <v>6486</v>
      </c>
      <c r="U1676" t="s">
        <v>6480</v>
      </c>
    </row>
    <row r="1677" spans="1:21" x14ac:dyDescent="0.25">
      <c r="A1677" t="s">
        <v>143</v>
      </c>
      <c r="B1677" t="s">
        <v>144</v>
      </c>
      <c r="C1677">
        <v>200</v>
      </c>
      <c r="D1677">
        <v>1</v>
      </c>
      <c r="E1677">
        <v>0</v>
      </c>
      <c r="F1677" t="s">
        <v>6487</v>
      </c>
      <c r="G1677">
        <v>200</v>
      </c>
      <c r="H1677">
        <v>0</v>
      </c>
      <c r="I1677" t="s">
        <v>24</v>
      </c>
      <c r="J1677" t="s">
        <v>6488</v>
      </c>
      <c r="K1677" t="s">
        <v>89</v>
      </c>
      <c r="L1677" t="s">
        <v>27</v>
      </c>
      <c r="M1677" t="s">
        <v>28</v>
      </c>
      <c r="N1677" t="s">
        <v>6489</v>
      </c>
      <c r="O1677" t="s">
        <v>27</v>
      </c>
      <c r="P1677" t="s">
        <v>56</v>
      </c>
      <c r="Q1677" t="s">
        <v>31</v>
      </c>
      <c r="R1677" t="s">
        <v>57</v>
      </c>
      <c r="S1677" t="s">
        <v>28</v>
      </c>
      <c r="T1677" t="s">
        <v>6490</v>
      </c>
      <c r="U1677" t="s">
        <v>6485</v>
      </c>
    </row>
    <row r="1678" spans="1:21" x14ac:dyDescent="0.25">
      <c r="A1678" t="s">
        <v>143</v>
      </c>
      <c r="B1678" t="s">
        <v>144</v>
      </c>
      <c r="C1678">
        <v>200</v>
      </c>
      <c r="D1678">
        <v>1</v>
      </c>
      <c r="E1678">
        <v>0</v>
      </c>
      <c r="F1678" t="s">
        <v>6491</v>
      </c>
      <c r="G1678">
        <v>200</v>
      </c>
      <c r="H1678">
        <v>0</v>
      </c>
      <c r="I1678" t="s">
        <v>24</v>
      </c>
      <c r="J1678" t="s">
        <v>6492</v>
      </c>
      <c r="K1678" t="s">
        <v>611</v>
      </c>
      <c r="L1678" t="s">
        <v>27</v>
      </c>
      <c r="M1678" t="s">
        <v>28</v>
      </c>
      <c r="N1678" t="s">
        <v>6493</v>
      </c>
      <c r="O1678" t="s">
        <v>27</v>
      </c>
      <c r="P1678" t="s">
        <v>39</v>
      </c>
      <c r="Q1678" t="s">
        <v>31</v>
      </c>
      <c r="R1678" t="s">
        <v>32</v>
      </c>
      <c r="S1678" t="s">
        <v>28</v>
      </c>
      <c r="T1678" t="s">
        <v>6494</v>
      </c>
      <c r="U1678" t="s">
        <v>6485</v>
      </c>
    </row>
    <row r="1679" spans="1:21" x14ac:dyDescent="0.25">
      <c r="A1679" t="s">
        <v>635</v>
      </c>
      <c r="B1679" t="s">
        <v>1129</v>
      </c>
      <c r="C1679">
        <v>504.52</v>
      </c>
      <c r="D1679">
        <v>1</v>
      </c>
      <c r="E1679">
        <v>0</v>
      </c>
      <c r="F1679" t="s">
        <v>6495</v>
      </c>
      <c r="G1679">
        <v>504.52</v>
      </c>
      <c r="H1679">
        <v>0</v>
      </c>
      <c r="I1679" t="s">
        <v>105</v>
      </c>
      <c r="J1679" t="s">
        <v>775</v>
      </c>
      <c r="K1679" t="s">
        <v>776</v>
      </c>
      <c r="L1679" t="s">
        <v>777</v>
      </c>
      <c r="M1679" t="s">
        <v>778</v>
      </c>
      <c r="N1679" t="s">
        <v>6485</v>
      </c>
      <c r="O1679" t="s">
        <v>27</v>
      </c>
      <c r="P1679" t="s">
        <v>48</v>
      </c>
      <c r="Q1679" t="s">
        <v>49</v>
      </c>
      <c r="R1679" t="s">
        <v>50</v>
      </c>
      <c r="S1679" t="s">
        <v>28</v>
      </c>
      <c r="T1679" t="s">
        <v>6496</v>
      </c>
      <c r="U1679" t="s">
        <v>6485</v>
      </c>
    </row>
    <row r="1680" spans="1:21" x14ac:dyDescent="0.25">
      <c r="A1680" t="s">
        <v>195</v>
      </c>
      <c r="B1680" t="s">
        <v>196</v>
      </c>
      <c r="C1680">
        <v>230</v>
      </c>
      <c r="D1680">
        <v>1</v>
      </c>
      <c r="E1680">
        <v>0</v>
      </c>
      <c r="F1680" t="s">
        <v>6497</v>
      </c>
      <c r="G1680">
        <v>230</v>
      </c>
      <c r="H1680">
        <v>0</v>
      </c>
      <c r="I1680" t="s">
        <v>445</v>
      </c>
      <c r="J1680" t="s">
        <v>6498</v>
      </c>
      <c r="K1680" t="s">
        <v>6499</v>
      </c>
      <c r="L1680" t="s">
        <v>1084</v>
      </c>
      <c r="M1680" t="s">
        <v>1995</v>
      </c>
      <c r="N1680" t="s">
        <v>6485</v>
      </c>
      <c r="O1680" t="s">
        <v>27</v>
      </c>
      <c r="P1680" t="s">
        <v>84</v>
      </c>
      <c r="Q1680" t="s">
        <v>85</v>
      </c>
      <c r="R1680" t="s">
        <v>86</v>
      </c>
      <c r="S1680" t="s">
        <v>28</v>
      </c>
      <c r="T1680" t="s">
        <v>6500</v>
      </c>
      <c r="U1680" t="s">
        <v>6485</v>
      </c>
    </row>
    <row r="1681" spans="1:21" x14ac:dyDescent="0.25">
      <c r="A1681" t="s">
        <v>195</v>
      </c>
      <c r="B1681" t="s">
        <v>1003</v>
      </c>
      <c r="C1681">
        <v>142.31</v>
      </c>
      <c r="D1681">
        <v>1</v>
      </c>
      <c r="E1681">
        <v>0</v>
      </c>
      <c r="F1681" t="s">
        <v>6501</v>
      </c>
      <c r="G1681">
        <v>147.31</v>
      </c>
      <c r="H1681">
        <v>5</v>
      </c>
      <c r="I1681" t="s">
        <v>628</v>
      </c>
      <c r="J1681" t="s">
        <v>6502</v>
      </c>
      <c r="K1681" t="s">
        <v>6503</v>
      </c>
      <c r="L1681" t="s">
        <v>3755</v>
      </c>
      <c r="M1681" t="s">
        <v>6504</v>
      </c>
      <c r="N1681" t="s">
        <v>6505</v>
      </c>
      <c r="O1681" t="s">
        <v>27</v>
      </c>
      <c r="P1681" t="s">
        <v>48</v>
      </c>
      <c r="Q1681" t="s">
        <v>49</v>
      </c>
      <c r="R1681" t="s">
        <v>50</v>
      </c>
      <c r="S1681" t="s">
        <v>28</v>
      </c>
      <c r="T1681" t="s">
        <v>6506</v>
      </c>
      <c r="U1681" t="s">
        <v>6505</v>
      </c>
    </row>
    <row r="1682" spans="1:21" x14ac:dyDescent="0.25">
      <c r="A1682" t="s">
        <v>63</v>
      </c>
      <c r="B1682" t="s">
        <v>64</v>
      </c>
      <c r="C1682">
        <v>100</v>
      </c>
      <c r="D1682">
        <v>2</v>
      </c>
      <c r="E1682">
        <v>0</v>
      </c>
      <c r="F1682" t="s">
        <v>6507</v>
      </c>
      <c r="G1682">
        <v>200</v>
      </c>
      <c r="H1682">
        <v>0</v>
      </c>
      <c r="I1682" t="s">
        <v>24</v>
      </c>
      <c r="J1682" t="s">
        <v>6508</v>
      </c>
      <c r="K1682" t="s">
        <v>61</v>
      </c>
      <c r="L1682" t="s">
        <v>27</v>
      </c>
      <c r="M1682" t="s">
        <v>28</v>
      </c>
      <c r="N1682" t="s">
        <v>6509</v>
      </c>
      <c r="O1682" t="s">
        <v>27</v>
      </c>
      <c r="P1682" t="s">
        <v>56</v>
      </c>
      <c r="Q1682" t="s">
        <v>31</v>
      </c>
      <c r="R1682" t="s">
        <v>57</v>
      </c>
      <c r="S1682" t="s">
        <v>28</v>
      </c>
      <c r="T1682" t="s">
        <v>6510</v>
      </c>
      <c r="U1682" t="s">
        <v>6509</v>
      </c>
    </row>
    <row r="1683" spans="1:21" x14ac:dyDescent="0.25">
      <c r="A1683" t="s">
        <v>21</v>
      </c>
      <c r="B1683" t="s">
        <v>22</v>
      </c>
      <c r="C1683">
        <v>100</v>
      </c>
      <c r="D1683">
        <v>1</v>
      </c>
      <c r="E1683">
        <v>0</v>
      </c>
      <c r="F1683" t="s">
        <v>6511</v>
      </c>
      <c r="G1683">
        <v>106</v>
      </c>
      <c r="H1683">
        <v>6</v>
      </c>
      <c r="I1683" t="s">
        <v>140</v>
      </c>
      <c r="J1683" t="s">
        <v>700</v>
      </c>
      <c r="K1683" t="s">
        <v>61</v>
      </c>
      <c r="L1683" t="s">
        <v>27</v>
      </c>
      <c r="M1683" t="s">
        <v>28</v>
      </c>
      <c r="N1683" t="s">
        <v>6512</v>
      </c>
      <c r="O1683" t="s">
        <v>27</v>
      </c>
      <c r="P1683" t="s">
        <v>30</v>
      </c>
      <c r="Q1683" t="s">
        <v>31</v>
      </c>
      <c r="R1683" t="s">
        <v>32</v>
      </c>
      <c r="S1683" t="s">
        <v>28</v>
      </c>
      <c r="T1683" t="s">
        <v>6513</v>
      </c>
      <c r="U1683" t="s">
        <v>6512</v>
      </c>
    </row>
    <row r="1684" spans="1:21" x14ac:dyDescent="0.25">
      <c r="A1684" t="s">
        <v>143</v>
      </c>
      <c r="B1684" t="s">
        <v>144</v>
      </c>
      <c r="C1684">
        <v>200</v>
      </c>
      <c r="D1684">
        <v>1</v>
      </c>
      <c r="E1684">
        <v>0</v>
      </c>
      <c r="F1684" t="s">
        <v>6514</v>
      </c>
      <c r="G1684">
        <v>200</v>
      </c>
      <c r="H1684">
        <v>0</v>
      </c>
      <c r="I1684" t="s">
        <v>24</v>
      </c>
      <c r="J1684" t="s">
        <v>6515</v>
      </c>
      <c r="K1684" t="s">
        <v>137</v>
      </c>
      <c r="L1684" t="s">
        <v>27</v>
      </c>
      <c r="M1684" t="s">
        <v>28</v>
      </c>
      <c r="N1684" t="s">
        <v>6516</v>
      </c>
      <c r="O1684" t="s">
        <v>27</v>
      </c>
      <c r="P1684" t="s">
        <v>39</v>
      </c>
      <c r="Q1684" t="s">
        <v>31</v>
      </c>
      <c r="R1684" t="s">
        <v>32</v>
      </c>
      <c r="S1684" t="s">
        <v>28</v>
      </c>
      <c r="T1684" t="s">
        <v>6517</v>
      </c>
      <c r="U1684" t="s">
        <v>6518</v>
      </c>
    </row>
    <row r="1685" spans="1:21" x14ac:dyDescent="0.25">
      <c r="A1685" t="s">
        <v>456</v>
      </c>
      <c r="B1685" t="s">
        <v>1178</v>
      </c>
      <c r="C1685">
        <v>134.62</v>
      </c>
      <c r="D1685">
        <v>1</v>
      </c>
      <c r="E1685">
        <v>0</v>
      </c>
      <c r="F1685" t="s">
        <v>6519</v>
      </c>
      <c r="G1685">
        <v>274.24</v>
      </c>
      <c r="H1685">
        <v>5</v>
      </c>
      <c r="I1685" t="s">
        <v>628</v>
      </c>
      <c r="J1685" t="s">
        <v>6520</v>
      </c>
      <c r="K1685" t="s">
        <v>6521</v>
      </c>
      <c r="L1685" t="s">
        <v>1907</v>
      </c>
      <c r="M1685" t="s">
        <v>1908</v>
      </c>
      <c r="N1685" t="s">
        <v>6516</v>
      </c>
      <c r="O1685" t="s">
        <v>27</v>
      </c>
      <c r="P1685" t="s">
        <v>48</v>
      </c>
      <c r="Q1685" t="s">
        <v>49</v>
      </c>
      <c r="R1685" t="s">
        <v>50</v>
      </c>
      <c r="S1685" t="s">
        <v>28</v>
      </c>
      <c r="T1685" t="s">
        <v>6522</v>
      </c>
      <c r="U1685" t="s">
        <v>6516</v>
      </c>
    </row>
    <row r="1686" spans="1:21" x14ac:dyDescent="0.25">
      <c r="A1686" t="s">
        <v>195</v>
      </c>
      <c r="B1686" t="s">
        <v>1003</v>
      </c>
      <c r="C1686">
        <v>134.62</v>
      </c>
      <c r="D1686">
        <v>1</v>
      </c>
      <c r="E1686">
        <v>0</v>
      </c>
      <c r="F1686" t="s">
        <v>6519</v>
      </c>
      <c r="G1686">
        <v>274.24</v>
      </c>
      <c r="H1686">
        <v>5</v>
      </c>
      <c r="I1686" t="s">
        <v>628</v>
      </c>
      <c r="J1686" t="s">
        <v>6520</v>
      </c>
      <c r="K1686" t="s">
        <v>6521</v>
      </c>
      <c r="L1686" t="s">
        <v>1907</v>
      </c>
      <c r="M1686" t="s">
        <v>1908</v>
      </c>
      <c r="N1686" t="s">
        <v>6516</v>
      </c>
      <c r="O1686" t="s">
        <v>27</v>
      </c>
      <c r="P1686" t="s">
        <v>48</v>
      </c>
      <c r="Q1686" t="s">
        <v>49</v>
      </c>
      <c r="R1686" t="s">
        <v>50</v>
      </c>
      <c r="S1686" t="s">
        <v>28</v>
      </c>
      <c r="T1686" t="s">
        <v>6522</v>
      </c>
      <c r="U1686" t="s">
        <v>6516</v>
      </c>
    </row>
    <row r="1687" spans="1:21" x14ac:dyDescent="0.25">
      <c r="A1687" t="s">
        <v>195</v>
      </c>
      <c r="B1687" t="s">
        <v>1003</v>
      </c>
      <c r="C1687">
        <v>127.33</v>
      </c>
      <c r="D1687">
        <v>1</v>
      </c>
      <c r="E1687">
        <v>0</v>
      </c>
      <c r="F1687" t="s">
        <v>6523</v>
      </c>
      <c r="G1687">
        <v>259.66000000000003</v>
      </c>
      <c r="H1687">
        <v>5</v>
      </c>
      <c r="I1687" t="s">
        <v>628</v>
      </c>
      <c r="J1687" t="s">
        <v>6524</v>
      </c>
      <c r="K1687" t="s">
        <v>6525</v>
      </c>
      <c r="L1687" t="s">
        <v>3515</v>
      </c>
      <c r="M1687" t="s">
        <v>1908</v>
      </c>
      <c r="N1687" t="s">
        <v>6526</v>
      </c>
      <c r="O1687" t="s">
        <v>27</v>
      </c>
      <c r="P1687" t="s">
        <v>48</v>
      </c>
      <c r="Q1687" t="s">
        <v>49</v>
      </c>
      <c r="R1687" t="s">
        <v>50</v>
      </c>
      <c r="S1687" t="s">
        <v>28</v>
      </c>
      <c r="T1687" t="s">
        <v>6527</v>
      </c>
      <c r="U1687" t="s">
        <v>6526</v>
      </c>
    </row>
    <row r="1688" spans="1:21" x14ac:dyDescent="0.25">
      <c r="A1688" t="s">
        <v>456</v>
      </c>
      <c r="B1688" t="s">
        <v>1178</v>
      </c>
      <c r="C1688">
        <v>127.33</v>
      </c>
      <c r="D1688">
        <v>1</v>
      </c>
      <c r="E1688">
        <v>0</v>
      </c>
      <c r="F1688" t="s">
        <v>6523</v>
      </c>
      <c r="G1688">
        <v>259.66000000000003</v>
      </c>
      <c r="H1688">
        <v>5</v>
      </c>
      <c r="I1688" t="s">
        <v>628</v>
      </c>
      <c r="J1688" t="s">
        <v>6524</v>
      </c>
      <c r="K1688" t="s">
        <v>6525</v>
      </c>
      <c r="L1688" t="s">
        <v>3515</v>
      </c>
      <c r="M1688" t="s">
        <v>1908</v>
      </c>
      <c r="N1688" t="s">
        <v>6526</v>
      </c>
      <c r="O1688" t="s">
        <v>27</v>
      </c>
      <c r="P1688" t="s">
        <v>48</v>
      </c>
      <c r="Q1688" t="s">
        <v>49</v>
      </c>
      <c r="R1688" t="s">
        <v>50</v>
      </c>
      <c r="S1688" t="s">
        <v>28</v>
      </c>
      <c r="T1688" t="s">
        <v>6527</v>
      </c>
      <c r="U1688" t="s">
        <v>6526</v>
      </c>
    </row>
    <row r="1689" spans="1:21" x14ac:dyDescent="0.25">
      <c r="A1689" t="s">
        <v>195</v>
      </c>
      <c r="B1689" t="s">
        <v>196</v>
      </c>
      <c r="C1689">
        <v>250</v>
      </c>
      <c r="D1689">
        <v>1</v>
      </c>
      <c r="E1689">
        <v>0</v>
      </c>
      <c r="F1689" t="s">
        <v>6528</v>
      </c>
      <c r="G1689">
        <v>295</v>
      </c>
      <c r="H1689">
        <v>45</v>
      </c>
      <c r="I1689" t="s">
        <v>24</v>
      </c>
      <c r="J1689" t="s">
        <v>6529</v>
      </c>
      <c r="K1689" t="s">
        <v>6530</v>
      </c>
      <c r="L1689" t="s">
        <v>6531</v>
      </c>
      <c r="M1689" t="s">
        <v>2672</v>
      </c>
      <c r="N1689" t="s">
        <v>6532</v>
      </c>
      <c r="O1689" t="s">
        <v>27</v>
      </c>
      <c r="P1689" t="s">
        <v>84</v>
      </c>
      <c r="Q1689" t="s">
        <v>85</v>
      </c>
      <c r="R1689" t="s">
        <v>86</v>
      </c>
      <c r="S1689" t="s">
        <v>28</v>
      </c>
      <c r="T1689" t="s">
        <v>6533</v>
      </c>
      <c r="U1689" t="s">
        <v>6532</v>
      </c>
    </row>
    <row r="1690" spans="1:21" x14ac:dyDescent="0.25">
      <c r="A1690" t="s">
        <v>143</v>
      </c>
      <c r="B1690" t="s">
        <v>144</v>
      </c>
      <c r="C1690">
        <v>200</v>
      </c>
      <c r="D1690">
        <v>1</v>
      </c>
      <c r="E1690">
        <v>0</v>
      </c>
      <c r="F1690" t="s">
        <v>6534</v>
      </c>
      <c r="G1690">
        <v>200</v>
      </c>
      <c r="H1690">
        <v>0</v>
      </c>
      <c r="I1690" t="s">
        <v>445</v>
      </c>
      <c r="J1690" t="s">
        <v>1319</v>
      </c>
      <c r="K1690" t="s">
        <v>325</v>
      </c>
      <c r="L1690" t="s">
        <v>27</v>
      </c>
      <c r="M1690" t="s">
        <v>28</v>
      </c>
      <c r="N1690" t="s">
        <v>6535</v>
      </c>
      <c r="O1690" t="s">
        <v>27</v>
      </c>
      <c r="P1690" t="s">
        <v>39</v>
      </c>
      <c r="Q1690" t="s">
        <v>31</v>
      </c>
      <c r="R1690" t="s">
        <v>32</v>
      </c>
      <c r="S1690" t="s">
        <v>28</v>
      </c>
      <c r="T1690" t="s">
        <v>6536</v>
      </c>
      <c r="U1690" t="s">
        <v>6535</v>
      </c>
    </row>
    <row r="1691" spans="1:21" x14ac:dyDescent="0.25">
      <c r="A1691" t="s">
        <v>63</v>
      </c>
      <c r="B1691" t="s">
        <v>64</v>
      </c>
      <c r="C1691">
        <v>100</v>
      </c>
      <c r="D1691">
        <v>2</v>
      </c>
      <c r="E1691">
        <v>0</v>
      </c>
      <c r="F1691" t="s">
        <v>6537</v>
      </c>
      <c r="G1691">
        <v>200</v>
      </c>
      <c r="H1691">
        <v>0</v>
      </c>
      <c r="I1691" t="s">
        <v>24</v>
      </c>
      <c r="J1691" t="s">
        <v>6538</v>
      </c>
      <c r="K1691" t="s">
        <v>384</v>
      </c>
      <c r="L1691" t="s">
        <v>27</v>
      </c>
      <c r="M1691" t="s">
        <v>28</v>
      </c>
      <c r="N1691" t="s">
        <v>6539</v>
      </c>
      <c r="O1691" t="s">
        <v>27</v>
      </c>
      <c r="P1691" t="s">
        <v>39</v>
      </c>
      <c r="Q1691" t="s">
        <v>31</v>
      </c>
      <c r="R1691" t="s">
        <v>32</v>
      </c>
      <c r="S1691" t="s">
        <v>28</v>
      </c>
      <c r="T1691" t="s">
        <v>6540</v>
      </c>
      <c r="U1691" t="s">
        <v>6539</v>
      </c>
    </row>
    <row r="1692" spans="1:21" x14ac:dyDescent="0.25">
      <c r="A1692" t="s">
        <v>2703</v>
      </c>
      <c r="B1692" t="s">
        <v>2704</v>
      </c>
      <c r="C1692">
        <v>305.63</v>
      </c>
      <c r="D1692">
        <v>1</v>
      </c>
      <c r="E1692">
        <v>0</v>
      </c>
      <c r="F1692" t="s">
        <v>6541</v>
      </c>
      <c r="G1692">
        <v>344.63</v>
      </c>
      <c r="H1692">
        <v>39</v>
      </c>
      <c r="I1692" t="s">
        <v>24</v>
      </c>
      <c r="J1692" t="s">
        <v>6542</v>
      </c>
      <c r="K1692" t="s">
        <v>6543</v>
      </c>
      <c r="L1692" t="s">
        <v>1907</v>
      </c>
      <c r="M1692" t="s">
        <v>6544</v>
      </c>
      <c r="N1692" t="s">
        <v>6545</v>
      </c>
      <c r="O1692" t="s">
        <v>27</v>
      </c>
      <c r="P1692" t="s">
        <v>48</v>
      </c>
      <c r="Q1692" t="s">
        <v>49</v>
      </c>
      <c r="R1692" t="s">
        <v>50</v>
      </c>
      <c r="S1692" t="s">
        <v>28</v>
      </c>
      <c r="T1692" t="s">
        <v>6546</v>
      </c>
      <c r="U1692" t="s">
        <v>6545</v>
      </c>
    </row>
    <row r="1693" spans="1:21" x14ac:dyDescent="0.25">
      <c r="A1693" t="s">
        <v>63</v>
      </c>
      <c r="B1693" t="s">
        <v>64</v>
      </c>
      <c r="C1693">
        <v>100</v>
      </c>
      <c r="D1693">
        <v>1</v>
      </c>
      <c r="E1693">
        <v>0</v>
      </c>
      <c r="F1693" t="s">
        <v>6547</v>
      </c>
      <c r="G1693">
        <v>200</v>
      </c>
      <c r="H1693">
        <v>0</v>
      </c>
      <c r="I1693" t="s">
        <v>445</v>
      </c>
      <c r="J1693" t="s">
        <v>6548</v>
      </c>
      <c r="K1693" t="s">
        <v>342</v>
      </c>
      <c r="L1693" t="s">
        <v>27</v>
      </c>
      <c r="M1693" t="s">
        <v>28</v>
      </c>
      <c r="N1693" t="s">
        <v>6549</v>
      </c>
      <c r="O1693" t="s">
        <v>27</v>
      </c>
      <c r="P1693" t="s">
        <v>39</v>
      </c>
      <c r="Q1693" t="s">
        <v>31</v>
      </c>
      <c r="R1693" t="s">
        <v>32</v>
      </c>
      <c r="S1693" t="s">
        <v>28</v>
      </c>
      <c r="T1693" t="s">
        <v>6550</v>
      </c>
      <c r="U1693" t="s">
        <v>6549</v>
      </c>
    </row>
    <row r="1694" spans="1:21" x14ac:dyDescent="0.25">
      <c r="A1694" t="s">
        <v>134</v>
      </c>
      <c r="B1694" t="s">
        <v>64</v>
      </c>
      <c r="C1694">
        <v>100</v>
      </c>
      <c r="D1694">
        <v>1</v>
      </c>
      <c r="E1694">
        <v>0</v>
      </c>
      <c r="F1694" t="s">
        <v>6547</v>
      </c>
      <c r="G1694">
        <v>200</v>
      </c>
      <c r="H1694">
        <v>0</v>
      </c>
      <c r="I1694" t="s">
        <v>445</v>
      </c>
      <c r="J1694" t="s">
        <v>6548</v>
      </c>
      <c r="K1694" t="s">
        <v>342</v>
      </c>
      <c r="L1694" t="s">
        <v>27</v>
      </c>
      <c r="M1694" t="s">
        <v>28</v>
      </c>
      <c r="N1694" t="s">
        <v>6549</v>
      </c>
      <c r="O1694" t="s">
        <v>27</v>
      </c>
      <c r="P1694" t="s">
        <v>39</v>
      </c>
      <c r="Q1694" t="s">
        <v>31</v>
      </c>
      <c r="R1694" t="s">
        <v>32</v>
      </c>
      <c r="S1694" t="s">
        <v>28</v>
      </c>
      <c r="T1694" t="s">
        <v>6550</v>
      </c>
      <c r="U1694" t="s">
        <v>6549</v>
      </c>
    </row>
    <row r="1695" spans="1:21" x14ac:dyDescent="0.25">
      <c r="A1695" t="s">
        <v>214</v>
      </c>
      <c r="B1695" t="s">
        <v>6551</v>
      </c>
      <c r="C1695">
        <v>79.66</v>
      </c>
      <c r="D1695">
        <v>1</v>
      </c>
      <c r="E1695">
        <v>0</v>
      </c>
      <c r="F1695" t="s">
        <v>6552</v>
      </c>
      <c r="G1695">
        <v>84.66</v>
      </c>
      <c r="H1695">
        <v>5</v>
      </c>
      <c r="I1695" t="s">
        <v>720</v>
      </c>
      <c r="J1695" t="s">
        <v>5447</v>
      </c>
      <c r="K1695" t="s">
        <v>5448</v>
      </c>
      <c r="L1695" t="s">
        <v>1146</v>
      </c>
      <c r="M1695" t="s">
        <v>5449</v>
      </c>
      <c r="N1695" t="s">
        <v>6553</v>
      </c>
      <c r="O1695" t="s">
        <v>27</v>
      </c>
      <c r="P1695" t="s">
        <v>48</v>
      </c>
      <c r="Q1695" t="s">
        <v>49</v>
      </c>
      <c r="R1695" t="s">
        <v>50</v>
      </c>
      <c r="S1695" t="s">
        <v>28</v>
      </c>
      <c r="T1695" t="s">
        <v>6554</v>
      </c>
      <c r="U1695" t="s">
        <v>6553</v>
      </c>
    </row>
    <row r="1696" spans="1:21" x14ac:dyDescent="0.25">
      <c r="A1696" t="s">
        <v>635</v>
      </c>
      <c r="B1696" t="s">
        <v>714</v>
      </c>
      <c r="C1696">
        <v>438.96</v>
      </c>
      <c r="D1696">
        <v>1</v>
      </c>
      <c r="E1696">
        <v>0</v>
      </c>
      <c r="F1696" t="s">
        <v>6555</v>
      </c>
      <c r="G1696">
        <v>911.91</v>
      </c>
      <c r="H1696">
        <v>34</v>
      </c>
      <c r="I1696" t="s">
        <v>628</v>
      </c>
      <c r="J1696" t="s">
        <v>6556</v>
      </c>
      <c r="K1696" t="s">
        <v>6557</v>
      </c>
      <c r="L1696" t="s">
        <v>5957</v>
      </c>
      <c r="M1696" t="s">
        <v>6558</v>
      </c>
      <c r="N1696" t="s">
        <v>6559</v>
      </c>
      <c r="O1696" t="s">
        <v>27</v>
      </c>
      <c r="P1696" t="s">
        <v>48</v>
      </c>
      <c r="Q1696" t="s">
        <v>49</v>
      </c>
      <c r="R1696" t="s">
        <v>50</v>
      </c>
      <c r="S1696" t="s">
        <v>28</v>
      </c>
      <c r="T1696" t="s">
        <v>6560</v>
      </c>
      <c r="U1696" t="s">
        <v>6559</v>
      </c>
    </row>
    <row r="1697" spans="1:21" x14ac:dyDescent="0.25">
      <c r="A1697" t="s">
        <v>635</v>
      </c>
      <c r="B1697" t="s">
        <v>714</v>
      </c>
      <c r="C1697">
        <v>438.95</v>
      </c>
      <c r="D1697">
        <v>1</v>
      </c>
      <c r="E1697">
        <v>0</v>
      </c>
      <c r="F1697" t="s">
        <v>6555</v>
      </c>
      <c r="G1697">
        <v>911.91</v>
      </c>
      <c r="H1697">
        <v>34</v>
      </c>
      <c r="I1697" t="s">
        <v>628</v>
      </c>
      <c r="J1697" t="s">
        <v>6556</v>
      </c>
      <c r="K1697" t="s">
        <v>6557</v>
      </c>
      <c r="L1697" t="s">
        <v>5957</v>
      </c>
      <c r="M1697" t="s">
        <v>6558</v>
      </c>
      <c r="N1697" t="s">
        <v>6559</v>
      </c>
      <c r="O1697" t="s">
        <v>27</v>
      </c>
      <c r="P1697" t="s">
        <v>48</v>
      </c>
      <c r="Q1697" t="s">
        <v>49</v>
      </c>
      <c r="R1697" t="s">
        <v>50</v>
      </c>
      <c r="S1697" t="s">
        <v>28</v>
      </c>
      <c r="T1697" t="s">
        <v>6560</v>
      </c>
      <c r="U1697" t="s">
        <v>6559</v>
      </c>
    </row>
    <row r="1698" spans="1:21" x14ac:dyDescent="0.25">
      <c r="A1698" t="s">
        <v>63</v>
      </c>
      <c r="B1698" t="s">
        <v>64</v>
      </c>
      <c r="C1698">
        <v>100</v>
      </c>
      <c r="D1698">
        <v>3</v>
      </c>
      <c r="E1698">
        <v>0</v>
      </c>
      <c r="F1698" t="s">
        <v>6561</v>
      </c>
      <c r="G1698">
        <v>800</v>
      </c>
      <c r="H1698">
        <v>0</v>
      </c>
      <c r="I1698" t="s">
        <v>445</v>
      </c>
      <c r="J1698" t="s">
        <v>6562</v>
      </c>
      <c r="K1698" t="s">
        <v>572</v>
      </c>
      <c r="L1698" t="s">
        <v>27</v>
      </c>
      <c r="M1698" t="s">
        <v>28</v>
      </c>
      <c r="N1698" t="s">
        <v>6559</v>
      </c>
      <c r="O1698" t="s">
        <v>27</v>
      </c>
      <c r="P1698" t="s">
        <v>56</v>
      </c>
      <c r="Q1698" t="s">
        <v>31</v>
      </c>
      <c r="R1698" t="s">
        <v>57</v>
      </c>
      <c r="S1698" t="s">
        <v>28</v>
      </c>
      <c r="T1698" t="s">
        <v>6563</v>
      </c>
      <c r="U1698" t="s">
        <v>6559</v>
      </c>
    </row>
    <row r="1699" spans="1:21" x14ac:dyDescent="0.25">
      <c r="A1699" t="s">
        <v>134</v>
      </c>
      <c r="B1699" t="s">
        <v>64</v>
      </c>
      <c r="C1699">
        <v>100</v>
      </c>
      <c r="D1699">
        <v>5</v>
      </c>
      <c r="E1699">
        <v>0</v>
      </c>
      <c r="F1699" t="s">
        <v>6561</v>
      </c>
      <c r="G1699">
        <v>800</v>
      </c>
      <c r="H1699">
        <v>0</v>
      </c>
      <c r="I1699" t="s">
        <v>445</v>
      </c>
      <c r="J1699" t="s">
        <v>6562</v>
      </c>
      <c r="K1699" t="s">
        <v>572</v>
      </c>
      <c r="L1699" t="s">
        <v>27</v>
      </c>
      <c r="M1699" t="s">
        <v>28</v>
      </c>
      <c r="N1699" t="s">
        <v>6559</v>
      </c>
      <c r="O1699" t="s">
        <v>27</v>
      </c>
      <c r="P1699" t="s">
        <v>56</v>
      </c>
      <c r="Q1699" t="s">
        <v>31</v>
      </c>
      <c r="R1699" t="s">
        <v>57</v>
      </c>
      <c r="S1699" t="s">
        <v>28</v>
      </c>
      <c r="T1699" t="s">
        <v>6563</v>
      </c>
      <c r="U1699" t="s">
        <v>6559</v>
      </c>
    </row>
    <row r="1700" spans="1:21" x14ac:dyDescent="0.25">
      <c r="A1700" t="s">
        <v>456</v>
      </c>
      <c r="B1700" t="s">
        <v>1178</v>
      </c>
      <c r="C1700">
        <v>119.84</v>
      </c>
      <c r="D1700">
        <v>1</v>
      </c>
      <c r="E1700">
        <v>0</v>
      </c>
      <c r="F1700" t="s">
        <v>6564</v>
      </c>
      <c r="G1700">
        <v>244.68</v>
      </c>
      <c r="H1700">
        <v>5</v>
      </c>
      <c r="I1700" t="s">
        <v>628</v>
      </c>
      <c r="J1700" t="s">
        <v>6565</v>
      </c>
      <c r="K1700" t="s">
        <v>6566</v>
      </c>
      <c r="L1700" t="s">
        <v>5065</v>
      </c>
      <c r="M1700" t="s">
        <v>6567</v>
      </c>
      <c r="N1700" t="s">
        <v>6568</v>
      </c>
      <c r="O1700" t="s">
        <v>27</v>
      </c>
      <c r="P1700" t="s">
        <v>48</v>
      </c>
      <c r="Q1700" t="s">
        <v>49</v>
      </c>
      <c r="R1700" t="s">
        <v>50</v>
      </c>
      <c r="S1700" t="s">
        <v>28</v>
      </c>
      <c r="T1700" t="s">
        <v>6569</v>
      </c>
      <c r="U1700" t="s">
        <v>6568</v>
      </c>
    </row>
    <row r="1701" spans="1:21" x14ac:dyDescent="0.25">
      <c r="A1701" t="s">
        <v>456</v>
      </c>
      <c r="B1701" t="s">
        <v>1178</v>
      </c>
      <c r="C1701">
        <v>119.84</v>
      </c>
      <c r="D1701">
        <v>1</v>
      </c>
      <c r="E1701">
        <v>0</v>
      </c>
      <c r="F1701" t="s">
        <v>6564</v>
      </c>
      <c r="G1701">
        <v>244.68</v>
      </c>
      <c r="H1701">
        <v>5</v>
      </c>
      <c r="I1701" t="s">
        <v>628</v>
      </c>
      <c r="J1701" t="s">
        <v>6565</v>
      </c>
      <c r="K1701" t="s">
        <v>6566</v>
      </c>
      <c r="L1701" t="s">
        <v>5065</v>
      </c>
      <c r="M1701" t="s">
        <v>6567</v>
      </c>
      <c r="N1701" t="s">
        <v>6568</v>
      </c>
      <c r="O1701" t="s">
        <v>27</v>
      </c>
      <c r="P1701" t="s">
        <v>48</v>
      </c>
      <c r="Q1701" t="s">
        <v>49</v>
      </c>
      <c r="R1701" t="s">
        <v>50</v>
      </c>
      <c r="S1701" t="s">
        <v>28</v>
      </c>
      <c r="T1701" t="s">
        <v>6569</v>
      </c>
      <c r="U1701" t="s">
        <v>6568</v>
      </c>
    </row>
    <row r="1702" spans="1:21" x14ac:dyDescent="0.25">
      <c r="A1702" t="s">
        <v>134</v>
      </c>
      <c r="B1702" t="s">
        <v>64</v>
      </c>
      <c r="C1702">
        <v>100</v>
      </c>
      <c r="D1702">
        <v>1</v>
      </c>
      <c r="E1702">
        <v>0</v>
      </c>
      <c r="F1702" t="s">
        <v>6570</v>
      </c>
      <c r="G1702">
        <v>100</v>
      </c>
      <c r="H1702">
        <v>0</v>
      </c>
      <c r="I1702" t="s">
        <v>24</v>
      </c>
      <c r="J1702" t="s">
        <v>6571</v>
      </c>
      <c r="K1702" t="s">
        <v>474</v>
      </c>
      <c r="L1702" t="s">
        <v>27</v>
      </c>
      <c r="M1702" t="s">
        <v>28</v>
      </c>
      <c r="N1702" t="s">
        <v>6572</v>
      </c>
      <c r="O1702" t="s">
        <v>27</v>
      </c>
      <c r="P1702" t="s">
        <v>39</v>
      </c>
      <c r="Q1702" t="s">
        <v>31</v>
      </c>
      <c r="R1702" t="s">
        <v>32</v>
      </c>
      <c r="S1702" t="s">
        <v>28</v>
      </c>
      <c r="T1702" t="s">
        <v>6573</v>
      </c>
      <c r="U1702" t="s">
        <v>6572</v>
      </c>
    </row>
    <row r="1703" spans="1:21" x14ac:dyDescent="0.25">
      <c r="A1703" t="s">
        <v>909</v>
      </c>
      <c r="B1703" t="s">
        <v>276</v>
      </c>
      <c r="C1703">
        <v>213.16</v>
      </c>
      <c r="D1703">
        <v>1</v>
      </c>
      <c r="E1703">
        <v>0</v>
      </c>
      <c r="F1703" t="s">
        <v>6574</v>
      </c>
      <c r="G1703">
        <v>218.16</v>
      </c>
      <c r="H1703">
        <v>5</v>
      </c>
      <c r="I1703" t="s">
        <v>24</v>
      </c>
      <c r="J1703" t="s">
        <v>6575</v>
      </c>
      <c r="K1703" t="s">
        <v>6576</v>
      </c>
      <c r="L1703" t="s">
        <v>6577</v>
      </c>
      <c r="M1703" t="s">
        <v>6578</v>
      </c>
      <c r="N1703" t="s">
        <v>6579</v>
      </c>
      <c r="O1703" t="s">
        <v>27</v>
      </c>
      <c r="P1703" t="s">
        <v>48</v>
      </c>
      <c r="Q1703" t="s">
        <v>49</v>
      </c>
      <c r="R1703" t="s">
        <v>50</v>
      </c>
      <c r="S1703" t="s">
        <v>28</v>
      </c>
      <c r="T1703" t="s">
        <v>6580</v>
      </c>
      <c r="U1703" t="s">
        <v>6579</v>
      </c>
    </row>
    <row r="1704" spans="1:21" x14ac:dyDescent="0.25">
      <c r="A1704" t="s">
        <v>143</v>
      </c>
      <c r="B1704" t="s">
        <v>144</v>
      </c>
      <c r="C1704">
        <v>200</v>
      </c>
      <c r="D1704">
        <v>1</v>
      </c>
      <c r="E1704">
        <v>0</v>
      </c>
      <c r="F1704" t="s">
        <v>6581</v>
      </c>
      <c r="G1704">
        <v>200</v>
      </c>
      <c r="H1704">
        <v>0</v>
      </c>
      <c r="I1704" t="s">
        <v>445</v>
      </c>
      <c r="J1704" t="s">
        <v>6582</v>
      </c>
      <c r="K1704" t="s">
        <v>1198</v>
      </c>
      <c r="L1704" t="s">
        <v>27</v>
      </c>
      <c r="M1704" t="s">
        <v>28</v>
      </c>
      <c r="N1704" t="s">
        <v>6579</v>
      </c>
      <c r="O1704" t="s">
        <v>27</v>
      </c>
      <c r="P1704" t="s">
        <v>39</v>
      </c>
      <c r="Q1704" t="s">
        <v>31</v>
      </c>
      <c r="R1704" t="s">
        <v>32</v>
      </c>
      <c r="S1704" t="s">
        <v>28</v>
      </c>
      <c r="T1704" t="s">
        <v>6583</v>
      </c>
      <c r="U1704" t="s">
        <v>6579</v>
      </c>
    </row>
    <row r="1705" spans="1:21" x14ac:dyDescent="0.25">
      <c r="A1705" t="s">
        <v>195</v>
      </c>
      <c r="B1705" t="s">
        <v>1003</v>
      </c>
      <c r="C1705">
        <v>149.80000000000001</v>
      </c>
      <c r="D1705">
        <v>1</v>
      </c>
      <c r="E1705">
        <v>0</v>
      </c>
      <c r="F1705" t="s">
        <v>6584</v>
      </c>
      <c r="G1705">
        <v>154.80000000000001</v>
      </c>
      <c r="H1705">
        <v>5</v>
      </c>
      <c r="I1705" t="s">
        <v>628</v>
      </c>
      <c r="J1705" t="s">
        <v>6585</v>
      </c>
      <c r="K1705" t="s">
        <v>6586</v>
      </c>
      <c r="L1705" t="s">
        <v>6587</v>
      </c>
      <c r="M1705" t="s">
        <v>6588</v>
      </c>
      <c r="N1705" t="s">
        <v>6579</v>
      </c>
      <c r="O1705" t="s">
        <v>27</v>
      </c>
      <c r="P1705" t="s">
        <v>48</v>
      </c>
      <c r="Q1705" t="s">
        <v>49</v>
      </c>
      <c r="R1705" t="s">
        <v>50</v>
      </c>
      <c r="S1705" t="s">
        <v>28</v>
      </c>
      <c r="T1705" t="s">
        <v>6589</v>
      </c>
      <c r="U1705" t="s">
        <v>6579</v>
      </c>
    </row>
    <row r="1706" spans="1:21" x14ac:dyDescent="0.25">
      <c r="A1706" t="s">
        <v>635</v>
      </c>
      <c r="B1706" t="s">
        <v>714</v>
      </c>
      <c r="C1706">
        <v>359.89</v>
      </c>
      <c r="D1706">
        <v>1</v>
      </c>
      <c r="E1706">
        <v>0</v>
      </c>
      <c r="F1706" t="s">
        <v>6590</v>
      </c>
      <c r="G1706">
        <v>373.89</v>
      </c>
      <c r="H1706">
        <v>14</v>
      </c>
      <c r="I1706" t="s">
        <v>628</v>
      </c>
      <c r="J1706" t="s">
        <v>6591</v>
      </c>
      <c r="K1706" t="s">
        <v>6592</v>
      </c>
      <c r="L1706" t="s">
        <v>6593</v>
      </c>
      <c r="M1706" t="s">
        <v>6594</v>
      </c>
      <c r="N1706" t="s">
        <v>6595</v>
      </c>
      <c r="O1706" t="s">
        <v>27</v>
      </c>
      <c r="P1706" t="s">
        <v>48</v>
      </c>
      <c r="Q1706" t="s">
        <v>49</v>
      </c>
      <c r="R1706" t="s">
        <v>50</v>
      </c>
      <c r="S1706" t="s">
        <v>28</v>
      </c>
      <c r="T1706" t="s">
        <v>6596</v>
      </c>
      <c r="U1706" t="s">
        <v>6595</v>
      </c>
    </row>
    <row r="1707" spans="1:21" x14ac:dyDescent="0.25">
      <c r="A1707" t="s">
        <v>456</v>
      </c>
      <c r="B1707" t="s">
        <v>1178</v>
      </c>
      <c r="C1707">
        <v>119.84</v>
      </c>
      <c r="D1707">
        <v>1</v>
      </c>
      <c r="E1707">
        <v>0</v>
      </c>
      <c r="F1707" t="s">
        <v>6597</v>
      </c>
      <c r="G1707">
        <v>124.84</v>
      </c>
      <c r="H1707">
        <v>5</v>
      </c>
      <c r="I1707" t="s">
        <v>628</v>
      </c>
      <c r="J1707" t="s">
        <v>6598</v>
      </c>
      <c r="K1707" t="s">
        <v>6599</v>
      </c>
      <c r="L1707" t="s">
        <v>1453</v>
      </c>
      <c r="M1707" t="s">
        <v>6600</v>
      </c>
      <c r="N1707" t="s">
        <v>6572</v>
      </c>
      <c r="O1707" t="s">
        <v>27</v>
      </c>
      <c r="P1707" t="s">
        <v>48</v>
      </c>
      <c r="Q1707" t="s">
        <v>49</v>
      </c>
      <c r="R1707" t="s">
        <v>50</v>
      </c>
      <c r="S1707" t="s">
        <v>28</v>
      </c>
      <c r="T1707" t="s">
        <v>6601</v>
      </c>
      <c r="U1707" t="s">
        <v>6602</v>
      </c>
    </row>
    <row r="1708" spans="1:21" x14ac:dyDescent="0.25">
      <c r="A1708" t="s">
        <v>63</v>
      </c>
      <c r="B1708" t="s">
        <v>64</v>
      </c>
      <c r="C1708">
        <v>100</v>
      </c>
      <c r="D1708">
        <v>2</v>
      </c>
      <c r="E1708">
        <v>0</v>
      </c>
      <c r="F1708" t="s">
        <v>6603</v>
      </c>
      <c r="G1708">
        <v>400</v>
      </c>
      <c r="H1708">
        <v>0</v>
      </c>
      <c r="I1708" t="s">
        <v>24</v>
      </c>
      <c r="J1708" t="s">
        <v>4561</v>
      </c>
      <c r="K1708" t="s">
        <v>321</v>
      </c>
      <c r="L1708" t="s">
        <v>27</v>
      </c>
      <c r="M1708" t="s">
        <v>28</v>
      </c>
      <c r="N1708" t="s">
        <v>6602</v>
      </c>
      <c r="O1708" t="s">
        <v>27</v>
      </c>
      <c r="P1708" t="s">
        <v>39</v>
      </c>
      <c r="Q1708" t="s">
        <v>31</v>
      </c>
      <c r="R1708" t="s">
        <v>32</v>
      </c>
      <c r="S1708" t="s">
        <v>28</v>
      </c>
      <c r="T1708" t="s">
        <v>6604</v>
      </c>
      <c r="U1708" t="s">
        <v>6602</v>
      </c>
    </row>
    <row r="1709" spans="1:21" x14ac:dyDescent="0.25">
      <c r="A1709" t="s">
        <v>134</v>
      </c>
      <c r="B1709" t="s">
        <v>64</v>
      </c>
      <c r="C1709">
        <v>100</v>
      </c>
      <c r="D1709">
        <v>2</v>
      </c>
      <c r="E1709">
        <v>0</v>
      </c>
      <c r="F1709" t="s">
        <v>6603</v>
      </c>
      <c r="G1709">
        <v>400</v>
      </c>
      <c r="H1709">
        <v>0</v>
      </c>
      <c r="I1709" t="s">
        <v>24</v>
      </c>
      <c r="J1709" t="s">
        <v>4561</v>
      </c>
      <c r="K1709" t="s">
        <v>321</v>
      </c>
      <c r="L1709" t="s">
        <v>27</v>
      </c>
      <c r="M1709" t="s">
        <v>28</v>
      </c>
      <c r="N1709" t="s">
        <v>6602</v>
      </c>
      <c r="O1709" t="s">
        <v>27</v>
      </c>
      <c r="P1709" t="s">
        <v>39</v>
      </c>
      <c r="Q1709" t="s">
        <v>31</v>
      </c>
      <c r="R1709" t="s">
        <v>32</v>
      </c>
      <c r="S1709" t="s">
        <v>28</v>
      </c>
      <c r="T1709" t="s">
        <v>6604</v>
      </c>
      <c r="U1709" t="s">
        <v>6602</v>
      </c>
    </row>
    <row r="1710" spans="1:21" x14ac:dyDescent="0.25">
      <c r="A1710" t="s">
        <v>195</v>
      </c>
      <c r="B1710" t="s">
        <v>1003</v>
      </c>
      <c r="C1710">
        <v>119.84</v>
      </c>
      <c r="D1710">
        <v>1</v>
      </c>
      <c r="E1710">
        <v>0</v>
      </c>
      <c r="F1710" t="s">
        <v>6605</v>
      </c>
      <c r="G1710">
        <v>124.84</v>
      </c>
      <c r="H1710">
        <v>5</v>
      </c>
      <c r="I1710" t="s">
        <v>628</v>
      </c>
      <c r="J1710" t="s">
        <v>6606</v>
      </c>
      <c r="K1710" t="s">
        <v>6607</v>
      </c>
      <c r="L1710" t="s">
        <v>666</v>
      </c>
      <c r="M1710" t="s">
        <v>6608</v>
      </c>
      <c r="N1710" t="s">
        <v>6609</v>
      </c>
      <c r="O1710" t="s">
        <v>27</v>
      </c>
      <c r="P1710" t="s">
        <v>48</v>
      </c>
      <c r="Q1710" t="s">
        <v>49</v>
      </c>
      <c r="R1710" t="s">
        <v>50</v>
      </c>
      <c r="S1710" t="s">
        <v>28</v>
      </c>
      <c r="T1710" t="s">
        <v>6610</v>
      </c>
      <c r="U1710" t="s">
        <v>6611</v>
      </c>
    </row>
    <row r="1711" spans="1:21" x14ac:dyDescent="0.25">
      <c r="A1711" t="s">
        <v>63</v>
      </c>
      <c r="B1711" t="s">
        <v>64</v>
      </c>
      <c r="C1711">
        <v>100</v>
      </c>
      <c r="D1711">
        <v>1</v>
      </c>
      <c r="E1711">
        <v>0</v>
      </c>
      <c r="F1711" t="s">
        <v>6612</v>
      </c>
      <c r="G1711">
        <v>145</v>
      </c>
      <c r="H1711">
        <v>45</v>
      </c>
      <c r="I1711" t="s">
        <v>445</v>
      </c>
      <c r="J1711" t="s">
        <v>6613</v>
      </c>
      <c r="K1711" t="s">
        <v>250</v>
      </c>
      <c r="L1711" t="s">
        <v>27</v>
      </c>
      <c r="M1711" t="s">
        <v>28</v>
      </c>
      <c r="N1711" t="s">
        <v>6614</v>
      </c>
      <c r="O1711" t="s">
        <v>27</v>
      </c>
      <c r="P1711" t="s">
        <v>56</v>
      </c>
      <c r="Q1711" t="s">
        <v>31</v>
      </c>
      <c r="R1711" t="s">
        <v>57</v>
      </c>
      <c r="S1711" t="s">
        <v>28</v>
      </c>
      <c r="T1711" t="s">
        <v>6615</v>
      </c>
      <c r="U1711" t="s">
        <v>6616</v>
      </c>
    </row>
    <row r="1712" spans="1:21" x14ac:dyDescent="0.25">
      <c r="A1712" t="s">
        <v>143</v>
      </c>
      <c r="B1712" t="s">
        <v>144</v>
      </c>
      <c r="C1712">
        <v>200</v>
      </c>
      <c r="D1712">
        <v>1</v>
      </c>
      <c r="E1712">
        <v>0</v>
      </c>
      <c r="F1712" t="s">
        <v>6617</v>
      </c>
      <c r="G1712">
        <v>200</v>
      </c>
      <c r="H1712">
        <v>0</v>
      </c>
      <c r="I1712" t="s">
        <v>24</v>
      </c>
      <c r="J1712" t="s">
        <v>6618</v>
      </c>
      <c r="K1712" t="s">
        <v>61</v>
      </c>
      <c r="L1712" t="s">
        <v>27</v>
      </c>
      <c r="M1712" t="s">
        <v>28</v>
      </c>
      <c r="N1712" t="s">
        <v>6619</v>
      </c>
      <c r="O1712" t="s">
        <v>27</v>
      </c>
      <c r="P1712" t="s">
        <v>39</v>
      </c>
      <c r="Q1712" t="s">
        <v>31</v>
      </c>
      <c r="R1712" t="s">
        <v>32</v>
      </c>
      <c r="S1712" t="s">
        <v>28</v>
      </c>
      <c r="T1712" t="s">
        <v>6620</v>
      </c>
      <c r="U1712" t="s">
        <v>6619</v>
      </c>
    </row>
    <row r="1713" spans="1:21" x14ac:dyDescent="0.25">
      <c r="A1713" t="s">
        <v>195</v>
      </c>
      <c r="B1713" t="s">
        <v>1003</v>
      </c>
      <c r="C1713">
        <v>119.84</v>
      </c>
      <c r="D1713">
        <v>1</v>
      </c>
      <c r="E1713">
        <v>0</v>
      </c>
      <c r="F1713" t="s">
        <v>6621</v>
      </c>
      <c r="G1713">
        <v>124.84</v>
      </c>
      <c r="H1713">
        <v>5</v>
      </c>
      <c r="I1713" t="s">
        <v>628</v>
      </c>
      <c r="J1713" t="s">
        <v>4234</v>
      </c>
      <c r="K1713" t="s">
        <v>4235</v>
      </c>
      <c r="L1713" t="s">
        <v>1737</v>
      </c>
      <c r="M1713" t="s">
        <v>4236</v>
      </c>
      <c r="N1713" t="s">
        <v>6619</v>
      </c>
      <c r="O1713" t="s">
        <v>27</v>
      </c>
      <c r="P1713" t="s">
        <v>48</v>
      </c>
      <c r="Q1713" t="s">
        <v>49</v>
      </c>
      <c r="R1713" t="s">
        <v>50</v>
      </c>
      <c r="S1713" t="s">
        <v>28</v>
      </c>
      <c r="T1713" t="s">
        <v>6622</v>
      </c>
      <c r="U1713" t="s">
        <v>6619</v>
      </c>
    </row>
    <row r="1714" spans="1:21" x14ac:dyDescent="0.25">
      <c r="A1714" t="s">
        <v>195</v>
      </c>
      <c r="B1714" t="s">
        <v>1003</v>
      </c>
      <c r="C1714">
        <v>142.31</v>
      </c>
      <c r="D1714">
        <v>1</v>
      </c>
      <c r="E1714">
        <v>0</v>
      </c>
      <c r="F1714" t="s">
        <v>6623</v>
      </c>
      <c r="G1714">
        <v>147.31</v>
      </c>
      <c r="H1714">
        <v>5</v>
      </c>
      <c r="I1714" t="s">
        <v>628</v>
      </c>
      <c r="J1714" t="s">
        <v>6624</v>
      </c>
      <c r="K1714" t="s">
        <v>6625</v>
      </c>
      <c r="L1714" t="s">
        <v>6626</v>
      </c>
      <c r="M1714" t="s">
        <v>6627</v>
      </c>
      <c r="N1714" t="s">
        <v>6628</v>
      </c>
      <c r="O1714" t="s">
        <v>27</v>
      </c>
      <c r="P1714" t="s">
        <v>48</v>
      </c>
      <c r="Q1714" t="s">
        <v>49</v>
      </c>
      <c r="R1714" t="s">
        <v>50</v>
      </c>
      <c r="S1714" t="s">
        <v>28</v>
      </c>
      <c r="T1714" t="s">
        <v>6629</v>
      </c>
      <c r="U1714" t="s">
        <v>6630</v>
      </c>
    </row>
    <row r="1715" spans="1:21" x14ac:dyDescent="0.25">
      <c r="A1715" t="s">
        <v>456</v>
      </c>
      <c r="B1715" t="s">
        <v>1178</v>
      </c>
      <c r="C1715">
        <v>101.87</v>
      </c>
      <c r="D1715">
        <v>1</v>
      </c>
      <c r="E1715">
        <v>0</v>
      </c>
      <c r="F1715" t="s">
        <v>6631</v>
      </c>
      <c r="G1715">
        <v>407.46</v>
      </c>
      <c r="H1715">
        <v>0</v>
      </c>
      <c r="I1715" t="s">
        <v>628</v>
      </c>
      <c r="J1715" t="s">
        <v>3281</v>
      </c>
      <c r="K1715" t="s">
        <v>3282</v>
      </c>
      <c r="L1715" t="s">
        <v>3283</v>
      </c>
      <c r="M1715" t="s">
        <v>3284</v>
      </c>
      <c r="N1715" t="s">
        <v>6628</v>
      </c>
      <c r="O1715" t="s">
        <v>27</v>
      </c>
      <c r="P1715" t="s">
        <v>48</v>
      </c>
      <c r="Q1715" t="s">
        <v>49</v>
      </c>
      <c r="R1715" t="s">
        <v>50</v>
      </c>
      <c r="S1715" t="s">
        <v>28</v>
      </c>
      <c r="T1715" t="s">
        <v>6632</v>
      </c>
      <c r="U1715" t="s">
        <v>6633</v>
      </c>
    </row>
    <row r="1716" spans="1:21" x14ac:dyDescent="0.25">
      <c r="A1716" t="s">
        <v>456</v>
      </c>
      <c r="B1716" t="s">
        <v>1178</v>
      </c>
      <c r="C1716">
        <v>101.86</v>
      </c>
      <c r="D1716">
        <v>1</v>
      </c>
      <c r="E1716">
        <v>0</v>
      </c>
      <c r="F1716" t="s">
        <v>6631</v>
      </c>
      <c r="G1716">
        <v>407.46</v>
      </c>
      <c r="H1716">
        <v>0</v>
      </c>
      <c r="I1716" t="s">
        <v>628</v>
      </c>
      <c r="J1716" t="s">
        <v>3281</v>
      </c>
      <c r="K1716" t="s">
        <v>3282</v>
      </c>
      <c r="L1716" t="s">
        <v>3283</v>
      </c>
      <c r="M1716" t="s">
        <v>3284</v>
      </c>
      <c r="N1716" t="s">
        <v>6628</v>
      </c>
      <c r="O1716" t="s">
        <v>27</v>
      </c>
      <c r="P1716" t="s">
        <v>48</v>
      </c>
      <c r="Q1716" t="s">
        <v>49</v>
      </c>
      <c r="R1716" t="s">
        <v>50</v>
      </c>
      <c r="S1716" t="s">
        <v>28</v>
      </c>
      <c r="T1716" t="s">
        <v>6632</v>
      </c>
      <c r="U1716" t="s">
        <v>6633</v>
      </c>
    </row>
    <row r="1717" spans="1:21" x14ac:dyDescent="0.25">
      <c r="A1717" t="s">
        <v>456</v>
      </c>
      <c r="B1717" t="s">
        <v>1178</v>
      </c>
      <c r="C1717">
        <v>101.87</v>
      </c>
      <c r="D1717">
        <v>1</v>
      </c>
      <c r="E1717">
        <v>0</v>
      </c>
      <c r="F1717" t="s">
        <v>6631</v>
      </c>
      <c r="G1717">
        <v>407.46</v>
      </c>
      <c r="H1717">
        <v>0</v>
      </c>
      <c r="I1717" t="s">
        <v>628</v>
      </c>
      <c r="J1717" t="s">
        <v>3281</v>
      </c>
      <c r="K1717" t="s">
        <v>3282</v>
      </c>
      <c r="L1717" t="s">
        <v>3283</v>
      </c>
      <c r="M1717" t="s">
        <v>3284</v>
      </c>
      <c r="N1717" t="s">
        <v>6628</v>
      </c>
      <c r="O1717" t="s">
        <v>27</v>
      </c>
      <c r="P1717" t="s">
        <v>48</v>
      </c>
      <c r="Q1717" t="s">
        <v>49</v>
      </c>
      <c r="R1717" t="s">
        <v>50</v>
      </c>
      <c r="S1717" t="s">
        <v>28</v>
      </c>
      <c r="T1717" t="s">
        <v>6632</v>
      </c>
      <c r="U1717" t="s">
        <v>6633</v>
      </c>
    </row>
    <row r="1718" spans="1:21" x14ac:dyDescent="0.25">
      <c r="A1718" t="s">
        <v>456</v>
      </c>
      <c r="B1718" t="s">
        <v>1178</v>
      </c>
      <c r="C1718">
        <v>101.86</v>
      </c>
      <c r="D1718">
        <v>1</v>
      </c>
      <c r="E1718">
        <v>0</v>
      </c>
      <c r="F1718" t="s">
        <v>6631</v>
      </c>
      <c r="G1718">
        <v>407.46</v>
      </c>
      <c r="H1718">
        <v>0</v>
      </c>
      <c r="I1718" t="s">
        <v>628</v>
      </c>
      <c r="J1718" t="s">
        <v>3281</v>
      </c>
      <c r="K1718" t="s">
        <v>3282</v>
      </c>
      <c r="L1718" t="s">
        <v>3283</v>
      </c>
      <c r="M1718" t="s">
        <v>3284</v>
      </c>
      <c r="N1718" t="s">
        <v>6628</v>
      </c>
      <c r="O1718" t="s">
        <v>27</v>
      </c>
      <c r="P1718" t="s">
        <v>48</v>
      </c>
      <c r="Q1718" t="s">
        <v>49</v>
      </c>
      <c r="R1718" t="s">
        <v>50</v>
      </c>
      <c r="S1718" t="s">
        <v>28</v>
      </c>
      <c r="T1718" t="s">
        <v>6632</v>
      </c>
      <c r="U1718" t="s">
        <v>6633</v>
      </c>
    </row>
    <row r="1719" spans="1:21" x14ac:dyDescent="0.25">
      <c r="A1719" t="s">
        <v>456</v>
      </c>
      <c r="B1719" t="s">
        <v>1178</v>
      </c>
      <c r="C1719">
        <v>142.31</v>
      </c>
      <c r="D1719">
        <v>1</v>
      </c>
      <c r="E1719">
        <v>0</v>
      </c>
      <c r="F1719" t="s">
        <v>6634</v>
      </c>
      <c r="G1719">
        <v>142.31</v>
      </c>
      <c r="H1719">
        <v>0</v>
      </c>
      <c r="I1719" t="s">
        <v>628</v>
      </c>
      <c r="J1719" t="s">
        <v>6635</v>
      </c>
      <c r="K1719" t="s">
        <v>6636</v>
      </c>
      <c r="L1719" t="s">
        <v>2035</v>
      </c>
      <c r="M1719" t="s">
        <v>6637</v>
      </c>
      <c r="N1719" t="s">
        <v>6638</v>
      </c>
      <c r="O1719" t="s">
        <v>27</v>
      </c>
      <c r="P1719" t="s">
        <v>48</v>
      </c>
      <c r="Q1719" t="s">
        <v>49</v>
      </c>
      <c r="R1719" t="s">
        <v>50</v>
      </c>
      <c r="S1719" t="s">
        <v>28</v>
      </c>
      <c r="T1719" t="s">
        <v>6639</v>
      </c>
      <c r="U1719" t="s">
        <v>6638</v>
      </c>
    </row>
    <row r="1720" spans="1:21" x14ac:dyDescent="0.25">
      <c r="A1720" t="s">
        <v>456</v>
      </c>
      <c r="B1720" t="s">
        <v>1178</v>
      </c>
      <c r="C1720">
        <v>104.86</v>
      </c>
      <c r="D1720">
        <v>1</v>
      </c>
      <c r="E1720">
        <v>0</v>
      </c>
      <c r="F1720" t="s">
        <v>6640</v>
      </c>
      <c r="G1720">
        <v>209.72</v>
      </c>
      <c r="H1720">
        <v>0</v>
      </c>
      <c r="I1720" t="s">
        <v>628</v>
      </c>
      <c r="J1720" t="s">
        <v>3281</v>
      </c>
      <c r="K1720" t="s">
        <v>3282</v>
      </c>
      <c r="L1720" t="s">
        <v>3283</v>
      </c>
      <c r="M1720" t="s">
        <v>3284</v>
      </c>
      <c r="N1720" t="s">
        <v>6641</v>
      </c>
      <c r="O1720" t="s">
        <v>27</v>
      </c>
      <c r="P1720" t="s">
        <v>48</v>
      </c>
      <c r="Q1720" t="s">
        <v>49</v>
      </c>
      <c r="R1720" t="s">
        <v>50</v>
      </c>
      <c r="S1720" t="s">
        <v>28</v>
      </c>
      <c r="T1720" t="s">
        <v>6642</v>
      </c>
      <c r="U1720" t="s">
        <v>6641</v>
      </c>
    </row>
    <row r="1721" spans="1:21" x14ac:dyDescent="0.25">
      <c r="A1721" t="s">
        <v>456</v>
      </c>
      <c r="B1721" t="s">
        <v>1178</v>
      </c>
      <c r="C1721">
        <v>104.86</v>
      </c>
      <c r="D1721">
        <v>1</v>
      </c>
      <c r="E1721">
        <v>0</v>
      </c>
      <c r="F1721" t="s">
        <v>6640</v>
      </c>
      <c r="G1721">
        <v>209.72</v>
      </c>
      <c r="H1721">
        <v>0</v>
      </c>
      <c r="I1721" t="s">
        <v>628</v>
      </c>
      <c r="J1721" t="s">
        <v>3281</v>
      </c>
      <c r="K1721" t="s">
        <v>3282</v>
      </c>
      <c r="L1721" t="s">
        <v>3283</v>
      </c>
      <c r="M1721" t="s">
        <v>3284</v>
      </c>
      <c r="N1721" t="s">
        <v>6641</v>
      </c>
      <c r="O1721" t="s">
        <v>27</v>
      </c>
      <c r="P1721" t="s">
        <v>48</v>
      </c>
      <c r="Q1721" t="s">
        <v>49</v>
      </c>
      <c r="R1721" t="s">
        <v>50</v>
      </c>
      <c r="S1721" t="s">
        <v>28</v>
      </c>
      <c r="T1721" t="s">
        <v>6642</v>
      </c>
      <c r="U1721" t="s">
        <v>6641</v>
      </c>
    </row>
    <row r="1722" spans="1:21" x14ac:dyDescent="0.25">
      <c r="A1722" t="s">
        <v>456</v>
      </c>
      <c r="B1722" t="s">
        <v>1178</v>
      </c>
      <c r="C1722">
        <v>142.31</v>
      </c>
      <c r="D1722">
        <v>1</v>
      </c>
      <c r="E1722">
        <v>0</v>
      </c>
      <c r="F1722" t="s">
        <v>6643</v>
      </c>
      <c r="G1722">
        <v>142.31</v>
      </c>
      <c r="H1722">
        <v>0</v>
      </c>
      <c r="I1722" t="s">
        <v>628</v>
      </c>
      <c r="J1722" t="s">
        <v>6644</v>
      </c>
      <c r="K1722" t="s">
        <v>6645</v>
      </c>
      <c r="L1722" t="s">
        <v>6646</v>
      </c>
      <c r="M1722" t="s">
        <v>6647</v>
      </c>
      <c r="N1722" t="s">
        <v>6648</v>
      </c>
      <c r="O1722" t="s">
        <v>27</v>
      </c>
      <c r="P1722" t="s">
        <v>48</v>
      </c>
      <c r="Q1722" t="s">
        <v>49</v>
      </c>
      <c r="R1722" t="s">
        <v>50</v>
      </c>
      <c r="S1722" t="s">
        <v>28</v>
      </c>
      <c r="T1722" t="s">
        <v>6649</v>
      </c>
      <c r="U1722" t="s">
        <v>6648</v>
      </c>
    </row>
    <row r="1723" spans="1:21" x14ac:dyDescent="0.25">
      <c r="A1723" t="s">
        <v>134</v>
      </c>
      <c r="B1723" t="s">
        <v>64</v>
      </c>
      <c r="C1723">
        <v>100</v>
      </c>
      <c r="D1723">
        <v>1</v>
      </c>
      <c r="E1723">
        <v>0</v>
      </c>
      <c r="F1723" t="s">
        <v>6650</v>
      </c>
      <c r="G1723">
        <v>100</v>
      </c>
      <c r="H1723">
        <v>0</v>
      </c>
      <c r="I1723" t="s">
        <v>24</v>
      </c>
      <c r="J1723" t="s">
        <v>6651</v>
      </c>
      <c r="K1723" t="s">
        <v>247</v>
      </c>
      <c r="L1723" t="s">
        <v>27</v>
      </c>
      <c r="M1723" t="s">
        <v>28</v>
      </c>
      <c r="N1723" t="s">
        <v>6648</v>
      </c>
      <c r="O1723" t="s">
        <v>27</v>
      </c>
      <c r="P1723" t="s">
        <v>56</v>
      </c>
      <c r="Q1723" t="s">
        <v>31</v>
      </c>
      <c r="R1723" t="s">
        <v>57</v>
      </c>
      <c r="S1723" t="s">
        <v>28</v>
      </c>
      <c r="T1723" t="s">
        <v>6652</v>
      </c>
      <c r="U1723" t="s">
        <v>6648</v>
      </c>
    </row>
    <row r="1724" spans="1:21" x14ac:dyDescent="0.25">
      <c r="A1724" t="s">
        <v>195</v>
      </c>
      <c r="B1724" t="s">
        <v>1003</v>
      </c>
      <c r="C1724">
        <v>112.84</v>
      </c>
      <c r="D1724">
        <v>1</v>
      </c>
      <c r="E1724">
        <v>0</v>
      </c>
      <c r="F1724" t="s">
        <v>6653</v>
      </c>
      <c r="G1724">
        <v>117.84</v>
      </c>
      <c r="H1724">
        <v>5</v>
      </c>
      <c r="I1724" t="s">
        <v>628</v>
      </c>
      <c r="J1724" t="s">
        <v>6654</v>
      </c>
      <c r="K1724" t="s">
        <v>6655</v>
      </c>
      <c r="L1724" t="s">
        <v>5918</v>
      </c>
      <c r="M1724" t="s">
        <v>6656</v>
      </c>
      <c r="N1724" t="s">
        <v>6657</v>
      </c>
      <c r="O1724" t="s">
        <v>27</v>
      </c>
      <c r="P1724" t="s">
        <v>48</v>
      </c>
      <c r="Q1724" t="s">
        <v>49</v>
      </c>
      <c r="R1724" t="s">
        <v>50</v>
      </c>
      <c r="S1724" t="s">
        <v>28</v>
      </c>
      <c r="T1724" t="s">
        <v>6658</v>
      </c>
      <c r="U1724" t="s">
        <v>6657</v>
      </c>
    </row>
    <row r="1725" spans="1:21" x14ac:dyDescent="0.25">
      <c r="A1725" t="s">
        <v>456</v>
      </c>
      <c r="B1725" t="s">
        <v>6659</v>
      </c>
      <c r="C1725">
        <v>239</v>
      </c>
      <c r="D1725">
        <v>1</v>
      </c>
      <c r="E1725">
        <v>0</v>
      </c>
      <c r="F1725" t="s">
        <v>6660</v>
      </c>
      <c r="G1725">
        <v>263</v>
      </c>
      <c r="H1725">
        <v>24</v>
      </c>
      <c r="I1725" t="s">
        <v>24</v>
      </c>
      <c r="J1725" t="s">
        <v>6661</v>
      </c>
      <c r="K1725" t="s">
        <v>6662</v>
      </c>
      <c r="L1725" t="s">
        <v>6663</v>
      </c>
      <c r="M1725" t="s">
        <v>6664</v>
      </c>
      <c r="N1725" t="s">
        <v>6665</v>
      </c>
      <c r="O1725" t="s">
        <v>27</v>
      </c>
      <c r="P1725" t="s">
        <v>48</v>
      </c>
      <c r="Q1725" t="s">
        <v>49</v>
      </c>
      <c r="R1725" t="s">
        <v>50</v>
      </c>
      <c r="S1725" t="s">
        <v>28</v>
      </c>
      <c r="T1725" t="s">
        <v>6666</v>
      </c>
      <c r="U1725" t="s">
        <v>6665</v>
      </c>
    </row>
    <row r="1726" spans="1:21" x14ac:dyDescent="0.25">
      <c r="A1726" t="s">
        <v>456</v>
      </c>
      <c r="B1726" t="s">
        <v>457</v>
      </c>
      <c r="C1726">
        <v>199</v>
      </c>
      <c r="D1726">
        <v>1</v>
      </c>
      <c r="E1726">
        <v>0</v>
      </c>
      <c r="F1726" t="s">
        <v>6667</v>
      </c>
      <c r="G1726">
        <v>244</v>
      </c>
      <c r="H1726">
        <v>45</v>
      </c>
      <c r="I1726" t="s">
        <v>24</v>
      </c>
      <c r="J1726" t="s">
        <v>6668</v>
      </c>
      <c r="K1726" t="s">
        <v>6669</v>
      </c>
      <c r="L1726" t="s">
        <v>6670</v>
      </c>
      <c r="M1726" t="s">
        <v>6671</v>
      </c>
      <c r="N1726" t="s">
        <v>6672</v>
      </c>
      <c r="O1726" t="s">
        <v>27</v>
      </c>
      <c r="P1726" t="s">
        <v>193</v>
      </c>
      <c r="Q1726" t="s">
        <v>85</v>
      </c>
      <c r="R1726" t="s">
        <v>86</v>
      </c>
      <c r="S1726" t="s">
        <v>28</v>
      </c>
      <c r="T1726" t="s">
        <v>6673</v>
      </c>
      <c r="U1726" t="s">
        <v>6674</v>
      </c>
    </row>
    <row r="1727" spans="1:21" x14ac:dyDescent="0.25">
      <c r="A1727" t="s">
        <v>143</v>
      </c>
      <c r="B1727" t="s">
        <v>144</v>
      </c>
      <c r="C1727">
        <v>200</v>
      </c>
      <c r="D1727">
        <v>1</v>
      </c>
      <c r="E1727">
        <v>0</v>
      </c>
      <c r="F1727" t="s">
        <v>6675</v>
      </c>
      <c r="G1727">
        <v>200</v>
      </c>
      <c r="H1727">
        <v>0</v>
      </c>
      <c r="I1727" t="s">
        <v>24</v>
      </c>
      <c r="J1727" t="s">
        <v>6676</v>
      </c>
      <c r="K1727" t="s">
        <v>26</v>
      </c>
      <c r="L1727" t="s">
        <v>27</v>
      </c>
      <c r="M1727" t="s">
        <v>28</v>
      </c>
      <c r="N1727" t="s">
        <v>6677</v>
      </c>
      <c r="O1727" t="s">
        <v>27</v>
      </c>
      <c r="P1727" t="s">
        <v>39</v>
      </c>
      <c r="Q1727" t="s">
        <v>31</v>
      </c>
      <c r="R1727" t="s">
        <v>32</v>
      </c>
      <c r="S1727" t="s">
        <v>28</v>
      </c>
      <c r="T1727" t="s">
        <v>6678</v>
      </c>
      <c r="U1727" t="s">
        <v>6677</v>
      </c>
    </row>
    <row r="1728" spans="1:21" x14ac:dyDescent="0.25">
      <c r="A1728" t="s">
        <v>456</v>
      </c>
      <c r="B1728" t="s">
        <v>457</v>
      </c>
      <c r="C1728">
        <v>197</v>
      </c>
      <c r="D1728">
        <v>1</v>
      </c>
      <c r="E1728">
        <v>0</v>
      </c>
      <c r="F1728" t="s">
        <v>6679</v>
      </c>
      <c r="G1728">
        <v>226</v>
      </c>
      <c r="H1728">
        <v>29</v>
      </c>
      <c r="I1728" t="s">
        <v>445</v>
      </c>
      <c r="J1728" t="s">
        <v>502</v>
      </c>
      <c r="K1728" t="s">
        <v>6680</v>
      </c>
      <c r="L1728" t="s">
        <v>3264</v>
      </c>
      <c r="M1728" t="s">
        <v>6681</v>
      </c>
      <c r="N1728" t="s">
        <v>6682</v>
      </c>
      <c r="O1728" t="s">
        <v>27</v>
      </c>
      <c r="P1728" t="s">
        <v>193</v>
      </c>
      <c r="Q1728" t="s">
        <v>85</v>
      </c>
      <c r="R1728" t="s">
        <v>86</v>
      </c>
      <c r="S1728" t="s">
        <v>28</v>
      </c>
      <c r="T1728" t="s">
        <v>6683</v>
      </c>
      <c r="U1728" t="s">
        <v>6684</v>
      </c>
    </row>
    <row r="1729" spans="1:21" x14ac:dyDescent="0.25">
      <c r="A1729" t="s">
        <v>456</v>
      </c>
      <c r="B1729" t="s">
        <v>457</v>
      </c>
      <c r="C1729">
        <v>197</v>
      </c>
      <c r="D1729">
        <v>1</v>
      </c>
      <c r="E1729">
        <v>0</v>
      </c>
      <c r="F1729" t="s">
        <v>6685</v>
      </c>
      <c r="G1729">
        <v>226</v>
      </c>
      <c r="H1729">
        <v>29</v>
      </c>
      <c r="I1729" t="s">
        <v>445</v>
      </c>
      <c r="J1729" t="s">
        <v>6686</v>
      </c>
      <c r="K1729" t="s">
        <v>6680</v>
      </c>
      <c r="L1729" t="s">
        <v>3264</v>
      </c>
      <c r="M1729" t="s">
        <v>6687</v>
      </c>
      <c r="N1729" t="s">
        <v>6688</v>
      </c>
      <c r="O1729" t="s">
        <v>27</v>
      </c>
      <c r="P1729" t="s">
        <v>193</v>
      </c>
      <c r="Q1729" t="s">
        <v>85</v>
      </c>
      <c r="R1729" t="s">
        <v>86</v>
      </c>
      <c r="S1729" t="s">
        <v>28</v>
      </c>
      <c r="T1729" t="s">
        <v>6689</v>
      </c>
      <c r="U1729" t="s">
        <v>6690</v>
      </c>
    </row>
    <row r="1730" spans="1:21" x14ac:dyDescent="0.25">
      <c r="A1730" t="s">
        <v>143</v>
      </c>
      <c r="B1730" t="s">
        <v>144</v>
      </c>
      <c r="C1730">
        <v>200</v>
      </c>
      <c r="D1730">
        <v>1</v>
      </c>
      <c r="E1730">
        <v>0</v>
      </c>
      <c r="F1730" t="s">
        <v>6691</v>
      </c>
      <c r="G1730">
        <v>200</v>
      </c>
      <c r="H1730">
        <v>0</v>
      </c>
      <c r="I1730" t="s">
        <v>140</v>
      </c>
      <c r="J1730" t="s">
        <v>6692</v>
      </c>
      <c r="K1730" t="s">
        <v>758</v>
      </c>
      <c r="L1730" t="s">
        <v>27</v>
      </c>
      <c r="M1730" t="s">
        <v>28</v>
      </c>
      <c r="N1730" t="s">
        <v>6693</v>
      </c>
      <c r="O1730" t="s">
        <v>27</v>
      </c>
      <c r="P1730" t="s">
        <v>30</v>
      </c>
      <c r="Q1730" t="s">
        <v>31</v>
      </c>
      <c r="R1730" t="s">
        <v>32</v>
      </c>
      <c r="S1730" t="s">
        <v>28</v>
      </c>
      <c r="T1730" t="s">
        <v>6694</v>
      </c>
      <c r="U1730" t="s">
        <v>6693</v>
      </c>
    </row>
    <row r="1731" spans="1:21" x14ac:dyDescent="0.25">
      <c r="A1731" t="s">
        <v>63</v>
      </c>
      <c r="B1731" t="s">
        <v>64</v>
      </c>
      <c r="C1731">
        <v>100</v>
      </c>
      <c r="D1731">
        <v>1</v>
      </c>
      <c r="E1731">
        <v>0</v>
      </c>
      <c r="F1731" t="s">
        <v>6695</v>
      </c>
      <c r="G1731">
        <v>106</v>
      </c>
      <c r="H1731">
        <v>6</v>
      </c>
      <c r="I1731" t="s">
        <v>24</v>
      </c>
      <c r="J1731" t="s">
        <v>6696</v>
      </c>
      <c r="K1731" t="s">
        <v>147</v>
      </c>
      <c r="L1731" t="s">
        <v>27</v>
      </c>
      <c r="M1731" t="s">
        <v>28</v>
      </c>
      <c r="N1731" t="s">
        <v>6697</v>
      </c>
      <c r="O1731" t="s">
        <v>27</v>
      </c>
      <c r="P1731" t="s">
        <v>39</v>
      </c>
      <c r="Q1731" t="s">
        <v>31</v>
      </c>
      <c r="R1731" t="s">
        <v>32</v>
      </c>
      <c r="S1731" t="s">
        <v>28</v>
      </c>
      <c r="T1731" t="s">
        <v>6698</v>
      </c>
      <c r="U1731" t="s">
        <v>6697</v>
      </c>
    </row>
    <row r="1732" spans="1:21" x14ac:dyDescent="0.25">
      <c r="A1732" t="s">
        <v>63</v>
      </c>
      <c r="B1732" t="s">
        <v>64</v>
      </c>
      <c r="C1732">
        <v>100</v>
      </c>
      <c r="D1732">
        <v>1</v>
      </c>
      <c r="E1732">
        <v>0</v>
      </c>
      <c r="F1732" t="s">
        <v>6699</v>
      </c>
      <c r="G1732">
        <v>145</v>
      </c>
      <c r="H1732">
        <v>45</v>
      </c>
      <c r="I1732" t="s">
        <v>445</v>
      </c>
      <c r="J1732" t="s">
        <v>6700</v>
      </c>
      <c r="K1732" t="s">
        <v>61</v>
      </c>
      <c r="L1732" t="s">
        <v>27</v>
      </c>
      <c r="M1732" t="s">
        <v>28</v>
      </c>
      <c r="N1732" t="s">
        <v>6701</v>
      </c>
      <c r="O1732" t="s">
        <v>27</v>
      </c>
      <c r="P1732" t="s">
        <v>56</v>
      </c>
      <c r="Q1732" t="s">
        <v>31</v>
      </c>
      <c r="R1732" t="s">
        <v>57</v>
      </c>
      <c r="S1732" t="s">
        <v>28</v>
      </c>
      <c r="T1732" t="s">
        <v>6702</v>
      </c>
      <c r="U1732" t="s">
        <v>6703</v>
      </c>
    </row>
    <row r="1733" spans="1:21" x14ac:dyDescent="0.25">
      <c r="A1733" t="s">
        <v>143</v>
      </c>
      <c r="B1733" t="s">
        <v>144</v>
      </c>
      <c r="C1733">
        <v>200</v>
      </c>
      <c r="D1733">
        <v>1</v>
      </c>
      <c r="E1733">
        <v>0</v>
      </c>
      <c r="F1733" t="s">
        <v>6704</v>
      </c>
      <c r="G1733">
        <v>200</v>
      </c>
      <c r="H1733">
        <v>0</v>
      </c>
      <c r="I1733" t="s">
        <v>24</v>
      </c>
      <c r="J1733" t="s">
        <v>6705</v>
      </c>
      <c r="K1733" t="s">
        <v>61</v>
      </c>
      <c r="L1733" t="s">
        <v>27</v>
      </c>
      <c r="M1733" t="s">
        <v>28</v>
      </c>
      <c r="N1733" t="s">
        <v>6706</v>
      </c>
      <c r="O1733" t="s">
        <v>27</v>
      </c>
      <c r="P1733" t="s">
        <v>369</v>
      </c>
      <c r="Q1733" t="s">
        <v>31</v>
      </c>
      <c r="R1733" t="s">
        <v>57</v>
      </c>
      <c r="S1733" t="s">
        <v>28</v>
      </c>
      <c r="T1733" t="s">
        <v>6707</v>
      </c>
      <c r="U1733" t="s">
        <v>6706</v>
      </c>
    </row>
    <row r="1734" spans="1:21" x14ac:dyDescent="0.25">
      <c r="A1734" t="s">
        <v>134</v>
      </c>
      <c r="B1734" t="s">
        <v>64</v>
      </c>
      <c r="C1734">
        <v>100</v>
      </c>
      <c r="D1734">
        <v>2</v>
      </c>
      <c r="E1734">
        <v>0</v>
      </c>
      <c r="F1734" t="s">
        <v>6708</v>
      </c>
      <c r="G1734">
        <v>200</v>
      </c>
      <c r="H1734">
        <v>0</v>
      </c>
      <c r="I1734" t="s">
        <v>24</v>
      </c>
      <c r="J1734" t="s">
        <v>6709</v>
      </c>
      <c r="K1734" t="s">
        <v>67</v>
      </c>
      <c r="L1734" t="s">
        <v>27</v>
      </c>
      <c r="M1734" t="s">
        <v>28</v>
      </c>
      <c r="N1734" t="s">
        <v>6710</v>
      </c>
      <c r="O1734" t="s">
        <v>27</v>
      </c>
      <c r="P1734" t="s">
        <v>30</v>
      </c>
      <c r="Q1734" t="s">
        <v>31</v>
      </c>
      <c r="R1734" t="s">
        <v>32</v>
      </c>
      <c r="S1734" t="s">
        <v>28</v>
      </c>
      <c r="T1734" t="s">
        <v>6711</v>
      </c>
      <c r="U1734" t="s">
        <v>6710</v>
      </c>
    </row>
    <row r="1735" spans="1:21" x14ac:dyDescent="0.25">
      <c r="A1735" t="s">
        <v>63</v>
      </c>
      <c r="B1735" t="s">
        <v>64</v>
      </c>
      <c r="C1735">
        <v>100</v>
      </c>
      <c r="D1735">
        <v>1</v>
      </c>
      <c r="E1735">
        <v>0</v>
      </c>
      <c r="F1735" t="s">
        <v>6712</v>
      </c>
      <c r="G1735">
        <v>106</v>
      </c>
      <c r="H1735">
        <v>6</v>
      </c>
      <c r="I1735" t="s">
        <v>140</v>
      </c>
      <c r="J1735" t="s">
        <v>6179</v>
      </c>
      <c r="K1735" t="s">
        <v>54</v>
      </c>
      <c r="L1735" t="s">
        <v>27</v>
      </c>
      <c r="M1735" t="s">
        <v>28</v>
      </c>
      <c r="N1735" t="s">
        <v>6713</v>
      </c>
      <c r="O1735" t="s">
        <v>27</v>
      </c>
      <c r="P1735" t="s">
        <v>30</v>
      </c>
      <c r="Q1735" t="s">
        <v>31</v>
      </c>
      <c r="R1735" t="s">
        <v>32</v>
      </c>
      <c r="S1735" t="s">
        <v>28</v>
      </c>
      <c r="T1735" t="s">
        <v>6714</v>
      </c>
      <c r="U1735" t="s">
        <v>6713</v>
      </c>
    </row>
    <row r="1736" spans="1:21" x14ac:dyDescent="0.25">
      <c r="A1736" t="s">
        <v>134</v>
      </c>
      <c r="B1736" t="s">
        <v>64</v>
      </c>
      <c r="C1736">
        <v>150</v>
      </c>
      <c r="D1736">
        <v>1</v>
      </c>
      <c r="E1736">
        <v>0</v>
      </c>
      <c r="F1736" t="s">
        <v>6715</v>
      </c>
      <c r="G1736">
        <v>271</v>
      </c>
      <c r="H1736">
        <v>41</v>
      </c>
      <c r="I1736" t="s">
        <v>445</v>
      </c>
      <c r="J1736" t="s">
        <v>6716</v>
      </c>
      <c r="K1736" t="s">
        <v>6717</v>
      </c>
      <c r="L1736" t="s">
        <v>1453</v>
      </c>
      <c r="M1736" t="s">
        <v>6718</v>
      </c>
      <c r="N1736" t="s">
        <v>6719</v>
      </c>
      <c r="O1736" t="s">
        <v>27</v>
      </c>
      <c r="P1736" t="s">
        <v>193</v>
      </c>
      <c r="Q1736" t="s">
        <v>85</v>
      </c>
      <c r="R1736" t="s">
        <v>86</v>
      </c>
      <c r="S1736" t="s">
        <v>28</v>
      </c>
      <c r="T1736" t="s">
        <v>6720</v>
      </c>
      <c r="U1736" t="s">
        <v>6721</v>
      </c>
    </row>
    <row r="1737" spans="1:21" x14ac:dyDescent="0.25">
      <c r="A1737" t="s">
        <v>134</v>
      </c>
      <c r="B1737" t="s">
        <v>64</v>
      </c>
      <c r="C1737">
        <v>100</v>
      </c>
      <c r="D1737">
        <v>1</v>
      </c>
      <c r="E1737">
        <v>0</v>
      </c>
      <c r="F1737" t="s">
        <v>6722</v>
      </c>
      <c r="G1737">
        <v>106</v>
      </c>
      <c r="H1737">
        <v>6</v>
      </c>
      <c r="I1737" t="s">
        <v>445</v>
      </c>
      <c r="J1737" t="s">
        <v>6723</v>
      </c>
      <c r="K1737" t="s">
        <v>834</v>
      </c>
      <c r="L1737" t="s">
        <v>27</v>
      </c>
      <c r="M1737" t="s">
        <v>28</v>
      </c>
      <c r="N1737" t="s">
        <v>6724</v>
      </c>
      <c r="O1737" t="s">
        <v>27</v>
      </c>
      <c r="P1737" t="s">
        <v>39</v>
      </c>
      <c r="Q1737" t="s">
        <v>31</v>
      </c>
      <c r="R1737" t="s">
        <v>32</v>
      </c>
      <c r="S1737" t="s">
        <v>28</v>
      </c>
      <c r="T1737" t="s">
        <v>6725</v>
      </c>
      <c r="U1737" t="s">
        <v>6724</v>
      </c>
    </row>
    <row r="1738" spans="1:21" x14ac:dyDescent="0.25">
      <c r="A1738" t="s">
        <v>63</v>
      </c>
      <c r="B1738" t="s">
        <v>64</v>
      </c>
      <c r="C1738">
        <v>100</v>
      </c>
      <c r="D1738">
        <v>1</v>
      </c>
      <c r="E1738">
        <v>0</v>
      </c>
      <c r="F1738" t="s">
        <v>6726</v>
      </c>
      <c r="G1738">
        <v>145</v>
      </c>
      <c r="H1738">
        <v>45</v>
      </c>
      <c r="I1738" t="s">
        <v>445</v>
      </c>
      <c r="J1738" t="s">
        <v>6727</v>
      </c>
      <c r="K1738" t="s">
        <v>677</v>
      </c>
      <c r="L1738" t="s">
        <v>27</v>
      </c>
      <c r="M1738" t="s">
        <v>28</v>
      </c>
      <c r="N1738" t="s">
        <v>6728</v>
      </c>
      <c r="O1738" t="s">
        <v>27</v>
      </c>
      <c r="P1738" t="s">
        <v>39</v>
      </c>
      <c r="Q1738" t="s">
        <v>31</v>
      </c>
      <c r="R1738" t="s">
        <v>32</v>
      </c>
      <c r="S1738" t="s">
        <v>28</v>
      </c>
      <c r="T1738" t="s">
        <v>6729</v>
      </c>
      <c r="U1738" t="s">
        <v>6728</v>
      </c>
    </row>
    <row r="1739" spans="1:21" x14ac:dyDescent="0.25">
      <c r="A1739" t="s">
        <v>456</v>
      </c>
      <c r="B1739" t="s">
        <v>457</v>
      </c>
      <c r="C1739">
        <v>197</v>
      </c>
      <c r="D1739">
        <v>1</v>
      </c>
      <c r="E1739">
        <v>0</v>
      </c>
      <c r="F1739" t="s">
        <v>6730</v>
      </c>
      <c r="G1739">
        <v>242</v>
      </c>
      <c r="H1739">
        <v>45</v>
      </c>
      <c r="I1739" t="s">
        <v>445</v>
      </c>
      <c r="J1739" t="s">
        <v>3411</v>
      </c>
      <c r="K1739" t="s">
        <v>6731</v>
      </c>
      <c r="L1739" t="s">
        <v>1453</v>
      </c>
      <c r="M1739" t="s">
        <v>6732</v>
      </c>
      <c r="N1739" t="s">
        <v>6733</v>
      </c>
      <c r="O1739" t="s">
        <v>27</v>
      </c>
      <c r="P1739" t="s">
        <v>193</v>
      </c>
      <c r="Q1739" t="s">
        <v>85</v>
      </c>
      <c r="R1739" t="s">
        <v>86</v>
      </c>
      <c r="S1739" t="s">
        <v>28</v>
      </c>
      <c r="T1739" t="s">
        <v>6734</v>
      </c>
      <c r="U1739" t="s">
        <v>6735</v>
      </c>
    </row>
    <row r="1740" spans="1:21" x14ac:dyDescent="0.25">
      <c r="A1740" t="s">
        <v>63</v>
      </c>
      <c r="B1740" t="s">
        <v>64</v>
      </c>
      <c r="C1740">
        <v>100</v>
      </c>
      <c r="D1740">
        <v>1</v>
      </c>
      <c r="E1740">
        <v>0</v>
      </c>
      <c r="F1740" t="s">
        <v>6736</v>
      </c>
      <c r="G1740">
        <v>106</v>
      </c>
      <c r="H1740">
        <v>6</v>
      </c>
      <c r="I1740" t="s">
        <v>24</v>
      </c>
      <c r="J1740" t="s">
        <v>6737</v>
      </c>
      <c r="K1740" t="s">
        <v>325</v>
      </c>
      <c r="L1740" t="s">
        <v>27</v>
      </c>
      <c r="M1740" t="s">
        <v>28</v>
      </c>
      <c r="N1740" t="s">
        <v>6738</v>
      </c>
      <c r="O1740" t="s">
        <v>27</v>
      </c>
      <c r="P1740" t="s">
        <v>39</v>
      </c>
      <c r="Q1740" t="s">
        <v>31</v>
      </c>
      <c r="R1740" t="s">
        <v>32</v>
      </c>
      <c r="S1740" t="s">
        <v>28</v>
      </c>
      <c r="T1740" t="s">
        <v>6739</v>
      </c>
      <c r="U1740" t="s">
        <v>6738</v>
      </c>
    </row>
    <row r="1741" spans="1:21" x14ac:dyDescent="0.25">
      <c r="A1741" t="s">
        <v>63</v>
      </c>
      <c r="B1741" t="s">
        <v>64</v>
      </c>
      <c r="C1741">
        <v>100</v>
      </c>
      <c r="D1741">
        <v>1</v>
      </c>
      <c r="E1741">
        <v>0</v>
      </c>
      <c r="F1741" t="s">
        <v>6740</v>
      </c>
      <c r="G1741">
        <v>106</v>
      </c>
      <c r="H1741">
        <v>6</v>
      </c>
      <c r="I1741" t="s">
        <v>140</v>
      </c>
      <c r="J1741" t="s">
        <v>6741</v>
      </c>
      <c r="K1741" t="s">
        <v>346</v>
      </c>
      <c r="L1741" t="s">
        <v>27</v>
      </c>
      <c r="M1741" t="s">
        <v>28</v>
      </c>
      <c r="N1741" t="s">
        <v>6742</v>
      </c>
      <c r="O1741" t="s">
        <v>27</v>
      </c>
      <c r="P1741" t="s">
        <v>30</v>
      </c>
      <c r="Q1741" t="s">
        <v>31</v>
      </c>
      <c r="R1741" t="s">
        <v>32</v>
      </c>
      <c r="S1741" t="s">
        <v>28</v>
      </c>
      <c r="T1741" t="s">
        <v>6743</v>
      </c>
      <c r="U1741" t="s">
        <v>6742</v>
      </c>
    </row>
    <row r="1742" spans="1:21" x14ac:dyDescent="0.25">
      <c r="A1742" t="s">
        <v>134</v>
      </c>
      <c r="B1742" t="s">
        <v>64</v>
      </c>
      <c r="C1742">
        <v>100</v>
      </c>
      <c r="D1742">
        <v>1</v>
      </c>
      <c r="E1742">
        <v>0</v>
      </c>
      <c r="F1742" t="s">
        <v>6744</v>
      </c>
      <c r="G1742">
        <v>100</v>
      </c>
      <c r="H1742">
        <v>0</v>
      </c>
      <c r="I1742" t="s">
        <v>445</v>
      </c>
      <c r="J1742" t="s">
        <v>6745</v>
      </c>
      <c r="K1742" t="s">
        <v>299</v>
      </c>
      <c r="L1742" t="s">
        <v>27</v>
      </c>
      <c r="M1742" t="s">
        <v>28</v>
      </c>
      <c r="N1742" t="s">
        <v>6746</v>
      </c>
      <c r="O1742" t="s">
        <v>27</v>
      </c>
      <c r="P1742" t="s">
        <v>39</v>
      </c>
      <c r="Q1742" t="s">
        <v>31</v>
      </c>
      <c r="R1742" t="s">
        <v>32</v>
      </c>
      <c r="S1742" t="s">
        <v>28</v>
      </c>
      <c r="T1742" t="s">
        <v>6747</v>
      </c>
      <c r="U1742" t="s">
        <v>6746</v>
      </c>
    </row>
    <row r="1743" spans="1:21" x14ac:dyDescent="0.25">
      <c r="A1743" t="s">
        <v>63</v>
      </c>
      <c r="B1743" t="s">
        <v>64</v>
      </c>
      <c r="C1743">
        <v>100</v>
      </c>
      <c r="D1743">
        <v>1</v>
      </c>
      <c r="E1743">
        <v>0</v>
      </c>
      <c r="F1743" t="s">
        <v>6748</v>
      </c>
      <c r="G1743">
        <v>100</v>
      </c>
      <c r="H1743">
        <v>0</v>
      </c>
      <c r="I1743" t="s">
        <v>24</v>
      </c>
      <c r="J1743" t="s">
        <v>6749</v>
      </c>
      <c r="K1743" t="s">
        <v>474</v>
      </c>
      <c r="L1743" t="s">
        <v>27</v>
      </c>
      <c r="M1743" t="s">
        <v>28</v>
      </c>
      <c r="N1743" t="s">
        <v>6746</v>
      </c>
      <c r="O1743" t="s">
        <v>27</v>
      </c>
      <c r="P1743" t="s">
        <v>39</v>
      </c>
      <c r="Q1743" t="s">
        <v>31</v>
      </c>
      <c r="R1743" t="s">
        <v>32</v>
      </c>
      <c r="S1743" t="s">
        <v>28</v>
      </c>
      <c r="T1743" t="s">
        <v>6750</v>
      </c>
      <c r="U1743" t="s">
        <v>6746</v>
      </c>
    </row>
    <row r="1744" spans="1:21" x14ac:dyDescent="0.25">
      <c r="A1744" t="s">
        <v>134</v>
      </c>
      <c r="B1744" t="s">
        <v>64</v>
      </c>
      <c r="C1744">
        <v>100</v>
      </c>
      <c r="D1744">
        <v>1</v>
      </c>
      <c r="E1744">
        <v>0</v>
      </c>
      <c r="F1744" t="s">
        <v>6751</v>
      </c>
      <c r="G1744">
        <v>106</v>
      </c>
      <c r="H1744">
        <v>6</v>
      </c>
      <c r="I1744" t="s">
        <v>140</v>
      </c>
      <c r="J1744" t="s">
        <v>6752</v>
      </c>
      <c r="K1744" t="s">
        <v>1616</v>
      </c>
      <c r="L1744" t="s">
        <v>27</v>
      </c>
      <c r="M1744" t="s">
        <v>28</v>
      </c>
      <c r="N1744" t="s">
        <v>6753</v>
      </c>
      <c r="O1744" t="s">
        <v>27</v>
      </c>
      <c r="P1744" t="s">
        <v>369</v>
      </c>
      <c r="Q1744" t="s">
        <v>31</v>
      </c>
      <c r="R1744" t="s">
        <v>57</v>
      </c>
      <c r="S1744" t="s">
        <v>28</v>
      </c>
      <c r="T1744" t="s">
        <v>6754</v>
      </c>
      <c r="U1744" t="s">
        <v>6755</v>
      </c>
    </row>
    <row r="1745" spans="1:21" x14ac:dyDescent="0.25">
      <c r="A1745" t="s">
        <v>63</v>
      </c>
      <c r="B1745" t="s">
        <v>64</v>
      </c>
      <c r="C1745">
        <v>100</v>
      </c>
      <c r="D1745">
        <v>1</v>
      </c>
      <c r="E1745">
        <v>0</v>
      </c>
      <c r="F1745" t="s">
        <v>6756</v>
      </c>
      <c r="G1745">
        <v>106</v>
      </c>
      <c r="H1745">
        <v>6</v>
      </c>
      <c r="I1745" t="s">
        <v>140</v>
      </c>
      <c r="J1745" t="s">
        <v>6757</v>
      </c>
      <c r="K1745" t="s">
        <v>89</v>
      </c>
      <c r="L1745" t="s">
        <v>27</v>
      </c>
      <c r="M1745" t="s">
        <v>28</v>
      </c>
      <c r="N1745" t="s">
        <v>6758</v>
      </c>
      <c r="O1745" t="s">
        <v>27</v>
      </c>
      <c r="P1745" t="s">
        <v>369</v>
      </c>
      <c r="Q1745" t="s">
        <v>31</v>
      </c>
      <c r="R1745" t="s">
        <v>57</v>
      </c>
      <c r="S1745" t="s">
        <v>28</v>
      </c>
      <c r="T1745" t="s">
        <v>6759</v>
      </c>
      <c r="U1745" t="s">
        <v>6758</v>
      </c>
    </row>
    <row r="1746" spans="1:21" x14ac:dyDescent="0.25">
      <c r="A1746" t="s">
        <v>63</v>
      </c>
      <c r="B1746" t="s">
        <v>64</v>
      </c>
      <c r="C1746">
        <v>100</v>
      </c>
      <c r="D1746">
        <v>1</v>
      </c>
      <c r="E1746">
        <v>0</v>
      </c>
      <c r="F1746" t="s">
        <v>6760</v>
      </c>
      <c r="G1746">
        <v>106</v>
      </c>
      <c r="H1746">
        <v>6</v>
      </c>
      <c r="I1746" t="s">
        <v>24</v>
      </c>
      <c r="J1746" t="s">
        <v>6761</v>
      </c>
      <c r="K1746" t="s">
        <v>250</v>
      </c>
      <c r="L1746" t="s">
        <v>27</v>
      </c>
      <c r="M1746" t="s">
        <v>28</v>
      </c>
      <c r="N1746" t="s">
        <v>6762</v>
      </c>
      <c r="O1746" t="s">
        <v>27</v>
      </c>
      <c r="P1746" t="s">
        <v>39</v>
      </c>
      <c r="Q1746" t="s">
        <v>31</v>
      </c>
      <c r="R1746" t="s">
        <v>32</v>
      </c>
      <c r="S1746" t="s">
        <v>28</v>
      </c>
      <c r="T1746" t="s">
        <v>6763</v>
      </c>
      <c r="U1746" t="s">
        <v>6764</v>
      </c>
    </row>
    <row r="1747" spans="1:21" x14ac:dyDescent="0.25">
      <c r="A1747" t="s">
        <v>456</v>
      </c>
      <c r="B1747" t="s">
        <v>457</v>
      </c>
      <c r="C1747">
        <v>197</v>
      </c>
      <c r="D1747">
        <v>1</v>
      </c>
      <c r="E1747">
        <v>0</v>
      </c>
      <c r="F1747" t="s">
        <v>6765</v>
      </c>
      <c r="G1747">
        <v>192</v>
      </c>
      <c r="H1747">
        <v>0</v>
      </c>
      <c r="I1747" t="s">
        <v>445</v>
      </c>
      <c r="J1747" t="s">
        <v>6766</v>
      </c>
      <c r="K1747" t="s">
        <v>6767</v>
      </c>
      <c r="L1747" t="s">
        <v>3375</v>
      </c>
      <c r="M1747" t="s">
        <v>6768</v>
      </c>
      <c r="N1747" t="s">
        <v>6769</v>
      </c>
      <c r="O1747" t="s">
        <v>27</v>
      </c>
      <c r="P1747" t="s">
        <v>193</v>
      </c>
      <c r="Q1747" t="s">
        <v>85</v>
      </c>
      <c r="R1747" t="s">
        <v>86</v>
      </c>
      <c r="S1747" t="s">
        <v>28</v>
      </c>
      <c r="T1747" t="s">
        <v>6770</v>
      </c>
      <c r="U1747" t="s">
        <v>6769</v>
      </c>
    </row>
    <row r="1748" spans="1:21" x14ac:dyDescent="0.25">
      <c r="A1748" t="s">
        <v>143</v>
      </c>
      <c r="B1748" t="s">
        <v>144</v>
      </c>
      <c r="C1748">
        <v>200</v>
      </c>
      <c r="D1748">
        <v>1</v>
      </c>
      <c r="E1748">
        <v>0</v>
      </c>
      <c r="F1748" t="s">
        <v>6771</v>
      </c>
      <c r="G1748">
        <v>200</v>
      </c>
      <c r="H1748">
        <v>0</v>
      </c>
      <c r="I1748" t="s">
        <v>24</v>
      </c>
      <c r="J1748" t="s">
        <v>6772</v>
      </c>
      <c r="K1748" t="s">
        <v>294</v>
      </c>
      <c r="L1748" t="s">
        <v>27</v>
      </c>
      <c r="M1748" t="s">
        <v>28</v>
      </c>
      <c r="N1748" t="s">
        <v>6773</v>
      </c>
      <c r="O1748" t="s">
        <v>27</v>
      </c>
      <c r="P1748" t="s">
        <v>39</v>
      </c>
      <c r="Q1748" t="s">
        <v>31</v>
      </c>
      <c r="R1748" t="s">
        <v>32</v>
      </c>
      <c r="S1748" t="s">
        <v>28</v>
      </c>
      <c r="T1748" t="s">
        <v>6774</v>
      </c>
      <c r="U1748" t="s">
        <v>6773</v>
      </c>
    </row>
    <row r="1749" spans="1:21" x14ac:dyDescent="0.25">
      <c r="A1749" t="s">
        <v>143</v>
      </c>
      <c r="B1749" t="s">
        <v>144</v>
      </c>
      <c r="C1749">
        <v>200</v>
      </c>
      <c r="D1749">
        <v>1</v>
      </c>
      <c r="E1749">
        <v>0</v>
      </c>
      <c r="F1749" t="s">
        <v>6775</v>
      </c>
      <c r="G1749">
        <v>200</v>
      </c>
      <c r="H1749">
        <v>0</v>
      </c>
      <c r="I1749" t="s">
        <v>24</v>
      </c>
      <c r="J1749" t="s">
        <v>6776</v>
      </c>
      <c r="K1749" t="s">
        <v>491</v>
      </c>
      <c r="L1749" t="s">
        <v>27</v>
      </c>
      <c r="M1749" t="s">
        <v>28</v>
      </c>
      <c r="N1749" t="s">
        <v>6777</v>
      </c>
      <c r="O1749" t="s">
        <v>27</v>
      </c>
      <c r="P1749" t="s">
        <v>39</v>
      </c>
      <c r="Q1749" t="s">
        <v>31</v>
      </c>
      <c r="R1749" t="s">
        <v>32</v>
      </c>
      <c r="S1749" t="s">
        <v>28</v>
      </c>
      <c r="T1749" t="s">
        <v>6778</v>
      </c>
      <c r="U1749" t="s">
        <v>6777</v>
      </c>
    </row>
    <row r="1750" spans="1:21" x14ac:dyDescent="0.25">
      <c r="A1750" t="s">
        <v>21</v>
      </c>
      <c r="B1750" t="s">
        <v>22</v>
      </c>
      <c r="C1750">
        <v>100</v>
      </c>
      <c r="D1750">
        <v>1</v>
      </c>
      <c r="E1750">
        <v>0</v>
      </c>
      <c r="F1750" t="s">
        <v>6779</v>
      </c>
      <c r="G1750">
        <v>100</v>
      </c>
      <c r="H1750">
        <v>0</v>
      </c>
      <c r="I1750" t="s">
        <v>140</v>
      </c>
      <c r="J1750" t="s">
        <v>6780</v>
      </c>
      <c r="K1750" t="s">
        <v>2243</v>
      </c>
      <c r="L1750" t="s">
        <v>27</v>
      </c>
      <c r="M1750" t="s">
        <v>28</v>
      </c>
      <c r="N1750" t="s">
        <v>6781</v>
      </c>
      <c r="O1750" t="s">
        <v>27</v>
      </c>
      <c r="P1750" t="s">
        <v>369</v>
      </c>
      <c r="Q1750" t="s">
        <v>31</v>
      </c>
      <c r="R1750" t="s">
        <v>57</v>
      </c>
      <c r="S1750" t="s">
        <v>28</v>
      </c>
      <c r="T1750" t="s">
        <v>6782</v>
      </c>
      <c r="U1750" t="s">
        <v>6783</v>
      </c>
    </row>
    <row r="1751" spans="1:21" x14ac:dyDescent="0.25">
      <c r="A1751" t="s">
        <v>63</v>
      </c>
      <c r="B1751" t="s">
        <v>64</v>
      </c>
      <c r="C1751">
        <v>100</v>
      </c>
      <c r="D1751">
        <v>2</v>
      </c>
      <c r="E1751">
        <v>0</v>
      </c>
      <c r="F1751" t="s">
        <v>6784</v>
      </c>
      <c r="G1751">
        <v>200</v>
      </c>
      <c r="H1751">
        <v>0</v>
      </c>
      <c r="I1751" t="s">
        <v>24</v>
      </c>
      <c r="J1751" t="s">
        <v>6785</v>
      </c>
      <c r="K1751" t="s">
        <v>67</v>
      </c>
      <c r="L1751" t="s">
        <v>27</v>
      </c>
      <c r="M1751" t="s">
        <v>28</v>
      </c>
      <c r="N1751" t="s">
        <v>6786</v>
      </c>
      <c r="O1751" t="s">
        <v>27</v>
      </c>
      <c r="P1751" t="s">
        <v>39</v>
      </c>
      <c r="Q1751" t="s">
        <v>31</v>
      </c>
      <c r="R1751" t="s">
        <v>32</v>
      </c>
      <c r="S1751" t="s">
        <v>28</v>
      </c>
      <c r="T1751" t="s">
        <v>6787</v>
      </c>
      <c r="U1751" t="s">
        <v>6786</v>
      </c>
    </row>
    <row r="1752" spans="1:21" x14ac:dyDescent="0.25">
      <c r="A1752" t="s">
        <v>143</v>
      </c>
      <c r="B1752" t="s">
        <v>144</v>
      </c>
      <c r="C1752">
        <v>200</v>
      </c>
      <c r="D1752">
        <v>1</v>
      </c>
      <c r="E1752">
        <v>0</v>
      </c>
      <c r="F1752" t="s">
        <v>6788</v>
      </c>
      <c r="G1752">
        <v>200</v>
      </c>
      <c r="H1752">
        <v>0</v>
      </c>
      <c r="I1752" t="s">
        <v>24</v>
      </c>
      <c r="J1752" t="s">
        <v>6789</v>
      </c>
      <c r="K1752" t="s">
        <v>474</v>
      </c>
      <c r="L1752" t="s">
        <v>27</v>
      </c>
      <c r="M1752" t="s">
        <v>28</v>
      </c>
      <c r="N1752" t="s">
        <v>6790</v>
      </c>
      <c r="O1752" t="s">
        <v>27</v>
      </c>
      <c r="P1752" t="s">
        <v>56</v>
      </c>
      <c r="Q1752" t="s">
        <v>31</v>
      </c>
      <c r="R1752" t="s">
        <v>57</v>
      </c>
      <c r="S1752" t="s">
        <v>28</v>
      </c>
      <c r="T1752" t="s">
        <v>6791</v>
      </c>
      <c r="U1752" t="s">
        <v>6790</v>
      </c>
    </row>
    <row r="1753" spans="1:21" x14ac:dyDescent="0.25">
      <c r="A1753" t="s">
        <v>21</v>
      </c>
      <c r="B1753" t="s">
        <v>22</v>
      </c>
      <c r="C1753">
        <v>100</v>
      </c>
      <c r="D1753">
        <v>1</v>
      </c>
      <c r="E1753">
        <v>0</v>
      </c>
      <c r="F1753" t="s">
        <v>6792</v>
      </c>
      <c r="G1753">
        <v>106</v>
      </c>
      <c r="H1753">
        <v>6</v>
      </c>
      <c r="I1753" t="s">
        <v>24</v>
      </c>
      <c r="J1753" t="s">
        <v>6793</v>
      </c>
      <c r="K1753" t="s">
        <v>250</v>
      </c>
      <c r="L1753" t="s">
        <v>27</v>
      </c>
      <c r="M1753" t="s">
        <v>28</v>
      </c>
      <c r="N1753" t="s">
        <v>6794</v>
      </c>
      <c r="O1753" t="s">
        <v>27</v>
      </c>
      <c r="P1753" t="s">
        <v>39</v>
      </c>
      <c r="Q1753" t="s">
        <v>31</v>
      </c>
      <c r="R1753" t="s">
        <v>32</v>
      </c>
      <c r="S1753" t="s">
        <v>28</v>
      </c>
      <c r="T1753" t="s">
        <v>6795</v>
      </c>
      <c r="U1753" t="s">
        <v>6794</v>
      </c>
    </row>
    <row r="1754" spans="1:21" x14ac:dyDescent="0.25">
      <c r="A1754" t="s">
        <v>63</v>
      </c>
      <c r="B1754" t="s">
        <v>64</v>
      </c>
      <c r="C1754">
        <v>100</v>
      </c>
      <c r="D1754">
        <v>1</v>
      </c>
      <c r="E1754">
        <v>0</v>
      </c>
      <c r="F1754" t="s">
        <v>6796</v>
      </c>
      <c r="G1754">
        <v>320</v>
      </c>
      <c r="H1754">
        <v>0</v>
      </c>
      <c r="I1754" t="s">
        <v>140</v>
      </c>
      <c r="J1754" t="s">
        <v>6797</v>
      </c>
      <c r="K1754" t="s">
        <v>124</v>
      </c>
      <c r="L1754" t="s">
        <v>27</v>
      </c>
      <c r="M1754" t="s">
        <v>28</v>
      </c>
      <c r="N1754" t="s">
        <v>6798</v>
      </c>
      <c r="O1754" t="s">
        <v>27</v>
      </c>
      <c r="P1754" t="s">
        <v>369</v>
      </c>
      <c r="Q1754" t="s">
        <v>31</v>
      </c>
      <c r="R1754" t="s">
        <v>57</v>
      </c>
      <c r="S1754" t="s">
        <v>28</v>
      </c>
      <c r="T1754" t="s">
        <v>6799</v>
      </c>
      <c r="U1754" t="s">
        <v>6800</v>
      </c>
    </row>
    <row r="1755" spans="1:21" x14ac:dyDescent="0.25">
      <c r="A1755" t="s">
        <v>6801</v>
      </c>
      <c r="B1755" t="s">
        <v>6801</v>
      </c>
      <c r="C1755">
        <v>120</v>
      </c>
      <c r="D1755">
        <v>1</v>
      </c>
      <c r="E1755">
        <v>0</v>
      </c>
      <c r="F1755" t="s">
        <v>6796</v>
      </c>
      <c r="G1755">
        <v>320</v>
      </c>
      <c r="H1755">
        <v>0</v>
      </c>
      <c r="I1755" t="s">
        <v>140</v>
      </c>
      <c r="J1755" t="s">
        <v>6797</v>
      </c>
      <c r="K1755" t="s">
        <v>124</v>
      </c>
      <c r="L1755" t="s">
        <v>27</v>
      </c>
      <c r="M1755" t="s">
        <v>28</v>
      </c>
      <c r="N1755" t="s">
        <v>6798</v>
      </c>
      <c r="O1755" t="s">
        <v>27</v>
      </c>
      <c r="P1755" t="s">
        <v>369</v>
      </c>
      <c r="Q1755" t="s">
        <v>31</v>
      </c>
      <c r="R1755" t="s">
        <v>57</v>
      </c>
      <c r="S1755" t="s">
        <v>28</v>
      </c>
      <c r="T1755" t="s">
        <v>6799</v>
      </c>
      <c r="U1755" t="s">
        <v>6800</v>
      </c>
    </row>
    <row r="1756" spans="1:21" x14ac:dyDescent="0.25">
      <c r="A1756" t="s">
        <v>134</v>
      </c>
      <c r="B1756" t="s">
        <v>64</v>
      </c>
      <c r="C1756">
        <v>100</v>
      </c>
      <c r="D1756">
        <v>1</v>
      </c>
      <c r="E1756">
        <v>0</v>
      </c>
      <c r="F1756" t="s">
        <v>6796</v>
      </c>
      <c r="G1756">
        <v>320</v>
      </c>
      <c r="H1756">
        <v>0</v>
      </c>
      <c r="I1756" t="s">
        <v>140</v>
      </c>
      <c r="J1756" t="s">
        <v>6797</v>
      </c>
      <c r="K1756" t="s">
        <v>124</v>
      </c>
      <c r="L1756" t="s">
        <v>27</v>
      </c>
      <c r="M1756" t="s">
        <v>28</v>
      </c>
      <c r="N1756" t="s">
        <v>6798</v>
      </c>
      <c r="O1756" t="s">
        <v>27</v>
      </c>
      <c r="P1756" t="s">
        <v>369</v>
      </c>
      <c r="Q1756" t="s">
        <v>31</v>
      </c>
      <c r="R1756" t="s">
        <v>57</v>
      </c>
      <c r="S1756" t="s">
        <v>28</v>
      </c>
      <c r="T1756" t="s">
        <v>6799</v>
      </c>
      <c r="U1756" t="s">
        <v>6800</v>
      </c>
    </row>
    <row r="1757" spans="1:21" x14ac:dyDescent="0.25">
      <c r="A1757" t="s">
        <v>275</v>
      </c>
      <c r="B1757" t="s">
        <v>1864</v>
      </c>
      <c r="C1757">
        <v>140</v>
      </c>
      <c r="D1757">
        <v>1</v>
      </c>
      <c r="E1757">
        <v>0</v>
      </c>
      <c r="F1757" t="s">
        <v>6802</v>
      </c>
      <c r="G1757">
        <v>147</v>
      </c>
      <c r="H1757">
        <v>7</v>
      </c>
      <c r="I1757" t="s">
        <v>24</v>
      </c>
      <c r="J1757" t="s">
        <v>6803</v>
      </c>
      <c r="K1757" t="s">
        <v>6804</v>
      </c>
      <c r="L1757" t="s">
        <v>6805</v>
      </c>
      <c r="M1757" t="s">
        <v>6687</v>
      </c>
      <c r="N1757" t="s">
        <v>6806</v>
      </c>
      <c r="O1757" t="s">
        <v>27</v>
      </c>
      <c r="P1757" t="s">
        <v>84</v>
      </c>
      <c r="Q1757" t="s">
        <v>85</v>
      </c>
      <c r="R1757" t="s">
        <v>86</v>
      </c>
      <c r="S1757" t="s">
        <v>28</v>
      </c>
      <c r="T1757" t="s">
        <v>6807</v>
      </c>
      <c r="U1757" t="s">
        <v>6808</v>
      </c>
    </row>
    <row r="1758" spans="1:21" x14ac:dyDescent="0.25">
      <c r="A1758" t="s">
        <v>456</v>
      </c>
      <c r="B1758" t="s">
        <v>457</v>
      </c>
      <c r="C1758">
        <v>199</v>
      </c>
      <c r="D1758">
        <v>2</v>
      </c>
      <c r="E1758">
        <v>0</v>
      </c>
      <c r="F1758" t="s">
        <v>6809</v>
      </c>
      <c r="G1758">
        <v>456</v>
      </c>
      <c r="H1758">
        <v>58</v>
      </c>
      <c r="I1758" t="s">
        <v>24</v>
      </c>
      <c r="J1758" t="s">
        <v>6810</v>
      </c>
      <c r="K1758" t="s">
        <v>6811</v>
      </c>
      <c r="L1758" t="s">
        <v>6432</v>
      </c>
      <c r="M1758" t="s">
        <v>6812</v>
      </c>
      <c r="N1758" t="s">
        <v>6786</v>
      </c>
      <c r="O1758" t="s">
        <v>27</v>
      </c>
      <c r="P1758" t="s">
        <v>193</v>
      </c>
      <c r="Q1758" t="s">
        <v>85</v>
      </c>
      <c r="R1758" t="s">
        <v>86</v>
      </c>
      <c r="S1758" t="s">
        <v>28</v>
      </c>
      <c r="T1758" t="s">
        <v>6813</v>
      </c>
      <c r="U1758" t="s">
        <v>6814</v>
      </c>
    </row>
    <row r="1759" spans="1:21" x14ac:dyDescent="0.25">
      <c r="A1759" t="s">
        <v>63</v>
      </c>
      <c r="B1759" t="s">
        <v>64</v>
      </c>
      <c r="C1759">
        <v>100</v>
      </c>
      <c r="D1759">
        <v>2</v>
      </c>
      <c r="E1759">
        <v>0</v>
      </c>
      <c r="F1759" t="s">
        <v>6815</v>
      </c>
      <c r="G1759">
        <v>200</v>
      </c>
      <c r="H1759">
        <v>0</v>
      </c>
      <c r="I1759" t="s">
        <v>140</v>
      </c>
      <c r="J1759" t="s">
        <v>2993</v>
      </c>
      <c r="K1759" t="s">
        <v>26</v>
      </c>
      <c r="L1759" t="s">
        <v>27</v>
      </c>
      <c r="M1759" t="s">
        <v>28</v>
      </c>
      <c r="N1759" t="s">
        <v>6814</v>
      </c>
      <c r="O1759" t="s">
        <v>27</v>
      </c>
      <c r="P1759" t="s">
        <v>30</v>
      </c>
      <c r="Q1759" t="s">
        <v>31</v>
      </c>
      <c r="R1759" t="s">
        <v>32</v>
      </c>
      <c r="S1759" t="s">
        <v>28</v>
      </c>
      <c r="T1759" t="s">
        <v>6816</v>
      </c>
      <c r="U1759" t="s">
        <v>6814</v>
      </c>
    </row>
    <row r="1760" spans="1:21" x14ac:dyDescent="0.25">
      <c r="A1760" t="s">
        <v>134</v>
      </c>
      <c r="B1760" t="s">
        <v>64</v>
      </c>
      <c r="C1760">
        <v>100</v>
      </c>
      <c r="D1760">
        <v>1</v>
      </c>
      <c r="E1760">
        <v>0</v>
      </c>
      <c r="F1760" t="s">
        <v>6817</v>
      </c>
      <c r="G1760">
        <v>100</v>
      </c>
      <c r="H1760">
        <v>0</v>
      </c>
      <c r="I1760" t="s">
        <v>445</v>
      </c>
      <c r="J1760" t="s">
        <v>6818</v>
      </c>
      <c r="K1760" t="s">
        <v>653</v>
      </c>
      <c r="L1760" t="s">
        <v>27</v>
      </c>
      <c r="M1760" t="s">
        <v>28</v>
      </c>
      <c r="N1760" t="s">
        <v>6819</v>
      </c>
      <c r="O1760" t="s">
        <v>27</v>
      </c>
      <c r="P1760" t="s">
        <v>39</v>
      </c>
      <c r="Q1760" t="s">
        <v>31</v>
      </c>
      <c r="R1760" t="s">
        <v>32</v>
      </c>
      <c r="S1760" t="s">
        <v>28</v>
      </c>
      <c r="T1760" t="s">
        <v>6820</v>
      </c>
      <c r="U1760" t="s">
        <v>6819</v>
      </c>
    </row>
    <row r="1761" spans="1:21" x14ac:dyDescent="0.25">
      <c r="A1761" t="s">
        <v>134</v>
      </c>
      <c r="B1761" t="s">
        <v>64</v>
      </c>
      <c r="C1761">
        <v>100</v>
      </c>
      <c r="D1761">
        <v>3</v>
      </c>
      <c r="E1761">
        <v>0</v>
      </c>
      <c r="F1761" t="s">
        <v>6821</v>
      </c>
      <c r="G1761">
        <v>300</v>
      </c>
      <c r="H1761">
        <v>0</v>
      </c>
      <c r="I1761" t="s">
        <v>445</v>
      </c>
      <c r="J1761" t="s">
        <v>6822</v>
      </c>
      <c r="K1761" t="s">
        <v>487</v>
      </c>
      <c r="L1761" t="s">
        <v>27</v>
      </c>
      <c r="M1761" t="s">
        <v>28</v>
      </c>
      <c r="N1761" t="s">
        <v>6823</v>
      </c>
      <c r="O1761" t="s">
        <v>27</v>
      </c>
      <c r="P1761" t="s">
        <v>39</v>
      </c>
      <c r="Q1761" t="s">
        <v>31</v>
      </c>
      <c r="R1761" t="s">
        <v>32</v>
      </c>
      <c r="S1761" t="s">
        <v>28</v>
      </c>
      <c r="T1761" t="s">
        <v>6824</v>
      </c>
      <c r="U1761" t="s">
        <v>6825</v>
      </c>
    </row>
    <row r="1762" spans="1:21" x14ac:dyDescent="0.25">
      <c r="A1762" t="s">
        <v>143</v>
      </c>
      <c r="B1762" t="s">
        <v>144</v>
      </c>
      <c r="C1762">
        <v>200</v>
      </c>
      <c r="D1762">
        <v>5</v>
      </c>
      <c r="E1762">
        <v>0</v>
      </c>
      <c r="F1762" t="s">
        <v>6826</v>
      </c>
      <c r="G1762">
        <v>1000</v>
      </c>
      <c r="H1762">
        <v>0</v>
      </c>
      <c r="I1762" t="s">
        <v>140</v>
      </c>
      <c r="J1762" t="s">
        <v>4355</v>
      </c>
      <c r="K1762" t="s">
        <v>677</v>
      </c>
      <c r="L1762" t="s">
        <v>27</v>
      </c>
      <c r="M1762" t="s">
        <v>28</v>
      </c>
      <c r="N1762" t="s">
        <v>6827</v>
      </c>
      <c r="O1762" t="s">
        <v>27</v>
      </c>
      <c r="P1762" t="s">
        <v>30</v>
      </c>
      <c r="Q1762" t="s">
        <v>31</v>
      </c>
      <c r="R1762" t="s">
        <v>32</v>
      </c>
      <c r="S1762" t="s">
        <v>28</v>
      </c>
      <c r="T1762" t="s">
        <v>6828</v>
      </c>
      <c r="U1762" t="s">
        <v>6829</v>
      </c>
    </row>
    <row r="1763" spans="1:21" x14ac:dyDescent="0.25">
      <c r="A1763" t="s">
        <v>134</v>
      </c>
      <c r="B1763" t="s">
        <v>64</v>
      </c>
      <c r="C1763">
        <v>100</v>
      </c>
      <c r="D1763">
        <v>1</v>
      </c>
      <c r="E1763">
        <v>0</v>
      </c>
      <c r="F1763" t="s">
        <v>6830</v>
      </c>
      <c r="G1763">
        <v>106</v>
      </c>
      <c r="H1763">
        <v>6</v>
      </c>
      <c r="I1763" t="s">
        <v>140</v>
      </c>
      <c r="J1763" t="s">
        <v>6831</v>
      </c>
      <c r="K1763" t="s">
        <v>285</v>
      </c>
      <c r="L1763" t="s">
        <v>27</v>
      </c>
      <c r="M1763" t="s">
        <v>28</v>
      </c>
      <c r="N1763" t="s">
        <v>6827</v>
      </c>
      <c r="O1763" t="s">
        <v>27</v>
      </c>
      <c r="P1763" t="s">
        <v>369</v>
      </c>
      <c r="Q1763" t="s">
        <v>31</v>
      </c>
      <c r="R1763" t="s">
        <v>57</v>
      </c>
      <c r="S1763" t="s">
        <v>28</v>
      </c>
      <c r="T1763" t="s">
        <v>6832</v>
      </c>
      <c r="U1763" t="s">
        <v>6827</v>
      </c>
    </row>
    <row r="1764" spans="1:21" x14ac:dyDescent="0.25">
      <c r="A1764" t="s">
        <v>63</v>
      </c>
      <c r="B1764" t="s">
        <v>64</v>
      </c>
      <c r="C1764">
        <v>100</v>
      </c>
      <c r="D1764">
        <v>1</v>
      </c>
      <c r="E1764">
        <v>0</v>
      </c>
      <c r="F1764" t="s">
        <v>6833</v>
      </c>
      <c r="G1764">
        <v>100</v>
      </c>
      <c r="H1764">
        <v>0</v>
      </c>
      <c r="I1764" t="s">
        <v>24</v>
      </c>
      <c r="J1764" t="s">
        <v>6834</v>
      </c>
      <c r="K1764" t="s">
        <v>4082</v>
      </c>
      <c r="L1764" t="s">
        <v>27</v>
      </c>
      <c r="M1764" t="s">
        <v>28</v>
      </c>
      <c r="N1764" t="s">
        <v>6835</v>
      </c>
      <c r="O1764" t="s">
        <v>27</v>
      </c>
      <c r="P1764" t="s">
        <v>56</v>
      </c>
      <c r="Q1764" t="s">
        <v>31</v>
      </c>
      <c r="R1764" t="s">
        <v>57</v>
      </c>
      <c r="S1764" t="s">
        <v>28</v>
      </c>
      <c r="T1764" t="s">
        <v>6836</v>
      </c>
      <c r="U1764" t="s">
        <v>6835</v>
      </c>
    </row>
    <row r="1765" spans="1:21" x14ac:dyDescent="0.25">
      <c r="A1765" t="s">
        <v>143</v>
      </c>
      <c r="B1765" t="s">
        <v>144</v>
      </c>
      <c r="C1765">
        <v>200</v>
      </c>
      <c r="D1765">
        <v>1</v>
      </c>
      <c r="E1765">
        <v>0</v>
      </c>
      <c r="F1765" t="s">
        <v>6837</v>
      </c>
      <c r="G1765">
        <v>200</v>
      </c>
      <c r="H1765">
        <v>0</v>
      </c>
      <c r="I1765" t="s">
        <v>24</v>
      </c>
      <c r="J1765" t="s">
        <v>6838</v>
      </c>
      <c r="K1765" t="s">
        <v>791</v>
      </c>
      <c r="L1765" t="s">
        <v>27</v>
      </c>
      <c r="M1765" t="s">
        <v>28</v>
      </c>
      <c r="N1765" t="s">
        <v>6839</v>
      </c>
      <c r="O1765" t="s">
        <v>27</v>
      </c>
      <c r="P1765" t="s">
        <v>56</v>
      </c>
      <c r="Q1765" t="s">
        <v>31</v>
      </c>
      <c r="R1765" t="s">
        <v>57</v>
      </c>
      <c r="S1765" t="s">
        <v>28</v>
      </c>
      <c r="T1765" t="s">
        <v>6840</v>
      </c>
      <c r="U1765" t="s">
        <v>6839</v>
      </c>
    </row>
    <row r="1766" spans="1:21" x14ac:dyDescent="0.25">
      <c r="A1766" t="s">
        <v>2946</v>
      </c>
      <c r="B1766" t="s">
        <v>2947</v>
      </c>
      <c r="C1766">
        <v>100</v>
      </c>
      <c r="D1766">
        <v>2</v>
      </c>
      <c r="E1766">
        <v>0</v>
      </c>
      <c r="F1766" t="s">
        <v>6841</v>
      </c>
      <c r="G1766">
        <v>200</v>
      </c>
      <c r="H1766">
        <v>0</v>
      </c>
      <c r="I1766" t="s">
        <v>140</v>
      </c>
      <c r="J1766" t="s">
        <v>6842</v>
      </c>
      <c r="K1766" t="s">
        <v>474</v>
      </c>
      <c r="L1766" t="s">
        <v>27</v>
      </c>
      <c r="M1766" t="s">
        <v>28</v>
      </c>
      <c r="N1766" t="s">
        <v>6843</v>
      </c>
      <c r="O1766" t="s">
        <v>27</v>
      </c>
      <c r="P1766" t="s">
        <v>30</v>
      </c>
      <c r="Q1766" t="s">
        <v>31</v>
      </c>
      <c r="R1766" t="s">
        <v>32</v>
      </c>
      <c r="S1766" t="s">
        <v>28</v>
      </c>
      <c r="T1766" t="s">
        <v>6844</v>
      </c>
      <c r="U1766" t="s">
        <v>6843</v>
      </c>
    </row>
    <row r="1767" spans="1:21" x14ac:dyDescent="0.25">
      <c r="A1767" t="s">
        <v>143</v>
      </c>
      <c r="B1767" t="s">
        <v>144</v>
      </c>
      <c r="C1767">
        <v>200</v>
      </c>
      <c r="D1767">
        <v>1</v>
      </c>
      <c r="E1767">
        <v>0</v>
      </c>
      <c r="F1767" t="s">
        <v>6845</v>
      </c>
      <c r="G1767">
        <v>200</v>
      </c>
      <c r="H1767">
        <v>0</v>
      </c>
      <c r="I1767" t="s">
        <v>24</v>
      </c>
      <c r="J1767" t="s">
        <v>4491</v>
      </c>
      <c r="K1767" t="s">
        <v>147</v>
      </c>
      <c r="L1767" t="s">
        <v>27</v>
      </c>
      <c r="M1767" t="s">
        <v>28</v>
      </c>
      <c r="N1767" t="s">
        <v>6846</v>
      </c>
      <c r="O1767" t="s">
        <v>27</v>
      </c>
      <c r="P1767" t="s">
        <v>39</v>
      </c>
      <c r="Q1767" t="s">
        <v>31</v>
      </c>
      <c r="R1767" t="s">
        <v>32</v>
      </c>
      <c r="S1767" t="s">
        <v>28</v>
      </c>
      <c r="T1767" t="s">
        <v>6847</v>
      </c>
      <c r="U1767" t="s">
        <v>6846</v>
      </c>
    </row>
    <row r="1768" spans="1:21" x14ac:dyDescent="0.25">
      <c r="A1768" t="s">
        <v>195</v>
      </c>
      <c r="B1768" t="s">
        <v>1003</v>
      </c>
      <c r="C1768">
        <v>180</v>
      </c>
      <c r="D1768">
        <v>1</v>
      </c>
      <c r="E1768">
        <v>0</v>
      </c>
      <c r="F1768" t="s">
        <v>6848</v>
      </c>
      <c r="G1768">
        <v>185</v>
      </c>
      <c r="H1768">
        <v>5</v>
      </c>
      <c r="I1768" t="s">
        <v>628</v>
      </c>
      <c r="J1768" t="s">
        <v>4654</v>
      </c>
      <c r="K1768" t="s">
        <v>4655</v>
      </c>
      <c r="L1768" t="s">
        <v>4656</v>
      </c>
      <c r="M1768" t="s">
        <v>4657</v>
      </c>
      <c r="N1768" t="s">
        <v>6849</v>
      </c>
      <c r="O1768" t="s">
        <v>27</v>
      </c>
      <c r="P1768" t="s">
        <v>48</v>
      </c>
      <c r="Q1768" t="s">
        <v>49</v>
      </c>
      <c r="R1768" t="s">
        <v>50</v>
      </c>
      <c r="S1768" t="s">
        <v>28</v>
      </c>
      <c r="T1768" t="s">
        <v>6850</v>
      </c>
      <c r="U1768" t="s">
        <v>6849</v>
      </c>
    </row>
    <row r="1769" spans="1:21" x14ac:dyDescent="0.25">
      <c r="A1769" t="s">
        <v>63</v>
      </c>
      <c r="B1769" t="s">
        <v>64</v>
      </c>
      <c r="C1769">
        <v>100</v>
      </c>
      <c r="D1769">
        <v>1</v>
      </c>
      <c r="E1769">
        <v>0</v>
      </c>
      <c r="F1769" t="s">
        <v>6851</v>
      </c>
      <c r="G1769">
        <v>106</v>
      </c>
      <c r="H1769">
        <v>6</v>
      </c>
      <c r="I1769" t="s">
        <v>445</v>
      </c>
      <c r="J1769" t="s">
        <v>6852</v>
      </c>
      <c r="K1769" t="s">
        <v>67</v>
      </c>
      <c r="L1769" t="s">
        <v>27</v>
      </c>
      <c r="M1769" t="s">
        <v>28</v>
      </c>
      <c r="N1769" t="s">
        <v>6853</v>
      </c>
      <c r="O1769" t="s">
        <v>27</v>
      </c>
      <c r="P1769" t="s">
        <v>56</v>
      </c>
      <c r="Q1769" t="s">
        <v>31</v>
      </c>
      <c r="R1769" t="s">
        <v>57</v>
      </c>
      <c r="S1769" t="s">
        <v>28</v>
      </c>
      <c r="T1769" t="s">
        <v>6854</v>
      </c>
      <c r="U1769" t="s">
        <v>6855</v>
      </c>
    </row>
    <row r="1770" spans="1:21" x14ac:dyDescent="0.25">
      <c r="A1770" t="s">
        <v>63</v>
      </c>
      <c r="B1770" t="s">
        <v>64</v>
      </c>
      <c r="C1770">
        <v>100</v>
      </c>
      <c r="D1770">
        <v>1</v>
      </c>
      <c r="E1770">
        <v>0</v>
      </c>
      <c r="F1770" t="s">
        <v>6856</v>
      </c>
      <c r="G1770">
        <v>106</v>
      </c>
      <c r="H1770">
        <v>6</v>
      </c>
      <c r="I1770" t="s">
        <v>140</v>
      </c>
      <c r="J1770" t="s">
        <v>6857</v>
      </c>
      <c r="K1770" t="s">
        <v>350</v>
      </c>
      <c r="L1770" t="s">
        <v>27</v>
      </c>
      <c r="M1770" t="s">
        <v>28</v>
      </c>
      <c r="N1770" t="s">
        <v>6858</v>
      </c>
      <c r="O1770" t="s">
        <v>27</v>
      </c>
      <c r="P1770" t="s">
        <v>30</v>
      </c>
      <c r="Q1770" t="s">
        <v>31</v>
      </c>
      <c r="R1770" t="s">
        <v>32</v>
      </c>
      <c r="S1770" t="s">
        <v>28</v>
      </c>
      <c r="T1770" t="s">
        <v>6859</v>
      </c>
      <c r="U1770" t="s">
        <v>6858</v>
      </c>
    </row>
    <row r="1771" spans="1:21" x14ac:dyDescent="0.25">
      <c r="A1771" t="s">
        <v>143</v>
      </c>
      <c r="B1771" t="s">
        <v>144</v>
      </c>
      <c r="C1771">
        <v>200</v>
      </c>
      <c r="D1771">
        <v>1</v>
      </c>
      <c r="E1771">
        <v>0</v>
      </c>
      <c r="F1771" t="s">
        <v>6860</v>
      </c>
      <c r="G1771">
        <v>200</v>
      </c>
      <c r="H1771">
        <v>0</v>
      </c>
      <c r="I1771" t="s">
        <v>24</v>
      </c>
      <c r="J1771" t="s">
        <v>6861</v>
      </c>
      <c r="K1771" t="s">
        <v>1038</v>
      </c>
      <c r="L1771" t="s">
        <v>27</v>
      </c>
      <c r="M1771" t="s">
        <v>28</v>
      </c>
      <c r="N1771" t="s">
        <v>6862</v>
      </c>
      <c r="O1771" t="s">
        <v>27</v>
      </c>
      <c r="P1771" t="s">
        <v>39</v>
      </c>
      <c r="Q1771" t="s">
        <v>31</v>
      </c>
      <c r="R1771" t="s">
        <v>32</v>
      </c>
      <c r="S1771" t="s">
        <v>28</v>
      </c>
      <c r="T1771" t="s">
        <v>6863</v>
      </c>
      <c r="U1771" t="s">
        <v>6862</v>
      </c>
    </row>
    <row r="1772" spans="1:21" x14ac:dyDescent="0.25">
      <c r="A1772" t="s">
        <v>94</v>
      </c>
      <c r="B1772" t="s">
        <v>95</v>
      </c>
      <c r="C1772">
        <v>62.4</v>
      </c>
      <c r="D1772">
        <v>1</v>
      </c>
      <c r="E1772">
        <v>0</v>
      </c>
      <c r="F1772" t="s">
        <v>6864</v>
      </c>
      <c r="G1772">
        <v>62.4</v>
      </c>
      <c r="H1772">
        <v>0</v>
      </c>
      <c r="I1772" t="s">
        <v>24</v>
      </c>
      <c r="J1772" t="s">
        <v>6865</v>
      </c>
      <c r="K1772" t="s">
        <v>6866</v>
      </c>
      <c r="L1772" t="s">
        <v>6867</v>
      </c>
      <c r="M1772" t="s">
        <v>6868</v>
      </c>
      <c r="N1772" t="s">
        <v>6869</v>
      </c>
      <c r="O1772" t="s">
        <v>27</v>
      </c>
      <c r="P1772" t="s">
        <v>48</v>
      </c>
      <c r="Q1772" t="s">
        <v>49</v>
      </c>
      <c r="R1772" t="s">
        <v>50</v>
      </c>
      <c r="S1772" t="s">
        <v>28</v>
      </c>
      <c r="T1772" t="s">
        <v>6870</v>
      </c>
      <c r="U1772" t="s">
        <v>6871</v>
      </c>
    </row>
    <row r="1773" spans="1:21" x14ac:dyDescent="0.25">
      <c r="A1773" t="s">
        <v>70</v>
      </c>
      <c r="B1773" t="s">
        <v>70</v>
      </c>
      <c r="C1773">
        <v>350</v>
      </c>
      <c r="D1773">
        <v>1</v>
      </c>
      <c r="E1773">
        <v>0</v>
      </c>
      <c r="F1773" t="s">
        <v>6872</v>
      </c>
      <c r="G1773">
        <v>350</v>
      </c>
      <c r="H1773">
        <v>0</v>
      </c>
      <c r="I1773" t="s">
        <v>140</v>
      </c>
      <c r="J1773" t="s">
        <v>6873</v>
      </c>
      <c r="K1773" t="s">
        <v>37</v>
      </c>
      <c r="L1773" t="s">
        <v>27</v>
      </c>
      <c r="M1773" t="s">
        <v>28</v>
      </c>
      <c r="N1773" t="s">
        <v>6874</v>
      </c>
      <c r="O1773" t="s">
        <v>27</v>
      </c>
      <c r="P1773" t="s">
        <v>30</v>
      </c>
      <c r="Q1773" t="s">
        <v>31</v>
      </c>
      <c r="R1773" t="s">
        <v>32</v>
      </c>
      <c r="S1773" t="s">
        <v>28</v>
      </c>
      <c r="T1773" t="s">
        <v>6875</v>
      </c>
      <c r="U1773" t="s">
        <v>6874</v>
      </c>
    </row>
    <row r="1774" spans="1:21" x14ac:dyDescent="0.25">
      <c r="A1774" t="s">
        <v>70</v>
      </c>
      <c r="B1774" t="s">
        <v>70</v>
      </c>
      <c r="C1774">
        <v>350</v>
      </c>
      <c r="D1774">
        <v>1</v>
      </c>
      <c r="E1774">
        <v>0</v>
      </c>
      <c r="F1774" t="s">
        <v>6876</v>
      </c>
      <c r="G1774">
        <v>350</v>
      </c>
      <c r="H1774">
        <v>0</v>
      </c>
      <c r="I1774" t="s">
        <v>140</v>
      </c>
      <c r="J1774" t="s">
        <v>6873</v>
      </c>
      <c r="K1774" t="s">
        <v>37</v>
      </c>
      <c r="L1774" t="s">
        <v>27</v>
      </c>
      <c r="M1774" t="s">
        <v>28</v>
      </c>
      <c r="N1774" t="s">
        <v>6877</v>
      </c>
      <c r="O1774" t="s">
        <v>27</v>
      </c>
      <c r="P1774" t="s">
        <v>30</v>
      </c>
      <c r="Q1774" t="s">
        <v>31</v>
      </c>
      <c r="R1774" t="s">
        <v>32</v>
      </c>
      <c r="S1774" t="s">
        <v>28</v>
      </c>
      <c r="T1774" t="s">
        <v>6878</v>
      </c>
      <c r="U1774" t="s">
        <v>6877</v>
      </c>
    </row>
    <row r="1775" spans="1:21" x14ac:dyDescent="0.25">
      <c r="A1775" t="s">
        <v>134</v>
      </c>
      <c r="B1775" t="s">
        <v>64</v>
      </c>
      <c r="C1775">
        <v>100</v>
      </c>
      <c r="D1775">
        <v>1</v>
      </c>
      <c r="E1775">
        <v>0</v>
      </c>
      <c r="F1775" t="s">
        <v>6879</v>
      </c>
      <c r="G1775">
        <v>129</v>
      </c>
      <c r="H1775">
        <v>29</v>
      </c>
      <c r="I1775" t="s">
        <v>140</v>
      </c>
      <c r="J1775" t="s">
        <v>6880</v>
      </c>
      <c r="K1775" t="s">
        <v>124</v>
      </c>
      <c r="L1775" t="s">
        <v>27</v>
      </c>
      <c r="M1775" t="s">
        <v>28</v>
      </c>
      <c r="N1775" t="s">
        <v>6881</v>
      </c>
      <c r="O1775" t="s">
        <v>27</v>
      </c>
      <c r="P1775" t="s">
        <v>369</v>
      </c>
      <c r="Q1775" t="s">
        <v>31</v>
      </c>
      <c r="R1775" t="s">
        <v>57</v>
      </c>
      <c r="S1775" t="s">
        <v>28</v>
      </c>
      <c r="T1775" t="s">
        <v>6882</v>
      </c>
      <c r="U1775" t="s">
        <v>6883</v>
      </c>
    </row>
    <row r="1776" spans="1:21" x14ac:dyDescent="0.25">
      <c r="A1776" t="s">
        <v>134</v>
      </c>
      <c r="B1776" t="s">
        <v>64</v>
      </c>
      <c r="C1776">
        <v>100</v>
      </c>
      <c r="D1776">
        <v>1</v>
      </c>
      <c r="E1776">
        <v>0</v>
      </c>
      <c r="F1776" t="s">
        <v>6884</v>
      </c>
      <c r="G1776">
        <v>106</v>
      </c>
      <c r="H1776">
        <v>6</v>
      </c>
      <c r="I1776" t="s">
        <v>445</v>
      </c>
      <c r="J1776" t="s">
        <v>6885</v>
      </c>
      <c r="K1776" t="s">
        <v>701</v>
      </c>
      <c r="L1776" t="s">
        <v>27</v>
      </c>
      <c r="M1776" t="s">
        <v>28</v>
      </c>
      <c r="N1776" t="s">
        <v>6886</v>
      </c>
      <c r="O1776" t="s">
        <v>27</v>
      </c>
      <c r="P1776" t="s">
        <v>39</v>
      </c>
      <c r="Q1776" t="s">
        <v>31</v>
      </c>
      <c r="R1776" t="s">
        <v>32</v>
      </c>
      <c r="S1776" t="s">
        <v>28</v>
      </c>
      <c r="T1776" t="s">
        <v>6887</v>
      </c>
      <c r="U1776" t="s">
        <v>6886</v>
      </c>
    </row>
    <row r="1777" spans="1:21" x14ac:dyDescent="0.25">
      <c r="A1777" t="s">
        <v>134</v>
      </c>
      <c r="B1777" t="s">
        <v>64</v>
      </c>
      <c r="C1777">
        <v>100</v>
      </c>
      <c r="D1777">
        <v>1</v>
      </c>
      <c r="E1777">
        <v>0</v>
      </c>
      <c r="F1777" t="s">
        <v>6888</v>
      </c>
      <c r="G1777">
        <v>106</v>
      </c>
      <c r="H1777">
        <v>6</v>
      </c>
      <c r="I1777" t="s">
        <v>24</v>
      </c>
      <c r="J1777" t="s">
        <v>6889</v>
      </c>
      <c r="K1777" t="s">
        <v>771</v>
      </c>
      <c r="L1777" t="s">
        <v>27</v>
      </c>
      <c r="M1777" t="s">
        <v>28</v>
      </c>
      <c r="N1777" t="s">
        <v>6890</v>
      </c>
      <c r="O1777" t="s">
        <v>27</v>
      </c>
      <c r="P1777" t="s">
        <v>39</v>
      </c>
      <c r="Q1777" t="s">
        <v>31</v>
      </c>
      <c r="R1777" t="s">
        <v>32</v>
      </c>
      <c r="S1777" t="s">
        <v>28</v>
      </c>
      <c r="T1777" t="s">
        <v>6891</v>
      </c>
      <c r="U1777" t="s">
        <v>6890</v>
      </c>
    </row>
    <row r="1778" spans="1:21" x14ac:dyDescent="0.25">
      <c r="A1778" t="s">
        <v>143</v>
      </c>
      <c r="B1778" t="s">
        <v>144</v>
      </c>
      <c r="C1778">
        <v>200</v>
      </c>
      <c r="D1778">
        <v>1</v>
      </c>
      <c r="E1778">
        <v>0</v>
      </c>
      <c r="F1778" t="s">
        <v>6892</v>
      </c>
      <c r="G1778">
        <v>200</v>
      </c>
      <c r="H1778">
        <v>0</v>
      </c>
      <c r="I1778" t="s">
        <v>140</v>
      </c>
      <c r="J1778" t="s">
        <v>6873</v>
      </c>
      <c r="K1778" t="s">
        <v>37</v>
      </c>
      <c r="L1778" t="s">
        <v>27</v>
      </c>
      <c r="M1778" t="s">
        <v>28</v>
      </c>
      <c r="N1778" t="s">
        <v>6893</v>
      </c>
      <c r="O1778" t="s">
        <v>27</v>
      </c>
      <c r="P1778" t="s">
        <v>30</v>
      </c>
      <c r="Q1778" t="s">
        <v>31</v>
      </c>
      <c r="R1778" t="s">
        <v>32</v>
      </c>
      <c r="S1778" t="s">
        <v>28</v>
      </c>
      <c r="T1778" t="s">
        <v>6894</v>
      </c>
      <c r="U1778" t="s">
        <v>6893</v>
      </c>
    </row>
    <row r="1779" spans="1:21" x14ac:dyDescent="0.25">
      <c r="A1779" t="s">
        <v>58</v>
      </c>
      <c r="B1779" t="s">
        <v>103</v>
      </c>
      <c r="C1779">
        <v>99.75</v>
      </c>
      <c r="D1779">
        <v>1</v>
      </c>
      <c r="E1779">
        <v>0</v>
      </c>
      <c r="F1779" t="s">
        <v>6895</v>
      </c>
      <c r="G1779">
        <v>104.75</v>
      </c>
      <c r="H1779">
        <v>5</v>
      </c>
      <c r="I1779" t="s">
        <v>105</v>
      </c>
      <c r="J1779" t="s">
        <v>6896</v>
      </c>
      <c r="K1779" t="s">
        <v>6897</v>
      </c>
      <c r="L1779" t="s">
        <v>1234</v>
      </c>
      <c r="M1779" t="s">
        <v>6898</v>
      </c>
      <c r="N1779" t="s">
        <v>6899</v>
      </c>
      <c r="O1779" t="s">
        <v>27</v>
      </c>
      <c r="P1779" t="s">
        <v>48</v>
      </c>
      <c r="Q1779" t="s">
        <v>49</v>
      </c>
      <c r="R1779" t="s">
        <v>50</v>
      </c>
      <c r="S1779" t="s">
        <v>28</v>
      </c>
      <c r="T1779" t="s">
        <v>6900</v>
      </c>
      <c r="U1779" t="s">
        <v>6899</v>
      </c>
    </row>
    <row r="1780" spans="1:21" x14ac:dyDescent="0.25">
      <c r="A1780" t="s">
        <v>143</v>
      </c>
      <c r="B1780" t="s">
        <v>144</v>
      </c>
      <c r="C1780">
        <v>200</v>
      </c>
      <c r="D1780">
        <v>1</v>
      </c>
      <c r="E1780">
        <v>0</v>
      </c>
      <c r="F1780" t="s">
        <v>6901</v>
      </c>
      <c r="G1780">
        <v>200</v>
      </c>
      <c r="H1780">
        <v>0</v>
      </c>
      <c r="I1780" t="s">
        <v>140</v>
      </c>
      <c r="J1780" t="s">
        <v>6902</v>
      </c>
      <c r="K1780" t="s">
        <v>241</v>
      </c>
      <c r="L1780" t="s">
        <v>27</v>
      </c>
      <c r="M1780" t="s">
        <v>28</v>
      </c>
      <c r="N1780" t="s">
        <v>6903</v>
      </c>
      <c r="O1780" t="s">
        <v>27</v>
      </c>
      <c r="P1780" t="s">
        <v>30</v>
      </c>
      <c r="Q1780" t="s">
        <v>31</v>
      </c>
      <c r="R1780" t="s">
        <v>32</v>
      </c>
      <c r="S1780" t="s">
        <v>28</v>
      </c>
      <c r="T1780" t="s">
        <v>6904</v>
      </c>
      <c r="U1780" t="s">
        <v>6903</v>
      </c>
    </row>
    <row r="1781" spans="1:21" x14ac:dyDescent="0.25">
      <c r="A1781" t="s">
        <v>33</v>
      </c>
      <c r="B1781" t="s">
        <v>34</v>
      </c>
      <c r="C1781">
        <v>200</v>
      </c>
      <c r="D1781">
        <v>1</v>
      </c>
      <c r="E1781">
        <v>0</v>
      </c>
      <c r="F1781" t="s">
        <v>6905</v>
      </c>
      <c r="G1781">
        <v>200</v>
      </c>
      <c r="H1781">
        <v>0</v>
      </c>
      <c r="I1781" t="s">
        <v>24</v>
      </c>
      <c r="J1781" t="s">
        <v>6906</v>
      </c>
      <c r="K1781" t="s">
        <v>67</v>
      </c>
      <c r="L1781" t="s">
        <v>27</v>
      </c>
      <c r="M1781" t="s">
        <v>28</v>
      </c>
      <c r="N1781" t="s">
        <v>6907</v>
      </c>
      <c r="O1781" t="s">
        <v>27</v>
      </c>
      <c r="P1781" t="s">
        <v>39</v>
      </c>
      <c r="Q1781" t="s">
        <v>31</v>
      </c>
      <c r="R1781" t="s">
        <v>32</v>
      </c>
      <c r="S1781" t="s">
        <v>28</v>
      </c>
      <c r="T1781" t="s">
        <v>6908</v>
      </c>
      <c r="U1781" t="s">
        <v>6907</v>
      </c>
    </row>
    <row r="1782" spans="1:21" x14ac:dyDescent="0.25">
      <c r="A1782" t="s">
        <v>2295</v>
      </c>
      <c r="B1782" t="s">
        <v>3286</v>
      </c>
      <c r="C1782">
        <v>199</v>
      </c>
      <c r="D1782">
        <v>1</v>
      </c>
      <c r="E1782">
        <v>0</v>
      </c>
      <c r="F1782" t="s">
        <v>6909</v>
      </c>
      <c r="G1782">
        <v>240</v>
      </c>
      <c r="H1782">
        <v>41</v>
      </c>
      <c r="I1782" t="s">
        <v>24</v>
      </c>
      <c r="J1782" t="s">
        <v>2876</v>
      </c>
      <c r="K1782" t="s">
        <v>2877</v>
      </c>
      <c r="L1782" t="s">
        <v>2878</v>
      </c>
      <c r="M1782" t="s">
        <v>2879</v>
      </c>
      <c r="N1782" t="s">
        <v>6910</v>
      </c>
      <c r="O1782" t="s">
        <v>27</v>
      </c>
      <c r="P1782" t="s">
        <v>84</v>
      </c>
      <c r="Q1782" t="s">
        <v>85</v>
      </c>
      <c r="R1782" t="s">
        <v>86</v>
      </c>
      <c r="S1782" t="s">
        <v>28</v>
      </c>
      <c r="T1782" t="s">
        <v>6911</v>
      </c>
      <c r="U1782" t="s">
        <v>6912</v>
      </c>
    </row>
    <row r="1783" spans="1:21" x14ac:dyDescent="0.25">
      <c r="A1783" t="s">
        <v>21</v>
      </c>
      <c r="B1783" t="s">
        <v>22</v>
      </c>
      <c r="C1783">
        <v>100</v>
      </c>
      <c r="D1783">
        <v>2</v>
      </c>
      <c r="E1783">
        <v>0</v>
      </c>
      <c r="F1783" t="s">
        <v>6913</v>
      </c>
      <c r="G1783">
        <v>200</v>
      </c>
      <c r="H1783">
        <v>0</v>
      </c>
      <c r="I1783" t="s">
        <v>445</v>
      </c>
      <c r="J1783" t="s">
        <v>6914</v>
      </c>
      <c r="K1783" t="s">
        <v>237</v>
      </c>
      <c r="L1783" t="s">
        <v>27</v>
      </c>
      <c r="M1783" t="s">
        <v>28</v>
      </c>
      <c r="N1783" t="s">
        <v>6912</v>
      </c>
      <c r="O1783" t="s">
        <v>27</v>
      </c>
      <c r="P1783" t="s">
        <v>39</v>
      </c>
      <c r="Q1783" t="s">
        <v>31</v>
      </c>
      <c r="R1783" t="s">
        <v>32</v>
      </c>
      <c r="S1783" t="s">
        <v>28</v>
      </c>
      <c r="T1783" t="s">
        <v>6915</v>
      </c>
      <c r="U1783" t="s">
        <v>6912</v>
      </c>
    </row>
    <row r="1784" spans="1:21" x14ac:dyDescent="0.25">
      <c r="A1784" t="s">
        <v>21</v>
      </c>
      <c r="B1784" t="s">
        <v>22</v>
      </c>
      <c r="C1784">
        <v>100</v>
      </c>
      <c r="D1784">
        <v>1</v>
      </c>
      <c r="E1784">
        <v>0</v>
      </c>
      <c r="F1784" t="s">
        <v>6916</v>
      </c>
      <c r="G1784">
        <v>106</v>
      </c>
      <c r="H1784">
        <v>6</v>
      </c>
      <c r="I1784" t="s">
        <v>445</v>
      </c>
      <c r="J1784" t="s">
        <v>6917</v>
      </c>
      <c r="K1784" t="s">
        <v>1878</v>
      </c>
      <c r="L1784" t="s">
        <v>27</v>
      </c>
      <c r="M1784" t="s">
        <v>28</v>
      </c>
      <c r="N1784" t="s">
        <v>6918</v>
      </c>
      <c r="O1784" t="s">
        <v>27</v>
      </c>
      <c r="P1784" t="s">
        <v>39</v>
      </c>
      <c r="Q1784" t="s">
        <v>31</v>
      </c>
      <c r="R1784" t="s">
        <v>32</v>
      </c>
      <c r="S1784" t="s">
        <v>28</v>
      </c>
      <c r="T1784" t="s">
        <v>6919</v>
      </c>
      <c r="U1784" t="s">
        <v>6918</v>
      </c>
    </row>
    <row r="1785" spans="1:21" x14ac:dyDescent="0.25">
      <c r="A1785" t="s">
        <v>2144</v>
      </c>
      <c r="B1785" t="s">
        <v>2145</v>
      </c>
      <c r="C1785">
        <v>80.849999999999994</v>
      </c>
      <c r="D1785">
        <v>1</v>
      </c>
      <c r="E1785">
        <v>0</v>
      </c>
      <c r="F1785" t="s">
        <v>6920</v>
      </c>
      <c r="G1785">
        <v>85.85</v>
      </c>
      <c r="H1785">
        <v>5</v>
      </c>
      <c r="I1785" t="s">
        <v>720</v>
      </c>
      <c r="J1785" t="s">
        <v>6921</v>
      </c>
      <c r="K1785" t="s">
        <v>6922</v>
      </c>
      <c r="L1785" t="s">
        <v>6923</v>
      </c>
      <c r="M1785" t="s">
        <v>6924</v>
      </c>
      <c r="N1785" t="s">
        <v>6918</v>
      </c>
      <c r="O1785" t="s">
        <v>27</v>
      </c>
      <c r="P1785" t="s">
        <v>48</v>
      </c>
      <c r="Q1785" t="s">
        <v>49</v>
      </c>
      <c r="R1785" t="s">
        <v>50</v>
      </c>
      <c r="S1785" t="s">
        <v>28</v>
      </c>
      <c r="T1785" t="s">
        <v>6925</v>
      </c>
      <c r="U1785" t="s">
        <v>6918</v>
      </c>
    </row>
    <row r="1786" spans="1:21" x14ac:dyDescent="0.25">
      <c r="A1786" t="s">
        <v>143</v>
      </c>
      <c r="B1786" t="s">
        <v>144</v>
      </c>
      <c r="C1786">
        <v>200</v>
      </c>
      <c r="D1786">
        <v>1</v>
      </c>
      <c r="E1786">
        <v>0</v>
      </c>
      <c r="F1786" t="s">
        <v>6926</v>
      </c>
      <c r="G1786">
        <v>200</v>
      </c>
      <c r="H1786">
        <v>0</v>
      </c>
      <c r="I1786" t="s">
        <v>140</v>
      </c>
      <c r="J1786" t="s">
        <v>5483</v>
      </c>
      <c r="K1786" t="s">
        <v>797</v>
      </c>
      <c r="L1786" t="s">
        <v>27</v>
      </c>
      <c r="M1786" t="s">
        <v>28</v>
      </c>
      <c r="N1786" t="s">
        <v>6927</v>
      </c>
      <c r="O1786" t="s">
        <v>27</v>
      </c>
      <c r="P1786" t="s">
        <v>30</v>
      </c>
      <c r="Q1786" t="s">
        <v>31</v>
      </c>
      <c r="R1786" t="s">
        <v>32</v>
      </c>
      <c r="S1786" t="s">
        <v>28</v>
      </c>
      <c r="T1786" t="s">
        <v>6928</v>
      </c>
      <c r="U1786" t="s">
        <v>6927</v>
      </c>
    </row>
    <row r="1787" spans="1:21" x14ac:dyDescent="0.25">
      <c r="A1787" t="s">
        <v>21</v>
      </c>
      <c r="B1787" t="s">
        <v>22</v>
      </c>
      <c r="C1787">
        <v>100</v>
      </c>
      <c r="D1787">
        <v>1</v>
      </c>
      <c r="E1787">
        <v>0</v>
      </c>
      <c r="F1787" t="s">
        <v>6929</v>
      </c>
      <c r="G1787">
        <v>106</v>
      </c>
      <c r="H1787">
        <v>6</v>
      </c>
      <c r="I1787" t="s">
        <v>24</v>
      </c>
      <c r="J1787" t="s">
        <v>6930</v>
      </c>
      <c r="K1787" t="s">
        <v>331</v>
      </c>
      <c r="L1787" t="s">
        <v>27</v>
      </c>
      <c r="M1787" t="s">
        <v>28</v>
      </c>
      <c r="N1787" t="s">
        <v>6931</v>
      </c>
      <c r="O1787" t="s">
        <v>27</v>
      </c>
      <c r="P1787" t="s">
        <v>39</v>
      </c>
      <c r="Q1787" t="s">
        <v>31</v>
      </c>
      <c r="R1787" t="s">
        <v>32</v>
      </c>
      <c r="S1787" t="s">
        <v>28</v>
      </c>
      <c r="T1787" t="s">
        <v>6932</v>
      </c>
      <c r="U1787" t="s">
        <v>6931</v>
      </c>
    </row>
    <row r="1788" spans="1:21" x14ac:dyDescent="0.25">
      <c r="A1788" t="s">
        <v>70</v>
      </c>
      <c r="B1788" t="s">
        <v>70</v>
      </c>
      <c r="C1788">
        <v>350</v>
      </c>
      <c r="D1788">
        <v>1</v>
      </c>
      <c r="E1788">
        <v>0</v>
      </c>
      <c r="F1788" t="s">
        <v>6933</v>
      </c>
      <c r="G1788">
        <v>350</v>
      </c>
      <c r="H1788">
        <v>0</v>
      </c>
      <c r="I1788" t="s">
        <v>140</v>
      </c>
      <c r="J1788" t="s">
        <v>6934</v>
      </c>
      <c r="K1788" t="s">
        <v>1190</v>
      </c>
      <c r="L1788" t="s">
        <v>27</v>
      </c>
      <c r="M1788" t="s">
        <v>28</v>
      </c>
      <c r="N1788" t="s">
        <v>6935</v>
      </c>
      <c r="O1788" t="s">
        <v>27</v>
      </c>
      <c r="P1788" t="s">
        <v>369</v>
      </c>
      <c r="Q1788" t="s">
        <v>31</v>
      </c>
      <c r="R1788" t="s">
        <v>57</v>
      </c>
      <c r="S1788" t="s">
        <v>28</v>
      </c>
      <c r="T1788" t="s">
        <v>6936</v>
      </c>
      <c r="U1788" t="s">
        <v>6935</v>
      </c>
    </row>
    <row r="1789" spans="1:21" x14ac:dyDescent="0.25">
      <c r="A1789" t="s">
        <v>21</v>
      </c>
      <c r="B1789" t="s">
        <v>22</v>
      </c>
      <c r="C1789">
        <v>100</v>
      </c>
      <c r="D1789">
        <v>1</v>
      </c>
      <c r="E1789">
        <v>0</v>
      </c>
      <c r="F1789" t="s">
        <v>6937</v>
      </c>
      <c r="G1789">
        <v>106</v>
      </c>
      <c r="H1789">
        <v>6</v>
      </c>
      <c r="I1789" t="s">
        <v>24</v>
      </c>
      <c r="J1789" t="s">
        <v>6938</v>
      </c>
      <c r="K1789" t="s">
        <v>285</v>
      </c>
      <c r="L1789" t="s">
        <v>27</v>
      </c>
      <c r="M1789" t="s">
        <v>28</v>
      </c>
      <c r="N1789" t="s">
        <v>6935</v>
      </c>
      <c r="O1789" t="s">
        <v>27</v>
      </c>
      <c r="P1789" t="s">
        <v>39</v>
      </c>
      <c r="Q1789" t="s">
        <v>31</v>
      </c>
      <c r="R1789" t="s">
        <v>32</v>
      </c>
      <c r="S1789" t="s">
        <v>28</v>
      </c>
      <c r="T1789" t="s">
        <v>6939</v>
      </c>
      <c r="U1789" t="s">
        <v>6935</v>
      </c>
    </row>
    <row r="1790" spans="1:21" x14ac:dyDescent="0.25">
      <c r="A1790" t="s">
        <v>3543</v>
      </c>
      <c r="B1790" t="s">
        <v>3544</v>
      </c>
      <c r="C1790">
        <v>283</v>
      </c>
      <c r="D1790">
        <v>1</v>
      </c>
      <c r="E1790">
        <v>0</v>
      </c>
      <c r="F1790" t="s">
        <v>6940</v>
      </c>
      <c r="G1790">
        <v>566</v>
      </c>
      <c r="H1790">
        <v>0</v>
      </c>
      <c r="I1790" t="s">
        <v>720</v>
      </c>
      <c r="J1790" t="s">
        <v>5988</v>
      </c>
      <c r="K1790" t="s">
        <v>5989</v>
      </c>
      <c r="L1790" t="s">
        <v>5990</v>
      </c>
      <c r="M1790" t="s">
        <v>5991</v>
      </c>
      <c r="N1790" t="s">
        <v>6935</v>
      </c>
      <c r="O1790" t="s">
        <v>27</v>
      </c>
      <c r="P1790" t="s">
        <v>48</v>
      </c>
      <c r="Q1790" t="s">
        <v>49</v>
      </c>
      <c r="R1790" t="s">
        <v>50</v>
      </c>
      <c r="S1790" t="s">
        <v>28</v>
      </c>
      <c r="T1790" t="s">
        <v>6941</v>
      </c>
      <c r="U1790" t="s">
        <v>6935</v>
      </c>
    </row>
    <row r="1791" spans="1:21" x14ac:dyDescent="0.25">
      <c r="A1791" t="s">
        <v>3543</v>
      </c>
      <c r="B1791" t="s">
        <v>3544</v>
      </c>
      <c r="C1791">
        <v>283</v>
      </c>
      <c r="D1791">
        <v>1</v>
      </c>
      <c r="E1791">
        <v>0</v>
      </c>
      <c r="F1791" t="s">
        <v>6940</v>
      </c>
      <c r="G1791">
        <v>566</v>
      </c>
      <c r="H1791">
        <v>0</v>
      </c>
      <c r="I1791" t="s">
        <v>720</v>
      </c>
      <c r="J1791" t="s">
        <v>5988</v>
      </c>
      <c r="K1791" t="s">
        <v>5989</v>
      </c>
      <c r="L1791" t="s">
        <v>5990</v>
      </c>
      <c r="M1791" t="s">
        <v>5991</v>
      </c>
      <c r="N1791" t="s">
        <v>6935</v>
      </c>
      <c r="O1791" t="s">
        <v>27</v>
      </c>
      <c r="P1791" t="s">
        <v>48</v>
      </c>
      <c r="Q1791" t="s">
        <v>49</v>
      </c>
      <c r="R1791" t="s">
        <v>50</v>
      </c>
      <c r="S1791" t="s">
        <v>28</v>
      </c>
      <c r="T1791" t="s">
        <v>6941</v>
      </c>
      <c r="U1791" t="s">
        <v>6935</v>
      </c>
    </row>
    <row r="1792" spans="1:21" x14ac:dyDescent="0.25">
      <c r="A1792" t="s">
        <v>63</v>
      </c>
      <c r="B1792" t="s">
        <v>64</v>
      </c>
      <c r="C1792">
        <v>100</v>
      </c>
      <c r="D1792">
        <v>1</v>
      </c>
      <c r="E1792">
        <v>0</v>
      </c>
      <c r="F1792" t="s">
        <v>6942</v>
      </c>
      <c r="G1792">
        <v>145</v>
      </c>
      <c r="H1792">
        <v>45</v>
      </c>
      <c r="I1792" t="s">
        <v>24</v>
      </c>
      <c r="J1792" t="s">
        <v>6943</v>
      </c>
      <c r="K1792" t="s">
        <v>37</v>
      </c>
      <c r="L1792" t="s">
        <v>27</v>
      </c>
      <c r="M1792" t="s">
        <v>28</v>
      </c>
      <c r="N1792" t="s">
        <v>6944</v>
      </c>
      <c r="O1792" t="s">
        <v>27</v>
      </c>
      <c r="P1792" t="s">
        <v>39</v>
      </c>
      <c r="Q1792" t="s">
        <v>31</v>
      </c>
      <c r="R1792" t="s">
        <v>32</v>
      </c>
      <c r="S1792" t="s">
        <v>28</v>
      </c>
      <c r="T1792" t="s">
        <v>6945</v>
      </c>
      <c r="U1792" t="s">
        <v>6944</v>
      </c>
    </row>
    <row r="1793" spans="1:21" x14ac:dyDescent="0.25">
      <c r="A1793" t="s">
        <v>58</v>
      </c>
      <c r="B1793" t="s">
        <v>58</v>
      </c>
      <c r="C1793">
        <v>100</v>
      </c>
      <c r="D1793">
        <v>1</v>
      </c>
      <c r="E1793">
        <v>0</v>
      </c>
      <c r="F1793" t="s">
        <v>6946</v>
      </c>
      <c r="G1793">
        <v>100</v>
      </c>
      <c r="H1793">
        <v>0</v>
      </c>
      <c r="I1793" t="s">
        <v>445</v>
      </c>
      <c r="J1793" t="s">
        <v>6947</v>
      </c>
      <c r="K1793" t="s">
        <v>753</v>
      </c>
      <c r="L1793" t="s">
        <v>27</v>
      </c>
      <c r="M1793" t="s">
        <v>28</v>
      </c>
      <c r="N1793" t="s">
        <v>6948</v>
      </c>
      <c r="O1793" t="s">
        <v>27</v>
      </c>
      <c r="P1793" t="s">
        <v>39</v>
      </c>
      <c r="Q1793" t="s">
        <v>31</v>
      </c>
      <c r="R1793" t="s">
        <v>32</v>
      </c>
      <c r="S1793" t="s">
        <v>28</v>
      </c>
      <c r="T1793" t="s">
        <v>6949</v>
      </c>
      <c r="U1793" t="s">
        <v>6948</v>
      </c>
    </row>
    <row r="1794" spans="1:21" x14ac:dyDescent="0.25">
      <c r="A1794" t="s">
        <v>21</v>
      </c>
      <c r="B1794" t="s">
        <v>22</v>
      </c>
      <c r="C1794">
        <v>100</v>
      </c>
      <c r="D1794">
        <v>1</v>
      </c>
      <c r="E1794">
        <v>0</v>
      </c>
      <c r="F1794" t="s">
        <v>6950</v>
      </c>
      <c r="G1794">
        <v>106</v>
      </c>
      <c r="H1794">
        <v>6</v>
      </c>
      <c r="I1794" t="s">
        <v>445</v>
      </c>
      <c r="J1794" t="s">
        <v>6951</v>
      </c>
      <c r="K1794" t="s">
        <v>1602</v>
      </c>
      <c r="L1794" t="s">
        <v>27</v>
      </c>
      <c r="M1794" t="s">
        <v>28</v>
      </c>
      <c r="N1794" t="s">
        <v>6948</v>
      </c>
      <c r="O1794" t="s">
        <v>27</v>
      </c>
      <c r="P1794" t="s">
        <v>39</v>
      </c>
      <c r="Q1794" t="s">
        <v>31</v>
      </c>
      <c r="R1794" t="s">
        <v>32</v>
      </c>
      <c r="S1794" t="s">
        <v>28</v>
      </c>
      <c r="T1794" t="s">
        <v>6952</v>
      </c>
      <c r="U1794" t="s">
        <v>6948</v>
      </c>
    </row>
    <row r="1795" spans="1:21" x14ac:dyDescent="0.25">
      <c r="A1795" t="s">
        <v>143</v>
      </c>
      <c r="B1795" t="s">
        <v>144</v>
      </c>
      <c r="C1795">
        <v>200</v>
      </c>
      <c r="D1795">
        <v>1</v>
      </c>
      <c r="E1795">
        <v>0</v>
      </c>
      <c r="F1795" t="s">
        <v>6953</v>
      </c>
      <c r="G1795">
        <v>200</v>
      </c>
      <c r="H1795">
        <v>0</v>
      </c>
      <c r="I1795" t="s">
        <v>140</v>
      </c>
      <c r="J1795" t="s">
        <v>6954</v>
      </c>
      <c r="K1795" t="s">
        <v>273</v>
      </c>
      <c r="L1795" t="s">
        <v>27</v>
      </c>
      <c r="M1795" t="s">
        <v>28</v>
      </c>
      <c r="N1795" t="s">
        <v>6955</v>
      </c>
      <c r="O1795" t="s">
        <v>27</v>
      </c>
      <c r="P1795" t="s">
        <v>30</v>
      </c>
      <c r="Q1795" t="s">
        <v>31</v>
      </c>
      <c r="R1795" t="s">
        <v>32</v>
      </c>
      <c r="S1795" t="s">
        <v>28</v>
      </c>
      <c r="T1795" t="s">
        <v>6956</v>
      </c>
      <c r="U1795" t="s">
        <v>6955</v>
      </c>
    </row>
    <row r="1796" spans="1:21" x14ac:dyDescent="0.25">
      <c r="A1796" t="s">
        <v>33</v>
      </c>
      <c r="B1796" t="s">
        <v>34</v>
      </c>
      <c r="C1796">
        <v>200</v>
      </c>
      <c r="D1796">
        <v>1</v>
      </c>
      <c r="E1796">
        <v>0</v>
      </c>
      <c r="F1796" t="s">
        <v>6957</v>
      </c>
      <c r="G1796">
        <v>200</v>
      </c>
      <c r="H1796">
        <v>0</v>
      </c>
      <c r="I1796" t="s">
        <v>445</v>
      </c>
      <c r="J1796" t="s">
        <v>6958</v>
      </c>
      <c r="K1796" t="s">
        <v>247</v>
      </c>
      <c r="L1796" t="s">
        <v>27</v>
      </c>
      <c r="M1796" t="s">
        <v>28</v>
      </c>
      <c r="N1796" t="s">
        <v>6959</v>
      </c>
      <c r="O1796" t="s">
        <v>27</v>
      </c>
      <c r="P1796" t="s">
        <v>56</v>
      </c>
      <c r="Q1796" t="s">
        <v>31</v>
      </c>
      <c r="R1796" t="s">
        <v>57</v>
      </c>
      <c r="S1796" t="s">
        <v>28</v>
      </c>
      <c r="T1796" t="s">
        <v>6960</v>
      </c>
      <c r="U1796" t="s">
        <v>6959</v>
      </c>
    </row>
    <row r="1797" spans="1:21" x14ac:dyDescent="0.25">
      <c r="A1797" t="s">
        <v>143</v>
      </c>
      <c r="B1797" t="s">
        <v>144</v>
      </c>
      <c r="C1797">
        <v>200</v>
      </c>
      <c r="D1797">
        <v>1</v>
      </c>
      <c r="E1797">
        <v>0</v>
      </c>
      <c r="F1797" t="s">
        <v>6961</v>
      </c>
      <c r="G1797">
        <v>200</v>
      </c>
      <c r="H1797">
        <v>0</v>
      </c>
      <c r="I1797" t="s">
        <v>140</v>
      </c>
      <c r="J1797" t="s">
        <v>6962</v>
      </c>
      <c r="K1797" t="s">
        <v>209</v>
      </c>
      <c r="L1797" t="s">
        <v>27</v>
      </c>
      <c r="M1797" t="s">
        <v>28</v>
      </c>
      <c r="N1797" t="s">
        <v>6963</v>
      </c>
      <c r="O1797" t="s">
        <v>27</v>
      </c>
      <c r="P1797" t="s">
        <v>30</v>
      </c>
      <c r="Q1797" t="s">
        <v>31</v>
      </c>
      <c r="R1797" t="s">
        <v>32</v>
      </c>
      <c r="S1797" t="s">
        <v>28</v>
      </c>
      <c r="T1797" t="s">
        <v>6964</v>
      </c>
      <c r="U1797" t="s">
        <v>6965</v>
      </c>
    </row>
    <row r="1798" spans="1:21" x14ac:dyDescent="0.25">
      <c r="A1798" t="s">
        <v>143</v>
      </c>
      <c r="B1798" t="s">
        <v>144</v>
      </c>
      <c r="C1798">
        <v>200</v>
      </c>
      <c r="D1798">
        <v>1</v>
      </c>
      <c r="E1798">
        <v>0</v>
      </c>
      <c r="F1798" t="s">
        <v>6966</v>
      </c>
      <c r="G1798">
        <v>200</v>
      </c>
      <c r="H1798">
        <v>0</v>
      </c>
      <c r="I1798" t="s">
        <v>140</v>
      </c>
      <c r="J1798" t="s">
        <v>6967</v>
      </c>
      <c r="K1798" t="s">
        <v>771</v>
      </c>
      <c r="L1798" t="s">
        <v>27</v>
      </c>
      <c r="M1798" t="s">
        <v>28</v>
      </c>
      <c r="N1798" t="s">
        <v>6963</v>
      </c>
      <c r="O1798" t="s">
        <v>27</v>
      </c>
      <c r="P1798" t="s">
        <v>30</v>
      </c>
      <c r="Q1798" t="s">
        <v>31</v>
      </c>
      <c r="R1798" t="s">
        <v>32</v>
      </c>
      <c r="S1798" t="s">
        <v>28</v>
      </c>
      <c r="T1798" t="s">
        <v>6968</v>
      </c>
      <c r="U1798" t="s">
        <v>6965</v>
      </c>
    </row>
    <row r="1799" spans="1:21" x14ac:dyDescent="0.25">
      <c r="A1799" t="s">
        <v>63</v>
      </c>
      <c r="B1799" t="s">
        <v>64</v>
      </c>
      <c r="C1799">
        <v>100</v>
      </c>
      <c r="D1799">
        <v>1</v>
      </c>
      <c r="E1799">
        <v>0</v>
      </c>
      <c r="F1799" t="s">
        <v>6969</v>
      </c>
      <c r="G1799">
        <v>200</v>
      </c>
      <c r="H1799">
        <v>0</v>
      </c>
      <c r="I1799" t="s">
        <v>24</v>
      </c>
      <c r="J1799" t="s">
        <v>6970</v>
      </c>
      <c r="K1799" t="s">
        <v>677</v>
      </c>
      <c r="L1799" t="s">
        <v>27</v>
      </c>
      <c r="M1799" t="s">
        <v>28</v>
      </c>
      <c r="N1799" t="s">
        <v>6971</v>
      </c>
      <c r="O1799" t="s">
        <v>27</v>
      </c>
      <c r="P1799" t="s">
        <v>56</v>
      </c>
      <c r="Q1799" t="s">
        <v>31</v>
      </c>
      <c r="R1799" t="s">
        <v>57</v>
      </c>
      <c r="S1799" t="s">
        <v>28</v>
      </c>
      <c r="T1799" t="s">
        <v>6972</v>
      </c>
      <c r="U1799" t="s">
        <v>6973</v>
      </c>
    </row>
    <row r="1800" spans="1:21" x14ac:dyDescent="0.25">
      <c r="A1800" t="s">
        <v>21</v>
      </c>
      <c r="B1800" t="s">
        <v>22</v>
      </c>
      <c r="C1800">
        <v>100</v>
      </c>
      <c r="D1800">
        <v>1</v>
      </c>
      <c r="E1800">
        <v>0</v>
      </c>
      <c r="F1800" t="s">
        <v>6969</v>
      </c>
      <c r="G1800">
        <v>200</v>
      </c>
      <c r="H1800">
        <v>0</v>
      </c>
      <c r="I1800" t="s">
        <v>24</v>
      </c>
      <c r="J1800" t="s">
        <v>6970</v>
      </c>
      <c r="K1800" t="s">
        <v>677</v>
      </c>
      <c r="L1800" t="s">
        <v>27</v>
      </c>
      <c r="M1800" t="s">
        <v>28</v>
      </c>
      <c r="N1800" t="s">
        <v>6971</v>
      </c>
      <c r="O1800" t="s">
        <v>27</v>
      </c>
      <c r="P1800" t="s">
        <v>56</v>
      </c>
      <c r="Q1800" t="s">
        <v>31</v>
      </c>
      <c r="R1800" t="s">
        <v>57</v>
      </c>
      <c r="S1800" t="s">
        <v>28</v>
      </c>
      <c r="T1800" t="s">
        <v>6972</v>
      </c>
      <c r="U1800" t="s">
        <v>6973</v>
      </c>
    </row>
    <row r="1801" spans="1:21" x14ac:dyDescent="0.25">
      <c r="A1801" t="s">
        <v>134</v>
      </c>
      <c r="B1801" t="s">
        <v>64</v>
      </c>
      <c r="C1801">
        <v>100</v>
      </c>
      <c r="D1801">
        <v>1</v>
      </c>
      <c r="E1801">
        <v>0</v>
      </c>
      <c r="F1801" t="s">
        <v>6974</v>
      </c>
      <c r="G1801">
        <v>200</v>
      </c>
      <c r="H1801">
        <v>0</v>
      </c>
      <c r="I1801" t="s">
        <v>140</v>
      </c>
      <c r="J1801" t="s">
        <v>6975</v>
      </c>
      <c r="K1801" t="s">
        <v>1629</v>
      </c>
      <c r="L1801" t="s">
        <v>27</v>
      </c>
      <c r="M1801" t="s">
        <v>28</v>
      </c>
      <c r="N1801" t="s">
        <v>6976</v>
      </c>
      <c r="O1801" t="s">
        <v>27</v>
      </c>
      <c r="P1801" t="s">
        <v>369</v>
      </c>
      <c r="Q1801" t="s">
        <v>31</v>
      </c>
      <c r="R1801" t="s">
        <v>57</v>
      </c>
      <c r="S1801" t="s">
        <v>28</v>
      </c>
      <c r="T1801" t="s">
        <v>6977</v>
      </c>
      <c r="U1801" t="s">
        <v>6963</v>
      </c>
    </row>
    <row r="1802" spans="1:21" x14ac:dyDescent="0.25">
      <c r="A1802" t="s">
        <v>63</v>
      </c>
      <c r="B1802" t="s">
        <v>64</v>
      </c>
      <c r="C1802">
        <v>100</v>
      </c>
      <c r="D1802">
        <v>1</v>
      </c>
      <c r="E1802">
        <v>0</v>
      </c>
      <c r="F1802" t="s">
        <v>6974</v>
      </c>
      <c r="G1802">
        <v>200</v>
      </c>
      <c r="H1802">
        <v>0</v>
      </c>
      <c r="I1802" t="s">
        <v>140</v>
      </c>
      <c r="J1802" t="s">
        <v>6975</v>
      </c>
      <c r="K1802" t="s">
        <v>1629</v>
      </c>
      <c r="L1802" t="s">
        <v>27</v>
      </c>
      <c r="M1802" t="s">
        <v>28</v>
      </c>
      <c r="N1802" t="s">
        <v>6976</v>
      </c>
      <c r="O1802" t="s">
        <v>27</v>
      </c>
      <c r="P1802" t="s">
        <v>369</v>
      </c>
      <c r="Q1802" t="s">
        <v>31</v>
      </c>
      <c r="R1802" t="s">
        <v>57</v>
      </c>
      <c r="S1802" t="s">
        <v>28</v>
      </c>
      <c r="T1802" t="s">
        <v>6977</v>
      </c>
      <c r="U1802" t="s">
        <v>6963</v>
      </c>
    </row>
    <row r="1803" spans="1:21" x14ac:dyDescent="0.25">
      <c r="A1803" t="s">
        <v>63</v>
      </c>
      <c r="B1803" t="s">
        <v>64</v>
      </c>
      <c r="C1803">
        <v>100</v>
      </c>
      <c r="D1803">
        <v>2</v>
      </c>
      <c r="E1803">
        <v>0</v>
      </c>
      <c r="F1803" t="s">
        <v>6978</v>
      </c>
      <c r="G1803">
        <v>200</v>
      </c>
      <c r="H1803">
        <v>0</v>
      </c>
      <c r="I1803" t="s">
        <v>24</v>
      </c>
      <c r="J1803" t="s">
        <v>6979</v>
      </c>
      <c r="K1803" t="s">
        <v>273</v>
      </c>
      <c r="L1803" t="s">
        <v>27</v>
      </c>
      <c r="M1803" t="s">
        <v>28</v>
      </c>
      <c r="N1803" t="s">
        <v>6976</v>
      </c>
      <c r="O1803" t="s">
        <v>27</v>
      </c>
      <c r="P1803" t="s">
        <v>39</v>
      </c>
      <c r="Q1803" t="s">
        <v>31</v>
      </c>
      <c r="R1803" t="s">
        <v>32</v>
      </c>
      <c r="S1803" t="s">
        <v>28</v>
      </c>
      <c r="T1803" t="s">
        <v>6980</v>
      </c>
      <c r="U1803" t="s">
        <v>6963</v>
      </c>
    </row>
    <row r="1804" spans="1:21" x14ac:dyDescent="0.25">
      <c r="A1804" t="s">
        <v>143</v>
      </c>
      <c r="B1804" t="s">
        <v>144</v>
      </c>
      <c r="C1804">
        <v>200</v>
      </c>
      <c r="D1804">
        <v>1</v>
      </c>
      <c r="E1804">
        <v>0</v>
      </c>
      <c r="F1804" t="s">
        <v>6981</v>
      </c>
      <c r="G1804">
        <v>200</v>
      </c>
      <c r="H1804">
        <v>0</v>
      </c>
      <c r="I1804" t="s">
        <v>445</v>
      </c>
      <c r="J1804" t="s">
        <v>6982</v>
      </c>
      <c r="K1804" t="s">
        <v>579</v>
      </c>
      <c r="L1804" t="s">
        <v>27</v>
      </c>
      <c r="M1804" t="s">
        <v>28</v>
      </c>
      <c r="N1804" t="s">
        <v>6983</v>
      </c>
      <c r="O1804" t="s">
        <v>27</v>
      </c>
      <c r="P1804" t="s">
        <v>39</v>
      </c>
      <c r="Q1804" t="s">
        <v>31</v>
      </c>
      <c r="R1804" t="s">
        <v>32</v>
      </c>
      <c r="S1804" t="s">
        <v>28</v>
      </c>
      <c r="T1804" t="s">
        <v>6984</v>
      </c>
      <c r="U1804" t="s">
        <v>6963</v>
      </c>
    </row>
    <row r="1805" spans="1:21" x14ac:dyDescent="0.25">
      <c r="A1805" t="s">
        <v>63</v>
      </c>
      <c r="B1805" t="s">
        <v>64</v>
      </c>
      <c r="C1805">
        <v>100</v>
      </c>
      <c r="D1805">
        <v>1</v>
      </c>
      <c r="E1805">
        <v>0</v>
      </c>
      <c r="F1805" t="s">
        <v>6985</v>
      </c>
      <c r="G1805">
        <v>200</v>
      </c>
      <c r="H1805">
        <v>0</v>
      </c>
      <c r="I1805" t="s">
        <v>24</v>
      </c>
      <c r="J1805" t="s">
        <v>6986</v>
      </c>
      <c r="K1805" t="s">
        <v>37</v>
      </c>
      <c r="L1805" t="s">
        <v>27</v>
      </c>
      <c r="M1805" t="s">
        <v>28</v>
      </c>
      <c r="N1805" t="s">
        <v>6987</v>
      </c>
      <c r="O1805" t="s">
        <v>27</v>
      </c>
      <c r="P1805" t="s">
        <v>39</v>
      </c>
      <c r="Q1805" t="s">
        <v>31</v>
      </c>
      <c r="R1805" t="s">
        <v>32</v>
      </c>
      <c r="S1805" t="s">
        <v>28</v>
      </c>
      <c r="T1805" t="s">
        <v>6988</v>
      </c>
      <c r="U1805" t="s">
        <v>6971</v>
      </c>
    </row>
    <row r="1806" spans="1:21" x14ac:dyDescent="0.25">
      <c r="A1806" t="s">
        <v>134</v>
      </c>
      <c r="B1806" t="s">
        <v>64</v>
      </c>
      <c r="C1806">
        <v>100</v>
      </c>
      <c r="D1806">
        <v>1</v>
      </c>
      <c r="E1806">
        <v>0</v>
      </c>
      <c r="F1806" t="s">
        <v>6985</v>
      </c>
      <c r="G1806">
        <v>200</v>
      </c>
      <c r="H1806">
        <v>0</v>
      </c>
      <c r="I1806" t="s">
        <v>24</v>
      </c>
      <c r="J1806" t="s">
        <v>6986</v>
      </c>
      <c r="K1806" t="s">
        <v>37</v>
      </c>
      <c r="L1806" t="s">
        <v>27</v>
      </c>
      <c r="M1806" t="s">
        <v>28</v>
      </c>
      <c r="N1806" t="s">
        <v>6987</v>
      </c>
      <c r="O1806" t="s">
        <v>27</v>
      </c>
      <c r="P1806" t="s">
        <v>39</v>
      </c>
      <c r="Q1806" t="s">
        <v>31</v>
      </c>
      <c r="R1806" t="s">
        <v>32</v>
      </c>
      <c r="S1806" t="s">
        <v>28</v>
      </c>
      <c r="T1806" t="s">
        <v>6988</v>
      </c>
      <c r="U1806" t="s">
        <v>6971</v>
      </c>
    </row>
    <row r="1807" spans="1:21" x14ac:dyDescent="0.25">
      <c r="A1807" t="s">
        <v>63</v>
      </c>
      <c r="B1807" t="s">
        <v>64</v>
      </c>
      <c r="C1807">
        <v>100</v>
      </c>
      <c r="D1807">
        <v>2</v>
      </c>
      <c r="E1807">
        <v>0</v>
      </c>
      <c r="F1807" t="s">
        <v>6989</v>
      </c>
      <c r="G1807">
        <v>200</v>
      </c>
      <c r="H1807">
        <v>0</v>
      </c>
      <c r="I1807" t="s">
        <v>140</v>
      </c>
      <c r="J1807" t="s">
        <v>6990</v>
      </c>
      <c r="K1807" t="s">
        <v>438</v>
      </c>
      <c r="L1807" t="s">
        <v>27</v>
      </c>
      <c r="M1807" t="s">
        <v>28</v>
      </c>
      <c r="N1807" t="s">
        <v>6991</v>
      </c>
      <c r="O1807" t="s">
        <v>27</v>
      </c>
      <c r="P1807" t="s">
        <v>30</v>
      </c>
      <c r="Q1807" t="s">
        <v>31</v>
      </c>
      <c r="R1807" t="s">
        <v>32</v>
      </c>
      <c r="S1807" t="s">
        <v>28</v>
      </c>
      <c r="T1807" t="s">
        <v>6992</v>
      </c>
      <c r="U1807" t="s">
        <v>6993</v>
      </c>
    </row>
    <row r="1808" spans="1:21" x14ac:dyDescent="0.25">
      <c r="A1808" t="s">
        <v>456</v>
      </c>
      <c r="B1808" t="s">
        <v>457</v>
      </c>
      <c r="C1808">
        <v>199</v>
      </c>
      <c r="D1808">
        <v>1</v>
      </c>
      <c r="E1808">
        <v>0</v>
      </c>
      <c r="F1808" t="s">
        <v>6994</v>
      </c>
      <c r="G1808">
        <v>228</v>
      </c>
      <c r="H1808">
        <v>29</v>
      </c>
      <c r="I1808" t="s">
        <v>24</v>
      </c>
      <c r="J1808" t="s">
        <v>3823</v>
      </c>
      <c r="K1808" t="s">
        <v>6995</v>
      </c>
      <c r="L1808" t="s">
        <v>868</v>
      </c>
      <c r="M1808" t="s">
        <v>6996</v>
      </c>
      <c r="N1808" t="s">
        <v>6991</v>
      </c>
      <c r="O1808" t="s">
        <v>27</v>
      </c>
      <c r="P1808" t="s">
        <v>193</v>
      </c>
      <c r="Q1808" t="s">
        <v>85</v>
      </c>
      <c r="R1808" t="s">
        <v>86</v>
      </c>
      <c r="S1808" t="s">
        <v>28</v>
      </c>
      <c r="T1808" t="s">
        <v>6997</v>
      </c>
      <c r="U1808" t="s">
        <v>6991</v>
      </c>
    </row>
    <row r="1809" spans="1:21" x14ac:dyDescent="0.25">
      <c r="A1809" t="s">
        <v>2295</v>
      </c>
      <c r="B1809" t="s">
        <v>2854</v>
      </c>
      <c r="C1809">
        <v>152.15</v>
      </c>
      <c r="D1809">
        <v>1</v>
      </c>
      <c r="E1809">
        <v>0</v>
      </c>
      <c r="F1809" t="s">
        <v>6998</v>
      </c>
      <c r="G1809">
        <v>157.15</v>
      </c>
      <c r="H1809">
        <v>5</v>
      </c>
      <c r="I1809" t="s">
        <v>2856</v>
      </c>
      <c r="J1809" t="s">
        <v>6999</v>
      </c>
      <c r="K1809" t="s">
        <v>7000</v>
      </c>
      <c r="L1809" t="s">
        <v>7001</v>
      </c>
      <c r="M1809" t="s">
        <v>7002</v>
      </c>
      <c r="N1809" t="s">
        <v>7003</v>
      </c>
      <c r="O1809" t="s">
        <v>27</v>
      </c>
      <c r="P1809" t="s">
        <v>48</v>
      </c>
      <c r="Q1809" t="s">
        <v>49</v>
      </c>
      <c r="R1809" t="s">
        <v>50</v>
      </c>
      <c r="S1809" t="s">
        <v>28</v>
      </c>
      <c r="T1809" t="s">
        <v>7004</v>
      </c>
      <c r="U1809" t="s">
        <v>7003</v>
      </c>
    </row>
    <row r="1810" spans="1:21" x14ac:dyDescent="0.25">
      <c r="A1810" t="s">
        <v>21</v>
      </c>
      <c r="B1810" t="s">
        <v>22</v>
      </c>
      <c r="C1810">
        <v>100</v>
      </c>
      <c r="D1810">
        <v>1</v>
      </c>
      <c r="E1810">
        <v>0</v>
      </c>
      <c r="F1810" t="s">
        <v>7005</v>
      </c>
      <c r="G1810">
        <v>100</v>
      </c>
      <c r="H1810">
        <v>0</v>
      </c>
      <c r="I1810" t="s">
        <v>24</v>
      </c>
      <c r="J1810" t="s">
        <v>7006</v>
      </c>
      <c r="K1810" t="s">
        <v>372</v>
      </c>
      <c r="L1810" t="s">
        <v>27</v>
      </c>
      <c r="M1810" t="s">
        <v>28</v>
      </c>
      <c r="N1810" t="s">
        <v>7007</v>
      </c>
      <c r="O1810" t="s">
        <v>27</v>
      </c>
      <c r="P1810" t="s">
        <v>39</v>
      </c>
      <c r="Q1810" t="s">
        <v>31</v>
      </c>
      <c r="R1810" t="s">
        <v>32</v>
      </c>
      <c r="S1810" t="s">
        <v>28</v>
      </c>
      <c r="T1810" t="s">
        <v>7008</v>
      </c>
      <c r="U1810" t="s">
        <v>7003</v>
      </c>
    </row>
    <row r="1811" spans="1:21" x14ac:dyDescent="0.25">
      <c r="A1811" t="s">
        <v>58</v>
      </c>
      <c r="B1811" t="s">
        <v>58</v>
      </c>
      <c r="C1811">
        <v>100</v>
      </c>
      <c r="D1811">
        <v>3</v>
      </c>
      <c r="E1811">
        <v>0</v>
      </c>
      <c r="F1811" t="s">
        <v>7009</v>
      </c>
      <c r="G1811">
        <v>300</v>
      </c>
      <c r="H1811">
        <v>0</v>
      </c>
      <c r="I1811" t="s">
        <v>445</v>
      </c>
      <c r="J1811" t="s">
        <v>7010</v>
      </c>
      <c r="K1811" t="s">
        <v>7011</v>
      </c>
      <c r="L1811" t="s">
        <v>777</v>
      </c>
      <c r="M1811" t="s">
        <v>2886</v>
      </c>
      <c r="N1811" t="s">
        <v>7012</v>
      </c>
      <c r="O1811" t="s">
        <v>27</v>
      </c>
      <c r="P1811" t="s">
        <v>193</v>
      </c>
      <c r="Q1811" t="s">
        <v>85</v>
      </c>
      <c r="R1811" t="s">
        <v>86</v>
      </c>
      <c r="S1811" t="s">
        <v>28</v>
      </c>
      <c r="T1811" t="s">
        <v>7013</v>
      </c>
      <c r="U1811" t="s">
        <v>7007</v>
      </c>
    </row>
    <row r="1812" spans="1:21" x14ac:dyDescent="0.25">
      <c r="A1812" t="s">
        <v>21</v>
      </c>
      <c r="B1812" t="s">
        <v>22</v>
      </c>
      <c r="C1812">
        <v>100</v>
      </c>
      <c r="D1812">
        <v>1</v>
      </c>
      <c r="E1812">
        <v>0</v>
      </c>
      <c r="F1812" t="s">
        <v>7014</v>
      </c>
      <c r="G1812">
        <v>106</v>
      </c>
      <c r="H1812">
        <v>6</v>
      </c>
      <c r="I1812" t="s">
        <v>24</v>
      </c>
      <c r="J1812" t="s">
        <v>7015</v>
      </c>
      <c r="K1812" t="s">
        <v>451</v>
      </c>
      <c r="L1812" t="s">
        <v>27</v>
      </c>
      <c r="M1812" t="s">
        <v>28</v>
      </c>
      <c r="N1812" t="s">
        <v>7016</v>
      </c>
      <c r="O1812" t="s">
        <v>27</v>
      </c>
      <c r="P1812" t="s">
        <v>39</v>
      </c>
      <c r="Q1812" t="s">
        <v>31</v>
      </c>
      <c r="R1812" t="s">
        <v>32</v>
      </c>
      <c r="S1812" t="s">
        <v>28</v>
      </c>
      <c r="T1812" t="s">
        <v>7017</v>
      </c>
      <c r="U1812" t="s">
        <v>7016</v>
      </c>
    </row>
    <row r="1813" spans="1:21" x14ac:dyDescent="0.25">
      <c r="A1813" t="s">
        <v>63</v>
      </c>
      <c r="B1813" t="s">
        <v>64</v>
      </c>
      <c r="C1813">
        <v>100</v>
      </c>
      <c r="D1813">
        <v>1</v>
      </c>
      <c r="E1813">
        <v>0</v>
      </c>
      <c r="F1813" t="s">
        <v>7018</v>
      </c>
      <c r="G1813">
        <v>106</v>
      </c>
      <c r="H1813">
        <v>6</v>
      </c>
      <c r="I1813" t="s">
        <v>24</v>
      </c>
      <c r="J1813" t="s">
        <v>7019</v>
      </c>
      <c r="K1813" t="s">
        <v>451</v>
      </c>
      <c r="L1813" t="s">
        <v>27</v>
      </c>
      <c r="M1813" t="s">
        <v>28</v>
      </c>
      <c r="N1813" t="s">
        <v>7020</v>
      </c>
      <c r="O1813" t="s">
        <v>27</v>
      </c>
      <c r="P1813" t="s">
        <v>39</v>
      </c>
      <c r="Q1813" t="s">
        <v>31</v>
      </c>
      <c r="R1813" t="s">
        <v>32</v>
      </c>
      <c r="S1813" t="s">
        <v>28</v>
      </c>
      <c r="T1813" t="s">
        <v>7021</v>
      </c>
      <c r="U1813" t="s">
        <v>7020</v>
      </c>
    </row>
    <row r="1814" spans="1:21" x14ac:dyDescent="0.25">
      <c r="A1814" t="s">
        <v>33</v>
      </c>
      <c r="B1814" t="s">
        <v>34</v>
      </c>
      <c r="C1814">
        <v>200</v>
      </c>
      <c r="D1814">
        <v>1</v>
      </c>
      <c r="E1814">
        <v>0</v>
      </c>
      <c r="F1814" t="s">
        <v>7022</v>
      </c>
      <c r="G1814">
        <v>200</v>
      </c>
      <c r="H1814">
        <v>0</v>
      </c>
      <c r="I1814" t="s">
        <v>24</v>
      </c>
      <c r="J1814" t="s">
        <v>7023</v>
      </c>
      <c r="K1814" t="s">
        <v>2243</v>
      </c>
      <c r="L1814" t="s">
        <v>27</v>
      </c>
      <c r="M1814" t="s">
        <v>28</v>
      </c>
      <c r="N1814" t="s">
        <v>7024</v>
      </c>
      <c r="O1814" t="s">
        <v>27</v>
      </c>
      <c r="P1814" t="s">
        <v>39</v>
      </c>
      <c r="Q1814" t="s">
        <v>31</v>
      </c>
      <c r="R1814" t="s">
        <v>32</v>
      </c>
      <c r="S1814" t="s">
        <v>28</v>
      </c>
      <c r="T1814" t="s">
        <v>7025</v>
      </c>
      <c r="U1814" t="s">
        <v>7026</v>
      </c>
    </row>
    <row r="1815" spans="1:21" x14ac:dyDescent="0.25">
      <c r="A1815" t="s">
        <v>456</v>
      </c>
      <c r="B1815" t="s">
        <v>457</v>
      </c>
      <c r="C1815">
        <v>199</v>
      </c>
      <c r="D1815">
        <v>2</v>
      </c>
      <c r="E1815">
        <v>0</v>
      </c>
      <c r="F1815" t="s">
        <v>7027</v>
      </c>
      <c r="G1815">
        <v>462</v>
      </c>
      <c r="H1815">
        <v>64</v>
      </c>
      <c r="I1815" t="s">
        <v>24</v>
      </c>
      <c r="J1815" t="s">
        <v>7028</v>
      </c>
      <c r="K1815" t="s">
        <v>7029</v>
      </c>
      <c r="L1815" t="s">
        <v>3825</v>
      </c>
      <c r="M1815" t="s">
        <v>7030</v>
      </c>
      <c r="N1815" t="s">
        <v>7031</v>
      </c>
      <c r="O1815" t="s">
        <v>27</v>
      </c>
      <c r="P1815" t="s">
        <v>193</v>
      </c>
      <c r="Q1815" t="s">
        <v>85</v>
      </c>
      <c r="R1815" t="s">
        <v>86</v>
      </c>
      <c r="S1815" t="s">
        <v>28</v>
      </c>
      <c r="T1815" t="s">
        <v>7032</v>
      </c>
      <c r="U1815" t="s">
        <v>7033</v>
      </c>
    </row>
    <row r="1816" spans="1:21" x14ac:dyDescent="0.25">
      <c r="A1816" t="s">
        <v>33</v>
      </c>
      <c r="B1816" t="s">
        <v>34</v>
      </c>
      <c r="C1816">
        <v>200</v>
      </c>
      <c r="D1816">
        <v>1</v>
      </c>
      <c r="E1816">
        <v>0</v>
      </c>
      <c r="F1816" t="s">
        <v>7034</v>
      </c>
      <c r="G1816">
        <v>200</v>
      </c>
      <c r="H1816">
        <v>0</v>
      </c>
      <c r="I1816" t="s">
        <v>445</v>
      </c>
      <c r="J1816" t="s">
        <v>7035</v>
      </c>
      <c r="K1816" t="s">
        <v>285</v>
      </c>
      <c r="L1816" t="s">
        <v>27</v>
      </c>
      <c r="M1816" t="s">
        <v>28</v>
      </c>
      <c r="N1816" t="s">
        <v>7036</v>
      </c>
      <c r="O1816" t="s">
        <v>27</v>
      </c>
      <c r="P1816" t="s">
        <v>39</v>
      </c>
      <c r="Q1816" t="s">
        <v>31</v>
      </c>
      <c r="R1816" t="s">
        <v>32</v>
      </c>
      <c r="S1816" t="s">
        <v>28</v>
      </c>
      <c r="T1816" t="s">
        <v>7037</v>
      </c>
      <c r="U1816" t="s">
        <v>7036</v>
      </c>
    </row>
    <row r="1817" spans="1:21" x14ac:dyDescent="0.25">
      <c r="A1817" t="s">
        <v>58</v>
      </c>
      <c r="B1817" t="s">
        <v>58</v>
      </c>
      <c r="C1817">
        <v>100</v>
      </c>
      <c r="D1817">
        <v>1</v>
      </c>
      <c r="E1817">
        <v>0</v>
      </c>
      <c r="F1817" t="s">
        <v>7038</v>
      </c>
      <c r="G1817">
        <v>129</v>
      </c>
      <c r="H1817">
        <v>29</v>
      </c>
      <c r="I1817" t="s">
        <v>445</v>
      </c>
      <c r="J1817" t="s">
        <v>1402</v>
      </c>
      <c r="K1817" t="s">
        <v>7039</v>
      </c>
      <c r="L1817" t="s">
        <v>2285</v>
      </c>
      <c r="M1817" t="s">
        <v>6076</v>
      </c>
      <c r="N1817" t="s">
        <v>7036</v>
      </c>
      <c r="O1817" t="s">
        <v>27</v>
      </c>
      <c r="P1817" t="s">
        <v>193</v>
      </c>
      <c r="Q1817" t="s">
        <v>85</v>
      </c>
      <c r="R1817" t="s">
        <v>86</v>
      </c>
      <c r="S1817" t="s">
        <v>28</v>
      </c>
      <c r="T1817" t="s">
        <v>7040</v>
      </c>
      <c r="U1817" t="s">
        <v>7041</v>
      </c>
    </row>
    <row r="1818" spans="1:21" x14ac:dyDescent="0.25">
      <c r="A1818" t="s">
        <v>33</v>
      </c>
      <c r="B1818" t="s">
        <v>34</v>
      </c>
      <c r="C1818">
        <v>200</v>
      </c>
      <c r="D1818">
        <v>1</v>
      </c>
      <c r="E1818">
        <v>0</v>
      </c>
      <c r="F1818" t="s">
        <v>7042</v>
      </c>
      <c r="G1818">
        <v>245</v>
      </c>
      <c r="H1818">
        <v>45</v>
      </c>
      <c r="I1818" t="s">
        <v>24</v>
      </c>
      <c r="J1818" t="s">
        <v>7043</v>
      </c>
      <c r="K1818" t="s">
        <v>711</v>
      </c>
      <c r="L1818" t="s">
        <v>27</v>
      </c>
      <c r="M1818" t="s">
        <v>28</v>
      </c>
      <c r="N1818" t="s">
        <v>7044</v>
      </c>
      <c r="O1818" t="s">
        <v>27</v>
      </c>
      <c r="P1818" t="s">
        <v>56</v>
      </c>
      <c r="Q1818" t="s">
        <v>31</v>
      </c>
      <c r="R1818" t="s">
        <v>57</v>
      </c>
      <c r="S1818" t="s">
        <v>28</v>
      </c>
      <c r="T1818" t="s">
        <v>7045</v>
      </c>
      <c r="U1818" t="s">
        <v>7044</v>
      </c>
    </row>
    <row r="1819" spans="1:21" x14ac:dyDescent="0.25">
      <c r="A1819" t="s">
        <v>21</v>
      </c>
      <c r="B1819" t="s">
        <v>22</v>
      </c>
      <c r="C1819">
        <v>100</v>
      </c>
      <c r="D1819">
        <v>1</v>
      </c>
      <c r="E1819">
        <v>0</v>
      </c>
      <c r="F1819" t="s">
        <v>7046</v>
      </c>
      <c r="G1819">
        <v>106</v>
      </c>
      <c r="H1819">
        <v>6</v>
      </c>
      <c r="I1819" t="s">
        <v>24</v>
      </c>
      <c r="J1819" t="s">
        <v>3234</v>
      </c>
      <c r="K1819" t="s">
        <v>834</v>
      </c>
      <c r="L1819" t="s">
        <v>27</v>
      </c>
      <c r="M1819" t="s">
        <v>28</v>
      </c>
      <c r="N1819" t="s">
        <v>7047</v>
      </c>
      <c r="O1819" t="s">
        <v>27</v>
      </c>
      <c r="P1819" t="s">
        <v>39</v>
      </c>
      <c r="Q1819" t="s">
        <v>31</v>
      </c>
      <c r="R1819" t="s">
        <v>32</v>
      </c>
      <c r="S1819" t="s">
        <v>28</v>
      </c>
      <c r="T1819" t="s">
        <v>7048</v>
      </c>
      <c r="U1819" t="s">
        <v>7047</v>
      </c>
    </row>
    <row r="1820" spans="1:21" x14ac:dyDescent="0.25">
      <c r="A1820" t="s">
        <v>456</v>
      </c>
      <c r="B1820" t="s">
        <v>457</v>
      </c>
      <c r="C1820">
        <v>199</v>
      </c>
      <c r="D1820">
        <v>1</v>
      </c>
      <c r="E1820">
        <v>0</v>
      </c>
      <c r="F1820" t="s">
        <v>7049</v>
      </c>
      <c r="G1820">
        <v>199</v>
      </c>
      <c r="H1820">
        <v>0</v>
      </c>
      <c r="I1820" t="s">
        <v>24</v>
      </c>
      <c r="J1820" t="s">
        <v>7050</v>
      </c>
      <c r="K1820" t="s">
        <v>7051</v>
      </c>
      <c r="L1820" t="s">
        <v>4459</v>
      </c>
      <c r="M1820" t="s">
        <v>3413</v>
      </c>
      <c r="N1820" t="s">
        <v>7052</v>
      </c>
      <c r="O1820" t="s">
        <v>27</v>
      </c>
      <c r="P1820" t="s">
        <v>193</v>
      </c>
      <c r="Q1820" t="s">
        <v>85</v>
      </c>
      <c r="R1820" t="s">
        <v>86</v>
      </c>
      <c r="S1820" t="s">
        <v>28</v>
      </c>
      <c r="T1820" t="s">
        <v>7053</v>
      </c>
      <c r="U1820" t="s">
        <v>7054</v>
      </c>
    </row>
    <row r="1821" spans="1:21" x14ac:dyDescent="0.25">
      <c r="A1821" t="s">
        <v>33</v>
      </c>
      <c r="B1821" t="s">
        <v>34</v>
      </c>
      <c r="C1821">
        <v>200</v>
      </c>
      <c r="D1821">
        <v>1</v>
      </c>
      <c r="E1821">
        <v>0</v>
      </c>
      <c r="F1821" t="s">
        <v>7055</v>
      </c>
      <c r="G1821">
        <v>200</v>
      </c>
      <c r="H1821">
        <v>0</v>
      </c>
      <c r="I1821" t="s">
        <v>445</v>
      </c>
      <c r="J1821" t="s">
        <v>7056</v>
      </c>
      <c r="K1821" t="s">
        <v>113</v>
      </c>
      <c r="L1821" t="s">
        <v>27</v>
      </c>
      <c r="M1821" t="s">
        <v>28</v>
      </c>
      <c r="N1821" t="s">
        <v>7054</v>
      </c>
      <c r="O1821" t="s">
        <v>27</v>
      </c>
      <c r="P1821" t="s">
        <v>39</v>
      </c>
      <c r="Q1821" t="s">
        <v>31</v>
      </c>
      <c r="R1821" t="s">
        <v>32</v>
      </c>
      <c r="S1821" t="s">
        <v>28</v>
      </c>
      <c r="T1821" t="s">
        <v>7057</v>
      </c>
      <c r="U1821" t="s">
        <v>7054</v>
      </c>
    </row>
    <row r="1822" spans="1:21" x14ac:dyDescent="0.25">
      <c r="A1822" t="s">
        <v>456</v>
      </c>
      <c r="B1822" t="s">
        <v>457</v>
      </c>
      <c r="C1822">
        <v>199</v>
      </c>
      <c r="D1822">
        <v>1</v>
      </c>
      <c r="E1822">
        <v>0</v>
      </c>
      <c r="F1822" t="s">
        <v>7058</v>
      </c>
      <c r="G1822">
        <v>199</v>
      </c>
      <c r="H1822">
        <v>0</v>
      </c>
      <c r="I1822" t="s">
        <v>24</v>
      </c>
      <c r="J1822" t="s">
        <v>7050</v>
      </c>
      <c r="K1822" t="s">
        <v>7051</v>
      </c>
      <c r="L1822" t="s">
        <v>4459</v>
      </c>
      <c r="M1822" t="s">
        <v>3413</v>
      </c>
      <c r="N1822" t="s">
        <v>7007</v>
      </c>
      <c r="O1822" t="s">
        <v>27</v>
      </c>
      <c r="P1822" t="s">
        <v>193</v>
      </c>
      <c r="Q1822" t="s">
        <v>85</v>
      </c>
      <c r="R1822" t="s">
        <v>86</v>
      </c>
      <c r="S1822" t="s">
        <v>28</v>
      </c>
      <c r="T1822" t="s">
        <v>7059</v>
      </c>
      <c r="U1822" t="s">
        <v>7060</v>
      </c>
    </row>
    <row r="1823" spans="1:21" x14ac:dyDescent="0.25">
      <c r="A1823" t="s">
        <v>21</v>
      </c>
      <c r="B1823" t="s">
        <v>22</v>
      </c>
      <c r="C1823">
        <v>100</v>
      </c>
      <c r="D1823">
        <v>1</v>
      </c>
      <c r="E1823">
        <v>0</v>
      </c>
      <c r="F1823" t="s">
        <v>7061</v>
      </c>
      <c r="G1823">
        <v>106</v>
      </c>
      <c r="H1823">
        <v>6</v>
      </c>
      <c r="I1823" t="s">
        <v>140</v>
      </c>
      <c r="J1823" t="s">
        <v>7062</v>
      </c>
      <c r="K1823" t="s">
        <v>37</v>
      </c>
      <c r="L1823" t="s">
        <v>27</v>
      </c>
      <c r="M1823" t="s">
        <v>28</v>
      </c>
      <c r="N1823" t="s">
        <v>7063</v>
      </c>
      <c r="O1823" t="s">
        <v>27</v>
      </c>
      <c r="P1823" t="s">
        <v>369</v>
      </c>
      <c r="Q1823" t="s">
        <v>31</v>
      </c>
      <c r="R1823" t="s">
        <v>57</v>
      </c>
      <c r="S1823" t="s">
        <v>28</v>
      </c>
      <c r="T1823" t="s">
        <v>7064</v>
      </c>
      <c r="U1823" t="s">
        <v>7063</v>
      </c>
    </row>
    <row r="1824" spans="1:21" x14ac:dyDescent="0.25">
      <c r="A1824" t="s">
        <v>456</v>
      </c>
      <c r="B1824" t="s">
        <v>457</v>
      </c>
      <c r="C1824">
        <v>199</v>
      </c>
      <c r="D1824">
        <v>1</v>
      </c>
      <c r="E1824">
        <v>0</v>
      </c>
      <c r="F1824" t="s">
        <v>7065</v>
      </c>
      <c r="G1824">
        <v>199</v>
      </c>
      <c r="H1824">
        <v>0</v>
      </c>
      <c r="I1824" t="s">
        <v>24</v>
      </c>
      <c r="J1824" t="s">
        <v>7050</v>
      </c>
      <c r="K1824" t="s">
        <v>7051</v>
      </c>
      <c r="L1824" t="s">
        <v>4459</v>
      </c>
      <c r="M1824" t="s">
        <v>3413</v>
      </c>
      <c r="N1824" t="s">
        <v>7016</v>
      </c>
      <c r="O1824" t="s">
        <v>27</v>
      </c>
      <c r="P1824" t="s">
        <v>193</v>
      </c>
      <c r="Q1824" t="s">
        <v>85</v>
      </c>
      <c r="R1824" t="s">
        <v>86</v>
      </c>
      <c r="S1824" t="s">
        <v>28</v>
      </c>
      <c r="T1824" t="s">
        <v>7066</v>
      </c>
      <c r="U1824" t="s">
        <v>7063</v>
      </c>
    </row>
    <row r="1825" spans="1:21" x14ac:dyDescent="0.25">
      <c r="A1825" t="s">
        <v>70</v>
      </c>
      <c r="B1825" t="s">
        <v>70</v>
      </c>
      <c r="C1825">
        <v>350</v>
      </c>
      <c r="D1825">
        <v>1</v>
      </c>
      <c r="E1825">
        <v>0</v>
      </c>
      <c r="F1825" t="s">
        <v>7067</v>
      </c>
      <c r="G1825">
        <v>350</v>
      </c>
      <c r="H1825">
        <v>0</v>
      </c>
      <c r="I1825" t="s">
        <v>140</v>
      </c>
      <c r="J1825" t="s">
        <v>7068</v>
      </c>
      <c r="K1825" t="s">
        <v>1198</v>
      </c>
      <c r="L1825" t="s">
        <v>27</v>
      </c>
      <c r="M1825" t="s">
        <v>28</v>
      </c>
      <c r="N1825" t="s">
        <v>7069</v>
      </c>
      <c r="O1825" t="s">
        <v>27</v>
      </c>
      <c r="P1825" t="s">
        <v>30</v>
      </c>
      <c r="Q1825" t="s">
        <v>31</v>
      </c>
      <c r="R1825" t="s">
        <v>32</v>
      </c>
      <c r="S1825" t="s">
        <v>28</v>
      </c>
      <c r="T1825" t="s">
        <v>7070</v>
      </c>
      <c r="U1825" t="s">
        <v>7069</v>
      </c>
    </row>
    <row r="1826" spans="1:21" x14ac:dyDescent="0.25">
      <c r="A1826" t="s">
        <v>58</v>
      </c>
      <c r="B1826" t="s">
        <v>58</v>
      </c>
      <c r="C1826">
        <v>100</v>
      </c>
      <c r="D1826">
        <v>3</v>
      </c>
      <c r="E1826">
        <v>0</v>
      </c>
      <c r="F1826" t="s">
        <v>7071</v>
      </c>
      <c r="G1826">
        <v>345</v>
      </c>
      <c r="H1826">
        <v>45</v>
      </c>
      <c r="I1826" t="s">
        <v>445</v>
      </c>
      <c r="J1826" t="s">
        <v>5955</v>
      </c>
      <c r="K1826" t="s">
        <v>5956</v>
      </c>
      <c r="L1826" t="s">
        <v>5957</v>
      </c>
      <c r="M1826" t="s">
        <v>1147</v>
      </c>
      <c r="N1826" t="s">
        <v>7072</v>
      </c>
      <c r="O1826" t="s">
        <v>27</v>
      </c>
      <c r="P1826" t="s">
        <v>193</v>
      </c>
      <c r="Q1826" t="s">
        <v>85</v>
      </c>
      <c r="R1826" t="s">
        <v>86</v>
      </c>
      <c r="S1826" t="s">
        <v>28</v>
      </c>
      <c r="T1826" t="s">
        <v>7073</v>
      </c>
      <c r="U1826" t="s">
        <v>7074</v>
      </c>
    </row>
    <row r="1827" spans="1:21" x14ac:dyDescent="0.25">
      <c r="A1827" t="s">
        <v>456</v>
      </c>
      <c r="B1827" t="s">
        <v>457</v>
      </c>
      <c r="C1827">
        <v>197</v>
      </c>
      <c r="D1827">
        <v>1</v>
      </c>
      <c r="E1827">
        <v>0</v>
      </c>
      <c r="F1827" t="s">
        <v>7075</v>
      </c>
      <c r="G1827">
        <v>197</v>
      </c>
      <c r="H1827">
        <v>0</v>
      </c>
      <c r="I1827" t="s">
        <v>445</v>
      </c>
      <c r="J1827" t="s">
        <v>7050</v>
      </c>
      <c r="K1827" t="s">
        <v>7051</v>
      </c>
      <c r="L1827" t="s">
        <v>4459</v>
      </c>
      <c r="M1827" t="s">
        <v>3413</v>
      </c>
      <c r="N1827" t="s">
        <v>7020</v>
      </c>
      <c r="O1827" t="s">
        <v>27</v>
      </c>
      <c r="P1827" t="s">
        <v>193</v>
      </c>
      <c r="Q1827" t="s">
        <v>85</v>
      </c>
      <c r="R1827" t="s">
        <v>86</v>
      </c>
      <c r="S1827" t="s">
        <v>28</v>
      </c>
      <c r="T1827" t="s">
        <v>7076</v>
      </c>
      <c r="U1827" t="s">
        <v>7077</v>
      </c>
    </row>
    <row r="1828" spans="1:21" x14ac:dyDescent="0.25">
      <c r="A1828" t="s">
        <v>33</v>
      </c>
      <c r="B1828" t="s">
        <v>34</v>
      </c>
      <c r="C1828">
        <v>200</v>
      </c>
      <c r="D1828">
        <v>1</v>
      </c>
      <c r="E1828">
        <v>0</v>
      </c>
      <c r="F1828" t="s">
        <v>7078</v>
      </c>
      <c r="G1828">
        <v>200</v>
      </c>
      <c r="H1828">
        <v>0</v>
      </c>
      <c r="I1828" t="s">
        <v>24</v>
      </c>
      <c r="J1828" t="s">
        <v>7079</v>
      </c>
      <c r="K1828" t="s">
        <v>7080</v>
      </c>
      <c r="L1828" t="s">
        <v>27</v>
      </c>
      <c r="M1828" t="s">
        <v>28</v>
      </c>
      <c r="N1828" t="s">
        <v>7081</v>
      </c>
      <c r="O1828" t="s">
        <v>27</v>
      </c>
      <c r="P1828" t="s">
        <v>39</v>
      </c>
      <c r="Q1828" t="s">
        <v>31</v>
      </c>
      <c r="R1828" t="s">
        <v>32</v>
      </c>
      <c r="S1828" t="s">
        <v>28</v>
      </c>
      <c r="T1828" t="s">
        <v>7082</v>
      </c>
      <c r="U1828" t="s">
        <v>7081</v>
      </c>
    </row>
    <row r="1829" spans="1:21" x14ac:dyDescent="0.25">
      <c r="A1829" t="s">
        <v>134</v>
      </c>
      <c r="B1829" t="s">
        <v>64</v>
      </c>
      <c r="C1829">
        <v>100</v>
      </c>
      <c r="D1829">
        <v>3</v>
      </c>
      <c r="E1829">
        <v>0</v>
      </c>
      <c r="F1829" t="s">
        <v>7083</v>
      </c>
      <c r="G1829">
        <v>300</v>
      </c>
      <c r="H1829">
        <v>0</v>
      </c>
      <c r="I1829" t="s">
        <v>445</v>
      </c>
      <c r="J1829" t="s">
        <v>7084</v>
      </c>
      <c r="K1829" t="s">
        <v>89</v>
      </c>
      <c r="L1829" t="s">
        <v>27</v>
      </c>
      <c r="M1829" t="s">
        <v>28</v>
      </c>
      <c r="N1829" t="s">
        <v>7085</v>
      </c>
      <c r="O1829" t="s">
        <v>27</v>
      </c>
      <c r="P1829" t="s">
        <v>39</v>
      </c>
      <c r="Q1829" t="s">
        <v>31</v>
      </c>
      <c r="R1829" t="s">
        <v>32</v>
      </c>
      <c r="S1829" t="s">
        <v>28</v>
      </c>
      <c r="T1829" t="s">
        <v>7086</v>
      </c>
      <c r="U1829" t="s">
        <v>7087</v>
      </c>
    </row>
    <row r="1830" spans="1:21" x14ac:dyDescent="0.25">
      <c r="A1830" t="s">
        <v>21</v>
      </c>
      <c r="B1830" t="s">
        <v>22</v>
      </c>
      <c r="C1830">
        <v>100</v>
      </c>
      <c r="D1830">
        <v>1</v>
      </c>
      <c r="E1830">
        <v>0</v>
      </c>
      <c r="F1830" t="s">
        <v>7088</v>
      </c>
      <c r="G1830">
        <v>106</v>
      </c>
      <c r="H1830">
        <v>6</v>
      </c>
      <c r="I1830" t="s">
        <v>445</v>
      </c>
      <c r="J1830" t="s">
        <v>7089</v>
      </c>
      <c r="K1830" t="s">
        <v>61</v>
      </c>
      <c r="L1830" t="s">
        <v>27</v>
      </c>
      <c r="M1830" t="s">
        <v>28</v>
      </c>
      <c r="N1830" t="s">
        <v>7090</v>
      </c>
      <c r="O1830" t="s">
        <v>27</v>
      </c>
      <c r="P1830" t="s">
        <v>56</v>
      </c>
      <c r="Q1830" t="s">
        <v>31</v>
      </c>
      <c r="R1830" t="s">
        <v>57</v>
      </c>
      <c r="S1830" t="s">
        <v>28</v>
      </c>
      <c r="T1830" t="s">
        <v>7091</v>
      </c>
      <c r="U1830" t="s">
        <v>7090</v>
      </c>
    </row>
    <row r="1831" spans="1:21" x14ac:dyDescent="0.25">
      <c r="A1831" t="s">
        <v>143</v>
      </c>
      <c r="B1831" t="s">
        <v>144</v>
      </c>
      <c r="C1831">
        <v>200</v>
      </c>
      <c r="D1831">
        <v>1</v>
      </c>
      <c r="E1831">
        <v>0</v>
      </c>
      <c r="F1831" t="s">
        <v>7092</v>
      </c>
      <c r="G1831">
        <v>200</v>
      </c>
      <c r="H1831">
        <v>0</v>
      </c>
      <c r="I1831" t="s">
        <v>140</v>
      </c>
      <c r="J1831" t="s">
        <v>7093</v>
      </c>
      <c r="K1831" t="s">
        <v>273</v>
      </c>
      <c r="L1831" t="s">
        <v>27</v>
      </c>
      <c r="M1831" t="s">
        <v>28</v>
      </c>
      <c r="N1831" t="s">
        <v>7094</v>
      </c>
      <c r="O1831" t="s">
        <v>27</v>
      </c>
      <c r="P1831" t="s">
        <v>30</v>
      </c>
      <c r="Q1831" t="s">
        <v>31</v>
      </c>
      <c r="R1831" t="s">
        <v>32</v>
      </c>
      <c r="S1831" t="s">
        <v>28</v>
      </c>
      <c r="T1831" t="s">
        <v>7095</v>
      </c>
      <c r="U1831" t="s">
        <v>7094</v>
      </c>
    </row>
    <row r="1832" spans="1:21" x14ac:dyDescent="0.25">
      <c r="A1832" t="s">
        <v>21</v>
      </c>
      <c r="B1832" t="s">
        <v>22</v>
      </c>
      <c r="C1832">
        <v>100</v>
      </c>
      <c r="D1832">
        <v>1</v>
      </c>
      <c r="E1832">
        <v>0</v>
      </c>
      <c r="F1832" t="s">
        <v>7096</v>
      </c>
      <c r="G1832">
        <v>106</v>
      </c>
      <c r="H1832">
        <v>6</v>
      </c>
      <c r="I1832" t="s">
        <v>445</v>
      </c>
      <c r="J1832" t="s">
        <v>7097</v>
      </c>
      <c r="K1832" t="s">
        <v>209</v>
      </c>
      <c r="L1832" t="s">
        <v>27</v>
      </c>
      <c r="M1832" t="s">
        <v>28</v>
      </c>
      <c r="N1832" t="s">
        <v>7098</v>
      </c>
      <c r="O1832" t="s">
        <v>27</v>
      </c>
      <c r="P1832" t="s">
        <v>39</v>
      </c>
      <c r="Q1832" t="s">
        <v>31</v>
      </c>
      <c r="R1832" t="s">
        <v>32</v>
      </c>
      <c r="S1832" t="s">
        <v>28</v>
      </c>
      <c r="T1832" t="s">
        <v>7099</v>
      </c>
      <c r="U1832" t="s">
        <v>7100</v>
      </c>
    </row>
    <row r="1833" spans="1:21" x14ac:dyDescent="0.25">
      <c r="A1833" t="s">
        <v>21</v>
      </c>
      <c r="B1833" t="s">
        <v>22</v>
      </c>
      <c r="C1833">
        <v>100</v>
      </c>
      <c r="D1833">
        <v>1</v>
      </c>
      <c r="E1833">
        <v>0</v>
      </c>
      <c r="F1833" t="s">
        <v>7101</v>
      </c>
      <c r="G1833">
        <v>145</v>
      </c>
      <c r="H1833">
        <v>45</v>
      </c>
      <c r="I1833" t="s">
        <v>24</v>
      </c>
      <c r="J1833" t="s">
        <v>7102</v>
      </c>
      <c r="K1833" t="s">
        <v>61</v>
      </c>
      <c r="L1833" t="s">
        <v>27</v>
      </c>
      <c r="M1833" t="s">
        <v>28</v>
      </c>
      <c r="N1833" t="s">
        <v>7103</v>
      </c>
      <c r="O1833" t="s">
        <v>27</v>
      </c>
      <c r="P1833" t="s">
        <v>39</v>
      </c>
      <c r="Q1833" t="s">
        <v>31</v>
      </c>
      <c r="R1833" t="s">
        <v>32</v>
      </c>
      <c r="S1833" t="s">
        <v>28</v>
      </c>
      <c r="T1833" t="s">
        <v>7104</v>
      </c>
      <c r="U1833" t="s">
        <v>7103</v>
      </c>
    </row>
    <row r="1834" spans="1:21" x14ac:dyDescent="0.25">
      <c r="A1834" t="s">
        <v>21</v>
      </c>
      <c r="B1834" t="s">
        <v>22</v>
      </c>
      <c r="C1834">
        <v>100</v>
      </c>
      <c r="D1834">
        <v>1</v>
      </c>
      <c r="E1834">
        <v>0</v>
      </c>
      <c r="F1834" t="s">
        <v>7105</v>
      </c>
      <c r="G1834">
        <v>100</v>
      </c>
      <c r="H1834">
        <v>0</v>
      </c>
      <c r="I1834" t="s">
        <v>445</v>
      </c>
      <c r="J1834" t="s">
        <v>7106</v>
      </c>
      <c r="K1834" t="s">
        <v>653</v>
      </c>
      <c r="L1834" t="s">
        <v>27</v>
      </c>
      <c r="M1834" t="s">
        <v>28</v>
      </c>
      <c r="N1834" t="s">
        <v>7107</v>
      </c>
      <c r="O1834" t="s">
        <v>27</v>
      </c>
      <c r="P1834" t="s">
        <v>56</v>
      </c>
      <c r="Q1834" t="s">
        <v>31</v>
      </c>
      <c r="R1834" t="s">
        <v>57</v>
      </c>
      <c r="S1834" t="s">
        <v>28</v>
      </c>
      <c r="T1834" t="s">
        <v>7108</v>
      </c>
      <c r="U1834" t="s">
        <v>7107</v>
      </c>
    </row>
    <row r="1835" spans="1:21" x14ac:dyDescent="0.25">
      <c r="A1835" t="s">
        <v>33</v>
      </c>
      <c r="B1835" t="s">
        <v>34</v>
      </c>
      <c r="C1835">
        <v>200</v>
      </c>
      <c r="D1835">
        <v>1</v>
      </c>
      <c r="E1835">
        <v>0</v>
      </c>
      <c r="F1835" t="s">
        <v>7109</v>
      </c>
      <c r="G1835">
        <v>200</v>
      </c>
      <c r="H1835">
        <v>0</v>
      </c>
      <c r="I1835" t="s">
        <v>24</v>
      </c>
      <c r="J1835" t="s">
        <v>7110</v>
      </c>
      <c r="K1835" t="s">
        <v>37</v>
      </c>
      <c r="L1835" t="s">
        <v>27</v>
      </c>
      <c r="M1835" t="s">
        <v>28</v>
      </c>
      <c r="N1835" t="s">
        <v>7111</v>
      </c>
      <c r="O1835" t="s">
        <v>27</v>
      </c>
      <c r="P1835" t="s">
        <v>39</v>
      </c>
      <c r="Q1835" t="s">
        <v>31</v>
      </c>
      <c r="R1835" t="s">
        <v>32</v>
      </c>
      <c r="S1835" t="s">
        <v>28</v>
      </c>
      <c r="T1835" t="s">
        <v>7112</v>
      </c>
      <c r="U1835" t="s">
        <v>7111</v>
      </c>
    </row>
    <row r="1836" spans="1:21" x14ac:dyDescent="0.25">
      <c r="A1836" t="s">
        <v>63</v>
      </c>
      <c r="B1836" t="s">
        <v>64</v>
      </c>
      <c r="C1836">
        <v>100</v>
      </c>
      <c r="D1836">
        <v>1</v>
      </c>
      <c r="E1836">
        <v>0</v>
      </c>
      <c r="F1836" t="s">
        <v>7113</v>
      </c>
      <c r="G1836">
        <v>106</v>
      </c>
      <c r="H1836">
        <v>6</v>
      </c>
      <c r="I1836" t="s">
        <v>445</v>
      </c>
      <c r="J1836" t="s">
        <v>7114</v>
      </c>
      <c r="K1836" t="s">
        <v>73</v>
      </c>
      <c r="L1836" t="s">
        <v>27</v>
      </c>
      <c r="M1836" t="s">
        <v>28</v>
      </c>
      <c r="N1836" t="s">
        <v>7115</v>
      </c>
      <c r="O1836" t="s">
        <v>27</v>
      </c>
      <c r="P1836" t="s">
        <v>39</v>
      </c>
      <c r="Q1836" t="s">
        <v>31</v>
      </c>
      <c r="R1836" t="s">
        <v>32</v>
      </c>
      <c r="S1836" t="s">
        <v>28</v>
      </c>
      <c r="T1836" t="s">
        <v>7116</v>
      </c>
      <c r="U1836" t="s">
        <v>7115</v>
      </c>
    </row>
    <row r="1837" spans="1:21" x14ac:dyDescent="0.25">
      <c r="A1837" t="s">
        <v>143</v>
      </c>
      <c r="B1837" t="s">
        <v>144</v>
      </c>
      <c r="C1837">
        <v>200</v>
      </c>
      <c r="D1837">
        <v>1</v>
      </c>
      <c r="E1837">
        <v>0</v>
      </c>
      <c r="F1837" t="s">
        <v>7117</v>
      </c>
      <c r="G1837">
        <v>200</v>
      </c>
      <c r="H1837">
        <v>0</v>
      </c>
      <c r="I1837" t="s">
        <v>140</v>
      </c>
      <c r="J1837" t="s">
        <v>7118</v>
      </c>
      <c r="K1837" t="s">
        <v>250</v>
      </c>
      <c r="L1837" t="s">
        <v>27</v>
      </c>
      <c r="M1837" t="s">
        <v>28</v>
      </c>
      <c r="N1837" t="s">
        <v>7115</v>
      </c>
      <c r="O1837" t="s">
        <v>27</v>
      </c>
      <c r="P1837" t="s">
        <v>30</v>
      </c>
      <c r="Q1837" t="s">
        <v>31</v>
      </c>
      <c r="R1837" t="s">
        <v>32</v>
      </c>
      <c r="S1837" t="s">
        <v>28</v>
      </c>
      <c r="T1837" t="s">
        <v>7119</v>
      </c>
      <c r="U1837" t="s">
        <v>7115</v>
      </c>
    </row>
    <row r="1838" spans="1:21" x14ac:dyDescent="0.25">
      <c r="A1838" t="s">
        <v>21</v>
      </c>
      <c r="B1838" t="s">
        <v>22</v>
      </c>
      <c r="C1838">
        <v>100</v>
      </c>
      <c r="D1838">
        <v>1</v>
      </c>
      <c r="E1838">
        <v>0</v>
      </c>
      <c r="F1838" t="s">
        <v>7120</v>
      </c>
      <c r="G1838">
        <v>106</v>
      </c>
      <c r="H1838">
        <v>6</v>
      </c>
      <c r="I1838" t="s">
        <v>445</v>
      </c>
      <c r="J1838" t="s">
        <v>7121</v>
      </c>
      <c r="K1838" t="s">
        <v>118</v>
      </c>
      <c r="L1838" t="s">
        <v>27</v>
      </c>
      <c r="M1838" t="s">
        <v>28</v>
      </c>
      <c r="N1838" t="s">
        <v>7115</v>
      </c>
      <c r="O1838" t="s">
        <v>27</v>
      </c>
      <c r="P1838" t="s">
        <v>39</v>
      </c>
      <c r="Q1838" t="s">
        <v>31</v>
      </c>
      <c r="R1838" t="s">
        <v>32</v>
      </c>
      <c r="S1838" t="s">
        <v>28</v>
      </c>
      <c r="T1838" t="s">
        <v>7122</v>
      </c>
      <c r="U1838" t="s">
        <v>7115</v>
      </c>
    </row>
    <row r="1839" spans="1:21" x14ac:dyDescent="0.25">
      <c r="A1839" t="s">
        <v>143</v>
      </c>
      <c r="B1839" t="s">
        <v>144</v>
      </c>
      <c r="C1839">
        <v>200</v>
      </c>
      <c r="D1839">
        <v>1</v>
      </c>
      <c r="E1839">
        <v>0</v>
      </c>
      <c r="F1839" t="s">
        <v>7123</v>
      </c>
      <c r="G1839">
        <v>200</v>
      </c>
      <c r="H1839">
        <v>0</v>
      </c>
      <c r="I1839" t="s">
        <v>445</v>
      </c>
      <c r="J1839" t="s">
        <v>7124</v>
      </c>
      <c r="K1839" t="s">
        <v>250</v>
      </c>
      <c r="L1839" t="s">
        <v>27</v>
      </c>
      <c r="M1839" t="s">
        <v>28</v>
      </c>
      <c r="N1839" t="s">
        <v>7125</v>
      </c>
      <c r="O1839" t="s">
        <v>27</v>
      </c>
      <c r="P1839" t="s">
        <v>30</v>
      </c>
      <c r="Q1839" t="s">
        <v>31</v>
      </c>
      <c r="R1839" t="s">
        <v>32</v>
      </c>
      <c r="S1839" t="s">
        <v>28</v>
      </c>
      <c r="T1839" t="s">
        <v>7126</v>
      </c>
      <c r="U1839" t="s">
        <v>7125</v>
      </c>
    </row>
    <row r="1840" spans="1:21" x14ac:dyDescent="0.25">
      <c r="A1840" t="s">
        <v>63</v>
      </c>
      <c r="B1840" t="s">
        <v>64</v>
      </c>
      <c r="C1840">
        <v>100</v>
      </c>
      <c r="D1840">
        <v>1</v>
      </c>
      <c r="E1840">
        <v>0</v>
      </c>
      <c r="F1840" t="s">
        <v>7127</v>
      </c>
      <c r="G1840">
        <v>106</v>
      </c>
      <c r="H1840">
        <v>6</v>
      </c>
      <c r="I1840" t="s">
        <v>445</v>
      </c>
      <c r="J1840" t="s">
        <v>7128</v>
      </c>
      <c r="K1840" t="s">
        <v>1038</v>
      </c>
      <c r="L1840" t="s">
        <v>27</v>
      </c>
      <c r="M1840" t="s">
        <v>28</v>
      </c>
      <c r="N1840" t="s">
        <v>7129</v>
      </c>
      <c r="O1840" t="s">
        <v>27</v>
      </c>
      <c r="P1840" t="s">
        <v>39</v>
      </c>
      <c r="Q1840" t="s">
        <v>31</v>
      </c>
      <c r="R1840" t="s">
        <v>32</v>
      </c>
      <c r="S1840" t="s">
        <v>28</v>
      </c>
      <c r="T1840" t="s">
        <v>7130</v>
      </c>
      <c r="U1840" t="s">
        <v>7125</v>
      </c>
    </row>
    <row r="1841" spans="1:21" x14ac:dyDescent="0.25">
      <c r="A1841" t="s">
        <v>134</v>
      </c>
      <c r="B1841" t="s">
        <v>64</v>
      </c>
      <c r="C1841">
        <v>100</v>
      </c>
      <c r="D1841">
        <v>1</v>
      </c>
      <c r="E1841">
        <v>0</v>
      </c>
      <c r="F1841" t="s">
        <v>7131</v>
      </c>
      <c r="G1841">
        <v>300</v>
      </c>
      <c r="H1841">
        <v>0</v>
      </c>
      <c r="I1841" t="s">
        <v>140</v>
      </c>
      <c r="J1841" t="s">
        <v>7132</v>
      </c>
      <c r="K1841" t="s">
        <v>37</v>
      </c>
      <c r="L1841" t="s">
        <v>27</v>
      </c>
      <c r="M1841" t="s">
        <v>28</v>
      </c>
      <c r="N1841" t="s">
        <v>7129</v>
      </c>
      <c r="O1841" t="s">
        <v>27</v>
      </c>
      <c r="P1841" t="s">
        <v>30</v>
      </c>
      <c r="Q1841" t="s">
        <v>31</v>
      </c>
      <c r="R1841" t="s">
        <v>32</v>
      </c>
      <c r="S1841" t="s">
        <v>28</v>
      </c>
      <c r="T1841" t="s">
        <v>7133</v>
      </c>
      <c r="U1841" t="s">
        <v>7129</v>
      </c>
    </row>
    <row r="1842" spans="1:21" x14ac:dyDescent="0.25">
      <c r="A1842" t="s">
        <v>63</v>
      </c>
      <c r="B1842" t="s">
        <v>64</v>
      </c>
      <c r="C1842">
        <v>100</v>
      </c>
      <c r="D1842">
        <v>1</v>
      </c>
      <c r="E1842">
        <v>0</v>
      </c>
      <c r="F1842" t="s">
        <v>7131</v>
      </c>
      <c r="G1842">
        <v>300</v>
      </c>
      <c r="H1842">
        <v>0</v>
      </c>
      <c r="I1842" t="s">
        <v>140</v>
      </c>
      <c r="J1842" t="s">
        <v>7132</v>
      </c>
      <c r="K1842" t="s">
        <v>37</v>
      </c>
      <c r="L1842" t="s">
        <v>27</v>
      </c>
      <c r="M1842" t="s">
        <v>28</v>
      </c>
      <c r="N1842" t="s">
        <v>7129</v>
      </c>
      <c r="O1842" t="s">
        <v>27</v>
      </c>
      <c r="P1842" t="s">
        <v>30</v>
      </c>
      <c r="Q1842" t="s">
        <v>31</v>
      </c>
      <c r="R1842" t="s">
        <v>32</v>
      </c>
      <c r="S1842" t="s">
        <v>28</v>
      </c>
      <c r="T1842" t="s">
        <v>7133</v>
      </c>
      <c r="U1842" t="s">
        <v>7129</v>
      </c>
    </row>
    <row r="1843" spans="1:21" x14ac:dyDescent="0.25">
      <c r="A1843" t="s">
        <v>21</v>
      </c>
      <c r="B1843" t="s">
        <v>22</v>
      </c>
      <c r="C1843">
        <v>100</v>
      </c>
      <c r="D1843">
        <v>1</v>
      </c>
      <c r="E1843">
        <v>0</v>
      </c>
      <c r="F1843" t="s">
        <v>7131</v>
      </c>
      <c r="G1843">
        <v>300</v>
      </c>
      <c r="H1843">
        <v>0</v>
      </c>
      <c r="I1843" t="s">
        <v>140</v>
      </c>
      <c r="J1843" t="s">
        <v>7132</v>
      </c>
      <c r="K1843" t="s">
        <v>37</v>
      </c>
      <c r="L1843" t="s">
        <v>27</v>
      </c>
      <c r="M1843" t="s">
        <v>28</v>
      </c>
      <c r="N1843" t="s">
        <v>7129</v>
      </c>
      <c r="O1843" t="s">
        <v>27</v>
      </c>
      <c r="P1843" t="s">
        <v>30</v>
      </c>
      <c r="Q1843" t="s">
        <v>31</v>
      </c>
      <c r="R1843" t="s">
        <v>32</v>
      </c>
      <c r="S1843" t="s">
        <v>28</v>
      </c>
      <c r="T1843" t="s">
        <v>7133</v>
      </c>
      <c r="U1843" t="s">
        <v>7129</v>
      </c>
    </row>
    <row r="1844" spans="1:21" x14ac:dyDescent="0.25">
      <c r="A1844" t="s">
        <v>2295</v>
      </c>
      <c r="B1844" t="s">
        <v>3286</v>
      </c>
      <c r="C1844">
        <v>199</v>
      </c>
      <c r="D1844">
        <v>1</v>
      </c>
      <c r="E1844">
        <v>0</v>
      </c>
      <c r="F1844" t="s">
        <v>7134</v>
      </c>
      <c r="G1844">
        <v>244</v>
      </c>
      <c r="H1844">
        <v>45</v>
      </c>
      <c r="I1844" t="s">
        <v>24</v>
      </c>
      <c r="J1844" t="s">
        <v>7135</v>
      </c>
      <c r="K1844" t="s">
        <v>7136</v>
      </c>
      <c r="L1844" t="s">
        <v>2737</v>
      </c>
      <c r="M1844" t="s">
        <v>1398</v>
      </c>
      <c r="N1844" t="s">
        <v>7137</v>
      </c>
      <c r="O1844" t="s">
        <v>27</v>
      </c>
      <c r="P1844" t="s">
        <v>84</v>
      </c>
      <c r="Q1844" t="s">
        <v>85</v>
      </c>
      <c r="R1844" t="s">
        <v>86</v>
      </c>
      <c r="S1844" t="s">
        <v>28</v>
      </c>
      <c r="T1844" t="s">
        <v>7138</v>
      </c>
      <c r="U1844" t="s">
        <v>7139</v>
      </c>
    </row>
    <row r="1845" spans="1:21" x14ac:dyDescent="0.25">
      <c r="A1845" t="s">
        <v>21</v>
      </c>
      <c r="B1845" t="s">
        <v>22</v>
      </c>
      <c r="C1845">
        <v>100</v>
      </c>
      <c r="D1845">
        <v>1</v>
      </c>
      <c r="E1845">
        <v>0</v>
      </c>
      <c r="F1845" t="s">
        <v>7140</v>
      </c>
      <c r="G1845">
        <v>106</v>
      </c>
      <c r="H1845">
        <v>6</v>
      </c>
      <c r="I1845" t="s">
        <v>445</v>
      </c>
      <c r="J1845" t="s">
        <v>7141</v>
      </c>
      <c r="K1845" t="s">
        <v>237</v>
      </c>
      <c r="L1845" t="s">
        <v>27</v>
      </c>
      <c r="M1845" t="s">
        <v>28</v>
      </c>
      <c r="N1845" t="s">
        <v>7139</v>
      </c>
      <c r="O1845" t="s">
        <v>27</v>
      </c>
      <c r="P1845" t="s">
        <v>56</v>
      </c>
      <c r="Q1845" t="s">
        <v>31</v>
      </c>
      <c r="R1845" t="s">
        <v>57</v>
      </c>
      <c r="S1845" t="s">
        <v>28</v>
      </c>
      <c r="T1845" t="s">
        <v>7142</v>
      </c>
      <c r="U1845" t="s">
        <v>7143</v>
      </c>
    </row>
    <row r="1846" spans="1:21" x14ac:dyDescent="0.25">
      <c r="A1846" t="s">
        <v>33</v>
      </c>
      <c r="B1846" t="s">
        <v>34</v>
      </c>
      <c r="C1846">
        <v>200</v>
      </c>
      <c r="D1846">
        <v>1</v>
      </c>
      <c r="E1846">
        <v>0</v>
      </c>
      <c r="F1846" t="s">
        <v>7144</v>
      </c>
      <c r="G1846">
        <v>200</v>
      </c>
      <c r="H1846">
        <v>0</v>
      </c>
      <c r="I1846" t="s">
        <v>445</v>
      </c>
      <c r="J1846" t="s">
        <v>7145</v>
      </c>
      <c r="K1846" t="s">
        <v>241</v>
      </c>
      <c r="L1846" t="s">
        <v>27</v>
      </c>
      <c r="M1846" t="s">
        <v>28</v>
      </c>
      <c r="N1846" t="s">
        <v>7146</v>
      </c>
      <c r="O1846" t="s">
        <v>27</v>
      </c>
      <c r="P1846" t="s">
        <v>39</v>
      </c>
      <c r="Q1846" t="s">
        <v>31</v>
      </c>
      <c r="R1846" t="s">
        <v>32</v>
      </c>
      <c r="S1846" t="s">
        <v>28</v>
      </c>
      <c r="T1846" t="s">
        <v>7147</v>
      </c>
      <c r="U1846" t="s">
        <v>7146</v>
      </c>
    </row>
    <row r="1847" spans="1:21" x14ac:dyDescent="0.25">
      <c r="A1847" t="s">
        <v>33</v>
      </c>
      <c r="B1847" t="s">
        <v>34</v>
      </c>
      <c r="C1847">
        <v>200</v>
      </c>
      <c r="D1847">
        <v>1</v>
      </c>
      <c r="E1847">
        <v>0</v>
      </c>
      <c r="F1847" t="s">
        <v>7148</v>
      </c>
      <c r="G1847">
        <v>200</v>
      </c>
      <c r="H1847">
        <v>0</v>
      </c>
      <c r="I1847" t="s">
        <v>445</v>
      </c>
      <c r="J1847" t="s">
        <v>7149</v>
      </c>
      <c r="K1847" t="s">
        <v>89</v>
      </c>
      <c r="L1847" t="s">
        <v>27</v>
      </c>
      <c r="M1847" t="s">
        <v>28</v>
      </c>
      <c r="N1847" t="s">
        <v>7146</v>
      </c>
      <c r="O1847" t="s">
        <v>27</v>
      </c>
      <c r="P1847" t="s">
        <v>39</v>
      </c>
      <c r="Q1847" t="s">
        <v>31</v>
      </c>
      <c r="R1847" t="s">
        <v>32</v>
      </c>
      <c r="S1847" t="s">
        <v>28</v>
      </c>
      <c r="T1847" t="s">
        <v>7150</v>
      </c>
      <c r="U1847" t="s">
        <v>7146</v>
      </c>
    </row>
    <row r="1848" spans="1:21" x14ac:dyDescent="0.25">
      <c r="A1848" t="s">
        <v>33</v>
      </c>
      <c r="B1848" t="s">
        <v>34</v>
      </c>
      <c r="C1848">
        <v>200</v>
      </c>
      <c r="D1848">
        <v>1</v>
      </c>
      <c r="E1848">
        <v>0</v>
      </c>
      <c r="F1848" t="s">
        <v>7151</v>
      </c>
      <c r="G1848">
        <v>200</v>
      </c>
      <c r="H1848">
        <v>0</v>
      </c>
      <c r="I1848" t="s">
        <v>445</v>
      </c>
      <c r="J1848" t="s">
        <v>7152</v>
      </c>
      <c r="K1848" t="s">
        <v>118</v>
      </c>
      <c r="L1848" t="s">
        <v>27</v>
      </c>
      <c r="M1848" t="s">
        <v>28</v>
      </c>
      <c r="N1848" t="s">
        <v>7153</v>
      </c>
      <c r="O1848" t="s">
        <v>27</v>
      </c>
      <c r="P1848" t="s">
        <v>39</v>
      </c>
      <c r="Q1848" t="s">
        <v>31</v>
      </c>
      <c r="R1848" t="s">
        <v>32</v>
      </c>
      <c r="S1848" t="s">
        <v>28</v>
      </c>
      <c r="T1848" t="s">
        <v>7154</v>
      </c>
      <c r="U1848" t="s">
        <v>7153</v>
      </c>
    </row>
    <row r="1849" spans="1:21" x14ac:dyDescent="0.25">
      <c r="A1849" t="s">
        <v>21</v>
      </c>
      <c r="B1849" t="s">
        <v>22</v>
      </c>
      <c r="C1849">
        <v>100</v>
      </c>
      <c r="D1849">
        <v>1</v>
      </c>
      <c r="E1849">
        <v>0</v>
      </c>
      <c r="F1849" t="s">
        <v>7155</v>
      </c>
      <c r="G1849">
        <v>106</v>
      </c>
      <c r="H1849">
        <v>6</v>
      </c>
      <c r="I1849" t="s">
        <v>24</v>
      </c>
      <c r="J1849" t="s">
        <v>7156</v>
      </c>
      <c r="K1849" t="s">
        <v>241</v>
      </c>
      <c r="L1849" t="s">
        <v>27</v>
      </c>
      <c r="M1849" t="s">
        <v>28</v>
      </c>
      <c r="N1849" t="s">
        <v>7157</v>
      </c>
      <c r="O1849" t="s">
        <v>27</v>
      </c>
      <c r="P1849" t="s">
        <v>39</v>
      </c>
      <c r="Q1849" t="s">
        <v>31</v>
      </c>
      <c r="R1849" t="s">
        <v>32</v>
      </c>
      <c r="S1849" t="s">
        <v>28</v>
      </c>
      <c r="T1849" t="s">
        <v>7158</v>
      </c>
      <c r="U1849" t="s">
        <v>7157</v>
      </c>
    </row>
    <row r="1850" spans="1:21" x14ac:dyDescent="0.25">
      <c r="A1850" t="s">
        <v>21</v>
      </c>
      <c r="B1850" t="s">
        <v>22</v>
      </c>
      <c r="C1850">
        <v>100</v>
      </c>
      <c r="D1850">
        <v>2</v>
      </c>
      <c r="E1850">
        <v>0</v>
      </c>
      <c r="F1850" t="s">
        <v>7159</v>
      </c>
      <c r="G1850">
        <v>200</v>
      </c>
      <c r="H1850">
        <v>0</v>
      </c>
      <c r="I1850" t="s">
        <v>445</v>
      </c>
      <c r="J1850" t="s">
        <v>7160</v>
      </c>
      <c r="K1850" t="s">
        <v>124</v>
      </c>
      <c r="L1850" t="s">
        <v>27</v>
      </c>
      <c r="M1850" t="s">
        <v>28</v>
      </c>
      <c r="N1850" t="s">
        <v>7161</v>
      </c>
      <c r="O1850" t="s">
        <v>27</v>
      </c>
      <c r="P1850" t="s">
        <v>39</v>
      </c>
      <c r="Q1850" t="s">
        <v>31</v>
      </c>
      <c r="R1850" t="s">
        <v>32</v>
      </c>
      <c r="S1850" t="s">
        <v>28</v>
      </c>
      <c r="T1850" t="s">
        <v>7162</v>
      </c>
      <c r="U1850" t="s">
        <v>7161</v>
      </c>
    </row>
    <row r="1851" spans="1:21" x14ac:dyDescent="0.25">
      <c r="A1851" t="s">
        <v>143</v>
      </c>
      <c r="B1851" t="s">
        <v>144</v>
      </c>
      <c r="C1851">
        <v>200</v>
      </c>
      <c r="D1851">
        <v>1</v>
      </c>
      <c r="E1851">
        <v>0</v>
      </c>
      <c r="F1851" t="s">
        <v>7163</v>
      </c>
      <c r="G1851">
        <v>200</v>
      </c>
      <c r="H1851">
        <v>0</v>
      </c>
      <c r="I1851" t="s">
        <v>445</v>
      </c>
      <c r="J1851" t="s">
        <v>7164</v>
      </c>
      <c r="K1851" t="s">
        <v>358</v>
      </c>
      <c r="L1851" t="s">
        <v>27</v>
      </c>
      <c r="M1851" t="s">
        <v>28</v>
      </c>
      <c r="N1851" t="s">
        <v>7165</v>
      </c>
      <c r="O1851" t="s">
        <v>27</v>
      </c>
      <c r="P1851" t="s">
        <v>39</v>
      </c>
      <c r="Q1851" t="s">
        <v>31</v>
      </c>
      <c r="R1851" t="s">
        <v>32</v>
      </c>
      <c r="S1851" t="s">
        <v>28</v>
      </c>
      <c r="T1851" t="s">
        <v>7166</v>
      </c>
      <c r="U1851" t="s">
        <v>7165</v>
      </c>
    </row>
    <row r="1852" spans="1:21" x14ac:dyDescent="0.25">
      <c r="A1852" t="s">
        <v>143</v>
      </c>
      <c r="B1852" t="s">
        <v>144</v>
      </c>
      <c r="C1852">
        <v>200</v>
      </c>
      <c r="D1852">
        <v>2</v>
      </c>
      <c r="E1852">
        <v>0</v>
      </c>
      <c r="F1852" t="s">
        <v>7167</v>
      </c>
      <c r="G1852">
        <v>400</v>
      </c>
      <c r="H1852">
        <v>0</v>
      </c>
      <c r="I1852" t="s">
        <v>24</v>
      </c>
      <c r="J1852" t="s">
        <v>7168</v>
      </c>
      <c r="K1852" t="s">
        <v>325</v>
      </c>
      <c r="L1852" t="s">
        <v>27</v>
      </c>
      <c r="M1852" t="s">
        <v>28</v>
      </c>
      <c r="N1852" t="s">
        <v>7165</v>
      </c>
      <c r="O1852" t="s">
        <v>27</v>
      </c>
      <c r="P1852" t="s">
        <v>39</v>
      </c>
      <c r="Q1852" t="s">
        <v>31</v>
      </c>
      <c r="R1852" t="s">
        <v>32</v>
      </c>
      <c r="S1852" t="s">
        <v>28</v>
      </c>
      <c r="T1852" t="s">
        <v>7169</v>
      </c>
      <c r="U1852" t="s">
        <v>7165</v>
      </c>
    </row>
    <row r="1853" spans="1:21" x14ac:dyDescent="0.25">
      <c r="A1853" t="s">
        <v>33</v>
      </c>
      <c r="B1853" t="s">
        <v>34</v>
      </c>
      <c r="C1853">
        <v>200</v>
      </c>
      <c r="D1853">
        <v>2</v>
      </c>
      <c r="E1853">
        <v>0</v>
      </c>
      <c r="F1853" t="s">
        <v>7170</v>
      </c>
      <c r="G1853">
        <v>400</v>
      </c>
      <c r="H1853">
        <v>0</v>
      </c>
      <c r="I1853" t="s">
        <v>24</v>
      </c>
      <c r="J1853" t="s">
        <v>7171</v>
      </c>
      <c r="K1853" t="s">
        <v>147</v>
      </c>
      <c r="L1853" t="s">
        <v>27</v>
      </c>
      <c r="M1853" t="s">
        <v>28</v>
      </c>
      <c r="N1853" t="s">
        <v>7172</v>
      </c>
      <c r="O1853" t="s">
        <v>27</v>
      </c>
      <c r="P1853" t="s">
        <v>39</v>
      </c>
      <c r="Q1853" t="s">
        <v>31</v>
      </c>
      <c r="R1853" t="s">
        <v>32</v>
      </c>
      <c r="S1853" t="s">
        <v>28</v>
      </c>
      <c r="T1853" t="s">
        <v>7173</v>
      </c>
      <c r="U1853" t="s">
        <v>7172</v>
      </c>
    </row>
    <row r="1854" spans="1:21" x14ac:dyDescent="0.25">
      <c r="A1854" t="s">
        <v>1513</v>
      </c>
      <c r="B1854" t="s">
        <v>1514</v>
      </c>
      <c r="C1854">
        <v>400</v>
      </c>
      <c r="D1854">
        <v>1</v>
      </c>
      <c r="E1854">
        <v>0</v>
      </c>
      <c r="F1854" t="s">
        <v>7174</v>
      </c>
      <c r="G1854">
        <v>400</v>
      </c>
      <c r="H1854">
        <v>0</v>
      </c>
      <c r="I1854" t="s">
        <v>140</v>
      </c>
      <c r="J1854" t="s">
        <v>7175</v>
      </c>
      <c r="K1854" t="s">
        <v>653</v>
      </c>
      <c r="L1854" t="s">
        <v>27</v>
      </c>
      <c r="M1854" t="s">
        <v>28</v>
      </c>
      <c r="N1854" t="s">
        <v>7172</v>
      </c>
      <c r="O1854" t="s">
        <v>27</v>
      </c>
      <c r="P1854" t="s">
        <v>30</v>
      </c>
      <c r="Q1854" t="s">
        <v>31</v>
      </c>
      <c r="R1854" t="s">
        <v>32</v>
      </c>
      <c r="S1854" t="s">
        <v>28</v>
      </c>
      <c r="T1854" t="s">
        <v>7176</v>
      </c>
      <c r="U1854" t="s">
        <v>7172</v>
      </c>
    </row>
    <row r="1855" spans="1:21" x14ac:dyDescent="0.25">
      <c r="A1855" t="s">
        <v>58</v>
      </c>
      <c r="B1855" t="s">
        <v>103</v>
      </c>
      <c r="C1855">
        <v>83.68</v>
      </c>
      <c r="D1855">
        <v>1</v>
      </c>
      <c r="E1855">
        <v>0</v>
      </c>
      <c r="F1855" t="s">
        <v>7177</v>
      </c>
      <c r="G1855">
        <v>88.68</v>
      </c>
      <c r="H1855">
        <v>5</v>
      </c>
      <c r="I1855" t="s">
        <v>105</v>
      </c>
      <c r="J1855" t="s">
        <v>7178</v>
      </c>
      <c r="K1855" t="s">
        <v>7179</v>
      </c>
      <c r="L1855" t="s">
        <v>748</v>
      </c>
      <c r="M1855" t="s">
        <v>7180</v>
      </c>
      <c r="N1855" t="s">
        <v>7181</v>
      </c>
      <c r="O1855" t="s">
        <v>27</v>
      </c>
      <c r="P1855" t="s">
        <v>48</v>
      </c>
      <c r="Q1855" t="s">
        <v>49</v>
      </c>
      <c r="R1855" t="s">
        <v>50</v>
      </c>
      <c r="S1855" t="s">
        <v>28</v>
      </c>
      <c r="T1855" t="s">
        <v>7182</v>
      </c>
      <c r="U1855" t="s">
        <v>7181</v>
      </c>
    </row>
    <row r="1856" spans="1:21" x14ac:dyDescent="0.25">
      <c r="A1856" t="s">
        <v>909</v>
      </c>
      <c r="B1856" t="s">
        <v>276</v>
      </c>
      <c r="C1856">
        <v>293.7</v>
      </c>
      <c r="D1856">
        <v>1</v>
      </c>
      <c r="E1856">
        <v>0</v>
      </c>
      <c r="F1856" t="s">
        <v>7183</v>
      </c>
      <c r="G1856">
        <v>338.7</v>
      </c>
      <c r="H1856">
        <v>45</v>
      </c>
      <c r="I1856" t="s">
        <v>24</v>
      </c>
      <c r="J1856" t="s">
        <v>7184</v>
      </c>
      <c r="K1856" t="s">
        <v>7185</v>
      </c>
      <c r="L1856" t="s">
        <v>3316</v>
      </c>
      <c r="M1856" t="s">
        <v>7186</v>
      </c>
      <c r="N1856" t="s">
        <v>7181</v>
      </c>
      <c r="O1856" t="s">
        <v>27</v>
      </c>
      <c r="P1856" t="s">
        <v>48</v>
      </c>
      <c r="Q1856" t="s">
        <v>49</v>
      </c>
      <c r="R1856" t="s">
        <v>50</v>
      </c>
      <c r="S1856" t="s">
        <v>28</v>
      </c>
      <c r="T1856" t="s">
        <v>7187</v>
      </c>
      <c r="U1856" t="s">
        <v>7181</v>
      </c>
    </row>
    <row r="1857" spans="1:21" x14ac:dyDescent="0.25">
      <c r="A1857" t="s">
        <v>143</v>
      </c>
      <c r="B1857" t="s">
        <v>144</v>
      </c>
      <c r="C1857">
        <v>200</v>
      </c>
      <c r="D1857">
        <v>1</v>
      </c>
      <c r="E1857">
        <v>0</v>
      </c>
      <c r="F1857" t="s">
        <v>7188</v>
      </c>
      <c r="G1857">
        <v>200</v>
      </c>
      <c r="H1857">
        <v>0</v>
      </c>
      <c r="I1857" t="s">
        <v>24</v>
      </c>
      <c r="J1857" t="s">
        <v>7189</v>
      </c>
      <c r="K1857" t="s">
        <v>711</v>
      </c>
      <c r="L1857" t="s">
        <v>27</v>
      </c>
      <c r="M1857" t="s">
        <v>28</v>
      </c>
      <c r="N1857" t="s">
        <v>7190</v>
      </c>
      <c r="O1857" t="s">
        <v>27</v>
      </c>
      <c r="P1857" t="s">
        <v>39</v>
      </c>
      <c r="Q1857" t="s">
        <v>31</v>
      </c>
      <c r="R1857" t="s">
        <v>32</v>
      </c>
      <c r="S1857" t="s">
        <v>28</v>
      </c>
      <c r="T1857" t="s">
        <v>7191</v>
      </c>
      <c r="U1857" t="s">
        <v>7190</v>
      </c>
    </row>
    <row r="1858" spans="1:21" x14ac:dyDescent="0.25">
      <c r="A1858" t="s">
        <v>21</v>
      </c>
      <c r="B1858" t="s">
        <v>22</v>
      </c>
      <c r="C1858">
        <v>100</v>
      </c>
      <c r="D1858">
        <v>1</v>
      </c>
      <c r="E1858">
        <v>0</v>
      </c>
      <c r="F1858" t="s">
        <v>7192</v>
      </c>
      <c r="G1858">
        <v>106</v>
      </c>
      <c r="H1858">
        <v>6</v>
      </c>
      <c r="I1858" t="s">
        <v>24</v>
      </c>
      <c r="J1858" t="s">
        <v>7193</v>
      </c>
      <c r="K1858" t="s">
        <v>73</v>
      </c>
      <c r="L1858" t="s">
        <v>27</v>
      </c>
      <c r="M1858" t="s">
        <v>28</v>
      </c>
      <c r="N1858" t="s">
        <v>7194</v>
      </c>
      <c r="O1858" t="s">
        <v>27</v>
      </c>
      <c r="P1858" t="s">
        <v>39</v>
      </c>
      <c r="Q1858" t="s">
        <v>31</v>
      </c>
      <c r="R1858" t="s">
        <v>32</v>
      </c>
      <c r="S1858" t="s">
        <v>28</v>
      </c>
      <c r="T1858" t="s">
        <v>7195</v>
      </c>
      <c r="U1858" t="s">
        <v>7194</v>
      </c>
    </row>
    <row r="1859" spans="1:21" x14ac:dyDescent="0.25">
      <c r="A1859" t="s">
        <v>63</v>
      </c>
      <c r="B1859" t="s">
        <v>64</v>
      </c>
      <c r="C1859">
        <v>100</v>
      </c>
      <c r="D1859">
        <v>1</v>
      </c>
      <c r="E1859">
        <v>0</v>
      </c>
      <c r="F1859" t="s">
        <v>7196</v>
      </c>
      <c r="G1859">
        <v>106</v>
      </c>
      <c r="H1859">
        <v>6</v>
      </c>
      <c r="I1859" t="s">
        <v>445</v>
      </c>
      <c r="J1859" t="s">
        <v>7197</v>
      </c>
      <c r="K1859" t="s">
        <v>61</v>
      </c>
      <c r="L1859" t="s">
        <v>27</v>
      </c>
      <c r="M1859" t="s">
        <v>28</v>
      </c>
      <c r="N1859" t="s">
        <v>7194</v>
      </c>
      <c r="O1859" t="s">
        <v>27</v>
      </c>
      <c r="P1859" t="s">
        <v>56</v>
      </c>
      <c r="Q1859" t="s">
        <v>31</v>
      </c>
      <c r="R1859" t="s">
        <v>57</v>
      </c>
      <c r="S1859" t="s">
        <v>28</v>
      </c>
      <c r="T1859" t="s">
        <v>7198</v>
      </c>
      <c r="U1859" t="s">
        <v>7199</v>
      </c>
    </row>
    <row r="1860" spans="1:21" x14ac:dyDescent="0.25">
      <c r="A1860" t="s">
        <v>261</v>
      </c>
      <c r="B1860" t="s">
        <v>1592</v>
      </c>
      <c r="C1860">
        <v>195</v>
      </c>
      <c r="D1860">
        <v>1</v>
      </c>
      <c r="E1860">
        <v>0</v>
      </c>
      <c r="F1860" t="s">
        <v>7200</v>
      </c>
      <c r="G1860">
        <v>219</v>
      </c>
      <c r="H1860">
        <v>24</v>
      </c>
      <c r="I1860" t="s">
        <v>24</v>
      </c>
      <c r="J1860" t="s">
        <v>7201</v>
      </c>
      <c r="K1860" t="s">
        <v>7202</v>
      </c>
      <c r="L1860" t="s">
        <v>1437</v>
      </c>
      <c r="M1860" t="s">
        <v>7203</v>
      </c>
      <c r="N1860" t="s">
        <v>7204</v>
      </c>
      <c r="O1860" t="s">
        <v>27</v>
      </c>
      <c r="P1860" t="s">
        <v>48</v>
      </c>
      <c r="Q1860" t="s">
        <v>49</v>
      </c>
      <c r="R1860" t="s">
        <v>50</v>
      </c>
      <c r="S1860" t="s">
        <v>28</v>
      </c>
      <c r="T1860" t="s">
        <v>7205</v>
      </c>
      <c r="U1860" t="s">
        <v>7204</v>
      </c>
    </row>
    <row r="1861" spans="1:21" x14ac:dyDescent="0.25">
      <c r="A1861" t="s">
        <v>1513</v>
      </c>
      <c r="B1861" t="s">
        <v>1514</v>
      </c>
      <c r="C1861">
        <v>400</v>
      </c>
      <c r="D1861">
        <v>1</v>
      </c>
      <c r="E1861">
        <v>0</v>
      </c>
      <c r="F1861" t="s">
        <v>7206</v>
      </c>
      <c r="G1861">
        <v>400</v>
      </c>
      <c r="H1861">
        <v>0</v>
      </c>
      <c r="I1861" t="s">
        <v>24</v>
      </c>
      <c r="J1861" t="s">
        <v>7207</v>
      </c>
      <c r="K1861" t="s">
        <v>418</v>
      </c>
      <c r="L1861" t="s">
        <v>27</v>
      </c>
      <c r="M1861" t="s">
        <v>28</v>
      </c>
      <c r="N1861" t="s">
        <v>7208</v>
      </c>
      <c r="O1861" t="s">
        <v>27</v>
      </c>
      <c r="P1861" t="s">
        <v>39</v>
      </c>
      <c r="Q1861" t="s">
        <v>31</v>
      </c>
      <c r="R1861" t="s">
        <v>32</v>
      </c>
      <c r="S1861" t="s">
        <v>28</v>
      </c>
      <c r="T1861" t="s">
        <v>7209</v>
      </c>
      <c r="U1861" t="s">
        <v>7208</v>
      </c>
    </row>
    <row r="1862" spans="1:21" x14ac:dyDescent="0.25">
      <c r="A1862" t="s">
        <v>143</v>
      </c>
      <c r="B1862" t="s">
        <v>144</v>
      </c>
      <c r="C1862">
        <v>200</v>
      </c>
      <c r="D1862">
        <v>1</v>
      </c>
      <c r="E1862">
        <v>0</v>
      </c>
      <c r="F1862" t="s">
        <v>7210</v>
      </c>
      <c r="G1862">
        <v>200</v>
      </c>
      <c r="H1862">
        <v>0</v>
      </c>
      <c r="I1862" t="s">
        <v>140</v>
      </c>
      <c r="J1862" t="s">
        <v>7211</v>
      </c>
      <c r="K1862" t="s">
        <v>61</v>
      </c>
      <c r="L1862" t="s">
        <v>27</v>
      </c>
      <c r="M1862" t="s">
        <v>28</v>
      </c>
      <c r="N1862" t="s">
        <v>7212</v>
      </c>
      <c r="O1862" t="s">
        <v>27</v>
      </c>
      <c r="P1862" t="s">
        <v>30</v>
      </c>
      <c r="Q1862" t="s">
        <v>31</v>
      </c>
      <c r="R1862" t="s">
        <v>32</v>
      </c>
      <c r="S1862" t="s">
        <v>28</v>
      </c>
      <c r="T1862" t="s">
        <v>7213</v>
      </c>
      <c r="U1862" t="s">
        <v>7212</v>
      </c>
    </row>
    <row r="1863" spans="1:21" x14ac:dyDescent="0.25">
      <c r="A1863" t="s">
        <v>63</v>
      </c>
      <c r="B1863" t="s">
        <v>64</v>
      </c>
      <c r="C1863">
        <v>100</v>
      </c>
      <c r="D1863">
        <v>2</v>
      </c>
      <c r="E1863">
        <v>0</v>
      </c>
      <c r="F1863" t="s">
        <v>7214</v>
      </c>
      <c r="G1863">
        <v>400</v>
      </c>
      <c r="H1863">
        <v>0</v>
      </c>
      <c r="I1863" t="s">
        <v>445</v>
      </c>
      <c r="J1863" t="s">
        <v>7215</v>
      </c>
      <c r="K1863" t="s">
        <v>1989</v>
      </c>
      <c r="L1863" t="s">
        <v>27</v>
      </c>
      <c r="M1863" t="s">
        <v>28</v>
      </c>
      <c r="N1863" t="s">
        <v>7216</v>
      </c>
      <c r="O1863" t="s">
        <v>27</v>
      </c>
      <c r="P1863" t="s">
        <v>39</v>
      </c>
      <c r="Q1863" t="s">
        <v>31</v>
      </c>
      <c r="R1863" t="s">
        <v>32</v>
      </c>
      <c r="S1863" t="s">
        <v>28</v>
      </c>
      <c r="T1863" t="s">
        <v>7217</v>
      </c>
      <c r="U1863" t="s">
        <v>7212</v>
      </c>
    </row>
    <row r="1864" spans="1:21" x14ac:dyDescent="0.25">
      <c r="A1864" t="s">
        <v>134</v>
      </c>
      <c r="B1864" t="s">
        <v>64</v>
      </c>
      <c r="C1864">
        <v>100</v>
      </c>
      <c r="D1864">
        <v>2</v>
      </c>
      <c r="E1864">
        <v>0</v>
      </c>
      <c r="F1864" t="s">
        <v>7214</v>
      </c>
      <c r="G1864">
        <v>400</v>
      </c>
      <c r="H1864">
        <v>0</v>
      </c>
      <c r="I1864" t="s">
        <v>445</v>
      </c>
      <c r="J1864" t="s">
        <v>7215</v>
      </c>
      <c r="K1864" t="s">
        <v>1989</v>
      </c>
      <c r="L1864" t="s">
        <v>27</v>
      </c>
      <c r="M1864" t="s">
        <v>28</v>
      </c>
      <c r="N1864" t="s">
        <v>7216</v>
      </c>
      <c r="O1864" t="s">
        <v>27</v>
      </c>
      <c r="P1864" t="s">
        <v>39</v>
      </c>
      <c r="Q1864" t="s">
        <v>31</v>
      </c>
      <c r="R1864" t="s">
        <v>32</v>
      </c>
      <c r="S1864" t="s">
        <v>28</v>
      </c>
      <c r="T1864" t="s">
        <v>7217</v>
      </c>
      <c r="U1864" t="s">
        <v>7212</v>
      </c>
    </row>
    <row r="1865" spans="1:21" x14ac:dyDescent="0.25">
      <c r="A1865" t="s">
        <v>134</v>
      </c>
      <c r="B1865" t="s">
        <v>64</v>
      </c>
      <c r="C1865">
        <v>100</v>
      </c>
      <c r="D1865">
        <v>1</v>
      </c>
      <c r="E1865">
        <v>0</v>
      </c>
      <c r="F1865" t="s">
        <v>7218</v>
      </c>
      <c r="G1865">
        <v>200</v>
      </c>
      <c r="H1865">
        <v>0</v>
      </c>
      <c r="I1865" t="s">
        <v>140</v>
      </c>
      <c r="J1865" t="s">
        <v>7219</v>
      </c>
      <c r="K1865" t="s">
        <v>384</v>
      </c>
      <c r="L1865" t="s">
        <v>27</v>
      </c>
      <c r="M1865" t="s">
        <v>28</v>
      </c>
      <c r="N1865" t="s">
        <v>7216</v>
      </c>
      <c r="O1865" t="s">
        <v>27</v>
      </c>
      <c r="P1865" t="s">
        <v>30</v>
      </c>
      <c r="Q1865" t="s">
        <v>31</v>
      </c>
      <c r="R1865" t="s">
        <v>32</v>
      </c>
      <c r="S1865" t="s">
        <v>28</v>
      </c>
      <c r="T1865" t="s">
        <v>7220</v>
      </c>
      <c r="U1865" t="s">
        <v>7212</v>
      </c>
    </row>
    <row r="1866" spans="1:21" x14ac:dyDescent="0.25">
      <c r="A1866" t="s">
        <v>58</v>
      </c>
      <c r="B1866" t="s">
        <v>58</v>
      </c>
      <c r="C1866">
        <v>100</v>
      </c>
      <c r="D1866">
        <v>1</v>
      </c>
      <c r="E1866">
        <v>0</v>
      </c>
      <c r="F1866" t="s">
        <v>7218</v>
      </c>
      <c r="G1866">
        <v>200</v>
      </c>
      <c r="H1866">
        <v>0</v>
      </c>
      <c r="I1866" t="s">
        <v>140</v>
      </c>
      <c r="J1866" t="s">
        <v>7219</v>
      </c>
      <c r="K1866" t="s">
        <v>384</v>
      </c>
      <c r="L1866" t="s">
        <v>27</v>
      </c>
      <c r="M1866" t="s">
        <v>28</v>
      </c>
      <c r="N1866" t="s">
        <v>7216</v>
      </c>
      <c r="O1866" t="s">
        <v>27</v>
      </c>
      <c r="P1866" t="s">
        <v>30</v>
      </c>
      <c r="Q1866" t="s">
        <v>31</v>
      </c>
      <c r="R1866" t="s">
        <v>32</v>
      </c>
      <c r="S1866" t="s">
        <v>28</v>
      </c>
      <c r="T1866" t="s">
        <v>7220</v>
      </c>
      <c r="U1866" t="s">
        <v>7212</v>
      </c>
    </row>
    <row r="1867" spans="1:21" x14ac:dyDescent="0.25">
      <c r="A1867" t="s">
        <v>21</v>
      </c>
      <c r="B1867" t="s">
        <v>22</v>
      </c>
      <c r="C1867">
        <v>100</v>
      </c>
      <c r="D1867">
        <v>1</v>
      </c>
      <c r="E1867">
        <v>0</v>
      </c>
      <c r="F1867" t="s">
        <v>7221</v>
      </c>
      <c r="G1867">
        <v>106</v>
      </c>
      <c r="H1867">
        <v>6</v>
      </c>
      <c r="I1867" t="s">
        <v>24</v>
      </c>
      <c r="J1867" t="s">
        <v>7222</v>
      </c>
      <c r="K1867" t="s">
        <v>350</v>
      </c>
      <c r="L1867" t="s">
        <v>27</v>
      </c>
      <c r="M1867" t="s">
        <v>28</v>
      </c>
      <c r="N1867" t="s">
        <v>7216</v>
      </c>
      <c r="O1867" t="s">
        <v>27</v>
      </c>
      <c r="P1867" t="s">
        <v>56</v>
      </c>
      <c r="Q1867" t="s">
        <v>31</v>
      </c>
      <c r="R1867" t="s">
        <v>57</v>
      </c>
      <c r="S1867" t="s">
        <v>28</v>
      </c>
      <c r="T1867" t="s">
        <v>7223</v>
      </c>
      <c r="U1867" t="s">
        <v>7216</v>
      </c>
    </row>
    <row r="1868" spans="1:21" x14ac:dyDescent="0.25">
      <c r="A1868" t="s">
        <v>21</v>
      </c>
      <c r="B1868" t="s">
        <v>22</v>
      </c>
      <c r="C1868">
        <v>100</v>
      </c>
      <c r="D1868">
        <v>2</v>
      </c>
      <c r="E1868">
        <v>0</v>
      </c>
      <c r="F1868" t="s">
        <v>7224</v>
      </c>
      <c r="G1868">
        <v>200</v>
      </c>
      <c r="H1868">
        <v>0</v>
      </c>
      <c r="I1868" t="s">
        <v>24</v>
      </c>
      <c r="J1868" t="s">
        <v>7225</v>
      </c>
      <c r="K1868" t="s">
        <v>572</v>
      </c>
      <c r="L1868" t="s">
        <v>27</v>
      </c>
      <c r="M1868" t="s">
        <v>28</v>
      </c>
      <c r="N1868" t="s">
        <v>7226</v>
      </c>
      <c r="O1868" t="s">
        <v>27</v>
      </c>
      <c r="P1868" t="s">
        <v>39</v>
      </c>
      <c r="Q1868" t="s">
        <v>31</v>
      </c>
      <c r="R1868" t="s">
        <v>32</v>
      </c>
      <c r="S1868" t="s">
        <v>28</v>
      </c>
      <c r="T1868" t="s">
        <v>7227</v>
      </c>
      <c r="U1868" t="s">
        <v>7226</v>
      </c>
    </row>
    <row r="1869" spans="1:21" x14ac:dyDescent="0.25">
      <c r="A1869" t="s">
        <v>21</v>
      </c>
      <c r="B1869" t="s">
        <v>22</v>
      </c>
      <c r="C1869">
        <v>100</v>
      </c>
      <c r="D1869">
        <v>1</v>
      </c>
      <c r="E1869">
        <v>0</v>
      </c>
      <c r="F1869" t="s">
        <v>7228</v>
      </c>
      <c r="G1869">
        <v>106</v>
      </c>
      <c r="H1869">
        <v>6</v>
      </c>
      <c r="I1869" t="s">
        <v>24</v>
      </c>
      <c r="J1869" t="s">
        <v>7229</v>
      </c>
      <c r="K1869" t="s">
        <v>151</v>
      </c>
      <c r="L1869" t="s">
        <v>27</v>
      </c>
      <c r="M1869" t="s">
        <v>28</v>
      </c>
      <c r="N1869" t="s">
        <v>7230</v>
      </c>
      <c r="O1869" t="s">
        <v>27</v>
      </c>
      <c r="P1869" t="s">
        <v>39</v>
      </c>
      <c r="Q1869" t="s">
        <v>31</v>
      </c>
      <c r="R1869" t="s">
        <v>32</v>
      </c>
      <c r="S1869" t="s">
        <v>28</v>
      </c>
      <c r="T1869" t="s">
        <v>7231</v>
      </c>
      <c r="U1869" t="s">
        <v>7226</v>
      </c>
    </row>
    <row r="1870" spans="1:21" x14ac:dyDescent="0.25">
      <c r="A1870" t="s">
        <v>21</v>
      </c>
      <c r="B1870" t="s">
        <v>22</v>
      </c>
      <c r="C1870">
        <v>100</v>
      </c>
      <c r="D1870">
        <v>1</v>
      </c>
      <c r="E1870">
        <v>0</v>
      </c>
      <c r="F1870" t="s">
        <v>7232</v>
      </c>
      <c r="G1870">
        <v>106</v>
      </c>
      <c r="H1870">
        <v>6</v>
      </c>
      <c r="I1870" t="s">
        <v>24</v>
      </c>
      <c r="J1870" t="s">
        <v>7233</v>
      </c>
      <c r="K1870" t="s">
        <v>1602</v>
      </c>
      <c r="L1870" t="s">
        <v>27</v>
      </c>
      <c r="M1870" t="s">
        <v>28</v>
      </c>
      <c r="N1870" t="s">
        <v>7234</v>
      </c>
      <c r="O1870" t="s">
        <v>27</v>
      </c>
      <c r="P1870" t="s">
        <v>39</v>
      </c>
      <c r="Q1870" t="s">
        <v>31</v>
      </c>
      <c r="R1870" t="s">
        <v>32</v>
      </c>
      <c r="S1870" t="s">
        <v>28</v>
      </c>
      <c r="T1870" t="s">
        <v>7235</v>
      </c>
      <c r="U1870" t="s">
        <v>7234</v>
      </c>
    </row>
    <row r="1871" spans="1:21" x14ac:dyDescent="0.25">
      <c r="A1871" t="s">
        <v>58</v>
      </c>
      <c r="B1871" t="s">
        <v>103</v>
      </c>
      <c r="C1871">
        <v>84</v>
      </c>
      <c r="D1871">
        <v>1</v>
      </c>
      <c r="E1871">
        <v>0</v>
      </c>
      <c r="F1871" t="s">
        <v>7236</v>
      </c>
      <c r="G1871">
        <v>84</v>
      </c>
      <c r="H1871">
        <v>0</v>
      </c>
      <c r="I1871" t="s">
        <v>105</v>
      </c>
      <c r="J1871" t="s">
        <v>7237</v>
      </c>
      <c r="K1871" t="s">
        <v>7238</v>
      </c>
      <c r="L1871" t="s">
        <v>1184</v>
      </c>
      <c r="M1871" t="s">
        <v>7239</v>
      </c>
      <c r="N1871" t="s">
        <v>7240</v>
      </c>
      <c r="O1871" t="s">
        <v>27</v>
      </c>
      <c r="P1871" t="s">
        <v>48</v>
      </c>
      <c r="Q1871" t="s">
        <v>49</v>
      </c>
      <c r="R1871" t="s">
        <v>50</v>
      </c>
      <c r="S1871" t="s">
        <v>28</v>
      </c>
      <c r="T1871" t="s">
        <v>7241</v>
      </c>
      <c r="U1871" t="s">
        <v>7240</v>
      </c>
    </row>
    <row r="1872" spans="1:21" x14ac:dyDescent="0.25">
      <c r="A1872" t="s">
        <v>134</v>
      </c>
      <c r="B1872" t="s">
        <v>64</v>
      </c>
      <c r="C1872">
        <v>100</v>
      </c>
      <c r="D1872">
        <v>1</v>
      </c>
      <c r="E1872">
        <v>0</v>
      </c>
      <c r="F1872" t="s">
        <v>7242</v>
      </c>
      <c r="G1872">
        <v>106</v>
      </c>
      <c r="H1872">
        <v>6</v>
      </c>
      <c r="I1872" t="s">
        <v>140</v>
      </c>
      <c r="J1872" t="s">
        <v>7243</v>
      </c>
      <c r="K1872" t="s">
        <v>579</v>
      </c>
      <c r="L1872" t="s">
        <v>27</v>
      </c>
      <c r="M1872" t="s">
        <v>28</v>
      </c>
      <c r="N1872" t="s">
        <v>7244</v>
      </c>
      <c r="O1872" t="s">
        <v>27</v>
      </c>
      <c r="P1872" t="s">
        <v>30</v>
      </c>
      <c r="Q1872" t="s">
        <v>31</v>
      </c>
      <c r="R1872" t="s">
        <v>32</v>
      </c>
      <c r="S1872" t="s">
        <v>28</v>
      </c>
      <c r="T1872" t="s">
        <v>7245</v>
      </c>
      <c r="U1872" t="s">
        <v>7244</v>
      </c>
    </row>
    <row r="1873" spans="1:21" x14ac:dyDescent="0.25">
      <c r="A1873" t="s">
        <v>33</v>
      </c>
      <c r="B1873" t="s">
        <v>34</v>
      </c>
      <c r="C1873">
        <v>200</v>
      </c>
      <c r="D1873">
        <v>1</v>
      </c>
      <c r="E1873">
        <v>0</v>
      </c>
      <c r="F1873" t="s">
        <v>7246</v>
      </c>
      <c r="G1873">
        <v>200</v>
      </c>
      <c r="H1873">
        <v>0</v>
      </c>
      <c r="I1873" t="s">
        <v>24</v>
      </c>
      <c r="J1873" t="s">
        <v>7247</v>
      </c>
      <c r="K1873" t="s">
        <v>350</v>
      </c>
      <c r="L1873" t="s">
        <v>27</v>
      </c>
      <c r="M1873" t="s">
        <v>28</v>
      </c>
      <c r="N1873" t="s">
        <v>7244</v>
      </c>
      <c r="O1873" t="s">
        <v>27</v>
      </c>
      <c r="P1873" t="s">
        <v>39</v>
      </c>
      <c r="Q1873" t="s">
        <v>31</v>
      </c>
      <c r="R1873" t="s">
        <v>32</v>
      </c>
      <c r="S1873" t="s">
        <v>28</v>
      </c>
      <c r="T1873" t="s">
        <v>7248</v>
      </c>
      <c r="U1873" t="s">
        <v>7244</v>
      </c>
    </row>
    <row r="1874" spans="1:21" x14ac:dyDescent="0.25">
      <c r="A1874" t="s">
        <v>2873</v>
      </c>
      <c r="B1874" t="s">
        <v>5394</v>
      </c>
      <c r="C1874">
        <v>270.39999999999998</v>
      </c>
      <c r="D1874">
        <v>1</v>
      </c>
      <c r="E1874">
        <v>0</v>
      </c>
      <c r="F1874" t="s">
        <v>7249</v>
      </c>
      <c r="G1874">
        <v>374.4</v>
      </c>
      <c r="H1874">
        <v>104</v>
      </c>
      <c r="I1874" t="s">
        <v>24</v>
      </c>
      <c r="J1874" t="s">
        <v>7250</v>
      </c>
      <c r="K1874" t="s">
        <v>7251</v>
      </c>
      <c r="L1874" t="s">
        <v>7252</v>
      </c>
      <c r="M1874" t="s">
        <v>7253</v>
      </c>
      <c r="N1874" t="s">
        <v>7254</v>
      </c>
      <c r="O1874" t="s">
        <v>27</v>
      </c>
      <c r="P1874" t="s">
        <v>48</v>
      </c>
      <c r="Q1874" t="s">
        <v>49</v>
      </c>
      <c r="R1874" t="s">
        <v>50</v>
      </c>
      <c r="S1874" t="s">
        <v>28</v>
      </c>
      <c r="T1874" t="s">
        <v>7255</v>
      </c>
      <c r="U1874" t="s">
        <v>7254</v>
      </c>
    </row>
    <row r="1875" spans="1:21" x14ac:dyDescent="0.25">
      <c r="A1875" t="s">
        <v>63</v>
      </c>
      <c r="B1875" t="s">
        <v>64</v>
      </c>
      <c r="C1875">
        <v>100</v>
      </c>
      <c r="D1875">
        <v>1</v>
      </c>
      <c r="E1875">
        <v>0</v>
      </c>
      <c r="F1875" t="s">
        <v>7256</v>
      </c>
      <c r="G1875">
        <v>220</v>
      </c>
      <c r="H1875">
        <v>0</v>
      </c>
      <c r="I1875" t="s">
        <v>140</v>
      </c>
      <c r="J1875" t="s">
        <v>7257</v>
      </c>
      <c r="K1875" t="s">
        <v>247</v>
      </c>
      <c r="L1875" t="s">
        <v>27</v>
      </c>
      <c r="M1875" t="s">
        <v>28</v>
      </c>
      <c r="N1875" t="s">
        <v>7258</v>
      </c>
      <c r="O1875" t="s">
        <v>27</v>
      </c>
      <c r="P1875" t="s">
        <v>30</v>
      </c>
      <c r="Q1875" t="s">
        <v>31</v>
      </c>
      <c r="R1875" t="s">
        <v>32</v>
      </c>
      <c r="S1875" t="s">
        <v>28</v>
      </c>
      <c r="T1875" t="s">
        <v>7259</v>
      </c>
      <c r="U1875" t="s">
        <v>7258</v>
      </c>
    </row>
    <row r="1876" spans="1:21" x14ac:dyDescent="0.25">
      <c r="A1876" t="s">
        <v>6801</v>
      </c>
      <c r="B1876" t="s">
        <v>6801</v>
      </c>
      <c r="C1876">
        <v>120</v>
      </c>
      <c r="D1876">
        <v>1</v>
      </c>
      <c r="E1876">
        <v>0</v>
      </c>
      <c r="F1876" t="s">
        <v>7256</v>
      </c>
      <c r="G1876">
        <v>220</v>
      </c>
      <c r="H1876">
        <v>0</v>
      </c>
      <c r="I1876" t="s">
        <v>140</v>
      </c>
      <c r="J1876" t="s">
        <v>7257</v>
      </c>
      <c r="K1876" t="s">
        <v>247</v>
      </c>
      <c r="L1876" t="s">
        <v>27</v>
      </c>
      <c r="M1876" t="s">
        <v>28</v>
      </c>
      <c r="N1876" t="s">
        <v>7258</v>
      </c>
      <c r="O1876" t="s">
        <v>27</v>
      </c>
      <c r="P1876" t="s">
        <v>30</v>
      </c>
      <c r="Q1876" t="s">
        <v>31</v>
      </c>
      <c r="R1876" t="s">
        <v>32</v>
      </c>
      <c r="S1876" t="s">
        <v>28</v>
      </c>
      <c r="T1876" t="s">
        <v>7259</v>
      </c>
      <c r="U1876" t="s">
        <v>7258</v>
      </c>
    </row>
    <row r="1877" spans="1:21" x14ac:dyDescent="0.25">
      <c r="A1877" t="s">
        <v>33</v>
      </c>
      <c r="B1877" t="s">
        <v>34</v>
      </c>
      <c r="C1877">
        <v>200</v>
      </c>
      <c r="D1877">
        <v>1</v>
      </c>
      <c r="E1877">
        <v>0</v>
      </c>
      <c r="F1877" t="s">
        <v>7260</v>
      </c>
      <c r="G1877">
        <v>200</v>
      </c>
      <c r="H1877">
        <v>0</v>
      </c>
      <c r="I1877" t="s">
        <v>24</v>
      </c>
      <c r="J1877" t="s">
        <v>7261</v>
      </c>
      <c r="K1877" t="s">
        <v>384</v>
      </c>
      <c r="L1877" t="s">
        <v>27</v>
      </c>
      <c r="M1877" t="s">
        <v>28</v>
      </c>
      <c r="N1877" t="s">
        <v>7262</v>
      </c>
      <c r="O1877" t="s">
        <v>27</v>
      </c>
      <c r="P1877" t="s">
        <v>39</v>
      </c>
      <c r="Q1877" t="s">
        <v>31</v>
      </c>
      <c r="R1877" t="s">
        <v>32</v>
      </c>
      <c r="S1877" t="s">
        <v>28</v>
      </c>
      <c r="T1877" t="s">
        <v>7263</v>
      </c>
      <c r="U1877" t="s">
        <v>7262</v>
      </c>
    </row>
    <row r="1878" spans="1:21" x14ac:dyDescent="0.25">
      <c r="A1878" t="s">
        <v>134</v>
      </c>
      <c r="B1878" t="s">
        <v>64</v>
      </c>
      <c r="C1878">
        <v>100</v>
      </c>
      <c r="D1878">
        <v>1</v>
      </c>
      <c r="E1878">
        <v>0</v>
      </c>
      <c r="F1878" t="s">
        <v>7264</v>
      </c>
      <c r="G1878">
        <v>106</v>
      </c>
      <c r="H1878">
        <v>6</v>
      </c>
      <c r="I1878" t="s">
        <v>445</v>
      </c>
      <c r="J1878" t="s">
        <v>7265</v>
      </c>
      <c r="K1878" t="s">
        <v>677</v>
      </c>
      <c r="L1878" t="s">
        <v>27</v>
      </c>
      <c r="M1878" t="s">
        <v>28</v>
      </c>
      <c r="N1878" t="s">
        <v>7266</v>
      </c>
      <c r="O1878" t="s">
        <v>27</v>
      </c>
      <c r="P1878" t="s">
        <v>39</v>
      </c>
      <c r="Q1878" t="s">
        <v>31</v>
      </c>
      <c r="R1878" t="s">
        <v>32</v>
      </c>
      <c r="S1878" t="s">
        <v>28</v>
      </c>
      <c r="T1878" t="s">
        <v>7267</v>
      </c>
      <c r="U1878" t="s">
        <v>7268</v>
      </c>
    </row>
    <row r="1879" spans="1:21" x14ac:dyDescent="0.25">
      <c r="A1879" t="s">
        <v>21</v>
      </c>
      <c r="B1879" t="s">
        <v>22</v>
      </c>
      <c r="C1879">
        <v>100</v>
      </c>
      <c r="D1879">
        <v>1</v>
      </c>
      <c r="E1879">
        <v>0</v>
      </c>
      <c r="F1879" t="s">
        <v>7269</v>
      </c>
      <c r="G1879">
        <v>100</v>
      </c>
      <c r="H1879">
        <v>0</v>
      </c>
      <c r="I1879" t="s">
        <v>140</v>
      </c>
      <c r="J1879" t="s">
        <v>7270</v>
      </c>
      <c r="K1879" t="s">
        <v>26</v>
      </c>
      <c r="L1879" t="s">
        <v>27</v>
      </c>
      <c r="M1879" t="s">
        <v>28</v>
      </c>
      <c r="N1879" t="s">
        <v>7271</v>
      </c>
      <c r="O1879" t="s">
        <v>27</v>
      </c>
      <c r="P1879" t="s">
        <v>30</v>
      </c>
      <c r="Q1879" t="s">
        <v>31</v>
      </c>
      <c r="R1879" t="s">
        <v>32</v>
      </c>
      <c r="S1879" t="s">
        <v>28</v>
      </c>
      <c r="T1879" t="s">
        <v>7272</v>
      </c>
      <c r="U1879" t="s">
        <v>7271</v>
      </c>
    </row>
    <row r="1880" spans="1:21" x14ac:dyDescent="0.25">
      <c r="A1880" t="s">
        <v>2820</v>
      </c>
      <c r="B1880" t="s">
        <v>2821</v>
      </c>
      <c r="C1880">
        <v>100</v>
      </c>
      <c r="D1880">
        <v>3</v>
      </c>
      <c r="E1880">
        <v>0</v>
      </c>
      <c r="F1880" t="s">
        <v>7273</v>
      </c>
      <c r="G1880">
        <v>300</v>
      </c>
      <c r="H1880">
        <v>0</v>
      </c>
      <c r="I1880" t="s">
        <v>140</v>
      </c>
      <c r="J1880" t="s">
        <v>7274</v>
      </c>
      <c r="K1880" t="s">
        <v>241</v>
      </c>
      <c r="L1880" t="s">
        <v>27</v>
      </c>
      <c r="M1880" t="s">
        <v>28</v>
      </c>
      <c r="N1880" t="s">
        <v>7275</v>
      </c>
      <c r="O1880" t="s">
        <v>27</v>
      </c>
      <c r="P1880" t="s">
        <v>30</v>
      </c>
      <c r="Q1880" t="s">
        <v>31</v>
      </c>
      <c r="R1880" t="s">
        <v>32</v>
      </c>
      <c r="S1880" t="s">
        <v>28</v>
      </c>
      <c r="T1880" t="s">
        <v>7276</v>
      </c>
      <c r="U1880" t="s">
        <v>7275</v>
      </c>
    </row>
    <row r="1881" spans="1:21" x14ac:dyDescent="0.25">
      <c r="A1881" t="s">
        <v>143</v>
      </c>
      <c r="B1881" t="s">
        <v>144</v>
      </c>
      <c r="C1881">
        <v>200</v>
      </c>
      <c r="D1881">
        <v>1</v>
      </c>
      <c r="E1881">
        <v>0</v>
      </c>
      <c r="F1881" t="s">
        <v>7277</v>
      </c>
      <c r="G1881">
        <v>200</v>
      </c>
      <c r="H1881">
        <v>0</v>
      </c>
      <c r="I1881" t="s">
        <v>445</v>
      </c>
      <c r="J1881" t="s">
        <v>7278</v>
      </c>
      <c r="K1881" t="s">
        <v>151</v>
      </c>
      <c r="L1881" t="s">
        <v>27</v>
      </c>
      <c r="M1881" t="s">
        <v>28</v>
      </c>
      <c r="N1881" t="s">
        <v>7279</v>
      </c>
      <c r="O1881" t="s">
        <v>27</v>
      </c>
      <c r="P1881" t="s">
        <v>39</v>
      </c>
      <c r="Q1881" t="s">
        <v>31</v>
      </c>
      <c r="R1881" t="s">
        <v>32</v>
      </c>
      <c r="S1881" t="s">
        <v>28</v>
      </c>
      <c r="T1881" t="s">
        <v>7280</v>
      </c>
      <c r="U1881" t="s">
        <v>7279</v>
      </c>
    </row>
    <row r="1882" spans="1:21" x14ac:dyDescent="0.25">
      <c r="A1882" t="s">
        <v>143</v>
      </c>
      <c r="B1882" t="s">
        <v>144</v>
      </c>
      <c r="C1882">
        <v>200</v>
      </c>
      <c r="D1882">
        <v>1</v>
      </c>
      <c r="E1882">
        <v>0</v>
      </c>
      <c r="F1882" t="s">
        <v>7281</v>
      </c>
      <c r="G1882">
        <v>200</v>
      </c>
      <c r="H1882">
        <v>0</v>
      </c>
      <c r="I1882" t="s">
        <v>140</v>
      </c>
      <c r="J1882" t="s">
        <v>7282</v>
      </c>
      <c r="K1882" t="s">
        <v>37</v>
      </c>
      <c r="L1882" t="s">
        <v>27</v>
      </c>
      <c r="M1882" t="s">
        <v>28</v>
      </c>
      <c r="N1882" t="s">
        <v>7283</v>
      </c>
      <c r="O1882" t="s">
        <v>27</v>
      </c>
      <c r="P1882" t="s">
        <v>30</v>
      </c>
      <c r="Q1882" t="s">
        <v>31</v>
      </c>
      <c r="R1882" t="s">
        <v>32</v>
      </c>
      <c r="S1882" t="s">
        <v>28</v>
      </c>
      <c r="T1882" t="s">
        <v>7284</v>
      </c>
      <c r="U1882" t="s">
        <v>7283</v>
      </c>
    </row>
    <row r="1883" spans="1:21" x14ac:dyDescent="0.25">
      <c r="A1883" t="s">
        <v>21</v>
      </c>
      <c r="B1883" t="s">
        <v>22</v>
      </c>
      <c r="C1883">
        <v>100</v>
      </c>
      <c r="D1883">
        <v>2</v>
      </c>
      <c r="E1883">
        <v>0</v>
      </c>
      <c r="F1883" t="s">
        <v>7285</v>
      </c>
      <c r="G1883">
        <v>200</v>
      </c>
      <c r="H1883">
        <v>0</v>
      </c>
      <c r="I1883" t="s">
        <v>24</v>
      </c>
      <c r="J1883" t="s">
        <v>7286</v>
      </c>
      <c r="K1883" t="s">
        <v>418</v>
      </c>
      <c r="L1883" t="s">
        <v>27</v>
      </c>
      <c r="M1883" t="s">
        <v>28</v>
      </c>
      <c r="N1883" t="s">
        <v>7283</v>
      </c>
      <c r="O1883" t="s">
        <v>27</v>
      </c>
      <c r="P1883" t="s">
        <v>39</v>
      </c>
      <c r="Q1883" t="s">
        <v>31</v>
      </c>
      <c r="R1883" t="s">
        <v>32</v>
      </c>
      <c r="S1883" t="s">
        <v>28</v>
      </c>
      <c r="T1883" t="s">
        <v>7287</v>
      </c>
      <c r="U1883" t="s">
        <v>7283</v>
      </c>
    </row>
    <row r="1884" spans="1:21" x14ac:dyDescent="0.25">
      <c r="A1884" t="s">
        <v>143</v>
      </c>
      <c r="B1884" t="s">
        <v>144</v>
      </c>
      <c r="C1884">
        <v>200</v>
      </c>
      <c r="D1884">
        <v>1</v>
      </c>
      <c r="E1884">
        <v>0</v>
      </c>
      <c r="F1884" t="s">
        <v>7288</v>
      </c>
      <c r="G1884">
        <v>200</v>
      </c>
      <c r="H1884">
        <v>0</v>
      </c>
      <c r="I1884" t="s">
        <v>140</v>
      </c>
      <c r="J1884" t="s">
        <v>7289</v>
      </c>
      <c r="K1884" t="s">
        <v>124</v>
      </c>
      <c r="L1884" t="s">
        <v>27</v>
      </c>
      <c r="M1884" t="s">
        <v>28</v>
      </c>
      <c r="N1884" t="s">
        <v>7290</v>
      </c>
      <c r="O1884" t="s">
        <v>27</v>
      </c>
      <c r="P1884" t="s">
        <v>30</v>
      </c>
      <c r="Q1884" t="s">
        <v>31</v>
      </c>
      <c r="R1884" t="s">
        <v>32</v>
      </c>
      <c r="S1884" t="s">
        <v>28</v>
      </c>
      <c r="T1884" t="s">
        <v>7291</v>
      </c>
      <c r="U1884" t="s">
        <v>7290</v>
      </c>
    </row>
    <row r="1885" spans="1:21" x14ac:dyDescent="0.25">
      <c r="A1885" t="s">
        <v>143</v>
      </c>
      <c r="B1885" t="s">
        <v>144</v>
      </c>
      <c r="C1885">
        <v>200</v>
      </c>
      <c r="D1885">
        <v>1</v>
      </c>
      <c r="E1885">
        <v>0</v>
      </c>
      <c r="F1885" t="s">
        <v>7292</v>
      </c>
      <c r="G1885">
        <v>200</v>
      </c>
      <c r="H1885">
        <v>0</v>
      </c>
      <c r="I1885" t="s">
        <v>445</v>
      </c>
      <c r="J1885" t="s">
        <v>7293</v>
      </c>
      <c r="K1885" t="s">
        <v>241</v>
      </c>
      <c r="L1885" t="s">
        <v>27</v>
      </c>
      <c r="M1885" t="s">
        <v>28</v>
      </c>
      <c r="N1885" t="s">
        <v>7294</v>
      </c>
      <c r="O1885" t="s">
        <v>27</v>
      </c>
      <c r="P1885" t="s">
        <v>56</v>
      </c>
      <c r="Q1885" t="s">
        <v>31</v>
      </c>
      <c r="R1885" t="s">
        <v>57</v>
      </c>
      <c r="S1885" t="s">
        <v>28</v>
      </c>
      <c r="T1885" t="s">
        <v>7295</v>
      </c>
      <c r="U1885" t="s">
        <v>7290</v>
      </c>
    </row>
    <row r="1886" spans="1:21" x14ac:dyDescent="0.25">
      <c r="A1886" t="s">
        <v>134</v>
      </c>
      <c r="B1886" t="s">
        <v>64</v>
      </c>
      <c r="C1886">
        <v>100</v>
      </c>
      <c r="D1886">
        <v>1</v>
      </c>
      <c r="E1886">
        <v>0</v>
      </c>
      <c r="F1886" t="s">
        <v>7296</v>
      </c>
      <c r="G1886">
        <v>300</v>
      </c>
      <c r="H1886">
        <v>0</v>
      </c>
      <c r="I1886" t="s">
        <v>445</v>
      </c>
      <c r="J1886" t="s">
        <v>3094</v>
      </c>
      <c r="K1886" t="s">
        <v>753</v>
      </c>
      <c r="L1886" t="s">
        <v>27</v>
      </c>
      <c r="M1886" t="s">
        <v>28</v>
      </c>
      <c r="N1886" t="s">
        <v>7297</v>
      </c>
      <c r="O1886" t="s">
        <v>27</v>
      </c>
      <c r="P1886" t="s">
        <v>56</v>
      </c>
      <c r="Q1886" t="s">
        <v>31</v>
      </c>
      <c r="R1886" t="s">
        <v>57</v>
      </c>
      <c r="S1886" t="s">
        <v>28</v>
      </c>
      <c r="T1886" t="s">
        <v>7298</v>
      </c>
      <c r="U1886" t="s">
        <v>7299</v>
      </c>
    </row>
    <row r="1887" spans="1:21" x14ac:dyDescent="0.25">
      <c r="A1887" t="s">
        <v>143</v>
      </c>
      <c r="B1887" t="s">
        <v>144</v>
      </c>
      <c r="C1887">
        <v>200</v>
      </c>
      <c r="D1887">
        <v>1</v>
      </c>
      <c r="E1887">
        <v>0</v>
      </c>
      <c r="F1887" t="s">
        <v>7296</v>
      </c>
      <c r="G1887">
        <v>300</v>
      </c>
      <c r="H1887">
        <v>0</v>
      </c>
      <c r="I1887" t="s">
        <v>445</v>
      </c>
      <c r="J1887" t="s">
        <v>3094</v>
      </c>
      <c r="K1887" t="s">
        <v>753</v>
      </c>
      <c r="L1887" t="s">
        <v>27</v>
      </c>
      <c r="M1887" t="s">
        <v>28</v>
      </c>
      <c r="N1887" t="s">
        <v>7297</v>
      </c>
      <c r="O1887" t="s">
        <v>27</v>
      </c>
      <c r="P1887" t="s">
        <v>56</v>
      </c>
      <c r="Q1887" t="s">
        <v>31</v>
      </c>
      <c r="R1887" t="s">
        <v>57</v>
      </c>
      <c r="S1887" t="s">
        <v>28</v>
      </c>
      <c r="T1887" t="s">
        <v>7298</v>
      </c>
      <c r="U1887" t="s">
        <v>7299</v>
      </c>
    </row>
    <row r="1888" spans="1:21" x14ac:dyDescent="0.25">
      <c r="A1888" t="s">
        <v>143</v>
      </c>
      <c r="B1888" t="s">
        <v>144</v>
      </c>
      <c r="C1888">
        <v>200</v>
      </c>
      <c r="D1888">
        <v>1</v>
      </c>
      <c r="E1888">
        <v>0</v>
      </c>
      <c r="F1888" t="s">
        <v>7300</v>
      </c>
      <c r="G1888">
        <v>200</v>
      </c>
      <c r="H1888">
        <v>0</v>
      </c>
      <c r="I1888" t="s">
        <v>24</v>
      </c>
      <c r="J1888" t="s">
        <v>7247</v>
      </c>
      <c r="K1888" t="s">
        <v>350</v>
      </c>
      <c r="L1888" t="s">
        <v>27</v>
      </c>
      <c r="M1888" t="s">
        <v>28</v>
      </c>
      <c r="N1888" t="s">
        <v>7299</v>
      </c>
      <c r="O1888" t="s">
        <v>27</v>
      </c>
      <c r="P1888" t="s">
        <v>39</v>
      </c>
      <c r="Q1888" t="s">
        <v>31</v>
      </c>
      <c r="R1888" t="s">
        <v>32</v>
      </c>
      <c r="S1888" t="s">
        <v>28</v>
      </c>
      <c r="T1888" t="s">
        <v>7301</v>
      </c>
      <c r="U1888" t="s">
        <v>7299</v>
      </c>
    </row>
    <row r="1889" spans="1:21" x14ac:dyDescent="0.25">
      <c r="A1889" t="s">
        <v>33</v>
      </c>
      <c r="B1889" t="s">
        <v>34</v>
      </c>
      <c r="C1889">
        <v>200</v>
      </c>
      <c r="D1889">
        <v>1</v>
      </c>
      <c r="E1889">
        <v>0</v>
      </c>
      <c r="F1889" t="s">
        <v>7302</v>
      </c>
      <c r="G1889">
        <v>825</v>
      </c>
      <c r="H1889">
        <v>0</v>
      </c>
      <c r="I1889" t="s">
        <v>24</v>
      </c>
      <c r="J1889" t="s">
        <v>7303</v>
      </c>
      <c r="K1889" t="s">
        <v>3713</v>
      </c>
      <c r="L1889" t="s">
        <v>27</v>
      </c>
      <c r="M1889" t="s">
        <v>28</v>
      </c>
      <c r="N1889" t="s">
        <v>7304</v>
      </c>
      <c r="O1889" t="s">
        <v>27</v>
      </c>
      <c r="P1889" t="s">
        <v>39</v>
      </c>
      <c r="Q1889" t="s">
        <v>31</v>
      </c>
      <c r="R1889" t="s">
        <v>32</v>
      </c>
      <c r="S1889" t="s">
        <v>28</v>
      </c>
      <c r="T1889" t="s">
        <v>7305</v>
      </c>
      <c r="U1889" t="s">
        <v>7304</v>
      </c>
    </row>
    <row r="1890" spans="1:21" x14ac:dyDescent="0.25">
      <c r="A1890" t="s">
        <v>63</v>
      </c>
      <c r="B1890" t="s">
        <v>64</v>
      </c>
      <c r="C1890">
        <v>100</v>
      </c>
      <c r="D1890">
        <v>1</v>
      </c>
      <c r="E1890">
        <v>0</v>
      </c>
      <c r="F1890" t="s">
        <v>7302</v>
      </c>
      <c r="G1890">
        <v>825</v>
      </c>
      <c r="H1890">
        <v>0</v>
      </c>
      <c r="I1890" t="s">
        <v>24</v>
      </c>
      <c r="J1890" t="s">
        <v>7303</v>
      </c>
      <c r="K1890" t="s">
        <v>3713</v>
      </c>
      <c r="L1890" t="s">
        <v>27</v>
      </c>
      <c r="M1890" t="s">
        <v>28</v>
      </c>
      <c r="N1890" t="s">
        <v>7304</v>
      </c>
      <c r="O1890" t="s">
        <v>27</v>
      </c>
      <c r="P1890" t="s">
        <v>39</v>
      </c>
      <c r="Q1890" t="s">
        <v>31</v>
      </c>
      <c r="R1890" t="s">
        <v>32</v>
      </c>
      <c r="S1890" t="s">
        <v>28</v>
      </c>
      <c r="T1890" t="s">
        <v>7305</v>
      </c>
      <c r="U1890" t="s">
        <v>7304</v>
      </c>
    </row>
    <row r="1891" spans="1:21" x14ac:dyDescent="0.25">
      <c r="A1891" t="s">
        <v>70</v>
      </c>
      <c r="B1891" t="s">
        <v>70</v>
      </c>
      <c r="C1891">
        <v>330</v>
      </c>
      <c r="D1891">
        <v>1</v>
      </c>
      <c r="E1891">
        <v>0</v>
      </c>
      <c r="F1891" t="s">
        <v>7302</v>
      </c>
      <c r="G1891">
        <v>825</v>
      </c>
      <c r="H1891">
        <v>0</v>
      </c>
      <c r="I1891" t="s">
        <v>24</v>
      </c>
      <c r="J1891" t="s">
        <v>7303</v>
      </c>
      <c r="K1891" t="s">
        <v>3713</v>
      </c>
      <c r="L1891" t="s">
        <v>27</v>
      </c>
      <c r="M1891" t="s">
        <v>28</v>
      </c>
      <c r="N1891" t="s">
        <v>7304</v>
      </c>
      <c r="O1891" t="s">
        <v>27</v>
      </c>
      <c r="P1891" t="s">
        <v>39</v>
      </c>
      <c r="Q1891" t="s">
        <v>31</v>
      </c>
      <c r="R1891" t="s">
        <v>32</v>
      </c>
      <c r="S1891" t="s">
        <v>28</v>
      </c>
      <c r="T1891" t="s">
        <v>7305</v>
      </c>
      <c r="U1891" t="s">
        <v>7304</v>
      </c>
    </row>
    <row r="1892" spans="1:21" x14ac:dyDescent="0.25">
      <c r="A1892" t="s">
        <v>134</v>
      </c>
      <c r="B1892" t="s">
        <v>64</v>
      </c>
      <c r="C1892">
        <v>100</v>
      </c>
      <c r="D1892">
        <v>1</v>
      </c>
      <c r="E1892">
        <v>0</v>
      </c>
      <c r="F1892" t="s">
        <v>7306</v>
      </c>
      <c r="G1892">
        <v>100</v>
      </c>
      <c r="H1892">
        <v>0</v>
      </c>
      <c r="I1892" t="s">
        <v>24</v>
      </c>
      <c r="J1892" t="s">
        <v>7307</v>
      </c>
      <c r="K1892" t="s">
        <v>653</v>
      </c>
      <c r="L1892" t="s">
        <v>27</v>
      </c>
      <c r="M1892" t="s">
        <v>28</v>
      </c>
      <c r="N1892" t="s">
        <v>7308</v>
      </c>
      <c r="O1892" t="s">
        <v>27</v>
      </c>
      <c r="P1892" t="s">
        <v>56</v>
      </c>
      <c r="Q1892" t="s">
        <v>31</v>
      </c>
      <c r="R1892" t="s">
        <v>57</v>
      </c>
      <c r="S1892" t="s">
        <v>28</v>
      </c>
      <c r="T1892" t="s">
        <v>7309</v>
      </c>
      <c r="U1892" t="s">
        <v>7308</v>
      </c>
    </row>
    <row r="1893" spans="1:21" x14ac:dyDescent="0.25">
      <c r="A1893" t="s">
        <v>456</v>
      </c>
      <c r="B1893" t="s">
        <v>457</v>
      </c>
      <c r="C1893">
        <v>199</v>
      </c>
      <c r="D1893">
        <v>1</v>
      </c>
      <c r="E1893">
        <v>0</v>
      </c>
      <c r="F1893" t="s">
        <v>7310</v>
      </c>
      <c r="G1893">
        <v>244</v>
      </c>
      <c r="H1893">
        <v>45</v>
      </c>
      <c r="I1893" t="s">
        <v>24</v>
      </c>
      <c r="J1893" t="s">
        <v>859</v>
      </c>
      <c r="K1893" t="s">
        <v>7311</v>
      </c>
      <c r="L1893" t="s">
        <v>7312</v>
      </c>
      <c r="M1893" t="s">
        <v>6076</v>
      </c>
      <c r="N1893" t="s">
        <v>7313</v>
      </c>
      <c r="O1893" t="s">
        <v>27</v>
      </c>
      <c r="P1893" t="s">
        <v>193</v>
      </c>
      <c r="Q1893" t="s">
        <v>85</v>
      </c>
      <c r="R1893" t="s">
        <v>86</v>
      </c>
      <c r="S1893" t="s">
        <v>28</v>
      </c>
      <c r="T1893" t="s">
        <v>7314</v>
      </c>
      <c r="U1893" t="s">
        <v>7313</v>
      </c>
    </row>
    <row r="1894" spans="1:21" x14ac:dyDescent="0.25">
      <c r="A1894" t="s">
        <v>58</v>
      </c>
      <c r="B1894" t="s">
        <v>58</v>
      </c>
      <c r="C1894">
        <v>100</v>
      </c>
      <c r="D1894">
        <v>2</v>
      </c>
      <c r="E1894">
        <v>0</v>
      </c>
      <c r="F1894" t="s">
        <v>7315</v>
      </c>
      <c r="G1894">
        <v>206</v>
      </c>
      <c r="H1894">
        <v>6</v>
      </c>
      <c r="I1894" t="s">
        <v>445</v>
      </c>
      <c r="J1894" t="s">
        <v>7316</v>
      </c>
      <c r="K1894" t="s">
        <v>797</v>
      </c>
      <c r="L1894" t="s">
        <v>27</v>
      </c>
      <c r="M1894" t="s">
        <v>28</v>
      </c>
      <c r="N1894" t="s">
        <v>7317</v>
      </c>
      <c r="O1894" t="s">
        <v>27</v>
      </c>
      <c r="P1894" t="s">
        <v>39</v>
      </c>
      <c r="Q1894" t="s">
        <v>31</v>
      </c>
      <c r="R1894" t="s">
        <v>32</v>
      </c>
      <c r="S1894" t="s">
        <v>28</v>
      </c>
      <c r="T1894" t="s">
        <v>7318</v>
      </c>
      <c r="U1894" t="s">
        <v>7317</v>
      </c>
    </row>
    <row r="1895" spans="1:21" x14ac:dyDescent="0.25">
      <c r="A1895" t="s">
        <v>58</v>
      </c>
      <c r="B1895" t="s">
        <v>58</v>
      </c>
      <c r="C1895">
        <v>100</v>
      </c>
      <c r="D1895">
        <v>3</v>
      </c>
      <c r="E1895">
        <v>0</v>
      </c>
      <c r="F1895" t="s">
        <v>7319</v>
      </c>
      <c r="G1895">
        <v>300</v>
      </c>
      <c r="H1895">
        <v>0</v>
      </c>
      <c r="I1895" t="s">
        <v>24</v>
      </c>
      <c r="J1895" t="s">
        <v>7320</v>
      </c>
      <c r="K1895" t="s">
        <v>758</v>
      </c>
      <c r="L1895" t="s">
        <v>27</v>
      </c>
      <c r="M1895" t="s">
        <v>28</v>
      </c>
      <c r="N1895" t="s">
        <v>7321</v>
      </c>
      <c r="O1895" t="s">
        <v>27</v>
      </c>
      <c r="P1895" t="s">
        <v>39</v>
      </c>
      <c r="Q1895" t="s">
        <v>31</v>
      </c>
      <c r="R1895" t="s">
        <v>32</v>
      </c>
      <c r="S1895" t="s">
        <v>28</v>
      </c>
      <c r="T1895" t="s">
        <v>7322</v>
      </c>
      <c r="U1895" t="s">
        <v>7321</v>
      </c>
    </row>
    <row r="1896" spans="1:21" x14ac:dyDescent="0.25">
      <c r="A1896" t="s">
        <v>134</v>
      </c>
      <c r="B1896" t="s">
        <v>64</v>
      </c>
      <c r="C1896">
        <v>100</v>
      </c>
      <c r="D1896">
        <v>1</v>
      </c>
      <c r="E1896">
        <v>0</v>
      </c>
      <c r="F1896" t="s">
        <v>7323</v>
      </c>
      <c r="G1896">
        <v>106</v>
      </c>
      <c r="H1896">
        <v>6</v>
      </c>
      <c r="I1896" t="s">
        <v>140</v>
      </c>
      <c r="J1896" t="s">
        <v>7324</v>
      </c>
      <c r="K1896" t="s">
        <v>250</v>
      </c>
      <c r="L1896" t="s">
        <v>27</v>
      </c>
      <c r="M1896" t="s">
        <v>28</v>
      </c>
      <c r="N1896" t="s">
        <v>7325</v>
      </c>
      <c r="O1896" t="s">
        <v>27</v>
      </c>
      <c r="P1896" t="s">
        <v>30</v>
      </c>
      <c r="Q1896" t="s">
        <v>31</v>
      </c>
      <c r="R1896" t="s">
        <v>32</v>
      </c>
      <c r="S1896" t="s">
        <v>28</v>
      </c>
      <c r="T1896" t="s">
        <v>7326</v>
      </c>
      <c r="U1896" t="s">
        <v>7325</v>
      </c>
    </row>
    <row r="1897" spans="1:21" x14ac:dyDescent="0.25">
      <c r="A1897" t="s">
        <v>58</v>
      </c>
      <c r="B1897" t="s">
        <v>58</v>
      </c>
      <c r="C1897">
        <v>100</v>
      </c>
      <c r="D1897">
        <v>1</v>
      </c>
      <c r="E1897">
        <v>0</v>
      </c>
      <c r="F1897" t="s">
        <v>7327</v>
      </c>
      <c r="G1897">
        <v>100</v>
      </c>
      <c r="H1897">
        <v>0</v>
      </c>
      <c r="I1897" t="s">
        <v>140</v>
      </c>
      <c r="J1897" t="s">
        <v>7328</v>
      </c>
      <c r="K1897" t="s">
        <v>2243</v>
      </c>
      <c r="L1897" t="s">
        <v>27</v>
      </c>
      <c r="M1897" t="s">
        <v>28</v>
      </c>
      <c r="N1897" t="s">
        <v>7329</v>
      </c>
      <c r="O1897" t="s">
        <v>27</v>
      </c>
      <c r="P1897" t="s">
        <v>30</v>
      </c>
      <c r="Q1897" t="s">
        <v>31</v>
      </c>
      <c r="R1897" t="s">
        <v>32</v>
      </c>
      <c r="S1897" t="s">
        <v>28</v>
      </c>
      <c r="T1897" t="s">
        <v>7330</v>
      </c>
      <c r="U1897" t="s">
        <v>7329</v>
      </c>
    </row>
    <row r="1898" spans="1:21" x14ac:dyDescent="0.25">
      <c r="A1898" t="s">
        <v>70</v>
      </c>
      <c r="B1898" t="s">
        <v>70</v>
      </c>
      <c r="C1898">
        <v>350</v>
      </c>
      <c r="D1898">
        <v>2</v>
      </c>
      <c r="E1898">
        <v>0</v>
      </c>
      <c r="F1898" t="s">
        <v>7331</v>
      </c>
      <c r="G1898">
        <v>800</v>
      </c>
      <c r="H1898">
        <v>0</v>
      </c>
      <c r="I1898" t="s">
        <v>140</v>
      </c>
      <c r="J1898" t="s">
        <v>7332</v>
      </c>
      <c r="K1898" t="s">
        <v>388</v>
      </c>
      <c r="L1898" t="s">
        <v>27</v>
      </c>
      <c r="M1898" t="s">
        <v>28</v>
      </c>
      <c r="N1898" t="s">
        <v>7333</v>
      </c>
      <c r="O1898" t="s">
        <v>27</v>
      </c>
      <c r="P1898" t="s">
        <v>30</v>
      </c>
      <c r="Q1898" t="s">
        <v>31</v>
      </c>
      <c r="R1898" t="s">
        <v>32</v>
      </c>
      <c r="S1898" t="s">
        <v>28</v>
      </c>
      <c r="T1898" t="s">
        <v>7334</v>
      </c>
      <c r="U1898" t="s">
        <v>7333</v>
      </c>
    </row>
    <row r="1899" spans="1:21" x14ac:dyDescent="0.25">
      <c r="A1899" t="s">
        <v>134</v>
      </c>
      <c r="B1899" t="s">
        <v>64</v>
      </c>
      <c r="C1899">
        <v>100</v>
      </c>
      <c r="D1899">
        <v>1</v>
      </c>
      <c r="E1899">
        <v>0</v>
      </c>
      <c r="F1899" t="s">
        <v>7331</v>
      </c>
      <c r="G1899">
        <v>800</v>
      </c>
      <c r="H1899">
        <v>0</v>
      </c>
      <c r="I1899" t="s">
        <v>140</v>
      </c>
      <c r="J1899" t="s">
        <v>7332</v>
      </c>
      <c r="K1899" t="s">
        <v>388</v>
      </c>
      <c r="L1899" t="s">
        <v>27</v>
      </c>
      <c r="M1899" t="s">
        <v>28</v>
      </c>
      <c r="N1899" t="s">
        <v>7333</v>
      </c>
      <c r="O1899" t="s">
        <v>27</v>
      </c>
      <c r="P1899" t="s">
        <v>30</v>
      </c>
      <c r="Q1899" t="s">
        <v>31</v>
      </c>
      <c r="R1899" t="s">
        <v>32</v>
      </c>
      <c r="S1899" t="s">
        <v>28</v>
      </c>
      <c r="T1899" t="s">
        <v>7334</v>
      </c>
      <c r="U1899" t="s">
        <v>7333</v>
      </c>
    </row>
    <row r="1900" spans="1:21" x14ac:dyDescent="0.25">
      <c r="A1900" t="s">
        <v>134</v>
      </c>
      <c r="B1900" t="s">
        <v>64</v>
      </c>
      <c r="C1900">
        <v>100</v>
      </c>
      <c r="D1900">
        <v>1</v>
      </c>
      <c r="E1900">
        <v>0</v>
      </c>
      <c r="F1900" t="s">
        <v>7335</v>
      </c>
      <c r="G1900">
        <v>200</v>
      </c>
      <c r="H1900">
        <v>0</v>
      </c>
      <c r="I1900" t="s">
        <v>140</v>
      </c>
      <c r="J1900" t="s">
        <v>7336</v>
      </c>
      <c r="K1900" t="s">
        <v>67</v>
      </c>
      <c r="L1900" t="s">
        <v>27</v>
      </c>
      <c r="M1900" t="s">
        <v>28</v>
      </c>
      <c r="N1900" t="s">
        <v>7329</v>
      </c>
      <c r="O1900" t="s">
        <v>27</v>
      </c>
      <c r="P1900" t="s">
        <v>369</v>
      </c>
      <c r="Q1900" t="s">
        <v>31</v>
      </c>
      <c r="R1900" t="s">
        <v>57</v>
      </c>
      <c r="S1900" t="s">
        <v>28</v>
      </c>
      <c r="T1900" t="s">
        <v>7337</v>
      </c>
      <c r="U1900" t="s">
        <v>7333</v>
      </c>
    </row>
    <row r="1901" spans="1:21" x14ac:dyDescent="0.25">
      <c r="A1901" t="s">
        <v>58</v>
      </c>
      <c r="B1901" t="s">
        <v>58</v>
      </c>
      <c r="C1901">
        <v>100</v>
      </c>
      <c r="D1901">
        <v>1</v>
      </c>
      <c r="E1901">
        <v>0</v>
      </c>
      <c r="F1901" t="s">
        <v>7335</v>
      </c>
      <c r="G1901">
        <v>200</v>
      </c>
      <c r="H1901">
        <v>0</v>
      </c>
      <c r="I1901" t="s">
        <v>140</v>
      </c>
      <c r="J1901" t="s">
        <v>7336</v>
      </c>
      <c r="K1901" t="s">
        <v>67</v>
      </c>
      <c r="L1901" t="s">
        <v>27</v>
      </c>
      <c r="M1901" t="s">
        <v>28</v>
      </c>
      <c r="N1901" t="s">
        <v>7329</v>
      </c>
      <c r="O1901" t="s">
        <v>27</v>
      </c>
      <c r="P1901" t="s">
        <v>369</v>
      </c>
      <c r="Q1901" t="s">
        <v>31</v>
      </c>
      <c r="R1901" t="s">
        <v>57</v>
      </c>
      <c r="S1901" t="s">
        <v>28</v>
      </c>
      <c r="T1901" t="s">
        <v>7337</v>
      </c>
      <c r="U1901" t="s">
        <v>7333</v>
      </c>
    </row>
    <row r="1902" spans="1:21" x14ac:dyDescent="0.25">
      <c r="A1902" t="s">
        <v>21</v>
      </c>
      <c r="B1902" t="s">
        <v>22</v>
      </c>
      <c r="C1902">
        <v>100</v>
      </c>
      <c r="D1902">
        <v>1</v>
      </c>
      <c r="E1902">
        <v>0</v>
      </c>
      <c r="F1902" t="s">
        <v>7338</v>
      </c>
      <c r="G1902">
        <v>200</v>
      </c>
      <c r="H1902">
        <v>0</v>
      </c>
      <c r="I1902" t="s">
        <v>140</v>
      </c>
      <c r="J1902" t="s">
        <v>7339</v>
      </c>
      <c r="K1902" t="s">
        <v>183</v>
      </c>
      <c r="L1902" t="s">
        <v>27</v>
      </c>
      <c r="M1902" t="s">
        <v>28</v>
      </c>
      <c r="N1902" t="s">
        <v>7340</v>
      </c>
      <c r="O1902" t="s">
        <v>27</v>
      </c>
      <c r="P1902" t="s">
        <v>30</v>
      </c>
      <c r="Q1902" t="s">
        <v>31</v>
      </c>
      <c r="R1902" t="s">
        <v>32</v>
      </c>
      <c r="S1902" t="s">
        <v>28</v>
      </c>
      <c r="T1902" t="s">
        <v>7341</v>
      </c>
      <c r="U1902" t="s">
        <v>7340</v>
      </c>
    </row>
    <row r="1903" spans="1:21" x14ac:dyDescent="0.25">
      <c r="A1903" t="s">
        <v>134</v>
      </c>
      <c r="B1903" t="s">
        <v>64</v>
      </c>
      <c r="C1903">
        <v>100</v>
      </c>
      <c r="D1903">
        <v>1</v>
      </c>
      <c r="E1903">
        <v>0</v>
      </c>
      <c r="F1903" t="s">
        <v>7338</v>
      </c>
      <c r="G1903">
        <v>200</v>
      </c>
      <c r="H1903">
        <v>0</v>
      </c>
      <c r="I1903" t="s">
        <v>140</v>
      </c>
      <c r="J1903" t="s">
        <v>7339</v>
      </c>
      <c r="K1903" t="s">
        <v>183</v>
      </c>
      <c r="L1903" t="s">
        <v>27</v>
      </c>
      <c r="M1903" t="s">
        <v>28</v>
      </c>
      <c r="N1903" t="s">
        <v>7340</v>
      </c>
      <c r="O1903" t="s">
        <v>27</v>
      </c>
      <c r="P1903" t="s">
        <v>30</v>
      </c>
      <c r="Q1903" t="s">
        <v>31</v>
      </c>
      <c r="R1903" t="s">
        <v>32</v>
      </c>
      <c r="S1903" t="s">
        <v>28</v>
      </c>
      <c r="T1903" t="s">
        <v>7341</v>
      </c>
      <c r="U1903" t="s">
        <v>7340</v>
      </c>
    </row>
    <row r="1904" spans="1:21" x14ac:dyDescent="0.25">
      <c r="A1904" t="s">
        <v>21</v>
      </c>
      <c r="B1904" t="s">
        <v>22</v>
      </c>
      <c r="C1904">
        <v>100</v>
      </c>
      <c r="D1904">
        <v>1</v>
      </c>
      <c r="E1904">
        <v>0</v>
      </c>
      <c r="F1904" t="s">
        <v>7342</v>
      </c>
      <c r="G1904">
        <v>300</v>
      </c>
      <c r="H1904">
        <v>0</v>
      </c>
      <c r="I1904" t="s">
        <v>140</v>
      </c>
      <c r="J1904" t="s">
        <v>7343</v>
      </c>
      <c r="K1904" t="s">
        <v>594</v>
      </c>
      <c r="L1904" t="s">
        <v>27</v>
      </c>
      <c r="M1904" t="s">
        <v>28</v>
      </c>
      <c r="N1904" t="s">
        <v>7344</v>
      </c>
      <c r="O1904" t="s">
        <v>27</v>
      </c>
      <c r="P1904" t="s">
        <v>30</v>
      </c>
      <c r="Q1904" t="s">
        <v>31</v>
      </c>
      <c r="R1904" t="s">
        <v>32</v>
      </c>
      <c r="S1904" t="s">
        <v>28</v>
      </c>
      <c r="T1904" t="s">
        <v>7345</v>
      </c>
      <c r="U1904" t="s">
        <v>7344</v>
      </c>
    </row>
    <row r="1905" spans="1:21" x14ac:dyDescent="0.25">
      <c r="A1905" t="s">
        <v>134</v>
      </c>
      <c r="B1905" t="s">
        <v>64</v>
      </c>
      <c r="C1905">
        <v>100</v>
      </c>
      <c r="D1905">
        <v>1</v>
      </c>
      <c r="E1905">
        <v>0</v>
      </c>
      <c r="F1905" t="s">
        <v>7342</v>
      </c>
      <c r="G1905">
        <v>300</v>
      </c>
      <c r="H1905">
        <v>0</v>
      </c>
      <c r="I1905" t="s">
        <v>140</v>
      </c>
      <c r="J1905" t="s">
        <v>7343</v>
      </c>
      <c r="K1905" t="s">
        <v>594</v>
      </c>
      <c r="L1905" t="s">
        <v>27</v>
      </c>
      <c r="M1905" t="s">
        <v>28</v>
      </c>
      <c r="N1905" t="s">
        <v>7344</v>
      </c>
      <c r="O1905" t="s">
        <v>27</v>
      </c>
      <c r="P1905" t="s">
        <v>30</v>
      </c>
      <c r="Q1905" t="s">
        <v>31</v>
      </c>
      <c r="R1905" t="s">
        <v>32</v>
      </c>
      <c r="S1905" t="s">
        <v>28</v>
      </c>
      <c r="T1905" t="s">
        <v>7345</v>
      </c>
      <c r="U1905" t="s">
        <v>7344</v>
      </c>
    </row>
    <row r="1906" spans="1:21" x14ac:dyDescent="0.25">
      <c r="A1906" t="s">
        <v>58</v>
      </c>
      <c r="B1906" t="s">
        <v>58</v>
      </c>
      <c r="C1906">
        <v>100</v>
      </c>
      <c r="D1906">
        <v>1</v>
      </c>
      <c r="E1906">
        <v>0</v>
      </c>
      <c r="F1906" t="s">
        <v>7342</v>
      </c>
      <c r="G1906">
        <v>300</v>
      </c>
      <c r="H1906">
        <v>0</v>
      </c>
      <c r="I1906" t="s">
        <v>140</v>
      </c>
      <c r="J1906" t="s">
        <v>7343</v>
      </c>
      <c r="K1906" t="s">
        <v>594</v>
      </c>
      <c r="L1906" t="s">
        <v>27</v>
      </c>
      <c r="M1906" t="s">
        <v>28</v>
      </c>
      <c r="N1906" t="s">
        <v>7344</v>
      </c>
      <c r="O1906" t="s">
        <v>27</v>
      </c>
      <c r="P1906" t="s">
        <v>30</v>
      </c>
      <c r="Q1906" t="s">
        <v>31</v>
      </c>
      <c r="R1906" t="s">
        <v>32</v>
      </c>
      <c r="S1906" t="s">
        <v>28</v>
      </c>
      <c r="T1906" t="s">
        <v>7345</v>
      </c>
      <c r="U1906" t="s">
        <v>7344</v>
      </c>
    </row>
    <row r="1907" spans="1:21" x14ac:dyDescent="0.25">
      <c r="A1907" t="s">
        <v>21</v>
      </c>
      <c r="B1907" t="s">
        <v>22</v>
      </c>
      <c r="C1907">
        <v>100</v>
      </c>
      <c r="D1907">
        <v>1</v>
      </c>
      <c r="E1907">
        <v>0</v>
      </c>
      <c r="F1907" t="s">
        <v>7346</v>
      </c>
      <c r="G1907">
        <v>106</v>
      </c>
      <c r="H1907">
        <v>6</v>
      </c>
      <c r="I1907" t="s">
        <v>445</v>
      </c>
      <c r="J1907" t="s">
        <v>7347</v>
      </c>
      <c r="K1907" t="s">
        <v>936</v>
      </c>
      <c r="L1907" t="s">
        <v>27</v>
      </c>
      <c r="M1907" t="s">
        <v>28</v>
      </c>
      <c r="N1907" t="s">
        <v>7348</v>
      </c>
      <c r="O1907" t="s">
        <v>27</v>
      </c>
      <c r="P1907" t="s">
        <v>39</v>
      </c>
      <c r="Q1907" t="s">
        <v>31</v>
      </c>
      <c r="R1907" t="s">
        <v>32</v>
      </c>
      <c r="S1907" t="s">
        <v>28</v>
      </c>
      <c r="T1907" t="s">
        <v>7349</v>
      </c>
      <c r="U1907" t="s">
        <v>7348</v>
      </c>
    </row>
    <row r="1908" spans="1:21" x14ac:dyDescent="0.25">
      <c r="A1908" t="s">
        <v>33</v>
      </c>
      <c r="B1908" t="s">
        <v>34</v>
      </c>
      <c r="C1908">
        <v>200</v>
      </c>
      <c r="D1908">
        <v>1</v>
      </c>
      <c r="E1908">
        <v>0</v>
      </c>
      <c r="F1908" t="s">
        <v>7350</v>
      </c>
      <c r="G1908">
        <v>200</v>
      </c>
      <c r="H1908">
        <v>0</v>
      </c>
      <c r="I1908" t="s">
        <v>24</v>
      </c>
      <c r="J1908" t="s">
        <v>7351</v>
      </c>
      <c r="K1908" t="s">
        <v>89</v>
      </c>
      <c r="L1908" t="s">
        <v>27</v>
      </c>
      <c r="M1908" t="s">
        <v>28</v>
      </c>
      <c r="N1908" t="s">
        <v>7352</v>
      </c>
      <c r="O1908" t="s">
        <v>27</v>
      </c>
      <c r="P1908" t="s">
        <v>39</v>
      </c>
      <c r="Q1908" t="s">
        <v>31</v>
      </c>
      <c r="R1908" t="s">
        <v>32</v>
      </c>
      <c r="S1908" t="s">
        <v>28</v>
      </c>
      <c r="T1908" t="s">
        <v>7353</v>
      </c>
      <c r="U1908" t="s">
        <v>7352</v>
      </c>
    </row>
    <row r="1909" spans="1:21" x14ac:dyDescent="0.25">
      <c r="A1909" t="s">
        <v>58</v>
      </c>
      <c r="B1909" t="s">
        <v>58</v>
      </c>
      <c r="C1909">
        <v>100</v>
      </c>
      <c r="D1909">
        <v>3</v>
      </c>
      <c r="E1909">
        <v>0</v>
      </c>
      <c r="F1909" t="s">
        <v>7354</v>
      </c>
      <c r="G1909">
        <v>300</v>
      </c>
      <c r="H1909">
        <v>0</v>
      </c>
      <c r="I1909" t="s">
        <v>140</v>
      </c>
      <c r="J1909" t="s">
        <v>7355</v>
      </c>
      <c r="K1909" t="s">
        <v>37</v>
      </c>
      <c r="L1909" t="s">
        <v>27</v>
      </c>
      <c r="M1909" t="s">
        <v>28</v>
      </c>
      <c r="N1909" t="s">
        <v>7352</v>
      </c>
      <c r="O1909" t="s">
        <v>27</v>
      </c>
      <c r="P1909" t="s">
        <v>30</v>
      </c>
      <c r="Q1909" t="s">
        <v>31</v>
      </c>
      <c r="R1909" t="s">
        <v>32</v>
      </c>
      <c r="S1909" t="s">
        <v>28</v>
      </c>
      <c r="T1909" t="s">
        <v>7356</v>
      </c>
      <c r="U1909" t="s">
        <v>7352</v>
      </c>
    </row>
    <row r="1910" spans="1:21" x14ac:dyDescent="0.25">
      <c r="A1910" t="s">
        <v>21</v>
      </c>
      <c r="B1910" t="s">
        <v>22</v>
      </c>
      <c r="C1910">
        <v>100</v>
      </c>
      <c r="D1910">
        <v>1</v>
      </c>
      <c r="E1910">
        <v>0</v>
      </c>
      <c r="F1910" t="s">
        <v>7357</v>
      </c>
      <c r="G1910">
        <v>100</v>
      </c>
      <c r="H1910">
        <v>0</v>
      </c>
      <c r="I1910" t="s">
        <v>140</v>
      </c>
      <c r="J1910" t="s">
        <v>7358</v>
      </c>
      <c r="K1910" t="s">
        <v>26</v>
      </c>
      <c r="L1910" t="s">
        <v>27</v>
      </c>
      <c r="M1910" t="s">
        <v>28</v>
      </c>
      <c r="N1910" t="s">
        <v>7359</v>
      </c>
      <c r="O1910" t="s">
        <v>27</v>
      </c>
      <c r="P1910" t="s">
        <v>369</v>
      </c>
      <c r="Q1910" t="s">
        <v>31</v>
      </c>
      <c r="R1910" t="s">
        <v>57</v>
      </c>
      <c r="S1910" t="s">
        <v>7360</v>
      </c>
      <c r="T1910" t="s">
        <v>7361</v>
      </c>
      <c r="U1910" t="s">
        <v>7359</v>
      </c>
    </row>
    <row r="1911" spans="1:21" x14ac:dyDescent="0.25">
      <c r="A1911" t="s">
        <v>63</v>
      </c>
      <c r="B1911" t="s">
        <v>64</v>
      </c>
      <c r="C1911">
        <v>100</v>
      </c>
      <c r="D1911">
        <v>1</v>
      </c>
      <c r="E1911">
        <v>0</v>
      </c>
      <c r="F1911" t="s">
        <v>7362</v>
      </c>
      <c r="G1911">
        <v>129</v>
      </c>
      <c r="H1911">
        <v>29</v>
      </c>
      <c r="I1911" t="s">
        <v>445</v>
      </c>
      <c r="J1911" t="s">
        <v>7363</v>
      </c>
      <c r="K1911" t="s">
        <v>247</v>
      </c>
      <c r="L1911" t="s">
        <v>27</v>
      </c>
      <c r="M1911" t="s">
        <v>28</v>
      </c>
      <c r="N1911" t="s">
        <v>7364</v>
      </c>
      <c r="O1911" t="s">
        <v>27</v>
      </c>
      <c r="P1911" t="s">
        <v>56</v>
      </c>
      <c r="Q1911" t="s">
        <v>31</v>
      </c>
      <c r="R1911" t="s">
        <v>57</v>
      </c>
      <c r="S1911" t="s">
        <v>28</v>
      </c>
      <c r="T1911" t="s">
        <v>7365</v>
      </c>
      <c r="U1911" t="s">
        <v>7366</v>
      </c>
    </row>
    <row r="1912" spans="1:21" x14ac:dyDescent="0.25">
      <c r="A1912" t="s">
        <v>143</v>
      </c>
      <c r="B1912" t="s">
        <v>144</v>
      </c>
      <c r="C1912">
        <v>200</v>
      </c>
      <c r="D1912">
        <v>1</v>
      </c>
      <c r="E1912">
        <v>0</v>
      </c>
      <c r="F1912" t="s">
        <v>7367</v>
      </c>
      <c r="G1912">
        <v>200</v>
      </c>
      <c r="H1912">
        <v>0</v>
      </c>
      <c r="I1912" t="s">
        <v>445</v>
      </c>
      <c r="J1912" t="s">
        <v>6705</v>
      </c>
      <c r="K1912" t="s">
        <v>61</v>
      </c>
      <c r="L1912" t="s">
        <v>27</v>
      </c>
      <c r="M1912" t="s">
        <v>28</v>
      </c>
      <c r="N1912" t="s">
        <v>7366</v>
      </c>
      <c r="O1912" t="s">
        <v>27</v>
      </c>
      <c r="P1912" t="s">
        <v>369</v>
      </c>
      <c r="Q1912" t="s">
        <v>31</v>
      </c>
      <c r="R1912" t="s">
        <v>57</v>
      </c>
      <c r="S1912" t="s">
        <v>28</v>
      </c>
      <c r="T1912" t="s">
        <v>7368</v>
      </c>
      <c r="U1912" t="s">
        <v>7369</v>
      </c>
    </row>
    <row r="1913" spans="1:21" x14ac:dyDescent="0.25">
      <c r="A1913" t="s">
        <v>58</v>
      </c>
      <c r="B1913" t="s">
        <v>58</v>
      </c>
      <c r="C1913">
        <v>100</v>
      </c>
      <c r="D1913">
        <v>3</v>
      </c>
      <c r="E1913">
        <v>0</v>
      </c>
      <c r="F1913" t="s">
        <v>7370</v>
      </c>
      <c r="G1913">
        <v>329</v>
      </c>
      <c r="H1913">
        <v>29</v>
      </c>
      <c r="I1913" t="s">
        <v>140</v>
      </c>
      <c r="J1913" t="s">
        <v>7371</v>
      </c>
      <c r="K1913" t="s">
        <v>3713</v>
      </c>
      <c r="L1913" t="s">
        <v>27</v>
      </c>
      <c r="M1913" t="s">
        <v>28</v>
      </c>
      <c r="N1913" t="s">
        <v>7369</v>
      </c>
      <c r="O1913" t="s">
        <v>27</v>
      </c>
      <c r="P1913" t="s">
        <v>369</v>
      </c>
      <c r="Q1913" t="s">
        <v>31</v>
      </c>
      <c r="R1913" t="s">
        <v>57</v>
      </c>
      <c r="S1913" t="s">
        <v>28</v>
      </c>
      <c r="T1913" t="s">
        <v>7372</v>
      </c>
      <c r="U1913" t="s">
        <v>7369</v>
      </c>
    </row>
    <row r="1914" spans="1:21" x14ac:dyDescent="0.25">
      <c r="A1914" t="s">
        <v>143</v>
      </c>
      <c r="B1914" t="s">
        <v>144</v>
      </c>
      <c r="C1914">
        <v>200</v>
      </c>
      <c r="D1914">
        <v>1</v>
      </c>
      <c r="E1914">
        <v>0</v>
      </c>
      <c r="F1914" t="s">
        <v>7373</v>
      </c>
      <c r="G1914">
        <v>200</v>
      </c>
      <c r="H1914">
        <v>0</v>
      </c>
      <c r="I1914" t="s">
        <v>24</v>
      </c>
      <c r="J1914" t="s">
        <v>7374</v>
      </c>
      <c r="K1914" t="s">
        <v>758</v>
      </c>
      <c r="L1914" t="s">
        <v>27</v>
      </c>
      <c r="M1914" t="s">
        <v>28</v>
      </c>
      <c r="N1914" t="s">
        <v>7375</v>
      </c>
      <c r="O1914" t="s">
        <v>27</v>
      </c>
      <c r="P1914" t="s">
        <v>39</v>
      </c>
      <c r="Q1914" t="s">
        <v>31</v>
      </c>
      <c r="R1914" t="s">
        <v>32</v>
      </c>
      <c r="S1914" t="s">
        <v>28</v>
      </c>
      <c r="T1914" t="s">
        <v>7376</v>
      </c>
      <c r="U1914" t="s">
        <v>7375</v>
      </c>
    </row>
    <row r="1915" spans="1:21" x14ac:dyDescent="0.25">
      <c r="A1915" t="s">
        <v>63</v>
      </c>
      <c r="B1915" t="s">
        <v>64</v>
      </c>
      <c r="C1915">
        <v>100</v>
      </c>
      <c r="D1915">
        <v>1</v>
      </c>
      <c r="E1915">
        <v>0</v>
      </c>
      <c r="F1915" t="s">
        <v>7377</v>
      </c>
      <c r="G1915">
        <v>106</v>
      </c>
      <c r="H1915">
        <v>6</v>
      </c>
      <c r="I1915" t="s">
        <v>24</v>
      </c>
      <c r="J1915" t="s">
        <v>7378</v>
      </c>
      <c r="K1915" t="s">
        <v>2470</v>
      </c>
      <c r="L1915" t="s">
        <v>27</v>
      </c>
      <c r="M1915" t="s">
        <v>28</v>
      </c>
      <c r="N1915" t="s">
        <v>7375</v>
      </c>
      <c r="O1915" t="s">
        <v>27</v>
      </c>
      <c r="P1915" t="s">
        <v>39</v>
      </c>
      <c r="Q1915" t="s">
        <v>31</v>
      </c>
      <c r="R1915" t="s">
        <v>32</v>
      </c>
      <c r="S1915" t="s">
        <v>28</v>
      </c>
      <c r="T1915" t="s">
        <v>7379</v>
      </c>
      <c r="U1915" t="s">
        <v>7375</v>
      </c>
    </row>
    <row r="1916" spans="1:21" x14ac:dyDescent="0.25">
      <c r="A1916" t="s">
        <v>143</v>
      </c>
      <c r="B1916" t="s">
        <v>144</v>
      </c>
      <c r="C1916">
        <v>200</v>
      </c>
      <c r="D1916">
        <v>1</v>
      </c>
      <c r="E1916">
        <v>0</v>
      </c>
      <c r="F1916" t="s">
        <v>7380</v>
      </c>
      <c r="G1916">
        <v>200</v>
      </c>
      <c r="H1916">
        <v>0</v>
      </c>
      <c r="I1916" t="s">
        <v>140</v>
      </c>
      <c r="J1916" t="s">
        <v>7381</v>
      </c>
      <c r="K1916" t="s">
        <v>358</v>
      </c>
      <c r="L1916" t="s">
        <v>27</v>
      </c>
      <c r="M1916" t="s">
        <v>28</v>
      </c>
      <c r="N1916" t="s">
        <v>7382</v>
      </c>
      <c r="O1916" t="s">
        <v>27</v>
      </c>
      <c r="P1916" t="s">
        <v>30</v>
      </c>
      <c r="Q1916" t="s">
        <v>31</v>
      </c>
      <c r="R1916" t="s">
        <v>32</v>
      </c>
      <c r="S1916" t="s">
        <v>28</v>
      </c>
      <c r="T1916" t="s">
        <v>7383</v>
      </c>
      <c r="U1916" t="s">
        <v>7382</v>
      </c>
    </row>
    <row r="1917" spans="1:21" x14ac:dyDescent="0.25">
      <c r="A1917" t="s">
        <v>3543</v>
      </c>
      <c r="B1917" t="s">
        <v>3544</v>
      </c>
      <c r="C1917">
        <v>288</v>
      </c>
      <c r="D1917">
        <v>1</v>
      </c>
      <c r="E1917">
        <v>0</v>
      </c>
      <c r="F1917" t="s">
        <v>7384</v>
      </c>
      <c r="G1917">
        <v>288</v>
      </c>
      <c r="H1917">
        <v>0</v>
      </c>
      <c r="I1917" t="s">
        <v>720</v>
      </c>
      <c r="J1917" t="s">
        <v>3760</v>
      </c>
      <c r="K1917" t="s">
        <v>3761</v>
      </c>
      <c r="L1917" t="s">
        <v>3755</v>
      </c>
      <c r="M1917" t="s">
        <v>3762</v>
      </c>
      <c r="N1917" t="s">
        <v>7385</v>
      </c>
      <c r="O1917" t="s">
        <v>27</v>
      </c>
      <c r="P1917" t="s">
        <v>48</v>
      </c>
      <c r="Q1917" t="s">
        <v>49</v>
      </c>
      <c r="R1917" t="s">
        <v>50</v>
      </c>
      <c r="S1917" t="s">
        <v>28</v>
      </c>
      <c r="T1917" t="s">
        <v>7386</v>
      </c>
      <c r="U1917" t="s">
        <v>7385</v>
      </c>
    </row>
    <row r="1918" spans="1:21" x14ac:dyDescent="0.25">
      <c r="A1918" t="s">
        <v>134</v>
      </c>
      <c r="B1918" t="s">
        <v>64</v>
      </c>
      <c r="C1918">
        <v>100</v>
      </c>
      <c r="D1918">
        <v>1</v>
      </c>
      <c r="E1918">
        <v>0</v>
      </c>
      <c r="F1918" t="s">
        <v>7387</v>
      </c>
      <c r="G1918">
        <v>106</v>
      </c>
      <c r="H1918">
        <v>6</v>
      </c>
      <c r="I1918" t="s">
        <v>140</v>
      </c>
      <c r="J1918" t="s">
        <v>7388</v>
      </c>
      <c r="K1918" t="s">
        <v>89</v>
      </c>
      <c r="L1918" t="s">
        <v>27</v>
      </c>
      <c r="M1918" t="s">
        <v>28</v>
      </c>
      <c r="N1918" t="s">
        <v>7389</v>
      </c>
      <c r="O1918" t="s">
        <v>27</v>
      </c>
      <c r="P1918" t="s">
        <v>369</v>
      </c>
      <c r="Q1918" t="s">
        <v>31</v>
      </c>
      <c r="R1918" t="s">
        <v>57</v>
      </c>
      <c r="S1918" t="s">
        <v>28</v>
      </c>
      <c r="T1918" t="s">
        <v>7390</v>
      </c>
      <c r="U1918" t="s">
        <v>7389</v>
      </c>
    </row>
    <row r="1919" spans="1:21" x14ac:dyDescent="0.25">
      <c r="A1919" t="s">
        <v>33</v>
      </c>
      <c r="B1919" t="s">
        <v>34</v>
      </c>
      <c r="C1919">
        <v>200</v>
      </c>
      <c r="D1919">
        <v>1</v>
      </c>
      <c r="E1919">
        <v>0</v>
      </c>
      <c r="F1919" t="s">
        <v>7391</v>
      </c>
      <c r="G1919">
        <v>200</v>
      </c>
      <c r="H1919">
        <v>0</v>
      </c>
      <c r="I1919" t="s">
        <v>24</v>
      </c>
      <c r="J1919" t="s">
        <v>7381</v>
      </c>
      <c r="K1919" t="s">
        <v>358</v>
      </c>
      <c r="L1919" t="s">
        <v>27</v>
      </c>
      <c r="M1919" t="s">
        <v>28</v>
      </c>
      <c r="N1919" t="s">
        <v>7392</v>
      </c>
      <c r="O1919" t="s">
        <v>27</v>
      </c>
      <c r="P1919" t="s">
        <v>39</v>
      </c>
      <c r="Q1919" t="s">
        <v>31</v>
      </c>
      <c r="R1919" t="s">
        <v>32</v>
      </c>
      <c r="S1919" t="s">
        <v>28</v>
      </c>
      <c r="T1919" t="s">
        <v>7393</v>
      </c>
      <c r="U1919" t="s">
        <v>7392</v>
      </c>
    </row>
    <row r="1920" spans="1:21" x14ac:dyDescent="0.25">
      <c r="A1920" t="s">
        <v>909</v>
      </c>
      <c r="B1920" t="s">
        <v>3592</v>
      </c>
      <c r="C1920">
        <v>240</v>
      </c>
      <c r="D1920">
        <v>1</v>
      </c>
      <c r="E1920">
        <v>0</v>
      </c>
      <c r="F1920" t="s">
        <v>7394</v>
      </c>
      <c r="G1920">
        <v>440</v>
      </c>
      <c r="H1920">
        <v>0</v>
      </c>
      <c r="I1920" t="s">
        <v>24</v>
      </c>
      <c r="J1920" t="s">
        <v>7395</v>
      </c>
      <c r="K1920" t="s">
        <v>7396</v>
      </c>
      <c r="L1920" t="s">
        <v>27</v>
      </c>
      <c r="M1920" t="s">
        <v>28</v>
      </c>
      <c r="N1920" t="s">
        <v>7397</v>
      </c>
      <c r="O1920" t="s">
        <v>27</v>
      </c>
      <c r="P1920" t="s">
        <v>39</v>
      </c>
      <c r="Q1920" t="s">
        <v>31</v>
      </c>
      <c r="R1920" t="s">
        <v>32</v>
      </c>
      <c r="S1920" t="s">
        <v>28</v>
      </c>
      <c r="T1920" t="s">
        <v>7398</v>
      </c>
      <c r="U1920" t="s">
        <v>7397</v>
      </c>
    </row>
    <row r="1921" spans="1:21" x14ac:dyDescent="0.25">
      <c r="A1921" t="s">
        <v>33</v>
      </c>
      <c r="B1921" t="s">
        <v>34</v>
      </c>
      <c r="C1921">
        <v>200</v>
      </c>
      <c r="D1921">
        <v>1</v>
      </c>
      <c r="E1921">
        <v>0</v>
      </c>
      <c r="F1921" t="s">
        <v>7394</v>
      </c>
      <c r="G1921">
        <v>440</v>
      </c>
      <c r="H1921">
        <v>0</v>
      </c>
      <c r="I1921" t="s">
        <v>24</v>
      </c>
      <c r="J1921" t="s">
        <v>7395</v>
      </c>
      <c r="K1921" t="s">
        <v>7396</v>
      </c>
      <c r="L1921" t="s">
        <v>27</v>
      </c>
      <c r="M1921" t="s">
        <v>28</v>
      </c>
      <c r="N1921" t="s">
        <v>7397</v>
      </c>
      <c r="O1921" t="s">
        <v>27</v>
      </c>
      <c r="P1921" t="s">
        <v>39</v>
      </c>
      <c r="Q1921" t="s">
        <v>31</v>
      </c>
      <c r="R1921" t="s">
        <v>32</v>
      </c>
      <c r="S1921" t="s">
        <v>28</v>
      </c>
      <c r="T1921" t="s">
        <v>7398</v>
      </c>
      <c r="U1921" t="s">
        <v>7397</v>
      </c>
    </row>
    <row r="1922" spans="1:21" x14ac:dyDescent="0.25">
      <c r="A1922" t="s">
        <v>143</v>
      </c>
      <c r="B1922" t="s">
        <v>144</v>
      </c>
      <c r="C1922">
        <v>200</v>
      </c>
      <c r="D1922">
        <v>5</v>
      </c>
      <c r="E1922">
        <v>0</v>
      </c>
      <c r="F1922" t="s">
        <v>7399</v>
      </c>
      <c r="G1922">
        <v>1000</v>
      </c>
      <c r="H1922">
        <v>0</v>
      </c>
      <c r="I1922" t="s">
        <v>140</v>
      </c>
      <c r="J1922" t="s">
        <v>1620</v>
      </c>
      <c r="K1922" t="s">
        <v>285</v>
      </c>
      <c r="L1922" t="s">
        <v>27</v>
      </c>
      <c r="M1922" t="s">
        <v>28</v>
      </c>
      <c r="N1922" t="s">
        <v>7397</v>
      </c>
      <c r="O1922" t="s">
        <v>27</v>
      </c>
      <c r="P1922" t="s">
        <v>30</v>
      </c>
      <c r="Q1922" t="s">
        <v>31</v>
      </c>
      <c r="R1922" t="s">
        <v>32</v>
      </c>
      <c r="S1922" t="s">
        <v>28</v>
      </c>
      <c r="T1922" t="s">
        <v>7400</v>
      </c>
      <c r="U1922" t="s">
        <v>7397</v>
      </c>
    </row>
    <row r="1923" spans="1:21" x14ac:dyDescent="0.25">
      <c r="A1923" t="s">
        <v>58</v>
      </c>
      <c r="B1923" t="s">
        <v>103</v>
      </c>
      <c r="C1923">
        <v>84</v>
      </c>
      <c r="D1923">
        <v>1</v>
      </c>
      <c r="E1923">
        <v>0</v>
      </c>
      <c r="F1923" t="s">
        <v>7401</v>
      </c>
      <c r="G1923">
        <v>89</v>
      </c>
      <c r="H1923">
        <v>5</v>
      </c>
      <c r="I1923" t="s">
        <v>105</v>
      </c>
      <c r="J1923" t="s">
        <v>7402</v>
      </c>
      <c r="K1923" t="s">
        <v>7403</v>
      </c>
      <c r="L1923" t="s">
        <v>480</v>
      </c>
      <c r="M1923" t="s">
        <v>7404</v>
      </c>
      <c r="N1923" t="s">
        <v>7405</v>
      </c>
      <c r="O1923" t="s">
        <v>27</v>
      </c>
      <c r="P1923" t="s">
        <v>48</v>
      </c>
      <c r="Q1923" t="s">
        <v>49</v>
      </c>
      <c r="R1923" t="s">
        <v>50</v>
      </c>
      <c r="S1923" t="s">
        <v>28</v>
      </c>
      <c r="T1923" t="s">
        <v>7406</v>
      </c>
      <c r="U1923" t="s">
        <v>7405</v>
      </c>
    </row>
    <row r="1924" spans="1:21" x14ac:dyDescent="0.25">
      <c r="A1924" t="s">
        <v>58</v>
      </c>
      <c r="B1924" t="s">
        <v>58</v>
      </c>
      <c r="C1924">
        <v>100</v>
      </c>
      <c r="D1924">
        <v>1</v>
      </c>
      <c r="E1924">
        <v>0</v>
      </c>
      <c r="F1924" t="s">
        <v>7407</v>
      </c>
      <c r="G1924">
        <v>107</v>
      </c>
      <c r="H1924">
        <v>7</v>
      </c>
      <c r="I1924" t="s">
        <v>445</v>
      </c>
      <c r="J1924" t="s">
        <v>5346</v>
      </c>
      <c r="K1924" t="s">
        <v>7408</v>
      </c>
      <c r="L1924" t="s">
        <v>7409</v>
      </c>
      <c r="M1924" t="s">
        <v>6671</v>
      </c>
      <c r="N1924" t="s">
        <v>7410</v>
      </c>
      <c r="O1924" t="s">
        <v>27</v>
      </c>
      <c r="P1924" t="s">
        <v>193</v>
      </c>
      <c r="Q1924" t="s">
        <v>85</v>
      </c>
      <c r="R1924" t="s">
        <v>86</v>
      </c>
      <c r="S1924" t="s">
        <v>28</v>
      </c>
      <c r="T1924" t="s">
        <v>7411</v>
      </c>
      <c r="U1924" t="s">
        <v>7410</v>
      </c>
    </row>
    <row r="1925" spans="1:21" x14ac:dyDescent="0.25">
      <c r="A1925" t="s">
        <v>33</v>
      </c>
      <c r="B1925" t="s">
        <v>34</v>
      </c>
      <c r="C1925">
        <v>200</v>
      </c>
      <c r="D1925">
        <v>1</v>
      </c>
      <c r="E1925">
        <v>0</v>
      </c>
      <c r="F1925" t="s">
        <v>7412</v>
      </c>
      <c r="G1925">
        <v>200</v>
      </c>
      <c r="H1925">
        <v>0</v>
      </c>
      <c r="I1925" t="s">
        <v>445</v>
      </c>
      <c r="J1925" t="s">
        <v>7413</v>
      </c>
      <c r="K1925" t="s">
        <v>372</v>
      </c>
      <c r="L1925" t="s">
        <v>27</v>
      </c>
      <c r="M1925" t="s">
        <v>28</v>
      </c>
      <c r="N1925" t="s">
        <v>7414</v>
      </c>
      <c r="O1925" t="s">
        <v>27</v>
      </c>
      <c r="P1925" t="s">
        <v>39</v>
      </c>
      <c r="Q1925" t="s">
        <v>31</v>
      </c>
      <c r="R1925" t="s">
        <v>32</v>
      </c>
      <c r="S1925" t="s">
        <v>28</v>
      </c>
      <c r="T1925" t="s">
        <v>7415</v>
      </c>
      <c r="U1925" t="s">
        <v>7414</v>
      </c>
    </row>
    <row r="1926" spans="1:21" x14ac:dyDescent="0.25">
      <c r="A1926" t="s">
        <v>21</v>
      </c>
      <c r="B1926" t="s">
        <v>22</v>
      </c>
      <c r="C1926">
        <v>100</v>
      </c>
      <c r="D1926">
        <v>1</v>
      </c>
      <c r="E1926">
        <v>0</v>
      </c>
      <c r="F1926" t="s">
        <v>7416</v>
      </c>
      <c r="G1926">
        <v>100</v>
      </c>
      <c r="H1926">
        <v>0</v>
      </c>
      <c r="I1926" t="s">
        <v>24</v>
      </c>
      <c r="J1926" t="s">
        <v>7417</v>
      </c>
      <c r="K1926" t="s">
        <v>247</v>
      </c>
      <c r="L1926" t="s">
        <v>27</v>
      </c>
      <c r="M1926" t="s">
        <v>28</v>
      </c>
      <c r="N1926" t="s">
        <v>7418</v>
      </c>
      <c r="O1926" t="s">
        <v>27</v>
      </c>
      <c r="P1926" t="s">
        <v>39</v>
      </c>
      <c r="Q1926" t="s">
        <v>31</v>
      </c>
      <c r="R1926" t="s">
        <v>32</v>
      </c>
      <c r="S1926" t="s">
        <v>28</v>
      </c>
      <c r="T1926" t="s">
        <v>7419</v>
      </c>
      <c r="U1926" t="s">
        <v>7418</v>
      </c>
    </row>
    <row r="1927" spans="1:21" x14ac:dyDescent="0.25">
      <c r="A1927" t="s">
        <v>63</v>
      </c>
      <c r="B1927" t="s">
        <v>64</v>
      </c>
      <c r="C1927">
        <v>100</v>
      </c>
      <c r="D1927">
        <v>1</v>
      </c>
      <c r="E1927">
        <v>0</v>
      </c>
      <c r="F1927" t="s">
        <v>7420</v>
      </c>
      <c r="G1927">
        <v>106</v>
      </c>
      <c r="H1927">
        <v>6</v>
      </c>
      <c r="I1927" t="s">
        <v>140</v>
      </c>
      <c r="J1927" t="s">
        <v>7421</v>
      </c>
      <c r="K1927" t="s">
        <v>73</v>
      </c>
      <c r="L1927" t="s">
        <v>27</v>
      </c>
      <c r="M1927" t="s">
        <v>28</v>
      </c>
      <c r="N1927" t="s">
        <v>7418</v>
      </c>
      <c r="O1927" t="s">
        <v>27</v>
      </c>
      <c r="P1927" t="s">
        <v>30</v>
      </c>
      <c r="Q1927" t="s">
        <v>31</v>
      </c>
      <c r="R1927" t="s">
        <v>32</v>
      </c>
      <c r="S1927" t="s">
        <v>28</v>
      </c>
      <c r="T1927" t="s">
        <v>7422</v>
      </c>
      <c r="U1927" t="s">
        <v>7418</v>
      </c>
    </row>
    <row r="1928" spans="1:21" x14ac:dyDescent="0.25">
      <c r="A1928" t="s">
        <v>63</v>
      </c>
      <c r="B1928" t="s">
        <v>64</v>
      </c>
      <c r="C1928">
        <v>100</v>
      </c>
      <c r="D1928">
        <v>1</v>
      </c>
      <c r="E1928">
        <v>0</v>
      </c>
      <c r="F1928" t="s">
        <v>7423</v>
      </c>
      <c r="G1928">
        <v>106</v>
      </c>
      <c r="H1928">
        <v>6</v>
      </c>
      <c r="I1928" t="s">
        <v>24</v>
      </c>
      <c r="J1928" t="s">
        <v>2278</v>
      </c>
      <c r="K1928" t="s">
        <v>67</v>
      </c>
      <c r="L1928" t="s">
        <v>27</v>
      </c>
      <c r="M1928" t="s">
        <v>28</v>
      </c>
      <c r="N1928" t="s">
        <v>7424</v>
      </c>
      <c r="O1928" t="s">
        <v>27</v>
      </c>
      <c r="P1928" t="s">
        <v>39</v>
      </c>
      <c r="Q1928" t="s">
        <v>31</v>
      </c>
      <c r="R1928" t="s">
        <v>32</v>
      </c>
      <c r="S1928" t="s">
        <v>28</v>
      </c>
      <c r="T1928" t="s">
        <v>7425</v>
      </c>
      <c r="U1928" t="s">
        <v>7424</v>
      </c>
    </row>
    <row r="1929" spans="1:21" x14ac:dyDescent="0.25">
      <c r="A1929" t="s">
        <v>33</v>
      </c>
      <c r="B1929" t="s">
        <v>34</v>
      </c>
      <c r="C1929">
        <v>200</v>
      </c>
      <c r="D1929">
        <v>1</v>
      </c>
      <c r="E1929">
        <v>0</v>
      </c>
      <c r="F1929" t="s">
        <v>7426</v>
      </c>
      <c r="G1929">
        <v>200</v>
      </c>
      <c r="H1929">
        <v>0</v>
      </c>
      <c r="I1929" t="s">
        <v>445</v>
      </c>
      <c r="J1929" t="s">
        <v>7427</v>
      </c>
      <c r="K1929" t="s">
        <v>331</v>
      </c>
      <c r="L1929" t="s">
        <v>27</v>
      </c>
      <c r="M1929" t="s">
        <v>28</v>
      </c>
      <c r="N1929" t="s">
        <v>7428</v>
      </c>
      <c r="O1929" t="s">
        <v>27</v>
      </c>
      <c r="P1929" t="s">
        <v>369</v>
      </c>
      <c r="Q1929" t="s">
        <v>31</v>
      </c>
      <c r="R1929" t="s">
        <v>57</v>
      </c>
      <c r="S1929" t="s">
        <v>28</v>
      </c>
      <c r="T1929" t="s">
        <v>7429</v>
      </c>
      <c r="U1929" t="s">
        <v>7428</v>
      </c>
    </row>
    <row r="1930" spans="1:21" x14ac:dyDescent="0.25">
      <c r="A1930" t="s">
        <v>33</v>
      </c>
      <c r="B1930" t="s">
        <v>34</v>
      </c>
      <c r="C1930">
        <v>200</v>
      </c>
      <c r="D1930">
        <v>1</v>
      </c>
      <c r="E1930">
        <v>0</v>
      </c>
      <c r="F1930" t="s">
        <v>7430</v>
      </c>
      <c r="G1930">
        <v>200</v>
      </c>
      <c r="H1930">
        <v>0</v>
      </c>
      <c r="I1930" t="s">
        <v>445</v>
      </c>
      <c r="J1930" t="s">
        <v>7431</v>
      </c>
      <c r="K1930" t="s">
        <v>67</v>
      </c>
      <c r="L1930" t="s">
        <v>27</v>
      </c>
      <c r="M1930" t="s">
        <v>28</v>
      </c>
      <c r="N1930" t="s">
        <v>7432</v>
      </c>
      <c r="O1930" t="s">
        <v>27</v>
      </c>
      <c r="P1930" t="s">
        <v>39</v>
      </c>
      <c r="Q1930" t="s">
        <v>31</v>
      </c>
      <c r="R1930" t="s">
        <v>32</v>
      </c>
      <c r="S1930" t="s">
        <v>28</v>
      </c>
      <c r="T1930" t="s">
        <v>7433</v>
      </c>
      <c r="U1930" t="s">
        <v>7434</v>
      </c>
    </row>
    <row r="1931" spans="1:21" x14ac:dyDescent="0.25">
      <c r="A1931" t="s">
        <v>143</v>
      </c>
      <c r="B1931" t="s">
        <v>144</v>
      </c>
      <c r="C1931">
        <v>200</v>
      </c>
      <c r="D1931">
        <v>2</v>
      </c>
      <c r="E1931">
        <v>0</v>
      </c>
      <c r="F1931" t="s">
        <v>7435</v>
      </c>
      <c r="G1931">
        <v>400</v>
      </c>
      <c r="H1931">
        <v>0</v>
      </c>
      <c r="I1931" t="s">
        <v>24</v>
      </c>
      <c r="J1931" t="s">
        <v>7436</v>
      </c>
      <c r="K1931" t="s">
        <v>3713</v>
      </c>
      <c r="L1931" t="s">
        <v>27</v>
      </c>
      <c r="M1931" t="s">
        <v>28</v>
      </c>
      <c r="N1931" t="s">
        <v>7432</v>
      </c>
      <c r="O1931" t="s">
        <v>27</v>
      </c>
      <c r="P1931" t="s">
        <v>39</v>
      </c>
      <c r="Q1931" t="s">
        <v>31</v>
      </c>
      <c r="R1931" t="s">
        <v>32</v>
      </c>
      <c r="S1931" t="s">
        <v>28</v>
      </c>
      <c r="T1931" t="s">
        <v>7437</v>
      </c>
      <c r="U1931" t="s">
        <v>7432</v>
      </c>
    </row>
    <row r="1932" spans="1:21" x14ac:dyDescent="0.25">
      <c r="A1932" t="s">
        <v>33</v>
      </c>
      <c r="B1932" t="s">
        <v>34</v>
      </c>
      <c r="C1932">
        <v>200</v>
      </c>
      <c r="D1932">
        <v>1</v>
      </c>
      <c r="E1932">
        <v>0</v>
      </c>
      <c r="F1932" t="s">
        <v>7438</v>
      </c>
      <c r="G1932">
        <v>200</v>
      </c>
      <c r="H1932">
        <v>0</v>
      </c>
      <c r="I1932" t="s">
        <v>24</v>
      </c>
      <c r="J1932" t="s">
        <v>7439</v>
      </c>
      <c r="K1932" t="s">
        <v>250</v>
      </c>
      <c r="L1932" t="s">
        <v>27</v>
      </c>
      <c r="M1932" t="s">
        <v>28</v>
      </c>
      <c r="N1932" t="s">
        <v>7440</v>
      </c>
      <c r="O1932" t="s">
        <v>27</v>
      </c>
      <c r="P1932" t="s">
        <v>56</v>
      </c>
      <c r="Q1932" t="s">
        <v>31</v>
      </c>
      <c r="R1932" t="s">
        <v>57</v>
      </c>
      <c r="S1932" t="s">
        <v>28</v>
      </c>
      <c r="T1932" t="s">
        <v>7441</v>
      </c>
      <c r="U1932" t="s">
        <v>7440</v>
      </c>
    </row>
    <row r="1933" spans="1:21" x14ac:dyDescent="0.25">
      <c r="A1933" t="s">
        <v>2873</v>
      </c>
      <c r="B1933" t="s">
        <v>3106</v>
      </c>
      <c r="C1933">
        <v>251.75</v>
      </c>
      <c r="D1933">
        <v>1</v>
      </c>
      <c r="E1933">
        <v>0</v>
      </c>
      <c r="F1933" t="s">
        <v>7442</v>
      </c>
      <c r="G1933">
        <v>251.75</v>
      </c>
      <c r="H1933">
        <v>0</v>
      </c>
      <c r="I1933" t="s">
        <v>720</v>
      </c>
      <c r="J1933" t="s">
        <v>7443</v>
      </c>
      <c r="K1933" t="s">
        <v>7444</v>
      </c>
      <c r="L1933" t="s">
        <v>7445</v>
      </c>
      <c r="M1933" t="s">
        <v>7446</v>
      </c>
      <c r="N1933" t="s">
        <v>7447</v>
      </c>
      <c r="O1933" t="s">
        <v>27</v>
      </c>
      <c r="P1933" t="s">
        <v>48</v>
      </c>
      <c r="Q1933" t="s">
        <v>49</v>
      </c>
      <c r="R1933" t="s">
        <v>50</v>
      </c>
      <c r="S1933" t="s">
        <v>28</v>
      </c>
      <c r="T1933" t="s">
        <v>7448</v>
      </c>
      <c r="U1933" t="s">
        <v>7447</v>
      </c>
    </row>
    <row r="1934" spans="1:21" x14ac:dyDescent="0.25">
      <c r="A1934" t="s">
        <v>63</v>
      </c>
      <c r="B1934" t="s">
        <v>64</v>
      </c>
      <c r="C1934">
        <v>100</v>
      </c>
      <c r="D1934">
        <v>1</v>
      </c>
      <c r="E1934">
        <v>0</v>
      </c>
      <c r="F1934" t="s">
        <v>7449</v>
      </c>
      <c r="G1934">
        <v>530</v>
      </c>
      <c r="H1934">
        <v>0</v>
      </c>
      <c r="I1934" t="s">
        <v>445</v>
      </c>
      <c r="J1934" t="s">
        <v>7450</v>
      </c>
      <c r="K1934" t="s">
        <v>37</v>
      </c>
      <c r="L1934" t="s">
        <v>27</v>
      </c>
      <c r="M1934" t="s">
        <v>28</v>
      </c>
      <c r="N1934" t="s">
        <v>7451</v>
      </c>
      <c r="O1934" t="s">
        <v>27</v>
      </c>
      <c r="P1934" t="s">
        <v>39</v>
      </c>
      <c r="Q1934" t="s">
        <v>31</v>
      </c>
      <c r="R1934" t="s">
        <v>32</v>
      </c>
      <c r="S1934" t="s">
        <v>28</v>
      </c>
      <c r="T1934" t="s">
        <v>7452</v>
      </c>
      <c r="U1934" t="s">
        <v>7451</v>
      </c>
    </row>
    <row r="1935" spans="1:21" x14ac:dyDescent="0.25">
      <c r="A1935" t="s">
        <v>134</v>
      </c>
      <c r="B1935" t="s">
        <v>64</v>
      </c>
      <c r="C1935">
        <v>100</v>
      </c>
      <c r="D1935">
        <v>1</v>
      </c>
      <c r="E1935">
        <v>0</v>
      </c>
      <c r="F1935" t="s">
        <v>7449</v>
      </c>
      <c r="G1935">
        <v>530</v>
      </c>
      <c r="H1935">
        <v>0</v>
      </c>
      <c r="I1935" t="s">
        <v>445</v>
      </c>
      <c r="J1935" t="s">
        <v>7450</v>
      </c>
      <c r="K1935" t="s">
        <v>37</v>
      </c>
      <c r="L1935" t="s">
        <v>27</v>
      </c>
      <c r="M1935" t="s">
        <v>28</v>
      </c>
      <c r="N1935" t="s">
        <v>7451</v>
      </c>
      <c r="O1935" t="s">
        <v>27</v>
      </c>
      <c r="P1935" t="s">
        <v>39</v>
      </c>
      <c r="Q1935" t="s">
        <v>31</v>
      </c>
      <c r="R1935" t="s">
        <v>32</v>
      </c>
      <c r="S1935" t="s">
        <v>28</v>
      </c>
      <c r="T1935" t="s">
        <v>7452</v>
      </c>
      <c r="U1935" t="s">
        <v>7451</v>
      </c>
    </row>
    <row r="1936" spans="1:21" x14ac:dyDescent="0.25">
      <c r="A1936" t="s">
        <v>70</v>
      </c>
      <c r="B1936" t="s">
        <v>70</v>
      </c>
      <c r="C1936">
        <v>330</v>
      </c>
      <c r="D1936">
        <v>1</v>
      </c>
      <c r="E1936">
        <v>0</v>
      </c>
      <c r="F1936" t="s">
        <v>7449</v>
      </c>
      <c r="G1936">
        <v>530</v>
      </c>
      <c r="H1936">
        <v>0</v>
      </c>
      <c r="I1936" t="s">
        <v>445</v>
      </c>
      <c r="J1936" t="s">
        <v>7450</v>
      </c>
      <c r="K1936" t="s">
        <v>37</v>
      </c>
      <c r="L1936" t="s">
        <v>27</v>
      </c>
      <c r="M1936" t="s">
        <v>28</v>
      </c>
      <c r="N1936" t="s">
        <v>7451</v>
      </c>
      <c r="O1936" t="s">
        <v>27</v>
      </c>
      <c r="P1936" t="s">
        <v>39</v>
      </c>
      <c r="Q1936" t="s">
        <v>31</v>
      </c>
      <c r="R1936" t="s">
        <v>32</v>
      </c>
      <c r="S1936" t="s">
        <v>28</v>
      </c>
      <c r="T1936" t="s">
        <v>7452</v>
      </c>
      <c r="U1936" t="s">
        <v>7451</v>
      </c>
    </row>
    <row r="1937" spans="1:21" x14ac:dyDescent="0.25">
      <c r="A1937" t="s">
        <v>635</v>
      </c>
      <c r="B1937" t="s">
        <v>714</v>
      </c>
      <c r="C1937">
        <v>675</v>
      </c>
      <c r="D1937">
        <v>1</v>
      </c>
      <c r="E1937">
        <v>0</v>
      </c>
      <c r="F1937" t="s">
        <v>7453</v>
      </c>
      <c r="G1937">
        <v>699</v>
      </c>
      <c r="H1937">
        <v>24</v>
      </c>
      <c r="I1937" t="s">
        <v>628</v>
      </c>
      <c r="J1937" t="s">
        <v>7454</v>
      </c>
      <c r="K1937" t="s">
        <v>7455</v>
      </c>
      <c r="L1937" t="s">
        <v>1084</v>
      </c>
      <c r="M1937" t="s">
        <v>7456</v>
      </c>
      <c r="N1937" t="s">
        <v>7451</v>
      </c>
      <c r="O1937" t="s">
        <v>27</v>
      </c>
      <c r="P1937" t="s">
        <v>48</v>
      </c>
      <c r="Q1937" t="s">
        <v>49</v>
      </c>
      <c r="R1937" t="s">
        <v>50</v>
      </c>
      <c r="S1937" t="s">
        <v>28</v>
      </c>
      <c r="T1937" t="s">
        <v>7457</v>
      </c>
      <c r="U1937" t="s">
        <v>7451</v>
      </c>
    </row>
    <row r="1938" spans="1:21" x14ac:dyDescent="0.25">
      <c r="A1938" t="s">
        <v>33</v>
      </c>
      <c r="B1938" t="s">
        <v>34</v>
      </c>
      <c r="C1938">
        <v>200</v>
      </c>
      <c r="D1938">
        <v>1</v>
      </c>
      <c r="E1938">
        <v>0</v>
      </c>
      <c r="F1938" t="s">
        <v>7458</v>
      </c>
      <c r="G1938">
        <v>200</v>
      </c>
      <c r="H1938">
        <v>0</v>
      </c>
      <c r="I1938" t="s">
        <v>445</v>
      </c>
      <c r="J1938" t="s">
        <v>7459</v>
      </c>
      <c r="K1938" t="s">
        <v>89</v>
      </c>
      <c r="L1938" t="s">
        <v>27</v>
      </c>
      <c r="M1938" t="s">
        <v>28</v>
      </c>
      <c r="N1938" t="s">
        <v>7460</v>
      </c>
      <c r="O1938" t="s">
        <v>27</v>
      </c>
      <c r="P1938" t="s">
        <v>39</v>
      </c>
      <c r="Q1938" t="s">
        <v>31</v>
      </c>
      <c r="R1938" t="s">
        <v>32</v>
      </c>
      <c r="S1938" t="s">
        <v>28</v>
      </c>
      <c r="T1938" t="s">
        <v>7461</v>
      </c>
      <c r="U1938" t="s">
        <v>7460</v>
      </c>
    </row>
    <row r="1939" spans="1:21" x14ac:dyDescent="0.25">
      <c r="A1939" t="s">
        <v>143</v>
      </c>
      <c r="B1939" t="s">
        <v>144</v>
      </c>
      <c r="C1939">
        <v>200</v>
      </c>
      <c r="D1939">
        <v>1</v>
      </c>
      <c r="E1939">
        <v>0</v>
      </c>
      <c r="F1939" t="s">
        <v>7462</v>
      </c>
      <c r="G1939">
        <v>200</v>
      </c>
      <c r="H1939">
        <v>0</v>
      </c>
      <c r="I1939" t="s">
        <v>140</v>
      </c>
      <c r="J1939" t="s">
        <v>3452</v>
      </c>
      <c r="K1939" t="s">
        <v>67</v>
      </c>
      <c r="L1939" t="s">
        <v>27</v>
      </c>
      <c r="M1939" t="s">
        <v>28</v>
      </c>
      <c r="N1939" t="s">
        <v>7463</v>
      </c>
      <c r="O1939" t="s">
        <v>27</v>
      </c>
      <c r="P1939" t="s">
        <v>30</v>
      </c>
      <c r="Q1939" t="s">
        <v>31</v>
      </c>
      <c r="R1939" t="s">
        <v>32</v>
      </c>
      <c r="S1939" t="s">
        <v>28</v>
      </c>
      <c r="T1939" t="s">
        <v>7464</v>
      </c>
      <c r="U1939" t="s">
        <v>7463</v>
      </c>
    </row>
    <row r="1940" spans="1:21" x14ac:dyDescent="0.25">
      <c r="A1940" t="s">
        <v>58</v>
      </c>
      <c r="B1940" t="s">
        <v>103</v>
      </c>
      <c r="C1940">
        <v>99.75</v>
      </c>
      <c r="D1940">
        <v>1</v>
      </c>
      <c r="E1940">
        <v>0</v>
      </c>
      <c r="F1940" t="s">
        <v>7465</v>
      </c>
      <c r="G1940">
        <v>144.75</v>
      </c>
      <c r="H1940">
        <v>45</v>
      </c>
      <c r="I1940" t="s">
        <v>105</v>
      </c>
      <c r="J1940" t="s">
        <v>7466</v>
      </c>
      <c r="K1940" t="s">
        <v>7467</v>
      </c>
      <c r="L1940" t="s">
        <v>108</v>
      </c>
      <c r="M1940" t="s">
        <v>7468</v>
      </c>
      <c r="N1940" t="s">
        <v>7469</v>
      </c>
      <c r="O1940" t="s">
        <v>27</v>
      </c>
      <c r="P1940" t="s">
        <v>48</v>
      </c>
      <c r="Q1940" t="s">
        <v>49</v>
      </c>
      <c r="R1940" t="s">
        <v>50</v>
      </c>
      <c r="S1940" t="s">
        <v>28</v>
      </c>
      <c r="T1940" t="s">
        <v>7470</v>
      </c>
      <c r="U1940" t="s">
        <v>7469</v>
      </c>
    </row>
    <row r="1941" spans="1:21" x14ac:dyDescent="0.25">
      <c r="A1941" t="s">
        <v>134</v>
      </c>
      <c r="B1941" t="s">
        <v>64</v>
      </c>
      <c r="C1941">
        <v>100</v>
      </c>
      <c r="D1941">
        <v>1</v>
      </c>
      <c r="E1941">
        <v>0</v>
      </c>
      <c r="F1941" t="s">
        <v>7471</v>
      </c>
      <c r="G1941">
        <v>145</v>
      </c>
      <c r="H1941">
        <v>45</v>
      </c>
      <c r="I1941" t="s">
        <v>445</v>
      </c>
      <c r="J1941" t="s">
        <v>7472</v>
      </c>
      <c r="K1941" t="s">
        <v>209</v>
      </c>
      <c r="L1941" t="s">
        <v>27</v>
      </c>
      <c r="M1941" t="s">
        <v>28</v>
      </c>
      <c r="N1941" t="s">
        <v>7473</v>
      </c>
      <c r="O1941" t="s">
        <v>27</v>
      </c>
      <c r="P1941" t="s">
        <v>39</v>
      </c>
      <c r="Q1941" t="s">
        <v>31</v>
      </c>
      <c r="R1941" t="s">
        <v>32</v>
      </c>
      <c r="S1941" t="s">
        <v>28</v>
      </c>
      <c r="T1941" t="s">
        <v>7474</v>
      </c>
      <c r="U1941" t="s">
        <v>7473</v>
      </c>
    </row>
    <row r="1942" spans="1:21" x14ac:dyDescent="0.25">
      <c r="A1942" t="s">
        <v>635</v>
      </c>
      <c r="B1942" t="s">
        <v>714</v>
      </c>
      <c r="C1942">
        <v>654</v>
      </c>
      <c r="D1942">
        <v>1</v>
      </c>
      <c r="E1942">
        <v>0</v>
      </c>
      <c r="F1942" t="s">
        <v>7475</v>
      </c>
      <c r="G1942">
        <v>678</v>
      </c>
      <c r="H1942">
        <v>24</v>
      </c>
      <c r="I1942" t="s">
        <v>628</v>
      </c>
      <c r="J1942" t="s">
        <v>7476</v>
      </c>
      <c r="K1942" t="s">
        <v>7477</v>
      </c>
      <c r="L1942" t="s">
        <v>7478</v>
      </c>
      <c r="M1942" t="s">
        <v>7479</v>
      </c>
      <c r="N1942" t="s">
        <v>7473</v>
      </c>
      <c r="O1942" t="s">
        <v>27</v>
      </c>
      <c r="P1942" t="s">
        <v>48</v>
      </c>
      <c r="Q1942" t="s">
        <v>49</v>
      </c>
      <c r="R1942" t="s">
        <v>50</v>
      </c>
      <c r="S1942" t="s">
        <v>28</v>
      </c>
      <c r="T1942" t="s">
        <v>7480</v>
      </c>
      <c r="U1942" t="s">
        <v>7473</v>
      </c>
    </row>
    <row r="1943" spans="1:21" x14ac:dyDescent="0.25">
      <c r="A1943" t="s">
        <v>2295</v>
      </c>
      <c r="B1943" t="s">
        <v>2854</v>
      </c>
      <c r="C1943">
        <v>161.1</v>
      </c>
      <c r="D1943">
        <v>1</v>
      </c>
      <c r="E1943">
        <v>0</v>
      </c>
      <c r="F1943" t="s">
        <v>7481</v>
      </c>
      <c r="G1943">
        <v>161.1</v>
      </c>
      <c r="H1943">
        <v>0</v>
      </c>
      <c r="I1943" t="s">
        <v>2856</v>
      </c>
      <c r="J1943" t="s">
        <v>7482</v>
      </c>
      <c r="K1943" t="s">
        <v>7483</v>
      </c>
      <c r="L1943" t="s">
        <v>7484</v>
      </c>
      <c r="M1943" t="s">
        <v>7485</v>
      </c>
      <c r="N1943" t="s">
        <v>7473</v>
      </c>
      <c r="O1943" t="s">
        <v>27</v>
      </c>
      <c r="P1943" t="s">
        <v>48</v>
      </c>
      <c r="Q1943" t="s">
        <v>49</v>
      </c>
      <c r="R1943" t="s">
        <v>50</v>
      </c>
      <c r="S1943" t="s">
        <v>28</v>
      </c>
      <c r="T1943" t="s">
        <v>7486</v>
      </c>
      <c r="U1943" t="s">
        <v>7487</v>
      </c>
    </row>
    <row r="1944" spans="1:21" x14ac:dyDescent="0.25">
      <c r="A1944" t="s">
        <v>58</v>
      </c>
      <c r="B1944" t="s">
        <v>58</v>
      </c>
      <c r="C1944">
        <v>100</v>
      </c>
      <c r="D1944">
        <v>2</v>
      </c>
      <c r="E1944">
        <v>0</v>
      </c>
      <c r="F1944" t="s">
        <v>7488</v>
      </c>
      <c r="G1944">
        <v>230</v>
      </c>
      <c r="H1944">
        <v>35</v>
      </c>
      <c r="I1944" t="s">
        <v>445</v>
      </c>
      <c r="J1944" t="s">
        <v>7489</v>
      </c>
      <c r="K1944" t="s">
        <v>7490</v>
      </c>
      <c r="L1944" t="s">
        <v>258</v>
      </c>
      <c r="M1944" t="s">
        <v>7491</v>
      </c>
      <c r="N1944" t="s">
        <v>7492</v>
      </c>
      <c r="O1944" t="s">
        <v>27</v>
      </c>
      <c r="P1944" t="s">
        <v>193</v>
      </c>
      <c r="Q1944" t="s">
        <v>85</v>
      </c>
      <c r="R1944" t="s">
        <v>86</v>
      </c>
      <c r="S1944" t="s">
        <v>28</v>
      </c>
      <c r="T1944" t="s">
        <v>7493</v>
      </c>
      <c r="U1944" t="s">
        <v>7487</v>
      </c>
    </row>
    <row r="1945" spans="1:21" x14ac:dyDescent="0.25">
      <c r="A1945" t="s">
        <v>3543</v>
      </c>
      <c r="B1945" t="s">
        <v>3544</v>
      </c>
      <c r="C1945">
        <v>282</v>
      </c>
      <c r="D1945">
        <v>1</v>
      </c>
      <c r="E1945">
        <v>0</v>
      </c>
      <c r="F1945" t="s">
        <v>7494</v>
      </c>
      <c r="G1945">
        <v>564</v>
      </c>
      <c r="H1945">
        <v>0</v>
      </c>
      <c r="I1945" t="s">
        <v>720</v>
      </c>
      <c r="J1945" t="s">
        <v>3901</v>
      </c>
      <c r="K1945" t="s">
        <v>3902</v>
      </c>
      <c r="L1945" t="s">
        <v>3903</v>
      </c>
      <c r="M1945" t="s">
        <v>3904</v>
      </c>
      <c r="N1945" t="s">
        <v>7495</v>
      </c>
      <c r="O1945" t="s">
        <v>27</v>
      </c>
      <c r="P1945" t="s">
        <v>48</v>
      </c>
      <c r="Q1945" t="s">
        <v>49</v>
      </c>
      <c r="R1945" t="s">
        <v>50</v>
      </c>
      <c r="S1945" t="s">
        <v>28</v>
      </c>
      <c r="T1945" t="s">
        <v>7496</v>
      </c>
      <c r="U1945" t="s">
        <v>7495</v>
      </c>
    </row>
    <row r="1946" spans="1:21" x14ac:dyDescent="0.25">
      <c r="A1946" t="s">
        <v>3543</v>
      </c>
      <c r="B1946" t="s">
        <v>3544</v>
      </c>
      <c r="C1946">
        <v>282</v>
      </c>
      <c r="D1946">
        <v>1</v>
      </c>
      <c r="E1946">
        <v>0</v>
      </c>
      <c r="F1946" t="s">
        <v>7494</v>
      </c>
      <c r="G1946">
        <v>564</v>
      </c>
      <c r="H1946">
        <v>0</v>
      </c>
      <c r="I1946" t="s">
        <v>720</v>
      </c>
      <c r="J1946" t="s">
        <v>3901</v>
      </c>
      <c r="K1946" t="s">
        <v>3902</v>
      </c>
      <c r="L1946" t="s">
        <v>3903</v>
      </c>
      <c r="M1946" t="s">
        <v>3904</v>
      </c>
      <c r="N1946" t="s">
        <v>7495</v>
      </c>
      <c r="O1946" t="s">
        <v>27</v>
      </c>
      <c r="P1946" t="s">
        <v>48</v>
      </c>
      <c r="Q1946" t="s">
        <v>49</v>
      </c>
      <c r="R1946" t="s">
        <v>50</v>
      </c>
      <c r="S1946" t="s">
        <v>28</v>
      </c>
      <c r="T1946" t="s">
        <v>7496</v>
      </c>
      <c r="U1946" t="s">
        <v>7495</v>
      </c>
    </row>
    <row r="1947" spans="1:21" x14ac:dyDescent="0.25">
      <c r="A1947" t="s">
        <v>58</v>
      </c>
      <c r="B1947" t="s">
        <v>58</v>
      </c>
      <c r="C1947">
        <v>100</v>
      </c>
      <c r="D1947">
        <v>1</v>
      </c>
      <c r="E1947">
        <v>0</v>
      </c>
      <c r="F1947" t="s">
        <v>7497</v>
      </c>
      <c r="G1947">
        <v>200</v>
      </c>
      <c r="H1947">
        <v>0</v>
      </c>
      <c r="I1947" t="s">
        <v>445</v>
      </c>
      <c r="J1947" t="s">
        <v>7498</v>
      </c>
      <c r="K1947" t="s">
        <v>331</v>
      </c>
      <c r="L1947" t="s">
        <v>27</v>
      </c>
      <c r="M1947" t="s">
        <v>28</v>
      </c>
      <c r="N1947" t="s">
        <v>7499</v>
      </c>
      <c r="O1947" t="s">
        <v>27</v>
      </c>
      <c r="P1947" t="s">
        <v>39</v>
      </c>
      <c r="Q1947" t="s">
        <v>31</v>
      </c>
      <c r="R1947" t="s">
        <v>32</v>
      </c>
      <c r="S1947" t="s">
        <v>28</v>
      </c>
      <c r="T1947" t="s">
        <v>7500</v>
      </c>
      <c r="U1947" t="s">
        <v>7499</v>
      </c>
    </row>
    <row r="1948" spans="1:21" x14ac:dyDescent="0.25">
      <c r="A1948" t="s">
        <v>21</v>
      </c>
      <c r="B1948" t="s">
        <v>22</v>
      </c>
      <c r="C1948">
        <v>100</v>
      </c>
      <c r="D1948">
        <v>1</v>
      </c>
      <c r="E1948">
        <v>0</v>
      </c>
      <c r="F1948" t="s">
        <v>7497</v>
      </c>
      <c r="G1948">
        <v>200</v>
      </c>
      <c r="H1948">
        <v>0</v>
      </c>
      <c r="I1948" t="s">
        <v>445</v>
      </c>
      <c r="J1948" t="s">
        <v>7498</v>
      </c>
      <c r="K1948" t="s">
        <v>331</v>
      </c>
      <c r="L1948" t="s">
        <v>27</v>
      </c>
      <c r="M1948" t="s">
        <v>28</v>
      </c>
      <c r="N1948" t="s">
        <v>7499</v>
      </c>
      <c r="O1948" t="s">
        <v>27</v>
      </c>
      <c r="P1948" t="s">
        <v>39</v>
      </c>
      <c r="Q1948" t="s">
        <v>31</v>
      </c>
      <c r="R1948" t="s">
        <v>32</v>
      </c>
      <c r="S1948" t="s">
        <v>28</v>
      </c>
      <c r="T1948" t="s">
        <v>7500</v>
      </c>
      <c r="U1948" t="s">
        <v>7499</v>
      </c>
    </row>
    <row r="1949" spans="1:21" x14ac:dyDescent="0.25">
      <c r="A1949" t="s">
        <v>63</v>
      </c>
      <c r="B1949" t="s">
        <v>64</v>
      </c>
      <c r="C1949">
        <v>100</v>
      </c>
      <c r="D1949">
        <v>1</v>
      </c>
      <c r="E1949">
        <v>0</v>
      </c>
      <c r="F1949" t="s">
        <v>7501</v>
      </c>
      <c r="G1949">
        <v>106</v>
      </c>
      <c r="H1949">
        <v>6</v>
      </c>
      <c r="I1949" t="s">
        <v>445</v>
      </c>
      <c r="J1949" t="s">
        <v>7502</v>
      </c>
      <c r="K1949" t="s">
        <v>37</v>
      </c>
      <c r="L1949" t="s">
        <v>27</v>
      </c>
      <c r="M1949" t="s">
        <v>28</v>
      </c>
      <c r="N1949" t="s">
        <v>7499</v>
      </c>
      <c r="O1949" t="s">
        <v>27</v>
      </c>
      <c r="P1949" t="s">
        <v>39</v>
      </c>
      <c r="Q1949" t="s">
        <v>31</v>
      </c>
      <c r="R1949" t="s">
        <v>32</v>
      </c>
      <c r="S1949" t="s">
        <v>28</v>
      </c>
      <c r="T1949" t="s">
        <v>7503</v>
      </c>
      <c r="U1949" t="s">
        <v>7499</v>
      </c>
    </row>
    <row r="1950" spans="1:21" x14ac:dyDescent="0.25">
      <c r="A1950" t="s">
        <v>143</v>
      </c>
      <c r="B1950" t="s">
        <v>144</v>
      </c>
      <c r="C1950">
        <v>200</v>
      </c>
      <c r="D1950">
        <v>1</v>
      </c>
      <c r="E1950">
        <v>0</v>
      </c>
      <c r="F1950" t="s">
        <v>7504</v>
      </c>
      <c r="G1950">
        <v>200</v>
      </c>
      <c r="H1950">
        <v>0</v>
      </c>
      <c r="I1950" t="s">
        <v>140</v>
      </c>
      <c r="J1950" t="s">
        <v>3321</v>
      </c>
      <c r="K1950" t="s">
        <v>672</v>
      </c>
      <c r="L1950" t="s">
        <v>27</v>
      </c>
      <c r="M1950" t="s">
        <v>28</v>
      </c>
      <c r="N1950" t="s">
        <v>7505</v>
      </c>
      <c r="O1950" t="s">
        <v>27</v>
      </c>
      <c r="P1950" t="s">
        <v>30</v>
      </c>
      <c r="Q1950" t="s">
        <v>31</v>
      </c>
      <c r="R1950" t="s">
        <v>32</v>
      </c>
      <c r="S1950" t="s">
        <v>28</v>
      </c>
      <c r="T1950" t="s">
        <v>7506</v>
      </c>
      <c r="U1950" t="s">
        <v>7505</v>
      </c>
    </row>
    <row r="1951" spans="1:21" x14ac:dyDescent="0.25">
      <c r="A1951" t="s">
        <v>21</v>
      </c>
      <c r="B1951" t="s">
        <v>22</v>
      </c>
      <c r="C1951">
        <v>100</v>
      </c>
      <c r="D1951">
        <v>1</v>
      </c>
      <c r="E1951">
        <v>0</v>
      </c>
      <c r="F1951" t="s">
        <v>7507</v>
      </c>
      <c r="G1951">
        <v>106</v>
      </c>
      <c r="H1951">
        <v>6</v>
      </c>
      <c r="I1951" t="s">
        <v>24</v>
      </c>
      <c r="J1951" t="s">
        <v>7508</v>
      </c>
      <c r="K1951" t="s">
        <v>37</v>
      </c>
      <c r="L1951" t="s">
        <v>27</v>
      </c>
      <c r="M1951" t="s">
        <v>28</v>
      </c>
      <c r="N1951" t="s">
        <v>7509</v>
      </c>
      <c r="O1951" t="s">
        <v>27</v>
      </c>
      <c r="P1951" t="s">
        <v>39</v>
      </c>
      <c r="Q1951" t="s">
        <v>31</v>
      </c>
      <c r="R1951" t="s">
        <v>32</v>
      </c>
      <c r="S1951" t="s">
        <v>28</v>
      </c>
      <c r="T1951" t="s">
        <v>7510</v>
      </c>
      <c r="U1951" t="s">
        <v>7509</v>
      </c>
    </row>
    <row r="1952" spans="1:21" x14ac:dyDescent="0.25">
      <c r="A1952" t="s">
        <v>58</v>
      </c>
      <c r="B1952" t="s">
        <v>58</v>
      </c>
      <c r="C1952">
        <v>100</v>
      </c>
      <c r="D1952">
        <v>1</v>
      </c>
      <c r="E1952">
        <v>0</v>
      </c>
      <c r="F1952" t="s">
        <v>7511</v>
      </c>
      <c r="G1952">
        <v>107</v>
      </c>
      <c r="H1952">
        <v>7</v>
      </c>
      <c r="I1952" t="s">
        <v>445</v>
      </c>
      <c r="J1952" t="s">
        <v>7512</v>
      </c>
      <c r="K1952" t="s">
        <v>7513</v>
      </c>
      <c r="L1952" t="s">
        <v>1076</v>
      </c>
      <c r="M1952" t="s">
        <v>7514</v>
      </c>
      <c r="N1952" t="s">
        <v>7515</v>
      </c>
      <c r="O1952" t="s">
        <v>27</v>
      </c>
      <c r="P1952" t="s">
        <v>193</v>
      </c>
      <c r="Q1952" t="s">
        <v>85</v>
      </c>
      <c r="R1952" t="s">
        <v>86</v>
      </c>
      <c r="S1952" t="s">
        <v>28</v>
      </c>
      <c r="T1952" t="s">
        <v>7516</v>
      </c>
      <c r="U1952" t="s">
        <v>7517</v>
      </c>
    </row>
    <row r="1953" spans="1:21" x14ac:dyDescent="0.25">
      <c r="A1953" t="s">
        <v>58</v>
      </c>
      <c r="B1953" t="s">
        <v>103</v>
      </c>
      <c r="C1953">
        <v>84</v>
      </c>
      <c r="D1953">
        <v>1</v>
      </c>
      <c r="E1953">
        <v>0</v>
      </c>
      <c r="F1953" t="s">
        <v>7518</v>
      </c>
      <c r="G1953">
        <v>89</v>
      </c>
      <c r="H1953">
        <v>5</v>
      </c>
      <c r="I1953" t="s">
        <v>105</v>
      </c>
      <c r="J1953" t="s">
        <v>7519</v>
      </c>
      <c r="K1953" t="s">
        <v>7520</v>
      </c>
      <c r="L1953" t="s">
        <v>2237</v>
      </c>
      <c r="M1953" t="s">
        <v>2238</v>
      </c>
      <c r="N1953" t="s">
        <v>7521</v>
      </c>
      <c r="O1953" t="s">
        <v>27</v>
      </c>
      <c r="P1953" t="s">
        <v>48</v>
      </c>
      <c r="Q1953" t="s">
        <v>49</v>
      </c>
      <c r="R1953" t="s">
        <v>50</v>
      </c>
      <c r="S1953" t="s">
        <v>28</v>
      </c>
      <c r="T1953" t="s">
        <v>7522</v>
      </c>
      <c r="U1953" t="s">
        <v>7521</v>
      </c>
    </row>
    <row r="1954" spans="1:21" x14ac:dyDescent="0.25">
      <c r="A1954" t="s">
        <v>33</v>
      </c>
      <c r="B1954" t="s">
        <v>34</v>
      </c>
      <c r="C1954">
        <v>200</v>
      </c>
      <c r="D1954">
        <v>1</v>
      </c>
      <c r="E1954">
        <v>0</v>
      </c>
      <c r="F1954" t="s">
        <v>7523</v>
      </c>
      <c r="G1954">
        <v>200</v>
      </c>
      <c r="H1954">
        <v>0</v>
      </c>
      <c r="I1954" t="s">
        <v>24</v>
      </c>
      <c r="J1954" t="s">
        <v>7524</v>
      </c>
      <c r="K1954" t="s">
        <v>474</v>
      </c>
      <c r="L1954" t="s">
        <v>27</v>
      </c>
      <c r="M1954" t="s">
        <v>28</v>
      </c>
      <c r="N1954" t="s">
        <v>7525</v>
      </c>
      <c r="O1954" t="s">
        <v>27</v>
      </c>
      <c r="P1954" t="s">
        <v>39</v>
      </c>
      <c r="Q1954" t="s">
        <v>31</v>
      </c>
      <c r="R1954" t="s">
        <v>32</v>
      </c>
      <c r="S1954" t="s">
        <v>28</v>
      </c>
      <c r="T1954" t="s">
        <v>7526</v>
      </c>
      <c r="U1954" t="s">
        <v>7525</v>
      </c>
    </row>
    <row r="1955" spans="1:21" x14ac:dyDescent="0.25">
      <c r="A1955" t="s">
        <v>33</v>
      </c>
      <c r="B1955" t="s">
        <v>34</v>
      </c>
      <c r="C1955">
        <v>200</v>
      </c>
      <c r="D1955">
        <v>1</v>
      </c>
      <c r="E1955">
        <v>0</v>
      </c>
      <c r="F1955" t="s">
        <v>7527</v>
      </c>
      <c r="G1955">
        <v>200</v>
      </c>
      <c r="H1955">
        <v>0</v>
      </c>
      <c r="I1955" t="s">
        <v>445</v>
      </c>
      <c r="J1955" t="s">
        <v>7528</v>
      </c>
      <c r="K1955" t="s">
        <v>237</v>
      </c>
      <c r="L1955" t="s">
        <v>27</v>
      </c>
      <c r="M1955" t="s">
        <v>28</v>
      </c>
      <c r="N1955" t="s">
        <v>7525</v>
      </c>
      <c r="O1955" t="s">
        <v>27</v>
      </c>
      <c r="P1955" t="s">
        <v>39</v>
      </c>
      <c r="Q1955" t="s">
        <v>31</v>
      </c>
      <c r="R1955" t="s">
        <v>32</v>
      </c>
      <c r="S1955" t="s">
        <v>28</v>
      </c>
      <c r="T1955" t="s">
        <v>7529</v>
      </c>
      <c r="U1955" t="s">
        <v>7525</v>
      </c>
    </row>
    <row r="1956" spans="1:21" x14ac:dyDescent="0.25">
      <c r="A1956" t="s">
        <v>143</v>
      </c>
      <c r="B1956" t="s">
        <v>144</v>
      </c>
      <c r="C1956">
        <v>200</v>
      </c>
      <c r="D1956">
        <v>1</v>
      </c>
      <c r="E1956">
        <v>0</v>
      </c>
      <c r="F1956" t="s">
        <v>7530</v>
      </c>
      <c r="G1956">
        <v>200</v>
      </c>
      <c r="H1956">
        <v>0</v>
      </c>
      <c r="I1956" t="s">
        <v>445</v>
      </c>
      <c r="J1956" t="s">
        <v>1540</v>
      </c>
      <c r="K1956" t="s">
        <v>350</v>
      </c>
      <c r="L1956" t="s">
        <v>27</v>
      </c>
      <c r="M1956" t="s">
        <v>28</v>
      </c>
      <c r="N1956" t="s">
        <v>7531</v>
      </c>
      <c r="O1956" t="s">
        <v>27</v>
      </c>
      <c r="P1956" t="s">
        <v>39</v>
      </c>
      <c r="Q1956" t="s">
        <v>31</v>
      </c>
      <c r="R1956" t="s">
        <v>32</v>
      </c>
      <c r="S1956" t="s">
        <v>28</v>
      </c>
      <c r="T1956" t="s">
        <v>7532</v>
      </c>
      <c r="U1956" t="s">
        <v>7525</v>
      </c>
    </row>
    <row r="1957" spans="1:21" x14ac:dyDescent="0.25">
      <c r="A1957" t="s">
        <v>33</v>
      </c>
      <c r="B1957" t="s">
        <v>34</v>
      </c>
      <c r="C1957">
        <v>200</v>
      </c>
      <c r="D1957">
        <v>1</v>
      </c>
      <c r="E1957">
        <v>0</v>
      </c>
      <c r="F1957" t="s">
        <v>7533</v>
      </c>
      <c r="G1957">
        <v>200</v>
      </c>
      <c r="H1957">
        <v>0</v>
      </c>
      <c r="I1957" t="s">
        <v>24</v>
      </c>
      <c r="J1957" t="s">
        <v>7534</v>
      </c>
      <c r="K1957" t="s">
        <v>183</v>
      </c>
      <c r="L1957" t="s">
        <v>27</v>
      </c>
      <c r="M1957" t="s">
        <v>28</v>
      </c>
      <c r="N1957" t="s">
        <v>7535</v>
      </c>
      <c r="O1957" t="s">
        <v>27</v>
      </c>
      <c r="P1957" t="s">
        <v>39</v>
      </c>
      <c r="Q1957" t="s">
        <v>31</v>
      </c>
      <c r="R1957" t="s">
        <v>32</v>
      </c>
      <c r="S1957" t="s">
        <v>28</v>
      </c>
      <c r="T1957" t="s">
        <v>7536</v>
      </c>
      <c r="U1957" t="s">
        <v>7535</v>
      </c>
    </row>
    <row r="1958" spans="1:21" x14ac:dyDescent="0.25">
      <c r="A1958" t="s">
        <v>134</v>
      </c>
      <c r="B1958" t="s">
        <v>64</v>
      </c>
      <c r="C1958">
        <v>100</v>
      </c>
      <c r="D1958">
        <v>2</v>
      </c>
      <c r="E1958">
        <v>0</v>
      </c>
      <c r="F1958" t="s">
        <v>7537</v>
      </c>
      <c r="G1958">
        <v>200</v>
      </c>
      <c r="H1958">
        <v>0</v>
      </c>
      <c r="I1958" t="s">
        <v>140</v>
      </c>
      <c r="J1958" t="s">
        <v>7538</v>
      </c>
      <c r="K1958" t="s">
        <v>250</v>
      </c>
      <c r="L1958" t="s">
        <v>27</v>
      </c>
      <c r="M1958" t="s">
        <v>28</v>
      </c>
      <c r="N1958" t="s">
        <v>7535</v>
      </c>
      <c r="O1958" t="s">
        <v>27</v>
      </c>
      <c r="P1958" t="s">
        <v>369</v>
      </c>
      <c r="Q1958" t="s">
        <v>31</v>
      </c>
      <c r="R1958" t="s">
        <v>57</v>
      </c>
      <c r="S1958" t="s">
        <v>28</v>
      </c>
      <c r="T1958" t="s">
        <v>7539</v>
      </c>
      <c r="U1958" t="s">
        <v>7535</v>
      </c>
    </row>
    <row r="1959" spans="1:21" x14ac:dyDescent="0.25">
      <c r="A1959" t="s">
        <v>134</v>
      </c>
      <c r="B1959" t="s">
        <v>64</v>
      </c>
      <c r="C1959">
        <v>100</v>
      </c>
      <c r="D1959">
        <v>1</v>
      </c>
      <c r="E1959">
        <v>0</v>
      </c>
      <c r="F1959" t="s">
        <v>7540</v>
      </c>
      <c r="G1959">
        <v>200</v>
      </c>
      <c r="H1959">
        <v>0</v>
      </c>
      <c r="I1959" t="s">
        <v>140</v>
      </c>
      <c r="J1959" t="s">
        <v>7541</v>
      </c>
      <c r="K1959" t="s">
        <v>711</v>
      </c>
      <c r="L1959" t="s">
        <v>27</v>
      </c>
      <c r="M1959" t="s">
        <v>28</v>
      </c>
      <c r="N1959" t="s">
        <v>7542</v>
      </c>
      <c r="O1959" t="s">
        <v>27</v>
      </c>
      <c r="P1959" t="s">
        <v>369</v>
      </c>
      <c r="Q1959" t="s">
        <v>31</v>
      </c>
      <c r="R1959" t="s">
        <v>57</v>
      </c>
      <c r="S1959" t="s">
        <v>28</v>
      </c>
      <c r="T1959" t="s">
        <v>7543</v>
      </c>
      <c r="U1959" t="s">
        <v>7544</v>
      </c>
    </row>
    <row r="1960" spans="1:21" x14ac:dyDescent="0.25">
      <c r="A1960" t="s">
        <v>63</v>
      </c>
      <c r="B1960" t="s">
        <v>64</v>
      </c>
      <c r="C1960">
        <v>100</v>
      </c>
      <c r="D1960">
        <v>1</v>
      </c>
      <c r="E1960">
        <v>0</v>
      </c>
      <c r="F1960" t="s">
        <v>7540</v>
      </c>
      <c r="G1960">
        <v>200</v>
      </c>
      <c r="H1960">
        <v>0</v>
      </c>
      <c r="I1960" t="s">
        <v>140</v>
      </c>
      <c r="J1960" t="s">
        <v>7541</v>
      </c>
      <c r="K1960" t="s">
        <v>711</v>
      </c>
      <c r="L1960" t="s">
        <v>27</v>
      </c>
      <c r="M1960" t="s">
        <v>28</v>
      </c>
      <c r="N1960" t="s">
        <v>7542</v>
      </c>
      <c r="O1960" t="s">
        <v>27</v>
      </c>
      <c r="P1960" t="s">
        <v>369</v>
      </c>
      <c r="Q1960" t="s">
        <v>31</v>
      </c>
      <c r="R1960" t="s">
        <v>57</v>
      </c>
      <c r="S1960" t="s">
        <v>28</v>
      </c>
      <c r="T1960" t="s">
        <v>7543</v>
      </c>
      <c r="U1960" t="s">
        <v>7544</v>
      </c>
    </row>
    <row r="1961" spans="1:21" x14ac:dyDescent="0.25">
      <c r="A1961" t="s">
        <v>33</v>
      </c>
      <c r="B1961" t="s">
        <v>34</v>
      </c>
      <c r="C1961">
        <v>200</v>
      </c>
      <c r="D1961">
        <v>1</v>
      </c>
      <c r="E1961">
        <v>0</v>
      </c>
      <c r="F1961" t="s">
        <v>7545</v>
      </c>
      <c r="G1961">
        <v>200</v>
      </c>
      <c r="H1961">
        <v>0</v>
      </c>
      <c r="I1961" t="s">
        <v>24</v>
      </c>
      <c r="J1961" t="s">
        <v>7546</v>
      </c>
      <c r="K1961" t="s">
        <v>73</v>
      </c>
      <c r="L1961" t="s">
        <v>27</v>
      </c>
      <c r="M1961" t="s">
        <v>28</v>
      </c>
      <c r="N1961" t="s">
        <v>7544</v>
      </c>
      <c r="O1961" t="s">
        <v>27</v>
      </c>
      <c r="P1961" t="s">
        <v>39</v>
      </c>
      <c r="Q1961" t="s">
        <v>31</v>
      </c>
      <c r="R1961" t="s">
        <v>32</v>
      </c>
      <c r="S1961" t="s">
        <v>28</v>
      </c>
      <c r="T1961" t="s">
        <v>7547</v>
      </c>
      <c r="U1961" t="s">
        <v>7544</v>
      </c>
    </row>
    <row r="1962" spans="1:21" x14ac:dyDescent="0.25">
      <c r="A1962" t="s">
        <v>143</v>
      </c>
      <c r="B1962" t="s">
        <v>144</v>
      </c>
      <c r="C1962">
        <v>200</v>
      </c>
      <c r="D1962">
        <v>1</v>
      </c>
      <c r="E1962">
        <v>0</v>
      </c>
      <c r="F1962" t="s">
        <v>7548</v>
      </c>
      <c r="G1962">
        <v>200</v>
      </c>
      <c r="H1962">
        <v>0</v>
      </c>
      <c r="I1962" t="s">
        <v>24</v>
      </c>
      <c r="J1962" t="s">
        <v>7549</v>
      </c>
      <c r="K1962" t="s">
        <v>936</v>
      </c>
      <c r="L1962" t="s">
        <v>27</v>
      </c>
      <c r="M1962" t="s">
        <v>28</v>
      </c>
      <c r="N1962" t="s">
        <v>7550</v>
      </c>
      <c r="O1962" t="s">
        <v>27</v>
      </c>
      <c r="P1962" t="s">
        <v>56</v>
      </c>
      <c r="Q1962" t="s">
        <v>31</v>
      </c>
      <c r="R1962" t="s">
        <v>57</v>
      </c>
      <c r="S1962" t="s">
        <v>28</v>
      </c>
      <c r="T1962" t="s">
        <v>7551</v>
      </c>
      <c r="U1962" t="s">
        <v>7550</v>
      </c>
    </row>
    <row r="1963" spans="1:21" x14ac:dyDescent="0.25">
      <c r="A1963" t="s">
        <v>70</v>
      </c>
      <c r="B1963" t="s">
        <v>70</v>
      </c>
      <c r="C1963">
        <v>350</v>
      </c>
      <c r="D1963">
        <v>1</v>
      </c>
      <c r="E1963">
        <v>0</v>
      </c>
      <c r="F1963" t="s">
        <v>7552</v>
      </c>
      <c r="G1963">
        <v>350</v>
      </c>
      <c r="H1963">
        <v>0</v>
      </c>
      <c r="I1963" t="s">
        <v>140</v>
      </c>
      <c r="J1963" t="s">
        <v>7553</v>
      </c>
      <c r="K1963" t="s">
        <v>241</v>
      </c>
      <c r="L1963" t="s">
        <v>27</v>
      </c>
      <c r="M1963" t="s">
        <v>28</v>
      </c>
      <c r="N1963" t="s">
        <v>7554</v>
      </c>
      <c r="O1963" t="s">
        <v>27</v>
      </c>
      <c r="P1963" t="s">
        <v>30</v>
      </c>
      <c r="Q1963" t="s">
        <v>31</v>
      </c>
      <c r="R1963" t="s">
        <v>32</v>
      </c>
      <c r="S1963" t="s">
        <v>28</v>
      </c>
      <c r="T1963" t="s">
        <v>7555</v>
      </c>
      <c r="U1963" t="s">
        <v>7556</v>
      </c>
    </row>
    <row r="1964" spans="1:21" x14ac:dyDescent="0.25">
      <c r="A1964" t="s">
        <v>143</v>
      </c>
      <c r="B1964" t="s">
        <v>144</v>
      </c>
      <c r="C1964">
        <v>200</v>
      </c>
      <c r="D1964">
        <v>1</v>
      </c>
      <c r="E1964">
        <v>0</v>
      </c>
      <c r="F1964" t="s">
        <v>7557</v>
      </c>
      <c r="G1964">
        <v>200</v>
      </c>
      <c r="H1964">
        <v>0</v>
      </c>
      <c r="I1964" t="s">
        <v>445</v>
      </c>
      <c r="J1964" t="s">
        <v>7558</v>
      </c>
      <c r="K1964" t="s">
        <v>7559</v>
      </c>
      <c r="L1964" t="s">
        <v>27</v>
      </c>
      <c r="M1964" t="s">
        <v>28</v>
      </c>
      <c r="N1964" t="s">
        <v>7560</v>
      </c>
      <c r="O1964" t="s">
        <v>27</v>
      </c>
      <c r="P1964" t="s">
        <v>39</v>
      </c>
      <c r="Q1964" t="s">
        <v>31</v>
      </c>
      <c r="R1964" t="s">
        <v>32</v>
      </c>
      <c r="S1964" t="s">
        <v>28</v>
      </c>
      <c r="T1964" t="s">
        <v>7561</v>
      </c>
      <c r="U1964" t="s">
        <v>7560</v>
      </c>
    </row>
    <row r="1965" spans="1:21" x14ac:dyDescent="0.25">
      <c r="A1965" t="s">
        <v>143</v>
      </c>
      <c r="B1965" t="s">
        <v>144</v>
      </c>
      <c r="C1965">
        <v>200</v>
      </c>
      <c r="D1965">
        <v>1</v>
      </c>
      <c r="E1965">
        <v>0</v>
      </c>
      <c r="F1965" t="s">
        <v>7562</v>
      </c>
      <c r="G1965">
        <v>200</v>
      </c>
      <c r="H1965">
        <v>0</v>
      </c>
      <c r="I1965" t="s">
        <v>24</v>
      </c>
      <c r="J1965" t="s">
        <v>7563</v>
      </c>
      <c r="K1965" t="s">
        <v>342</v>
      </c>
      <c r="L1965" t="s">
        <v>27</v>
      </c>
      <c r="M1965" t="s">
        <v>28</v>
      </c>
      <c r="N1965" t="s">
        <v>7564</v>
      </c>
      <c r="O1965" t="s">
        <v>27</v>
      </c>
      <c r="P1965" t="s">
        <v>39</v>
      </c>
      <c r="Q1965" t="s">
        <v>31</v>
      </c>
      <c r="R1965" t="s">
        <v>32</v>
      </c>
      <c r="S1965" t="s">
        <v>28</v>
      </c>
      <c r="T1965" t="s">
        <v>7565</v>
      </c>
      <c r="U1965" t="s">
        <v>7564</v>
      </c>
    </row>
    <row r="1966" spans="1:21" x14ac:dyDescent="0.25">
      <c r="A1966" t="s">
        <v>21</v>
      </c>
      <c r="B1966" t="s">
        <v>22</v>
      </c>
      <c r="C1966">
        <v>100</v>
      </c>
      <c r="D1966">
        <v>1</v>
      </c>
      <c r="E1966">
        <v>0</v>
      </c>
      <c r="F1966" t="s">
        <v>7566</v>
      </c>
      <c r="G1966">
        <v>100</v>
      </c>
      <c r="H1966">
        <v>0</v>
      </c>
      <c r="I1966" t="s">
        <v>445</v>
      </c>
      <c r="J1966" t="s">
        <v>7567</v>
      </c>
      <c r="K1966" t="s">
        <v>26</v>
      </c>
      <c r="L1966" t="s">
        <v>27</v>
      </c>
      <c r="M1966" t="s">
        <v>28</v>
      </c>
      <c r="N1966" t="s">
        <v>7564</v>
      </c>
      <c r="O1966" t="s">
        <v>27</v>
      </c>
      <c r="P1966" t="s">
        <v>39</v>
      </c>
      <c r="Q1966" t="s">
        <v>31</v>
      </c>
      <c r="R1966" t="s">
        <v>32</v>
      </c>
      <c r="S1966" t="s">
        <v>28</v>
      </c>
      <c r="T1966" t="s">
        <v>7568</v>
      </c>
      <c r="U1966" t="s">
        <v>7564</v>
      </c>
    </row>
    <row r="1967" spans="1:21" x14ac:dyDescent="0.25">
      <c r="A1967" t="s">
        <v>21</v>
      </c>
      <c r="B1967" t="s">
        <v>22</v>
      </c>
      <c r="C1967">
        <v>100</v>
      </c>
      <c r="D1967">
        <v>1</v>
      </c>
      <c r="E1967">
        <v>0</v>
      </c>
      <c r="F1967" t="s">
        <v>7569</v>
      </c>
      <c r="G1967">
        <v>106</v>
      </c>
      <c r="H1967">
        <v>6</v>
      </c>
      <c r="I1967" t="s">
        <v>24</v>
      </c>
      <c r="J1967" t="s">
        <v>7570</v>
      </c>
      <c r="K1967" t="s">
        <v>67</v>
      </c>
      <c r="L1967" t="s">
        <v>27</v>
      </c>
      <c r="M1967" t="s">
        <v>28</v>
      </c>
      <c r="N1967" t="s">
        <v>7571</v>
      </c>
      <c r="O1967" t="s">
        <v>27</v>
      </c>
      <c r="P1967" t="s">
        <v>39</v>
      </c>
      <c r="Q1967" t="s">
        <v>31</v>
      </c>
      <c r="R1967" t="s">
        <v>32</v>
      </c>
      <c r="S1967" t="s">
        <v>28</v>
      </c>
      <c r="T1967" t="s">
        <v>7572</v>
      </c>
      <c r="U1967" t="s">
        <v>7571</v>
      </c>
    </row>
    <row r="1968" spans="1:21" x14ac:dyDescent="0.25">
      <c r="A1968" t="s">
        <v>33</v>
      </c>
      <c r="B1968" t="s">
        <v>34</v>
      </c>
      <c r="C1968">
        <v>200</v>
      </c>
      <c r="D1968">
        <v>2</v>
      </c>
      <c r="E1968">
        <v>0</v>
      </c>
      <c r="F1968" t="s">
        <v>7573</v>
      </c>
      <c r="G1968">
        <v>400</v>
      </c>
      <c r="H1968">
        <v>0</v>
      </c>
      <c r="I1968" t="s">
        <v>24</v>
      </c>
      <c r="J1968" t="s">
        <v>7574</v>
      </c>
      <c r="K1968" t="s">
        <v>7575</v>
      </c>
      <c r="L1968" t="s">
        <v>27</v>
      </c>
      <c r="M1968" t="s">
        <v>28</v>
      </c>
      <c r="N1968" t="s">
        <v>7576</v>
      </c>
      <c r="O1968" t="s">
        <v>27</v>
      </c>
      <c r="P1968" t="s">
        <v>39</v>
      </c>
      <c r="Q1968" t="s">
        <v>31</v>
      </c>
      <c r="R1968" t="s">
        <v>32</v>
      </c>
      <c r="S1968" t="s">
        <v>28</v>
      </c>
      <c r="T1968" t="s">
        <v>7577</v>
      </c>
      <c r="U1968" t="s">
        <v>7576</v>
      </c>
    </row>
    <row r="1969" spans="1:21" x14ac:dyDescent="0.25">
      <c r="A1969" t="s">
        <v>21</v>
      </c>
      <c r="B1969" t="s">
        <v>22</v>
      </c>
      <c r="C1969">
        <v>100</v>
      </c>
      <c r="D1969">
        <v>1</v>
      </c>
      <c r="E1969">
        <v>0</v>
      </c>
      <c r="F1969" t="s">
        <v>7578</v>
      </c>
      <c r="G1969">
        <v>145</v>
      </c>
      <c r="H1969">
        <v>45</v>
      </c>
      <c r="I1969" t="s">
        <v>24</v>
      </c>
      <c r="J1969" t="s">
        <v>7579</v>
      </c>
      <c r="K1969" t="s">
        <v>936</v>
      </c>
      <c r="L1969" t="s">
        <v>27</v>
      </c>
      <c r="M1969" t="s">
        <v>28</v>
      </c>
      <c r="N1969" t="s">
        <v>7580</v>
      </c>
      <c r="O1969" t="s">
        <v>27</v>
      </c>
      <c r="P1969" t="s">
        <v>56</v>
      </c>
      <c r="Q1969" t="s">
        <v>31</v>
      </c>
      <c r="R1969" t="s">
        <v>57</v>
      </c>
      <c r="S1969" t="s">
        <v>28</v>
      </c>
      <c r="T1969" t="s">
        <v>7581</v>
      </c>
      <c r="U1969" t="s">
        <v>7580</v>
      </c>
    </row>
    <row r="1970" spans="1:21" x14ac:dyDescent="0.25">
      <c r="A1970" t="s">
        <v>33</v>
      </c>
      <c r="B1970" t="s">
        <v>34</v>
      </c>
      <c r="C1970">
        <v>200</v>
      </c>
      <c r="D1970">
        <v>1</v>
      </c>
      <c r="E1970">
        <v>0</v>
      </c>
      <c r="F1970" t="s">
        <v>7582</v>
      </c>
      <c r="G1970">
        <v>200</v>
      </c>
      <c r="H1970">
        <v>0</v>
      </c>
      <c r="I1970" t="s">
        <v>24</v>
      </c>
      <c r="J1970" t="s">
        <v>7583</v>
      </c>
      <c r="K1970" t="s">
        <v>67</v>
      </c>
      <c r="L1970" t="s">
        <v>27</v>
      </c>
      <c r="M1970" t="s">
        <v>28</v>
      </c>
      <c r="N1970" t="s">
        <v>7580</v>
      </c>
      <c r="O1970" t="s">
        <v>27</v>
      </c>
      <c r="P1970" t="s">
        <v>39</v>
      </c>
      <c r="Q1970" t="s">
        <v>31</v>
      </c>
      <c r="R1970" t="s">
        <v>32</v>
      </c>
      <c r="S1970" t="s">
        <v>28</v>
      </c>
      <c r="T1970" t="s">
        <v>7584</v>
      </c>
      <c r="U1970" t="s">
        <v>7580</v>
      </c>
    </row>
    <row r="1971" spans="1:21" x14ac:dyDescent="0.25">
      <c r="A1971" t="s">
        <v>21</v>
      </c>
      <c r="B1971" t="s">
        <v>22</v>
      </c>
      <c r="C1971">
        <v>100</v>
      </c>
      <c r="D1971">
        <v>1</v>
      </c>
      <c r="E1971">
        <v>0</v>
      </c>
      <c r="F1971" t="s">
        <v>7585</v>
      </c>
      <c r="G1971">
        <v>100</v>
      </c>
      <c r="H1971">
        <v>0</v>
      </c>
      <c r="I1971" t="s">
        <v>24</v>
      </c>
      <c r="J1971" t="s">
        <v>7586</v>
      </c>
      <c r="K1971" t="s">
        <v>247</v>
      </c>
      <c r="L1971" t="s">
        <v>27</v>
      </c>
      <c r="M1971" t="s">
        <v>28</v>
      </c>
      <c r="N1971" t="s">
        <v>7587</v>
      </c>
      <c r="O1971" t="s">
        <v>27</v>
      </c>
      <c r="P1971" t="s">
        <v>39</v>
      </c>
      <c r="Q1971" t="s">
        <v>31</v>
      </c>
      <c r="R1971" t="s">
        <v>32</v>
      </c>
      <c r="S1971" t="s">
        <v>28</v>
      </c>
      <c r="T1971" t="s">
        <v>7588</v>
      </c>
      <c r="U1971" t="s">
        <v>7587</v>
      </c>
    </row>
    <row r="1972" spans="1:21" x14ac:dyDescent="0.25">
      <c r="A1972" t="s">
        <v>33</v>
      </c>
      <c r="B1972" t="s">
        <v>34</v>
      </c>
      <c r="C1972">
        <v>200</v>
      </c>
      <c r="D1972">
        <v>1</v>
      </c>
      <c r="E1972">
        <v>0</v>
      </c>
      <c r="F1972" t="s">
        <v>7589</v>
      </c>
      <c r="G1972">
        <v>200</v>
      </c>
      <c r="H1972">
        <v>0</v>
      </c>
      <c r="I1972" t="s">
        <v>24</v>
      </c>
      <c r="J1972" t="s">
        <v>7590</v>
      </c>
      <c r="K1972" t="s">
        <v>311</v>
      </c>
      <c r="L1972" t="s">
        <v>27</v>
      </c>
      <c r="M1972" t="s">
        <v>28</v>
      </c>
      <c r="N1972" t="s">
        <v>7591</v>
      </c>
      <c r="O1972" t="s">
        <v>27</v>
      </c>
      <c r="P1972" t="s">
        <v>56</v>
      </c>
      <c r="Q1972" t="s">
        <v>31</v>
      </c>
      <c r="R1972" t="s">
        <v>57</v>
      </c>
      <c r="S1972" t="s">
        <v>28</v>
      </c>
      <c r="T1972" t="s">
        <v>7592</v>
      </c>
      <c r="U1972" t="s">
        <v>7591</v>
      </c>
    </row>
    <row r="1973" spans="1:21" x14ac:dyDescent="0.25">
      <c r="A1973" t="s">
        <v>21</v>
      </c>
      <c r="B1973" t="s">
        <v>22</v>
      </c>
      <c r="C1973">
        <v>100</v>
      </c>
      <c r="D1973">
        <v>1</v>
      </c>
      <c r="E1973">
        <v>0</v>
      </c>
      <c r="F1973" t="s">
        <v>7593</v>
      </c>
      <c r="G1973">
        <v>100</v>
      </c>
      <c r="H1973">
        <v>0</v>
      </c>
      <c r="I1973" t="s">
        <v>24</v>
      </c>
      <c r="J1973" t="s">
        <v>7594</v>
      </c>
      <c r="K1973" t="s">
        <v>491</v>
      </c>
      <c r="L1973" t="s">
        <v>27</v>
      </c>
      <c r="M1973" t="s">
        <v>28</v>
      </c>
      <c r="N1973" t="s">
        <v>7591</v>
      </c>
      <c r="O1973" t="s">
        <v>27</v>
      </c>
      <c r="P1973" t="s">
        <v>39</v>
      </c>
      <c r="Q1973" t="s">
        <v>31</v>
      </c>
      <c r="R1973" t="s">
        <v>32</v>
      </c>
      <c r="S1973" t="s">
        <v>28</v>
      </c>
      <c r="T1973" t="s">
        <v>7595</v>
      </c>
      <c r="U1973" t="s">
        <v>7591</v>
      </c>
    </row>
    <row r="1974" spans="1:21" x14ac:dyDescent="0.25">
      <c r="A1974" t="s">
        <v>63</v>
      </c>
      <c r="B1974" t="s">
        <v>64</v>
      </c>
      <c r="C1974">
        <v>100</v>
      </c>
      <c r="D1974">
        <v>1</v>
      </c>
      <c r="E1974">
        <v>0</v>
      </c>
      <c r="F1974" t="s">
        <v>7596</v>
      </c>
      <c r="G1974">
        <v>106</v>
      </c>
      <c r="H1974">
        <v>6</v>
      </c>
      <c r="I1974" t="s">
        <v>24</v>
      </c>
      <c r="J1974" t="s">
        <v>7597</v>
      </c>
      <c r="K1974" t="s">
        <v>54</v>
      </c>
      <c r="L1974" t="s">
        <v>27</v>
      </c>
      <c r="M1974" t="s">
        <v>28</v>
      </c>
      <c r="N1974" t="s">
        <v>7598</v>
      </c>
      <c r="O1974" t="s">
        <v>27</v>
      </c>
      <c r="P1974" t="s">
        <v>39</v>
      </c>
      <c r="Q1974" t="s">
        <v>31</v>
      </c>
      <c r="R1974" t="s">
        <v>32</v>
      </c>
      <c r="S1974" t="s">
        <v>28</v>
      </c>
      <c r="T1974" t="s">
        <v>7599</v>
      </c>
      <c r="U1974" t="s">
        <v>7598</v>
      </c>
    </row>
    <row r="1975" spans="1:21" x14ac:dyDescent="0.25">
      <c r="A1975" t="s">
        <v>143</v>
      </c>
      <c r="B1975" t="s">
        <v>144</v>
      </c>
      <c r="C1975">
        <v>200</v>
      </c>
      <c r="D1975">
        <v>1</v>
      </c>
      <c r="E1975">
        <v>0</v>
      </c>
      <c r="F1975" t="s">
        <v>7600</v>
      </c>
      <c r="G1975">
        <v>200</v>
      </c>
      <c r="H1975">
        <v>0</v>
      </c>
      <c r="I1975" t="s">
        <v>445</v>
      </c>
      <c r="J1975" t="s">
        <v>7601</v>
      </c>
      <c r="K1975" t="s">
        <v>37</v>
      </c>
      <c r="L1975" t="s">
        <v>27</v>
      </c>
      <c r="M1975" t="s">
        <v>28</v>
      </c>
      <c r="N1975" t="s">
        <v>7602</v>
      </c>
      <c r="O1975" t="s">
        <v>27</v>
      </c>
      <c r="P1975" t="s">
        <v>39</v>
      </c>
      <c r="Q1975" t="s">
        <v>31</v>
      </c>
      <c r="R1975" t="s">
        <v>32</v>
      </c>
      <c r="S1975" t="s">
        <v>28</v>
      </c>
      <c r="T1975" t="s">
        <v>7603</v>
      </c>
      <c r="U1975" t="s">
        <v>7604</v>
      </c>
    </row>
    <row r="1976" spans="1:21" x14ac:dyDescent="0.25">
      <c r="A1976" t="s">
        <v>134</v>
      </c>
      <c r="B1976" t="s">
        <v>64</v>
      </c>
      <c r="C1976">
        <v>100</v>
      </c>
      <c r="D1976">
        <v>1</v>
      </c>
      <c r="E1976">
        <v>0</v>
      </c>
      <c r="F1976" t="s">
        <v>7605</v>
      </c>
      <c r="G1976">
        <v>106</v>
      </c>
      <c r="H1976">
        <v>6</v>
      </c>
      <c r="I1976" t="s">
        <v>445</v>
      </c>
      <c r="J1976" t="s">
        <v>7606</v>
      </c>
      <c r="K1976" t="s">
        <v>241</v>
      </c>
      <c r="L1976" t="s">
        <v>27</v>
      </c>
      <c r="M1976" t="s">
        <v>28</v>
      </c>
      <c r="N1976" t="s">
        <v>7604</v>
      </c>
      <c r="O1976" t="s">
        <v>27</v>
      </c>
      <c r="P1976" t="s">
        <v>56</v>
      </c>
      <c r="Q1976" t="s">
        <v>31</v>
      </c>
      <c r="R1976" t="s">
        <v>57</v>
      </c>
      <c r="S1976" t="s">
        <v>28</v>
      </c>
      <c r="T1976" t="s">
        <v>7607</v>
      </c>
      <c r="U1976" t="s">
        <v>7602</v>
      </c>
    </row>
    <row r="1977" spans="1:21" x14ac:dyDescent="0.25">
      <c r="A1977" t="s">
        <v>456</v>
      </c>
      <c r="B1977" t="s">
        <v>457</v>
      </c>
      <c r="C1977">
        <v>199</v>
      </c>
      <c r="D1977">
        <v>1</v>
      </c>
      <c r="E1977">
        <v>0</v>
      </c>
      <c r="F1977" t="s">
        <v>7608</v>
      </c>
      <c r="G1977">
        <v>199</v>
      </c>
      <c r="H1977">
        <v>0</v>
      </c>
      <c r="I1977" t="s">
        <v>24</v>
      </c>
      <c r="J1977" t="s">
        <v>7609</v>
      </c>
      <c r="K1977" t="s">
        <v>7610</v>
      </c>
      <c r="L1977" t="s">
        <v>1377</v>
      </c>
      <c r="M1977" t="s">
        <v>7611</v>
      </c>
      <c r="N1977" t="s">
        <v>7612</v>
      </c>
      <c r="O1977" t="s">
        <v>27</v>
      </c>
      <c r="P1977" t="s">
        <v>193</v>
      </c>
      <c r="Q1977" t="s">
        <v>85</v>
      </c>
      <c r="R1977" t="s">
        <v>86</v>
      </c>
      <c r="S1977" t="s">
        <v>28</v>
      </c>
      <c r="T1977" t="s">
        <v>7613</v>
      </c>
      <c r="U1977" t="s">
        <v>7602</v>
      </c>
    </row>
    <row r="1978" spans="1:21" x14ac:dyDescent="0.25">
      <c r="A1978" t="s">
        <v>58</v>
      </c>
      <c r="B1978" t="s">
        <v>58</v>
      </c>
      <c r="C1978">
        <v>100</v>
      </c>
      <c r="D1978">
        <v>1</v>
      </c>
      <c r="E1978">
        <v>0</v>
      </c>
      <c r="F1978" t="s">
        <v>7614</v>
      </c>
      <c r="G1978">
        <v>100</v>
      </c>
      <c r="H1978">
        <v>0</v>
      </c>
      <c r="I1978" t="s">
        <v>24</v>
      </c>
      <c r="J1978" t="s">
        <v>7615</v>
      </c>
      <c r="K1978" t="s">
        <v>247</v>
      </c>
      <c r="L1978" t="s">
        <v>27</v>
      </c>
      <c r="M1978" t="s">
        <v>28</v>
      </c>
      <c r="N1978" t="s">
        <v>7616</v>
      </c>
      <c r="O1978" t="s">
        <v>27</v>
      </c>
      <c r="P1978" t="s">
        <v>39</v>
      </c>
      <c r="Q1978" t="s">
        <v>31</v>
      </c>
      <c r="R1978" t="s">
        <v>32</v>
      </c>
      <c r="S1978" t="s">
        <v>28</v>
      </c>
      <c r="T1978" t="s">
        <v>7617</v>
      </c>
      <c r="U1978" t="s">
        <v>7616</v>
      </c>
    </row>
    <row r="1979" spans="1:21" x14ac:dyDescent="0.25">
      <c r="A1979" t="s">
        <v>2873</v>
      </c>
      <c r="B1979" t="s">
        <v>3106</v>
      </c>
      <c r="C1979">
        <v>225.3</v>
      </c>
      <c r="D1979">
        <v>1</v>
      </c>
      <c r="E1979">
        <v>0</v>
      </c>
      <c r="F1979" t="s">
        <v>7618</v>
      </c>
      <c r="G1979">
        <v>225.3</v>
      </c>
      <c r="H1979">
        <v>0</v>
      </c>
      <c r="I1979" t="s">
        <v>720</v>
      </c>
      <c r="J1979" t="s">
        <v>7619</v>
      </c>
      <c r="K1979" t="s">
        <v>7620</v>
      </c>
      <c r="L1979" t="s">
        <v>7621</v>
      </c>
      <c r="M1979" t="s">
        <v>7622</v>
      </c>
      <c r="N1979" t="s">
        <v>7623</v>
      </c>
      <c r="O1979" t="s">
        <v>27</v>
      </c>
      <c r="P1979" t="s">
        <v>48</v>
      </c>
      <c r="Q1979" t="s">
        <v>49</v>
      </c>
      <c r="R1979" t="s">
        <v>50</v>
      </c>
      <c r="S1979" t="s">
        <v>28</v>
      </c>
      <c r="T1979" t="s">
        <v>7624</v>
      </c>
      <c r="U1979" t="s">
        <v>7623</v>
      </c>
    </row>
    <row r="1980" spans="1:21" x14ac:dyDescent="0.25">
      <c r="A1980" t="s">
        <v>33</v>
      </c>
      <c r="B1980" t="s">
        <v>34</v>
      </c>
      <c r="C1980">
        <v>200</v>
      </c>
      <c r="D1980">
        <v>1</v>
      </c>
      <c r="E1980">
        <v>0</v>
      </c>
      <c r="F1980" t="s">
        <v>7625</v>
      </c>
      <c r="G1980">
        <v>200</v>
      </c>
      <c r="H1980">
        <v>0</v>
      </c>
      <c r="I1980" t="s">
        <v>24</v>
      </c>
      <c r="J1980" t="s">
        <v>7626</v>
      </c>
      <c r="K1980" t="s">
        <v>321</v>
      </c>
      <c r="L1980" t="s">
        <v>27</v>
      </c>
      <c r="M1980" t="s">
        <v>28</v>
      </c>
      <c r="N1980" t="s">
        <v>7623</v>
      </c>
      <c r="O1980" t="s">
        <v>27</v>
      </c>
      <c r="P1980" t="s">
        <v>39</v>
      </c>
      <c r="Q1980" t="s">
        <v>31</v>
      </c>
      <c r="R1980" t="s">
        <v>32</v>
      </c>
      <c r="S1980" t="s">
        <v>28</v>
      </c>
      <c r="T1980" t="s">
        <v>7627</v>
      </c>
      <c r="U1980" t="s">
        <v>7623</v>
      </c>
    </row>
    <row r="1981" spans="1:21" x14ac:dyDescent="0.25">
      <c r="A1981" t="s">
        <v>33</v>
      </c>
      <c r="B1981" t="s">
        <v>34</v>
      </c>
      <c r="C1981">
        <v>200</v>
      </c>
      <c r="D1981">
        <v>1</v>
      </c>
      <c r="E1981">
        <v>0</v>
      </c>
      <c r="F1981" t="s">
        <v>7628</v>
      </c>
      <c r="G1981">
        <v>200</v>
      </c>
      <c r="H1981">
        <v>0</v>
      </c>
      <c r="I1981" t="s">
        <v>24</v>
      </c>
      <c r="J1981" t="s">
        <v>7629</v>
      </c>
      <c r="K1981" t="s">
        <v>250</v>
      </c>
      <c r="L1981" t="s">
        <v>27</v>
      </c>
      <c r="M1981" t="s">
        <v>28</v>
      </c>
      <c r="N1981" t="s">
        <v>7630</v>
      </c>
      <c r="O1981" t="s">
        <v>27</v>
      </c>
      <c r="P1981" t="s">
        <v>39</v>
      </c>
      <c r="Q1981" t="s">
        <v>31</v>
      </c>
      <c r="R1981" t="s">
        <v>32</v>
      </c>
      <c r="S1981" t="s">
        <v>28</v>
      </c>
      <c r="T1981" t="s">
        <v>7631</v>
      </c>
      <c r="U1981" t="s">
        <v>7630</v>
      </c>
    </row>
    <row r="1982" spans="1:21" x14ac:dyDescent="0.25">
      <c r="A1982" t="s">
        <v>21</v>
      </c>
      <c r="B1982" t="s">
        <v>22</v>
      </c>
      <c r="C1982">
        <v>100</v>
      </c>
      <c r="D1982">
        <v>1</v>
      </c>
      <c r="E1982">
        <v>0</v>
      </c>
      <c r="F1982" t="s">
        <v>7632</v>
      </c>
      <c r="G1982">
        <v>100</v>
      </c>
      <c r="H1982">
        <v>0</v>
      </c>
      <c r="I1982" t="s">
        <v>445</v>
      </c>
      <c r="J1982" t="s">
        <v>7633</v>
      </c>
      <c r="K1982" t="s">
        <v>2243</v>
      </c>
      <c r="L1982" t="s">
        <v>27</v>
      </c>
      <c r="M1982" t="s">
        <v>28</v>
      </c>
      <c r="N1982" t="s">
        <v>7634</v>
      </c>
      <c r="O1982" t="s">
        <v>27</v>
      </c>
      <c r="P1982" t="s">
        <v>39</v>
      </c>
      <c r="Q1982" t="s">
        <v>31</v>
      </c>
      <c r="R1982" t="s">
        <v>32</v>
      </c>
      <c r="S1982" t="s">
        <v>28</v>
      </c>
      <c r="T1982" t="s">
        <v>7635</v>
      </c>
      <c r="U1982" t="s">
        <v>7634</v>
      </c>
    </row>
    <row r="1983" spans="1:21" x14ac:dyDescent="0.25">
      <c r="A1983" t="s">
        <v>2295</v>
      </c>
      <c r="B1983" t="s">
        <v>2854</v>
      </c>
      <c r="C1983">
        <v>170.5</v>
      </c>
      <c r="D1983">
        <v>1</v>
      </c>
      <c r="E1983">
        <v>0</v>
      </c>
      <c r="F1983" t="s">
        <v>7636</v>
      </c>
      <c r="G1983">
        <v>175.5</v>
      </c>
      <c r="H1983">
        <v>5</v>
      </c>
      <c r="I1983" t="s">
        <v>2856</v>
      </c>
      <c r="J1983" t="s">
        <v>7637</v>
      </c>
      <c r="K1983" t="s">
        <v>7638</v>
      </c>
      <c r="L1983" t="s">
        <v>666</v>
      </c>
      <c r="M1983" t="s">
        <v>7639</v>
      </c>
      <c r="N1983" t="s">
        <v>7634</v>
      </c>
      <c r="O1983" t="s">
        <v>27</v>
      </c>
      <c r="P1983" t="s">
        <v>48</v>
      </c>
      <c r="Q1983" t="s">
        <v>49</v>
      </c>
      <c r="R1983" t="s">
        <v>50</v>
      </c>
      <c r="S1983" t="s">
        <v>28</v>
      </c>
      <c r="T1983" t="s">
        <v>7640</v>
      </c>
      <c r="U1983" t="s">
        <v>7634</v>
      </c>
    </row>
    <row r="1984" spans="1:21" x14ac:dyDescent="0.25">
      <c r="A1984" t="s">
        <v>134</v>
      </c>
      <c r="B1984" t="s">
        <v>64</v>
      </c>
      <c r="C1984">
        <v>100</v>
      </c>
      <c r="D1984">
        <v>3</v>
      </c>
      <c r="E1984">
        <v>0</v>
      </c>
      <c r="F1984" t="s">
        <v>7641</v>
      </c>
      <c r="G1984">
        <v>300</v>
      </c>
      <c r="H1984">
        <v>0</v>
      </c>
      <c r="I1984" t="s">
        <v>140</v>
      </c>
      <c r="J1984" t="s">
        <v>7642</v>
      </c>
      <c r="K1984" t="s">
        <v>758</v>
      </c>
      <c r="L1984" t="s">
        <v>27</v>
      </c>
      <c r="M1984" t="s">
        <v>28</v>
      </c>
      <c r="N1984" t="s">
        <v>7643</v>
      </c>
      <c r="O1984" t="s">
        <v>27</v>
      </c>
      <c r="P1984" t="s">
        <v>30</v>
      </c>
      <c r="Q1984" t="s">
        <v>31</v>
      </c>
      <c r="R1984" t="s">
        <v>32</v>
      </c>
      <c r="S1984" t="s">
        <v>28</v>
      </c>
      <c r="T1984" t="s">
        <v>7644</v>
      </c>
      <c r="U1984" t="s">
        <v>7634</v>
      </c>
    </row>
    <row r="1985" spans="1:21" x14ac:dyDescent="0.25">
      <c r="A1985" t="s">
        <v>33</v>
      </c>
      <c r="B1985" t="s">
        <v>34</v>
      </c>
      <c r="C1985">
        <v>200</v>
      </c>
      <c r="D1985">
        <v>1</v>
      </c>
      <c r="E1985">
        <v>0</v>
      </c>
      <c r="F1985" t="s">
        <v>7645</v>
      </c>
      <c r="G1985">
        <v>200</v>
      </c>
      <c r="H1985">
        <v>0</v>
      </c>
      <c r="I1985" t="s">
        <v>445</v>
      </c>
      <c r="J1985" t="s">
        <v>7646</v>
      </c>
      <c r="K1985" t="s">
        <v>273</v>
      </c>
      <c r="L1985" t="s">
        <v>27</v>
      </c>
      <c r="M1985" t="s">
        <v>28</v>
      </c>
      <c r="N1985" t="s">
        <v>7643</v>
      </c>
      <c r="O1985" t="s">
        <v>27</v>
      </c>
      <c r="P1985" t="s">
        <v>39</v>
      </c>
      <c r="Q1985" t="s">
        <v>31</v>
      </c>
      <c r="R1985" t="s">
        <v>32</v>
      </c>
      <c r="S1985" t="s">
        <v>28</v>
      </c>
      <c r="T1985" t="s">
        <v>7647</v>
      </c>
      <c r="U1985" t="s">
        <v>7634</v>
      </c>
    </row>
    <row r="1986" spans="1:21" x14ac:dyDescent="0.25">
      <c r="A1986" t="s">
        <v>143</v>
      </c>
      <c r="B1986" t="s">
        <v>144</v>
      </c>
      <c r="C1986">
        <v>200</v>
      </c>
      <c r="D1986">
        <v>1</v>
      </c>
      <c r="E1986">
        <v>0</v>
      </c>
      <c r="F1986" t="s">
        <v>7648</v>
      </c>
      <c r="G1986">
        <v>200</v>
      </c>
      <c r="H1986">
        <v>0</v>
      </c>
      <c r="I1986" t="s">
        <v>445</v>
      </c>
      <c r="J1986" t="s">
        <v>7649</v>
      </c>
      <c r="K1986" t="s">
        <v>89</v>
      </c>
      <c r="L1986" t="s">
        <v>27</v>
      </c>
      <c r="M1986" t="s">
        <v>28</v>
      </c>
      <c r="N1986" t="s">
        <v>7650</v>
      </c>
      <c r="O1986" t="s">
        <v>27</v>
      </c>
      <c r="P1986" t="s">
        <v>39</v>
      </c>
      <c r="Q1986" t="s">
        <v>31</v>
      </c>
      <c r="R1986" t="s">
        <v>32</v>
      </c>
      <c r="S1986" t="s">
        <v>28</v>
      </c>
      <c r="T1986" t="s">
        <v>7651</v>
      </c>
      <c r="U1986" t="s">
        <v>7650</v>
      </c>
    </row>
    <row r="1987" spans="1:21" x14ac:dyDescent="0.25">
      <c r="A1987" t="s">
        <v>21</v>
      </c>
      <c r="B1987" t="s">
        <v>22</v>
      </c>
      <c r="C1987">
        <v>100</v>
      </c>
      <c r="D1987">
        <v>1</v>
      </c>
      <c r="E1987">
        <v>0</v>
      </c>
      <c r="F1987" t="s">
        <v>7652</v>
      </c>
      <c r="G1987">
        <v>100</v>
      </c>
      <c r="H1987">
        <v>0</v>
      </c>
      <c r="I1987" t="s">
        <v>140</v>
      </c>
      <c r="J1987" t="s">
        <v>7653</v>
      </c>
      <c r="K1987" t="s">
        <v>474</v>
      </c>
      <c r="L1987" t="s">
        <v>27</v>
      </c>
      <c r="M1987" t="s">
        <v>28</v>
      </c>
      <c r="N1987" t="s">
        <v>7654</v>
      </c>
      <c r="O1987" t="s">
        <v>27</v>
      </c>
      <c r="P1987" t="s">
        <v>369</v>
      </c>
      <c r="Q1987" t="s">
        <v>31</v>
      </c>
      <c r="R1987" t="s">
        <v>57</v>
      </c>
      <c r="S1987" t="s">
        <v>28</v>
      </c>
      <c r="T1987" t="s">
        <v>7655</v>
      </c>
      <c r="U1987" t="s">
        <v>7656</v>
      </c>
    </row>
    <row r="1988" spans="1:21" x14ac:dyDescent="0.25">
      <c r="A1988" t="s">
        <v>63</v>
      </c>
      <c r="B1988" t="s">
        <v>64</v>
      </c>
      <c r="C1988">
        <v>100</v>
      </c>
      <c r="D1988">
        <v>1</v>
      </c>
      <c r="E1988">
        <v>0</v>
      </c>
      <c r="F1988" t="s">
        <v>7657</v>
      </c>
      <c r="G1988">
        <v>100</v>
      </c>
      <c r="H1988">
        <v>0</v>
      </c>
      <c r="I1988" t="s">
        <v>24</v>
      </c>
      <c r="J1988" t="s">
        <v>7658</v>
      </c>
      <c r="K1988" t="s">
        <v>491</v>
      </c>
      <c r="L1988" t="s">
        <v>27</v>
      </c>
      <c r="M1988" t="s">
        <v>28</v>
      </c>
      <c r="N1988" t="s">
        <v>7656</v>
      </c>
      <c r="O1988" t="s">
        <v>27</v>
      </c>
      <c r="P1988" t="s">
        <v>56</v>
      </c>
      <c r="Q1988" t="s">
        <v>31</v>
      </c>
      <c r="R1988" t="s">
        <v>57</v>
      </c>
      <c r="S1988" t="s">
        <v>28</v>
      </c>
      <c r="T1988" t="s">
        <v>7659</v>
      </c>
      <c r="U1988" t="s">
        <v>7660</v>
      </c>
    </row>
    <row r="1989" spans="1:21" x14ac:dyDescent="0.25">
      <c r="A1989" t="s">
        <v>33</v>
      </c>
      <c r="B1989" t="s">
        <v>34</v>
      </c>
      <c r="C1989">
        <v>200</v>
      </c>
      <c r="D1989">
        <v>1</v>
      </c>
      <c r="E1989">
        <v>0</v>
      </c>
      <c r="F1989" t="s">
        <v>7661</v>
      </c>
      <c r="G1989">
        <v>200</v>
      </c>
      <c r="H1989">
        <v>0</v>
      </c>
      <c r="I1989" t="s">
        <v>24</v>
      </c>
      <c r="J1989" t="s">
        <v>7662</v>
      </c>
      <c r="K1989" t="s">
        <v>594</v>
      </c>
      <c r="L1989" t="s">
        <v>27</v>
      </c>
      <c r="M1989" t="s">
        <v>28</v>
      </c>
      <c r="N1989" t="s">
        <v>7663</v>
      </c>
      <c r="O1989" t="s">
        <v>27</v>
      </c>
      <c r="P1989" t="s">
        <v>39</v>
      </c>
      <c r="Q1989" t="s">
        <v>31</v>
      </c>
      <c r="R1989" t="s">
        <v>32</v>
      </c>
      <c r="S1989" t="s">
        <v>28</v>
      </c>
      <c r="T1989" t="s">
        <v>7664</v>
      </c>
      <c r="U1989" t="s">
        <v>7663</v>
      </c>
    </row>
    <row r="1990" spans="1:21" x14ac:dyDescent="0.25">
      <c r="A1990" t="s">
        <v>33</v>
      </c>
      <c r="B1990" t="s">
        <v>34</v>
      </c>
      <c r="C1990">
        <v>200</v>
      </c>
      <c r="D1990">
        <v>1</v>
      </c>
      <c r="E1990">
        <v>0</v>
      </c>
      <c r="F1990" t="s">
        <v>7665</v>
      </c>
      <c r="G1990">
        <v>200</v>
      </c>
      <c r="H1990">
        <v>0</v>
      </c>
      <c r="I1990" t="s">
        <v>24</v>
      </c>
      <c r="J1990" t="s">
        <v>7666</v>
      </c>
      <c r="K1990" t="s">
        <v>89</v>
      </c>
      <c r="L1990" t="s">
        <v>27</v>
      </c>
      <c r="M1990" t="s">
        <v>28</v>
      </c>
      <c r="N1990" t="s">
        <v>7667</v>
      </c>
      <c r="O1990" t="s">
        <v>27</v>
      </c>
      <c r="P1990" t="s">
        <v>39</v>
      </c>
      <c r="Q1990" t="s">
        <v>31</v>
      </c>
      <c r="R1990" t="s">
        <v>32</v>
      </c>
      <c r="S1990" t="s">
        <v>28</v>
      </c>
      <c r="T1990" t="s">
        <v>7668</v>
      </c>
      <c r="U1990" t="s">
        <v>7667</v>
      </c>
    </row>
    <row r="1991" spans="1:21" x14ac:dyDescent="0.25">
      <c r="A1991" t="s">
        <v>2295</v>
      </c>
      <c r="B1991" t="s">
        <v>3286</v>
      </c>
      <c r="C1991">
        <v>199</v>
      </c>
      <c r="D1991">
        <v>1</v>
      </c>
      <c r="E1991">
        <v>0</v>
      </c>
      <c r="F1991" t="s">
        <v>7669</v>
      </c>
      <c r="G1991">
        <v>240</v>
      </c>
      <c r="H1991">
        <v>41</v>
      </c>
      <c r="I1991" t="s">
        <v>24</v>
      </c>
      <c r="J1991" t="s">
        <v>7670</v>
      </c>
      <c r="K1991" t="s">
        <v>7671</v>
      </c>
      <c r="L1991" t="s">
        <v>7672</v>
      </c>
      <c r="M1991" t="s">
        <v>6681</v>
      </c>
      <c r="N1991" t="s">
        <v>7554</v>
      </c>
      <c r="O1991" t="s">
        <v>27</v>
      </c>
      <c r="P1991" t="s">
        <v>193</v>
      </c>
      <c r="Q1991" t="s">
        <v>85</v>
      </c>
      <c r="R1991" t="s">
        <v>86</v>
      </c>
      <c r="S1991" t="s">
        <v>28</v>
      </c>
      <c r="T1991" t="s">
        <v>7673</v>
      </c>
      <c r="U1991" t="s">
        <v>7667</v>
      </c>
    </row>
    <row r="1992" spans="1:21" x14ac:dyDescent="0.25">
      <c r="A1992" t="s">
        <v>21</v>
      </c>
      <c r="B1992" t="s">
        <v>22</v>
      </c>
      <c r="C1992">
        <v>100</v>
      </c>
      <c r="D1992">
        <v>1</v>
      </c>
      <c r="E1992">
        <v>0</v>
      </c>
      <c r="F1992" t="s">
        <v>7674</v>
      </c>
      <c r="G1992">
        <v>290</v>
      </c>
      <c r="H1992">
        <v>0</v>
      </c>
      <c r="I1992" t="s">
        <v>445</v>
      </c>
      <c r="J1992" t="s">
        <v>7675</v>
      </c>
      <c r="K1992" t="s">
        <v>237</v>
      </c>
      <c r="L1992" t="s">
        <v>27</v>
      </c>
      <c r="M1992" t="s">
        <v>28</v>
      </c>
      <c r="N1992" t="s">
        <v>7667</v>
      </c>
      <c r="O1992" t="s">
        <v>27</v>
      </c>
      <c r="P1992" t="s">
        <v>39</v>
      </c>
      <c r="Q1992" t="s">
        <v>31</v>
      </c>
      <c r="R1992" t="s">
        <v>32</v>
      </c>
      <c r="S1992" t="s">
        <v>28</v>
      </c>
      <c r="T1992" t="s">
        <v>7676</v>
      </c>
      <c r="U1992" t="s">
        <v>7667</v>
      </c>
    </row>
    <row r="1993" spans="1:21" x14ac:dyDescent="0.25">
      <c r="A1993" t="s">
        <v>3543</v>
      </c>
      <c r="B1993" t="s">
        <v>3544</v>
      </c>
      <c r="C1993">
        <v>342</v>
      </c>
      <c r="D1993">
        <v>1</v>
      </c>
      <c r="E1993">
        <v>0</v>
      </c>
      <c r="F1993" t="s">
        <v>7677</v>
      </c>
      <c r="G1993">
        <v>342</v>
      </c>
      <c r="H1993">
        <v>0</v>
      </c>
      <c r="I1993" t="s">
        <v>720</v>
      </c>
      <c r="J1993" t="s">
        <v>7678</v>
      </c>
      <c r="K1993" t="s">
        <v>7679</v>
      </c>
      <c r="L1993" t="s">
        <v>7680</v>
      </c>
      <c r="M1993" t="s">
        <v>7681</v>
      </c>
      <c r="N1993" t="s">
        <v>7682</v>
      </c>
      <c r="O1993" t="s">
        <v>27</v>
      </c>
      <c r="P1993" t="s">
        <v>48</v>
      </c>
      <c r="Q1993" t="s">
        <v>49</v>
      </c>
      <c r="R1993" t="s">
        <v>50</v>
      </c>
      <c r="S1993" t="s">
        <v>28</v>
      </c>
      <c r="T1993" t="s">
        <v>7683</v>
      </c>
      <c r="U1993" t="s">
        <v>7684</v>
      </c>
    </row>
    <row r="1994" spans="1:21" x14ac:dyDescent="0.25">
      <c r="A1994" t="s">
        <v>21</v>
      </c>
      <c r="B1994" t="s">
        <v>22</v>
      </c>
      <c r="C1994">
        <v>100</v>
      </c>
      <c r="D1994">
        <v>1</v>
      </c>
      <c r="E1994">
        <v>0</v>
      </c>
      <c r="F1994" t="s">
        <v>7685</v>
      </c>
      <c r="G1994">
        <v>100</v>
      </c>
      <c r="H1994">
        <v>0</v>
      </c>
      <c r="I1994" t="s">
        <v>140</v>
      </c>
      <c r="J1994" t="s">
        <v>7686</v>
      </c>
      <c r="K1994" t="s">
        <v>474</v>
      </c>
      <c r="L1994" t="s">
        <v>27</v>
      </c>
      <c r="M1994" t="s">
        <v>28</v>
      </c>
      <c r="N1994" t="s">
        <v>7687</v>
      </c>
      <c r="O1994" t="s">
        <v>27</v>
      </c>
      <c r="P1994" t="s">
        <v>369</v>
      </c>
      <c r="Q1994" t="s">
        <v>31</v>
      </c>
      <c r="R1994" t="s">
        <v>57</v>
      </c>
      <c r="S1994" t="s">
        <v>28</v>
      </c>
      <c r="T1994" t="s">
        <v>7688</v>
      </c>
      <c r="U1994" t="s">
        <v>7689</v>
      </c>
    </row>
    <row r="1995" spans="1:21" x14ac:dyDescent="0.25">
      <c r="A1995" t="s">
        <v>21</v>
      </c>
      <c r="B1995" t="s">
        <v>22</v>
      </c>
      <c r="C1995">
        <v>100</v>
      </c>
      <c r="D1995">
        <v>1</v>
      </c>
      <c r="E1995">
        <v>0</v>
      </c>
      <c r="F1995" t="s">
        <v>7690</v>
      </c>
      <c r="G1995">
        <v>200</v>
      </c>
      <c r="H1995">
        <v>0</v>
      </c>
      <c r="I1995" t="s">
        <v>140</v>
      </c>
      <c r="J1995" t="s">
        <v>7691</v>
      </c>
      <c r="K1995" t="s">
        <v>753</v>
      </c>
      <c r="L1995" t="s">
        <v>27</v>
      </c>
      <c r="M1995" t="s">
        <v>28</v>
      </c>
      <c r="N1995" t="s">
        <v>7692</v>
      </c>
      <c r="O1995" t="s">
        <v>27</v>
      </c>
      <c r="P1995" t="s">
        <v>30</v>
      </c>
      <c r="Q1995" t="s">
        <v>31</v>
      </c>
      <c r="R1995" t="s">
        <v>32</v>
      </c>
      <c r="S1995" t="s">
        <v>28</v>
      </c>
      <c r="T1995" t="s">
        <v>7693</v>
      </c>
      <c r="U1995" t="s">
        <v>7692</v>
      </c>
    </row>
    <row r="1996" spans="1:21" x14ac:dyDescent="0.25">
      <c r="A1996" t="s">
        <v>58</v>
      </c>
      <c r="B1996" t="s">
        <v>58</v>
      </c>
      <c r="C1996">
        <v>100</v>
      </c>
      <c r="D1996">
        <v>1</v>
      </c>
      <c r="E1996">
        <v>0</v>
      </c>
      <c r="F1996" t="s">
        <v>7690</v>
      </c>
      <c r="G1996">
        <v>200</v>
      </c>
      <c r="H1996">
        <v>0</v>
      </c>
      <c r="I1996" t="s">
        <v>140</v>
      </c>
      <c r="J1996" t="s">
        <v>7691</v>
      </c>
      <c r="K1996" t="s">
        <v>753</v>
      </c>
      <c r="L1996" t="s">
        <v>27</v>
      </c>
      <c r="M1996" t="s">
        <v>28</v>
      </c>
      <c r="N1996" t="s">
        <v>7692</v>
      </c>
      <c r="O1996" t="s">
        <v>27</v>
      </c>
      <c r="P1996" t="s">
        <v>30</v>
      </c>
      <c r="Q1996" t="s">
        <v>31</v>
      </c>
      <c r="R1996" t="s">
        <v>32</v>
      </c>
      <c r="S1996" t="s">
        <v>28</v>
      </c>
      <c r="T1996" t="s">
        <v>7693</v>
      </c>
      <c r="U1996" t="s">
        <v>7692</v>
      </c>
    </row>
    <row r="1997" spans="1:21" x14ac:dyDescent="0.25">
      <c r="A1997" t="s">
        <v>58</v>
      </c>
      <c r="B1997" t="s">
        <v>103</v>
      </c>
      <c r="C1997">
        <v>99.75</v>
      </c>
      <c r="D1997">
        <v>1</v>
      </c>
      <c r="E1997">
        <v>0</v>
      </c>
      <c r="F1997" t="s">
        <v>7694</v>
      </c>
      <c r="G1997">
        <v>133</v>
      </c>
      <c r="H1997">
        <v>0</v>
      </c>
      <c r="I1997" t="s">
        <v>105</v>
      </c>
      <c r="J1997" t="s">
        <v>1496</v>
      </c>
      <c r="K1997" t="s">
        <v>1497</v>
      </c>
      <c r="L1997" t="s">
        <v>1498</v>
      </c>
      <c r="M1997" t="s">
        <v>1499</v>
      </c>
      <c r="N1997" t="s">
        <v>7692</v>
      </c>
      <c r="O1997" t="s">
        <v>27</v>
      </c>
      <c r="P1997" t="s">
        <v>48</v>
      </c>
      <c r="Q1997" t="s">
        <v>49</v>
      </c>
      <c r="R1997" t="s">
        <v>50</v>
      </c>
      <c r="S1997" t="s">
        <v>28</v>
      </c>
      <c r="T1997" t="s">
        <v>7695</v>
      </c>
      <c r="U1997" t="s">
        <v>7696</v>
      </c>
    </row>
    <row r="1998" spans="1:21" x14ac:dyDescent="0.25">
      <c r="A1998" t="s">
        <v>3543</v>
      </c>
      <c r="B1998" t="s">
        <v>3683</v>
      </c>
      <c r="C1998">
        <v>399</v>
      </c>
      <c r="D1998">
        <v>1</v>
      </c>
      <c r="E1998">
        <v>0</v>
      </c>
      <c r="F1998" t="s">
        <v>7697</v>
      </c>
      <c r="G1998">
        <v>399</v>
      </c>
      <c r="H1998">
        <v>0</v>
      </c>
      <c r="I1998" t="s">
        <v>24</v>
      </c>
      <c r="J1998" t="s">
        <v>2876</v>
      </c>
      <c r="K1998" t="s">
        <v>2877</v>
      </c>
      <c r="L1998" t="s">
        <v>2878</v>
      </c>
      <c r="M1998" t="s">
        <v>2879</v>
      </c>
      <c r="N1998" t="s">
        <v>7616</v>
      </c>
      <c r="O1998" t="s">
        <v>27</v>
      </c>
      <c r="P1998" t="s">
        <v>84</v>
      </c>
      <c r="Q1998" t="s">
        <v>85</v>
      </c>
      <c r="R1998" t="s">
        <v>86</v>
      </c>
      <c r="S1998" t="s">
        <v>28</v>
      </c>
      <c r="T1998" t="s">
        <v>7698</v>
      </c>
      <c r="U1998" t="s">
        <v>7696</v>
      </c>
    </row>
    <row r="1999" spans="1:21" x14ac:dyDescent="0.25">
      <c r="A1999" t="s">
        <v>21</v>
      </c>
      <c r="B1999" t="s">
        <v>22</v>
      </c>
      <c r="C1999">
        <v>100</v>
      </c>
      <c r="D1999">
        <v>1</v>
      </c>
      <c r="E1999">
        <v>0</v>
      </c>
      <c r="F1999" t="s">
        <v>7699</v>
      </c>
      <c r="G1999">
        <v>100</v>
      </c>
      <c r="H1999">
        <v>0</v>
      </c>
      <c r="I1999" t="s">
        <v>140</v>
      </c>
      <c r="J1999" t="s">
        <v>7700</v>
      </c>
      <c r="K1999" t="s">
        <v>474</v>
      </c>
      <c r="L1999" t="s">
        <v>27</v>
      </c>
      <c r="M1999" t="s">
        <v>28</v>
      </c>
      <c r="N1999" t="s">
        <v>7684</v>
      </c>
      <c r="O1999" t="s">
        <v>27</v>
      </c>
      <c r="P1999" t="s">
        <v>369</v>
      </c>
      <c r="Q1999" t="s">
        <v>31</v>
      </c>
      <c r="R1999" t="s">
        <v>57</v>
      </c>
      <c r="S1999" t="s">
        <v>28</v>
      </c>
      <c r="T1999" t="s">
        <v>7701</v>
      </c>
      <c r="U1999" t="s">
        <v>7702</v>
      </c>
    </row>
    <row r="2000" spans="1:21" x14ac:dyDescent="0.25">
      <c r="A2000" t="s">
        <v>33</v>
      </c>
      <c r="B2000" t="s">
        <v>34</v>
      </c>
      <c r="C2000">
        <v>200</v>
      </c>
      <c r="D2000">
        <v>1</v>
      </c>
      <c r="E2000">
        <v>0</v>
      </c>
      <c r="F2000" t="s">
        <v>7703</v>
      </c>
      <c r="G2000">
        <v>200</v>
      </c>
      <c r="H2000">
        <v>0</v>
      </c>
      <c r="I2000" t="s">
        <v>24</v>
      </c>
      <c r="J2000" t="s">
        <v>7704</v>
      </c>
      <c r="K2000" t="s">
        <v>124</v>
      </c>
      <c r="L2000" t="s">
        <v>27</v>
      </c>
      <c r="M2000" t="s">
        <v>28</v>
      </c>
      <c r="N2000" t="s">
        <v>7702</v>
      </c>
      <c r="O2000" t="s">
        <v>27</v>
      </c>
      <c r="P2000" t="s">
        <v>39</v>
      </c>
      <c r="Q2000" t="s">
        <v>31</v>
      </c>
      <c r="R2000" t="s">
        <v>32</v>
      </c>
      <c r="S2000" t="s">
        <v>28</v>
      </c>
      <c r="T2000" t="s">
        <v>7705</v>
      </c>
      <c r="U2000" t="s">
        <v>7702</v>
      </c>
    </row>
    <row r="2001" spans="1:21" x14ac:dyDescent="0.25">
      <c r="A2001" t="s">
        <v>58</v>
      </c>
      <c r="B2001" t="s">
        <v>58</v>
      </c>
      <c r="C2001">
        <v>100</v>
      </c>
      <c r="D2001">
        <v>1</v>
      </c>
      <c r="E2001">
        <v>0</v>
      </c>
      <c r="F2001" t="s">
        <v>7706</v>
      </c>
      <c r="G2001">
        <v>106</v>
      </c>
      <c r="H2001">
        <v>6</v>
      </c>
      <c r="I2001" t="s">
        <v>140</v>
      </c>
      <c r="J2001" t="s">
        <v>7707</v>
      </c>
      <c r="K2001" t="s">
        <v>325</v>
      </c>
      <c r="L2001" t="s">
        <v>27</v>
      </c>
      <c r="M2001" t="s">
        <v>28</v>
      </c>
      <c r="N2001" t="s">
        <v>7708</v>
      </c>
      <c r="O2001" t="s">
        <v>27</v>
      </c>
      <c r="P2001" t="s">
        <v>30</v>
      </c>
      <c r="Q2001" t="s">
        <v>31</v>
      </c>
      <c r="R2001" t="s">
        <v>32</v>
      </c>
      <c r="S2001" t="s">
        <v>28</v>
      </c>
      <c r="T2001" t="s">
        <v>7709</v>
      </c>
      <c r="U2001" t="s">
        <v>7708</v>
      </c>
    </row>
    <row r="2002" spans="1:21" x14ac:dyDescent="0.25">
      <c r="A2002" t="s">
        <v>33</v>
      </c>
      <c r="B2002" t="s">
        <v>34</v>
      </c>
      <c r="C2002">
        <v>200</v>
      </c>
      <c r="D2002">
        <v>1</v>
      </c>
      <c r="E2002">
        <v>0</v>
      </c>
      <c r="F2002" t="s">
        <v>7710</v>
      </c>
      <c r="G2002">
        <v>200</v>
      </c>
      <c r="H2002">
        <v>0</v>
      </c>
      <c r="I2002" t="s">
        <v>445</v>
      </c>
      <c r="J2002" t="s">
        <v>7711</v>
      </c>
      <c r="K2002" t="s">
        <v>711</v>
      </c>
      <c r="L2002" t="s">
        <v>27</v>
      </c>
      <c r="M2002" t="s">
        <v>28</v>
      </c>
      <c r="N2002" t="s">
        <v>7712</v>
      </c>
      <c r="O2002" t="s">
        <v>27</v>
      </c>
      <c r="P2002" t="s">
        <v>39</v>
      </c>
      <c r="Q2002" t="s">
        <v>31</v>
      </c>
      <c r="R2002" t="s">
        <v>32</v>
      </c>
      <c r="S2002" t="s">
        <v>28</v>
      </c>
      <c r="T2002" t="s">
        <v>7713</v>
      </c>
      <c r="U2002" t="s">
        <v>7712</v>
      </c>
    </row>
    <row r="2003" spans="1:21" x14ac:dyDescent="0.25">
      <c r="A2003" t="s">
        <v>70</v>
      </c>
      <c r="B2003" t="s">
        <v>70</v>
      </c>
      <c r="C2003">
        <v>350</v>
      </c>
      <c r="D2003">
        <v>1</v>
      </c>
      <c r="E2003">
        <v>0</v>
      </c>
      <c r="F2003" t="s">
        <v>7714</v>
      </c>
      <c r="G2003">
        <v>350</v>
      </c>
      <c r="H2003">
        <v>0</v>
      </c>
      <c r="I2003" t="s">
        <v>140</v>
      </c>
      <c r="J2003" t="s">
        <v>7715</v>
      </c>
      <c r="K2003" t="s">
        <v>384</v>
      </c>
      <c r="L2003" t="s">
        <v>27</v>
      </c>
      <c r="M2003" t="s">
        <v>28</v>
      </c>
      <c r="N2003" t="s">
        <v>7716</v>
      </c>
      <c r="O2003" t="s">
        <v>27</v>
      </c>
      <c r="P2003" t="s">
        <v>369</v>
      </c>
      <c r="Q2003" t="s">
        <v>31</v>
      </c>
      <c r="R2003" t="s">
        <v>57</v>
      </c>
      <c r="S2003" t="s">
        <v>28</v>
      </c>
      <c r="T2003" t="s">
        <v>7717</v>
      </c>
      <c r="U2003" t="s">
        <v>7716</v>
      </c>
    </row>
    <row r="2004" spans="1:21" x14ac:dyDescent="0.25">
      <c r="A2004" t="s">
        <v>33</v>
      </c>
      <c r="B2004" t="s">
        <v>34</v>
      </c>
      <c r="C2004">
        <v>200</v>
      </c>
      <c r="D2004">
        <v>1</v>
      </c>
      <c r="E2004">
        <v>0</v>
      </c>
      <c r="F2004" t="s">
        <v>7718</v>
      </c>
      <c r="G2004">
        <v>200</v>
      </c>
      <c r="H2004">
        <v>0</v>
      </c>
      <c r="I2004" t="s">
        <v>24</v>
      </c>
      <c r="J2004" t="s">
        <v>7719</v>
      </c>
      <c r="K2004" t="s">
        <v>311</v>
      </c>
      <c r="L2004" t="s">
        <v>27</v>
      </c>
      <c r="M2004" t="s">
        <v>28</v>
      </c>
      <c r="N2004" t="s">
        <v>7720</v>
      </c>
      <c r="O2004" t="s">
        <v>27</v>
      </c>
      <c r="P2004" t="s">
        <v>39</v>
      </c>
      <c r="Q2004" t="s">
        <v>31</v>
      </c>
      <c r="R2004" t="s">
        <v>32</v>
      </c>
      <c r="S2004" t="s">
        <v>28</v>
      </c>
      <c r="T2004" t="s">
        <v>7721</v>
      </c>
      <c r="U2004" t="s">
        <v>7720</v>
      </c>
    </row>
    <row r="2005" spans="1:21" x14ac:dyDescent="0.25">
      <c r="A2005" t="s">
        <v>456</v>
      </c>
      <c r="B2005" t="s">
        <v>457</v>
      </c>
      <c r="C2005">
        <v>199</v>
      </c>
      <c r="D2005">
        <v>1</v>
      </c>
      <c r="E2005">
        <v>0</v>
      </c>
      <c r="F2005" t="s">
        <v>7722</v>
      </c>
      <c r="G2005">
        <v>244</v>
      </c>
      <c r="H2005">
        <v>45</v>
      </c>
      <c r="I2005" t="s">
        <v>24</v>
      </c>
      <c r="J2005" t="s">
        <v>7723</v>
      </c>
      <c r="K2005" t="s">
        <v>7724</v>
      </c>
      <c r="L2005" t="s">
        <v>6626</v>
      </c>
      <c r="M2005" t="s">
        <v>2286</v>
      </c>
      <c r="N2005" t="s">
        <v>7725</v>
      </c>
      <c r="O2005" t="s">
        <v>27</v>
      </c>
      <c r="P2005" t="s">
        <v>193</v>
      </c>
      <c r="Q2005" t="s">
        <v>85</v>
      </c>
      <c r="R2005" t="s">
        <v>86</v>
      </c>
      <c r="S2005" t="s">
        <v>28</v>
      </c>
      <c r="T2005" t="s">
        <v>7726</v>
      </c>
      <c r="U2005" t="s">
        <v>7725</v>
      </c>
    </row>
    <row r="2006" spans="1:21" x14ac:dyDescent="0.25">
      <c r="A2006" t="s">
        <v>2295</v>
      </c>
      <c r="B2006" t="s">
        <v>2854</v>
      </c>
      <c r="C2006">
        <v>170.05</v>
      </c>
      <c r="D2006">
        <v>1</v>
      </c>
      <c r="E2006">
        <v>0</v>
      </c>
      <c r="F2006" t="s">
        <v>7727</v>
      </c>
      <c r="G2006">
        <v>175.05</v>
      </c>
      <c r="H2006">
        <v>5</v>
      </c>
      <c r="I2006" t="s">
        <v>2856</v>
      </c>
      <c r="J2006" t="s">
        <v>7728</v>
      </c>
      <c r="K2006" t="s">
        <v>7729</v>
      </c>
      <c r="L2006" t="s">
        <v>7680</v>
      </c>
      <c r="M2006" t="s">
        <v>7730</v>
      </c>
      <c r="N2006" t="s">
        <v>7731</v>
      </c>
      <c r="O2006" t="s">
        <v>27</v>
      </c>
      <c r="P2006" t="s">
        <v>48</v>
      </c>
      <c r="Q2006" t="s">
        <v>49</v>
      </c>
      <c r="R2006" t="s">
        <v>50</v>
      </c>
      <c r="S2006" t="s">
        <v>28</v>
      </c>
      <c r="T2006" t="s">
        <v>7732</v>
      </c>
      <c r="U2006" t="s">
        <v>7731</v>
      </c>
    </row>
    <row r="2007" spans="1:21" x14ac:dyDescent="0.25">
      <c r="A2007" t="s">
        <v>3543</v>
      </c>
      <c r="B2007" t="s">
        <v>3544</v>
      </c>
      <c r="C2007">
        <v>350.2</v>
      </c>
      <c r="D2007">
        <v>1</v>
      </c>
      <c r="E2007">
        <v>0</v>
      </c>
      <c r="F2007" t="s">
        <v>7733</v>
      </c>
      <c r="G2007">
        <v>350.2</v>
      </c>
      <c r="H2007">
        <v>0</v>
      </c>
      <c r="I2007" t="s">
        <v>720</v>
      </c>
      <c r="J2007" t="s">
        <v>2857</v>
      </c>
      <c r="K2007" t="s">
        <v>2858</v>
      </c>
      <c r="L2007" t="s">
        <v>2859</v>
      </c>
      <c r="M2007" t="s">
        <v>2860</v>
      </c>
      <c r="N2007" t="s">
        <v>7731</v>
      </c>
      <c r="O2007" t="s">
        <v>27</v>
      </c>
      <c r="P2007" t="s">
        <v>48</v>
      </c>
      <c r="Q2007" t="s">
        <v>49</v>
      </c>
      <c r="R2007" t="s">
        <v>50</v>
      </c>
      <c r="S2007" t="s">
        <v>28</v>
      </c>
      <c r="T2007" t="s">
        <v>7734</v>
      </c>
      <c r="U2007" t="s">
        <v>7731</v>
      </c>
    </row>
    <row r="2008" spans="1:21" x14ac:dyDescent="0.25">
      <c r="A2008" t="s">
        <v>2295</v>
      </c>
      <c r="B2008" t="s">
        <v>3286</v>
      </c>
      <c r="C2008">
        <v>199</v>
      </c>
      <c r="D2008">
        <v>1</v>
      </c>
      <c r="E2008">
        <v>0</v>
      </c>
      <c r="F2008" t="s">
        <v>7735</v>
      </c>
      <c r="G2008">
        <v>206</v>
      </c>
      <c r="H2008">
        <v>7</v>
      </c>
      <c r="I2008" t="s">
        <v>24</v>
      </c>
      <c r="J2008" t="s">
        <v>7736</v>
      </c>
      <c r="K2008" t="s">
        <v>7737</v>
      </c>
      <c r="L2008" t="s">
        <v>1647</v>
      </c>
      <c r="M2008" t="s">
        <v>505</v>
      </c>
      <c r="N2008" t="s">
        <v>7738</v>
      </c>
      <c r="O2008" t="s">
        <v>27</v>
      </c>
      <c r="P2008" t="s">
        <v>193</v>
      </c>
      <c r="Q2008" t="s">
        <v>85</v>
      </c>
      <c r="R2008" t="s">
        <v>86</v>
      </c>
      <c r="S2008" t="s">
        <v>28</v>
      </c>
      <c r="T2008" t="s">
        <v>7739</v>
      </c>
      <c r="U2008" t="s">
        <v>7740</v>
      </c>
    </row>
    <row r="2009" spans="1:21" x14ac:dyDescent="0.25">
      <c r="A2009" t="s">
        <v>33</v>
      </c>
      <c r="B2009" t="s">
        <v>34</v>
      </c>
      <c r="C2009">
        <v>200</v>
      </c>
      <c r="D2009">
        <v>1</v>
      </c>
      <c r="E2009">
        <v>0</v>
      </c>
      <c r="F2009" t="s">
        <v>7741</v>
      </c>
      <c r="G2009">
        <v>200</v>
      </c>
      <c r="H2009">
        <v>0</v>
      </c>
      <c r="I2009" t="s">
        <v>445</v>
      </c>
      <c r="J2009" t="s">
        <v>7742</v>
      </c>
      <c r="K2009" t="s">
        <v>37</v>
      </c>
      <c r="L2009" t="s">
        <v>27</v>
      </c>
      <c r="M2009" t="s">
        <v>28</v>
      </c>
      <c r="N2009" t="s">
        <v>7743</v>
      </c>
      <c r="O2009" t="s">
        <v>27</v>
      </c>
      <c r="P2009" t="s">
        <v>39</v>
      </c>
      <c r="Q2009" t="s">
        <v>31</v>
      </c>
      <c r="R2009" t="s">
        <v>32</v>
      </c>
      <c r="S2009" t="s">
        <v>28</v>
      </c>
      <c r="T2009" t="s">
        <v>7744</v>
      </c>
      <c r="U2009" t="s">
        <v>7743</v>
      </c>
    </row>
    <row r="2010" spans="1:21" x14ac:dyDescent="0.25">
      <c r="A2010" t="s">
        <v>58</v>
      </c>
      <c r="B2010" t="s">
        <v>58</v>
      </c>
      <c r="C2010">
        <v>100</v>
      </c>
      <c r="D2010">
        <v>1</v>
      </c>
      <c r="E2010">
        <v>0</v>
      </c>
      <c r="F2010" t="s">
        <v>7745</v>
      </c>
      <c r="G2010">
        <v>106</v>
      </c>
      <c r="H2010">
        <v>6</v>
      </c>
      <c r="I2010" t="s">
        <v>24</v>
      </c>
      <c r="J2010" t="s">
        <v>7746</v>
      </c>
      <c r="K2010" t="s">
        <v>418</v>
      </c>
      <c r="L2010" t="s">
        <v>27</v>
      </c>
      <c r="M2010" t="s">
        <v>28</v>
      </c>
      <c r="N2010" t="s">
        <v>7747</v>
      </c>
      <c r="O2010" t="s">
        <v>27</v>
      </c>
      <c r="P2010" t="s">
        <v>56</v>
      </c>
      <c r="Q2010" t="s">
        <v>31</v>
      </c>
      <c r="R2010" t="s">
        <v>57</v>
      </c>
      <c r="S2010" t="s">
        <v>28</v>
      </c>
      <c r="T2010" t="s">
        <v>7748</v>
      </c>
      <c r="U2010" t="s">
        <v>7747</v>
      </c>
    </row>
    <row r="2011" spans="1:21" x14ac:dyDescent="0.25">
      <c r="A2011" t="s">
        <v>143</v>
      </c>
      <c r="B2011" t="s">
        <v>144</v>
      </c>
      <c r="C2011">
        <v>200</v>
      </c>
      <c r="D2011">
        <v>1</v>
      </c>
      <c r="E2011">
        <v>0</v>
      </c>
      <c r="F2011" t="s">
        <v>7749</v>
      </c>
      <c r="G2011">
        <v>300</v>
      </c>
      <c r="H2011">
        <v>0</v>
      </c>
      <c r="I2011" t="s">
        <v>140</v>
      </c>
      <c r="J2011" t="s">
        <v>7750</v>
      </c>
      <c r="K2011" t="s">
        <v>250</v>
      </c>
      <c r="L2011" t="s">
        <v>27</v>
      </c>
      <c r="M2011" t="s">
        <v>28</v>
      </c>
      <c r="N2011" t="s">
        <v>7751</v>
      </c>
      <c r="O2011" t="s">
        <v>27</v>
      </c>
      <c r="P2011" t="s">
        <v>30</v>
      </c>
      <c r="Q2011" t="s">
        <v>31</v>
      </c>
      <c r="R2011" t="s">
        <v>32</v>
      </c>
      <c r="S2011" t="s">
        <v>28</v>
      </c>
      <c r="T2011" t="s">
        <v>7752</v>
      </c>
      <c r="U2011" t="s">
        <v>7751</v>
      </c>
    </row>
    <row r="2012" spans="1:21" x14ac:dyDescent="0.25">
      <c r="A2012" t="s">
        <v>58</v>
      </c>
      <c r="B2012" t="s">
        <v>58</v>
      </c>
      <c r="C2012">
        <v>100</v>
      </c>
      <c r="D2012">
        <v>1</v>
      </c>
      <c r="E2012">
        <v>0</v>
      </c>
      <c r="F2012" t="s">
        <v>7749</v>
      </c>
      <c r="G2012">
        <v>300</v>
      </c>
      <c r="H2012">
        <v>0</v>
      </c>
      <c r="I2012" t="s">
        <v>140</v>
      </c>
      <c r="J2012" t="s">
        <v>7750</v>
      </c>
      <c r="K2012" t="s">
        <v>250</v>
      </c>
      <c r="L2012" t="s">
        <v>27</v>
      </c>
      <c r="M2012" t="s">
        <v>28</v>
      </c>
      <c r="N2012" t="s">
        <v>7751</v>
      </c>
      <c r="O2012" t="s">
        <v>27</v>
      </c>
      <c r="P2012" t="s">
        <v>30</v>
      </c>
      <c r="Q2012" t="s">
        <v>31</v>
      </c>
      <c r="R2012" t="s">
        <v>32</v>
      </c>
      <c r="S2012" t="s">
        <v>28</v>
      </c>
      <c r="T2012" t="s">
        <v>7752</v>
      </c>
      <c r="U2012" t="s">
        <v>7751</v>
      </c>
    </row>
    <row r="2013" spans="1:21" x14ac:dyDescent="0.25">
      <c r="A2013" t="s">
        <v>143</v>
      </c>
      <c r="B2013" t="s">
        <v>144</v>
      </c>
      <c r="C2013">
        <v>200</v>
      </c>
      <c r="D2013">
        <v>1</v>
      </c>
      <c r="E2013">
        <v>0</v>
      </c>
      <c r="F2013" t="s">
        <v>7753</v>
      </c>
      <c r="G2013">
        <v>200</v>
      </c>
      <c r="H2013">
        <v>0</v>
      </c>
      <c r="I2013" t="s">
        <v>140</v>
      </c>
      <c r="J2013" t="s">
        <v>7247</v>
      </c>
      <c r="K2013" t="s">
        <v>350</v>
      </c>
      <c r="L2013" t="s">
        <v>27</v>
      </c>
      <c r="M2013" t="s">
        <v>28</v>
      </c>
      <c r="N2013" t="s">
        <v>7751</v>
      </c>
      <c r="O2013" t="s">
        <v>27</v>
      </c>
      <c r="P2013" t="s">
        <v>30</v>
      </c>
      <c r="Q2013" t="s">
        <v>31</v>
      </c>
      <c r="R2013" t="s">
        <v>32</v>
      </c>
      <c r="S2013" t="s">
        <v>28</v>
      </c>
      <c r="T2013" t="s">
        <v>7754</v>
      </c>
      <c r="U2013" t="s">
        <v>7751</v>
      </c>
    </row>
    <row r="2014" spans="1:21" x14ac:dyDescent="0.25">
      <c r="A2014" t="s">
        <v>33</v>
      </c>
      <c r="B2014" t="s">
        <v>34</v>
      </c>
      <c r="C2014">
        <v>200</v>
      </c>
      <c r="D2014">
        <v>1</v>
      </c>
      <c r="E2014">
        <v>0</v>
      </c>
      <c r="F2014" t="s">
        <v>7755</v>
      </c>
      <c r="G2014">
        <v>200</v>
      </c>
      <c r="H2014">
        <v>0</v>
      </c>
      <c r="I2014" t="s">
        <v>24</v>
      </c>
      <c r="J2014" t="s">
        <v>7756</v>
      </c>
      <c r="K2014" t="s">
        <v>758</v>
      </c>
      <c r="L2014" t="s">
        <v>27</v>
      </c>
      <c r="M2014" t="s">
        <v>28</v>
      </c>
      <c r="N2014" t="s">
        <v>7757</v>
      </c>
      <c r="O2014" t="s">
        <v>27</v>
      </c>
      <c r="P2014" t="s">
        <v>39</v>
      </c>
      <c r="Q2014" t="s">
        <v>31</v>
      </c>
      <c r="R2014" t="s">
        <v>32</v>
      </c>
      <c r="S2014" t="s">
        <v>28</v>
      </c>
      <c r="T2014" t="s">
        <v>7758</v>
      </c>
      <c r="U2014" t="s">
        <v>7757</v>
      </c>
    </row>
    <row r="2015" spans="1:21" x14ac:dyDescent="0.25">
      <c r="A2015" t="s">
        <v>58</v>
      </c>
      <c r="B2015" t="s">
        <v>58</v>
      </c>
      <c r="C2015">
        <v>100</v>
      </c>
      <c r="D2015">
        <v>2</v>
      </c>
      <c r="E2015">
        <v>0</v>
      </c>
      <c r="F2015" t="s">
        <v>7759</v>
      </c>
      <c r="G2015">
        <v>229</v>
      </c>
      <c r="H2015">
        <v>29</v>
      </c>
      <c r="I2015" t="s">
        <v>445</v>
      </c>
      <c r="J2015" t="s">
        <v>7760</v>
      </c>
      <c r="K2015" t="s">
        <v>7761</v>
      </c>
      <c r="L2015" t="s">
        <v>3988</v>
      </c>
      <c r="M2015" t="s">
        <v>7762</v>
      </c>
      <c r="N2015" t="s">
        <v>7757</v>
      </c>
      <c r="O2015" t="s">
        <v>27</v>
      </c>
      <c r="P2015" t="s">
        <v>193</v>
      </c>
      <c r="Q2015" t="s">
        <v>85</v>
      </c>
      <c r="R2015" t="s">
        <v>86</v>
      </c>
      <c r="S2015" t="s">
        <v>28</v>
      </c>
      <c r="T2015" t="s">
        <v>7763</v>
      </c>
      <c r="U2015" t="s">
        <v>7764</v>
      </c>
    </row>
    <row r="2016" spans="1:21" x14ac:dyDescent="0.25">
      <c r="A2016" t="s">
        <v>58</v>
      </c>
      <c r="B2016" t="s">
        <v>58</v>
      </c>
      <c r="C2016">
        <v>100</v>
      </c>
      <c r="D2016">
        <v>1</v>
      </c>
      <c r="E2016">
        <v>0</v>
      </c>
      <c r="F2016" t="s">
        <v>7765</v>
      </c>
      <c r="G2016">
        <v>195</v>
      </c>
      <c r="H2016">
        <v>0</v>
      </c>
      <c r="I2016" t="s">
        <v>24</v>
      </c>
      <c r="J2016" t="s">
        <v>7766</v>
      </c>
      <c r="K2016" t="s">
        <v>346</v>
      </c>
      <c r="L2016" t="s">
        <v>27</v>
      </c>
      <c r="M2016" t="s">
        <v>28</v>
      </c>
      <c r="N2016" t="s">
        <v>7767</v>
      </c>
      <c r="O2016" t="s">
        <v>27</v>
      </c>
      <c r="P2016" t="s">
        <v>56</v>
      </c>
      <c r="Q2016" t="s">
        <v>31</v>
      </c>
      <c r="R2016" t="s">
        <v>57</v>
      </c>
      <c r="S2016" t="s">
        <v>28</v>
      </c>
      <c r="T2016" t="s">
        <v>7768</v>
      </c>
      <c r="U2016" t="s">
        <v>7764</v>
      </c>
    </row>
    <row r="2017" spans="1:21" x14ac:dyDescent="0.25">
      <c r="A2017" t="s">
        <v>134</v>
      </c>
      <c r="B2017" t="s">
        <v>64</v>
      </c>
      <c r="C2017">
        <v>100</v>
      </c>
      <c r="D2017">
        <v>1</v>
      </c>
      <c r="E2017">
        <v>0</v>
      </c>
      <c r="F2017" t="s">
        <v>7769</v>
      </c>
      <c r="G2017">
        <v>100</v>
      </c>
      <c r="H2017">
        <v>0</v>
      </c>
      <c r="I2017" t="s">
        <v>140</v>
      </c>
      <c r="J2017" t="s">
        <v>7770</v>
      </c>
      <c r="K2017" t="s">
        <v>299</v>
      </c>
      <c r="L2017" t="s">
        <v>27</v>
      </c>
      <c r="M2017" t="s">
        <v>28</v>
      </c>
      <c r="N2017" t="s">
        <v>7771</v>
      </c>
      <c r="O2017" t="s">
        <v>27</v>
      </c>
      <c r="P2017" t="s">
        <v>30</v>
      </c>
      <c r="Q2017" t="s">
        <v>31</v>
      </c>
      <c r="R2017" t="s">
        <v>32</v>
      </c>
      <c r="S2017" t="s">
        <v>28</v>
      </c>
      <c r="T2017" t="s">
        <v>7772</v>
      </c>
      <c r="U2017" t="s">
        <v>7771</v>
      </c>
    </row>
    <row r="2018" spans="1:21" x14ac:dyDescent="0.25">
      <c r="A2018" t="s">
        <v>493</v>
      </c>
      <c r="B2018" t="s">
        <v>494</v>
      </c>
      <c r="C2018">
        <v>149</v>
      </c>
      <c r="D2018">
        <v>1</v>
      </c>
      <c r="E2018">
        <v>0</v>
      </c>
      <c r="F2018" t="s">
        <v>7773</v>
      </c>
      <c r="G2018">
        <v>349</v>
      </c>
      <c r="H2018">
        <v>0</v>
      </c>
      <c r="I2018" t="s">
        <v>445</v>
      </c>
      <c r="J2018" t="s">
        <v>7774</v>
      </c>
      <c r="K2018" t="s">
        <v>342</v>
      </c>
      <c r="L2018" t="s">
        <v>27</v>
      </c>
      <c r="M2018" t="s">
        <v>28</v>
      </c>
      <c r="N2018" t="s">
        <v>7775</v>
      </c>
      <c r="O2018" t="s">
        <v>27</v>
      </c>
      <c r="P2018" t="s">
        <v>56</v>
      </c>
      <c r="Q2018" t="s">
        <v>31</v>
      </c>
      <c r="R2018" t="s">
        <v>57</v>
      </c>
      <c r="S2018" t="s">
        <v>28</v>
      </c>
      <c r="T2018" t="s">
        <v>7776</v>
      </c>
      <c r="U2018" t="s">
        <v>7775</v>
      </c>
    </row>
    <row r="2019" spans="1:21" x14ac:dyDescent="0.25">
      <c r="A2019" t="s">
        <v>33</v>
      </c>
      <c r="B2019" t="s">
        <v>34</v>
      </c>
      <c r="C2019">
        <v>200</v>
      </c>
      <c r="D2019">
        <v>1</v>
      </c>
      <c r="E2019">
        <v>0</v>
      </c>
      <c r="F2019" t="s">
        <v>7773</v>
      </c>
      <c r="G2019">
        <v>349</v>
      </c>
      <c r="H2019">
        <v>0</v>
      </c>
      <c r="I2019" t="s">
        <v>445</v>
      </c>
      <c r="J2019" t="s">
        <v>7774</v>
      </c>
      <c r="K2019" t="s">
        <v>342</v>
      </c>
      <c r="L2019" t="s">
        <v>27</v>
      </c>
      <c r="M2019" t="s">
        <v>28</v>
      </c>
      <c r="N2019" t="s">
        <v>7775</v>
      </c>
      <c r="O2019" t="s">
        <v>27</v>
      </c>
      <c r="P2019" t="s">
        <v>56</v>
      </c>
      <c r="Q2019" t="s">
        <v>31</v>
      </c>
      <c r="R2019" t="s">
        <v>57</v>
      </c>
      <c r="S2019" t="s">
        <v>28</v>
      </c>
      <c r="T2019" t="s">
        <v>7776</v>
      </c>
      <c r="U2019" t="s">
        <v>7775</v>
      </c>
    </row>
    <row r="2020" spans="1:21" x14ac:dyDescent="0.25">
      <c r="A2020" t="s">
        <v>63</v>
      </c>
      <c r="B2020" t="s">
        <v>64</v>
      </c>
      <c r="C2020">
        <v>100</v>
      </c>
      <c r="D2020">
        <v>1</v>
      </c>
      <c r="E2020">
        <v>0</v>
      </c>
      <c r="F2020" t="s">
        <v>7777</v>
      </c>
      <c r="G2020">
        <v>100</v>
      </c>
      <c r="H2020">
        <v>0</v>
      </c>
      <c r="I2020" t="s">
        <v>24</v>
      </c>
      <c r="J2020" t="s">
        <v>7778</v>
      </c>
      <c r="K2020" t="s">
        <v>384</v>
      </c>
      <c r="L2020" t="s">
        <v>27</v>
      </c>
      <c r="M2020" t="s">
        <v>28</v>
      </c>
      <c r="N2020" t="s">
        <v>7779</v>
      </c>
      <c r="O2020" t="s">
        <v>27</v>
      </c>
      <c r="P2020" t="s">
        <v>39</v>
      </c>
      <c r="Q2020" t="s">
        <v>31</v>
      </c>
      <c r="R2020" t="s">
        <v>32</v>
      </c>
      <c r="S2020" t="s">
        <v>28</v>
      </c>
      <c r="T2020" t="s">
        <v>7780</v>
      </c>
      <c r="U2020" t="s">
        <v>7779</v>
      </c>
    </row>
    <row r="2021" spans="1:21" x14ac:dyDescent="0.25">
      <c r="A2021" t="s">
        <v>134</v>
      </c>
      <c r="B2021" t="s">
        <v>64</v>
      </c>
      <c r="C2021">
        <v>100</v>
      </c>
      <c r="D2021">
        <v>1</v>
      </c>
      <c r="E2021">
        <v>0</v>
      </c>
      <c r="F2021" t="s">
        <v>7781</v>
      </c>
      <c r="G2021">
        <v>100</v>
      </c>
      <c r="H2021">
        <v>0</v>
      </c>
      <c r="I2021" t="s">
        <v>445</v>
      </c>
      <c r="J2021" t="s">
        <v>7782</v>
      </c>
      <c r="K2021" t="s">
        <v>247</v>
      </c>
      <c r="L2021" t="s">
        <v>27</v>
      </c>
      <c r="M2021" t="s">
        <v>28</v>
      </c>
      <c r="N2021" t="s">
        <v>7783</v>
      </c>
      <c r="O2021" t="s">
        <v>27</v>
      </c>
      <c r="P2021" t="s">
        <v>39</v>
      </c>
      <c r="Q2021" t="s">
        <v>31</v>
      </c>
      <c r="R2021" t="s">
        <v>32</v>
      </c>
      <c r="S2021" t="s">
        <v>28</v>
      </c>
      <c r="T2021" t="s">
        <v>7784</v>
      </c>
      <c r="U2021" t="s">
        <v>7785</v>
      </c>
    </row>
    <row r="2022" spans="1:21" x14ac:dyDescent="0.25">
      <c r="A2022" t="s">
        <v>21</v>
      </c>
      <c r="B2022" t="s">
        <v>22</v>
      </c>
      <c r="C2022">
        <v>100</v>
      </c>
      <c r="D2022">
        <v>6</v>
      </c>
      <c r="E2022">
        <v>0</v>
      </c>
      <c r="F2022" t="s">
        <v>7786</v>
      </c>
      <c r="G2022">
        <v>600</v>
      </c>
      <c r="H2022">
        <v>0</v>
      </c>
      <c r="I2022" t="s">
        <v>24</v>
      </c>
      <c r="J2022" t="s">
        <v>7787</v>
      </c>
      <c r="K2022" t="s">
        <v>1198</v>
      </c>
      <c r="L2022" t="s">
        <v>27</v>
      </c>
      <c r="M2022" t="s">
        <v>28</v>
      </c>
      <c r="N2022" t="s">
        <v>7788</v>
      </c>
      <c r="O2022" t="s">
        <v>27</v>
      </c>
      <c r="P2022" t="s">
        <v>39</v>
      </c>
      <c r="Q2022" t="s">
        <v>31</v>
      </c>
      <c r="R2022" t="s">
        <v>32</v>
      </c>
      <c r="S2022" t="s">
        <v>28</v>
      </c>
      <c r="T2022" t="s">
        <v>7789</v>
      </c>
      <c r="U2022" t="s">
        <v>7790</v>
      </c>
    </row>
    <row r="2023" spans="1:21" x14ac:dyDescent="0.25">
      <c r="A2023" t="s">
        <v>58</v>
      </c>
      <c r="B2023" t="s">
        <v>58</v>
      </c>
      <c r="C2023">
        <v>100</v>
      </c>
      <c r="D2023">
        <v>2</v>
      </c>
      <c r="E2023">
        <v>0</v>
      </c>
      <c r="F2023" t="s">
        <v>7791</v>
      </c>
      <c r="G2023">
        <v>200</v>
      </c>
      <c r="H2023">
        <v>0</v>
      </c>
      <c r="I2023" t="s">
        <v>445</v>
      </c>
      <c r="J2023" t="s">
        <v>7792</v>
      </c>
      <c r="K2023" t="s">
        <v>37</v>
      </c>
      <c r="L2023" t="s">
        <v>27</v>
      </c>
      <c r="M2023" t="s">
        <v>28</v>
      </c>
      <c r="N2023" t="s">
        <v>7793</v>
      </c>
      <c r="O2023" t="s">
        <v>27</v>
      </c>
      <c r="P2023" t="s">
        <v>39</v>
      </c>
      <c r="Q2023" t="s">
        <v>31</v>
      </c>
      <c r="R2023" t="s">
        <v>32</v>
      </c>
      <c r="S2023" t="s">
        <v>28</v>
      </c>
      <c r="T2023" t="s">
        <v>7794</v>
      </c>
      <c r="U2023" t="s">
        <v>7793</v>
      </c>
    </row>
    <row r="2024" spans="1:21" x14ac:dyDescent="0.25">
      <c r="A2024" t="s">
        <v>33</v>
      </c>
      <c r="B2024" t="s">
        <v>34</v>
      </c>
      <c r="C2024">
        <v>200</v>
      </c>
      <c r="D2024">
        <v>1</v>
      </c>
      <c r="E2024">
        <v>0</v>
      </c>
      <c r="F2024" t="s">
        <v>7795</v>
      </c>
      <c r="G2024">
        <v>200</v>
      </c>
      <c r="H2024">
        <v>0</v>
      </c>
      <c r="I2024" t="s">
        <v>445</v>
      </c>
      <c r="J2024" t="s">
        <v>3132</v>
      </c>
      <c r="K2024" t="s">
        <v>124</v>
      </c>
      <c r="L2024" t="s">
        <v>27</v>
      </c>
      <c r="M2024" t="s">
        <v>28</v>
      </c>
      <c r="N2024" t="s">
        <v>7796</v>
      </c>
      <c r="O2024" t="s">
        <v>27</v>
      </c>
      <c r="P2024" t="s">
        <v>39</v>
      </c>
      <c r="Q2024" t="s">
        <v>31</v>
      </c>
      <c r="R2024" t="s">
        <v>32</v>
      </c>
      <c r="S2024" t="s">
        <v>28</v>
      </c>
      <c r="T2024" t="s">
        <v>7797</v>
      </c>
      <c r="U2024" t="s">
        <v>7796</v>
      </c>
    </row>
    <row r="2025" spans="1:21" x14ac:dyDescent="0.25">
      <c r="A2025" t="s">
        <v>40</v>
      </c>
      <c r="B2025" t="s">
        <v>41</v>
      </c>
      <c r="C2025">
        <v>111.6</v>
      </c>
      <c r="D2025">
        <v>1</v>
      </c>
      <c r="E2025">
        <v>0</v>
      </c>
      <c r="F2025" t="s">
        <v>7798</v>
      </c>
      <c r="G2025">
        <v>156.6</v>
      </c>
      <c r="H2025">
        <v>45</v>
      </c>
      <c r="I2025" t="s">
        <v>24</v>
      </c>
      <c r="J2025" t="s">
        <v>7799</v>
      </c>
      <c r="K2025" t="s">
        <v>7800</v>
      </c>
      <c r="L2025" t="s">
        <v>1453</v>
      </c>
      <c r="M2025" t="s">
        <v>7801</v>
      </c>
      <c r="N2025" t="s">
        <v>7802</v>
      </c>
      <c r="O2025" t="s">
        <v>27</v>
      </c>
      <c r="P2025" t="s">
        <v>48</v>
      </c>
      <c r="Q2025" t="s">
        <v>49</v>
      </c>
      <c r="R2025" t="s">
        <v>50</v>
      </c>
      <c r="S2025" t="s">
        <v>28</v>
      </c>
      <c r="T2025" t="s">
        <v>7803</v>
      </c>
      <c r="U2025" t="s">
        <v>7802</v>
      </c>
    </row>
    <row r="2026" spans="1:21" x14ac:dyDescent="0.25">
      <c r="A2026" t="s">
        <v>40</v>
      </c>
      <c r="B2026" t="s">
        <v>41</v>
      </c>
      <c r="C2026">
        <v>112.8</v>
      </c>
      <c r="D2026">
        <v>1</v>
      </c>
      <c r="E2026">
        <v>0</v>
      </c>
      <c r="F2026" t="s">
        <v>7804</v>
      </c>
      <c r="G2026">
        <v>117.8</v>
      </c>
      <c r="H2026">
        <v>5</v>
      </c>
      <c r="I2026" t="s">
        <v>24</v>
      </c>
      <c r="J2026" t="s">
        <v>7805</v>
      </c>
      <c r="K2026" t="s">
        <v>7806</v>
      </c>
      <c r="L2026" t="s">
        <v>7807</v>
      </c>
      <c r="M2026" t="s">
        <v>7808</v>
      </c>
      <c r="N2026" t="s">
        <v>7809</v>
      </c>
      <c r="O2026" t="s">
        <v>27</v>
      </c>
      <c r="P2026" t="s">
        <v>48</v>
      </c>
      <c r="Q2026" t="s">
        <v>49</v>
      </c>
      <c r="R2026" t="s">
        <v>50</v>
      </c>
      <c r="S2026" t="s">
        <v>28</v>
      </c>
      <c r="T2026" t="s">
        <v>7810</v>
      </c>
      <c r="U2026" t="s">
        <v>7811</v>
      </c>
    </row>
    <row r="2027" spans="1:21" x14ac:dyDescent="0.25">
      <c r="A2027" t="s">
        <v>58</v>
      </c>
      <c r="B2027" t="s">
        <v>58</v>
      </c>
      <c r="C2027">
        <v>138</v>
      </c>
      <c r="D2027">
        <v>1</v>
      </c>
      <c r="E2027">
        <v>0</v>
      </c>
      <c r="F2027" t="s">
        <v>7812</v>
      </c>
      <c r="G2027">
        <v>281</v>
      </c>
      <c r="H2027">
        <v>5</v>
      </c>
      <c r="I2027" t="s">
        <v>24</v>
      </c>
      <c r="J2027" t="s">
        <v>7813</v>
      </c>
      <c r="K2027" t="s">
        <v>7814</v>
      </c>
      <c r="L2027" t="s">
        <v>7815</v>
      </c>
      <c r="M2027" t="s">
        <v>7816</v>
      </c>
      <c r="N2027" t="s">
        <v>7817</v>
      </c>
      <c r="O2027" t="s">
        <v>27</v>
      </c>
      <c r="P2027" t="s">
        <v>48</v>
      </c>
      <c r="Q2027" t="s">
        <v>49</v>
      </c>
      <c r="R2027" t="s">
        <v>50</v>
      </c>
      <c r="S2027" t="s">
        <v>28</v>
      </c>
      <c r="T2027" t="s">
        <v>7818</v>
      </c>
      <c r="U2027" t="s">
        <v>7819</v>
      </c>
    </row>
    <row r="2028" spans="1:21" x14ac:dyDescent="0.25">
      <c r="A2028" t="s">
        <v>58</v>
      </c>
      <c r="B2028" t="s">
        <v>58</v>
      </c>
      <c r="C2028">
        <v>138</v>
      </c>
      <c r="D2028">
        <v>1</v>
      </c>
      <c r="E2028">
        <v>0</v>
      </c>
      <c r="F2028" t="s">
        <v>7812</v>
      </c>
      <c r="G2028">
        <v>281</v>
      </c>
      <c r="H2028">
        <v>5</v>
      </c>
      <c r="I2028" t="s">
        <v>24</v>
      </c>
      <c r="J2028" t="s">
        <v>7813</v>
      </c>
      <c r="K2028" t="s">
        <v>7814</v>
      </c>
      <c r="L2028" t="s">
        <v>7815</v>
      </c>
      <c r="M2028" t="s">
        <v>7816</v>
      </c>
      <c r="N2028" t="s">
        <v>7817</v>
      </c>
      <c r="O2028" t="s">
        <v>27</v>
      </c>
      <c r="P2028" t="s">
        <v>48</v>
      </c>
      <c r="Q2028" t="s">
        <v>49</v>
      </c>
      <c r="R2028" t="s">
        <v>50</v>
      </c>
      <c r="S2028" t="s">
        <v>28</v>
      </c>
      <c r="T2028" t="s">
        <v>7818</v>
      </c>
      <c r="U2028" t="s">
        <v>7819</v>
      </c>
    </row>
    <row r="2029" spans="1:21" x14ac:dyDescent="0.25">
      <c r="A2029" t="s">
        <v>58</v>
      </c>
      <c r="B2029" t="s">
        <v>103</v>
      </c>
      <c r="C2029">
        <v>99.75</v>
      </c>
      <c r="D2029">
        <v>1</v>
      </c>
      <c r="E2029">
        <v>0</v>
      </c>
      <c r="F2029" t="s">
        <v>7820</v>
      </c>
      <c r="G2029">
        <v>104.75</v>
      </c>
      <c r="H2029">
        <v>5</v>
      </c>
      <c r="I2029" t="s">
        <v>105</v>
      </c>
      <c r="J2029" t="s">
        <v>7821</v>
      </c>
      <c r="K2029" t="s">
        <v>7822</v>
      </c>
      <c r="L2029" t="s">
        <v>7823</v>
      </c>
      <c r="M2029" t="s">
        <v>7824</v>
      </c>
      <c r="N2029" t="s">
        <v>7825</v>
      </c>
      <c r="O2029" t="s">
        <v>27</v>
      </c>
      <c r="P2029" t="s">
        <v>48</v>
      </c>
      <c r="Q2029" t="s">
        <v>49</v>
      </c>
      <c r="R2029" t="s">
        <v>50</v>
      </c>
      <c r="S2029" t="s">
        <v>28</v>
      </c>
      <c r="T2029" t="s">
        <v>7826</v>
      </c>
      <c r="U2029" t="s">
        <v>7825</v>
      </c>
    </row>
    <row r="2030" spans="1:21" x14ac:dyDescent="0.25">
      <c r="A2030" t="s">
        <v>33</v>
      </c>
      <c r="B2030" t="s">
        <v>34</v>
      </c>
      <c r="C2030">
        <v>200</v>
      </c>
      <c r="D2030">
        <v>1</v>
      </c>
      <c r="E2030">
        <v>0</v>
      </c>
      <c r="F2030" t="s">
        <v>7827</v>
      </c>
      <c r="G2030">
        <v>200</v>
      </c>
      <c r="H2030">
        <v>0</v>
      </c>
      <c r="I2030" t="s">
        <v>445</v>
      </c>
      <c r="J2030" t="s">
        <v>7828</v>
      </c>
      <c r="K2030" t="s">
        <v>466</v>
      </c>
      <c r="L2030" t="s">
        <v>27</v>
      </c>
      <c r="M2030" t="s">
        <v>28</v>
      </c>
      <c r="N2030" t="s">
        <v>7829</v>
      </c>
      <c r="O2030" t="s">
        <v>27</v>
      </c>
      <c r="P2030" t="s">
        <v>39</v>
      </c>
      <c r="Q2030" t="s">
        <v>31</v>
      </c>
      <c r="R2030" t="s">
        <v>32</v>
      </c>
      <c r="S2030" t="s">
        <v>28</v>
      </c>
      <c r="T2030" t="s">
        <v>7830</v>
      </c>
      <c r="U2030" t="s">
        <v>7829</v>
      </c>
    </row>
    <row r="2031" spans="1:21" x14ac:dyDescent="0.25">
      <c r="A2031" t="s">
        <v>21</v>
      </c>
      <c r="B2031" t="s">
        <v>22</v>
      </c>
      <c r="C2031">
        <v>100</v>
      </c>
      <c r="D2031">
        <v>1</v>
      </c>
      <c r="E2031">
        <v>0</v>
      </c>
      <c r="F2031" t="s">
        <v>7831</v>
      </c>
      <c r="G2031">
        <v>106</v>
      </c>
      <c r="H2031">
        <v>6</v>
      </c>
      <c r="I2031" t="s">
        <v>445</v>
      </c>
      <c r="J2031" t="s">
        <v>7832</v>
      </c>
      <c r="K2031" t="s">
        <v>250</v>
      </c>
      <c r="L2031" t="s">
        <v>27</v>
      </c>
      <c r="M2031" t="s">
        <v>28</v>
      </c>
      <c r="N2031" t="s">
        <v>7833</v>
      </c>
      <c r="O2031" t="s">
        <v>27</v>
      </c>
      <c r="P2031" t="s">
        <v>56</v>
      </c>
      <c r="Q2031" t="s">
        <v>31</v>
      </c>
      <c r="R2031" t="s">
        <v>57</v>
      </c>
      <c r="S2031" t="s">
        <v>28</v>
      </c>
      <c r="T2031" t="s">
        <v>7834</v>
      </c>
      <c r="U2031" t="s">
        <v>7833</v>
      </c>
    </row>
    <row r="2032" spans="1:21" x14ac:dyDescent="0.25">
      <c r="A2032" t="s">
        <v>456</v>
      </c>
      <c r="B2032" t="s">
        <v>457</v>
      </c>
      <c r="C2032">
        <v>199</v>
      </c>
      <c r="D2032">
        <v>1</v>
      </c>
      <c r="E2032">
        <v>0</v>
      </c>
      <c r="F2032" t="s">
        <v>7835</v>
      </c>
      <c r="G2032">
        <v>228</v>
      </c>
      <c r="H2032">
        <v>29</v>
      </c>
      <c r="I2032" t="s">
        <v>24</v>
      </c>
      <c r="J2032" t="s">
        <v>7836</v>
      </c>
      <c r="K2032" t="s">
        <v>7837</v>
      </c>
      <c r="L2032" t="s">
        <v>7838</v>
      </c>
      <c r="M2032" t="s">
        <v>1343</v>
      </c>
      <c r="N2032" t="s">
        <v>7839</v>
      </c>
      <c r="O2032" t="s">
        <v>27</v>
      </c>
      <c r="P2032" t="s">
        <v>193</v>
      </c>
      <c r="Q2032" t="s">
        <v>85</v>
      </c>
      <c r="R2032" t="s">
        <v>86</v>
      </c>
      <c r="S2032" t="s">
        <v>28</v>
      </c>
      <c r="T2032" t="s">
        <v>7840</v>
      </c>
      <c r="U2032" t="s">
        <v>7841</v>
      </c>
    </row>
    <row r="2033" spans="1:21" x14ac:dyDescent="0.25">
      <c r="A2033" t="s">
        <v>456</v>
      </c>
      <c r="B2033" t="s">
        <v>457</v>
      </c>
      <c r="C2033">
        <v>199</v>
      </c>
      <c r="D2033">
        <v>1</v>
      </c>
      <c r="E2033">
        <v>0</v>
      </c>
      <c r="F2033" t="s">
        <v>7842</v>
      </c>
      <c r="G2033">
        <v>228</v>
      </c>
      <c r="H2033">
        <v>29</v>
      </c>
      <c r="I2033" t="s">
        <v>24</v>
      </c>
      <c r="J2033" t="s">
        <v>5955</v>
      </c>
      <c r="K2033" t="s">
        <v>7843</v>
      </c>
      <c r="L2033" t="s">
        <v>7838</v>
      </c>
      <c r="M2033" t="s">
        <v>2987</v>
      </c>
      <c r="N2033" t="s">
        <v>7839</v>
      </c>
      <c r="O2033" t="s">
        <v>27</v>
      </c>
      <c r="P2033" t="s">
        <v>193</v>
      </c>
      <c r="Q2033" t="s">
        <v>85</v>
      </c>
      <c r="R2033" t="s">
        <v>86</v>
      </c>
      <c r="S2033" t="s">
        <v>28</v>
      </c>
      <c r="T2033" t="s">
        <v>7844</v>
      </c>
      <c r="U2033" t="s">
        <v>7845</v>
      </c>
    </row>
    <row r="2034" spans="1:21" x14ac:dyDescent="0.25">
      <c r="A2034" t="s">
        <v>21</v>
      </c>
      <c r="B2034" t="s">
        <v>22</v>
      </c>
      <c r="C2034">
        <v>100</v>
      </c>
      <c r="D2034">
        <v>1</v>
      </c>
      <c r="E2034">
        <v>0</v>
      </c>
      <c r="F2034" t="s">
        <v>7846</v>
      </c>
      <c r="G2034">
        <v>200</v>
      </c>
      <c r="H2034">
        <v>0</v>
      </c>
      <c r="I2034" t="s">
        <v>140</v>
      </c>
      <c r="J2034" t="s">
        <v>7847</v>
      </c>
      <c r="K2034" t="s">
        <v>273</v>
      </c>
      <c r="L2034" t="s">
        <v>27</v>
      </c>
      <c r="M2034" t="s">
        <v>28</v>
      </c>
      <c r="N2034" t="s">
        <v>7848</v>
      </c>
      <c r="O2034" t="s">
        <v>27</v>
      </c>
      <c r="P2034" t="s">
        <v>369</v>
      </c>
      <c r="Q2034" t="s">
        <v>31</v>
      </c>
      <c r="R2034" t="s">
        <v>57</v>
      </c>
      <c r="S2034" t="s">
        <v>28</v>
      </c>
      <c r="T2034" t="s">
        <v>7849</v>
      </c>
      <c r="U2034" t="s">
        <v>7850</v>
      </c>
    </row>
    <row r="2035" spans="1:21" x14ac:dyDescent="0.25">
      <c r="A2035" t="s">
        <v>63</v>
      </c>
      <c r="B2035" t="s">
        <v>64</v>
      </c>
      <c r="C2035">
        <v>100</v>
      </c>
      <c r="D2035">
        <v>1</v>
      </c>
      <c r="E2035">
        <v>0</v>
      </c>
      <c r="F2035" t="s">
        <v>7846</v>
      </c>
      <c r="G2035">
        <v>200</v>
      </c>
      <c r="H2035">
        <v>0</v>
      </c>
      <c r="I2035" t="s">
        <v>140</v>
      </c>
      <c r="J2035" t="s">
        <v>7847</v>
      </c>
      <c r="K2035" t="s">
        <v>273</v>
      </c>
      <c r="L2035" t="s">
        <v>27</v>
      </c>
      <c r="M2035" t="s">
        <v>28</v>
      </c>
      <c r="N2035" t="s">
        <v>7848</v>
      </c>
      <c r="O2035" t="s">
        <v>27</v>
      </c>
      <c r="P2035" t="s">
        <v>369</v>
      </c>
      <c r="Q2035" t="s">
        <v>31</v>
      </c>
      <c r="R2035" t="s">
        <v>57</v>
      </c>
      <c r="S2035" t="s">
        <v>28</v>
      </c>
      <c r="T2035" t="s">
        <v>7849</v>
      </c>
      <c r="U2035" t="s">
        <v>7850</v>
      </c>
    </row>
    <row r="2036" spans="1:21" x14ac:dyDescent="0.25">
      <c r="A2036" t="s">
        <v>58</v>
      </c>
      <c r="B2036" t="s">
        <v>103</v>
      </c>
      <c r="C2036">
        <v>84.1</v>
      </c>
      <c r="D2036">
        <v>1</v>
      </c>
      <c r="E2036">
        <v>0</v>
      </c>
      <c r="F2036" t="s">
        <v>7851</v>
      </c>
      <c r="G2036">
        <v>89.1</v>
      </c>
      <c r="H2036">
        <v>5</v>
      </c>
      <c r="I2036" t="s">
        <v>105</v>
      </c>
      <c r="J2036" t="s">
        <v>7852</v>
      </c>
      <c r="K2036" t="s">
        <v>7853</v>
      </c>
      <c r="L2036" t="s">
        <v>7854</v>
      </c>
      <c r="M2036" t="s">
        <v>7855</v>
      </c>
      <c r="N2036" t="s">
        <v>7856</v>
      </c>
      <c r="O2036" t="s">
        <v>27</v>
      </c>
      <c r="P2036" t="s">
        <v>48</v>
      </c>
      <c r="Q2036" t="s">
        <v>49</v>
      </c>
      <c r="R2036" t="s">
        <v>50</v>
      </c>
      <c r="S2036" t="s">
        <v>28</v>
      </c>
      <c r="T2036" t="s">
        <v>7857</v>
      </c>
      <c r="U2036" t="s">
        <v>7856</v>
      </c>
    </row>
    <row r="2037" spans="1:21" x14ac:dyDescent="0.25">
      <c r="A2037" t="s">
        <v>63</v>
      </c>
      <c r="B2037" t="s">
        <v>64</v>
      </c>
      <c r="C2037">
        <v>100</v>
      </c>
      <c r="D2037">
        <v>1</v>
      </c>
      <c r="E2037">
        <v>0</v>
      </c>
      <c r="F2037" t="s">
        <v>7858</v>
      </c>
      <c r="G2037">
        <v>106</v>
      </c>
      <c r="H2037">
        <v>6</v>
      </c>
      <c r="I2037" t="s">
        <v>445</v>
      </c>
      <c r="J2037" t="s">
        <v>7859</v>
      </c>
      <c r="K2037" t="s">
        <v>61</v>
      </c>
      <c r="L2037" t="s">
        <v>27</v>
      </c>
      <c r="M2037" t="s">
        <v>28</v>
      </c>
      <c r="N2037" t="s">
        <v>7860</v>
      </c>
      <c r="O2037" t="s">
        <v>27</v>
      </c>
      <c r="P2037" t="s">
        <v>39</v>
      </c>
      <c r="Q2037" t="s">
        <v>31</v>
      </c>
      <c r="R2037" t="s">
        <v>32</v>
      </c>
      <c r="S2037" t="s">
        <v>28</v>
      </c>
      <c r="T2037" t="s">
        <v>7861</v>
      </c>
      <c r="U2037" t="s">
        <v>7856</v>
      </c>
    </row>
    <row r="2038" spans="1:21" x14ac:dyDescent="0.25">
      <c r="A2038" t="s">
        <v>58</v>
      </c>
      <c r="B2038" t="s">
        <v>103</v>
      </c>
      <c r="C2038">
        <v>99.75</v>
      </c>
      <c r="D2038">
        <v>1</v>
      </c>
      <c r="E2038">
        <v>0</v>
      </c>
      <c r="F2038" t="s">
        <v>7862</v>
      </c>
      <c r="G2038">
        <v>351.75</v>
      </c>
      <c r="H2038">
        <v>24</v>
      </c>
      <c r="I2038" t="s">
        <v>105</v>
      </c>
      <c r="J2038" t="s">
        <v>7863</v>
      </c>
      <c r="K2038" t="s">
        <v>7864</v>
      </c>
      <c r="L2038" t="s">
        <v>7865</v>
      </c>
      <c r="M2038" t="s">
        <v>7866</v>
      </c>
      <c r="N2038" t="s">
        <v>7856</v>
      </c>
      <c r="O2038" t="s">
        <v>27</v>
      </c>
      <c r="P2038" t="s">
        <v>48</v>
      </c>
      <c r="Q2038" t="s">
        <v>49</v>
      </c>
      <c r="R2038" t="s">
        <v>50</v>
      </c>
      <c r="S2038" t="s">
        <v>28</v>
      </c>
      <c r="T2038" t="s">
        <v>7867</v>
      </c>
      <c r="U2038" t="s">
        <v>7856</v>
      </c>
    </row>
    <row r="2039" spans="1:21" x14ac:dyDescent="0.25">
      <c r="A2039" t="s">
        <v>58</v>
      </c>
      <c r="B2039" t="s">
        <v>103</v>
      </c>
      <c r="C2039">
        <v>99.75</v>
      </c>
      <c r="D2039">
        <v>1</v>
      </c>
      <c r="E2039">
        <v>0</v>
      </c>
      <c r="F2039" t="s">
        <v>7862</v>
      </c>
      <c r="G2039">
        <v>351.75</v>
      </c>
      <c r="H2039">
        <v>24</v>
      </c>
      <c r="I2039" t="s">
        <v>105</v>
      </c>
      <c r="J2039" t="s">
        <v>7863</v>
      </c>
      <c r="K2039" t="s">
        <v>7864</v>
      </c>
      <c r="L2039" t="s">
        <v>7865</v>
      </c>
      <c r="M2039" t="s">
        <v>7866</v>
      </c>
      <c r="N2039" t="s">
        <v>7856</v>
      </c>
      <c r="O2039" t="s">
        <v>27</v>
      </c>
      <c r="P2039" t="s">
        <v>48</v>
      </c>
      <c r="Q2039" t="s">
        <v>49</v>
      </c>
      <c r="R2039" t="s">
        <v>50</v>
      </c>
      <c r="S2039" t="s">
        <v>28</v>
      </c>
      <c r="T2039" t="s">
        <v>7867</v>
      </c>
      <c r="U2039" t="s">
        <v>7856</v>
      </c>
    </row>
    <row r="2040" spans="1:21" x14ac:dyDescent="0.25">
      <c r="A2040" t="s">
        <v>33</v>
      </c>
      <c r="B2040" t="s">
        <v>34</v>
      </c>
      <c r="C2040">
        <v>200</v>
      </c>
      <c r="D2040">
        <v>1</v>
      </c>
      <c r="E2040">
        <v>0</v>
      </c>
      <c r="F2040" t="s">
        <v>7868</v>
      </c>
      <c r="G2040">
        <v>200</v>
      </c>
      <c r="H2040">
        <v>0</v>
      </c>
      <c r="I2040" t="s">
        <v>24</v>
      </c>
      <c r="J2040" t="s">
        <v>7869</v>
      </c>
      <c r="K2040" t="s">
        <v>384</v>
      </c>
      <c r="L2040" t="s">
        <v>27</v>
      </c>
      <c r="M2040" t="s">
        <v>28</v>
      </c>
      <c r="N2040" t="s">
        <v>7870</v>
      </c>
      <c r="O2040" t="s">
        <v>27</v>
      </c>
      <c r="P2040" t="s">
        <v>39</v>
      </c>
      <c r="Q2040" t="s">
        <v>31</v>
      </c>
      <c r="R2040" t="s">
        <v>32</v>
      </c>
      <c r="S2040" t="s">
        <v>28</v>
      </c>
      <c r="T2040" t="s">
        <v>7871</v>
      </c>
      <c r="U2040" t="s">
        <v>7856</v>
      </c>
    </row>
    <row r="2041" spans="1:21" x14ac:dyDescent="0.25">
      <c r="A2041" t="s">
        <v>456</v>
      </c>
      <c r="B2041" t="s">
        <v>457</v>
      </c>
      <c r="C2041">
        <v>199</v>
      </c>
      <c r="D2041">
        <v>1</v>
      </c>
      <c r="E2041">
        <v>0</v>
      </c>
      <c r="F2041" t="s">
        <v>7872</v>
      </c>
      <c r="G2041">
        <v>228</v>
      </c>
      <c r="H2041">
        <v>29</v>
      </c>
      <c r="I2041" t="s">
        <v>24</v>
      </c>
      <c r="J2041" t="s">
        <v>7836</v>
      </c>
      <c r="K2041" t="s">
        <v>7873</v>
      </c>
      <c r="L2041" t="s">
        <v>7838</v>
      </c>
      <c r="M2041" t="s">
        <v>7874</v>
      </c>
      <c r="N2041" t="s">
        <v>7875</v>
      </c>
      <c r="O2041" t="s">
        <v>27</v>
      </c>
      <c r="P2041" t="s">
        <v>193</v>
      </c>
      <c r="Q2041" t="s">
        <v>85</v>
      </c>
      <c r="R2041" t="s">
        <v>86</v>
      </c>
      <c r="S2041" t="s">
        <v>28</v>
      </c>
      <c r="T2041" t="s">
        <v>7876</v>
      </c>
      <c r="U2041" t="s">
        <v>7877</v>
      </c>
    </row>
    <row r="2042" spans="1:21" x14ac:dyDescent="0.25">
      <c r="A2042" t="s">
        <v>456</v>
      </c>
      <c r="B2042" t="s">
        <v>457</v>
      </c>
      <c r="C2042">
        <v>199</v>
      </c>
      <c r="D2042">
        <v>1</v>
      </c>
      <c r="E2042">
        <v>0</v>
      </c>
      <c r="F2042" t="s">
        <v>7878</v>
      </c>
      <c r="G2042">
        <v>228</v>
      </c>
      <c r="H2042">
        <v>29</v>
      </c>
      <c r="I2042" t="s">
        <v>24</v>
      </c>
      <c r="J2042" t="s">
        <v>7836</v>
      </c>
      <c r="K2042" t="s">
        <v>7873</v>
      </c>
      <c r="L2042" t="s">
        <v>7838</v>
      </c>
      <c r="M2042" t="s">
        <v>7874</v>
      </c>
      <c r="N2042" t="s">
        <v>7879</v>
      </c>
      <c r="O2042" t="s">
        <v>27</v>
      </c>
      <c r="P2042" t="s">
        <v>193</v>
      </c>
      <c r="Q2042" t="s">
        <v>85</v>
      </c>
      <c r="R2042" t="s">
        <v>86</v>
      </c>
      <c r="S2042" t="s">
        <v>28</v>
      </c>
      <c r="T2042" t="s">
        <v>7880</v>
      </c>
      <c r="U2042" t="s">
        <v>7877</v>
      </c>
    </row>
    <row r="2043" spans="1:21" x14ac:dyDescent="0.25">
      <c r="A2043" t="s">
        <v>58</v>
      </c>
      <c r="B2043" t="s">
        <v>58</v>
      </c>
      <c r="C2043">
        <v>100</v>
      </c>
      <c r="D2043">
        <v>1</v>
      </c>
      <c r="E2043">
        <v>0</v>
      </c>
      <c r="F2043" t="s">
        <v>7881</v>
      </c>
      <c r="G2043">
        <v>107</v>
      </c>
      <c r="H2043">
        <v>7</v>
      </c>
      <c r="I2043" t="s">
        <v>445</v>
      </c>
      <c r="J2043" t="s">
        <v>7882</v>
      </c>
      <c r="K2043" t="s">
        <v>7883</v>
      </c>
      <c r="L2043" t="s">
        <v>1907</v>
      </c>
      <c r="M2043" t="s">
        <v>1744</v>
      </c>
      <c r="N2043" t="s">
        <v>7877</v>
      </c>
      <c r="O2043" t="s">
        <v>27</v>
      </c>
      <c r="P2043" t="s">
        <v>193</v>
      </c>
      <c r="Q2043" t="s">
        <v>85</v>
      </c>
      <c r="R2043" t="s">
        <v>86</v>
      </c>
      <c r="S2043" t="s">
        <v>28</v>
      </c>
      <c r="T2043" t="s">
        <v>7884</v>
      </c>
      <c r="U2043" t="s">
        <v>7877</v>
      </c>
    </row>
    <row r="2044" spans="1:21" x14ac:dyDescent="0.25">
      <c r="A2044" t="s">
        <v>456</v>
      </c>
      <c r="B2044" t="s">
        <v>457</v>
      </c>
      <c r="C2044">
        <v>197</v>
      </c>
      <c r="D2044">
        <v>4</v>
      </c>
      <c r="E2044">
        <v>0</v>
      </c>
      <c r="F2044" t="s">
        <v>7885</v>
      </c>
      <c r="G2044">
        <v>873</v>
      </c>
      <c r="H2044">
        <v>0</v>
      </c>
      <c r="I2044" t="s">
        <v>445</v>
      </c>
      <c r="J2044" t="s">
        <v>7886</v>
      </c>
      <c r="K2044" t="s">
        <v>7887</v>
      </c>
      <c r="L2044" t="s">
        <v>2557</v>
      </c>
      <c r="M2044" t="s">
        <v>2886</v>
      </c>
      <c r="N2044" t="s">
        <v>7888</v>
      </c>
      <c r="O2044" t="s">
        <v>27</v>
      </c>
      <c r="P2044" t="s">
        <v>193</v>
      </c>
      <c r="Q2044" t="s">
        <v>85</v>
      </c>
      <c r="R2044" t="s">
        <v>86</v>
      </c>
      <c r="S2044" t="s">
        <v>28</v>
      </c>
      <c r="T2044" t="s">
        <v>7889</v>
      </c>
      <c r="U2044" t="s">
        <v>7890</v>
      </c>
    </row>
    <row r="2045" spans="1:21" x14ac:dyDescent="0.25">
      <c r="A2045" t="s">
        <v>635</v>
      </c>
      <c r="B2045" t="s">
        <v>714</v>
      </c>
      <c r="C2045">
        <v>525</v>
      </c>
      <c r="D2045">
        <v>1</v>
      </c>
      <c r="E2045">
        <v>0</v>
      </c>
      <c r="F2045" t="s">
        <v>7891</v>
      </c>
      <c r="G2045">
        <v>549</v>
      </c>
      <c r="H2045">
        <v>24</v>
      </c>
      <c r="I2045" t="s">
        <v>628</v>
      </c>
      <c r="J2045" t="s">
        <v>6143</v>
      </c>
      <c r="K2045" t="s">
        <v>7892</v>
      </c>
      <c r="L2045" t="s">
        <v>290</v>
      </c>
      <c r="M2045" t="s">
        <v>6145</v>
      </c>
      <c r="N2045" t="s">
        <v>7893</v>
      </c>
      <c r="O2045" t="s">
        <v>27</v>
      </c>
      <c r="P2045" t="s">
        <v>48</v>
      </c>
      <c r="Q2045" t="s">
        <v>49</v>
      </c>
      <c r="R2045" t="s">
        <v>50</v>
      </c>
      <c r="S2045" t="s">
        <v>28</v>
      </c>
      <c r="T2045" t="s">
        <v>7894</v>
      </c>
      <c r="U2045" t="s">
        <v>7893</v>
      </c>
    </row>
    <row r="2046" spans="1:21" x14ac:dyDescent="0.25">
      <c r="A2046" t="s">
        <v>21</v>
      </c>
      <c r="B2046" t="s">
        <v>22</v>
      </c>
      <c r="C2046">
        <v>100</v>
      </c>
      <c r="D2046">
        <v>1</v>
      </c>
      <c r="E2046">
        <v>0</v>
      </c>
      <c r="F2046" t="s">
        <v>7895</v>
      </c>
      <c r="G2046">
        <v>244</v>
      </c>
      <c r="H2046">
        <v>0</v>
      </c>
      <c r="I2046" t="s">
        <v>140</v>
      </c>
      <c r="J2046" t="s">
        <v>7896</v>
      </c>
      <c r="K2046" t="s">
        <v>358</v>
      </c>
      <c r="L2046" t="s">
        <v>27</v>
      </c>
      <c r="M2046" t="s">
        <v>28</v>
      </c>
      <c r="N2046" t="s">
        <v>7897</v>
      </c>
      <c r="O2046" t="s">
        <v>27</v>
      </c>
      <c r="P2046" t="s">
        <v>369</v>
      </c>
      <c r="Q2046" t="s">
        <v>31</v>
      </c>
      <c r="R2046" t="s">
        <v>57</v>
      </c>
      <c r="S2046" t="s">
        <v>28</v>
      </c>
      <c r="T2046" t="s">
        <v>7898</v>
      </c>
      <c r="U2046" t="s">
        <v>7897</v>
      </c>
    </row>
    <row r="2047" spans="1:21" x14ac:dyDescent="0.25">
      <c r="A2047" t="s">
        <v>456</v>
      </c>
      <c r="B2047" t="s">
        <v>457</v>
      </c>
      <c r="C2047">
        <v>197</v>
      </c>
      <c r="D2047">
        <v>3</v>
      </c>
      <c r="E2047">
        <v>0</v>
      </c>
      <c r="F2047" t="s">
        <v>7899</v>
      </c>
      <c r="G2047">
        <v>591</v>
      </c>
      <c r="H2047">
        <v>0</v>
      </c>
      <c r="I2047" t="s">
        <v>445</v>
      </c>
      <c r="J2047" t="s">
        <v>7900</v>
      </c>
      <c r="K2047" t="s">
        <v>7901</v>
      </c>
      <c r="L2047" t="s">
        <v>7902</v>
      </c>
      <c r="M2047" t="s">
        <v>1744</v>
      </c>
      <c r="N2047" t="s">
        <v>7903</v>
      </c>
      <c r="O2047" t="s">
        <v>27</v>
      </c>
      <c r="P2047" t="s">
        <v>84</v>
      </c>
      <c r="Q2047" t="s">
        <v>85</v>
      </c>
      <c r="R2047" t="s">
        <v>86</v>
      </c>
      <c r="S2047" t="s">
        <v>28</v>
      </c>
      <c r="T2047" t="s">
        <v>7904</v>
      </c>
      <c r="U2047" t="s">
        <v>7905</v>
      </c>
    </row>
    <row r="2048" spans="1:21" x14ac:dyDescent="0.25">
      <c r="A2048" t="s">
        <v>195</v>
      </c>
      <c r="B2048" t="s">
        <v>196</v>
      </c>
      <c r="C2048">
        <v>230</v>
      </c>
      <c r="D2048">
        <v>1</v>
      </c>
      <c r="E2048">
        <v>0</v>
      </c>
      <c r="F2048" t="s">
        <v>7906</v>
      </c>
      <c r="G2048">
        <v>225</v>
      </c>
      <c r="H2048">
        <v>0</v>
      </c>
      <c r="I2048" t="s">
        <v>445</v>
      </c>
      <c r="J2048" t="s">
        <v>7907</v>
      </c>
      <c r="K2048" t="s">
        <v>7908</v>
      </c>
      <c r="L2048" t="s">
        <v>7909</v>
      </c>
      <c r="M2048" t="s">
        <v>7910</v>
      </c>
      <c r="N2048" t="s">
        <v>7911</v>
      </c>
      <c r="O2048" t="s">
        <v>27</v>
      </c>
      <c r="P2048" t="s">
        <v>84</v>
      </c>
      <c r="Q2048" t="s">
        <v>85</v>
      </c>
      <c r="R2048" t="s">
        <v>86</v>
      </c>
      <c r="S2048" t="s">
        <v>28</v>
      </c>
      <c r="T2048" t="s">
        <v>7912</v>
      </c>
      <c r="U2048" t="s">
        <v>7911</v>
      </c>
    </row>
    <row r="2049" spans="1:21" x14ac:dyDescent="0.25">
      <c r="A2049" t="s">
        <v>63</v>
      </c>
      <c r="B2049" t="s">
        <v>64</v>
      </c>
      <c r="C2049">
        <v>100</v>
      </c>
      <c r="D2049">
        <v>1</v>
      </c>
      <c r="E2049">
        <v>0</v>
      </c>
      <c r="F2049" t="s">
        <v>7913</v>
      </c>
      <c r="G2049">
        <v>200</v>
      </c>
      <c r="H2049">
        <v>0</v>
      </c>
      <c r="I2049" t="s">
        <v>24</v>
      </c>
      <c r="J2049" t="s">
        <v>7914</v>
      </c>
      <c r="K2049" t="s">
        <v>572</v>
      </c>
      <c r="L2049" t="s">
        <v>27</v>
      </c>
      <c r="M2049" t="s">
        <v>28</v>
      </c>
      <c r="N2049" t="s">
        <v>7911</v>
      </c>
      <c r="O2049" t="s">
        <v>27</v>
      </c>
      <c r="P2049" t="s">
        <v>56</v>
      </c>
      <c r="Q2049" t="s">
        <v>31</v>
      </c>
      <c r="R2049" t="s">
        <v>57</v>
      </c>
      <c r="S2049" t="s">
        <v>28</v>
      </c>
      <c r="T2049" t="s">
        <v>7915</v>
      </c>
      <c r="U2049" t="s">
        <v>7916</v>
      </c>
    </row>
    <row r="2050" spans="1:21" x14ac:dyDescent="0.25">
      <c r="A2050" t="s">
        <v>21</v>
      </c>
      <c r="B2050" t="s">
        <v>22</v>
      </c>
      <c r="C2050">
        <v>100</v>
      </c>
      <c r="D2050">
        <v>1</v>
      </c>
      <c r="E2050">
        <v>0</v>
      </c>
      <c r="F2050" t="s">
        <v>7913</v>
      </c>
      <c r="G2050">
        <v>200</v>
      </c>
      <c r="H2050">
        <v>0</v>
      </c>
      <c r="I2050" t="s">
        <v>24</v>
      </c>
      <c r="J2050" t="s">
        <v>7914</v>
      </c>
      <c r="K2050" t="s">
        <v>572</v>
      </c>
      <c r="L2050" t="s">
        <v>27</v>
      </c>
      <c r="M2050" t="s">
        <v>28</v>
      </c>
      <c r="N2050" t="s">
        <v>7911</v>
      </c>
      <c r="O2050" t="s">
        <v>27</v>
      </c>
      <c r="P2050" t="s">
        <v>56</v>
      </c>
      <c r="Q2050" t="s">
        <v>31</v>
      </c>
      <c r="R2050" t="s">
        <v>57</v>
      </c>
      <c r="S2050" t="s">
        <v>28</v>
      </c>
      <c r="T2050" t="s">
        <v>7915</v>
      </c>
      <c r="U2050" t="s">
        <v>7916</v>
      </c>
    </row>
    <row r="2051" spans="1:21" x14ac:dyDescent="0.25">
      <c r="A2051" t="s">
        <v>456</v>
      </c>
      <c r="B2051" t="s">
        <v>457</v>
      </c>
      <c r="C2051">
        <v>197</v>
      </c>
      <c r="D2051">
        <v>1</v>
      </c>
      <c r="E2051">
        <v>0</v>
      </c>
      <c r="F2051" t="s">
        <v>7917</v>
      </c>
      <c r="G2051">
        <v>237</v>
      </c>
      <c r="H2051">
        <v>45</v>
      </c>
      <c r="I2051" t="s">
        <v>445</v>
      </c>
      <c r="J2051" t="s">
        <v>1742</v>
      </c>
      <c r="K2051" t="s">
        <v>7918</v>
      </c>
      <c r="L2051" t="s">
        <v>1485</v>
      </c>
      <c r="M2051" t="s">
        <v>7919</v>
      </c>
      <c r="N2051" t="s">
        <v>7920</v>
      </c>
      <c r="O2051" t="s">
        <v>27</v>
      </c>
      <c r="P2051" t="s">
        <v>84</v>
      </c>
      <c r="Q2051" t="s">
        <v>85</v>
      </c>
      <c r="R2051" t="s">
        <v>86</v>
      </c>
      <c r="S2051" t="s">
        <v>28</v>
      </c>
      <c r="T2051" t="s">
        <v>7921</v>
      </c>
      <c r="U2051" t="s">
        <v>7922</v>
      </c>
    </row>
    <row r="2052" spans="1:21" x14ac:dyDescent="0.25">
      <c r="A2052" t="s">
        <v>5625</v>
      </c>
      <c r="B2052" t="s">
        <v>5626</v>
      </c>
      <c r="C2052">
        <v>1200</v>
      </c>
      <c r="D2052">
        <v>1</v>
      </c>
      <c r="E2052">
        <v>0</v>
      </c>
      <c r="F2052" t="s">
        <v>7923</v>
      </c>
      <c r="G2052">
        <v>1200</v>
      </c>
      <c r="H2052">
        <v>0</v>
      </c>
      <c r="I2052" t="s">
        <v>140</v>
      </c>
      <c r="J2052" t="s">
        <v>1000</v>
      </c>
      <c r="K2052" t="s">
        <v>758</v>
      </c>
      <c r="L2052" t="s">
        <v>27</v>
      </c>
      <c r="M2052" t="s">
        <v>28</v>
      </c>
      <c r="N2052" t="s">
        <v>7922</v>
      </c>
      <c r="O2052" t="s">
        <v>27</v>
      </c>
      <c r="P2052" t="s">
        <v>30</v>
      </c>
      <c r="Q2052" t="s">
        <v>31</v>
      </c>
      <c r="R2052" t="s">
        <v>32</v>
      </c>
      <c r="S2052" t="s">
        <v>28</v>
      </c>
      <c r="T2052" t="s">
        <v>7924</v>
      </c>
      <c r="U2052" t="s">
        <v>7922</v>
      </c>
    </row>
    <row r="2053" spans="1:21" x14ac:dyDescent="0.25">
      <c r="A2053" t="s">
        <v>21</v>
      </c>
      <c r="B2053" t="s">
        <v>22</v>
      </c>
      <c r="C2053">
        <v>100</v>
      </c>
      <c r="D2053">
        <v>1</v>
      </c>
      <c r="E2053">
        <v>0</v>
      </c>
      <c r="F2053" t="s">
        <v>7925</v>
      </c>
      <c r="G2053">
        <v>106</v>
      </c>
      <c r="H2053">
        <v>6</v>
      </c>
      <c r="I2053" t="s">
        <v>24</v>
      </c>
      <c r="J2053" t="s">
        <v>7926</v>
      </c>
      <c r="K2053" t="s">
        <v>311</v>
      </c>
      <c r="L2053" t="s">
        <v>27</v>
      </c>
      <c r="M2053" t="s">
        <v>28</v>
      </c>
      <c r="N2053" t="s">
        <v>7922</v>
      </c>
      <c r="O2053" t="s">
        <v>27</v>
      </c>
      <c r="P2053" t="s">
        <v>39</v>
      </c>
      <c r="Q2053" t="s">
        <v>31</v>
      </c>
      <c r="R2053" t="s">
        <v>32</v>
      </c>
      <c r="S2053" t="s">
        <v>28</v>
      </c>
      <c r="T2053" t="s">
        <v>7927</v>
      </c>
      <c r="U2053" t="s">
        <v>7922</v>
      </c>
    </row>
    <row r="2054" spans="1:21" x14ac:dyDescent="0.25">
      <c r="A2054" t="s">
        <v>40</v>
      </c>
      <c r="B2054" t="s">
        <v>41</v>
      </c>
      <c r="C2054">
        <v>111.6</v>
      </c>
      <c r="D2054">
        <v>1</v>
      </c>
      <c r="E2054">
        <v>0</v>
      </c>
      <c r="F2054" t="s">
        <v>7928</v>
      </c>
      <c r="G2054">
        <v>116.6</v>
      </c>
      <c r="H2054">
        <v>5</v>
      </c>
      <c r="I2054" t="s">
        <v>24</v>
      </c>
      <c r="J2054" t="s">
        <v>7929</v>
      </c>
      <c r="K2054" t="s">
        <v>7930</v>
      </c>
      <c r="L2054" t="s">
        <v>7931</v>
      </c>
      <c r="M2054" t="s">
        <v>7932</v>
      </c>
      <c r="N2054" t="s">
        <v>7933</v>
      </c>
      <c r="O2054" t="s">
        <v>27</v>
      </c>
      <c r="P2054" t="s">
        <v>48</v>
      </c>
      <c r="Q2054" t="s">
        <v>49</v>
      </c>
      <c r="R2054" t="s">
        <v>50</v>
      </c>
      <c r="S2054" t="s">
        <v>28</v>
      </c>
      <c r="T2054" t="s">
        <v>7934</v>
      </c>
      <c r="U2054" t="s">
        <v>7935</v>
      </c>
    </row>
    <row r="2055" spans="1:21" x14ac:dyDescent="0.25">
      <c r="A2055" t="s">
        <v>21</v>
      </c>
      <c r="B2055" t="s">
        <v>22</v>
      </c>
      <c r="C2055">
        <v>100</v>
      </c>
      <c r="D2055">
        <v>2</v>
      </c>
      <c r="E2055">
        <v>0</v>
      </c>
      <c r="F2055" t="s">
        <v>7936</v>
      </c>
      <c r="G2055">
        <v>200</v>
      </c>
      <c r="H2055">
        <v>0</v>
      </c>
      <c r="I2055" t="s">
        <v>24</v>
      </c>
      <c r="J2055" t="s">
        <v>1894</v>
      </c>
      <c r="K2055" t="s">
        <v>37</v>
      </c>
      <c r="L2055" t="s">
        <v>27</v>
      </c>
      <c r="M2055" t="s">
        <v>28</v>
      </c>
      <c r="N2055" t="s">
        <v>7935</v>
      </c>
      <c r="O2055" t="s">
        <v>27</v>
      </c>
      <c r="P2055" t="s">
        <v>39</v>
      </c>
      <c r="Q2055" t="s">
        <v>31</v>
      </c>
      <c r="R2055" t="s">
        <v>32</v>
      </c>
      <c r="S2055" t="s">
        <v>28</v>
      </c>
      <c r="T2055" t="s">
        <v>7937</v>
      </c>
      <c r="U2055" t="s">
        <v>7935</v>
      </c>
    </row>
    <row r="2056" spans="1:21" x14ac:dyDescent="0.25">
      <c r="A2056" t="s">
        <v>63</v>
      </c>
      <c r="B2056" t="s">
        <v>64</v>
      </c>
      <c r="C2056">
        <v>100</v>
      </c>
      <c r="D2056">
        <v>3</v>
      </c>
      <c r="E2056">
        <v>0</v>
      </c>
      <c r="F2056" t="s">
        <v>7938</v>
      </c>
      <c r="G2056">
        <v>300</v>
      </c>
      <c r="H2056">
        <v>0</v>
      </c>
      <c r="I2056" t="s">
        <v>140</v>
      </c>
      <c r="J2056" t="s">
        <v>6371</v>
      </c>
      <c r="K2056" t="s">
        <v>118</v>
      </c>
      <c r="L2056" t="s">
        <v>27</v>
      </c>
      <c r="M2056" t="s">
        <v>28</v>
      </c>
      <c r="N2056" t="s">
        <v>7939</v>
      </c>
      <c r="O2056" t="s">
        <v>27</v>
      </c>
      <c r="P2056" t="s">
        <v>30</v>
      </c>
      <c r="Q2056" t="s">
        <v>31</v>
      </c>
      <c r="R2056" t="s">
        <v>32</v>
      </c>
      <c r="S2056" t="s">
        <v>28</v>
      </c>
      <c r="T2056" t="s">
        <v>7940</v>
      </c>
      <c r="U2056" t="s">
        <v>7939</v>
      </c>
    </row>
    <row r="2057" spans="1:21" x14ac:dyDescent="0.25">
      <c r="A2057" t="s">
        <v>33</v>
      </c>
      <c r="B2057" t="s">
        <v>34</v>
      </c>
      <c r="C2057">
        <v>200</v>
      </c>
      <c r="D2057">
        <v>1</v>
      </c>
      <c r="E2057">
        <v>0</v>
      </c>
      <c r="F2057" t="s">
        <v>7941</v>
      </c>
      <c r="G2057">
        <v>200</v>
      </c>
      <c r="H2057">
        <v>0</v>
      </c>
      <c r="I2057" t="s">
        <v>24</v>
      </c>
      <c r="J2057" t="s">
        <v>7942</v>
      </c>
      <c r="K2057" t="s">
        <v>37</v>
      </c>
      <c r="L2057" t="s">
        <v>27</v>
      </c>
      <c r="M2057" t="s">
        <v>28</v>
      </c>
      <c r="N2057" t="s">
        <v>7943</v>
      </c>
      <c r="O2057" t="s">
        <v>27</v>
      </c>
      <c r="P2057" t="s">
        <v>39</v>
      </c>
      <c r="Q2057" t="s">
        <v>31</v>
      </c>
      <c r="R2057" t="s">
        <v>32</v>
      </c>
      <c r="S2057" t="s">
        <v>28</v>
      </c>
      <c r="T2057" t="s">
        <v>7944</v>
      </c>
      <c r="U2057" t="s">
        <v>7943</v>
      </c>
    </row>
    <row r="2058" spans="1:21" x14ac:dyDescent="0.25">
      <c r="A2058" t="s">
        <v>70</v>
      </c>
      <c r="B2058" t="s">
        <v>70</v>
      </c>
      <c r="C2058">
        <v>330</v>
      </c>
      <c r="D2058">
        <v>1</v>
      </c>
      <c r="E2058">
        <v>0</v>
      </c>
      <c r="F2058" t="s">
        <v>7945</v>
      </c>
      <c r="G2058">
        <v>330</v>
      </c>
      <c r="H2058">
        <v>0</v>
      </c>
      <c r="I2058" t="s">
        <v>24</v>
      </c>
      <c r="J2058" t="s">
        <v>7946</v>
      </c>
      <c r="K2058" t="s">
        <v>7080</v>
      </c>
      <c r="L2058" t="s">
        <v>27</v>
      </c>
      <c r="M2058" t="s">
        <v>28</v>
      </c>
      <c r="N2058" t="s">
        <v>7947</v>
      </c>
      <c r="O2058" t="s">
        <v>27</v>
      </c>
      <c r="P2058" t="s">
        <v>56</v>
      </c>
      <c r="Q2058" t="s">
        <v>31</v>
      </c>
      <c r="R2058" t="s">
        <v>57</v>
      </c>
      <c r="S2058" t="s">
        <v>28</v>
      </c>
      <c r="T2058" t="s">
        <v>7948</v>
      </c>
      <c r="U2058" t="s">
        <v>7947</v>
      </c>
    </row>
    <row r="2059" spans="1:21" x14ac:dyDescent="0.25">
      <c r="A2059" t="s">
        <v>63</v>
      </c>
      <c r="B2059" t="s">
        <v>64</v>
      </c>
      <c r="C2059">
        <v>100</v>
      </c>
      <c r="D2059">
        <v>1</v>
      </c>
      <c r="E2059">
        <v>0</v>
      </c>
      <c r="F2059" t="s">
        <v>7949</v>
      </c>
      <c r="G2059">
        <v>100</v>
      </c>
      <c r="H2059">
        <v>0</v>
      </c>
      <c r="I2059" t="s">
        <v>24</v>
      </c>
      <c r="J2059" t="s">
        <v>7950</v>
      </c>
      <c r="K2059" t="s">
        <v>247</v>
      </c>
      <c r="L2059" t="s">
        <v>27</v>
      </c>
      <c r="M2059" t="s">
        <v>28</v>
      </c>
      <c r="N2059" t="s">
        <v>7951</v>
      </c>
      <c r="O2059" t="s">
        <v>27</v>
      </c>
      <c r="P2059" t="s">
        <v>39</v>
      </c>
      <c r="Q2059" t="s">
        <v>31</v>
      </c>
      <c r="R2059" t="s">
        <v>32</v>
      </c>
      <c r="S2059" t="s">
        <v>28</v>
      </c>
      <c r="T2059" t="s">
        <v>7952</v>
      </c>
      <c r="U2059" t="s">
        <v>7951</v>
      </c>
    </row>
    <row r="2060" spans="1:21" x14ac:dyDescent="0.25">
      <c r="A2060" t="s">
        <v>275</v>
      </c>
      <c r="B2060" t="s">
        <v>1864</v>
      </c>
      <c r="C2060">
        <v>140</v>
      </c>
      <c r="D2060">
        <v>1</v>
      </c>
      <c r="E2060">
        <v>0</v>
      </c>
      <c r="F2060" t="s">
        <v>7953</v>
      </c>
      <c r="G2060">
        <v>147</v>
      </c>
      <c r="H2060">
        <v>7</v>
      </c>
      <c r="I2060" t="s">
        <v>24</v>
      </c>
      <c r="J2060" t="s">
        <v>7954</v>
      </c>
      <c r="K2060" t="s">
        <v>7955</v>
      </c>
      <c r="L2060" t="s">
        <v>1076</v>
      </c>
      <c r="M2060" t="s">
        <v>1973</v>
      </c>
      <c r="N2060" t="s">
        <v>7956</v>
      </c>
      <c r="O2060" t="s">
        <v>27</v>
      </c>
      <c r="P2060" t="s">
        <v>84</v>
      </c>
      <c r="Q2060" t="s">
        <v>85</v>
      </c>
      <c r="R2060" t="s">
        <v>86</v>
      </c>
      <c r="S2060" t="s">
        <v>28</v>
      </c>
      <c r="T2060" t="s">
        <v>7957</v>
      </c>
      <c r="U2060" t="s">
        <v>7958</v>
      </c>
    </row>
    <row r="2061" spans="1:21" x14ac:dyDescent="0.25">
      <c r="A2061" t="s">
        <v>33</v>
      </c>
      <c r="B2061" t="s">
        <v>34</v>
      </c>
      <c r="C2061">
        <v>200</v>
      </c>
      <c r="D2061">
        <v>1</v>
      </c>
      <c r="E2061">
        <v>0</v>
      </c>
      <c r="F2061" t="s">
        <v>7959</v>
      </c>
      <c r="G2061">
        <v>200</v>
      </c>
      <c r="H2061">
        <v>0</v>
      </c>
      <c r="I2061" t="s">
        <v>445</v>
      </c>
      <c r="J2061" t="s">
        <v>5078</v>
      </c>
      <c r="K2061" t="s">
        <v>342</v>
      </c>
      <c r="L2061" t="s">
        <v>27</v>
      </c>
      <c r="M2061" t="s">
        <v>28</v>
      </c>
      <c r="N2061" t="s">
        <v>7960</v>
      </c>
      <c r="O2061" t="s">
        <v>27</v>
      </c>
      <c r="P2061" t="s">
        <v>39</v>
      </c>
      <c r="Q2061" t="s">
        <v>31</v>
      </c>
      <c r="R2061" t="s">
        <v>32</v>
      </c>
      <c r="S2061" t="s">
        <v>28</v>
      </c>
      <c r="T2061" t="s">
        <v>7961</v>
      </c>
      <c r="U2061" t="s">
        <v>7960</v>
      </c>
    </row>
    <row r="2062" spans="1:21" x14ac:dyDescent="0.25">
      <c r="A2062" t="s">
        <v>63</v>
      </c>
      <c r="B2062" t="s">
        <v>64</v>
      </c>
      <c r="C2062">
        <v>100</v>
      </c>
      <c r="D2062">
        <v>1</v>
      </c>
      <c r="E2062">
        <v>0</v>
      </c>
      <c r="F2062" t="s">
        <v>7962</v>
      </c>
      <c r="G2062">
        <v>106</v>
      </c>
      <c r="H2062">
        <v>6</v>
      </c>
      <c r="I2062" t="s">
        <v>24</v>
      </c>
      <c r="J2062" t="s">
        <v>893</v>
      </c>
      <c r="K2062" t="s">
        <v>594</v>
      </c>
      <c r="L2062" t="s">
        <v>27</v>
      </c>
      <c r="M2062" t="s">
        <v>28</v>
      </c>
      <c r="N2062" t="s">
        <v>7963</v>
      </c>
      <c r="O2062" t="s">
        <v>27</v>
      </c>
      <c r="P2062" t="s">
        <v>39</v>
      </c>
      <c r="Q2062" t="s">
        <v>31</v>
      </c>
      <c r="R2062" t="s">
        <v>32</v>
      </c>
      <c r="S2062" t="s">
        <v>28</v>
      </c>
      <c r="T2062" t="s">
        <v>7964</v>
      </c>
      <c r="U2062" t="s">
        <v>7963</v>
      </c>
    </row>
    <row r="2063" spans="1:21" x14ac:dyDescent="0.25">
      <c r="A2063" t="s">
        <v>33</v>
      </c>
      <c r="B2063" t="s">
        <v>34</v>
      </c>
      <c r="C2063">
        <v>200</v>
      </c>
      <c r="D2063">
        <v>1</v>
      </c>
      <c r="E2063">
        <v>0</v>
      </c>
      <c r="F2063" t="s">
        <v>7965</v>
      </c>
      <c r="G2063">
        <v>200</v>
      </c>
      <c r="H2063">
        <v>0</v>
      </c>
      <c r="I2063" t="s">
        <v>24</v>
      </c>
      <c r="J2063" t="s">
        <v>7966</v>
      </c>
      <c r="K2063" t="s">
        <v>54</v>
      </c>
      <c r="L2063" t="s">
        <v>27</v>
      </c>
      <c r="M2063" t="s">
        <v>28</v>
      </c>
      <c r="N2063" t="s">
        <v>7967</v>
      </c>
      <c r="O2063" t="s">
        <v>27</v>
      </c>
      <c r="P2063" t="s">
        <v>39</v>
      </c>
      <c r="Q2063" t="s">
        <v>31</v>
      </c>
      <c r="R2063" t="s">
        <v>32</v>
      </c>
      <c r="S2063" t="s">
        <v>28</v>
      </c>
      <c r="T2063" t="s">
        <v>7968</v>
      </c>
      <c r="U2063" t="s">
        <v>7967</v>
      </c>
    </row>
    <row r="2064" spans="1:21" x14ac:dyDescent="0.25">
      <c r="A2064" t="s">
        <v>21</v>
      </c>
      <c r="B2064" t="s">
        <v>22</v>
      </c>
      <c r="C2064">
        <v>100</v>
      </c>
      <c r="D2064">
        <v>1</v>
      </c>
      <c r="E2064">
        <v>0</v>
      </c>
      <c r="F2064" t="s">
        <v>7969</v>
      </c>
      <c r="G2064">
        <v>106</v>
      </c>
      <c r="H2064">
        <v>6</v>
      </c>
      <c r="I2064" t="s">
        <v>445</v>
      </c>
      <c r="J2064" t="s">
        <v>7970</v>
      </c>
      <c r="K2064" t="s">
        <v>89</v>
      </c>
      <c r="L2064" t="s">
        <v>27</v>
      </c>
      <c r="M2064" t="s">
        <v>28</v>
      </c>
      <c r="N2064" t="s">
        <v>7971</v>
      </c>
      <c r="O2064" t="s">
        <v>27</v>
      </c>
      <c r="P2064" t="s">
        <v>369</v>
      </c>
      <c r="Q2064" t="s">
        <v>31</v>
      </c>
      <c r="R2064" t="s">
        <v>57</v>
      </c>
      <c r="S2064" t="s">
        <v>28</v>
      </c>
      <c r="T2064" t="s">
        <v>7972</v>
      </c>
      <c r="U2064" t="s">
        <v>7973</v>
      </c>
    </row>
    <row r="2065" spans="1:21" x14ac:dyDescent="0.25">
      <c r="A2065" t="s">
        <v>33</v>
      </c>
      <c r="B2065" t="s">
        <v>34</v>
      </c>
      <c r="C2065">
        <v>200</v>
      </c>
      <c r="D2065">
        <v>1</v>
      </c>
      <c r="E2065">
        <v>0</v>
      </c>
      <c r="F2065" t="s">
        <v>7974</v>
      </c>
      <c r="G2065">
        <v>200</v>
      </c>
      <c r="H2065">
        <v>0</v>
      </c>
      <c r="I2065" t="s">
        <v>445</v>
      </c>
      <c r="J2065" t="s">
        <v>7975</v>
      </c>
      <c r="K2065" t="s">
        <v>89</v>
      </c>
      <c r="L2065" t="s">
        <v>27</v>
      </c>
      <c r="M2065" t="s">
        <v>28</v>
      </c>
      <c r="N2065" t="s">
        <v>7976</v>
      </c>
      <c r="O2065" t="s">
        <v>27</v>
      </c>
      <c r="P2065" t="s">
        <v>39</v>
      </c>
      <c r="Q2065" t="s">
        <v>31</v>
      </c>
      <c r="R2065" t="s">
        <v>32</v>
      </c>
      <c r="S2065" t="s">
        <v>28</v>
      </c>
      <c r="T2065" t="s">
        <v>7977</v>
      </c>
      <c r="U2065" t="s">
        <v>7976</v>
      </c>
    </row>
    <row r="2066" spans="1:21" x14ac:dyDescent="0.25">
      <c r="A2066" t="s">
        <v>143</v>
      </c>
      <c r="B2066" t="s">
        <v>144</v>
      </c>
      <c r="C2066">
        <v>200</v>
      </c>
      <c r="D2066">
        <v>1</v>
      </c>
      <c r="E2066">
        <v>0</v>
      </c>
      <c r="F2066" t="s">
        <v>7978</v>
      </c>
      <c r="G2066">
        <v>200</v>
      </c>
      <c r="H2066">
        <v>0</v>
      </c>
      <c r="I2066" t="s">
        <v>24</v>
      </c>
      <c r="J2066" t="s">
        <v>7979</v>
      </c>
      <c r="K2066" t="s">
        <v>451</v>
      </c>
      <c r="L2066" t="s">
        <v>27</v>
      </c>
      <c r="M2066" t="s">
        <v>28</v>
      </c>
      <c r="N2066" t="s">
        <v>7980</v>
      </c>
      <c r="O2066" t="s">
        <v>27</v>
      </c>
      <c r="P2066" t="s">
        <v>39</v>
      </c>
      <c r="Q2066" t="s">
        <v>31</v>
      </c>
      <c r="R2066" t="s">
        <v>32</v>
      </c>
      <c r="S2066" t="s">
        <v>28</v>
      </c>
      <c r="T2066" t="s">
        <v>7981</v>
      </c>
      <c r="U2066" t="s">
        <v>7980</v>
      </c>
    </row>
    <row r="2067" spans="1:21" x14ac:dyDescent="0.25">
      <c r="A2067" t="s">
        <v>58</v>
      </c>
      <c r="B2067" t="s">
        <v>58</v>
      </c>
      <c r="C2067">
        <v>100</v>
      </c>
      <c r="D2067">
        <v>3</v>
      </c>
      <c r="E2067">
        <v>0</v>
      </c>
      <c r="F2067" t="s">
        <v>7982</v>
      </c>
      <c r="G2067">
        <v>300</v>
      </c>
      <c r="H2067">
        <v>0</v>
      </c>
      <c r="I2067" t="s">
        <v>445</v>
      </c>
      <c r="J2067" t="s">
        <v>873</v>
      </c>
      <c r="K2067" t="s">
        <v>7983</v>
      </c>
      <c r="L2067" t="s">
        <v>7984</v>
      </c>
      <c r="M2067" t="s">
        <v>7985</v>
      </c>
      <c r="N2067" t="s">
        <v>7986</v>
      </c>
      <c r="O2067" t="s">
        <v>27</v>
      </c>
      <c r="P2067" t="s">
        <v>84</v>
      </c>
      <c r="Q2067" t="s">
        <v>85</v>
      </c>
      <c r="R2067" t="s">
        <v>86</v>
      </c>
      <c r="S2067" t="s">
        <v>28</v>
      </c>
      <c r="T2067" t="s">
        <v>7987</v>
      </c>
      <c r="U2067" t="s">
        <v>7986</v>
      </c>
    </row>
    <row r="2068" spans="1:21" x14ac:dyDescent="0.25">
      <c r="A2068" t="s">
        <v>33</v>
      </c>
      <c r="B2068" t="s">
        <v>34</v>
      </c>
      <c r="C2068">
        <v>200</v>
      </c>
      <c r="D2068">
        <v>1</v>
      </c>
      <c r="E2068">
        <v>0</v>
      </c>
      <c r="F2068" t="s">
        <v>7988</v>
      </c>
      <c r="G2068">
        <v>200</v>
      </c>
      <c r="H2068">
        <v>0</v>
      </c>
      <c r="I2068" t="s">
        <v>24</v>
      </c>
      <c r="J2068" t="s">
        <v>7989</v>
      </c>
      <c r="K2068" t="s">
        <v>384</v>
      </c>
      <c r="L2068" t="s">
        <v>27</v>
      </c>
      <c r="M2068" t="s">
        <v>28</v>
      </c>
      <c r="N2068" t="s">
        <v>7990</v>
      </c>
      <c r="O2068" t="s">
        <v>27</v>
      </c>
      <c r="P2068" t="s">
        <v>39</v>
      </c>
      <c r="Q2068" t="s">
        <v>31</v>
      </c>
      <c r="R2068" t="s">
        <v>32</v>
      </c>
      <c r="S2068" t="s">
        <v>28</v>
      </c>
      <c r="T2068" t="s">
        <v>7991</v>
      </c>
      <c r="U2068" t="s">
        <v>7990</v>
      </c>
    </row>
    <row r="2069" spans="1:21" x14ac:dyDescent="0.25">
      <c r="A2069" t="s">
        <v>63</v>
      </c>
      <c r="B2069" t="s">
        <v>64</v>
      </c>
      <c r="C2069">
        <v>100</v>
      </c>
      <c r="D2069">
        <v>1</v>
      </c>
      <c r="E2069">
        <v>0</v>
      </c>
      <c r="F2069" t="s">
        <v>7992</v>
      </c>
      <c r="G2069">
        <v>200</v>
      </c>
      <c r="H2069">
        <v>0</v>
      </c>
      <c r="I2069" t="s">
        <v>24</v>
      </c>
      <c r="J2069" t="s">
        <v>7993</v>
      </c>
      <c r="K2069" t="s">
        <v>753</v>
      </c>
      <c r="L2069" t="s">
        <v>27</v>
      </c>
      <c r="M2069" t="s">
        <v>28</v>
      </c>
      <c r="N2069" t="s">
        <v>7994</v>
      </c>
      <c r="O2069" t="s">
        <v>27</v>
      </c>
      <c r="P2069" t="s">
        <v>56</v>
      </c>
      <c r="Q2069" t="s">
        <v>31</v>
      </c>
      <c r="R2069" t="s">
        <v>57</v>
      </c>
      <c r="S2069" t="s">
        <v>28</v>
      </c>
      <c r="T2069" t="s">
        <v>7995</v>
      </c>
      <c r="U2069" t="s">
        <v>7994</v>
      </c>
    </row>
    <row r="2070" spans="1:21" x14ac:dyDescent="0.25">
      <c r="A2070" t="s">
        <v>134</v>
      </c>
      <c r="B2070" t="s">
        <v>64</v>
      </c>
      <c r="C2070">
        <v>100</v>
      </c>
      <c r="D2070">
        <v>1</v>
      </c>
      <c r="E2070">
        <v>0</v>
      </c>
      <c r="F2070" t="s">
        <v>7992</v>
      </c>
      <c r="G2070">
        <v>200</v>
      </c>
      <c r="H2070">
        <v>0</v>
      </c>
      <c r="I2070" t="s">
        <v>24</v>
      </c>
      <c r="J2070" t="s">
        <v>7993</v>
      </c>
      <c r="K2070" t="s">
        <v>753</v>
      </c>
      <c r="L2070" t="s">
        <v>27</v>
      </c>
      <c r="M2070" t="s">
        <v>28</v>
      </c>
      <c r="N2070" t="s">
        <v>7994</v>
      </c>
      <c r="O2070" t="s">
        <v>27</v>
      </c>
      <c r="P2070" t="s">
        <v>56</v>
      </c>
      <c r="Q2070" t="s">
        <v>31</v>
      </c>
      <c r="R2070" t="s">
        <v>57</v>
      </c>
      <c r="S2070" t="s">
        <v>28</v>
      </c>
      <c r="T2070" t="s">
        <v>7995</v>
      </c>
      <c r="U2070" t="s">
        <v>7994</v>
      </c>
    </row>
    <row r="2071" spans="1:21" x14ac:dyDescent="0.25">
      <c r="A2071" t="s">
        <v>63</v>
      </c>
      <c r="B2071" t="s">
        <v>64</v>
      </c>
      <c r="C2071">
        <v>100</v>
      </c>
      <c r="D2071">
        <v>2</v>
      </c>
      <c r="E2071">
        <v>0</v>
      </c>
      <c r="F2071" t="s">
        <v>7996</v>
      </c>
      <c r="G2071">
        <v>200</v>
      </c>
      <c r="H2071">
        <v>0</v>
      </c>
      <c r="I2071" t="s">
        <v>24</v>
      </c>
      <c r="J2071" t="s">
        <v>7997</v>
      </c>
      <c r="K2071" t="s">
        <v>250</v>
      </c>
      <c r="L2071" t="s">
        <v>27</v>
      </c>
      <c r="M2071" t="s">
        <v>28</v>
      </c>
      <c r="N2071" t="s">
        <v>7998</v>
      </c>
      <c r="O2071" t="s">
        <v>27</v>
      </c>
      <c r="P2071" t="s">
        <v>56</v>
      </c>
      <c r="Q2071" t="s">
        <v>31</v>
      </c>
      <c r="R2071" t="s">
        <v>57</v>
      </c>
      <c r="S2071" t="s">
        <v>28</v>
      </c>
      <c r="T2071" t="s">
        <v>7999</v>
      </c>
      <c r="U2071" t="s">
        <v>7998</v>
      </c>
    </row>
    <row r="2072" spans="1:21" x14ac:dyDescent="0.25">
      <c r="A2072" t="s">
        <v>635</v>
      </c>
      <c r="B2072" t="s">
        <v>8000</v>
      </c>
      <c r="C2072">
        <v>645.6</v>
      </c>
      <c r="D2072">
        <v>1</v>
      </c>
      <c r="E2072">
        <v>0</v>
      </c>
      <c r="F2072" t="s">
        <v>8001</v>
      </c>
      <c r="G2072">
        <v>684.6</v>
      </c>
      <c r="H2072">
        <v>39</v>
      </c>
      <c r="I2072" t="s">
        <v>24</v>
      </c>
      <c r="J2072" t="s">
        <v>8002</v>
      </c>
      <c r="K2072" t="s">
        <v>8003</v>
      </c>
      <c r="L2072" t="s">
        <v>8004</v>
      </c>
      <c r="M2072" t="s">
        <v>8005</v>
      </c>
      <c r="N2072" t="s">
        <v>8006</v>
      </c>
      <c r="O2072" t="s">
        <v>27</v>
      </c>
      <c r="P2072" t="s">
        <v>48</v>
      </c>
      <c r="Q2072" t="s">
        <v>49</v>
      </c>
      <c r="R2072" t="s">
        <v>50</v>
      </c>
      <c r="S2072" t="s">
        <v>28</v>
      </c>
      <c r="T2072" t="s">
        <v>8007</v>
      </c>
      <c r="U2072" t="s">
        <v>8006</v>
      </c>
    </row>
    <row r="2073" spans="1:21" x14ac:dyDescent="0.25">
      <c r="A2073" t="s">
        <v>456</v>
      </c>
      <c r="B2073" t="s">
        <v>457</v>
      </c>
      <c r="C2073">
        <v>199</v>
      </c>
      <c r="D2073">
        <v>1</v>
      </c>
      <c r="E2073">
        <v>0</v>
      </c>
      <c r="F2073" t="s">
        <v>8008</v>
      </c>
      <c r="G2073">
        <v>228</v>
      </c>
      <c r="H2073">
        <v>29</v>
      </c>
      <c r="I2073" t="s">
        <v>24</v>
      </c>
      <c r="J2073" t="s">
        <v>5955</v>
      </c>
      <c r="K2073" t="s">
        <v>7843</v>
      </c>
      <c r="L2073" t="s">
        <v>7838</v>
      </c>
      <c r="M2073" t="s">
        <v>2987</v>
      </c>
      <c r="N2073" t="s">
        <v>7986</v>
      </c>
      <c r="O2073" t="s">
        <v>27</v>
      </c>
      <c r="P2073" t="s">
        <v>84</v>
      </c>
      <c r="Q2073" t="s">
        <v>85</v>
      </c>
      <c r="R2073" t="s">
        <v>86</v>
      </c>
      <c r="S2073" t="s">
        <v>28</v>
      </c>
      <c r="T2073" t="s">
        <v>8009</v>
      </c>
      <c r="U2073" t="s">
        <v>8010</v>
      </c>
    </row>
    <row r="2074" spans="1:21" x14ac:dyDescent="0.25">
      <c r="A2074" t="s">
        <v>33</v>
      </c>
      <c r="B2074" t="s">
        <v>34</v>
      </c>
      <c r="C2074">
        <v>200</v>
      </c>
      <c r="D2074">
        <v>1</v>
      </c>
      <c r="E2074">
        <v>0</v>
      </c>
      <c r="F2074" t="s">
        <v>8011</v>
      </c>
      <c r="G2074">
        <v>200</v>
      </c>
      <c r="H2074">
        <v>0</v>
      </c>
      <c r="I2074" t="s">
        <v>24</v>
      </c>
      <c r="J2074" t="s">
        <v>8012</v>
      </c>
      <c r="K2074" t="s">
        <v>247</v>
      </c>
      <c r="L2074" t="s">
        <v>27</v>
      </c>
      <c r="M2074" t="s">
        <v>28</v>
      </c>
      <c r="N2074" t="s">
        <v>8013</v>
      </c>
      <c r="O2074" t="s">
        <v>27</v>
      </c>
      <c r="P2074" t="s">
        <v>56</v>
      </c>
      <c r="Q2074" t="s">
        <v>31</v>
      </c>
      <c r="R2074" t="s">
        <v>57</v>
      </c>
      <c r="S2074" t="s">
        <v>28</v>
      </c>
      <c r="T2074" t="s">
        <v>8014</v>
      </c>
      <c r="U2074" t="s">
        <v>8013</v>
      </c>
    </row>
    <row r="2075" spans="1:21" x14ac:dyDescent="0.25">
      <c r="A2075" t="s">
        <v>21</v>
      </c>
      <c r="B2075" t="s">
        <v>22</v>
      </c>
      <c r="C2075">
        <v>100</v>
      </c>
      <c r="D2075">
        <v>2</v>
      </c>
      <c r="E2075">
        <v>0</v>
      </c>
      <c r="F2075" t="s">
        <v>8015</v>
      </c>
      <c r="G2075">
        <v>200</v>
      </c>
      <c r="H2075">
        <v>0</v>
      </c>
      <c r="I2075" t="s">
        <v>140</v>
      </c>
      <c r="J2075" t="s">
        <v>8016</v>
      </c>
      <c r="K2075" t="s">
        <v>839</v>
      </c>
      <c r="L2075" t="s">
        <v>27</v>
      </c>
      <c r="M2075" t="s">
        <v>28</v>
      </c>
      <c r="N2075" t="s">
        <v>8017</v>
      </c>
      <c r="O2075" t="s">
        <v>27</v>
      </c>
      <c r="P2075" t="s">
        <v>30</v>
      </c>
      <c r="Q2075" t="s">
        <v>31</v>
      </c>
      <c r="R2075" t="s">
        <v>32</v>
      </c>
      <c r="S2075" t="s">
        <v>28</v>
      </c>
      <c r="T2075" t="s">
        <v>8018</v>
      </c>
      <c r="U2075" t="s">
        <v>8017</v>
      </c>
    </row>
    <row r="2076" spans="1:21" x14ac:dyDescent="0.25">
      <c r="A2076" t="s">
        <v>33</v>
      </c>
      <c r="B2076" t="s">
        <v>34</v>
      </c>
      <c r="C2076">
        <v>200</v>
      </c>
      <c r="D2076">
        <v>1</v>
      </c>
      <c r="E2076">
        <v>0</v>
      </c>
      <c r="F2076" t="s">
        <v>8019</v>
      </c>
      <c r="G2076">
        <v>200</v>
      </c>
      <c r="H2076">
        <v>0</v>
      </c>
      <c r="I2076" t="s">
        <v>445</v>
      </c>
      <c r="J2076" t="s">
        <v>8020</v>
      </c>
      <c r="K2076" t="s">
        <v>753</v>
      </c>
      <c r="L2076" t="s">
        <v>27</v>
      </c>
      <c r="M2076" t="s">
        <v>28</v>
      </c>
      <c r="N2076" t="s">
        <v>8021</v>
      </c>
      <c r="O2076" t="s">
        <v>27</v>
      </c>
      <c r="P2076" t="s">
        <v>39</v>
      </c>
      <c r="Q2076" t="s">
        <v>31</v>
      </c>
      <c r="R2076" t="s">
        <v>32</v>
      </c>
      <c r="S2076" t="s">
        <v>28</v>
      </c>
      <c r="T2076" t="s">
        <v>8022</v>
      </c>
      <c r="U2076" t="s">
        <v>8021</v>
      </c>
    </row>
    <row r="2077" spans="1:21" x14ac:dyDescent="0.25">
      <c r="A2077" t="s">
        <v>21</v>
      </c>
      <c r="B2077" t="s">
        <v>22</v>
      </c>
      <c r="C2077">
        <v>100</v>
      </c>
      <c r="D2077">
        <v>1</v>
      </c>
      <c r="E2077">
        <v>0</v>
      </c>
      <c r="F2077" t="s">
        <v>8023</v>
      </c>
      <c r="G2077">
        <v>106</v>
      </c>
      <c r="H2077">
        <v>6</v>
      </c>
      <c r="I2077" t="s">
        <v>24</v>
      </c>
      <c r="J2077" t="s">
        <v>8024</v>
      </c>
      <c r="K2077" t="s">
        <v>1797</v>
      </c>
      <c r="L2077" t="s">
        <v>27</v>
      </c>
      <c r="M2077" t="s">
        <v>28</v>
      </c>
      <c r="N2077" t="s">
        <v>8025</v>
      </c>
      <c r="O2077" t="s">
        <v>27</v>
      </c>
      <c r="P2077" t="s">
        <v>56</v>
      </c>
      <c r="Q2077" t="s">
        <v>31</v>
      </c>
      <c r="R2077" t="s">
        <v>57</v>
      </c>
      <c r="S2077" t="s">
        <v>28</v>
      </c>
      <c r="T2077" t="s">
        <v>8026</v>
      </c>
      <c r="U2077" t="s">
        <v>8027</v>
      </c>
    </row>
    <row r="2078" spans="1:21" x14ac:dyDescent="0.25">
      <c r="A2078" t="s">
        <v>21</v>
      </c>
      <c r="B2078" t="s">
        <v>22</v>
      </c>
      <c r="C2078">
        <v>100</v>
      </c>
      <c r="D2078">
        <v>1</v>
      </c>
      <c r="E2078">
        <v>0</v>
      </c>
      <c r="F2078" t="s">
        <v>8028</v>
      </c>
      <c r="G2078">
        <v>145</v>
      </c>
      <c r="H2078">
        <v>45</v>
      </c>
      <c r="I2078" t="s">
        <v>24</v>
      </c>
      <c r="J2078" t="s">
        <v>8029</v>
      </c>
      <c r="K2078" t="s">
        <v>89</v>
      </c>
      <c r="L2078" t="s">
        <v>27</v>
      </c>
      <c r="M2078" t="s">
        <v>28</v>
      </c>
      <c r="N2078" t="s">
        <v>8027</v>
      </c>
      <c r="O2078" t="s">
        <v>27</v>
      </c>
      <c r="P2078" t="s">
        <v>56</v>
      </c>
      <c r="Q2078" t="s">
        <v>31</v>
      </c>
      <c r="R2078" t="s">
        <v>57</v>
      </c>
      <c r="S2078" t="s">
        <v>28</v>
      </c>
      <c r="T2078" t="s">
        <v>8030</v>
      </c>
      <c r="U2078" t="s">
        <v>8027</v>
      </c>
    </row>
    <row r="2079" spans="1:21" x14ac:dyDescent="0.25">
      <c r="A2079" t="s">
        <v>456</v>
      </c>
      <c r="B2079" t="s">
        <v>457</v>
      </c>
      <c r="C2079">
        <v>199</v>
      </c>
      <c r="D2079">
        <v>1</v>
      </c>
      <c r="E2079">
        <v>0</v>
      </c>
      <c r="F2079" t="s">
        <v>8031</v>
      </c>
      <c r="G2079">
        <v>228</v>
      </c>
      <c r="H2079">
        <v>29</v>
      </c>
      <c r="I2079" t="s">
        <v>24</v>
      </c>
      <c r="J2079" t="s">
        <v>7836</v>
      </c>
      <c r="K2079" t="s">
        <v>7837</v>
      </c>
      <c r="L2079" t="s">
        <v>7838</v>
      </c>
      <c r="M2079" t="s">
        <v>1343</v>
      </c>
      <c r="N2079" t="s">
        <v>8032</v>
      </c>
      <c r="O2079" t="s">
        <v>27</v>
      </c>
      <c r="P2079" t="s">
        <v>84</v>
      </c>
      <c r="Q2079" t="s">
        <v>85</v>
      </c>
      <c r="R2079" t="s">
        <v>86</v>
      </c>
      <c r="S2079" t="s">
        <v>28</v>
      </c>
      <c r="T2079" t="s">
        <v>8033</v>
      </c>
      <c r="U2079" t="s">
        <v>8034</v>
      </c>
    </row>
    <row r="2080" spans="1:21" x14ac:dyDescent="0.25">
      <c r="A2080" t="s">
        <v>70</v>
      </c>
      <c r="B2080" t="s">
        <v>70</v>
      </c>
      <c r="C2080">
        <v>330</v>
      </c>
      <c r="D2080">
        <v>1</v>
      </c>
      <c r="E2080">
        <v>0</v>
      </c>
      <c r="F2080" t="s">
        <v>8035</v>
      </c>
      <c r="G2080">
        <v>330</v>
      </c>
      <c r="H2080">
        <v>0</v>
      </c>
      <c r="I2080" t="s">
        <v>445</v>
      </c>
      <c r="J2080" t="s">
        <v>8036</v>
      </c>
      <c r="K2080" t="s">
        <v>466</v>
      </c>
      <c r="L2080" t="s">
        <v>27</v>
      </c>
      <c r="M2080" t="s">
        <v>28</v>
      </c>
      <c r="N2080" t="s">
        <v>8037</v>
      </c>
      <c r="O2080" t="s">
        <v>27</v>
      </c>
      <c r="P2080" t="s">
        <v>39</v>
      </c>
      <c r="Q2080" t="s">
        <v>31</v>
      </c>
      <c r="R2080" t="s">
        <v>32</v>
      </c>
      <c r="S2080" t="s">
        <v>28</v>
      </c>
      <c r="T2080" t="s">
        <v>8038</v>
      </c>
      <c r="U2080" t="s">
        <v>8037</v>
      </c>
    </row>
    <row r="2081" spans="1:21" x14ac:dyDescent="0.25">
      <c r="A2081" t="s">
        <v>134</v>
      </c>
      <c r="B2081" t="s">
        <v>64</v>
      </c>
      <c r="C2081">
        <v>100</v>
      </c>
      <c r="D2081">
        <v>1</v>
      </c>
      <c r="E2081">
        <v>0</v>
      </c>
      <c r="F2081" t="s">
        <v>8039</v>
      </c>
      <c r="G2081">
        <v>200</v>
      </c>
      <c r="H2081">
        <v>0</v>
      </c>
      <c r="I2081" t="s">
        <v>140</v>
      </c>
      <c r="J2081" t="s">
        <v>8040</v>
      </c>
      <c r="K2081" t="s">
        <v>54</v>
      </c>
      <c r="L2081" t="s">
        <v>27</v>
      </c>
      <c r="M2081" t="s">
        <v>28</v>
      </c>
      <c r="N2081" t="s">
        <v>8041</v>
      </c>
      <c r="O2081" t="s">
        <v>27</v>
      </c>
      <c r="P2081" t="s">
        <v>30</v>
      </c>
      <c r="Q2081" t="s">
        <v>31</v>
      </c>
      <c r="R2081" t="s">
        <v>32</v>
      </c>
      <c r="S2081" t="s">
        <v>28</v>
      </c>
      <c r="T2081" t="s">
        <v>8042</v>
      </c>
      <c r="U2081" t="s">
        <v>8041</v>
      </c>
    </row>
    <row r="2082" spans="1:21" x14ac:dyDescent="0.25">
      <c r="A2082" t="s">
        <v>63</v>
      </c>
      <c r="B2082" t="s">
        <v>64</v>
      </c>
      <c r="C2082">
        <v>100</v>
      </c>
      <c r="D2082">
        <v>1</v>
      </c>
      <c r="E2082">
        <v>0</v>
      </c>
      <c r="F2082" t="s">
        <v>8039</v>
      </c>
      <c r="G2082">
        <v>200</v>
      </c>
      <c r="H2082">
        <v>0</v>
      </c>
      <c r="I2082" t="s">
        <v>140</v>
      </c>
      <c r="J2082" t="s">
        <v>8040</v>
      </c>
      <c r="K2082" t="s">
        <v>54</v>
      </c>
      <c r="L2082" t="s">
        <v>27</v>
      </c>
      <c r="M2082" t="s">
        <v>28</v>
      </c>
      <c r="N2082" t="s">
        <v>8041</v>
      </c>
      <c r="O2082" t="s">
        <v>27</v>
      </c>
      <c r="P2082" t="s">
        <v>30</v>
      </c>
      <c r="Q2082" t="s">
        <v>31</v>
      </c>
      <c r="R2082" t="s">
        <v>32</v>
      </c>
      <c r="S2082" t="s">
        <v>28</v>
      </c>
      <c r="T2082" t="s">
        <v>8042</v>
      </c>
      <c r="U2082" t="s">
        <v>8041</v>
      </c>
    </row>
    <row r="2083" spans="1:21" x14ac:dyDescent="0.25">
      <c r="A2083" t="s">
        <v>456</v>
      </c>
      <c r="B2083" t="s">
        <v>457</v>
      </c>
      <c r="C2083">
        <v>199</v>
      </c>
      <c r="D2083">
        <v>3</v>
      </c>
      <c r="E2083">
        <v>0</v>
      </c>
      <c r="F2083" t="s">
        <v>8043</v>
      </c>
      <c r="G2083">
        <v>809</v>
      </c>
      <c r="H2083">
        <v>92</v>
      </c>
      <c r="I2083" t="s">
        <v>24</v>
      </c>
      <c r="J2083" t="s">
        <v>8044</v>
      </c>
      <c r="K2083" t="s">
        <v>8045</v>
      </c>
      <c r="L2083" t="s">
        <v>4173</v>
      </c>
      <c r="M2083" t="s">
        <v>8046</v>
      </c>
      <c r="N2083" t="s">
        <v>8047</v>
      </c>
      <c r="O2083" t="s">
        <v>27</v>
      </c>
      <c r="P2083" t="s">
        <v>84</v>
      </c>
      <c r="Q2083" t="s">
        <v>85</v>
      </c>
      <c r="R2083" t="s">
        <v>86</v>
      </c>
      <c r="S2083" t="s">
        <v>28</v>
      </c>
      <c r="T2083" t="s">
        <v>8048</v>
      </c>
      <c r="U2083" t="s">
        <v>8047</v>
      </c>
    </row>
    <row r="2084" spans="1:21" x14ac:dyDescent="0.25">
      <c r="A2084" t="s">
        <v>63</v>
      </c>
      <c r="B2084" t="s">
        <v>64</v>
      </c>
      <c r="C2084">
        <v>100</v>
      </c>
      <c r="D2084">
        <v>1</v>
      </c>
      <c r="E2084">
        <v>0</v>
      </c>
      <c r="F2084" t="s">
        <v>8049</v>
      </c>
      <c r="G2084">
        <v>300</v>
      </c>
      <c r="H2084">
        <v>0</v>
      </c>
      <c r="I2084" t="s">
        <v>140</v>
      </c>
      <c r="J2084" t="s">
        <v>8050</v>
      </c>
      <c r="K2084" t="s">
        <v>37</v>
      </c>
      <c r="L2084" t="s">
        <v>27</v>
      </c>
      <c r="M2084" t="s">
        <v>28</v>
      </c>
      <c r="N2084" t="s">
        <v>8051</v>
      </c>
      <c r="O2084" t="s">
        <v>27</v>
      </c>
      <c r="P2084" t="s">
        <v>30</v>
      </c>
      <c r="Q2084" t="s">
        <v>31</v>
      </c>
      <c r="R2084" t="s">
        <v>32</v>
      </c>
      <c r="S2084" t="s">
        <v>28</v>
      </c>
      <c r="T2084" t="s">
        <v>8052</v>
      </c>
      <c r="U2084" t="s">
        <v>8051</v>
      </c>
    </row>
    <row r="2085" spans="1:21" x14ac:dyDescent="0.25">
      <c r="A2085" t="s">
        <v>58</v>
      </c>
      <c r="B2085" t="s">
        <v>58</v>
      </c>
      <c r="C2085">
        <v>100</v>
      </c>
      <c r="D2085">
        <v>2</v>
      </c>
      <c r="E2085">
        <v>0</v>
      </c>
      <c r="F2085" t="s">
        <v>8049</v>
      </c>
      <c r="G2085">
        <v>300</v>
      </c>
      <c r="H2085">
        <v>0</v>
      </c>
      <c r="I2085" t="s">
        <v>140</v>
      </c>
      <c r="J2085" t="s">
        <v>8050</v>
      </c>
      <c r="K2085" t="s">
        <v>37</v>
      </c>
      <c r="L2085" t="s">
        <v>27</v>
      </c>
      <c r="M2085" t="s">
        <v>28</v>
      </c>
      <c r="N2085" t="s">
        <v>8051</v>
      </c>
      <c r="O2085" t="s">
        <v>27</v>
      </c>
      <c r="P2085" t="s">
        <v>30</v>
      </c>
      <c r="Q2085" t="s">
        <v>31</v>
      </c>
      <c r="R2085" t="s">
        <v>32</v>
      </c>
      <c r="S2085" t="s">
        <v>28</v>
      </c>
      <c r="T2085" t="s">
        <v>8052</v>
      </c>
      <c r="U2085" t="s">
        <v>8051</v>
      </c>
    </row>
    <row r="2086" spans="1:21" x14ac:dyDescent="0.25">
      <c r="A2086" t="s">
        <v>33</v>
      </c>
      <c r="B2086" t="s">
        <v>34</v>
      </c>
      <c r="C2086">
        <v>200</v>
      </c>
      <c r="D2086">
        <v>1</v>
      </c>
      <c r="E2086">
        <v>0</v>
      </c>
      <c r="F2086" t="s">
        <v>8053</v>
      </c>
      <c r="G2086">
        <v>200</v>
      </c>
      <c r="H2086">
        <v>0</v>
      </c>
      <c r="I2086" t="s">
        <v>445</v>
      </c>
      <c r="J2086" t="s">
        <v>8054</v>
      </c>
      <c r="K2086" t="s">
        <v>124</v>
      </c>
      <c r="L2086" t="s">
        <v>27</v>
      </c>
      <c r="M2086" t="s">
        <v>28</v>
      </c>
      <c r="N2086" t="s">
        <v>8055</v>
      </c>
      <c r="O2086" t="s">
        <v>27</v>
      </c>
      <c r="P2086" t="s">
        <v>39</v>
      </c>
      <c r="Q2086" t="s">
        <v>31</v>
      </c>
      <c r="R2086" t="s">
        <v>32</v>
      </c>
      <c r="S2086" t="s">
        <v>28</v>
      </c>
      <c r="T2086" t="s">
        <v>8056</v>
      </c>
      <c r="U2086" t="s">
        <v>8051</v>
      </c>
    </row>
    <row r="2087" spans="1:21" x14ac:dyDescent="0.25">
      <c r="A2087" t="s">
        <v>456</v>
      </c>
      <c r="B2087" t="s">
        <v>457</v>
      </c>
      <c r="C2087">
        <v>199</v>
      </c>
      <c r="D2087">
        <v>1</v>
      </c>
      <c r="E2087">
        <v>0</v>
      </c>
      <c r="F2087" t="s">
        <v>8057</v>
      </c>
      <c r="G2087">
        <v>228</v>
      </c>
      <c r="H2087">
        <v>29</v>
      </c>
      <c r="I2087" t="s">
        <v>24</v>
      </c>
      <c r="J2087" t="s">
        <v>8058</v>
      </c>
      <c r="K2087" t="s">
        <v>8059</v>
      </c>
      <c r="L2087" t="s">
        <v>8060</v>
      </c>
      <c r="M2087" t="s">
        <v>4870</v>
      </c>
      <c r="N2087" t="s">
        <v>8061</v>
      </c>
      <c r="O2087" t="s">
        <v>27</v>
      </c>
      <c r="P2087" t="s">
        <v>84</v>
      </c>
      <c r="Q2087" t="s">
        <v>85</v>
      </c>
      <c r="R2087" t="s">
        <v>86</v>
      </c>
      <c r="S2087" t="s">
        <v>28</v>
      </c>
      <c r="T2087" t="s">
        <v>8062</v>
      </c>
      <c r="U2087" t="s">
        <v>8063</v>
      </c>
    </row>
    <row r="2088" spans="1:21" x14ac:dyDescent="0.25">
      <c r="A2088" t="s">
        <v>33</v>
      </c>
      <c r="B2088" t="s">
        <v>34</v>
      </c>
      <c r="C2088">
        <v>200</v>
      </c>
      <c r="D2088">
        <v>1</v>
      </c>
      <c r="E2088">
        <v>0</v>
      </c>
      <c r="F2088" t="s">
        <v>8064</v>
      </c>
      <c r="G2088">
        <v>200</v>
      </c>
      <c r="H2088">
        <v>0</v>
      </c>
      <c r="I2088" t="s">
        <v>24</v>
      </c>
      <c r="J2088" t="s">
        <v>4558</v>
      </c>
      <c r="K2088" t="s">
        <v>611</v>
      </c>
      <c r="L2088" t="s">
        <v>27</v>
      </c>
      <c r="M2088" t="s">
        <v>28</v>
      </c>
      <c r="N2088" t="s">
        <v>8065</v>
      </c>
      <c r="O2088" t="s">
        <v>27</v>
      </c>
      <c r="P2088" t="s">
        <v>39</v>
      </c>
      <c r="Q2088" t="s">
        <v>31</v>
      </c>
      <c r="R2088" t="s">
        <v>32</v>
      </c>
      <c r="S2088" t="s">
        <v>28</v>
      </c>
      <c r="T2088" t="s">
        <v>8066</v>
      </c>
      <c r="U2088" t="s">
        <v>8065</v>
      </c>
    </row>
    <row r="2089" spans="1:21" x14ac:dyDescent="0.25">
      <c r="A2089" t="s">
        <v>33</v>
      </c>
      <c r="B2089" t="s">
        <v>34</v>
      </c>
      <c r="C2089">
        <v>200</v>
      </c>
      <c r="D2089">
        <v>1</v>
      </c>
      <c r="E2089">
        <v>0</v>
      </c>
      <c r="F2089" t="s">
        <v>8067</v>
      </c>
      <c r="G2089">
        <v>200</v>
      </c>
      <c r="H2089">
        <v>0</v>
      </c>
      <c r="I2089" t="s">
        <v>140</v>
      </c>
      <c r="J2089" t="s">
        <v>8068</v>
      </c>
      <c r="K2089" t="s">
        <v>372</v>
      </c>
      <c r="L2089" t="s">
        <v>27</v>
      </c>
      <c r="M2089" t="s">
        <v>28</v>
      </c>
      <c r="N2089" t="s">
        <v>8069</v>
      </c>
      <c r="O2089" t="s">
        <v>27</v>
      </c>
      <c r="P2089" t="s">
        <v>30</v>
      </c>
      <c r="Q2089" t="s">
        <v>31</v>
      </c>
      <c r="R2089" t="s">
        <v>32</v>
      </c>
      <c r="S2089" t="s">
        <v>28</v>
      </c>
      <c r="T2089" t="s">
        <v>8070</v>
      </c>
      <c r="U2089" t="s">
        <v>8069</v>
      </c>
    </row>
    <row r="2090" spans="1:21" x14ac:dyDescent="0.25">
      <c r="A2090" t="s">
        <v>58</v>
      </c>
      <c r="B2090" t="s">
        <v>103</v>
      </c>
      <c r="C2090">
        <v>105</v>
      </c>
      <c r="D2090">
        <v>1</v>
      </c>
      <c r="E2090">
        <v>0</v>
      </c>
      <c r="F2090" t="s">
        <v>8071</v>
      </c>
      <c r="G2090">
        <v>110</v>
      </c>
      <c r="H2090">
        <v>5</v>
      </c>
      <c r="I2090" t="s">
        <v>105</v>
      </c>
      <c r="J2090" t="s">
        <v>8072</v>
      </c>
      <c r="K2090" t="s">
        <v>8073</v>
      </c>
      <c r="L2090" t="s">
        <v>8074</v>
      </c>
      <c r="M2090" t="s">
        <v>8075</v>
      </c>
      <c r="N2090" t="s">
        <v>8076</v>
      </c>
      <c r="O2090" t="s">
        <v>27</v>
      </c>
      <c r="P2090" t="s">
        <v>48</v>
      </c>
      <c r="Q2090" t="s">
        <v>49</v>
      </c>
      <c r="R2090" t="s">
        <v>50</v>
      </c>
      <c r="S2090" t="s">
        <v>28</v>
      </c>
      <c r="T2090" t="s">
        <v>8077</v>
      </c>
      <c r="U2090" t="s">
        <v>8076</v>
      </c>
    </row>
    <row r="2091" spans="1:21" x14ac:dyDescent="0.25">
      <c r="A2091" t="s">
        <v>21</v>
      </c>
      <c r="B2091" t="s">
        <v>22</v>
      </c>
      <c r="C2091">
        <v>100</v>
      </c>
      <c r="D2091">
        <v>1</v>
      </c>
      <c r="E2091">
        <v>0</v>
      </c>
      <c r="F2091" t="s">
        <v>8078</v>
      </c>
      <c r="G2091">
        <v>200</v>
      </c>
      <c r="H2091">
        <v>0</v>
      </c>
      <c r="I2091" t="s">
        <v>140</v>
      </c>
      <c r="J2091" t="s">
        <v>8079</v>
      </c>
      <c r="K2091" t="s">
        <v>209</v>
      </c>
      <c r="L2091" t="s">
        <v>27</v>
      </c>
      <c r="M2091" t="s">
        <v>28</v>
      </c>
      <c r="N2091" t="s">
        <v>8080</v>
      </c>
      <c r="O2091" t="s">
        <v>27</v>
      </c>
      <c r="P2091" t="s">
        <v>30</v>
      </c>
      <c r="Q2091" t="s">
        <v>31</v>
      </c>
      <c r="R2091" t="s">
        <v>32</v>
      </c>
      <c r="S2091" t="s">
        <v>28</v>
      </c>
      <c r="T2091" t="s">
        <v>8081</v>
      </c>
      <c r="U2091" t="s">
        <v>8080</v>
      </c>
    </row>
    <row r="2092" spans="1:21" x14ac:dyDescent="0.25">
      <c r="A2092" t="s">
        <v>63</v>
      </c>
      <c r="B2092" t="s">
        <v>64</v>
      </c>
      <c r="C2092">
        <v>100</v>
      </c>
      <c r="D2092">
        <v>1</v>
      </c>
      <c r="E2092">
        <v>0</v>
      </c>
      <c r="F2092" t="s">
        <v>8078</v>
      </c>
      <c r="G2092">
        <v>200</v>
      </c>
      <c r="H2092">
        <v>0</v>
      </c>
      <c r="I2092" t="s">
        <v>140</v>
      </c>
      <c r="J2092" t="s">
        <v>8079</v>
      </c>
      <c r="K2092" t="s">
        <v>209</v>
      </c>
      <c r="L2092" t="s">
        <v>27</v>
      </c>
      <c r="M2092" t="s">
        <v>28</v>
      </c>
      <c r="N2092" t="s">
        <v>8080</v>
      </c>
      <c r="O2092" t="s">
        <v>27</v>
      </c>
      <c r="P2092" t="s">
        <v>30</v>
      </c>
      <c r="Q2092" t="s">
        <v>31</v>
      </c>
      <c r="R2092" t="s">
        <v>32</v>
      </c>
      <c r="S2092" t="s">
        <v>28</v>
      </c>
      <c r="T2092" t="s">
        <v>8081</v>
      </c>
      <c r="U2092" t="s">
        <v>8080</v>
      </c>
    </row>
    <row r="2093" spans="1:21" x14ac:dyDescent="0.25">
      <c r="A2093" t="s">
        <v>63</v>
      </c>
      <c r="B2093" t="s">
        <v>64</v>
      </c>
      <c r="C2093">
        <v>100</v>
      </c>
      <c r="D2093">
        <v>3</v>
      </c>
      <c r="E2093">
        <v>0</v>
      </c>
      <c r="F2093" t="s">
        <v>8082</v>
      </c>
      <c r="G2093">
        <v>300</v>
      </c>
      <c r="H2093">
        <v>0</v>
      </c>
      <c r="I2093" t="s">
        <v>140</v>
      </c>
      <c r="J2093" t="s">
        <v>8083</v>
      </c>
      <c r="K2093" t="s">
        <v>89</v>
      </c>
      <c r="L2093" t="s">
        <v>27</v>
      </c>
      <c r="M2093" t="s">
        <v>28</v>
      </c>
      <c r="N2093" t="s">
        <v>8084</v>
      </c>
      <c r="O2093" t="s">
        <v>27</v>
      </c>
      <c r="P2093" t="s">
        <v>30</v>
      </c>
      <c r="Q2093" t="s">
        <v>31</v>
      </c>
      <c r="R2093" t="s">
        <v>32</v>
      </c>
      <c r="S2093" t="s">
        <v>28</v>
      </c>
      <c r="T2093" t="s">
        <v>8085</v>
      </c>
      <c r="U2093" t="s">
        <v>8084</v>
      </c>
    </row>
    <row r="2094" spans="1:21" x14ac:dyDescent="0.25">
      <c r="A2094" t="s">
        <v>63</v>
      </c>
      <c r="B2094" t="s">
        <v>64</v>
      </c>
      <c r="C2094">
        <v>100</v>
      </c>
      <c r="D2094">
        <v>2</v>
      </c>
      <c r="E2094">
        <v>0</v>
      </c>
      <c r="F2094" t="s">
        <v>8086</v>
      </c>
      <c r="G2094">
        <v>400</v>
      </c>
      <c r="H2094">
        <v>0</v>
      </c>
      <c r="I2094" t="s">
        <v>24</v>
      </c>
      <c r="J2094" t="s">
        <v>8087</v>
      </c>
      <c r="K2094" t="s">
        <v>37</v>
      </c>
      <c r="L2094" t="s">
        <v>27</v>
      </c>
      <c r="M2094" t="s">
        <v>28</v>
      </c>
      <c r="N2094" t="s">
        <v>8088</v>
      </c>
      <c r="O2094" t="s">
        <v>27</v>
      </c>
      <c r="P2094" t="s">
        <v>56</v>
      </c>
      <c r="Q2094" t="s">
        <v>31</v>
      </c>
      <c r="R2094" t="s">
        <v>57</v>
      </c>
      <c r="S2094" t="s">
        <v>28</v>
      </c>
      <c r="T2094" t="s">
        <v>8089</v>
      </c>
      <c r="U2094" t="s">
        <v>8088</v>
      </c>
    </row>
    <row r="2095" spans="1:21" x14ac:dyDescent="0.25">
      <c r="A2095" t="s">
        <v>134</v>
      </c>
      <c r="B2095" t="s">
        <v>64</v>
      </c>
      <c r="C2095">
        <v>100</v>
      </c>
      <c r="D2095">
        <v>2</v>
      </c>
      <c r="E2095">
        <v>0</v>
      </c>
      <c r="F2095" t="s">
        <v>8086</v>
      </c>
      <c r="G2095">
        <v>400</v>
      </c>
      <c r="H2095">
        <v>0</v>
      </c>
      <c r="I2095" t="s">
        <v>24</v>
      </c>
      <c r="J2095" t="s">
        <v>8087</v>
      </c>
      <c r="K2095" t="s">
        <v>37</v>
      </c>
      <c r="L2095" t="s">
        <v>27</v>
      </c>
      <c r="M2095" t="s">
        <v>28</v>
      </c>
      <c r="N2095" t="s">
        <v>8088</v>
      </c>
      <c r="O2095" t="s">
        <v>27</v>
      </c>
      <c r="P2095" t="s">
        <v>56</v>
      </c>
      <c r="Q2095" t="s">
        <v>31</v>
      </c>
      <c r="R2095" t="s">
        <v>57</v>
      </c>
      <c r="S2095" t="s">
        <v>28</v>
      </c>
      <c r="T2095" t="s">
        <v>8089</v>
      </c>
      <c r="U2095" t="s">
        <v>8088</v>
      </c>
    </row>
    <row r="2096" spans="1:21" x14ac:dyDescent="0.25">
      <c r="A2096" t="s">
        <v>63</v>
      </c>
      <c r="B2096" t="s">
        <v>64</v>
      </c>
      <c r="C2096">
        <v>100</v>
      </c>
      <c r="D2096">
        <v>1</v>
      </c>
      <c r="E2096">
        <v>0</v>
      </c>
      <c r="F2096" t="s">
        <v>8090</v>
      </c>
      <c r="G2096">
        <v>106</v>
      </c>
      <c r="H2096">
        <v>6</v>
      </c>
      <c r="I2096" t="s">
        <v>140</v>
      </c>
      <c r="J2096" t="s">
        <v>8091</v>
      </c>
      <c r="K2096" t="s">
        <v>346</v>
      </c>
      <c r="L2096" t="s">
        <v>27</v>
      </c>
      <c r="M2096" t="s">
        <v>28</v>
      </c>
      <c r="N2096" t="s">
        <v>8092</v>
      </c>
      <c r="O2096" t="s">
        <v>27</v>
      </c>
      <c r="P2096" t="s">
        <v>30</v>
      </c>
      <c r="Q2096" t="s">
        <v>31</v>
      </c>
      <c r="R2096" t="s">
        <v>32</v>
      </c>
      <c r="S2096" t="s">
        <v>28</v>
      </c>
      <c r="T2096" t="s">
        <v>8093</v>
      </c>
      <c r="U2096" t="s">
        <v>8092</v>
      </c>
    </row>
    <row r="2097" spans="1:21" x14ac:dyDescent="0.25">
      <c r="A2097" t="s">
        <v>63</v>
      </c>
      <c r="B2097" t="s">
        <v>64</v>
      </c>
      <c r="C2097">
        <v>100</v>
      </c>
      <c r="D2097">
        <v>1</v>
      </c>
      <c r="E2097">
        <v>0</v>
      </c>
      <c r="F2097" t="s">
        <v>8094</v>
      </c>
      <c r="G2097">
        <v>100</v>
      </c>
      <c r="H2097">
        <v>0</v>
      </c>
      <c r="I2097" t="s">
        <v>140</v>
      </c>
      <c r="J2097" t="s">
        <v>8095</v>
      </c>
      <c r="K2097" t="s">
        <v>247</v>
      </c>
      <c r="L2097" t="s">
        <v>27</v>
      </c>
      <c r="M2097" t="s">
        <v>28</v>
      </c>
      <c r="N2097" t="s">
        <v>8096</v>
      </c>
      <c r="O2097" t="s">
        <v>27</v>
      </c>
      <c r="P2097" t="s">
        <v>30</v>
      </c>
      <c r="Q2097" t="s">
        <v>31</v>
      </c>
      <c r="R2097" t="s">
        <v>32</v>
      </c>
      <c r="S2097" t="s">
        <v>28</v>
      </c>
      <c r="T2097" t="s">
        <v>8097</v>
      </c>
      <c r="U2097" t="s">
        <v>8096</v>
      </c>
    </row>
    <row r="2098" spans="1:21" x14ac:dyDescent="0.25">
      <c r="A2098" t="s">
        <v>63</v>
      </c>
      <c r="B2098" t="s">
        <v>64</v>
      </c>
      <c r="C2098">
        <v>100</v>
      </c>
      <c r="D2098">
        <v>1</v>
      </c>
      <c r="E2098">
        <v>0</v>
      </c>
      <c r="F2098" t="s">
        <v>8098</v>
      </c>
      <c r="G2098">
        <v>106</v>
      </c>
      <c r="H2098">
        <v>6</v>
      </c>
      <c r="I2098" t="s">
        <v>140</v>
      </c>
      <c r="J2098" t="s">
        <v>8099</v>
      </c>
      <c r="K2098" t="s">
        <v>791</v>
      </c>
      <c r="L2098" t="s">
        <v>27</v>
      </c>
      <c r="M2098" t="s">
        <v>28</v>
      </c>
      <c r="N2098" t="s">
        <v>8096</v>
      </c>
      <c r="O2098" t="s">
        <v>27</v>
      </c>
      <c r="P2098" t="s">
        <v>369</v>
      </c>
      <c r="Q2098" t="s">
        <v>31</v>
      </c>
      <c r="R2098" t="s">
        <v>57</v>
      </c>
      <c r="S2098" t="s">
        <v>28</v>
      </c>
      <c r="T2098" t="s">
        <v>8100</v>
      </c>
      <c r="U2098" t="s">
        <v>8096</v>
      </c>
    </row>
    <row r="2099" spans="1:21" x14ac:dyDescent="0.25">
      <c r="A2099" t="s">
        <v>21</v>
      </c>
      <c r="B2099" t="s">
        <v>22</v>
      </c>
      <c r="C2099">
        <v>100</v>
      </c>
      <c r="D2099">
        <v>1</v>
      </c>
      <c r="E2099">
        <v>0</v>
      </c>
      <c r="F2099" t="s">
        <v>8101</v>
      </c>
      <c r="G2099">
        <v>129</v>
      </c>
      <c r="H2099">
        <v>29</v>
      </c>
      <c r="I2099" t="s">
        <v>445</v>
      </c>
      <c r="J2099" t="s">
        <v>8102</v>
      </c>
      <c r="K2099" t="s">
        <v>247</v>
      </c>
      <c r="L2099" t="s">
        <v>27</v>
      </c>
      <c r="M2099" t="s">
        <v>28</v>
      </c>
      <c r="N2099" t="s">
        <v>8103</v>
      </c>
      <c r="O2099" t="s">
        <v>27</v>
      </c>
      <c r="P2099" t="s">
        <v>39</v>
      </c>
      <c r="Q2099" t="s">
        <v>31</v>
      </c>
      <c r="R2099" t="s">
        <v>32</v>
      </c>
      <c r="S2099" t="s">
        <v>28</v>
      </c>
      <c r="T2099" t="s">
        <v>8104</v>
      </c>
      <c r="U2099" t="s">
        <v>8105</v>
      </c>
    </row>
    <row r="2100" spans="1:21" x14ac:dyDescent="0.25">
      <c r="A2100" t="s">
        <v>33</v>
      </c>
      <c r="B2100" t="s">
        <v>34</v>
      </c>
      <c r="C2100">
        <v>200</v>
      </c>
      <c r="D2100">
        <v>1</v>
      </c>
      <c r="E2100">
        <v>0</v>
      </c>
      <c r="F2100" t="s">
        <v>8106</v>
      </c>
      <c r="G2100">
        <v>200</v>
      </c>
      <c r="H2100">
        <v>0</v>
      </c>
      <c r="I2100" t="s">
        <v>24</v>
      </c>
      <c r="J2100" t="s">
        <v>8107</v>
      </c>
      <c r="K2100" t="s">
        <v>797</v>
      </c>
      <c r="L2100" t="s">
        <v>27</v>
      </c>
      <c r="M2100" t="s">
        <v>28</v>
      </c>
      <c r="N2100" t="s">
        <v>8103</v>
      </c>
      <c r="O2100" t="s">
        <v>27</v>
      </c>
      <c r="P2100" t="s">
        <v>39</v>
      </c>
      <c r="Q2100" t="s">
        <v>31</v>
      </c>
      <c r="R2100" t="s">
        <v>32</v>
      </c>
      <c r="S2100" t="s">
        <v>28</v>
      </c>
      <c r="T2100" t="s">
        <v>8108</v>
      </c>
      <c r="U2100" t="s">
        <v>8103</v>
      </c>
    </row>
    <row r="2101" spans="1:21" x14ac:dyDescent="0.25">
      <c r="A2101" t="s">
        <v>456</v>
      </c>
      <c r="B2101" t="s">
        <v>1178</v>
      </c>
      <c r="C2101">
        <v>213.75</v>
      </c>
      <c r="D2101">
        <v>1</v>
      </c>
      <c r="E2101">
        <v>0</v>
      </c>
      <c r="F2101" t="s">
        <v>8109</v>
      </c>
      <c r="G2101">
        <v>432.5</v>
      </c>
      <c r="H2101">
        <v>5</v>
      </c>
      <c r="I2101" t="s">
        <v>628</v>
      </c>
      <c r="J2101" t="s">
        <v>8110</v>
      </c>
      <c r="K2101" t="s">
        <v>8111</v>
      </c>
      <c r="L2101" t="s">
        <v>1076</v>
      </c>
      <c r="M2101" t="s">
        <v>8112</v>
      </c>
      <c r="N2101" t="s">
        <v>8113</v>
      </c>
      <c r="O2101" t="s">
        <v>27</v>
      </c>
      <c r="P2101" t="s">
        <v>48</v>
      </c>
      <c r="Q2101" t="s">
        <v>49</v>
      </c>
      <c r="R2101" t="s">
        <v>50</v>
      </c>
      <c r="S2101" t="s">
        <v>28</v>
      </c>
      <c r="T2101" t="s">
        <v>8114</v>
      </c>
      <c r="U2101" t="s">
        <v>8103</v>
      </c>
    </row>
    <row r="2102" spans="1:21" x14ac:dyDescent="0.25">
      <c r="A2102" t="s">
        <v>456</v>
      </c>
      <c r="B2102" t="s">
        <v>1178</v>
      </c>
      <c r="C2102">
        <v>213.75</v>
      </c>
      <c r="D2102">
        <v>1</v>
      </c>
      <c r="E2102">
        <v>0</v>
      </c>
      <c r="F2102" t="s">
        <v>8109</v>
      </c>
      <c r="G2102">
        <v>432.5</v>
      </c>
      <c r="H2102">
        <v>5</v>
      </c>
      <c r="I2102" t="s">
        <v>628</v>
      </c>
      <c r="J2102" t="s">
        <v>8110</v>
      </c>
      <c r="K2102" t="s">
        <v>8111</v>
      </c>
      <c r="L2102" t="s">
        <v>1076</v>
      </c>
      <c r="M2102" t="s">
        <v>8112</v>
      </c>
      <c r="N2102" t="s">
        <v>8113</v>
      </c>
      <c r="O2102" t="s">
        <v>27</v>
      </c>
      <c r="P2102" t="s">
        <v>48</v>
      </c>
      <c r="Q2102" t="s">
        <v>49</v>
      </c>
      <c r="R2102" t="s">
        <v>50</v>
      </c>
      <c r="S2102" t="s">
        <v>28</v>
      </c>
      <c r="T2102" t="s">
        <v>8114</v>
      </c>
      <c r="U2102" t="s">
        <v>8103</v>
      </c>
    </row>
    <row r="2103" spans="1:21" x14ac:dyDescent="0.25">
      <c r="A2103" t="s">
        <v>70</v>
      </c>
      <c r="B2103" t="s">
        <v>70</v>
      </c>
      <c r="C2103">
        <v>330</v>
      </c>
      <c r="D2103">
        <v>3</v>
      </c>
      <c r="E2103">
        <v>0</v>
      </c>
      <c r="F2103" t="s">
        <v>8115</v>
      </c>
      <c r="G2103">
        <v>990</v>
      </c>
      <c r="H2103">
        <v>0</v>
      </c>
      <c r="I2103" t="s">
        <v>445</v>
      </c>
      <c r="J2103" t="s">
        <v>8116</v>
      </c>
      <c r="K2103" t="s">
        <v>54</v>
      </c>
      <c r="L2103" t="s">
        <v>27</v>
      </c>
      <c r="M2103" t="s">
        <v>28</v>
      </c>
      <c r="N2103" t="s">
        <v>8117</v>
      </c>
      <c r="O2103" t="s">
        <v>27</v>
      </c>
      <c r="P2103" t="s">
        <v>39</v>
      </c>
      <c r="Q2103" t="s">
        <v>31</v>
      </c>
      <c r="R2103" t="s">
        <v>32</v>
      </c>
      <c r="S2103" t="s">
        <v>28</v>
      </c>
      <c r="T2103" t="s">
        <v>8118</v>
      </c>
      <c r="U2103" t="s">
        <v>8117</v>
      </c>
    </row>
    <row r="2104" spans="1:21" x14ac:dyDescent="0.25">
      <c r="A2104" t="s">
        <v>58</v>
      </c>
      <c r="B2104" t="s">
        <v>58</v>
      </c>
      <c r="C2104">
        <v>100</v>
      </c>
      <c r="D2104">
        <v>1</v>
      </c>
      <c r="E2104">
        <v>0</v>
      </c>
      <c r="F2104" t="s">
        <v>8119</v>
      </c>
      <c r="G2104">
        <v>106</v>
      </c>
      <c r="H2104">
        <v>6</v>
      </c>
      <c r="I2104" t="s">
        <v>140</v>
      </c>
      <c r="J2104" t="s">
        <v>8120</v>
      </c>
      <c r="K2104" t="s">
        <v>118</v>
      </c>
      <c r="L2104" t="s">
        <v>27</v>
      </c>
      <c r="M2104" t="s">
        <v>28</v>
      </c>
      <c r="N2104" t="s">
        <v>8117</v>
      </c>
      <c r="O2104" t="s">
        <v>27</v>
      </c>
      <c r="P2104" t="s">
        <v>30</v>
      </c>
      <c r="Q2104" t="s">
        <v>31</v>
      </c>
      <c r="R2104" t="s">
        <v>32</v>
      </c>
      <c r="S2104" t="s">
        <v>28</v>
      </c>
      <c r="T2104" t="s">
        <v>8121</v>
      </c>
      <c r="U2104" t="s">
        <v>8117</v>
      </c>
    </row>
    <row r="2105" spans="1:21" x14ac:dyDescent="0.25">
      <c r="A2105" t="s">
        <v>456</v>
      </c>
      <c r="B2105" t="s">
        <v>457</v>
      </c>
      <c r="C2105">
        <v>199</v>
      </c>
      <c r="D2105">
        <v>1</v>
      </c>
      <c r="E2105">
        <v>0</v>
      </c>
      <c r="F2105" t="s">
        <v>8122</v>
      </c>
      <c r="G2105">
        <v>199</v>
      </c>
      <c r="H2105">
        <v>0</v>
      </c>
      <c r="I2105" t="s">
        <v>24</v>
      </c>
      <c r="J2105" t="s">
        <v>8123</v>
      </c>
      <c r="K2105" t="s">
        <v>8124</v>
      </c>
      <c r="L2105" t="s">
        <v>8125</v>
      </c>
      <c r="M2105" t="s">
        <v>926</v>
      </c>
      <c r="N2105" t="s">
        <v>8126</v>
      </c>
      <c r="O2105" t="s">
        <v>27</v>
      </c>
      <c r="P2105" t="s">
        <v>84</v>
      </c>
      <c r="Q2105" t="s">
        <v>85</v>
      </c>
      <c r="R2105" t="s">
        <v>86</v>
      </c>
      <c r="S2105" t="s">
        <v>28</v>
      </c>
      <c r="T2105" t="s">
        <v>8127</v>
      </c>
      <c r="U2105" t="s">
        <v>8128</v>
      </c>
    </row>
    <row r="2106" spans="1:21" x14ac:dyDescent="0.25">
      <c r="A2106" t="s">
        <v>70</v>
      </c>
      <c r="B2106" t="s">
        <v>70</v>
      </c>
      <c r="C2106">
        <v>330</v>
      </c>
      <c r="D2106">
        <v>1</v>
      </c>
      <c r="E2106">
        <v>0</v>
      </c>
      <c r="F2106" t="s">
        <v>8129</v>
      </c>
      <c r="G2106">
        <v>530</v>
      </c>
      <c r="H2106">
        <v>0</v>
      </c>
      <c r="I2106" t="s">
        <v>24</v>
      </c>
      <c r="J2106" t="s">
        <v>8130</v>
      </c>
      <c r="K2106" t="s">
        <v>342</v>
      </c>
      <c r="L2106" t="s">
        <v>27</v>
      </c>
      <c r="M2106" t="s">
        <v>28</v>
      </c>
      <c r="N2106" t="s">
        <v>8131</v>
      </c>
      <c r="O2106" t="s">
        <v>27</v>
      </c>
      <c r="P2106" t="s">
        <v>39</v>
      </c>
      <c r="Q2106" t="s">
        <v>31</v>
      </c>
      <c r="R2106" t="s">
        <v>32</v>
      </c>
      <c r="S2106" t="s">
        <v>28</v>
      </c>
      <c r="T2106" t="s">
        <v>8132</v>
      </c>
      <c r="U2106" t="s">
        <v>8133</v>
      </c>
    </row>
    <row r="2107" spans="1:21" x14ac:dyDescent="0.25">
      <c r="A2107" t="s">
        <v>243</v>
      </c>
      <c r="B2107" t="s">
        <v>244</v>
      </c>
      <c r="C2107">
        <v>200</v>
      </c>
      <c r="D2107">
        <v>1</v>
      </c>
      <c r="E2107">
        <v>0</v>
      </c>
      <c r="F2107" t="s">
        <v>8129</v>
      </c>
      <c r="G2107">
        <v>530</v>
      </c>
      <c r="H2107">
        <v>0</v>
      </c>
      <c r="I2107" t="s">
        <v>24</v>
      </c>
      <c r="J2107" t="s">
        <v>8130</v>
      </c>
      <c r="K2107" t="s">
        <v>342</v>
      </c>
      <c r="L2107" t="s">
        <v>27</v>
      </c>
      <c r="M2107" t="s">
        <v>28</v>
      </c>
      <c r="N2107" t="s">
        <v>8131</v>
      </c>
      <c r="O2107" t="s">
        <v>27</v>
      </c>
      <c r="P2107" t="s">
        <v>39</v>
      </c>
      <c r="Q2107" t="s">
        <v>31</v>
      </c>
      <c r="R2107" t="s">
        <v>32</v>
      </c>
      <c r="S2107" t="s">
        <v>28</v>
      </c>
      <c r="T2107" t="s">
        <v>8132</v>
      </c>
      <c r="U2107" t="s">
        <v>8131</v>
      </c>
    </row>
    <row r="2108" spans="1:21" x14ac:dyDescent="0.25">
      <c r="A2108" t="s">
        <v>63</v>
      </c>
      <c r="B2108" t="s">
        <v>64</v>
      </c>
      <c r="C2108">
        <v>100</v>
      </c>
      <c r="D2108">
        <v>1</v>
      </c>
      <c r="E2108">
        <v>0</v>
      </c>
      <c r="F2108" t="s">
        <v>8134</v>
      </c>
      <c r="G2108">
        <v>200</v>
      </c>
      <c r="H2108">
        <v>0</v>
      </c>
      <c r="I2108" t="s">
        <v>445</v>
      </c>
      <c r="J2108" t="s">
        <v>8135</v>
      </c>
      <c r="K2108" t="s">
        <v>26</v>
      </c>
      <c r="L2108" t="s">
        <v>27</v>
      </c>
      <c r="M2108" t="s">
        <v>28</v>
      </c>
      <c r="N2108" t="s">
        <v>8136</v>
      </c>
      <c r="O2108" t="s">
        <v>27</v>
      </c>
      <c r="P2108" t="s">
        <v>56</v>
      </c>
      <c r="Q2108" t="s">
        <v>31</v>
      </c>
      <c r="R2108" t="s">
        <v>57</v>
      </c>
      <c r="S2108" t="s">
        <v>28</v>
      </c>
      <c r="T2108" t="s">
        <v>8137</v>
      </c>
      <c r="U2108" t="s">
        <v>8136</v>
      </c>
    </row>
    <row r="2109" spans="1:21" x14ac:dyDescent="0.25">
      <c r="A2109" t="s">
        <v>134</v>
      </c>
      <c r="B2109" t="s">
        <v>64</v>
      </c>
      <c r="C2109">
        <v>100</v>
      </c>
      <c r="D2109">
        <v>1</v>
      </c>
      <c r="E2109">
        <v>0</v>
      </c>
      <c r="F2109" t="s">
        <v>8134</v>
      </c>
      <c r="G2109">
        <v>200</v>
      </c>
      <c r="H2109">
        <v>0</v>
      </c>
      <c r="I2109" t="s">
        <v>445</v>
      </c>
      <c r="J2109" t="s">
        <v>8135</v>
      </c>
      <c r="K2109" t="s">
        <v>26</v>
      </c>
      <c r="L2109" t="s">
        <v>27</v>
      </c>
      <c r="M2109" t="s">
        <v>28</v>
      </c>
      <c r="N2109" t="s">
        <v>8136</v>
      </c>
      <c r="O2109" t="s">
        <v>27</v>
      </c>
      <c r="P2109" t="s">
        <v>56</v>
      </c>
      <c r="Q2109" t="s">
        <v>31</v>
      </c>
      <c r="R2109" t="s">
        <v>57</v>
      </c>
      <c r="S2109" t="s">
        <v>28</v>
      </c>
      <c r="T2109" t="s">
        <v>8137</v>
      </c>
      <c r="U2109" t="s">
        <v>8136</v>
      </c>
    </row>
    <row r="2110" spans="1:21" x14ac:dyDescent="0.25">
      <c r="A2110" t="s">
        <v>21</v>
      </c>
      <c r="B2110" t="s">
        <v>22</v>
      </c>
      <c r="C2110">
        <v>100</v>
      </c>
      <c r="D2110">
        <v>1</v>
      </c>
      <c r="E2110">
        <v>0</v>
      </c>
      <c r="F2110" t="s">
        <v>8138</v>
      </c>
      <c r="G2110">
        <v>100</v>
      </c>
      <c r="H2110">
        <v>0</v>
      </c>
      <c r="I2110" t="s">
        <v>24</v>
      </c>
      <c r="J2110" t="s">
        <v>8139</v>
      </c>
      <c r="K2110" t="s">
        <v>213</v>
      </c>
      <c r="L2110" t="s">
        <v>27</v>
      </c>
      <c r="M2110" t="s">
        <v>28</v>
      </c>
      <c r="N2110" t="s">
        <v>8140</v>
      </c>
      <c r="O2110" t="s">
        <v>27</v>
      </c>
      <c r="P2110" t="s">
        <v>39</v>
      </c>
      <c r="Q2110" t="s">
        <v>31</v>
      </c>
      <c r="R2110" t="s">
        <v>32</v>
      </c>
      <c r="S2110" t="s">
        <v>28</v>
      </c>
      <c r="T2110" t="s">
        <v>8141</v>
      </c>
      <c r="U2110" t="s">
        <v>8140</v>
      </c>
    </row>
    <row r="2111" spans="1:21" x14ac:dyDescent="0.25">
      <c r="A2111" t="s">
        <v>21</v>
      </c>
      <c r="B2111" t="s">
        <v>22</v>
      </c>
      <c r="C2111">
        <v>100</v>
      </c>
      <c r="D2111">
        <v>2</v>
      </c>
      <c r="E2111">
        <v>0</v>
      </c>
      <c r="F2111" t="s">
        <v>8142</v>
      </c>
      <c r="G2111">
        <v>200</v>
      </c>
      <c r="H2111">
        <v>0</v>
      </c>
      <c r="I2111" t="s">
        <v>140</v>
      </c>
      <c r="J2111" t="s">
        <v>8143</v>
      </c>
      <c r="K2111" t="s">
        <v>384</v>
      </c>
      <c r="L2111" t="s">
        <v>27</v>
      </c>
      <c r="M2111" t="s">
        <v>28</v>
      </c>
      <c r="N2111" t="s">
        <v>8144</v>
      </c>
      <c r="O2111" t="s">
        <v>27</v>
      </c>
      <c r="P2111" t="s">
        <v>30</v>
      </c>
      <c r="Q2111" t="s">
        <v>31</v>
      </c>
      <c r="R2111" t="s">
        <v>32</v>
      </c>
      <c r="S2111" t="s">
        <v>28</v>
      </c>
      <c r="T2111" t="s">
        <v>8145</v>
      </c>
      <c r="U2111" t="s">
        <v>8144</v>
      </c>
    </row>
    <row r="2112" spans="1:21" x14ac:dyDescent="0.25">
      <c r="A2112" t="s">
        <v>143</v>
      </c>
      <c r="B2112" t="s">
        <v>144</v>
      </c>
      <c r="C2112">
        <v>200</v>
      </c>
      <c r="D2112">
        <v>1</v>
      </c>
      <c r="E2112">
        <v>0</v>
      </c>
      <c r="F2112" t="s">
        <v>8146</v>
      </c>
      <c r="G2112">
        <v>200</v>
      </c>
      <c r="H2112">
        <v>0</v>
      </c>
      <c r="I2112" t="s">
        <v>24</v>
      </c>
      <c r="J2112" t="s">
        <v>8147</v>
      </c>
      <c r="K2112" t="s">
        <v>342</v>
      </c>
      <c r="L2112" t="s">
        <v>27</v>
      </c>
      <c r="M2112" t="s">
        <v>28</v>
      </c>
      <c r="N2112" t="s">
        <v>8148</v>
      </c>
      <c r="O2112" t="s">
        <v>27</v>
      </c>
      <c r="P2112" t="s">
        <v>39</v>
      </c>
      <c r="Q2112" t="s">
        <v>31</v>
      </c>
      <c r="R2112" t="s">
        <v>32</v>
      </c>
      <c r="S2112" t="s">
        <v>28</v>
      </c>
      <c r="T2112" t="s">
        <v>8149</v>
      </c>
      <c r="U2112" t="s">
        <v>8148</v>
      </c>
    </row>
    <row r="2113" spans="1:21" x14ac:dyDescent="0.25">
      <c r="A2113" t="s">
        <v>33</v>
      </c>
      <c r="B2113" t="s">
        <v>34</v>
      </c>
      <c r="C2113">
        <v>200</v>
      </c>
      <c r="D2113">
        <v>1</v>
      </c>
      <c r="E2113">
        <v>0</v>
      </c>
      <c r="F2113" t="s">
        <v>8150</v>
      </c>
      <c r="G2113">
        <v>200</v>
      </c>
      <c r="H2113">
        <v>0</v>
      </c>
      <c r="I2113" t="s">
        <v>445</v>
      </c>
      <c r="J2113" t="s">
        <v>60</v>
      </c>
      <c r="K2113" t="s">
        <v>250</v>
      </c>
      <c r="L2113" t="s">
        <v>27</v>
      </c>
      <c r="M2113" t="s">
        <v>28</v>
      </c>
      <c r="N2113" t="s">
        <v>8148</v>
      </c>
      <c r="O2113" t="s">
        <v>27</v>
      </c>
      <c r="P2113" t="s">
        <v>56</v>
      </c>
      <c r="Q2113" t="s">
        <v>31</v>
      </c>
      <c r="R2113" t="s">
        <v>57</v>
      </c>
      <c r="S2113" t="s">
        <v>28</v>
      </c>
      <c r="T2113" t="s">
        <v>8151</v>
      </c>
      <c r="U2113" t="s">
        <v>8152</v>
      </c>
    </row>
    <row r="2114" spans="1:21" x14ac:dyDescent="0.25">
      <c r="A2114" t="s">
        <v>21</v>
      </c>
      <c r="B2114" t="s">
        <v>22</v>
      </c>
      <c r="C2114">
        <v>100</v>
      </c>
      <c r="D2114">
        <v>2</v>
      </c>
      <c r="E2114">
        <v>0</v>
      </c>
      <c r="F2114" t="s">
        <v>8153</v>
      </c>
      <c r="G2114">
        <v>400</v>
      </c>
      <c r="H2114">
        <v>0</v>
      </c>
      <c r="I2114" t="s">
        <v>140</v>
      </c>
      <c r="J2114" t="s">
        <v>8154</v>
      </c>
      <c r="K2114" t="s">
        <v>171</v>
      </c>
      <c r="L2114" t="s">
        <v>27</v>
      </c>
      <c r="M2114" t="s">
        <v>28</v>
      </c>
      <c r="N2114" t="s">
        <v>8152</v>
      </c>
      <c r="O2114" t="s">
        <v>27</v>
      </c>
      <c r="P2114" t="s">
        <v>30</v>
      </c>
      <c r="Q2114" t="s">
        <v>31</v>
      </c>
      <c r="R2114" t="s">
        <v>32</v>
      </c>
      <c r="S2114" t="s">
        <v>28</v>
      </c>
      <c r="T2114" t="s">
        <v>8155</v>
      </c>
      <c r="U2114" t="s">
        <v>8152</v>
      </c>
    </row>
    <row r="2115" spans="1:21" x14ac:dyDescent="0.25">
      <c r="A2115" t="s">
        <v>134</v>
      </c>
      <c r="B2115" t="s">
        <v>64</v>
      </c>
      <c r="C2115">
        <v>100</v>
      </c>
      <c r="D2115">
        <v>1</v>
      </c>
      <c r="E2115">
        <v>0</v>
      </c>
      <c r="F2115" t="s">
        <v>8153</v>
      </c>
      <c r="G2115">
        <v>400</v>
      </c>
      <c r="H2115">
        <v>0</v>
      </c>
      <c r="I2115" t="s">
        <v>140</v>
      </c>
      <c r="J2115" t="s">
        <v>8154</v>
      </c>
      <c r="K2115" t="s">
        <v>171</v>
      </c>
      <c r="L2115" t="s">
        <v>27</v>
      </c>
      <c r="M2115" t="s">
        <v>28</v>
      </c>
      <c r="N2115" t="s">
        <v>8152</v>
      </c>
      <c r="O2115" t="s">
        <v>27</v>
      </c>
      <c r="P2115" t="s">
        <v>30</v>
      </c>
      <c r="Q2115" t="s">
        <v>31</v>
      </c>
      <c r="R2115" t="s">
        <v>32</v>
      </c>
      <c r="S2115" t="s">
        <v>28</v>
      </c>
      <c r="T2115" t="s">
        <v>8155</v>
      </c>
      <c r="U2115" t="s">
        <v>8152</v>
      </c>
    </row>
    <row r="2116" spans="1:21" x14ac:dyDescent="0.25">
      <c r="A2116" t="s">
        <v>58</v>
      </c>
      <c r="B2116" t="s">
        <v>58</v>
      </c>
      <c r="C2116">
        <v>100</v>
      </c>
      <c r="D2116">
        <v>1</v>
      </c>
      <c r="E2116">
        <v>0</v>
      </c>
      <c r="F2116" t="s">
        <v>8153</v>
      </c>
      <c r="G2116">
        <v>400</v>
      </c>
      <c r="H2116">
        <v>0</v>
      </c>
      <c r="I2116" t="s">
        <v>140</v>
      </c>
      <c r="J2116" t="s">
        <v>8154</v>
      </c>
      <c r="K2116" t="s">
        <v>171</v>
      </c>
      <c r="L2116" t="s">
        <v>27</v>
      </c>
      <c r="M2116" t="s">
        <v>28</v>
      </c>
      <c r="N2116" t="s">
        <v>8152</v>
      </c>
      <c r="O2116" t="s">
        <v>27</v>
      </c>
      <c r="P2116" t="s">
        <v>30</v>
      </c>
      <c r="Q2116" t="s">
        <v>31</v>
      </c>
      <c r="R2116" t="s">
        <v>32</v>
      </c>
      <c r="S2116" t="s">
        <v>28</v>
      </c>
      <c r="T2116" t="s">
        <v>8155</v>
      </c>
      <c r="U2116" t="s">
        <v>8152</v>
      </c>
    </row>
    <row r="2117" spans="1:21" x14ac:dyDescent="0.25">
      <c r="A2117" t="s">
        <v>21</v>
      </c>
      <c r="B2117" t="s">
        <v>22</v>
      </c>
      <c r="C2117">
        <v>100</v>
      </c>
      <c r="D2117">
        <v>1</v>
      </c>
      <c r="E2117">
        <v>0</v>
      </c>
      <c r="F2117" t="s">
        <v>8156</v>
      </c>
      <c r="G2117">
        <v>106</v>
      </c>
      <c r="H2117">
        <v>6</v>
      </c>
      <c r="I2117" t="s">
        <v>140</v>
      </c>
      <c r="J2117" t="s">
        <v>8157</v>
      </c>
      <c r="K2117" t="s">
        <v>438</v>
      </c>
      <c r="L2117" t="s">
        <v>27</v>
      </c>
      <c r="M2117" t="s">
        <v>28</v>
      </c>
      <c r="N2117" t="s">
        <v>8158</v>
      </c>
      <c r="O2117" t="s">
        <v>27</v>
      </c>
      <c r="P2117" t="s">
        <v>30</v>
      </c>
      <c r="Q2117" t="s">
        <v>31</v>
      </c>
      <c r="R2117" t="s">
        <v>32</v>
      </c>
      <c r="S2117" t="s">
        <v>28</v>
      </c>
      <c r="T2117" t="s">
        <v>8159</v>
      </c>
      <c r="U2117" t="s">
        <v>8158</v>
      </c>
    </row>
    <row r="2118" spans="1:21" x14ac:dyDescent="0.25">
      <c r="A2118" t="s">
        <v>70</v>
      </c>
      <c r="B2118" t="s">
        <v>70</v>
      </c>
      <c r="C2118">
        <v>330</v>
      </c>
      <c r="D2118">
        <v>1</v>
      </c>
      <c r="E2118">
        <v>0</v>
      </c>
      <c r="F2118" t="s">
        <v>8160</v>
      </c>
      <c r="G2118">
        <v>330</v>
      </c>
      <c r="H2118">
        <v>0</v>
      </c>
      <c r="I2118" t="s">
        <v>24</v>
      </c>
      <c r="J2118" t="s">
        <v>8161</v>
      </c>
      <c r="K2118" t="s">
        <v>89</v>
      </c>
      <c r="L2118" t="s">
        <v>27</v>
      </c>
      <c r="M2118" t="s">
        <v>28</v>
      </c>
      <c r="N2118" t="s">
        <v>8162</v>
      </c>
      <c r="O2118" t="s">
        <v>27</v>
      </c>
      <c r="P2118" t="s">
        <v>56</v>
      </c>
      <c r="Q2118" t="s">
        <v>31</v>
      </c>
      <c r="R2118" t="s">
        <v>57</v>
      </c>
      <c r="S2118" t="s">
        <v>28</v>
      </c>
      <c r="T2118" t="s">
        <v>8163</v>
      </c>
      <c r="U2118" t="s">
        <v>8162</v>
      </c>
    </row>
    <row r="2119" spans="1:21" x14ac:dyDescent="0.25">
      <c r="A2119" t="s">
        <v>909</v>
      </c>
      <c r="B2119" t="s">
        <v>276</v>
      </c>
      <c r="C2119">
        <v>251.2</v>
      </c>
      <c r="D2119">
        <v>1</v>
      </c>
      <c r="E2119">
        <v>0</v>
      </c>
      <c r="F2119" t="s">
        <v>8164</v>
      </c>
      <c r="G2119">
        <v>256.2</v>
      </c>
      <c r="H2119">
        <v>5</v>
      </c>
      <c r="I2119" t="s">
        <v>24</v>
      </c>
      <c r="J2119" t="s">
        <v>8165</v>
      </c>
      <c r="K2119" t="s">
        <v>8166</v>
      </c>
      <c r="L2119" t="s">
        <v>258</v>
      </c>
      <c r="M2119" t="s">
        <v>8167</v>
      </c>
      <c r="N2119" t="s">
        <v>8168</v>
      </c>
      <c r="O2119" t="s">
        <v>27</v>
      </c>
      <c r="P2119" t="s">
        <v>48</v>
      </c>
      <c r="Q2119" t="s">
        <v>49</v>
      </c>
      <c r="R2119" t="s">
        <v>50</v>
      </c>
      <c r="S2119" t="s">
        <v>28</v>
      </c>
      <c r="T2119" t="s">
        <v>8169</v>
      </c>
      <c r="U2119" t="s">
        <v>8170</v>
      </c>
    </row>
    <row r="2120" spans="1:21" x14ac:dyDescent="0.25">
      <c r="A2120" t="s">
        <v>134</v>
      </c>
      <c r="B2120" t="s">
        <v>64</v>
      </c>
      <c r="C2120">
        <v>100</v>
      </c>
      <c r="D2120">
        <v>1</v>
      </c>
      <c r="E2120">
        <v>0</v>
      </c>
      <c r="F2120" t="s">
        <v>8171</v>
      </c>
      <c r="G2120">
        <v>106</v>
      </c>
      <c r="H2120">
        <v>6</v>
      </c>
      <c r="I2120" t="s">
        <v>140</v>
      </c>
      <c r="J2120" t="s">
        <v>8172</v>
      </c>
      <c r="K2120" t="s">
        <v>3150</v>
      </c>
      <c r="L2120" t="s">
        <v>27</v>
      </c>
      <c r="M2120" t="s">
        <v>28</v>
      </c>
      <c r="N2120" t="s">
        <v>8173</v>
      </c>
      <c r="O2120" t="s">
        <v>27</v>
      </c>
      <c r="P2120" t="s">
        <v>30</v>
      </c>
      <c r="Q2120" t="s">
        <v>31</v>
      </c>
      <c r="R2120" t="s">
        <v>32</v>
      </c>
      <c r="S2120" t="s">
        <v>28</v>
      </c>
      <c r="T2120" t="s">
        <v>8174</v>
      </c>
      <c r="U2120" t="s">
        <v>8173</v>
      </c>
    </row>
    <row r="2121" spans="1:21" x14ac:dyDescent="0.25">
      <c r="A2121" t="s">
        <v>33</v>
      </c>
      <c r="B2121" t="s">
        <v>34</v>
      </c>
      <c r="C2121">
        <v>200</v>
      </c>
      <c r="D2121">
        <v>1</v>
      </c>
      <c r="E2121">
        <v>0</v>
      </c>
      <c r="F2121" t="s">
        <v>8175</v>
      </c>
      <c r="G2121">
        <v>200</v>
      </c>
      <c r="H2121">
        <v>0</v>
      </c>
      <c r="I2121" t="s">
        <v>24</v>
      </c>
      <c r="J2121" t="s">
        <v>8176</v>
      </c>
      <c r="K2121" t="s">
        <v>247</v>
      </c>
      <c r="L2121" t="s">
        <v>27</v>
      </c>
      <c r="M2121" t="s">
        <v>28</v>
      </c>
      <c r="N2121" t="s">
        <v>8177</v>
      </c>
      <c r="O2121" t="s">
        <v>27</v>
      </c>
      <c r="P2121" t="s">
        <v>30</v>
      </c>
      <c r="Q2121" t="s">
        <v>31</v>
      </c>
      <c r="R2121" t="s">
        <v>32</v>
      </c>
      <c r="S2121" t="s">
        <v>28</v>
      </c>
      <c r="T2121" t="s">
        <v>8178</v>
      </c>
      <c r="U2121" t="s">
        <v>8177</v>
      </c>
    </row>
    <row r="2122" spans="1:21" x14ac:dyDescent="0.25">
      <c r="A2122" t="s">
        <v>94</v>
      </c>
      <c r="B2122" t="s">
        <v>95</v>
      </c>
      <c r="C2122">
        <v>77.599999999999994</v>
      </c>
      <c r="D2122">
        <v>1</v>
      </c>
      <c r="E2122">
        <v>0</v>
      </c>
      <c r="F2122" t="s">
        <v>8179</v>
      </c>
      <c r="G2122">
        <v>155.19999999999999</v>
      </c>
      <c r="H2122">
        <v>0</v>
      </c>
      <c r="I2122" t="s">
        <v>24</v>
      </c>
      <c r="J2122" t="s">
        <v>8180</v>
      </c>
      <c r="K2122" t="s">
        <v>8181</v>
      </c>
      <c r="L2122" t="s">
        <v>3264</v>
      </c>
      <c r="M2122" t="s">
        <v>8182</v>
      </c>
      <c r="N2122" t="s">
        <v>8183</v>
      </c>
      <c r="O2122" t="s">
        <v>27</v>
      </c>
      <c r="P2122" t="s">
        <v>48</v>
      </c>
      <c r="Q2122" t="s">
        <v>49</v>
      </c>
      <c r="R2122" t="s">
        <v>50</v>
      </c>
      <c r="S2122" t="s">
        <v>28</v>
      </c>
      <c r="T2122" t="s">
        <v>8184</v>
      </c>
      <c r="U2122" t="s">
        <v>8183</v>
      </c>
    </row>
    <row r="2123" spans="1:21" x14ac:dyDescent="0.25">
      <c r="A2123" t="s">
        <v>94</v>
      </c>
      <c r="B2123" t="s">
        <v>95</v>
      </c>
      <c r="C2123">
        <v>77.599999999999994</v>
      </c>
      <c r="D2123">
        <v>1</v>
      </c>
      <c r="E2123">
        <v>0</v>
      </c>
      <c r="F2123" t="s">
        <v>8179</v>
      </c>
      <c r="G2123">
        <v>155.19999999999999</v>
      </c>
      <c r="H2123">
        <v>0</v>
      </c>
      <c r="I2123" t="s">
        <v>24</v>
      </c>
      <c r="J2123" t="s">
        <v>8180</v>
      </c>
      <c r="K2123" t="s">
        <v>8181</v>
      </c>
      <c r="L2123" t="s">
        <v>3264</v>
      </c>
      <c r="M2123" t="s">
        <v>8182</v>
      </c>
      <c r="N2123" t="s">
        <v>8183</v>
      </c>
      <c r="O2123" t="s">
        <v>27</v>
      </c>
      <c r="P2123" t="s">
        <v>48</v>
      </c>
      <c r="Q2123" t="s">
        <v>49</v>
      </c>
      <c r="R2123" t="s">
        <v>50</v>
      </c>
      <c r="S2123" t="s">
        <v>28</v>
      </c>
      <c r="T2123" t="s">
        <v>8184</v>
      </c>
      <c r="U2123" t="s">
        <v>8183</v>
      </c>
    </row>
    <row r="2124" spans="1:21" x14ac:dyDescent="0.25">
      <c r="A2124" t="s">
        <v>33</v>
      </c>
      <c r="B2124" t="s">
        <v>34</v>
      </c>
      <c r="C2124">
        <v>200</v>
      </c>
      <c r="D2124">
        <v>1</v>
      </c>
      <c r="E2124">
        <v>0</v>
      </c>
      <c r="F2124" t="s">
        <v>8185</v>
      </c>
      <c r="G2124">
        <v>200</v>
      </c>
      <c r="H2124">
        <v>0</v>
      </c>
      <c r="I2124" t="s">
        <v>24</v>
      </c>
      <c r="J2124" t="s">
        <v>8186</v>
      </c>
      <c r="K2124" t="s">
        <v>418</v>
      </c>
      <c r="L2124" t="s">
        <v>27</v>
      </c>
      <c r="M2124" t="s">
        <v>28</v>
      </c>
      <c r="N2124" t="s">
        <v>8187</v>
      </c>
      <c r="O2124" t="s">
        <v>27</v>
      </c>
      <c r="P2124" t="s">
        <v>39</v>
      </c>
      <c r="Q2124" t="s">
        <v>31</v>
      </c>
      <c r="R2124" t="s">
        <v>32</v>
      </c>
      <c r="S2124" t="s">
        <v>28</v>
      </c>
      <c r="T2124" t="s">
        <v>8188</v>
      </c>
      <c r="U2124" t="s">
        <v>8187</v>
      </c>
    </row>
    <row r="2125" spans="1:21" x14ac:dyDescent="0.25">
      <c r="A2125" t="s">
        <v>21</v>
      </c>
      <c r="B2125" t="s">
        <v>22</v>
      </c>
      <c r="C2125">
        <v>100</v>
      </c>
      <c r="D2125">
        <v>1</v>
      </c>
      <c r="E2125">
        <v>0</v>
      </c>
      <c r="F2125" t="s">
        <v>8189</v>
      </c>
      <c r="G2125">
        <v>100</v>
      </c>
      <c r="H2125">
        <v>0</v>
      </c>
      <c r="I2125" t="s">
        <v>140</v>
      </c>
      <c r="J2125" t="s">
        <v>8190</v>
      </c>
      <c r="K2125" t="s">
        <v>384</v>
      </c>
      <c r="L2125" t="s">
        <v>27</v>
      </c>
      <c r="M2125" t="s">
        <v>28</v>
      </c>
      <c r="N2125" t="s">
        <v>8191</v>
      </c>
      <c r="O2125" t="s">
        <v>27</v>
      </c>
      <c r="P2125" t="s">
        <v>369</v>
      </c>
      <c r="Q2125" t="s">
        <v>31</v>
      </c>
      <c r="R2125" t="s">
        <v>57</v>
      </c>
      <c r="S2125" t="s">
        <v>28</v>
      </c>
      <c r="T2125" t="s">
        <v>8192</v>
      </c>
      <c r="U2125" t="s">
        <v>8191</v>
      </c>
    </row>
    <row r="2126" spans="1:21" x14ac:dyDescent="0.25">
      <c r="A2126" t="s">
        <v>21</v>
      </c>
      <c r="B2126" t="s">
        <v>22</v>
      </c>
      <c r="C2126">
        <v>100</v>
      </c>
      <c r="D2126">
        <v>1</v>
      </c>
      <c r="E2126">
        <v>0</v>
      </c>
      <c r="F2126" t="s">
        <v>8193</v>
      </c>
      <c r="G2126">
        <v>106</v>
      </c>
      <c r="H2126">
        <v>6</v>
      </c>
      <c r="I2126" t="s">
        <v>140</v>
      </c>
      <c r="J2126" t="s">
        <v>8194</v>
      </c>
      <c r="K2126" t="s">
        <v>118</v>
      </c>
      <c r="L2126" t="s">
        <v>27</v>
      </c>
      <c r="M2126" t="s">
        <v>28</v>
      </c>
      <c r="N2126" t="s">
        <v>8195</v>
      </c>
      <c r="O2126" t="s">
        <v>27</v>
      </c>
      <c r="P2126" t="s">
        <v>30</v>
      </c>
      <c r="Q2126" t="s">
        <v>31</v>
      </c>
      <c r="R2126" t="s">
        <v>32</v>
      </c>
      <c r="S2126" t="s">
        <v>28</v>
      </c>
      <c r="T2126" t="s">
        <v>8196</v>
      </c>
      <c r="U2126" t="s">
        <v>8195</v>
      </c>
    </row>
    <row r="2127" spans="1:21" x14ac:dyDescent="0.25">
      <c r="A2127" t="s">
        <v>21</v>
      </c>
      <c r="B2127" t="s">
        <v>22</v>
      </c>
      <c r="C2127">
        <v>100</v>
      </c>
      <c r="D2127">
        <v>1</v>
      </c>
      <c r="E2127">
        <v>0</v>
      </c>
      <c r="F2127" t="s">
        <v>8197</v>
      </c>
      <c r="G2127">
        <v>106</v>
      </c>
      <c r="H2127">
        <v>6</v>
      </c>
      <c r="I2127" t="s">
        <v>140</v>
      </c>
      <c r="J2127" t="s">
        <v>8198</v>
      </c>
      <c r="K2127" t="s">
        <v>61</v>
      </c>
      <c r="L2127" t="s">
        <v>27</v>
      </c>
      <c r="M2127" t="s">
        <v>28</v>
      </c>
      <c r="N2127" t="s">
        <v>8199</v>
      </c>
      <c r="O2127" t="s">
        <v>27</v>
      </c>
      <c r="P2127" t="s">
        <v>369</v>
      </c>
      <c r="Q2127" t="s">
        <v>31</v>
      </c>
      <c r="R2127" t="s">
        <v>57</v>
      </c>
      <c r="S2127" t="s">
        <v>28</v>
      </c>
      <c r="T2127" t="s">
        <v>8200</v>
      </c>
      <c r="U2127" t="s">
        <v>8199</v>
      </c>
    </row>
    <row r="2128" spans="1:21" x14ac:dyDescent="0.25">
      <c r="A2128" t="s">
        <v>21</v>
      </c>
      <c r="B2128" t="s">
        <v>22</v>
      </c>
      <c r="C2128">
        <v>100</v>
      </c>
      <c r="D2128">
        <v>2</v>
      </c>
      <c r="E2128">
        <v>0</v>
      </c>
      <c r="F2128" t="s">
        <v>8201</v>
      </c>
      <c r="G2128">
        <v>200</v>
      </c>
      <c r="H2128">
        <v>0</v>
      </c>
      <c r="I2128" t="s">
        <v>24</v>
      </c>
      <c r="J2128" t="s">
        <v>8202</v>
      </c>
      <c r="K2128" t="s">
        <v>73</v>
      </c>
      <c r="L2128" t="s">
        <v>27</v>
      </c>
      <c r="M2128" t="s">
        <v>28</v>
      </c>
      <c r="N2128" t="s">
        <v>8203</v>
      </c>
      <c r="O2128" t="s">
        <v>27</v>
      </c>
      <c r="P2128" t="s">
        <v>39</v>
      </c>
      <c r="Q2128" t="s">
        <v>31</v>
      </c>
      <c r="R2128" t="s">
        <v>32</v>
      </c>
      <c r="S2128" t="s">
        <v>28</v>
      </c>
      <c r="T2128" t="s">
        <v>8204</v>
      </c>
      <c r="U2128" t="s">
        <v>8203</v>
      </c>
    </row>
    <row r="2129" spans="1:21" x14ac:dyDescent="0.25">
      <c r="A2129" t="s">
        <v>997</v>
      </c>
      <c r="B2129" t="s">
        <v>998</v>
      </c>
      <c r="C2129">
        <v>800</v>
      </c>
      <c r="D2129">
        <v>1</v>
      </c>
      <c r="E2129">
        <v>0</v>
      </c>
      <c r="F2129" t="s">
        <v>8205</v>
      </c>
      <c r="G2129">
        <v>800</v>
      </c>
      <c r="H2129">
        <v>0</v>
      </c>
      <c r="I2129" t="s">
        <v>140</v>
      </c>
      <c r="J2129" t="s">
        <v>1000</v>
      </c>
      <c r="K2129" t="s">
        <v>758</v>
      </c>
      <c r="L2129" t="s">
        <v>27</v>
      </c>
      <c r="M2129" t="s">
        <v>28</v>
      </c>
      <c r="N2129" t="s">
        <v>8203</v>
      </c>
      <c r="O2129" t="s">
        <v>27</v>
      </c>
      <c r="P2129" t="s">
        <v>30</v>
      </c>
      <c r="Q2129" t="s">
        <v>31</v>
      </c>
      <c r="R2129" t="s">
        <v>32</v>
      </c>
      <c r="S2129" t="s">
        <v>28</v>
      </c>
      <c r="T2129" t="s">
        <v>8206</v>
      </c>
      <c r="U2129" t="s">
        <v>8203</v>
      </c>
    </row>
    <row r="2130" spans="1:21" x14ac:dyDescent="0.25">
      <c r="A2130" t="s">
        <v>134</v>
      </c>
      <c r="B2130" t="s">
        <v>64</v>
      </c>
      <c r="C2130">
        <v>100</v>
      </c>
      <c r="D2130">
        <v>1</v>
      </c>
      <c r="E2130">
        <v>0</v>
      </c>
      <c r="F2130" t="s">
        <v>8207</v>
      </c>
      <c r="G2130">
        <v>200</v>
      </c>
      <c r="H2130">
        <v>0</v>
      </c>
      <c r="I2130" t="s">
        <v>140</v>
      </c>
      <c r="J2130" t="s">
        <v>8208</v>
      </c>
      <c r="K2130" t="s">
        <v>579</v>
      </c>
      <c r="L2130" t="s">
        <v>27</v>
      </c>
      <c r="M2130" t="s">
        <v>28</v>
      </c>
      <c r="N2130" t="s">
        <v>8209</v>
      </c>
      <c r="O2130" t="s">
        <v>27</v>
      </c>
      <c r="P2130" t="s">
        <v>30</v>
      </c>
      <c r="Q2130" t="s">
        <v>31</v>
      </c>
      <c r="R2130" t="s">
        <v>32</v>
      </c>
      <c r="S2130" t="s">
        <v>28</v>
      </c>
      <c r="T2130" t="s">
        <v>8210</v>
      </c>
      <c r="U2130" t="s">
        <v>8209</v>
      </c>
    </row>
    <row r="2131" spans="1:21" x14ac:dyDescent="0.25">
      <c r="A2131" t="s">
        <v>63</v>
      </c>
      <c r="B2131" t="s">
        <v>64</v>
      </c>
      <c r="C2131">
        <v>100</v>
      </c>
      <c r="D2131">
        <v>1</v>
      </c>
      <c r="E2131">
        <v>0</v>
      </c>
      <c r="F2131" t="s">
        <v>8207</v>
      </c>
      <c r="G2131">
        <v>200</v>
      </c>
      <c r="H2131">
        <v>0</v>
      </c>
      <c r="I2131" t="s">
        <v>140</v>
      </c>
      <c r="J2131" t="s">
        <v>8208</v>
      </c>
      <c r="K2131" t="s">
        <v>579</v>
      </c>
      <c r="L2131" t="s">
        <v>27</v>
      </c>
      <c r="M2131" t="s">
        <v>28</v>
      </c>
      <c r="N2131" t="s">
        <v>8209</v>
      </c>
      <c r="O2131" t="s">
        <v>27</v>
      </c>
      <c r="P2131" t="s">
        <v>30</v>
      </c>
      <c r="Q2131" t="s">
        <v>31</v>
      </c>
      <c r="R2131" t="s">
        <v>32</v>
      </c>
      <c r="S2131" t="s">
        <v>28</v>
      </c>
      <c r="T2131" t="s">
        <v>8210</v>
      </c>
      <c r="U2131" t="s">
        <v>8209</v>
      </c>
    </row>
    <row r="2132" spans="1:21" x14ac:dyDescent="0.25">
      <c r="A2132" t="s">
        <v>33</v>
      </c>
      <c r="B2132" t="s">
        <v>34</v>
      </c>
      <c r="C2132">
        <v>200</v>
      </c>
      <c r="D2132">
        <v>1</v>
      </c>
      <c r="E2132">
        <v>0</v>
      </c>
      <c r="F2132" t="s">
        <v>8211</v>
      </c>
      <c r="G2132">
        <v>200</v>
      </c>
      <c r="H2132">
        <v>0</v>
      </c>
      <c r="I2132" t="s">
        <v>24</v>
      </c>
      <c r="J2132" t="s">
        <v>6472</v>
      </c>
      <c r="K2132" t="s">
        <v>611</v>
      </c>
      <c r="L2132" t="s">
        <v>27</v>
      </c>
      <c r="M2132" t="s">
        <v>28</v>
      </c>
      <c r="N2132" t="s">
        <v>8209</v>
      </c>
      <c r="O2132" t="s">
        <v>27</v>
      </c>
      <c r="P2132" t="s">
        <v>39</v>
      </c>
      <c r="Q2132" t="s">
        <v>31</v>
      </c>
      <c r="R2132" t="s">
        <v>32</v>
      </c>
      <c r="S2132" t="s">
        <v>28</v>
      </c>
      <c r="T2132" t="s">
        <v>8212</v>
      </c>
      <c r="U2132" t="s">
        <v>8209</v>
      </c>
    </row>
    <row r="2133" spans="1:21" x14ac:dyDescent="0.25">
      <c r="A2133" t="s">
        <v>21</v>
      </c>
      <c r="B2133" t="s">
        <v>22</v>
      </c>
      <c r="C2133">
        <v>100</v>
      </c>
      <c r="D2133">
        <v>1</v>
      </c>
      <c r="E2133">
        <v>0</v>
      </c>
      <c r="F2133" t="s">
        <v>8213</v>
      </c>
      <c r="G2133">
        <v>106</v>
      </c>
      <c r="H2133">
        <v>6</v>
      </c>
      <c r="I2133" t="s">
        <v>140</v>
      </c>
      <c r="J2133" t="s">
        <v>8214</v>
      </c>
      <c r="K2133" t="s">
        <v>350</v>
      </c>
      <c r="L2133" t="s">
        <v>27</v>
      </c>
      <c r="M2133" t="s">
        <v>28</v>
      </c>
      <c r="N2133" t="s">
        <v>8215</v>
      </c>
      <c r="O2133" t="s">
        <v>27</v>
      </c>
      <c r="P2133" t="s">
        <v>30</v>
      </c>
      <c r="Q2133" t="s">
        <v>31</v>
      </c>
      <c r="R2133" t="s">
        <v>32</v>
      </c>
      <c r="S2133" t="s">
        <v>28</v>
      </c>
      <c r="T2133" t="s">
        <v>8216</v>
      </c>
      <c r="U2133" t="s">
        <v>8215</v>
      </c>
    </row>
    <row r="2134" spans="1:21" x14ac:dyDescent="0.25">
      <c r="A2134" t="s">
        <v>58</v>
      </c>
      <c r="B2134" t="s">
        <v>58</v>
      </c>
      <c r="C2134">
        <v>100</v>
      </c>
      <c r="D2134">
        <v>2</v>
      </c>
      <c r="E2134">
        <v>0</v>
      </c>
      <c r="F2134" t="s">
        <v>8217</v>
      </c>
      <c r="G2134">
        <v>200</v>
      </c>
      <c r="H2134">
        <v>0</v>
      </c>
      <c r="I2134" t="s">
        <v>140</v>
      </c>
      <c r="J2134" t="s">
        <v>8218</v>
      </c>
      <c r="K2134" t="s">
        <v>791</v>
      </c>
      <c r="L2134" t="s">
        <v>27</v>
      </c>
      <c r="M2134" t="s">
        <v>28</v>
      </c>
      <c r="N2134" t="s">
        <v>8219</v>
      </c>
      <c r="O2134" t="s">
        <v>27</v>
      </c>
      <c r="P2134" t="s">
        <v>30</v>
      </c>
      <c r="Q2134" t="s">
        <v>31</v>
      </c>
      <c r="R2134" t="s">
        <v>32</v>
      </c>
      <c r="S2134" t="s">
        <v>28</v>
      </c>
      <c r="T2134" t="s">
        <v>8220</v>
      </c>
      <c r="U2134" t="s">
        <v>8219</v>
      </c>
    </row>
    <row r="2135" spans="1:21" x14ac:dyDescent="0.25">
      <c r="A2135" t="s">
        <v>63</v>
      </c>
      <c r="B2135" t="s">
        <v>64</v>
      </c>
      <c r="C2135">
        <v>100</v>
      </c>
      <c r="D2135">
        <v>2</v>
      </c>
      <c r="E2135">
        <v>0</v>
      </c>
      <c r="F2135" t="s">
        <v>8221</v>
      </c>
      <c r="G2135">
        <v>200</v>
      </c>
      <c r="H2135">
        <v>0</v>
      </c>
      <c r="I2135" t="s">
        <v>140</v>
      </c>
      <c r="J2135" t="s">
        <v>8222</v>
      </c>
      <c r="K2135" t="s">
        <v>753</v>
      </c>
      <c r="L2135" t="s">
        <v>27</v>
      </c>
      <c r="M2135" t="s">
        <v>28</v>
      </c>
      <c r="N2135" t="s">
        <v>8223</v>
      </c>
      <c r="O2135" t="s">
        <v>27</v>
      </c>
      <c r="P2135" t="s">
        <v>30</v>
      </c>
      <c r="Q2135" t="s">
        <v>31</v>
      </c>
      <c r="R2135" t="s">
        <v>32</v>
      </c>
      <c r="S2135" t="s">
        <v>28</v>
      </c>
      <c r="T2135" t="s">
        <v>8224</v>
      </c>
      <c r="U2135" t="s">
        <v>8223</v>
      </c>
    </row>
    <row r="2136" spans="1:21" x14ac:dyDescent="0.25">
      <c r="A2136" t="s">
        <v>58</v>
      </c>
      <c r="B2136" t="s">
        <v>58</v>
      </c>
      <c r="C2136">
        <v>100</v>
      </c>
      <c r="D2136">
        <v>2</v>
      </c>
      <c r="E2136">
        <v>0</v>
      </c>
      <c r="F2136" t="s">
        <v>8225</v>
      </c>
      <c r="G2136">
        <v>200</v>
      </c>
      <c r="H2136">
        <v>0</v>
      </c>
      <c r="I2136" t="s">
        <v>140</v>
      </c>
      <c r="J2136" t="s">
        <v>8226</v>
      </c>
      <c r="K2136" t="s">
        <v>54</v>
      </c>
      <c r="L2136" t="s">
        <v>27</v>
      </c>
      <c r="M2136" t="s">
        <v>28</v>
      </c>
      <c r="N2136" t="s">
        <v>8223</v>
      </c>
      <c r="O2136" t="s">
        <v>27</v>
      </c>
      <c r="P2136" t="s">
        <v>369</v>
      </c>
      <c r="Q2136" t="s">
        <v>31</v>
      </c>
      <c r="R2136" t="s">
        <v>57</v>
      </c>
      <c r="S2136" t="s">
        <v>28</v>
      </c>
      <c r="T2136" t="s">
        <v>8227</v>
      </c>
      <c r="U2136" t="s">
        <v>8228</v>
      </c>
    </row>
    <row r="2137" spans="1:21" x14ac:dyDescent="0.25">
      <c r="A2137" t="s">
        <v>33</v>
      </c>
      <c r="B2137" t="s">
        <v>34</v>
      </c>
      <c r="C2137">
        <v>200</v>
      </c>
      <c r="D2137">
        <v>1</v>
      </c>
      <c r="E2137">
        <v>0</v>
      </c>
      <c r="F2137" t="s">
        <v>8229</v>
      </c>
      <c r="G2137">
        <v>200</v>
      </c>
      <c r="H2137">
        <v>0</v>
      </c>
      <c r="I2137" t="s">
        <v>140</v>
      </c>
      <c r="J2137" t="s">
        <v>8230</v>
      </c>
      <c r="K2137" t="s">
        <v>372</v>
      </c>
      <c r="L2137" t="s">
        <v>27</v>
      </c>
      <c r="M2137" t="s">
        <v>28</v>
      </c>
      <c r="N2137" t="s">
        <v>8231</v>
      </c>
      <c r="O2137" t="s">
        <v>27</v>
      </c>
      <c r="P2137" t="s">
        <v>30</v>
      </c>
      <c r="Q2137" t="s">
        <v>31</v>
      </c>
      <c r="R2137" t="s">
        <v>32</v>
      </c>
      <c r="S2137" t="s">
        <v>8232</v>
      </c>
      <c r="T2137" t="s">
        <v>8233</v>
      </c>
      <c r="U2137" t="s">
        <v>8234</v>
      </c>
    </row>
    <row r="2138" spans="1:21" x14ac:dyDescent="0.25">
      <c r="A2138" t="s">
        <v>456</v>
      </c>
      <c r="B2138" t="s">
        <v>457</v>
      </c>
      <c r="C2138">
        <v>199</v>
      </c>
      <c r="D2138">
        <v>2</v>
      </c>
      <c r="E2138">
        <v>0</v>
      </c>
      <c r="F2138" t="s">
        <v>8235</v>
      </c>
      <c r="G2138">
        <v>446</v>
      </c>
      <c r="H2138">
        <v>48</v>
      </c>
      <c r="I2138" t="s">
        <v>24</v>
      </c>
      <c r="J2138" t="s">
        <v>8236</v>
      </c>
      <c r="K2138" t="s">
        <v>8237</v>
      </c>
      <c r="L2138" t="s">
        <v>1900</v>
      </c>
      <c r="M2138" t="s">
        <v>1343</v>
      </c>
      <c r="N2138" t="s">
        <v>8231</v>
      </c>
      <c r="O2138" t="s">
        <v>27</v>
      </c>
      <c r="P2138" t="s">
        <v>193</v>
      </c>
      <c r="Q2138" t="s">
        <v>85</v>
      </c>
      <c r="R2138" t="s">
        <v>86</v>
      </c>
      <c r="S2138" t="s">
        <v>28</v>
      </c>
      <c r="T2138" t="s">
        <v>8238</v>
      </c>
      <c r="U2138" t="s">
        <v>8231</v>
      </c>
    </row>
    <row r="2139" spans="1:21" x14ac:dyDescent="0.25">
      <c r="A2139" t="s">
        <v>21</v>
      </c>
      <c r="B2139" t="s">
        <v>22</v>
      </c>
      <c r="C2139">
        <v>100</v>
      </c>
      <c r="D2139">
        <v>2</v>
      </c>
      <c r="E2139">
        <v>0</v>
      </c>
      <c r="F2139" t="s">
        <v>8239</v>
      </c>
      <c r="G2139">
        <v>200</v>
      </c>
      <c r="H2139">
        <v>0</v>
      </c>
      <c r="I2139" t="s">
        <v>140</v>
      </c>
      <c r="J2139" t="s">
        <v>8240</v>
      </c>
      <c r="K2139" t="s">
        <v>37</v>
      </c>
      <c r="L2139" t="s">
        <v>27</v>
      </c>
      <c r="M2139" t="s">
        <v>28</v>
      </c>
      <c r="N2139" t="s">
        <v>8241</v>
      </c>
      <c r="O2139" t="s">
        <v>27</v>
      </c>
      <c r="P2139" t="s">
        <v>30</v>
      </c>
      <c r="Q2139" t="s">
        <v>31</v>
      </c>
      <c r="R2139" t="s">
        <v>32</v>
      </c>
      <c r="S2139" t="s">
        <v>28</v>
      </c>
      <c r="T2139" t="s">
        <v>8242</v>
      </c>
      <c r="U2139" t="s">
        <v>8241</v>
      </c>
    </row>
    <row r="2140" spans="1:21" x14ac:dyDescent="0.25">
      <c r="A2140" t="s">
        <v>21</v>
      </c>
      <c r="B2140" t="s">
        <v>22</v>
      </c>
      <c r="C2140">
        <v>100</v>
      </c>
      <c r="D2140">
        <v>1</v>
      </c>
      <c r="E2140">
        <v>0</v>
      </c>
      <c r="F2140" t="s">
        <v>8243</v>
      </c>
      <c r="G2140">
        <v>106</v>
      </c>
      <c r="H2140">
        <v>6</v>
      </c>
      <c r="I2140" t="s">
        <v>140</v>
      </c>
      <c r="J2140" t="s">
        <v>8244</v>
      </c>
      <c r="K2140" t="s">
        <v>358</v>
      </c>
      <c r="L2140" t="s">
        <v>27</v>
      </c>
      <c r="M2140" t="s">
        <v>28</v>
      </c>
      <c r="N2140" t="s">
        <v>8241</v>
      </c>
      <c r="O2140" t="s">
        <v>27</v>
      </c>
      <c r="P2140" t="s">
        <v>369</v>
      </c>
      <c r="Q2140" t="s">
        <v>31</v>
      </c>
      <c r="R2140" t="s">
        <v>57</v>
      </c>
      <c r="S2140" t="s">
        <v>28</v>
      </c>
      <c r="T2140" t="s">
        <v>8245</v>
      </c>
      <c r="U2140" t="s">
        <v>8241</v>
      </c>
    </row>
    <row r="2141" spans="1:21" x14ac:dyDescent="0.25">
      <c r="A2141" t="s">
        <v>134</v>
      </c>
      <c r="B2141" t="s">
        <v>64</v>
      </c>
      <c r="C2141">
        <v>100</v>
      </c>
      <c r="D2141">
        <v>1</v>
      </c>
      <c r="E2141">
        <v>0</v>
      </c>
      <c r="F2141" t="s">
        <v>8246</v>
      </c>
      <c r="G2141">
        <v>100</v>
      </c>
      <c r="H2141">
        <v>0</v>
      </c>
      <c r="I2141" t="s">
        <v>140</v>
      </c>
      <c r="J2141" t="s">
        <v>8247</v>
      </c>
      <c r="K2141" t="s">
        <v>342</v>
      </c>
      <c r="L2141" t="s">
        <v>27</v>
      </c>
      <c r="M2141" t="s">
        <v>28</v>
      </c>
      <c r="N2141" t="s">
        <v>8248</v>
      </c>
      <c r="O2141" t="s">
        <v>27</v>
      </c>
      <c r="P2141" t="s">
        <v>369</v>
      </c>
      <c r="Q2141" t="s">
        <v>31</v>
      </c>
      <c r="R2141" t="s">
        <v>57</v>
      </c>
      <c r="S2141" t="s">
        <v>28</v>
      </c>
      <c r="T2141" t="s">
        <v>8249</v>
      </c>
      <c r="U2141" t="s">
        <v>8250</v>
      </c>
    </row>
    <row r="2142" spans="1:21" x14ac:dyDescent="0.25">
      <c r="A2142" t="s">
        <v>134</v>
      </c>
      <c r="B2142" t="s">
        <v>64</v>
      </c>
      <c r="C2142">
        <v>150</v>
      </c>
      <c r="D2142">
        <v>1</v>
      </c>
      <c r="E2142">
        <v>0</v>
      </c>
      <c r="F2142" t="s">
        <v>8251</v>
      </c>
      <c r="G2142">
        <v>150</v>
      </c>
      <c r="H2142">
        <v>0</v>
      </c>
      <c r="I2142" t="s">
        <v>24</v>
      </c>
      <c r="J2142" t="s">
        <v>8252</v>
      </c>
      <c r="K2142" t="s">
        <v>8253</v>
      </c>
      <c r="L2142" t="s">
        <v>1714</v>
      </c>
      <c r="M2142" t="s">
        <v>8254</v>
      </c>
      <c r="N2142" t="s">
        <v>8255</v>
      </c>
      <c r="O2142" t="s">
        <v>27</v>
      </c>
      <c r="P2142" t="s">
        <v>193</v>
      </c>
      <c r="Q2142" t="s">
        <v>85</v>
      </c>
      <c r="R2142" t="s">
        <v>86</v>
      </c>
      <c r="S2142" t="s">
        <v>28</v>
      </c>
      <c r="T2142" t="s">
        <v>8256</v>
      </c>
      <c r="U2142" t="s">
        <v>8250</v>
      </c>
    </row>
    <row r="2143" spans="1:21" x14ac:dyDescent="0.25">
      <c r="A2143" t="s">
        <v>21</v>
      </c>
      <c r="B2143" t="s">
        <v>22</v>
      </c>
      <c r="C2143">
        <v>100</v>
      </c>
      <c r="D2143">
        <v>2</v>
      </c>
      <c r="E2143">
        <v>0</v>
      </c>
      <c r="F2143" t="s">
        <v>8257</v>
      </c>
      <c r="G2143">
        <v>450</v>
      </c>
      <c r="H2143">
        <v>0</v>
      </c>
      <c r="I2143" t="s">
        <v>140</v>
      </c>
      <c r="J2143" t="s">
        <v>8258</v>
      </c>
      <c r="K2143" t="s">
        <v>250</v>
      </c>
      <c r="L2143" t="s">
        <v>27</v>
      </c>
      <c r="M2143" t="s">
        <v>28</v>
      </c>
      <c r="N2143" t="s">
        <v>8259</v>
      </c>
      <c r="O2143" t="s">
        <v>27</v>
      </c>
      <c r="P2143" t="s">
        <v>30</v>
      </c>
      <c r="Q2143" t="s">
        <v>31</v>
      </c>
      <c r="R2143" t="s">
        <v>32</v>
      </c>
      <c r="S2143" t="s">
        <v>28</v>
      </c>
      <c r="T2143" t="s">
        <v>8260</v>
      </c>
      <c r="U2143" t="s">
        <v>8259</v>
      </c>
    </row>
    <row r="2144" spans="1:21" x14ac:dyDescent="0.25">
      <c r="A2144" t="s">
        <v>8261</v>
      </c>
      <c r="B2144" t="s">
        <v>168</v>
      </c>
      <c r="C2144">
        <v>250</v>
      </c>
      <c r="D2144">
        <v>1</v>
      </c>
      <c r="E2144">
        <v>0</v>
      </c>
      <c r="F2144" t="s">
        <v>8257</v>
      </c>
      <c r="G2144">
        <v>450</v>
      </c>
      <c r="H2144">
        <v>0</v>
      </c>
      <c r="I2144" t="s">
        <v>140</v>
      </c>
      <c r="J2144" t="s">
        <v>8258</v>
      </c>
      <c r="K2144" t="s">
        <v>250</v>
      </c>
      <c r="L2144" t="s">
        <v>27</v>
      </c>
      <c r="M2144" t="s">
        <v>28</v>
      </c>
      <c r="N2144" t="s">
        <v>8259</v>
      </c>
      <c r="O2144" t="s">
        <v>27</v>
      </c>
      <c r="P2144" t="s">
        <v>30</v>
      </c>
      <c r="Q2144" t="s">
        <v>31</v>
      </c>
      <c r="R2144" t="s">
        <v>32</v>
      </c>
      <c r="S2144" t="s">
        <v>28</v>
      </c>
      <c r="T2144" t="s">
        <v>8260</v>
      </c>
      <c r="U2144" t="s">
        <v>8259</v>
      </c>
    </row>
    <row r="2145" spans="1:21" x14ac:dyDescent="0.25">
      <c r="A2145" t="s">
        <v>134</v>
      </c>
      <c r="B2145" t="s">
        <v>64</v>
      </c>
      <c r="C2145">
        <v>100</v>
      </c>
      <c r="D2145">
        <v>4</v>
      </c>
      <c r="E2145">
        <v>0</v>
      </c>
      <c r="F2145" t="s">
        <v>8262</v>
      </c>
      <c r="G2145">
        <v>400</v>
      </c>
      <c r="H2145">
        <v>0</v>
      </c>
      <c r="I2145" t="s">
        <v>140</v>
      </c>
      <c r="J2145" t="s">
        <v>8263</v>
      </c>
      <c r="K2145" t="s">
        <v>474</v>
      </c>
      <c r="L2145" t="s">
        <v>27</v>
      </c>
      <c r="M2145" t="s">
        <v>28</v>
      </c>
      <c r="N2145" t="s">
        <v>8264</v>
      </c>
      <c r="O2145" t="s">
        <v>27</v>
      </c>
      <c r="P2145" t="s">
        <v>30</v>
      </c>
      <c r="Q2145" t="s">
        <v>31</v>
      </c>
      <c r="R2145" t="s">
        <v>32</v>
      </c>
      <c r="S2145" t="s">
        <v>28</v>
      </c>
      <c r="T2145" t="s">
        <v>8265</v>
      </c>
      <c r="U2145" t="s">
        <v>8264</v>
      </c>
    </row>
    <row r="2146" spans="1:21" x14ac:dyDescent="0.25">
      <c r="A2146" t="s">
        <v>70</v>
      </c>
      <c r="B2146" t="s">
        <v>70</v>
      </c>
      <c r="C2146">
        <v>350</v>
      </c>
      <c r="D2146">
        <v>1</v>
      </c>
      <c r="E2146">
        <v>0</v>
      </c>
      <c r="F2146" t="s">
        <v>8266</v>
      </c>
      <c r="G2146">
        <v>350</v>
      </c>
      <c r="H2146">
        <v>0</v>
      </c>
      <c r="I2146" t="s">
        <v>140</v>
      </c>
      <c r="J2146" t="s">
        <v>8267</v>
      </c>
      <c r="K2146" t="s">
        <v>4310</v>
      </c>
      <c r="L2146" t="s">
        <v>27</v>
      </c>
      <c r="M2146" t="s">
        <v>28</v>
      </c>
      <c r="N2146" t="s">
        <v>8268</v>
      </c>
      <c r="O2146" t="s">
        <v>27</v>
      </c>
      <c r="P2146" t="s">
        <v>30</v>
      </c>
      <c r="Q2146" t="s">
        <v>31</v>
      </c>
      <c r="R2146" t="s">
        <v>32</v>
      </c>
      <c r="S2146" t="s">
        <v>28</v>
      </c>
      <c r="T2146" t="s">
        <v>8269</v>
      </c>
      <c r="U2146" t="s">
        <v>8268</v>
      </c>
    </row>
    <row r="2147" spans="1:21" x14ac:dyDescent="0.25">
      <c r="A2147" t="s">
        <v>63</v>
      </c>
      <c r="B2147" t="s">
        <v>64</v>
      </c>
      <c r="C2147">
        <v>100</v>
      </c>
      <c r="D2147">
        <v>1</v>
      </c>
      <c r="E2147">
        <v>0</v>
      </c>
      <c r="F2147" t="s">
        <v>8270</v>
      </c>
      <c r="G2147">
        <v>106</v>
      </c>
      <c r="H2147">
        <v>6</v>
      </c>
      <c r="I2147" t="s">
        <v>140</v>
      </c>
      <c r="J2147" t="s">
        <v>8271</v>
      </c>
      <c r="K2147" t="s">
        <v>209</v>
      </c>
      <c r="L2147" t="s">
        <v>27</v>
      </c>
      <c r="M2147" t="s">
        <v>28</v>
      </c>
      <c r="N2147" t="s">
        <v>8272</v>
      </c>
      <c r="O2147" t="s">
        <v>27</v>
      </c>
      <c r="P2147" t="s">
        <v>30</v>
      </c>
      <c r="Q2147" t="s">
        <v>31</v>
      </c>
      <c r="R2147" t="s">
        <v>32</v>
      </c>
      <c r="S2147" t="s">
        <v>28</v>
      </c>
      <c r="T2147" t="s">
        <v>8273</v>
      </c>
      <c r="U2147" t="s">
        <v>8272</v>
      </c>
    </row>
    <row r="2148" spans="1:21" x14ac:dyDescent="0.25">
      <c r="A2148" t="s">
        <v>33</v>
      </c>
      <c r="B2148" t="s">
        <v>34</v>
      </c>
      <c r="C2148">
        <v>200</v>
      </c>
      <c r="D2148">
        <v>1</v>
      </c>
      <c r="E2148">
        <v>0</v>
      </c>
      <c r="F2148" t="s">
        <v>8274</v>
      </c>
      <c r="G2148">
        <v>200</v>
      </c>
      <c r="H2148">
        <v>0</v>
      </c>
      <c r="I2148" t="s">
        <v>24</v>
      </c>
      <c r="J2148" t="s">
        <v>8275</v>
      </c>
      <c r="K2148" t="s">
        <v>677</v>
      </c>
      <c r="L2148" t="s">
        <v>27</v>
      </c>
      <c r="M2148" t="s">
        <v>28</v>
      </c>
      <c r="N2148" t="s">
        <v>8276</v>
      </c>
      <c r="O2148" t="s">
        <v>27</v>
      </c>
      <c r="P2148" t="s">
        <v>56</v>
      </c>
      <c r="Q2148" t="s">
        <v>31</v>
      </c>
      <c r="R2148" t="s">
        <v>57</v>
      </c>
      <c r="S2148" t="s">
        <v>28</v>
      </c>
      <c r="T2148" t="s">
        <v>8277</v>
      </c>
      <c r="U2148" t="s">
        <v>8278</v>
      </c>
    </row>
    <row r="2149" spans="1:21" x14ac:dyDescent="0.25">
      <c r="A2149" t="s">
        <v>134</v>
      </c>
      <c r="B2149" t="s">
        <v>64</v>
      </c>
      <c r="C2149">
        <v>100</v>
      </c>
      <c r="D2149">
        <v>1</v>
      </c>
      <c r="E2149">
        <v>0</v>
      </c>
      <c r="F2149" t="s">
        <v>8279</v>
      </c>
      <c r="G2149">
        <v>200</v>
      </c>
      <c r="H2149">
        <v>0</v>
      </c>
      <c r="I2149" t="s">
        <v>140</v>
      </c>
      <c r="J2149" t="s">
        <v>7421</v>
      </c>
      <c r="K2149" t="s">
        <v>250</v>
      </c>
      <c r="L2149" t="s">
        <v>27</v>
      </c>
      <c r="M2149" t="s">
        <v>28</v>
      </c>
      <c r="N2149" t="s">
        <v>8278</v>
      </c>
      <c r="O2149" t="s">
        <v>27</v>
      </c>
      <c r="P2149" t="s">
        <v>30</v>
      </c>
      <c r="Q2149" t="s">
        <v>31</v>
      </c>
      <c r="R2149" t="s">
        <v>32</v>
      </c>
      <c r="S2149" t="s">
        <v>28</v>
      </c>
      <c r="T2149" t="s">
        <v>8280</v>
      </c>
      <c r="U2149" t="s">
        <v>8278</v>
      </c>
    </row>
    <row r="2150" spans="1:21" x14ac:dyDescent="0.25">
      <c r="A2150" t="s">
        <v>58</v>
      </c>
      <c r="B2150" t="s">
        <v>58</v>
      </c>
      <c r="C2150">
        <v>100</v>
      </c>
      <c r="D2150">
        <v>1</v>
      </c>
      <c r="E2150">
        <v>0</v>
      </c>
      <c r="F2150" t="s">
        <v>8279</v>
      </c>
      <c r="G2150">
        <v>200</v>
      </c>
      <c r="H2150">
        <v>0</v>
      </c>
      <c r="I2150" t="s">
        <v>140</v>
      </c>
      <c r="J2150" t="s">
        <v>7421</v>
      </c>
      <c r="K2150" t="s">
        <v>250</v>
      </c>
      <c r="L2150" t="s">
        <v>27</v>
      </c>
      <c r="M2150" t="s">
        <v>28</v>
      </c>
      <c r="N2150" t="s">
        <v>8278</v>
      </c>
      <c r="O2150" t="s">
        <v>27</v>
      </c>
      <c r="P2150" t="s">
        <v>30</v>
      </c>
      <c r="Q2150" t="s">
        <v>31</v>
      </c>
      <c r="R2150" t="s">
        <v>32</v>
      </c>
      <c r="S2150" t="s">
        <v>28</v>
      </c>
      <c r="T2150" t="s">
        <v>8280</v>
      </c>
      <c r="U2150" t="s">
        <v>8278</v>
      </c>
    </row>
    <row r="2151" spans="1:21" x14ac:dyDescent="0.25">
      <c r="A2151" t="s">
        <v>134</v>
      </c>
      <c r="B2151" t="s">
        <v>64</v>
      </c>
      <c r="C2151">
        <v>100</v>
      </c>
      <c r="D2151">
        <v>11</v>
      </c>
      <c r="E2151">
        <v>0</v>
      </c>
      <c r="F2151" t="s">
        <v>8281</v>
      </c>
      <c r="G2151">
        <v>2200</v>
      </c>
      <c r="H2151">
        <v>0</v>
      </c>
      <c r="I2151" t="s">
        <v>140</v>
      </c>
      <c r="J2151" t="s">
        <v>8282</v>
      </c>
      <c r="K2151" t="s">
        <v>5225</v>
      </c>
      <c r="L2151" t="s">
        <v>27</v>
      </c>
      <c r="M2151" t="s">
        <v>28</v>
      </c>
      <c r="N2151" t="s">
        <v>8283</v>
      </c>
      <c r="O2151" t="s">
        <v>27</v>
      </c>
      <c r="P2151" t="s">
        <v>30</v>
      </c>
      <c r="Q2151" t="s">
        <v>31</v>
      </c>
      <c r="R2151" t="s">
        <v>32</v>
      </c>
      <c r="S2151" t="s">
        <v>28</v>
      </c>
      <c r="T2151" t="s">
        <v>8284</v>
      </c>
      <c r="U2151" t="s">
        <v>8283</v>
      </c>
    </row>
    <row r="2152" spans="1:21" x14ac:dyDescent="0.25">
      <c r="A2152" t="s">
        <v>63</v>
      </c>
      <c r="B2152" t="s">
        <v>64</v>
      </c>
      <c r="C2152">
        <v>100</v>
      </c>
      <c r="D2152">
        <v>11</v>
      </c>
      <c r="E2152">
        <v>0</v>
      </c>
      <c r="F2152" t="s">
        <v>8281</v>
      </c>
      <c r="G2152">
        <v>2200</v>
      </c>
      <c r="H2152">
        <v>0</v>
      </c>
      <c r="I2152" t="s">
        <v>140</v>
      </c>
      <c r="J2152" t="s">
        <v>8282</v>
      </c>
      <c r="K2152" t="s">
        <v>5225</v>
      </c>
      <c r="L2152" t="s">
        <v>27</v>
      </c>
      <c r="M2152" t="s">
        <v>28</v>
      </c>
      <c r="N2152" t="s">
        <v>8283</v>
      </c>
      <c r="O2152" t="s">
        <v>27</v>
      </c>
      <c r="P2152" t="s">
        <v>30</v>
      </c>
      <c r="Q2152" t="s">
        <v>31</v>
      </c>
      <c r="R2152" t="s">
        <v>32</v>
      </c>
      <c r="S2152" t="s">
        <v>28</v>
      </c>
      <c r="T2152" t="s">
        <v>8284</v>
      </c>
      <c r="U2152" t="s">
        <v>8283</v>
      </c>
    </row>
    <row r="2153" spans="1:21" x14ac:dyDescent="0.25">
      <c r="A2153" t="s">
        <v>134</v>
      </c>
      <c r="B2153" t="s">
        <v>64</v>
      </c>
      <c r="C2153">
        <v>100</v>
      </c>
      <c r="D2153">
        <v>2</v>
      </c>
      <c r="E2153">
        <v>0</v>
      </c>
      <c r="F2153" t="s">
        <v>8285</v>
      </c>
      <c r="G2153">
        <v>200</v>
      </c>
      <c r="H2153">
        <v>0</v>
      </c>
      <c r="I2153" t="s">
        <v>140</v>
      </c>
      <c r="J2153" t="s">
        <v>847</v>
      </c>
      <c r="K2153" t="s">
        <v>124</v>
      </c>
      <c r="L2153" t="s">
        <v>27</v>
      </c>
      <c r="M2153" t="s">
        <v>28</v>
      </c>
      <c r="N2153" t="s">
        <v>8283</v>
      </c>
      <c r="O2153" t="s">
        <v>27</v>
      </c>
      <c r="P2153" t="s">
        <v>30</v>
      </c>
      <c r="Q2153" t="s">
        <v>31</v>
      </c>
      <c r="R2153" t="s">
        <v>32</v>
      </c>
      <c r="S2153" t="s">
        <v>28</v>
      </c>
      <c r="T2153" t="s">
        <v>8286</v>
      </c>
      <c r="U2153" t="s">
        <v>8283</v>
      </c>
    </row>
    <row r="2154" spans="1:21" x14ac:dyDescent="0.25">
      <c r="A2154" t="s">
        <v>63</v>
      </c>
      <c r="B2154" t="s">
        <v>64</v>
      </c>
      <c r="C2154">
        <v>100</v>
      </c>
      <c r="D2154">
        <v>1</v>
      </c>
      <c r="E2154">
        <v>0</v>
      </c>
      <c r="F2154" t="s">
        <v>8287</v>
      </c>
      <c r="G2154">
        <v>195</v>
      </c>
      <c r="H2154">
        <v>0</v>
      </c>
      <c r="I2154" t="s">
        <v>445</v>
      </c>
      <c r="J2154" t="s">
        <v>5665</v>
      </c>
      <c r="K2154" t="s">
        <v>451</v>
      </c>
      <c r="L2154" t="s">
        <v>27</v>
      </c>
      <c r="M2154" t="s">
        <v>28</v>
      </c>
      <c r="N2154" t="s">
        <v>8288</v>
      </c>
      <c r="O2154" t="s">
        <v>27</v>
      </c>
      <c r="P2154" t="s">
        <v>39</v>
      </c>
      <c r="Q2154" t="s">
        <v>31</v>
      </c>
      <c r="R2154" t="s">
        <v>32</v>
      </c>
      <c r="S2154" t="s">
        <v>28</v>
      </c>
      <c r="T2154" t="s">
        <v>8289</v>
      </c>
      <c r="U2154" t="s">
        <v>8288</v>
      </c>
    </row>
    <row r="2155" spans="1:21" x14ac:dyDescent="0.25">
      <c r="A2155" t="s">
        <v>33</v>
      </c>
      <c r="B2155" t="s">
        <v>34</v>
      </c>
      <c r="C2155">
        <v>200</v>
      </c>
      <c r="D2155">
        <v>1</v>
      </c>
      <c r="E2155">
        <v>0</v>
      </c>
      <c r="F2155" t="s">
        <v>8290</v>
      </c>
      <c r="G2155">
        <v>200</v>
      </c>
      <c r="H2155">
        <v>0</v>
      </c>
      <c r="I2155" t="s">
        <v>24</v>
      </c>
      <c r="J2155" t="s">
        <v>8291</v>
      </c>
      <c r="K2155" t="s">
        <v>89</v>
      </c>
      <c r="L2155" t="s">
        <v>27</v>
      </c>
      <c r="M2155" t="s">
        <v>28</v>
      </c>
      <c r="N2155" t="s">
        <v>8292</v>
      </c>
      <c r="O2155" t="s">
        <v>27</v>
      </c>
      <c r="P2155" t="s">
        <v>39</v>
      </c>
      <c r="Q2155" t="s">
        <v>31</v>
      </c>
      <c r="R2155" t="s">
        <v>32</v>
      </c>
      <c r="S2155" t="s">
        <v>28</v>
      </c>
      <c r="T2155" t="s">
        <v>8293</v>
      </c>
      <c r="U2155" t="s">
        <v>8292</v>
      </c>
    </row>
    <row r="2156" spans="1:21" x14ac:dyDescent="0.25">
      <c r="A2156" t="s">
        <v>493</v>
      </c>
      <c r="B2156" t="s">
        <v>494</v>
      </c>
      <c r="C2156">
        <v>149</v>
      </c>
      <c r="D2156">
        <v>1</v>
      </c>
      <c r="E2156">
        <v>0</v>
      </c>
      <c r="F2156" t="s">
        <v>8294</v>
      </c>
      <c r="G2156">
        <v>155</v>
      </c>
      <c r="H2156">
        <v>6</v>
      </c>
      <c r="I2156" t="s">
        <v>445</v>
      </c>
      <c r="J2156" t="s">
        <v>8295</v>
      </c>
      <c r="K2156" t="s">
        <v>594</v>
      </c>
      <c r="L2156" t="s">
        <v>27</v>
      </c>
      <c r="M2156" t="s">
        <v>28</v>
      </c>
      <c r="N2156" t="s">
        <v>8296</v>
      </c>
      <c r="O2156" t="s">
        <v>27</v>
      </c>
      <c r="P2156" t="s">
        <v>56</v>
      </c>
      <c r="Q2156" t="s">
        <v>31</v>
      </c>
      <c r="R2156" t="s">
        <v>57</v>
      </c>
      <c r="S2156" t="s">
        <v>28</v>
      </c>
      <c r="T2156" t="s">
        <v>8297</v>
      </c>
      <c r="U2156" t="s">
        <v>8296</v>
      </c>
    </row>
    <row r="2157" spans="1:21" x14ac:dyDescent="0.25">
      <c r="A2157" t="s">
        <v>58</v>
      </c>
      <c r="B2157" t="s">
        <v>103</v>
      </c>
      <c r="C2157">
        <v>79.3</v>
      </c>
      <c r="D2157">
        <v>1</v>
      </c>
      <c r="E2157">
        <v>0</v>
      </c>
      <c r="F2157" t="s">
        <v>8298</v>
      </c>
      <c r="G2157">
        <v>84.3</v>
      </c>
      <c r="H2157">
        <v>5</v>
      </c>
      <c r="I2157" t="s">
        <v>105</v>
      </c>
      <c r="J2157" t="s">
        <v>8299</v>
      </c>
      <c r="K2157" t="s">
        <v>8300</v>
      </c>
      <c r="L2157" t="s">
        <v>1907</v>
      </c>
      <c r="M2157" t="s">
        <v>8301</v>
      </c>
      <c r="N2157" t="s">
        <v>8302</v>
      </c>
      <c r="O2157" t="s">
        <v>27</v>
      </c>
      <c r="P2157" t="s">
        <v>48</v>
      </c>
      <c r="Q2157" t="s">
        <v>49</v>
      </c>
      <c r="R2157" t="s">
        <v>50</v>
      </c>
      <c r="S2157" t="s">
        <v>28</v>
      </c>
      <c r="T2157" t="s">
        <v>8303</v>
      </c>
      <c r="U2157" t="s">
        <v>8304</v>
      </c>
    </row>
    <row r="2158" spans="1:21" x14ac:dyDescent="0.25">
      <c r="A2158" t="s">
        <v>33</v>
      </c>
      <c r="B2158" t="s">
        <v>34</v>
      </c>
      <c r="C2158">
        <v>200</v>
      </c>
      <c r="D2158">
        <v>1</v>
      </c>
      <c r="E2158">
        <v>0</v>
      </c>
      <c r="F2158" t="s">
        <v>8305</v>
      </c>
      <c r="G2158">
        <v>200</v>
      </c>
      <c r="H2158">
        <v>0</v>
      </c>
      <c r="I2158" t="s">
        <v>445</v>
      </c>
      <c r="J2158" t="s">
        <v>8306</v>
      </c>
      <c r="K2158" t="s">
        <v>89</v>
      </c>
      <c r="L2158" t="s">
        <v>27</v>
      </c>
      <c r="M2158" t="s">
        <v>28</v>
      </c>
      <c r="N2158" t="s">
        <v>8307</v>
      </c>
      <c r="O2158" t="s">
        <v>27</v>
      </c>
      <c r="P2158" t="s">
        <v>39</v>
      </c>
      <c r="Q2158" t="s">
        <v>31</v>
      </c>
      <c r="R2158" t="s">
        <v>32</v>
      </c>
      <c r="S2158" t="s">
        <v>28</v>
      </c>
      <c r="T2158" t="s">
        <v>8308</v>
      </c>
      <c r="U2158" t="s">
        <v>8307</v>
      </c>
    </row>
    <row r="2159" spans="1:21" x14ac:dyDescent="0.25">
      <c r="A2159" t="s">
        <v>21</v>
      </c>
      <c r="B2159" t="s">
        <v>22</v>
      </c>
      <c r="C2159">
        <v>100</v>
      </c>
      <c r="D2159">
        <v>1</v>
      </c>
      <c r="E2159">
        <v>0</v>
      </c>
      <c r="F2159" t="s">
        <v>8309</v>
      </c>
      <c r="G2159">
        <v>299</v>
      </c>
      <c r="H2159">
        <v>0</v>
      </c>
      <c r="I2159" t="s">
        <v>140</v>
      </c>
      <c r="J2159" t="s">
        <v>8310</v>
      </c>
      <c r="K2159" t="s">
        <v>247</v>
      </c>
      <c r="L2159" t="s">
        <v>27</v>
      </c>
      <c r="M2159" t="s">
        <v>28</v>
      </c>
      <c r="N2159" t="s">
        <v>8311</v>
      </c>
      <c r="O2159" t="s">
        <v>27</v>
      </c>
      <c r="P2159" t="s">
        <v>30</v>
      </c>
      <c r="Q2159" t="s">
        <v>31</v>
      </c>
      <c r="R2159" t="s">
        <v>32</v>
      </c>
      <c r="S2159" t="s">
        <v>28</v>
      </c>
      <c r="T2159" t="s">
        <v>8312</v>
      </c>
      <c r="U2159" t="s">
        <v>8311</v>
      </c>
    </row>
    <row r="2160" spans="1:21" x14ac:dyDescent="0.25">
      <c r="A2160" t="s">
        <v>134</v>
      </c>
      <c r="B2160" t="s">
        <v>64</v>
      </c>
      <c r="C2160">
        <v>100</v>
      </c>
      <c r="D2160">
        <v>1</v>
      </c>
      <c r="E2160">
        <v>0</v>
      </c>
      <c r="F2160" t="s">
        <v>8309</v>
      </c>
      <c r="G2160">
        <v>299</v>
      </c>
      <c r="H2160">
        <v>0</v>
      </c>
      <c r="I2160" t="s">
        <v>140</v>
      </c>
      <c r="J2160" t="s">
        <v>8310</v>
      </c>
      <c r="K2160" t="s">
        <v>247</v>
      </c>
      <c r="L2160" t="s">
        <v>27</v>
      </c>
      <c r="M2160" t="s">
        <v>28</v>
      </c>
      <c r="N2160" t="s">
        <v>8311</v>
      </c>
      <c r="O2160" t="s">
        <v>27</v>
      </c>
      <c r="P2160" t="s">
        <v>30</v>
      </c>
      <c r="Q2160" t="s">
        <v>31</v>
      </c>
      <c r="R2160" t="s">
        <v>32</v>
      </c>
      <c r="S2160" t="s">
        <v>28</v>
      </c>
      <c r="T2160" t="s">
        <v>8312</v>
      </c>
      <c r="U2160" t="s">
        <v>8311</v>
      </c>
    </row>
    <row r="2161" spans="1:21" x14ac:dyDescent="0.25">
      <c r="A2161" t="s">
        <v>134</v>
      </c>
      <c r="B2161" t="s">
        <v>64</v>
      </c>
      <c r="C2161">
        <v>100</v>
      </c>
      <c r="D2161">
        <v>1</v>
      </c>
      <c r="E2161">
        <v>0</v>
      </c>
      <c r="F2161" t="s">
        <v>8313</v>
      </c>
      <c r="G2161">
        <v>106</v>
      </c>
      <c r="H2161">
        <v>6</v>
      </c>
      <c r="I2161" t="s">
        <v>445</v>
      </c>
      <c r="J2161" t="s">
        <v>8314</v>
      </c>
      <c r="K2161" t="s">
        <v>237</v>
      </c>
      <c r="L2161" t="s">
        <v>27</v>
      </c>
      <c r="M2161" t="s">
        <v>28</v>
      </c>
      <c r="N2161" t="s">
        <v>8315</v>
      </c>
      <c r="O2161" t="s">
        <v>27</v>
      </c>
      <c r="P2161" t="s">
        <v>39</v>
      </c>
      <c r="Q2161" t="s">
        <v>31</v>
      </c>
      <c r="R2161" t="s">
        <v>32</v>
      </c>
      <c r="S2161" t="s">
        <v>28</v>
      </c>
      <c r="T2161" t="s">
        <v>8316</v>
      </c>
      <c r="U2161" t="s">
        <v>8315</v>
      </c>
    </row>
    <row r="2162" spans="1:21" x14ac:dyDescent="0.25">
      <c r="A2162" t="s">
        <v>21</v>
      </c>
      <c r="B2162" t="s">
        <v>22</v>
      </c>
      <c r="C2162">
        <v>100</v>
      </c>
      <c r="D2162">
        <v>3</v>
      </c>
      <c r="E2162">
        <v>0</v>
      </c>
      <c r="F2162" t="s">
        <v>8317</v>
      </c>
      <c r="G2162">
        <v>300</v>
      </c>
      <c r="H2162">
        <v>0</v>
      </c>
      <c r="I2162" t="s">
        <v>140</v>
      </c>
      <c r="J2162" t="s">
        <v>8318</v>
      </c>
      <c r="K2162" t="s">
        <v>1190</v>
      </c>
      <c r="L2162" t="s">
        <v>27</v>
      </c>
      <c r="M2162" t="s">
        <v>28</v>
      </c>
      <c r="N2162" t="s">
        <v>8319</v>
      </c>
      <c r="O2162" t="s">
        <v>27</v>
      </c>
      <c r="P2162" t="s">
        <v>369</v>
      </c>
      <c r="Q2162" t="s">
        <v>31</v>
      </c>
      <c r="R2162" t="s">
        <v>57</v>
      </c>
      <c r="S2162" t="s">
        <v>28</v>
      </c>
      <c r="T2162" t="s">
        <v>8320</v>
      </c>
      <c r="U2162" t="s">
        <v>8319</v>
      </c>
    </row>
    <row r="2163" spans="1:21" x14ac:dyDescent="0.25">
      <c r="A2163" t="s">
        <v>21</v>
      </c>
      <c r="B2163" t="s">
        <v>22</v>
      </c>
      <c r="C2163">
        <v>100</v>
      </c>
      <c r="D2163">
        <v>1</v>
      </c>
      <c r="E2163">
        <v>0</v>
      </c>
      <c r="F2163" t="s">
        <v>8321</v>
      </c>
      <c r="G2163">
        <v>106</v>
      </c>
      <c r="H2163">
        <v>6</v>
      </c>
      <c r="I2163" t="s">
        <v>140</v>
      </c>
      <c r="J2163" t="s">
        <v>8322</v>
      </c>
      <c r="K2163" t="s">
        <v>175</v>
      </c>
      <c r="L2163" t="s">
        <v>27</v>
      </c>
      <c r="M2163" t="s">
        <v>28</v>
      </c>
      <c r="N2163" t="s">
        <v>8323</v>
      </c>
      <c r="O2163" t="s">
        <v>27</v>
      </c>
      <c r="P2163" t="s">
        <v>30</v>
      </c>
      <c r="Q2163" t="s">
        <v>31</v>
      </c>
      <c r="R2163" t="s">
        <v>32</v>
      </c>
      <c r="S2163" t="s">
        <v>28</v>
      </c>
      <c r="T2163" t="s">
        <v>8324</v>
      </c>
      <c r="U2163" t="s">
        <v>8323</v>
      </c>
    </row>
    <row r="2164" spans="1:21" x14ac:dyDescent="0.25">
      <c r="A2164" t="s">
        <v>70</v>
      </c>
      <c r="B2164" t="s">
        <v>70</v>
      </c>
      <c r="C2164">
        <v>350</v>
      </c>
      <c r="D2164">
        <v>1</v>
      </c>
      <c r="E2164">
        <v>0</v>
      </c>
      <c r="F2164" t="s">
        <v>8325</v>
      </c>
      <c r="G2164">
        <v>350</v>
      </c>
      <c r="H2164">
        <v>0</v>
      </c>
      <c r="I2164" t="s">
        <v>140</v>
      </c>
      <c r="J2164" t="s">
        <v>8326</v>
      </c>
      <c r="K2164" t="s">
        <v>250</v>
      </c>
      <c r="L2164" t="s">
        <v>27</v>
      </c>
      <c r="M2164" t="s">
        <v>28</v>
      </c>
      <c r="N2164" t="s">
        <v>8327</v>
      </c>
      <c r="O2164" t="s">
        <v>27</v>
      </c>
      <c r="P2164" t="s">
        <v>30</v>
      </c>
      <c r="Q2164" t="s">
        <v>31</v>
      </c>
      <c r="R2164" t="s">
        <v>32</v>
      </c>
      <c r="S2164" t="s">
        <v>28</v>
      </c>
      <c r="T2164" t="s">
        <v>8328</v>
      </c>
      <c r="U2164" t="s">
        <v>8327</v>
      </c>
    </row>
    <row r="2165" spans="1:21" x14ac:dyDescent="0.25">
      <c r="A2165" t="s">
        <v>21</v>
      </c>
      <c r="B2165" t="s">
        <v>22</v>
      </c>
      <c r="C2165">
        <v>100</v>
      </c>
      <c r="D2165">
        <v>1</v>
      </c>
      <c r="E2165">
        <v>0</v>
      </c>
      <c r="F2165" t="s">
        <v>8329</v>
      </c>
      <c r="G2165">
        <v>106</v>
      </c>
      <c r="H2165">
        <v>6</v>
      </c>
      <c r="I2165" t="s">
        <v>24</v>
      </c>
      <c r="J2165" t="s">
        <v>8330</v>
      </c>
      <c r="K2165" t="s">
        <v>118</v>
      </c>
      <c r="L2165" t="s">
        <v>27</v>
      </c>
      <c r="M2165" t="s">
        <v>28</v>
      </c>
      <c r="N2165" t="s">
        <v>8331</v>
      </c>
      <c r="O2165" t="s">
        <v>27</v>
      </c>
      <c r="P2165" t="s">
        <v>39</v>
      </c>
      <c r="Q2165" t="s">
        <v>31</v>
      </c>
      <c r="R2165" t="s">
        <v>32</v>
      </c>
      <c r="S2165" t="s">
        <v>28</v>
      </c>
      <c r="T2165" t="s">
        <v>8332</v>
      </c>
      <c r="U2165" t="s">
        <v>8331</v>
      </c>
    </row>
    <row r="2166" spans="1:21" x14ac:dyDescent="0.25">
      <c r="A2166" t="s">
        <v>2946</v>
      </c>
      <c r="B2166" t="s">
        <v>2947</v>
      </c>
      <c r="C2166">
        <v>100</v>
      </c>
      <c r="D2166">
        <v>1</v>
      </c>
      <c r="E2166">
        <v>0</v>
      </c>
      <c r="F2166" t="s">
        <v>8333</v>
      </c>
      <c r="G2166">
        <v>200</v>
      </c>
      <c r="H2166">
        <v>0</v>
      </c>
      <c r="I2166" t="s">
        <v>140</v>
      </c>
      <c r="J2166" t="s">
        <v>8334</v>
      </c>
      <c r="K2166" t="s">
        <v>346</v>
      </c>
      <c r="L2166" t="s">
        <v>27</v>
      </c>
      <c r="M2166" t="s">
        <v>28</v>
      </c>
      <c r="N2166" t="s">
        <v>8335</v>
      </c>
      <c r="O2166" t="s">
        <v>27</v>
      </c>
      <c r="P2166" t="s">
        <v>369</v>
      </c>
      <c r="Q2166" t="s">
        <v>31</v>
      </c>
      <c r="R2166" t="s">
        <v>57</v>
      </c>
      <c r="S2166" t="s">
        <v>28</v>
      </c>
      <c r="T2166" t="s">
        <v>8336</v>
      </c>
      <c r="U2166" t="s">
        <v>8335</v>
      </c>
    </row>
    <row r="2167" spans="1:21" x14ac:dyDescent="0.25">
      <c r="A2167" t="s">
        <v>134</v>
      </c>
      <c r="B2167" t="s">
        <v>64</v>
      </c>
      <c r="C2167">
        <v>100</v>
      </c>
      <c r="D2167">
        <v>1</v>
      </c>
      <c r="E2167">
        <v>0</v>
      </c>
      <c r="F2167" t="s">
        <v>8333</v>
      </c>
      <c r="G2167">
        <v>200</v>
      </c>
      <c r="H2167">
        <v>0</v>
      </c>
      <c r="I2167" t="s">
        <v>140</v>
      </c>
      <c r="J2167" t="s">
        <v>8334</v>
      </c>
      <c r="K2167" t="s">
        <v>346</v>
      </c>
      <c r="L2167" t="s">
        <v>27</v>
      </c>
      <c r="M2167" t="s">
        <v>28</v>
      </c>
      <c r="N2167" t="s">
        <v>8335</v>
      </c>
      <c r="O2167" t="s">
        <v>27</v>
      </c>
      <c r="P2167" t="s">
        <v>369</v>
      </c>
      <c r="Q2167" t="s">
        <v>31</v>
      </c>
      <c r="R2167" t="s">
        <v>57</v>
      </c>
      <c r="S2167" t="s">
        <v>28</v>
      </c>
      <c r="T2167" t="s">
        <v>8336</v>
      </c>
      <c r="U2167" t="s">
        <v>8335</v>
      </c>
    </row>
    <row r="2168" spans="1:21" x14ac:dyDescent="0.25">
      <c r="A2168" t="s">
        <v>21</v>
      </c>
      <c r="B2168" t="s">
        <v>22</v>
      </c>
      <c r="C2168">
        <v>100</v>
      </c>
      <c r="D2168">
        <v>1</v>
      </c>
      <c r="E2168">
        <v>0</v>
      </c>
      <c r="F2168" t="s">
        <v>8337</v>
      </c>
      <c r="G2168">
        <v>129</v>
      </c>
      <c r="H2168">
        <v>29</v>
      </c>
      <c r="I2168" t="s">
        <v>140</v>
      </c>
      <c r="J2168" t="s">
        <v>8338</v>
      </c>
      <c r="K2168" t="s">
        <v>672</v>
      </c>
      <c r="L2168" t="s">
        <v>27</v>
      </c>
      <c r="M2168" t="s">
        <v>28</v>
      </c>
      <c r="N2168" t="s">
        <v>8339</v>
      </c>
      <c r="O2168" t="s">
        <v>27</v>
      </c>
      <c r="P2168" t="s">
        <v>30</v>
      </c>
      <c r="Q2168" t="s">
        <v>31</v>
      </c>
      <c r="R2168" t="s">
        <v>32</v>
      </c>
      <c r="S2168" t="s">
        <v>28</v>
      </c>
      <c r="T2168" t="s">
        <v>8340</v>
      </c>
      <c r="U2168" t="s">
        <v>8339</v>
      </c>
    </row>
    <row r="2169" spans="1:21" x14ac:dyDescent="0.25">
      <c r="A2169" t="s">
        <v>21</v>
      </c>
      <c r="B2169" t="s">
        <v>22</v>
      </c>
      <c r="C2169">
        <v>100</v>
      </c>
      <c r="D2169">
        <v>1</v>
      </c>
      <c r="E2169">
        <v>0</v>
      </c>
      <c r="F2169" t="s">
        <v>8341</v>
      </c>
      <c r="G2169">
        <v>106</v>
      </c>
      <c r="H2169">
        <v>6</v>
      </c>
      <c r="I2169" t="s">
        <v>140</v>
      </c>
      <c r="J2169" t="s">
        <v>8342</v>
      </c>
      <c r="K2169" t="s">
        <v>209</v>
      </c>
      <c r="L2169" t="s">
        <v>27</v>
      </c>
      <c r="M2169" t="s">
        <v>28</v>
      </c>
      <c r="N2169" t="s">
        <v>8343</v>
      </c>
      <c r="O2169" t="s">
        <v>27</v>
      </c>
      <c r="P2169" t="s">
        <v>30</v>
      </c>
      <c r="Q2169" t="s">
        <v>31</v>
      </c>
      <c r="R2169" t="s">
        <v>32</v>
      </c>
      <c r="S2169" t="s">
        <v>28</v>
      </c>
      <c r="T2169" t="s">
        <v>8344</v>
      </c>
      <c r="U2169" t="s">
        <v>8343</v>
      </c>
    </row>
    <row r="2170" spans="1:21" x14ac:dyDescent="0.25">
      <c r="A2170" t="s">
        <v>21</v>
      </c>
      <c r="B2170" t="s">
        <v>22</v>
      </c>
      <c r="C2170">
        <v>100</v>
      </c>
      <c r="D2170">
        <v>1</v>
      </c>
      <c r="E2170">
        <v>0</v>
      </c>
      <c r="F2170" t="s">
        <v>8345</v>
      </c>
      <c r="G2170">
        <v>106</v>
      </c>
      <c r="H2170">
        <v>6</v>
      </c>
      <c r="I2170" t="s">
        <v>24</v>
      </c>
      <c r="J2170" t="s">
        <v>8346</v>
      </c>
      <c r="K2170" t="s">
        <v>285</v>
      </c>
      <c r="L2170" t="s">
        <v>27</v>
      </c>
      <c r="M2170" t="s">
        <v>28</v>
      </c>
      <c r="N2170" t="s">
        <v>8347</v>
      </c>
      <c r="O2170" t="s">
        <v>27</v>
      </c>
      <c r="P2170" t="s">
        <v>39</v>
      </c>
      <c r="Q2170" t="s">
        <v>31</v>
      </c>
      <c r="R2170" t="s">
        <v>32</v>
      </c>
      <c r="S2170" t="s">
        <v>28</v>
      </c>
      <c r="T2170" t="s">
        <v>8348</v>
      </c>
      <c r="U2170" t="s">
        <v>8349</v>
      </c>
    </row>
    <row r="2171" spans="1:21" x14ac:dyDescent="0.25">
      <c r="A2171" t="s">
        <v>21</v>
      </c>
      <c r="B2171" t="s">
        <v>22</v>
      </c>
      <c r="C2171">
        <v>100</v>
      </c>
      <c r="D2171">
        <v>2</v>
      </c>
      <c r="E2171">
        <v>0</v>
      </c>
      <c r="F2171" t="s">
        <v>8350</v>
      </c>
      <c r="G2171">
        <v>200</v>
      </c>
      <c r="H2171">
        <v>0</v>
      </c>
      <c r="I2171" t="s">
        <v>140</v>
      </c>
      <c r="J2171" t="s">
        <v>8351</v>
      </c>
      <c r="K2171" t="s">
        <v>451</v>
      </c>
      <c r="L2171" t="s">
        <v>27</v>
      </c>
      <c r="M2171" t="s">
        <v>28</v>
      </c>
      <c r="N2171" t="s">
        <v>8347</v>
      </c>
      <c r="O2171" t="s">
        <v>27</v>
      </c>
      <c r="P2171" t="s">
        <v>30</v>
      </c>
      <c r="Q2171" t="s">
        <v>31</v>
      </c>
      <c r="R2171" t="s">
        <v>32</v>
      </c>
      <c r="S2171" t="s">
        <v>28</v>
      </c>
      <c r="T2171" t="s">
        <v>8352</v>
      </c>
      <c r="U2171" t="s">
        <v>8347</v>
      </c>
    </row>
    <row r="2172" spans="1:21" x14ac:dyDescent="0.25">
      <c r="A2172" t="s">
        <v>21</v>
      </c>
      <c r="B2172" t="s">
        <v>22</v>
      </c>
      <c r="C2172">
        <v>100</v>
      </c>
      <c r="D2172">
        <v>1</v>
      </c>
      <c r="E2172">
        <v>0</v>
      </c>
      <c r="F2172" t="s">
        <v>8353</v>
      </c>
      <c r="G2172">
        <v>100</v>
      </c>
      <c r="H2172">
        <v>0</v>
      </c>
      <c r="I2172" t="s">
        <v>24</v>
      </c>
      <c r="J2172" t="s">
        <v>8354</v>
      </c>
      <c r="K2172" t="s">
        <v>8355</v>
      </c>
      <c r="L2172" t="s">
        <v>27</v>
      </c>
      <c r="M2172" t="s">
        <v>28</v>
      </c>
      <c r="N2172" t="s">
        <v>8356</v>
      </c>
      <c r="O2172" t="s">
        <v>27</v>
      </c>
      <c r="P2172" t="s">
        <v>39</v>
      </c>
      <c r="Q2172" t="s">
        <v>31</v>
      </c>
      <c r="R2172" t="s">
        <v>32</v>
      </c>
      <c r="S2172" t="s">
        <v>28</v>
      </c>
      <c r="T2172" t="s">
        <v>8357</v>
      </c>
      <c r="U2172" t="s">
        <v>8347</v>
      </c>
    </row>
    <row r="2173" spans="1:21" x14ac:dyDescent="0.25">
      <c r="A2173" t="s">
        <v>21</v>
      </c>
      <c r="B2173" t="s">
        <v>22</v>
      </c>
      <c r="C2173">
        <v>100</v>
      </c>
      <c r="D2173">
        <v>1</v>
      </c>
      <c r="E2173">
        <v>0</v>
      </c>
      <c r="F2173" t="s">
        <v>8358</v>
      </c>
      <c r="G2173">
        <v>100</v>
      </c>
      <c r="H2173">
        <v>0</v>
      </c>
      <c r="I2173" t="s">
        <v>140</v>
      </c>
      <c r="J2173" t="s">
        <v>8359</v>
      </c>
      <c r="K2173" t="s">
        <v>342</v>
      </c>
      <c r="L2173" t="s">
        <v>27</v>
      </c>
      <c r="M2173" t="s">
        <v>28</v>
      </c>
      <c r="N2173" t="s">
        <v>8360</v>
      </c>
      <c r="O2173" t="s">
        <v>27</v>
      </c>
      <c r="P2173" t="s">
        <v>369</v>
      </c>
      <c r="Q2173" t="s">
        <v>31</v>
      </c>
      <c r="R2173" t="s">
        <v>57</v>
      </c>
      <c r="S2173" t="s">
        <v>28</v>
      </c>
      <c r="T2173" t="s">
        <v>8361</v>
      </c>
      <c r="U2173" t="s">
        <v>8360</v>
      </c>
    </row>
    <row r="2174" spans="1:21" x14ac:dyDescent="0.25">
      <c r="A2174" t="s">
        <v>63</v>
      </c>
      <c r="B2174" t="s">
        <v>64</v>
      </c>
      <c r="C2174">
        <v>100</v>
      </c>
      <c r="D2174">
        <v>1</v>
      </c>
      <c r="E2174">
        <v>0</v>
      </c>
      <c r="F2174" t="s">
        <v>8362</v>
      </c>
      <c r="G2174">
        <v>200</v>
      </c>
      <c r="H2174">
        <v>0</v>
      </c>
      <c r="I2174" t="s">
        <v>140</v>
      </c>
      <c r="J2174" t="s">
        <v>2354</v>
      </c>
      <c r="K2174" t="s">
        <v>26</v>
      </c>
      <c r="L2174" t="s">
        <v>27</v>
      </c>
      <c r="M2174" t="s">
        <v>28</v>
      </c>
      <c r="N2174" t="s">
        <v>8360</v>
      </c>
      <c r="O2174" t="s">
        <v>27</v>
      </c>
      <c r="P2174" t="s">
        <v>369</v>
      </c>
      <c r="Q2174" t="s">
        <v>31</v>
      </c>
      <c r="R2174" t="s">
        <v>57</v>
      </c>
      <c r="S2174" t="s">
        <v>28</v>
      </c>
      <c r="T2174" t="s">
        <v>8363</v>
      </c>
      <c r="U2174" t="s">
        <v>8364</v>
      </c>
    </row>
    <row r="2175" spans="1:21" x14ac:dyDescent="0.25">
      <c r="A2175" t="s">
        <v>134</v>
      </c>
      <c r="B2175" t="s">
        <v>64</v>
      </c>
      <c r="C2175">
        <v>100</v>
      </c>
      <c r="D2175">
        <v>1</v>
      </c>
      <c r="E2175">
        <v>0</v>
      </c>
      <c r="F2175" t="s">
        <v>8362</v>
      </c>
      <c r="G2175">
        <v>200</v>
      </c>
      <c r="H2175">
        <v>0</v>
      </c>
      <c r="I2175" t="s">
        <v>140</v>
      </c>
      <c r="J2175" t="s">
        <v>2354</v>
      </c>
      <c r="K2175" t="s">
        <v>26</v>
      </c>
      <c r="L2175" t="s">
        <v>27</v>
      </c>
      <c r="M2175" t="s">
        <v>28</v>
      </c>
      <c r="N2175" t="s">
        <v>8360</v>
      </c>
      <c r="O2175" t="s">
        <v>27</v>
      </c>
      <c r="P2175" t="s">
        <v>369</v>
      </c>
      <c r="Q2175" t="s">
        <v>31</v>
      </c>
      <c r="R2175" t="s">
        <v>57</v>
      </c>
      <c r="S2175" t="s">
        <v>28</v>
      </c>
      <c r="T2175" t="s">
        <v>8363</v>
      </c>
      <c r="U2175" t="s">
        <v>8364</v>
      </c>
    </row>
    <row r="2176" spans="1:21" x14ac:dyDescent="0.25">
      <c r="A2176" t="s">
        <v>21</v>
      </c>
      <c r="B2176" t="s">
        <v>22</v>
      </c>
      <c r="C2176">
        <v>100</v>
      </c>
      <c r="D2176">
        <v>1</v>
      </c>
      <c r="E2176">
        <v>0</v>
      </c>
      <c r="F2176" t="s">
        <v>8365</v>
      </c>
      <c r="G2176">
        <v>200</v>
      </c>
      <c r="H2176">
        <v>0</v>
      </c>
      <c r="I2176" t="s">
        <v>140</v>
      </c>
      <c r="J2176" t="s">
        <v>8366</v>
      </c>
      <c r="K2176" t="s">
        <v>350</v>
      </c>
      <c r="L2176" t="s">
        <v>27</v>
      </c>
      <c r="M2176" t="s">
        <v>28</v>
      </c>
      <c r="N2176" t="s">
        <v>8364</v>
      </c>
      <c r="O2176" t="s">
        <v>27</v>
      </c>
      <c r="P2176" t="s">
        <v>30</v>
      </c>
      <c r="Q2176" t="s">
        <v>31</v>
      </c>
      <c r="R2176" t="s">
        <v>32</v>
      </c>
      <c r="S2176" t="s">
        <v>28</v>
      </c>
      <c r="T2176" t="s">
        <v>8367</v>
      </c>
      <c r="U2176" t="s">
        <v>8364</v>
      </c>
    </row>
    <row r="2177" spans="1:21" x14ac:dyDescent="0.25">
      <c r="A2177" t="s">
        <v>63</v>
      </c>
      <c r="B2177" t="s">
        <v>64</v>
      </c>
      <c r="C2177">
        <v>100</v>
      </c>
      <c r="D2177">
        <v>1</v>
      </c>
      <c r="E2177">
        <v>0</v>
      </c>
      <c r="F2177" t="s">
        <v>8365</v>
      </c>
      <c r="G2177">
        <v>200</v>
      </c>
      <c r="H2177">
        <v>0</v>
      </c>
      <c r="I2177" t="s">
        <v>140</v>
      </c>
      <c r="J2177" t="s">
        <v>8366</v>
      </c>
      <c r="K2177" t="s">
        <v>350</v>
      </c>
      <c r="L2177" t="s">
        <v>27</v>
      </c>
      <c r="M2177" t="s">
        <v>28</v>
      </c>
      <c r="N2177" t="s">
        <v>8364</v>
      </c>
      <c r="O2177" t="s">
        <v>27</v>
      </c>
      <c r="P2177" t="s">
        <v>30</v>
      </c>
      <c r="Q2177" t="s">
        <v>31</v>
      </c>
      <c r="R2177" t="s">
        <v>32</v>
      </c>
      <c r="S2177" t="s">
        <v>28</v>
      </c>
      <c r="T2177" t="s">
        <v>8367</v>
      </c>
      <c r="U2177" t="s">
        <v>8364</v>
      </c>
    </row>
    <row r="2178" spans="1:21" x14ac:dyDescent="0.25">
      <c r="A2178" t="s">
        <v>21</v>
      </c>
      <c r="B2178" t="s">
        <v>22</v>
      </c>
      <c r="C2178">
        <v>100</v>
      </c>
      <c r="D2178">
        <v>1</v>
      </c>
      <c r="E2178">
        <v>0</v>
      </c>
      <c r="F2178" t="s">
        <v>8368</v>
      </c>
      <c r="G2178">
        <v>106</v>
      </c>
      <c r="H2178">
        <v>6</v>
      </c>
      <c r="I2178" t="s">
        <v>140</v>
      </c>
      <c r="J2178" t="s">
        <v>8369</v>
      </c>
      <c r="K2178" t="s">
        <v>2470</v>
      </c>
      <c r="L2178" t="s">
        <v>27</v>
      </c>
      <c r="M2178" t="s">
        <v>28</v>
      </c>
      <c r="N2178" t="s">
        <v>8370</v>
      </c>
      <c r="O2178" t="s">
        <v>27</v>
      </c>
      <c r="P2178" t="s">
        <v>369</v>
      </c>
      <c r="Q2178" t="s">
        <v>31</v>
      </c>
      <c r="R2178" t="s">
        <v>57</v>
      </c>
      <c r="S2178" t="s">
        <v>28</v>
      </c>
      <c r="T2178" t="s">
        <v>8371</v>
      </c>
      <c r="U2178" t="s">
        <v>8370</v>
      </c>
    </row>
    <row r="2179" spans="1:21" x14ac:dyDescent="0.25">
      <c r="A2179" t="s">
        <v>21</v>
      </c>
      <c r="B2179" t="s">
        <v>22</v>
      </c>
      <c r="C2179">
        <v>100</v>
      </c>
      <c r="D2179">
        <v>1</v>
      </c>
      <c r="E2179">
        <v>0</v>
      </c>
      <c r="F2179" t="s">
        <v>8372</v>
      </c>
      <c r="G2179">
        <v>106</v>
      </c>
      <c r="H2179">
        <v>6</v>
      </c>
      <c r="I2179" t="s">
        <v>140</v>
      </c>
      <c r="J2179" t="s">
        <v>8373</v>
      </c>
      <c r="K2179" t="s">
        <v>61</v>
      </c>
      <c r="L2179" t="s">
        <v>27</v>
      </c>
      <c r="M2179" t="s">
        <v>28</v>
      </c>
      <c r="N2179" t="s">
        <v>8370</v>
      </c>
      <c r="O2179" t="s">
        <v>27</v>
      </c>
      <c r="P2179" t="s">
        <v>30</v>
      </c>
      <c r="Q2179" t="s">
        <v>31</v>
      </c>
      <c r="R2179" t="s">
        <v>32</v>
      </c>
      <c r="S2179" t="s">
        <v>28</v>
      </c>
      <c r="T2179" t="s">
        <v>8374</v>
      </c>
      <c r="U2179" t="s">
        <v>8370</v>
      </c>
    </row>
    <row r="2180" spans="1:21" x14ac:dyDescent="0.25">
      <c r="A2180" t="s">
        <v>21</v>
      </c>
      <c r="B2180" t="s">
        <v>22</v>
      </c>
      <c r="C2180">
        <v>100</v>
      </c>
      <c r="D2180">
        <v>2</v>
      </c>
      <c r="E2180">
        <v>0</v>
      </c>
      <c r="F2180" t="s">
        <v>8375</v>
      </c>
      <c r="G2180">
        <v>200</v>
      </c>
      <c r="H2180">
        <v>0</v>
      </c>
      <c r="I2180" t="s">
        <v>24</v>
      </c>
      <c r="J2180" t="s">
        <v>8376</v>
      </c>
      <c r="K2180" t="s">
        <v>342</v>
      </c>
      <c r="L2180" t="s">
        <v>27</v>
      </c>
      <c r="M2180" t="s">
        <v>28</v>
      </c>
      <c r="N2180" t="s">
        <v>8370</v>
      </c>
      <c r="O2180" t="s">
        <v>27</v>
      </c>
      <c r="P2180" t="s">
        <v>39</v>
      </c>
      <c r="Q2180" t="s">
        <v>31</v>
      </c>
      <c r="R2180" t="s">
        <v>32</v>
      </c>
      <c r="S2180" t="s">
        <v>28</v>
      </c>
      <c r="T2180" t="s">
        <v>8377</v>
      </c>
      <c r="U2180" t="s">
        <v>8370</v>
      </c>
    </row>
    <row r="2181" spans="1:21" x14ac:dyDescent="0.25">
      <c r="A2181" t="s">
        <v>58</v>
      </c>
      <c r="B2181" t="s">
        <v>58</v>
      </c>
      <c r="C2181">
        <v>100</v>
      </c>
      <c r="D2181">
        <v>1</v>
      </c>
      <c r="E2181">
        <v>0</v>
      </c>
      <c r="F2181" t="s">
        <v>8378</v>
      </c>
      <c r="G2181">
        <v>200</v>
      </c>
      <c r="H2181">
        <v>0</v>
      </c>
      <c r="I2181" t="s">
        <v>140</v>
      </c>
      <c r="J2181" t="s">
        <v>8379</v>
      </c>
      <c r="K2181" t="s">
        <v>1602</v>
      </c>
      <c r="L2181" t="s">
        <v>27</v>
      </c>
      <c r="M2181" t="s">
        <v>28</v>
      </c>
      <c r="N2181" t="s">
        <v>8380</v>
      </c>
      <c r="O2181" t="s">
        <v>27</v>
      </c>
      <c r="P2181" t="s">
        <v>369</v>
      </c>
      <c r="Q2181" t="s">
        <v>31</v>
      </c>
      <c r="R2181" t="s">
        <v>57</v>
      </c>
      <c r="S2181" t="s">
        <v>28</v>
      </c>
      <c r="T2181" t="s">
        <v>8381</v>
      </c>
      <c r="U2181" t="s">
        <v>8380</v>
      </c>
    </row>
    <row r="2182" spans="1:21" x14ac:dyDescent="0.25">
      <c r="A2182" t="s">
        <v>63</v>
      </c>
      <c r="B2182" t="s">
        <v>64</v>
      </c>
      <c r="C2182">
        <v>100</v>
      </c>
      <c r="D2182">
        <v>1</v>
      </c>
      <c r="E2182">
        <v>0</v>
      </c>
      <c r="F2182" t="s">
        <v>8378</v>
      </c>
      <c r="G2182">
        <v>200</v>
      </c>
      <c r="H2182">
        <v>0</v>
      </c>
      <c r="I2182" t="s">
        <v>140</v>
      </c>
      <c r="J2182" t="s">
        <v>8379</v>
      </c>
      <c r="K2182" t="s">
        <v>1602</v>
      </c>
      <c r="L2182" t="s">
        <v>27</v>
      </c>
      <c r="M2182" t="s">
        <v>28</v>
      </c>
      <c r="N2182" t="s">
        <v>8380</v>
      </c>
      <c r="O2182" t="s">
        <v>27</v>
      </c>
      <c r="P2182" t="s">
        <v>369</v>
      </c>
      <c r="Q2182" t="s">
        <v>31</v>
      </c>
      <c r="R2182" t="s">
        <v>57</v>
      </c>
      <c r="S2182" t="s">
        <v>28</v>
      </c>
      <c r="T2182" t="s">
        <v>8381</v>
      </c>
      <c r="U2182" t="s">
        <v>8380</v>
      </c>
    </row>
    <row r="2183" spans="1:21" x14ac:dyDescent="0.25">
      <c r="A2183" t="s">
        <v>21</v>
      </c>
      <c r="B2183" t="s">
        <v>22</v>
      </c>
      <c r="C2183">
        <v>100</v>
      </c>
      <c r="D2183">
        <v>1</v>
      </c>
      <c r="E2183">
        <v>0</v>
      </c>
      <c r="F2183" t="s">
        <v>8382</v>
      </c>
      <c r="G2183">
        <v>100</v>
      </c>
      <c r="H2183">
        <v>0</v>
      </c>
      <c r="I2183" t="s">
        <v>140</v>
      </c>
      <c r="J2183" t="s">
        <v>8383</v>
      </c>
      <c r="K2183" t="s">
        <v>753</v>
      </c>
      <c r="L2183" t="s">
        <v>27</v>
      </c>
      <c r="M2183" t="s">
        <v>28</v>
      </c>
      <c r="N2183" t="s">
        <v>8384</v>
      </c>
      <c r="O2183" t="s">
        <v>27</v>
      </c>
      <c r="P2183" t="s">
        <v>369</v>
      </c>
      <c r="Q2183" t="s">
        <v>31</v>
      </c>
      <c r="R2183" t="s">
        <v>57</v>
      </c>
      <c r="S2183" t="s">
        <v>28</v>
      </c>
      <c r="T2183" t="s">
        <v>8385</v>
      </c>
      <c r="U2183" t="s">
        <v>8386</v>
      </c>
    </row>
    <row r="2184" spans="1:21" x14ac:dyDescent="0.25">
      <c r="A2184" t="s">
        <v>21</v>
      </c>
      <c r="B2184" t="s">
        <v>22</v>
      </c>
      <c r="C2184">
        <v>100</v>
      </c>
      <c r="D2184">
        <v>1</v>
      </c>
      <c r="E2184">
        <v>0</v>
      </c>
      <c r="F2184" t="s">
        <v>8387</v>
      </c>
      <c r="G2184">
        <v>185</v>
      </c>
      <c r="H2184">
        <v>0</v>
      </c>
      <c r="I2184" t="s">
        <v>140</v>
      </c>
      <c r="J2184" t="s">
        <v>700</v>
      </c>
      <c r="K2184" t="s">
        <v>350</v>
      </c>
      <c r="L2184" t="s">
        <v>27</v>
      </c>
      <c r="M2184" t="s">
        <v>28</v>
      </c>
      <c r="N2184" t="s">
        <v>8386</v>
      </c>
      <c r="O2184" t="s">
        <v>27</v>
      </c>
      <c r="P2184" t="s">
        <v>30</v>
      </c>
      <c r="Q2184" t="s">
        <v>31</v>
      </c>
      <c r="R2184" t="s">
        <v>32</v>
      </c>
      <c r="S2184" t="s">
        <v>28</v>
      </c>
      <c r="T2184" t="s">
        <v>8388</v>
      </c>
      <c r="U2184" t="s">
        <v>8386</v>
      </c>
    </row>
    <row r="2185" spans="1:21" x14ac:dyDescent="0.25">
      <c r="A2185" t="s">
        <v>21</v>
      </c>
      <c r="B2185" t="s">
        <v>22</v>
      </c>
      <c r="C2185">
        <v>100</v>
      </c>
      <c r="D2185">
        <v>2</v>
      </c>
      <c r="E2185">
        <v>0</v>
      </c>
      <c r="F2185" t="s">
        <v>8389</v>
      </c>
      <c r="G2185">
        <v>200</v>
      </c>
      <c r="H2185">
        <v>0</v>
      </c>
      <c r="I2185" t="s">
        <v>140</v>
      </c>
      <c r="J2185" t="s">
        <v>8390</v>
      </c>
      <c r="K2185" t="s">
        <v>331</v>
      </c>
      <c r="L2185" t="s">
        <v>27</v>
      </c>
      <c r="M2185" t="s">
        <v>28</v>
      </c>
      <c r="N2185" t="s">
        <v>8386</v>
      </c>
      <c r="O2185" t="s">
        <v>27</v>
      </c>
      <c r="P2185" t="s">
        <v>30</v>
      </c>
      <c r="Q2185" t="s">
        <v>31</v>
      </c>
      <c r="R2185" t="s">
        <v>32</v>
      </c>
      <c r="S2185" t="s">
        <v>28</v>
      </c>
      <c r="T2185" t="s">
        <v>8391</v>
      </c>
      <c r="U2185" t="s">
        <v>8386</v>
      </c>
    </row>
    <row r="2186" spans="1:21" x14ac:dyDescent="0.25">
      <c r="A2186" t="s">
        <v>63</v>
      </c>
      <c r="B2186" t="s">
        <v>64</v>
      </c>
      <c r="C2186">
        <v>100</v>
      </c>
      <c r="D2186">
        <v>1</v>
      </c>
      <c r="E2186">
        <v>0</v>
      </c>
      <c r="F2186" t="s">
        <v>8392</v>
      </c>
      <c r="G2186">
        <v>200</v>
      </c>
      <c r="H2186">
        <v>0</v>
      </c>
      <c r="I2186" t="s">
        <v>140</v>
      </c>
      <c r="J2186" t="s">
        <v>8393</v>
      </c>
      <c r="K2186" t="s">
        <v>67</v>
      </c>
      <c r="L2186" t="s">
        <v>27</v>
      </c>
      <c r="M2186" t="s">
        <v>28</v>
      </c>
      <c r="N2186" t="s">
        <v>8394</v>
      </c>
      <c r="O2186" t="s">
        <v>27</v>
      </c>
      <c r="P2186" t="s">
        <v>369</v>
      </c>
      <c r="Q2186" t="s">
        <v>31</v>
      </c>
      <c r="R2186" t="s">
        <v>57</v>
      </c>
      <c r="S2186" t="s">
        <v>28</v>
      </c>
      <c r="T2186" t="s">
        <v>8395</v>
      </c>
      <c r="U2186" t="s">
        <v>8394</v>
      </c>
    </row>
    <row r="2187" spans="1:21" x14ac:dyDescent="0.25">
      <c r="A2187" t="s">
        <v>58</v>
      </c>
      <c r="B2187" t="s">
        <v>58</v>
      </c>
      <c r="C2187">
        <v>100</v>
      </c>
      <c r="D2187">
        <v>1</v>
      </c>
      <c r="E2187">
        <v>0</v>
      </c>
      <c r="F2187" t="s">
        <v>8392</v>
      </c>
      <c r="G2187">
        <v>200</v>
      </c>
      <c r="H2187">
        <v>0</v>
      </c>
      <c r="I2187" t="s">
        <v>140</v>
      </c>
      <c r="J2187" t="s">
        <v>8393</v>
      </c>
      <c r="K2187" t="s">
        <v>67</v>
      </c>
      <c r="L2187" t="s">
        <v>27</v>
      </c>
      <c r="M2187" t="s">
        <v>28</v>
      </c>
      <c r="N2187" t="s">
        <v>8394</v>
      </c>
      <c r="O2187" t="s">
        <v>27</v>
      </c>
      <c r="P2187" t="s">
        <v>369</v>
      </c>
      <c r="Q2187" t="s">
        <v>31</v>
      </c>
      <c r="R2187" t="s">
        <v>57</v>
      </c>
      <c r="S2187" t="s">
        <v>28</v>
      </c>
      <c r="T2187" t="s">
        <v>8395</v>
      </c>
      <c r="U2187" t="s">
        <v>8394</v>
      </c>
    </row>
    <row r="2188" spans="1:21" x14ac:dyDescent="0.25">
      <c r="A2188" t="s">
        <v>143</v>
      </c>
      <c r="B2188" t="s">
        <v>144</v>
      </c>
      <c r="C2188">
        <v>200</v>
      </c>
      <c r="D2188">
        <v>2</v>
      </c>
      <c r="E2188">
        <v>0</v>
      </c>
      <c r="F2188" t="s">
        <v>8396</v>
      </c>
      <c r="G2188">
        <v>400</v>
      </c>
      <c r="H2188">
        <v>0</v>
      </c>
      <c r="I2188" t="s">
        <v>24</v>
      </c>
      <c r="J2188" t="s">
        <v>8397</v>
      </c>
      <c r="K2188" t="s">
        <v>61</v>
      </c>
      <c r="L2188" t="s">
        <v>27</v>
      </c>
      <c r="M2188" t="s">
        <v>28</v>
      </c>
      <c r="N2188" t="s">
        <v>8398</v>
      </c>
      <c r="O2188" t="s">
        <v>27</v>
      </c>
      <c r="P2188" t="s">
        <v>39</v>
      </c>
      <c r="Q2188" t="s">
        <v>31</v>
      </c>
      <c r="R2188" t="s">
        <v>32</v>
      </c>
      <c r="S2188" t="s">
        <v>28</v>
      </c>
      <c r="T2188" t="s">
        <v>8399</v>
      </c>
      <c r="U2188" t="s">
        <v>8398</v>
      </c>
    </row>
    <row r="2189" spans="1:21" x14ac:dyDescent="0.25">
      <c r="A2189" t="s">
        <v>21</v>
      </c>
      <c r="B2189" t="s">
        <v>22</v>
      </c>
      <c r="C2189">
        <v>100</v>
      </c>
      <c r="D2189">
        <v>2</v>
      </c>
      <c r="E2189">
        <v>0</v>
      </c>
      <c r="F2189" t="s">
        <v>8400</v>
      </c>
      <c r="G2189">
        <v>200</v>
      </c>
      <c r="H2189">
        <v>0</v>
      </c>
      <c r="I2189" t="s">
        <v>140</v>
      </c>
      <c r="J2189" t="s">
        <v>8401</v>
      </c>
      <c r="K2189" t="s">
        <v>61</v>
      </c>
      <c r="L2189" t="s">
        <v>27</v>
      </c>
      <c r="M2189" t="s">
        <v>28</v>
      </c>
      <c r="N2189" t="s">
        <v>8402</v>
      </c>
      <c r="O2189" t="s">
        <v>27</v>
      </c>
      <c r="P2189" t="s">
        <v>369</v>
      </c>
      <c r="Q2189" t="s">
        <v>31</v>
      </c>
      <c r="R2189" t="s">
        <v>57</v>
      </c>
      <c r="S2189" t="s">
        <v>28</v>
      </c>
      <c r="T2189" t="s">
        <v>8403</v>
      </c>
      <c r="U2189" t="s">
        <v>8402</v>
      </c>
    </row>
    <row r="2190" spans="1:21" x14ac:dyDescent="0.25">
      <c r="A2190" t="s">
        <v>58</v>
      </c>
      <c r="B2190" t="s">
        <v>58</v>
      </c>
      <c r="C2190">
        <v>100</v>
      </c>
      <c r="D2190">
        <v>2</v>
      </c>
      <c r="E2190">
        <v>0</v>
      </c>
      <c r="F2190" t="s">
        <v>8404</v>
      </c>
      <c r="G2190">
        <v>200</v>
      </c>
      <c r="H2190">
        <v>0</v>
      </c>
      <c r="I2190" t="s">
        <v>445</v>
      </c>
      <c r="J2190" t="s">
        <v>8058</v>
      </c>
      <c r="K2190" t="s">
        <v>8405</v>
      </c>
      <c r="L2190" t="s">
        <v>8406</v>
      </c>
      <c r="M2190" t="s">
        <v>7030</v>
      </c>
      <c r="N2190" t="s">
        <v>8407</v>
      </c>
      <c r="O2190" t="s">
        <v>27</v>
      </c>
      <c r="P2190" t="s">
        <v>193</v>
      </c>
      <c r="Q2190" t="s">
        <v>85</v>
      </c>
      <c r="R2190" t="s">
        <v>86</v>
      </c>
      <c r="S2190" t="s">
        <v>28</v>
      </c>
      <c r="T2190" t="s">
        <v>8408</v>
      </c>
      <c r="U2190" t="s">
        <v>8409</v>
      </c>
    </row>
    <row r="2191" spans="1:21" x14ac:dyDescent="0.25">
      <c r="A2191" t="s">
        <v>134</v>
      </c>
      <c r="B2191" t="s">
        <v>64</v>
      </c>
      <c r="C2191">
        <v>100</v>
      </c>
      <c r="D2191">
        <v>6</v>
      </c>
      <c r="E2191">
        <v>0</v>
      </c>
      <c r="F2191" t="s">
        <v>8410</v>
      </c>
      <c r="G2191">
        <v>600</v>
      </c>
      <c r="H2191">
        <v>0</v>
      </c>
      <c r="I2191" t="s">
        <v>24</v>
      </c>
      <c r="J2191" t="s">
        <v>8411</v>
      </c>
      <c r="K2191" t="s">
        <v>37</v>
      </c>
      <c r="L2191" t="s">
        <v>27</v>
      </c>
      <c r="M2191" t="s">
        <v>28</v>
      </c>
      <c r="N2191" t="s">
        <v>8412</v>
      </c>
      <c r="O2191" t="s">
        <v>27</v>
      </c>
      <c r="P2191" t="s">
        <v>56</v>
      </c>
      <c r="Q2191" t="s">
        <v>31</v>
      </c>
      <c r="R2191" t="s">
        <v>57</v>
      </c>
      <c r="S2191" t="s">
        <v>28</v>
      </c>
      <c r="T2191" t="s">
        <v>8413</v>
      </c>
      <c r="U2191" t="s">
        <v>8412</v>
      </c>
    </row>
    <row r="2192" spans="1:21" x14ac:dyDescent="0.25">
      <c r="A2192" t="s">
        <v>33</v>
      </c>
      <c r="B2192" t="s">
        <v>34</v>
      </c>
      <c r="C2192">
        <v>200</v>
      </c>
      <c r="D2192">
        <v>1</v>
      </c>
      <c r="E2192">
        <v>0</v>
      </c>
      <c r="F2192" t="s">
        <v>8414</v>
      </c>
      <c r="G2192">
        <v>200</v>
      </c>
      <c r="H2192">
        <v>0</v>
      </c>
      <c r="I2192" t="s">
        <v>24</v>
      </c>
      <c r="J2192" t="s">
        <v>5735</v>
      </c>
      <c r="K2192" t="s">
        <v>273</v>
      </c>
      <c r="L2192" t="s">
        <v>27</v>
      </c>
      <c r="M2192" t="s">
        <v>28</v>
      </c>
      <c r="N2192" t="s">
        <v>8412</v>
      </c>
      <c r="O2192" t="s">
        <v>27</v>
      </c>
      <c r="P2192" t="s">
        <v>39</v>
      </c>
      <c r="Q2192" t="s">
        <v>31</v>
      </c>
      <c r="R2192" t="s">
        <v>32</v>
      </c>
      <c r="S2192" t="s">
        <v>28</v>
      </c>
      <c r="T2192" t="s">
        <v>8415</v>
      </c>
      <c r="U2192" t="s">
        <v>8412</v>
      </c>
    </row>
    <row r="2193" spans="1:21" x14ac:dyDescent="0.25">
      <c r="A2193" t="s">
        <v>21</v>
      </c>
      <c r="B2193" t="s">
        <v>22</v>
      </c>
      <c r="C2193">
        <v>100</v>
      </c>
      <c r="D2193">
        <v>2</v>
      </c>
      <c r="E2193">
        <v>0</v>
      </c>
      <c r="F2193" t="s">
        <v>8416</v>
      </c>
      <c r="G2193">
        <v>200</v>
      </c>
      <c r="H2193">
        <v>0</v>
      </c>
      <c r="I2193" t="s">
        <v>140</v>
      </c>
      <c r="J2193" t="s">
        <v>8417</v>
      </c>
      <c r="K2193" t="s">
        <v>474</v>
      </c>
      <c r="L2193" t="s">
        <v>27</v>
      </c>
      <c r="M2193" t="s">
        <v>28</v>
      </c>
      <c r="N2193" t="s">
        <v>8412</v>
      </c>
      <c r="O2193" t="s">
        <v>27</v>
      </c>
      <c r="P2193" t="s">
        <v>30</v>
      </c>
      <c r="Q2193" t="s">
        <v>31</v>
      </c>
      <c r="R2193" t="s">
        <v>32</v>
      </c>
      <c r="S2193" t="s">
        <v>28</v>
      </c>
      <c r="T2193" t="s">
        <v>8418</v>
      </c>
      <c r="U2193" t="s">
        <v>8412</v>
      </c>
    </row>
    <row r="2194" spans="1:21" x14ac:dyDescent="0.25">
      <c r="A2194" t="s">
        <v>21</v>
      </c>
      <c r="B2194" t="s">
        <v>22</v>
      </c>
      <c r="C2194">
        <v>100</v>
      </c>
      <c r="D2194">
        <v>1</v>
      </c>
      <c r="E2194">
        <v>0</v>
      </c>
      <c r="F2194" t="s">
        <v>8419</v>
      </c>
      <c r="G2194">
        <v>106</v>
      </c>
      <c r="H2194">
        <v>6</v>
      </c>
      <c r="I2194" t="s">
        <v>140</v>
      </c>
      <c r="J2194" t="s">
        <v>8420</v>
      </c>
      <c r="K2194" t="s">
        <v>358</v>
      </c>
      <c r="L2194" t="s">
        <v>27</v>
      </c>
      <c r="M2194" t="s">
        <v>28</v>
      </c>
      <c r="N2194" t="s">
        <v>8421</v>
      </c>
      <c r="O2194" t="s">
        <v>27</v>
      </c>
      <c r="P2194" t="s">
        <v>30</v>
      </c>
      <c r="Q2194" t="s">
        <v>31</v>
      </c>
      <c r="R2194" t="s">
        <v>32</v>
      </c>
      <c r="S2194" t="s">
        <v>28</v>
      </c>
      <c r="T2194" t="s">
        <v>8422</v>
      </c>
      <c r="U2194" t="s">
        <v>8421</v>
      </c>
    </row>
    <row r="2195" spans="1:21" x14ac:dyDescent="0.25">
      <c r="A2195" t="s">
        <v>21</v>
      </c>
      <c r="B2195" t="s">
        <v>22</v>
      </c>
      <c r="C2195">
        <v>100</v>
      </c>
      <c r="D2195">
        <v>1</v>
      </c>
      <c r="E2195">
        <v>0</v>
      </c>
      <c r="F2195" t="s">
        <v>8423</v>
      </c>
      <c r="G2195">
        <v>200</v>
      </c>
      <c r="H2195">
        <v>0</v>
      </c>
      <c r="I2195" t="s">
        <v>140</v>
      </c>
      <c r="J2195" t="s">
        <v>8424</v>
      </c>
      <c r="K2195" t="s">
        <v>61</v>
      </c>
      <c r="L2195" t="s">
        <v>27</v>
      </c>
      <c r="M2195" t="s">
        <v>28</v>
      </c>
      <c r="N2195" t="s">
        <v>8421</v>
      </c>
      <c r="O2195" t="s">
        <v>27</v>
      </c>
      <c r="P2195" t="s">
        <v>369</v>
      </c>
      <c r="Q2195" t="s">
        <v>31</v>
      </c>
      <c r="R2195" t="s">
        <v>57</v>
      </c>
      <c r="S2195" t="s">
        <v>28</v>
      </c>
      <c r="T2195" t="s">
        <v>8425</v>
      </c>
      <c r="U2195" t="s">
        <v>8421</v>
      </c>
    </row>
    <row r="2196" spans="1:21" x14ac:dyDescent="0.25">
      <c r="A2196" t="s">
        <v>58</v>
      </c>
      <c r="B2196" t="s">
        <v>58</v>
      </c>
      <c r="C2196">
        <v>100</v>
      </c>
      <c r="D2196">
        <v>1</v>
      </c>
      <c r="E2196">
        <v>0</v>
      </c>
      <c r="F2196" t="s">
        <v>8423</v>
      </c>
      <c r="G2196">
        <v>200</v>
      </c>
      <c r="H2196">
        <v>0</v>
      </c>
      <c r="I2196" t="s">
        <v>140</v>
      </c>
      <c r="J2196" t="s">
        <v>8424</v>
      </c>
      <c r="K2196" t="s">
        <v>61</v>
      </c>
      <c r="L2196" t="s">
        <v>27</v>
      </c>
      <c r="M2196" t="s">
        <v>28</v>
      </c>
      <c r="N2196" t="s">
        <v>8421</v>
      </c>
      <c r="O2196" t="s">
        <v>27</v>
      </c>
      <c r="P2196" t="s">
        <v>369</v>
      </c>
      <c r="Q2196" t="s">
        <v>31</v>
      </c>
      <c r="R2196" t="s">
        <v>57</v>
      </c>
      <c r="S2196" t="s">
        <v>28</v>
      </c>
      <c r="T2196" t="s">
        <v>8425</v>
      </c>
      <c r="U2196" t="s">
        <v>8421</v>
      </c>
    </row>
    <row r="2197" spans="1:21" x14ac:dyDescent="0.25">
      <c r="A2197" t="s">
        <v>456</v>
      </c>
      <c r="B2197" t="s">
        <v>457</v>
      </c>
      <c r="C2197">
        <v>199</v>
      </c>
      <c r="D2197">
        <v>1</v>
      </c>
      <c r="E2197">
        <v>0</v>
      </c>
      <c r="F2197" t="s">
        <v>8426</v>
      </c>
      <c r="G2197">
        <v>379</v>
      </c>
      <c r="H2197">
        <v>0</v>
      </c>
      <c r="I2197" t="s">
        <v>24</v>
      </c>
      <c r="J2197" t="s">
        <v>8427</v>
      </c>
      <c r="K2197" t="s">
        <v>8428</v>
      </c>
      <c r="L2197" t="s">
        <v>8429</v>
      </c>
      <c r="M2197" t="s">
        <v>926</v>
      </c>
      <c r="N2197" t="s">
        <v>8412</v>
      </c>
      <c r="O2197" t="s">
        <v>27</v>
      </c>
      <c r="P2197" t="s">
        <v>193</v>
      </c>
      <c r="Q2197" t="s">
        <v>85</v>
      </c>
      <c r="R2197" t="s">
        <v>86</v>
      </c>
      <c r="S2197" t="s">
        <v>28</v>
      </c>
      <c r="T2197" t="s">
        <v>8430</v>
      </c>
      <c r="U2197" t="s">
        <v>8421</v>
      </c>
    </row>
    <row r="2198" spans="1:21" x14ac:dyDescent="0.25">
      <c r="A2198" t="s">
        <v>21</v>
      </c>
      <c r="B2198" t="s">
        <v>22</v>
      </c>
      <c r="C2198">
        <v>100</v>
      </c>
      <c r="D2198">
        <v>2</v>
      </c>
      <c r="E2198">
        <v>0</v>
      </c>
      <c r="F2198" t="s">
        <v>8431</v>
      </c>
      <c r="G2198">
        <v>200</v>
      </c>
      <c r="H2198">
        <v>0</v>
      </c>
      <c r="I2198" t="s">
        <v>140</v>
      </c>
      <c r="J2198" t="s">
        <v>8432</v>
      </c>
      <c r="K2198" t="s">
        <v>677</v>
      </c>
      <c r="L2198" t="s">
        <v>27</v>
      </c>
      <c r="M2198" t="s">
        <v>28</v>
      </c>
      <c r="N2198" t="s">
        <v>8433</v>
      </c>
      <c r="O2198" t="s">
        <v>27</v>
      </c>
      <c r="P2198" t="s">
        <v>30</v>
      </c>
      <c r="Q2198" t="s">
        <v>31</v>
      </c>
      <c r="R2198" t="s">
        <v>32</v>
      </c>
      <c r="S2198" t="s">
        <v>28</v>
      </c>
      <c r="T2198" t="s">
        <v>8434</v>
      </c>
      <c r="U2198" t="s">
        <v>8433</v>
      </c>
    </row>
    <row r="2199" spans="1:21" x14ac:dyDescent="0.25">
      <c r="A2199" t="s">
        <v>21</v>
      </c>
      <c r="B2199" t="s">
        <v>22</v>
      </c>
      <c r="C2199">
        <v>100</v>
      </c>
      <c r="D2199">
        <v>1</v>
      </c>
      <c r="E2199">
        <v>0</v>
      </c>
      <c r="F2199" t="s">
        <v>8435</v>
      </c>
      <c r="G2199">
        <v>106</v>
      </c>
      <c r="H2199">
        <v>6</v>
      </c>
      <c r="I2199" t="s">
        <v>140</v>
      </c>
      <c r="J2199" t="s">
        <v>8436</v>
      </c>
      <c r="K2199" t="s">
        <v>325</v>
      </c>
      <c r="L2199" t="s">
        <v>27</v>
      </c>
      <c r="M2199" t="s">
        <v>28</v>
      </c>
      <c r="N2199" t="s">
        <v>8437</v>
      </c>
      <c r="O2199" t="s">
        <v>27</v>
      </c>
      <c r="P2199" t="s">
        <v>30</v>
      </c>
      <c r="Q2199" t="s">
        <v>31</v>
      </c>
      <c r="R2199" t="s">
        <v>32</v>
      </c>
      <c r="S2199" t="s">
        <v>28</v>
      </c>
      <c r="T2199" t="s">
        <v>8438</v>
      </c>
      <c r="U2199" t="s">
        <v>8437</v>
      </c>
    </row>
    <row r="2200" spans="1:21" x14ac:dyDescent="0.25">
      <c r="A2200" t="s">
        <v>21</v>
      </c>
      <c r="B2200" t="s">
        <v>22</v>
      </c>
      <c r="C2200">
        <v>100</v>
      </c>
      <c r="D2200">
        <v>1</v>
      </c>
      <c r="E2200">
        <v>0</v>
      </c>
      <c r="F2200" t="s">
        <v>8439</v>
      </c>
      <c r="G2200">
        <v>894</v>
      </c>
      <c r="H2200">
        <v>0</v>
      </c>
      <c r="I2200" t="s">
        <v>140</v>
      </c>
      <c r="J2200" t="s">
        <v>8440</v>
      </c>
      <c r="K2200" t="s">
        <v>247</v>
      </c>
      <c r="L2200" t="s">
        <v>27</v>
      </c>
      <c r="M2200" t="s">
        <v>28</v>
      </c>
      <c r="N2200" t="s">
        <v>8437</v>
      </c>
      <c r="O2200" t="s">
        <v>27</v>
      </c>
      <c r="P2200" t="s">
        <v>369</v>
      </c>
      <c r="Q2200" t="s">
        <v>31</v>
      </c>
      <c r="R2200" t="s">
        <v>57</v>
      </c>
      <c r="S2200" t="s">
        <v>28</v>
      </c>
      <c r="T2200" t="s">
        <v>8441</v>
      </c>
      <c r="U2200" t="s">
        <v>8437</v>
      </c>
    </row>
    <row r="2201" spans="1:21" x14ac:dyDescent="0.25">
      <c r="A2201" t="s">
        <v>134</v>
      </c>
      <c r="B2201" t="s">
        <v>64</v>
      </c>
      <c r="C2201">
        <v>100</v>
      </c>
      <c r="D2201">
        <v>1</v>
      </c>
      <c r="E2201">
        <v>0</v>
      </c>
      <c r="F2201" t="s">
        <v>8439</v>
      </c>
      <c r="G2201">
        <v>894</v>
      </c>
      <c r="H2201">
        <v>0</v>
      </c>
      <c r="I2201" t="s">
        <v>140</v>
      </c>
      <c r="J2201" t="s">
        <v>8440</v>
      </c>
      <c r="K2201" t="s">
        <v>247</v>
      </c>
      <c r="L2201" t="s">
        <v>27</v>
      </c>
      <c r="M2201" t="s">
        <v>28</v>
      </c>
      <c r="N2201" t="s">
        <v>8437</v>
      </c>
      <c r="O2201" t="s">
        <v>27</v>
      </c>
      <c r="P2201" t="s">
        <v>369</v>
      </c>
      <c r="Q2201" t="s">
        <v>31</v>
      </c>
      <c r="R2201" t="s">
        <v>57</v>
      </c>
      <c r="S2201" t="s">
        <v>28</v>
      </c>
      <c r="T2201" t="s">
        <v>8441</v>
      </c>
      <c r="U2201" t="s">
        <v>8437</v>
      </c>
    </row>
    <row r="2202" spans="1:21" x14ac:dyDescent="0.25">
      <c r="A2202" t="s">
        <v>63</v>
      </c>
      <c r="B2202" t="s">
        <v>64</v>
      </c>
      <c r="C2202">
        <v>100</v>
      </c>
      <c r="D2202">
        <v>1</v>
      </c>
      <c r="E2202">
        <v>0</v>
      </c>
      <c r="F2202" t="s">
        <v>8439</v>
      </c>
      <c r="G2202">
        <v>894</v>
      </c>
      <c r="H2202">
        <v>0</v>
      </c>
      <c r="I2202" t="s">
        <v>140</v>
      </c>
      <c r="J2202" t="s">
        <v>8440</v>
      </c>
      <c r="K2202" t="s">
        <v>247</v>
      </c>
      <c r="L2202" t="s">
        <v>27</v>
      </c>
      <c r="M2202" t="s">
        <v>28</v>
      </c>
      <c r="N2202" t="s">
        <v>8437</v>
      </c>
      <c r="O2202" t="s">
        <v>27</v>
      </c>
      <c r="P2202" t="s">
        <v>369</v>
      </c>
      <c r="Q2202" t="s">
        <v>31</v>
      </c>
      <c r="R2202" t="s">
        <v>57</v>
      </c>
      <c r="S2202" t="s">
        <v>28</v>
      </c>
      <c r="T2202" t="s">
        <v>8441</v>
      </c>
      <c r="U2202" t="s">
        <v>8437</v>
      </c>
    </row>
    <row r="2203" spans="1:21" x14ac:dyDescent="0.25">
      <c r="A2203" t="s">
        <v>63</v>
      </c>
      <c r="B2203" t="s">
        <v>64</v>
      </c>
      <c r="C2203">
        <v>100</v>
      </c>
      <c r="D2203">
        <v>1</v>
      </c>
      <c r="E2203">
        <v>0</v>
      </c>
      <c r="F2203" t="s">
        <v>8442</v>
      </c>
      <c r="G2203">
        <v>106</v>
      </c>
      <c r="H2203">
        <v>6</v>
      </c>
      <c r="I2203" t="s">
        <v>140</v>
      </c>
      <c r="J2203" t="s">
        <v>8443</v>
      </c>
      <c r="K2203" t="s">
        <v>4596</v>
      </c>
      <c r="L2203" t="s">
        <v>27</v>
      </c>
      <c r="M2203" t="s">
        <v>28</v>
      </c>
      <c r="N2203" t="s">
        <v>8444</v>
      </c>
      <c r="O2203" t="s">
        <v>27</v>
      </c>
      <c r="P2203" t="s">
        <v>30</v>
      </c>
      <c r="Q2203" t="s">
        <v>31</v>
      </c>
      <c r="R2203" t="s">
        <v>32</v>
      </c>
      <c r="S2203" t="s">
        <v>28</v>
      </c>
      <c r="T2203" t="s">
        <v>8445</v>
      </c>
      <c r="U2203" t="s">
        <v>8444</v>
      </c>
    </row>
    <row r="2204" spans="1:21" x14ac:dyDescent="0.25">
      <c r="A2204" t="s">
        <v>33</v>
      </c>
      <c r="B2204" t="s">
        <v>34</v>
      </c>
      <c r="C2204">
        <v>200</v>
      </c>
      <c r="D2204">
        <v>1</v>
      </c>
      <c r="E2204">
        <v>0</v>
      </c>
      <c r="F2204" t="s">
        <v>8446</v>
      </c>
      <c r="G2204">
        <v>200</v>
      </c>
      <c r="H2204">
        <v>0</v>
      </c>
      <c r="I2204" t="s">
        <v>445</v>
      </c>
      <c r="J2204" t="s">
        <v>8447</v>
      </c>
      <c r="K2204" t="s">
        <v>241</v>
      </c>
      <c r="L2204" t="s">
        <v>27</v>
      </c>
      <c r="M2204" t="s">
        <v>28</v>
      </c>
      <c r="N2204" t="s">
        <v>8448</v>
      </c>
      <c r="O2204" t="s">
        <v>27</v>
      </c>
      <c r="P2204" t="s">
        <v>39</v>
      </c>
      <c r="Q2204" t="s">
        <v>31</v>
      </c>
      <c r="R2204" t="s">
        <v>32</v>
      </c>
      <c r="S2204" t="s">
        <v>28</v>
      </c>
      <c r="T2204" t="s">
        <v>8449</v>
      </c>
      <c r="U2204" t="s">
        <v>8448</v>
      </c>
    </row>
    <row r="2205" spans="1:21" x14ac:dyDescent="0.25">
      <c r="A2205" t="s">
        <v>21</v>
      </c>
      <c r="B2205" t="s">
        <v>22</v>
      </c>
      <c r="C2205">
        <v>100</v>
      </c>
      <c r="D2205">
        <v>1</v>
      </c>
      <c r="E2205">
        <v>0</v>
      </c>
      <c r="F2205" t="s">
        <v>8450</v>
      </c>
      <c r="G2205">
        <v>200</v>
      </c>
      <c r="H2205">
        <v>0</v>
      </c>
      <c r="I2205" t="s">
        <v>140</v>
      </c>
      <c r="J2205" t="s">
        <v>8451</v>
      </c>
      <c r="K2205" t="s">
        <v>1038</v>
      </c>
      <c r="L2205" t="s">
        <v>27</v>
      </c>
      <c r="M2205" t="s">
        <v>28</v>
      </c>
      <c r="N2205" t="s">
        <v>8452</v>
      </c>
      <c r="O2205" t="s">
        <v>27</v>
      </c>
      <c r="P2205" t="s">
        <v>30</v>
      </c>
      <c r="Q2205" t="s">
        <v>31</v>
      </c>
      <c r="R2205" t="s">
        <v>32</v>
      </c>
      <c r="S2205" t="s">
        <v>28</v>
      </c>
      <c r="T2205" t="s">
        <v>8453</v>
      </c>
      <c r="U2205" t="s">
        <v>8452</v>
      </c>
    </row>
    <row r="2206" spans="1:21" x14ac:dyDescent="0.25">
      <c r="A2206" t="s">
        <v>63</v>
      </c>
      <c r="B2206" t="s">
        <v>64</v>
      </c>
      <c r="C2206">
        <v>100</v>
      </c>
      <c r="D2206">
        <v>1</v>
      </c>
      <c r="E2206">
        <v>0</v>
      </c>
      <c r="F2206" t="s">
        <v>8450</v>
      </c>
      <c r="G2206">
        <v>200</v>
      </c>
      <c r="H2206">
        <v>0</v>
      </c>
      <c r="I2206" t="s">
        <v>140</v>
      </c>
      <c r="J2206" t="s">
        <v>8451</v>
      </c>
      <c r="K2206" t="s">
        <v>1038</v>
      </c>
      <c r="L2206" t="s">
        <v>27</v>
      </c>
      <c r="M2206" t="s">
        <v>28</v>
      </c>
      <c r="N2206" t="s">
        <v>8452</v>
      </c>
      <c r="O2206" t="s">
        <v>27</v>
      </c>
      <c r="P2206" t="s">
        <v>30</v>
      </c>
      <c r="Q2206" t="s">
        <v>31</v>
      </c>
      <c r="R2206" t="s">
        <v>32</v>
      </c>
      <c r="S2206" t="s">
        <v>28</v>
      </c>
      <c r="T2206" t="s">
        <v>8453</v>
      </c>
      <c r="U2206" t="s">
        <v>8452</v>
      </c>
    </row>
    <row r="2207" spans="1:21" x14ac:dyDescent="0.25">
      <c r="A2207" t="s">
        <v>21</v>
      </c>
      <c r="B2207" t="s">
        <v>22</v>
      </c>
      <c r="C2207">
        <v>100</v>
      </c>
      <c r="D2207">
        <v>1</v>
      </c>
      <c r="E2207">
        <v>0</v>
      </c>
      <c r="F2207" t="s">
        <v>8454</v>
      </c>
      <c r="G2207">
        <v>106</v>
      </c>
      <c r="H2207">
        <v>6</v>
      </c>
      <c r="I2207" t="s">
        <v>140</v>
      </c>
      <c r="J2207" t="s">
        <v>8455</v>
      </c>
      <c r="K2207" t="s">
        <v>350</v>
      </c>
      <c r="L2207" t="s">
        <v>27</v>
      </c>
      <c r="M2207" t="s">
        <v>28</v>
      </c>
      <c r="N2207" t="s">
        <v>8456</v>
      </c>
      <c r="O2207" t="s">
        <v>27</v>
      </c>
      <c r="P2207" t="s">
        <v>30</v>
      </c>
      <c r="Q2207" t="s">
        <v>31</v>
      </c>
      <c r="R2207" t="s">
        <v>32</v>
      </c>
      <c r="S2207" t="s">
        <v>28</v>
      </c>
      <c r="T2207" t="s">
        <v>8457</v>
      </c>
      <c r="U2207" t="s">
        <v>8456</v>
      </c>
    </row>
    <row r="2208" spans="1:21" x14ac:dyDescent="0.25">
      <c r="A2208" t="s">
        <v>134</v>
      </c>
      <c r="B2208" t="s">
        <v>64</v>
      </c>
      <c r="C2208">
        <v>100</v>
      </c>
      <c r="D2208">
        <v>1</v>
      </c>
      <c r="E2208">
        <v>0</v>
      </c>
      <c r="F2208" t="s">
        <v>8458</v>
      </c>
      <c r="G2208">
        <v>200</v>
      </c>
      <c r="H2208">
        <v>0</v>
      </c>
      <c r="I2208" t="s">
        <v>140</v>
      </c>
      <c r="J2208" t="s">
        <v>8459</v>
      </c>
      <c r="K2208" t="s">
        <v>37</v>
      </c>
      <c r="L2208" t="s">
        <v>27</v>
      </c>
      <c r="M2208" t="s">
        <v>28</v>
      </c>
      <c r="N2208" t="s">
        <v>8460</v>
      </c>
      <c r="O2208" t="s">
        <v>27</v>
      </c>
      <c r="P2208" t="s">
        <v>30</v>
      </c>
      <c r="Q2208" t="s">
        <v>31</v>
      </c>
      <c r="R2208" t="s">
        <v>32</v>
      </c>
      <c r="S2208" t="s">
        <v>28</v>
      </c>
      <c r="T2208" t="s">
        <v>8461</v>
      </c>
      <c r="U2208" t="s">
        <v>8460</v>
      </c>
    </row>
    <row r="2209" spans="1:21" x14ac:dyDescent="0.25">
      <c r="A2209" t="s">
        <v>21</v>
      </c>
      <c r="B2209" t="s">
        <v>22</v>
      </c>
      <c r="C2209">
        <v>100</v>
      </c>
      <c r="D2209">
        <v>1</v>
      </c>
      <c r="E2209">
        <v>0</v>
      </c>
      <c r="F2209" t="s">
        <v>8458</v>
      </c>
      <c r="G2209">
        <v>200</v>
      </c>
      <c r="H2209">
        <v>0</v>
      </c>
      <c r="I2209" t="s">
        <v>140</v>
      </c>
      <c r="J2209" t="s">
        <v>8459</v>
      </c>
      <c r="K2209" t="s">
        <v>37</v>
      </c>
      <c r="L2209" t="s">
        <v>27</v>
      </c>
      <c r="M2209" t="s">
        <v>28</v>
      </c>
      <c r="N2209" t="s">
        <v>8460</v>
      </c>
      <c r="O2209" t="s">
        <v>27</v>
      </c>
      <c r="P2209" t="s">
        <v>30</v>
      </c>
      <c r="Q2209" t="s">
        <v>31</v>
      </c>
      <c r="R2209" t="s">
        <v>32</v>
      </c>
      <c r="S2209" t="s">
        <v>28</v>
      </c>
      <c r="T2209" t="s">
        <v>8461</v>
      </c>
      <c r="U2209" t="s">
        <v>8460</v>
      </c>
    </row>
    <row r="2210" spans="1:21" x14ac:dyDescent="0.25">
      <c r="A2210" t="s">
        <v>63</v>
      </c>
      <c r="B2210" t="s">
        <v>64</v>
      </c>
      <c r="C2210">
        <v>100</v>
      </c>
      <c r="D2210">
        <v>1</v>
      </c>
      <c r="E2210">
        <v>0</v>
      </c>
      <c r="F2210" t="s">
        <v>8462</v>
      </c>
      <c r="G2210">
        <v>106</v>
      </c>
      <c r="H2210">
        <v>6</v>
      </c>
      <c r="I2210" t="s">
        <v>140</v>
      </c>
      <c r="J2210" t="s">
        <v>8463</v>
      </c>
      <c r="K2210" t="s">
        <v>241</v>
      </c>
      <c r="L2210" t="s">
        <v>27</v>
      </c>
      <c r="M2210" t="s">
        <v>28</v>
      </c>
      <c r="N2210" t="s">
        <v>8464</v>
      </c>
      <c r="O2210" t="s">
        <v>27</v>
      </c>
      <c r="P2210" t="s">
        <v>30</v>
      </c>
      <c r="Q2210" t="s">
        <v>31</v>
      </c>
      <c r="R2210" t="s">
        <v>32</v>
      </c>
      <c r="S2210" t="s">
        <v>28</v>
      </c>
      <c r="T2210" t="s">
        <v>8465</v>
      </c>
      <c r="U2210" t="s">
        <v>8464</v>
      </c>
    </row>
    <row r="2211" spans="1:21" x14ac:dyDescent="0.25">
      <c r="A2211" t="s">
        <v>21</v>
      </c>
      <c r="B2211" t="s">
        <v>22</v>
      </c>
      <c r="C2211">
        <v>100</v>
      </c>
      <c r="D2211">
        <v>1</v>
      </c>
      <c r="E2211">
        <v>0</v>
      </c>
      <c r="F2211" t="s">
        <v>8466</v>
      </c>
      <c r="G2211">
        <v>106</v>
      </c>
      <c r="H2211">
        <v>6</v>
      </c>
      <c r="I2211" t="s">
        <v>140</v>
      </c>
      <c r="J2211" t="s">
        <v>8467</v>
      </c>
      <c r="K2211" t="s">
        <v>1878</v>
      </c>
      <c r="L2211" t="s">
        <v>27</v>
      </c>
      <c r="M2211" t="s">
        <v>28</v>
      </c>
      <c r="N2211" t="s">
        <v>8468</v>
      </c>
      <c r="O2211" t="s">
        <v>27</v>
      </c>
      <c r="P2211" t="s">
        <v>30</v>
      </c>
      <c r="Q2211" t="s">
        <v>31</v>
      </c>
      <c r="R2211" t="s">
        <v>32</v>
      </c>
      <c r="S2211" t="s">
        <v>28</v>
      </c>
      <c r="T2211" t="s">
        <v>8469</v>
      </c>
      <c r="U2211" t="s">
        <v>8468</v>
      </c>
    </row>
    <row r="2212" spans="1:21" x14ac:dyDescent="0.25">
      <c r="A2212" t="s">
        <v>21</v>
      </c>
      <c r="B2212" t="s">
        <v>22</v>
      </c>
      <c r="C2212">
        <v>100</v>
      </c>
      <c r="D2212">
        <v>1</v>
      </c>
      <c r="E2212">
        <v>0</v>
      </c>
      <c r="F2212" t="s">
        <v>8470</v>
      </c>
      <c r="G2212">
        <v>199</v>
      </c>
      <c r="H2212">
        <v>0</v>
      </c>
      <c r="I2212" t="s">
        <v>140</v>
      </c>
      <c r="J2212" t="s">
        <v>8471</v>
      </c>
      <c r="K2212" t="s">
        <v>342</v>
      </c>
      <c r="L2212" t="s">
        <v>27</v>
      </c>
      <c r="M2212" t="s">
        <v>28</v>
      </c>
      <c r="N2212" t="s">
        <v>8468</v>
      </c>
      <c r="O2212" t="s">
        <v>27</v>
      </c>
      <c r="P2212" t="s">
        <v>369</v>
      </c>
      <c r="Q2212" t="s">
        <v>31</v>
      </c>
      <c r="R2212" t="s">
        <v>57</v>
      </c>
      <c r="S2212" t="s">
        <v>28</v>
      </c>
      <c r="T2212" t="s">
        <v>8472</v>
      </c>
      <c r="U2212" t="s">
        <v>8468</v>
      </c>
    </row>
    <row r="2213" spans="1:21" x14ac:dyDescent="0.25">
      <c r="A2213" t="s">
        <v>63</v>
      </c>
      <c r="B2213" t="s">
        <v>64</v>
      </c>
      <c r="C2213">
        <v>100</v>
      </c>
      <c r="D2213">
        <v>1</v>
      </c>
      <c r="E2213">
        <v>0</v>
      </c>
      <c r="F2213" t="s">
        <v>8473</v>
      </c>
      <c r="G2213">
        <v>300</v>
      </c>
      <c r="H2213">
        <v>0</v>
      </c>
      <c r="I2213" t="s">
        <v>140</v>
      </c>
      <c r="J2213" t="s">
        <v>8474</v>
      </c>
      <c r="K2213" t="s">
        <v>372</v>
      </c>
      <c r="L2213" t="s">
        <v>27</v>
      </c>
      <c r="M2213" t="s">
        <v>28</v>
      </c>
      <c r="N2213" t="s">
        <v>8475</v>
      </c>
      <c r="O2213" t="s">
        <v>27</v>
      </c>
      <c r="P2213" t="s">
        <v>30</v>
      </c>
      <c r="Q2213" t="s">
        <v>31</v>
      </c>
      <c r="R2213" t="s">
        <v>32</v>
      </c>
      <c r="S2213" t="s">
        <v>28</v>
      </c>
      <c r="T2213" t="s">
        <v>8476</v>
      </c>
      <c r="U2213" t="s">
        <v>8475</v>
      </c>
    </row>
    <row r="2214" spans="1:21" x14ac:dyDescent="0.25">
      <c r="A2214" t="s">
        <v>58</v>
      </c>
      <c r="B2214" t="s">
        <v>58</v>
      </c>
      <c r="C2214">
        <v>100</v>
      </c>
      <c r="D2214">
        <v>1</v>
      </c>
      <c r="E2214">
        <v>0</v>
      </c>
      <c r="F2214" t="s">
        <v>8473</v>
      </c>
      <c r="G2214">
        <v>300</v>
      </c>
      <c r="H2214">
        <v>0</v>
      </c>
      <c r="I2214" t="s">
        <v>140</v>
      </c>
      <c r="J2214" t="s">
        <v>8474</v>
      </c>
      <c r="K2214" t="s">
        <v>372</v>
      </c>
      <c r="L2214" t="s">
        <v>27</v>
      </c>
      <c r="M2214" t="s">
        <v>28</v>
      </c>
      <c r="N2214" t="s">
        <v>8475</v>
      </c>
      <c r="O2214" t="s">
        <v>27</v>
      </c>
      <c r="P2214" t="s">
        <v>30</v>
      </c>
      <c r="Q2214" t="s">
        <v>31</v>
      </c>
      <c r="R2214" t="s">
        <v>32</v>
      </c>
      <c r="S2214" t="s">
        <v>28</v>
      </c>
      <c r="T2214" t="s">
        <v>8476</v>
      </c>
      <c r="U2214" t="s">
        <v>8475</v>
      </c>
    </row>
    <row r="2215" spans="1:21" x14ac:dyDescent="0.25">
      <c r="A2215" t="s">
        <v>21</v>
      </c>
      <c r="B2215" t="s">
        <v>22</v>
      </c>
      <c r="C2215">
        <v>100</v>
      </c>
      <c r="D2215">
        <v>1</v>
      </c>
      <c r="E2215">
        <v>0</v>
      </c>
      <c r="F2215" t="s">
        <v>8473</v>
      </c>
      <c r="G2215">
        <v>300</v>
      </c>
      <c r="H2215">
        <v>0</v>
      </c>
      <c r="I2215" t="s">
        <v>140</v>
      </c>
      <c r="J2215" t="s">
        <v>8474</v>
      </c>
      <c r="K2215" t="s">
        <v>372</v>
      </c>
      <c r="L2215" t="s">
        <v>27</v>
      </c>
      <c r="M2215" t="s">
        <v>28</v>
      </c>
      <c r="N2215" t="s">
        <v>8475</v>
      </c>
      <c r="O2215" t="s">
        <v>27</v>
      </c>
      <c r="P2215" t="s">
        <v>30</v>
      </c>
      <c r="Q2215" t="s">
        <v>31</v>
      </c>
      <c r="R2215" t="s">
        <v>32</v>
      </c>
      <c r="S2215" t="s">
        <v>28</v>
      </c>
      <c r="T2215" t="s">
        <v>8476</v>
      </c>
      <c r="U2215" t="s">
        <v>8475</v>
      </c>
    </row>
    <row r="2216" spans="1:21" x14ac:dyDescent="0.25">
      <c r="A2216" t="s">
        <v>33</v>
      </c>
      <c r="B2216" t="s">
        <v>34</v>
      </c>
      <c r="C2216">
        <v>200</v>
      </c>
      <c r="D2216">
        <v>1</v>
      </c>
      <c r="E2216">
        <v>0</v>
      </c>
      <c r="F2216" t="s">
        <v>8477</v>
      </c>
      <c r="G2216">
        <v>200</v>
      </c>
      <c r="H2216">
        <v>0</v>
      </c>
      <c r="I2216" t="s">
        <v>24</v>
      </c>
      <c r="J2216" t="s">
        <v>8478</v>
      </c>
      <c r="K2216" t="s">
        <v>89</v>
      </c>
      <c r="L2216" t="s">
        <v>27</v>
      </c>
      <c r="M2216" t="s">
        <v>28</v>
      </c>
      <c r="N2216" t="s">
        <v>8479</v>
      </c>
      <c r="O2216" t="s">
        <v>27</v>
      </c>
      <c r="P2216" t="s">
        <v>39</v>
      </c>
      <c r="Q2216" t="s">
        <v>31</v>
      </c>
      <c r="R2216" t="s">
        <v>32</v>
      </c>
      <c r="S2216" t="s">
        <v>28</v>
      </c>
      <c r="T2216" t="s">
        <v>8480</v>
      </c>
      <c r="U2216" t="s">
        <v>8479</v>
      </c>
    </row>
    <row r="2217" spans="1:21" x14ac:dyDescent="0.25">
      <c r="A2217" t="s">
        <v>21</v>
      </c>
      <c r="B2217" t="s">
        <v>22</v>
      </c>
      <c r="C2217">
        <v>100</v>
      </c>
      <c r="D2217">
        <v>1</v>
      </c>
      <c r="E2217">
        <v>0</v>
      </c>
      <c r="F2217" t="s">
        <v>8481</v>
      </c>
      <c r="G2217">
        <v>199</v>
      </c>
      <c r="H2217">
        <v>0</v>
      </c>
      <c r="I2217" t="s">
        <v>140</v>
      </c>
      <c r="J2217" t="s">
        <v>8482</v>
      </c>
      <c r="K2217" t="s">
        <v>474</v>
      </c>
      <c r="L2217" t="s">
        <v>27</v>
      </c>
      <c r="M2217" t="s">
        <v>28</v>
      </c>
      <c r="N2217" t="s">
        <v>8483</v>
      </c>
      <c r="O2217" t="s">
        <v>27</v>
      </c>
      <c r="P2217" t="s">
        <v>30</v>
      </c>
      <c r="Q2217" t="s">
        <v>31</v>
      </c>
      <c r="R2217" t="s">
        <v>32</v>
      </c>
      <c r="S2217" t="s">
        <v>28</v>
      </c>
      <c r="T2217" t="s">
        <v>8484</v>
      </c>
      <c r="U2217" t="s">
        <v>8483</v>
      </c>
    </row>
    <row r="2218" spans="1:21" x14ac:dyDescent="0.25">
      <c r="A2218" t="s">
        <v>21</v>
      </c>
      <c r="B2218" t="s">
        <v>22</v>
      </c>
      <c r="C2218">
        <v>100</v>
      </c>
      <c r="D2218">
        <v>1</v>
      </c>
      <c r="E2218">
        <v>0</v>
      </c>
      <c r="F2218" t="s">
        <v>8485</v>
      </c>
      <c r="G2218">
        <v>129</v>
      </c>
      <c r="H2218">
        <v>29</v>
      </c>
      <c r="I2218" t="s">
        <v>140</v>
      </c>
      <c r="J2218" t="s">
        <v>8486</v>
      </c>
      <c r="K2218" t="s">
        <v>8487</v>
      </c>
      <c r="L2218" t="s">
        <v>27</v>
      </c>
      <c r="M2218" t="s">
        <v>28</v>
      </c>
      <c r="N2218" t="s">
        <v>8488</v>
      </c>
      <c r="O2218" t="s">
        <v>27</v>
      </c>
      <c r="P2218" t="s">
        <v>30</v>
      </c>
      <c r="Q2218" t="s">
        <v>31</v>
      </c>
      <c r="R2218" t="s">
        <v>32</v>
      </c>
      <c r="S2218" t="s">
        <v>28</v>
      </c>
      <c r="T2218" t="s">
        <v>8489</v>
      </c>
      <c r="U2218" t="s">
        <v>8488</v>
      </c>
    </row>
    <row r="2219" spans="1:21" x14ac:dyDescent="0.25">
      <c r="A2219" t="s">
        <v>58</v>
      </c>
      <c r="B2219" t="s">
        <v>58</v>
      </c>
      <c r="C2219">
        <v>100</v>
      </c>
      <c r="D2219">
        <v>1</v>
      </c>
      <c r="E2219">
        <v>0</v>
      </c>
      <c r="F2219" t="s">
        <v>8490</v>
      </c>
      <c r="G2219">
        <v>300</v>
      </c>
      <c r="H2219">
        <v>0</v>
      </c>
      <c r="I2219" t="s">
        <v>140</v>
      </c>
      <c r="J2219" t="s">
        <v>8491</v>
      </c>
      <c r="K2219" t="s">
        <v>960</v>
      </c>
      <c r="L2219" t="s">
        <v>27</v>
      </c>
      <c r="M2219" t="s">
        <v>28</v>
      </c>
      <c r="N2219" t="s">
        <v>8492</v>
      </c>
      <c r="O2219" t="s">
        <v>27</v>
      </c>
      <c r="P2219" t="s">
        <v>30</v>
      </c>
      <c r="Q2219" t="s">
        <v>31</v>
      </c>
      <c r="R2219" t="s">
        <v>32</v>
      </c>
      <c r="S2219" t="s">
        <v>28</v>
      </c>
      <c r="T2219" t="s">
        <v>8493</v>
      </c>
      <c r="U2219" t="s">
        <v>8492</v>
      </c>
    </row>
    <row r="2220" spans="1:21" x14ac:dyDescent="0.25">
      <c r="A2220" t="s">
        <v>63</v>
      </c>
      <c r="B2220" t="s">
        <v>64</v>
      </c>
      <c r="C2220">
        <v>100</v>
      </c>
      <c r="D2220">
        <v>2</v>
      </c>
      <c r="E2220">
        <v>0</v>
      </c>
      <c r="F2220" t="s">
        <v>8490</v>
      </c>
      <c r="G2220">
        <v>300</v>
      </c>
      <c r="H2220">
        <v>0</v>
      </c>
      <c r="I2220" t="s">
        <v>140</v>
      </c>
      <c r="J2220" t="s">
        <v>8491</v>
      </c>
      <c r="K2220" t="s">
        <v>960</v>
      </c>
      <c r="L2220" t="s">
        <v>27</v>
      </c>
      <c r="M2220" t="s">
        <v>28</v>
      </c>
      <c r="N2220" t="s">
        <v>8492</v>
      </c>
      <c r="O2220" t="s">
        <v>27</v>
      </c>
      <c r="P2220" t="s">
        <v>30</v>
      </c>
      <c r="Q2220" t="s">
        <v>31</v>
      </c>
      <c r="R2220" t="s">
        <v>32</v>
      </c>
      <c r="S2220" t="s">
        <v>28</v>
      </c>
      <c r="T2220" t="s">
        <v>8493</v>
      </c>
      <c r="U2220" t="s">
        <v>8492</v>
      </c>
    </row>
    <row r="2221" spans="1:21" x14ac:dyDescent="0.25">
      <c r="A2221" t="s">
        <v>63</v>
      </c>
      <c r="B2221" t="s">
        <v>64</v>
      </c>
      <c r="C2221">
        <v>100</v>
      </c>
      <c r="D2221">
        <v>1</v>
      </c>
      <c r="E2221">
        <v>0</v>
      </c>
      <c r="F2221" t="s">
        <v>8494</v>
      </c>
      <c r="G2221">
        <v>300</v>
      </c>
      <c r="H2221">
        <v>0</v>
      </c>
      <c r="I2221" t="s">
        <v>140</v>
      </c>
      <c r="J2221" t="s">
        <v>8495</v>
      </c>
      <c r="K2221" t="s">
        <v>758</v>
      </c>
      <c r="L2221" t="s">
        <v>27</v>
      </c>
      <c r="M2221" t="s">
        <v>28</v>
      </c>
      <c r="N2221" t="s">
        <v>8496</v>
      </c>
      <c r="O2221" t="s">
        <v>27</v>
      </c>
      <c r="P2221" t="s">
        <v>30</v>
      </c>
      <c r="Q2221" t="s">
        <v>31</v>
      </c>
      <c r="R2221" t="s">
        <v>32</v>
      </c>
      <c r="S2221" t="s">
        <v>28</v>
      </c>
      <c r="T2221" t="s">
        <v>8497</v>
      </c>
      <c r="U2221" t="s">
        <v>8496</v>
      </c>
    </row>
    <row r="2222" spans="1:21" x14ac:dyDescent="0.25">
      <c r="A2222" t="s">
        <v>134</v>
      </c>
      <c r="B2222" t="s">
        <v>64</v>
      </c>
      <c r="C2222">
        <v>100</v>
      </c>
      <c r="D2222">
        <v>2</v>
      </c>
      <c r="E2222">
        <v>0</v>
      </c>
      <c r="F2222" t="s">
        <v>8494</v>
      </c>
      <c r="G2222">
        <v>300</v>
      </c>
      <c r="H2222">
        <v>0</v>
      </c>
      <c r="I2222" t="s">
        <v>140</v>
      </c>
      <c r="J2222" t="s">
        <v>8495</v>
      </c>
      <c r="K2222" t="s">
        <v>758</v>
      </c>
      <c r="L2222" t="s">
        <v>27</v>
      </c>
      <c r="M2222" t="s">
        <v>28</v>
      </c>
      <c r="N2222" t="s">
        <v>8496</v>
      </c>
      <c r="O2222" t="s">
        <v>27</v>
      </c>
      <c r="P2222" t="s">
        <v>30</v>
      </c>
      <c r="Q2222" t="s">
        <v>31</v>
      </c>
      <c r="R2222" t="s">
        <v>32</v>
      </c>
      <c r="S2222" t="s">
        <v>28</v>
      </c>
      <c r="T2222" t="s">
        <v>8497</v>
      </c>
      <c r="U2222" t="s">
        <v>8496</v>
      </c>
    </row>
    <row r="2223" spans="1:21" x14ac:dyDescent="0.25">
      <c r="A2223" t="s">
        <v>76</v>
      </c>
      <c r="B2223" t="s">
        <v>77</v>
      </c>
      <c r="C2223">
        <v>250</v>
      </c>
      <c r="D2223">
        <v>2</v>
      </c>
      <c r="E2223">
        <v>0</v>
      </c>
      <c r="F2223" t="s">
        <v>8498</v>
      </c>
      <c r="G2223">
        <v>580</v>
      </c>
      <c r="H2223">
        <v>0</v>
      </c>
      <c r="I2223" t="s">
        <v>24</v>
      </c>
      <c r="J2223" t="s">
        <v>8499</v>
      </c>
      <c r="K2223" t="s">
        <v>8500</v>
      </c>
      <c r="L2223" t="s">
        <v>8501</v>
      </c>
      <c r="M2223" t="s">
        <v>8502</v>
      </c>
      <c r="N2223" t="s">
        <v>8503</v>
      </c>
      <c r="O2223" t="s">
        <v>27</v>
      </c>
      <c r="P2223" t="s">
        <v>84</v>
      </c>
      <c r="Q2223" t="s">
        <v>85</v>
      </c>
      <c r="R2223" t="s">
        <v>86</v>
      </c>
      <c r="S2223" t="s">
        <v>28</v>
      </c>
      <c r="T2223" t="s">
        <v>8504</v>
      </c>
      <c r="U2223" t="s">
        <v>8505</v>
      </c>
    </row>
    <row r="2224" spans="1:21" x14ac:dyDescent="0.25">
      <c r="A2224" t="s">
        <v>58</v>
      </c>
      <c r="B2224" t="s">
        <v>58</v>
      </c>
      <c r="C2224">
        <v>100</v>
      </c>
      <c r="D2224">
        <v>1</v>
      </c>
      <c r="E2224">
        <v>0</v>
      </c>
      <c r="F2224" t="s">
        <v>8506</v>
      </c>
      <c r="G2224">
        <v>135</v>
      </c>
      <c r="H2224">
        <v>35</v>
      </c>
      <c r="I2224" t="s">
        <v>445</v>
      </c>
      <c r="J2224" t="s">
        <v>866</v>
      </c>
      <c r="K2224" t="s">
        <v>8507</v>
      </c>
      <c r="L2224" t="s">
        <v>1730</v>
      </c>
      <c r="M2224" t="s">
        <v>4610</v>
      </c>
      <c r="N2224" t="s">
        <v>8508</v>
      </c>
      <c r="O2224" t="s">
        <v>27</v>
      </c>
      <c r="P2224" t="s">
        <v>84</v>
      </c>
      <c r="Q2224" t="s">
        <v>85</v>
      </c>
      <c r="R2224" t="s">
        <v>86</v>
      </c>
      <c r="S2224" t="s">
        <v>28</v>
      </c>
      <c r="T2224" t="s">
        <v>8509</v>
      </c>
      <c r="U2224" t="s">
        <v>8508</v>
      </c>
    </row>
    <row r="2225" spans="1:21" x14ac:dyDescent="0.25">
      <c r="A2225" t="s">
        <v>70</v>
      </c>
      <c r="B2225" t="s">
        <v>70</v>
      </c>
      <c r="C2225">
        <v>330</v>
      </c>
      <c r="D2225">
        <v>1</v>
      </c>
      <c r="E2225">
        <v>0</v>
      </c>
      <c r="F2225" t="s">
        <v>8510</v>
      </c>
      <c r="G2225">
        <v>330</v>
      </c>
      <c r="H2225">
        <v>0</v>
      </c>
      <c r="I2225" t="s">
        <v>24</v>
      </c>
      <c r="J2225" t="s">
        <v>4673</v>
      </c>
      <c r="K2225" t="s">
        <v>711</v>
      </c>
      <c r="L2225" t="s">
        <v>27</v>
      </c>
      <c r="M2225" t="s">
        <v>28</v>
      </c>
      <c r="N2225" t="s">
        <v>8508</v>
      </c>
      <c r="O2225" t="s">
        <v>27</v>
      </c>
      <c r="P2225" t="s">
        <v>39</v>
      </c>
      <c r="Q2225" t="s">
        <v>31</v>
      </c>
      <c r="R2225" t="s">
        <v>32</v>
      </c>
      <c r="S2225" t="s">
        <v>28</v>
      </c>
      <c r="T2225" t="s">
        <v>8511</v>
      </c>
      <c r="U2225" t="s">
        <v>8508</v>
      </c>
    </row>
    <row r="2226" spans="1:21" x14ac:dyDescent="0.25">
      <c r="A2226" t="s">
        <v>63</v>
      </c>
      <c r="B2226" t="s">
        <v>64</v>
      </c>
      <c r="C2226">
        <v>100</v>
      </c>
      <c r="D2226">
        <v>2</v>
      </c>
      <c r="E2226">
        <v>0</v>
      </c>
      <c r="F2226" t="s">
        <v>8512</v>
      </c>
      <c r="G2226">
        <v>200</v>
      </c>
      <c r="H2226">
        <v>0</v>
      </c>
      <c r="I2226" t="s">
        <v>24</v>
      </c>
      <c r="J2226" t="s">
        <v>8513</v>
      </c>
      <c r="K2226" t="s">
        <v>89</v>
      </c>
      <c r="L2226" t="s">
        <v>27</v>
      </c>
      <c r="M2226" t="s">
        <v>28</v>
      </c>
      <c r="N2226" t="s">
        <v>8514</v>
      </c>
      <c r="O2226" t="s">
        <v>27</v>
      </c>
      <c r="P2226" t="s">
        <v>39</v>
      </c>
      <c r="Q2226" t="s">
        <v>31</v>
      </c>
      <c r="R2226" t="s">
        <v>32</v>
      </c>
      <c r="S2226" t="s">
        <v>28</v>
      </c>
      <c r="T2226" t="s">
        <v>8515</v>
      </c>
      <c r="U2226" t="s">
        <v>8514</v>
      </c>
    </row>
    <row r="2227" spans="1:21" x14ac:dyDescent="0.25">
      <c r="A2227" t="s">
        <v>21</v>
      </c>
      <c r="B2227" t="s">
        <v>22</v>
      </c>
      <c r="C2227">
        <v>100</v>
      </c>
      <c r="D2227">
        <v>1</v>
      </c>
      <c r="E2227">
        <v>0</v>
      </c>
      <c r="F2227" t="s">
        <v>8516</v>
      </c>
      <c r="G2227">
        <v>106</v>
      </c>
      <c r="H2227">
        <v>6</v>
      </c>
      <c r="I2227" t="s">
        <v>140</v>
      </c>
      <c r="J2227" t="s">
        <v>8517</v>
      </c>
      <c r="K2227" t="s">
        <v>54</v>
      </c>
      <c r="L2227" t="s">
        <v>27</v>
      </c>
      <c r="M2227" t="s">
        <v>28</v>
      </c>
      <c r="N2227" t="s">
        <v>8514</v>
      </c>
      <c r="O2227" t="s">
        <v>27</v>
      </c>
      <c r="P2227" t="s">
        <v>369</v>
      </c>
      <c r="Q2227" t="s">
        <v>31</v>
      </c>
      <c r="R2227" t="s">
        <v>57</v>
      </c>
      <c r="S2227" t="s">
        <v>28</v>
      </c>
      <c r="T2227" t="s">
        <v>8518</v>
      </c>
      <c r="U2227" t="s">
        <v>8514</v>
      </c>
    </row>
    <row r="2228" spans="1:21" x14ac:dyDescent="0.25">
      <c r="A2228" t="s">
        <v>33</v>
      </c>
      <c r="B2228" t="s">
        <v>34</v>
      </c>
      <c r="C2228">
        <v>200</v>
      </c>
      <c r="D2228">
        <v>2</v>
      </c>
      <c r="E2228">
        <v>0</v>
      </c>
      <c r="F2228" t="s">
        <v>8519</v>
      </c>
      <c r="G2228">
        <v>400</v>
      </c>
      <c r="H2228">
        <v>0</v>
      </c>
      <c r="I2228" t="s">
        <v>140</v>
      </c>
      <c r="J2228" t="s">
        <v>8520</v>
      </c>
      <c r="K2228" t="s">
        <v>451</v>
      </c>
      <c r="L2228" t="s">
        <v>27</v>
      </c>
      <c r="M2228" t="s">
        <v>28</v>
      </c>
      <c r="N2228" t="s">
        <v>8521</v>
      </c>
      <c r="O2228" t="s">
        <v>27</v>
      </c>
      <c r="P2228" t="s">
        <v>369</v>
      </c>
      <c r="Q2228" t="s">
        <v>31</v>
      </c>
      <c r="R2228" t="s">
        <v>57</v>
      </c>
      <c r="S2228" t="s">
        <v>28</v>
      </c>
      <c r="T2228" t="s">
        <v>8522</v>
      </c>
      <c r="U2228" t="s">
        <v>8521</v>
      </c>
    </row>
    <row r="2229" spans="1:21" x14ac:dyDescent="0.25">
      <c r="A2229" t="s">
        <v>21</v>
      </c>
      <c r="B2229" t="s">
        <v>22</v>
      </c>
      <c r="C2229">
        <v>100</v>
      </c>
      <c r="D2229">
        <v>1</v>
      </c>
      <c r="E2229">
        <v>0</v>
      </c>
      <c r="F2229" t="s">
        <v>8523</v>
      </c>
      <c r="G2229">
        <v>106</v>
      </c>
      <c r="H2229">
        <v>6</v>
      </c>
      <c r="I2229" t="s">
        <v>140</v>
      </c>
      <c r="J2229" t="s">
        <v>8524</v>
      </c>
      <c r="K2229" t="s">
        <v>1198</v>
      </c>
      <c r="L2229" t="s">
        <v>27</v>
      </c>
      <c r="M2229" t="s">
        <v>28</v>
      </c>
      <c r="N2229" t="s">
        <v>8525</v>
      </c>
      <c r="O2229" t="s">
        <v>27</v>
      </c>
      <c r="P2229" t="s">
        <v>369</v>
      </c>
      <c r="Q2229" t="s">
        <v>31</v>
      </c>
      <c r="R2229" t="s">
        <v>57</v>
      </c>
      <c r="S2229" t="s">
        <v>28</v>
      </c>
      <c r="T2229" t="s">
        <v>8526</v>
      </c>
      <c r="U2229" t="s">
        <v>8525</v>
      </c>
    </row>
    <row r="2230" spans="1:21" x14ac:dyDescent="0.25">
      <c r="A2230" t="s">
        <v>21</v>
      </c>
      <c r="B2230" t="s">
        <v>22</v>
      </c>
      <c r="C2230">
        <v>100</v>
      </c>
      <c r="D2230">
        <v>1</v>
      </c>
      <c r="E2230">
        <v>0</v>
      </c>
      <c r="F2230" t="s">
        <v>8527</v>
      </c>
      <c r="G2230">
        <v>106</v>
      </c>
      <c r="H2230">
        <v>6</v>
      </c>
      <c r="I2230" t="s">
        <v>140</v>
      </c>
      <c r="J2230" t="s">
        <v>8528</v>
      </c>
      <c r="K2230" t="s">
        <v>73</v>
      </c>
      <c r="L2230" t="s">
        <v>27</v>
      </c>
      <c r="M2230" t="s">
        <v>28</v>
      </c>
      <c r="N2230" t="s">
        <v>8525</v>
      </c>
      <c r="O2230" t="s">
        <v>27</v>
      </c>
      <c r="P2230" t="s">
        <v>30</v>
      </c>
      <c r="Q2230" t="s">
        <v>31</v>
      </c>
      <c r="R2230" t="s">
        <v>32</v>
      </c>
      <c r="S2230" t="s">
        <v>28</v>
      </c>
      <c r="T2230" t="s">
        <v>8529</v>
      </c>
      <c r="U2230" t="s">
        <v>8525</v>
      </c>
    </row>
    <row r="2231" spans="1:21" x14ac:dyDescent="0.25">
      <c r="A2231" t="s">
        <v>58</v>
      </c>
      <c r="B2231" t="s">
        <v>58</v>
      </c>
      <c r="C2231">
        <v>100</v>
      </c>
      <c r="D2231">
        <v>1</v>
      </c>
      <c r="E2231">
        <v>0</v>
      </c>
      <c r="F2231" t="s">
        <v>8530</v>
      </c>
      <c r="G2231">
        <v>285</v>
      </c>
      <c r="H2231">
        <v>35</v>
      </c>
      <c r="I2231" t="s">
        <v>445</v>
      </c>
      <c r="J2231" t="s">
        <v>8531</v>
      </c>
      <c r="K2231" t="s">
        <v>8532</v>
      </c>
      <c r="L2231" t="s">
        <v>1146</v>
      </c>
      <c r="M2231" t="s">
        <v>316</v>
      </c>
      <c r="N2231" t="s">
        <v>8533</v>
      </c>
      <c r="O2231" t="s">
        <v>27</v>
      </c>
      <c r="P2231" t="s">
        <v>193</v>
      </c>
      <c r="Q2231" t="s">
        <v>85</v>
      </c>
      <c r="R2231" t="s">
        <v>86</v>
      </c>
      <c r="S2231" t="s">
        <v>28</v>
      </c>
      <c r="T2231" t="s">
        <v>8534</v>
      </c>
      <c r="U2231" t="s">
        <v>8535</v>
      </c>
    </row>
    <row r="2232" spans="1:21" x14ac:dyDescent="0.25">
      <c r="A2232" t="s">
        <v>63</v>
      </c>
      <c r="B2232" t="s">
        <v>64</v>
      </c>
      <c r="C2232">
        <v>150</v>
      </c>
      <c r="D2232">
        <v>1</v>
      </c>
      <c r="E2232">
        <v>0</v>
      </c>
      <c r="F2232" t="s">
        <v>8530</v>
      </c>
      <c r="G2232">
        <v>285</v>
      </c>
      <c r="H2232">
        <v>35</v>
      </c>
      <c r="I2232" t="s">
        <v>445</v>
      </c>
      <c r="J2232" t="s">
        <v>8531</v>
      </c>
      <c r="K2232" t="s">
        <v>8532</v>
      </c>
      <c r="L2232" t="s">
        <v>1146</v>
      </c>
      <c r="M2232" t="s">
        <v>316</v>
      </c>
      <c r="N2232" t="s">
        <v>8533</v>
      </c>
      <c r="O2232" t="s">
        <v>27</v>
      </c>
      <c r="P2232" t="s">
        <v>193</v>
      </c>
      <c r="Q2232" t="s">
        <v>85</v>
      </c>
      <c r="R2232" t="s">
        <v>86</v>
      </c>
      <c r="S2232" t="s">
        <v>28</v>
      </c>
      <c r="T2232" t="s">
        <v>8534</v>
      </c>
      <c r="U2232" t="s">
        <v>8535</v>
      </c>
    </row>
    <row r="2233" spans="1:21" x14ac:dyDescent="0.25">
      <c r="A2233" t="s">
        <v>143</v>
      </c>
      <c r="B2233" t="s">
        <v>144</v>
      </c>
      <c r="C2233">
        <v>200</v>
      </c>
      <c r="D2233">
        <v>1</v>
      </c>
      <c r="E2233">
        <v>0</v>
      </c>
      <c r="F2233" t="s">
        <v>8536</v>
      </c>
      <c r="G2233">
        <v>200</v>
      </c>
      <c r="H2233">
        <v>0</v>
      </c>
      <c r="I2233" t="s">
        <v>140</v>
      </c>
      <c r="J2233" t="s">
        <v>8537</v>
      </c>
      <c r="K2233" t="s">
        <v>346</v>
      </c>
      <c r="L2233" t="s">
        <v>27</v>
      </c>
      <c r="M2233" t="s">
        <v>28</v>
      </c>
      <c r="N2233" t="s">
        <v>8538</v>
      </c>
      <c r="O2233" t="s">
        <v>27</v>
      </c>
      <c r="P2233" t="s">
        <v>30</v>
      </c>
      <c r="Q2233" t="s">
        <v>31</v>
      </c>
      <c r="R2233" t="s">
        <v>32</v>
      </c>
      <c r="S2233" t="s">
        <v>28</v>
      </c>
      <c r="T2233" t="s">
        <v>8539</v>
      </c>
      <c r="U2233" t="s">
        <v>8538</v>
      </c>
    </row>
    <row r="2234" spans="1:21" x14ac:dyDescent="0.25">
      <c r="A2234" t="s">
        <v>21</v>
      </c>
      <c r="B2234" t="s">
        <v>22</v>
      </c>
      <c r="C2234">
        <v>100</v>
      </c>
      <c r="D2234">
        <v>1</v>
      </c>
      <c r="E2234">
        <v>0</v>
      </c>
      <c r="F2234" t="s">
        <v>8540</v>
      </c>
      <c r="G2234">
        <v>106</v>
      </c>
      <c r="H2234">
        <v>6</v>
      </c>
      <c r="I2234" t="s">
        <v>140</v>
      </c>
      <c r="J2234" t="s">
        <v>8541</v>
      </c>
      <c r="K2234" t="s">
        <v>89</v>
      </c>
      <c r="L2234" t="s">
        <v>27</v>
      </c>
      <c r="M2234" t="s">
        <v>28</v>
      </c>
      <c r="N2234" t="s">
        <v>8538</v>
      </c>
      <c r="O2234" t="s">
        <v>27</v>
      </c>
      <c r="P2234" t="s">
        <v>30</v>
      </c>
      <c r="Q2234" t="s">
        <v>31</v>
      </c>
      <c r="R2234" t="s">
        <v>32</v>
      </c>
      <c r="S2234" t="s">
        <v>28</v>
      </c>
      <c r="T2234" t="s">
        <v>8542</v>
      </c>
      <c r="U2234" t="s">
        <v>8538</v>
      </c>
    </row>
    <row r="2235" spans="1:21" x14ac:dyDescent="0.25">
      <c r="A2235" t="s">
        <v>58</v>
      </c>
      <c r="B2235" t="s">
        <v>58</v>
      </c>
      <c r="C2235">
        <v>100</v>
      </c>
      <c r="D2235">
        <v>2</v>
      </c>
      <c r="E2235">
        <v>0</v>
      </c>
      <c r="F2235" t="s">
        <v>8540</v>
      </c>
      <c r="G2235">
        <v>236</v>
      </c>
      <c r="H2235">
        <v>41</v>
      </c>
      <c r="I2235" t="s">
        <v>445</v>
      </c>
      <c r="J2235" t="s">
        <v>6716</v>
      </c>
      <c r="K2235" t="s">
        <v>6717</v>
      </c>
      <c r="L2235" t="s">
        <v>1453</v>
      </c>
      <c r="M2235" t="s">
        <v>6718</v>
      </c>
      <c r="N2235" t="s">
        <v>8475</v>
      </c>
      <c r="O2235" t="s">
        <v>27</v>
      </c>
      <c r="P2235" t="s">
        <v>193</v>
      </c>
      <c r="Q2235" t="s">
        <v>85</v>
      </c>
      <c r="R2235" t="s">
        <v>86</v>
      </c>
      <c r="S2235" t="s">
        <v>28</v>
      </c>
      <c r="T2235" t="s">
        <v>8543</v>
      </c>
      <c r="U2235" t="s">
        <v>8544</v>
      </c>
    </row>
    <row r="2236" spans="1:21" x14ac:dyDescent="0.25">
      <c r="A2236" t="s">
        <v>143</v>
      </c>
      <c r="B2236" t="s">
        <v>144</v>
      </c>
      <c r="C2236">
        <v>200</v>
      </c>
      <c r="D2236">
        <v>1</v>
      </c>
      <c r="E2236">
        <v>0</v>
      </c>
      <c r="F2236" t="s">
        <v>8545</v>
      </c>
      <c r="G2236">
        <v>200</v>
      </c>
      <c r="H2236">
        <v>0</v>
      </c>
      <c r="I2236" t="s">
        <v>140</v>
      </c>
      <c r="J2236" t="s">
        <v>8546</v>
      </c>
      <c r="K2236" t="s">
        <v>213</v>
      </c>
      <c r="L2236" t="s">
        <v>27</v>
      </c>
      <c r="M2236" t="s">
        <v>28</v>
      </c>
      <c r="N2236" t="s">
        <v>8544</v>
      </c>
      <c r="O2236" t="s">
        <v>27</v>
      </c>
      <c r="P2236" t="s">
        <v>369</v>
      </c>
      <c r="Q2236" t="s">
        <v>31</v>
      </c>
      <c r="R2236" t="s">
        <v>57</v>
      </c>
      <c r="S2236" t="s">
        <v>28</v>
      </c>
      <c r="T2236" t="s">
        <v>8547</v>
      </c>
      <c r="U2236" t="s">
        <v>8544</v>
      </c>
    </row>
    <row r="2237" spans="1:21" x14ac:dyDescent="0.25">
      <c r="A2237" t="s">
        <v>21</v>
      </c>
      <c r="B2237" t="s">
        <v>22</v>
      </c>
      <c r="C2237">
        <v>100</v>
      </c>
      <c r="D2237">
        <v>2</v>
      </c>
      <c r="E2237">
        <v>0</v>
      </c>
      <c r="F2237" t="s">
        <v>8548</v>
      </c>
      <c r="G2237">
        <v>200</v>
      </c>
      <c r="H2237">
        <v>0</v>
      </c>
      <c r="I2237" t="s">
        <v>445</v>
      </c>
      <c r="J2237" t="s">
        <v>8549</v>
      </c>
      <c r="K2237" t="s">
        <v>451</v>
      </c>
      <c r="L2237" t="s">
        <v>27</v>
      </c>
      <c r="M2237" t="s">
        <v>28</v>
      </c>
      <c r="N2237" t="s">
        <v>8550</v>
      </c>
      <c r="O2237" t="s">
        <v>27</v>
      </c>
      <c r="P2237" t="s">
        <v>39</v>
      </c>
      <c r="Q2237" t="s">
        <v>31</v>
      </c>
      <c r="R2237" t="s">
        <v>32</v>
      </c>
      <c r="S2237" t="s">
        <v>28</v>
      </c>
      <c r="T2237" t="s">
        <v>8551</v>
      </c>
      <c r="U2237" t="s">
        <v>8550</v>
      </c>
    </row>
    <row r="2238" spans="1:21" x14ac:dyDescent="0.25">
      <c r="A2238" t="s">
        <v>33</v>
      </c>
      <c r="B2238" t="s">
        <v>34</v>
      </c>
      <c r="C2238">
        <v>200</v>
      </c>
      <c r="D2238">
        <v>1</v>
      </c>
      <c r="E2238">
        <v>0</v>
      </c>
      <c r="F2238" t="s">
        <v>8552</v>
      </c>
      <c r="G2238">
        <v>200</v>
      </c>
      <c r="H2238">
        <v>0</v>
      </c>
      <c r="I2238" t="s">
        <v>24</v>
      </c>
      <c r="J2238" t="s">
        <v>8553</v>
      </c>
      <c r="K2238" t="s">
        <v>936</v>
      </c>
      <c r="L2238" t="s">
        <v>27</v>
      </c>
      <c r="M2238" t="s">
        <v>28</v>
      </c>
      <c r="N2238" t="s">
        <v>8554</v>
      </c>
      <c r="O2238" t="s">
        <v>27</v>
      </c>
      <c r="P2238" t="s">
        <v>39</v>
      </c>
      <c r="Q2238" t="s">
        <v>31</v>
      </c>
      <c r="R2238" t="s">
        <v>32</v>
      </c>
      <c r="S2238" t="s">
        <v>28</v>
      </c>
      <c r="T2238" t="s">
        <v>8555</v>
      </c>
      <c r="U2238" t="s">
        <v>8554</v>
      </c>
    </row>
    <row r="2239" spans="1:21" x14ac:dyDescent="0.25">
      <c r="A2239" t="s">
        <v>33</v>
      </c>
      <c r="B2239" t="s">
        <v>34</v>
      </c>
      <c r="C2239">
        <v>200</v>
      </c>
      <c r="D2239">
        <v>1</v>
      </c>
      <c r="E2239">
        <v>0</v>
      </c>
      <c r="F2239" t="s">
        <v>8556</v>
      </c>
      <c r="G2239">
        <v>200</v>
      </c>
      <c r="H2239">
        <v>0</v>
      </c>
      <c r="I2239" t="s">
        <v>445</v>
      </c>
      <c r="J2239" t="s">
        <v>8557</v>
      </c>
      <c r="K2239" t="s">
        <v>753</v>
      </c>
      <c r="L2239" t="s">
        <v>27</v>
      </c>
      <c r="M2239" t="s">
        <v>28</v>
      </c>
      <c r="N2239" t="s">
        <v>8558</v>
      </c>
      <c r="O2239" t="s">
        <v>27</v>
      </c>
      <c r="P2239" t="s">
        <v>39</v>
      </c>
      <c r="Q2239" t="s">
        <v>31</v>
      </c>
      <c r="R2239" t="s">
        <v>32</v>
      </c>
      <c r="S2239" t="s">
        <v>28</v>
      </c>
      <c r="T2239" t="s">
        <v>8559</v>
      </c>
      <c r="U2239" t="s">
        <v>8558</v>
      </c>
    </row>
    <row r="2240" spans="1:21" x14ac:dyDescent="0.25">
      <c r="A2240" t="s">
        <v>21</v>
      </c>
      <c r="B2240" t="s">
        <v>22</v>
      </c>
      <c r="C2240">
        <v>100</v>
      </c>
      <c r="D2240">
        <v>2</v>
      </c>
      <c r="E2240">
        <v>0</v>
      </c>
      <c r="F2240" t="s">
        <v>8560</v>
      </c>
      <c r="G2240">
        <v>200</v>
      </c>
      <c r="H2240">
        <v>0</v>
      </c>
      <c r="I2240" t="s">
        <v>140</v>
      </c>
      <c r="J2240" t="s">
        <v>8561</v>
      </c>
      <c r="K2240" t="s">
        <v>213</v>
      </c>
      <c r="L2240" t="s">
        <v>27</v>
      </c>
      <c r="M2240" t="s">
        <v>28</v>
      </c>
      <c r="N2240" t="s">
        <v>8558</v>
      </c>
      <c r="O2240" t="s">
        <v>27</v>
      </c>
      <c r="P2240" t="s">
        <v>369</v>
      </c>
      <c r="Q2240" t="s">
        <v>31</v>
      </c>
      <c r="R2240" t="s">
        <v>57</v>
      </c>
      <c r="S2240" t="s">
        <v>28</v>
      </c>
      <c r="T2240" t="s">
        <v>8562</v>
      </c>
      <c r="U2240" t="s">
        <v>8558</v>
      </c>
    </row>
    <row r="2241" spans="1:21" x14ac:dyDescent="0.25">
      <c r="A2241" t="s">
        <v>33</v>
      </c>
      <c r="B2241" t="s">
        <v>34</v>
      </c>
      <c r="C2241">
        <v>200</v>
      </c>
      <c r="D2241">
        <v>1</v>
      </c>
      <c r="E2241">
        <v>0</v>
      </c>
      <c r="F2241" t="s">
        <v>8563</v>
      </c>
      <c r="G2241">
        <v>200</v>
      </c>
      <c r="H2241">
        <v>0</v>
      </c>
      <c r="I2241" t="s">
        <v>445</v>
      </c>
      <c r="J2241" t="s">
        <v>8564</v>
      </c>
      <c r="K2241" t="s">
        <v>1602</v>
      </c>
      <c r="L2241" t="s">
        <v>27</v>
      </c>
      <c r="M2241" t="s">
        <v>28</v>
      </c>
      <c r="N2241" t="s">
        <v>8565</v>
      </c>
      <c r="O2241" t="s">
        <v>27</v>
      </c>
      <c r="P2241" t="s">
        <v>39</v>
      </c>
      <c r="Q2241" t="s">
        <v>31</v>
      </c>
      <c r="R2241" t="s">
        <v>32</v>
      </c>
      <c r="S2241" t="s">
        <v>28</v>
      </c>
      <c r="T2241" t="s">
        <v>8566</v>
      </c>
      <c r="U2241" t="s">
        <v>8565</v>
      </c>
    </row>
    <row r="2242" spans="1:21" x14ac:dyDescent="0.25">
      <c r="A2242" t="s">
        <v>134</v>
      </c>
      <c r="B2242" t="s">
        <v>64</v>
      </c>
      <c r="C2242">
        <v>100</v>
      </c>
      <c r="D2242">
        <v>1</v>
      </c>
      <c r="E2242">
        <v>0</v>
      </c>
      <c r="F2242" t="s">
        <v>8567</v>
      </c>
      <c r="G2242">
        <v>100</v>
      </c>
      <c r="H2242">
        <v>0</v>
      </c>
      <c r="I2242" t="s">
        <v>24</v>
      </c>
      <c r="J2242" t="s">
        <v>2498</v>
      </c>
      <c r="K2242" t="s">
        <v>247</v>
      </c>
      <c r="L2242" t="s">
        <v>27</v>
      </c>
      <c r="M2242" t="s">
        <v>28</v>
      </c>
      <c r="N2242" t="s">
        <v>8568</v>
      </c>
      <c r="O2242" t="s">
        <v>27</v>
      </c>
      <c r="P2242" t="s">
        <v>39</v>
      </c>
      <c r="Q2242" t="s">
        <v>31</v>
      </c>
      <c r="R2242" t="s">
        <v>32</v>
      </c>
      <c r="S2242" t="s">
        <v>28</v>
      </c>
      <c r="T2242" t="s">
        <v>8569</v>
      </c>
      <c r="U2242" t="s">
        <v>8568</v>
      </c>
    </row>
    <row r="2243" spans="1:21" x14ac:dyDescent="0.25">
      <c r="A2243" t="s">
        <v>33</v>
      </c>
      <c r="B2243" t="s">
        <v>34</v>
      </c>
      <c r="C2243">
        <v>200</v>
      </c>
      <c r="D2243">
        <v>1</v>
      </c>
      <c r="E2243">
        <v>0</v>
      </c>
      <c r="F2243" t="s">
        <v>8570</v>
      </c>
      <c r="G2243">
        <v>200</v>
      </c>
      <c r="H2243">
        <v>0</v>
      </c>
      <c r="I2243" t="s">
        <v>445</v>
      </c>
      <c r="J2243" t="s">
        <v>8571</v>
      </c>
      <c r="K2243" t="s">
        <v>791</v>
      </c>
      <c r="L2243" t="s">
        <v>27</v>
      </c>
      <c r="M2243" t="s">
        <v>28</v>
      </c>
      <c r="N2243" t="s">
        <v>8572</v>
      </c>
      <c r="O2243" t="s">
        <v>27</v>
      </c>
      <c r="P2243" t="s">
        <v>30</v>
      </c>
      <c r="Q2243" t="s">
        <v>31</v>
      </c>
      <c r="R2243" t="s">
        <v>32</v>
      </c>
      <c r="S2243" t="s">
        <v>28</v>
      </c>
      <c r="T2243" t="s">
        <v>8573</v>
      </c>
      <c r="U2243" t="s">
        <v>8572</v>
      </c>
    </row>
    <row r="2244" spans="1:21" x14ac:dyDescent="0.25">
      <c r="A2244" t="s">
        <v>21</v>
      </c>
      <c r="B2244" t="s">
        <v>22</v>
      </c>
      <c r="C2244">
        <v>100</v>
      </c>
      <c r="D2244">
        <v>1</v>
      </c>
      <c r="E2244">
        <v>0</v>
      </c>
      <c r="F2244" t="s">
        <v>8574</v>
      </c>
      <c r="G2244">
        <v>200</v>
      </c>
      <c r="H2244">
        <v>0</v>
      </c>
      <c r="I2244" t="s">
        <v>140</v>
      </c>
      <c r="J2244" t="s">
        <v>8575</v>
      </c>
      <c r="K2244" t="s">
        <v>26</v>
      </c>
      <c r="L2244" t="s">
        <v>27</v>
      </c>
      <c r="M2244" t="s">
        <v>28</v>
      </c>
      <c r="N2244" t="s">
        <v>8576</v>
      </c>
      <c r="O2244" t="s">
        <v>27</v>
      </c>
      <c r="P2244" t="s">
        <v>30</v>
      </c>
      <c r="Q2244" t="s">
        <v>31</v>
      </c>
      <c r="R2244" t="s">
        <v>32</v>
      </c>
      <c r="S2244" t="s">
        <v>28</v>
      </c>
      <c r="T2244" t="s">
        <v>8577</v>
      </c>
      <c r="U2244" t="s">
        <v>8576</v>
      </c>
    </row>
    <row r="2245" spans="1:21" x14ac:dyDescent="0.25">
      <c r="A2245" t="s">
        <v>134</v>
      </c>
      <c r="B2245" t="s">
        <v>64</v>
      </c>
      <c r="C2245">
        <v>100</v>
      </c>
      <c r="D2245">
        <v>1</v>
      </c>
      <c r="E2245">
        <v>0</v>
      </c>
      <c r="F2245" t="s">
        <v>8574</v>
      </c>
      <c r="G2245">
        <v>200</v>
      </c>
      <c r="H2245">
        <v>0</v>
      </c>
      <c r="I2245" t="s">
        <v>140</v>
      </c>
      <c r="J2245" t="s">
        <v>8575</v>
      </c>
      <c r="K2245" t="s">
        <v>26</v>
      </c>
      <c r="L2245" t="s">
        <v>27</v>
      </c>
      <c r="M2245" t="s">
        <v>28</v>
      </c>
      <c r="N2245" t="s">
        <v>8576</v>
      </c>
      <c r="O2245" t="s">
        <v>27</v>
      </c>
      <c r="P2245" t="s">
        <v>30</v>
      </c>
      <c r="Q2245" t="s">
        <v>31</v>
      </c>
      <c r="R2245" t="s">
        <v>32</v>
      </c>
      <c r="S2245" t="s">
        <v>28</v>
      </c>
      <c r="T2245" t="s">
        <v>8577</v>
      </c>
      <c r="U2245" t="s">
        <v>8576</v>
      </c>
    </row>
    <row r="2246" spans="1:21" x14ac:dyDescent="0.25">
      <c r="A2246" t="s">
        <v>134</v>
      </c>
      <c r="B2246" t="s">
        <v>64</v>
      </c>
      <c r="C2246">
        <v>100</v>
      </c>
      <c r="D2246">
        <v>1</v>
      </c>
      <c r="E2246">
        <v>0</v>
      </c>
      <c r="F2246" t="s">
        <v>8578</v>
      </c>
      <c r="G2246">
        <v>200</v>
      </c>
      <c r="H2246">
        <v>0</v>
      </c>
      <c r="I2246" t="s">
        <v>140</v>
      </c>
      <c r="J2246" t="s">
        <v>8579</v>
      </c>
      <c r="K2246" t="s">
        <v>273</v>
      </c>
      <c r="L2246" t="s">
        <v>27</v>
      </c>
      <c r="M2246" t="s">
        <v>28</v>
      </c>
      <c r="N2246" t="s">
        <v>8580</v>
      </c>
      <c r="O2246" t="s">
        <v>27</v>
      </c>
      <c r="P2246" t="s">
        <v>30</v>
      </c>
      <c r="Q2246" t="s">
        <v>31</v>
      </c>
      <c r="R2246" t="s">
        <v>32</v>
      </c>
      <c r="S2246" t="s">
        <v>28</v>
      </c>
      <c r="T2246" t="s">
        <v>8581</v>
      </c>
      <c r="U2246" t="s">
        <v>8580</v>
      </c>
    </row>
    <row r="2247" spans="1:21" x14ac:dyDescent="0.25">
      <c r="A2247" t="s">
        <v>63</v>
      </c>
      <c r="B2247" t="s">
        <v>64</v>
      </c>
      <c r="C2247">
        <v>100</v>
      </c>
      <c r="D2247">
        <v>1</v>
      </c>
      <c r="E2247">
        <v>0</v>
      </c>
      <c r="F2247" t="s">
        <v>8578</v>
      </c>
      <c r="G2247">
        <v>200</v>
      </c>
      <c r="H2247">
        <v>0</v>
      </c>
      <c r="I2247" t="s">
        <v>140</v>
      </c>
      <c r="J2247" t="s">
        <v>8579</v>
      </c>
      <c r="K2247" t="s">
        <v>273</v>
      </c>
      <c r="L2247" t="s">
        <v>27</v>
      </c>
      <c r="M2247" t="s">
        <v>28</v>
      </c>
      <c r="N2247" t="s">
        <v>8580</v>
      </c>
      <c r="O2247" t="s">
        <v>27</v>
      </c>
      <c r="P2247" t="s">
        <v>30</v>
      </c>
      <c r="Q2247" t="s">
        <v>31</v>
      </c>
      <c r="R2247" t="s">
        <v>32</v>
      </c>
      <c r="S2247" t="s">
        <v>28</v>
      </c>
      <c r="T2247" t="s">
        <v>8581</v>
      </c>
      <c r="U2247" t="s">
        <v>8580</v>
      </c>
    </row>
    <row r="2248" spans="1:21" x14ac:dyDescent="0.25">
      <c r="A2248" t="s">
        <v>21</v>
      </c>
      <c r="B2248" t="s">
        <v>22</v>
      </c>
      <c r="C2248">
        <v>100</v>
      </c>
      <c r="D2248">
        <v>1</v>
      </c>
      <c r="E2248">
        <v>0</v>
      </c>
      <c r="F2248" t="s">
        <v>8582</v>
      </c>
      <c r="G2248">
        <v>145</v>
      </c>
      <c r="H2248">
        <v>45</v>
      </c>
      <c r="I2248" t="s">
        <v>140</v>
      </c>
      <c r="J2248" t="s">
        <v>8583</v>
      </c>
      <c r="K2248" t="s">
        <v>73</v>
      </c>
      <c r="L2248" t="s">
        <v>27</v>
      </c>
      <c r="M2248" t="s">
        <v>28</v>
      </c>
      <c r="N2248" t="s">
        <v>8584</v>
      </c>
      <c r="O2248" t="s">
        <v>27</v>
      </c>
      <c r="P2248" t="s">
        <v>30</v>
      </c>
      <c r="Q2248" t="s">
        <v>31</v>
      </c>
      <c r="R2248" t="s">
        <v>32</v>
      </c>
      <c r="S2248" t="s">
        <v>28</v>
      </c>
      <c r="T2248" t="s">
        <v>8585</v>
      </c>
      <c r="U2248" t="s">
        <v>8580</v>
      </c>
    </row>
    <row r="2249" spans="1:21" x14ac:dyDescent="0.25">
      <c r="A2249" t="s">
        <v>33</v>
      </c>
      <c r="B2249" t="s">
        <v>34</v>
      </c>
      <c r="C2249">
        <v>200</v>
      </c>
      <c r="D2249">
        <v>2</v>
      </c>
      <c r="E2249">
        <v>0</v>
      </c>
      <c r="F2249" t="s">
        <v>8586</v>
      </c>
      <c r="G2249">
        <v>400</v>
      </c>
      <c r="H2249">
        <v>0</v>
      </c>
      <c r="I2249" t="s">
        <v>445</v>
      </c>
      <c r="J2249" t="s">
        <v>8587</v>
      </c>
      <c r="K2249" t="s">
        <v>325</v>
      </c>
      <c r="L2249" t="s">
        <v>27</v>
      </c>
      <c r="M2249" t="s">
        <v>28</v>
      </c>
      <c r="N2249" t="s">
        <v>8588</v>
      </c>
      <c r="O2249" t="s">
        <v>27</v>
      </c>
      <c r="P2249" t="s">
        <v>39</v>
      </c>
      <c r="Q2249" t="s">
        <v>31</v>
      </c>
      <c r="R2249" t="s">
        <v>32</v>
      </c>
      <c r="S2249" t="s">
        <v>28</v>
      </c>
      <c r="T2249" t="s">
        <v>8589</v>
      </c>
      <c r="U2249" t="s">
        <v>8588</v>
      </c>
    </row>
    <row r="2250" spans="1:21" x14ac:dyDescent="0.25">
      <c r="A2250" t="s">
        <v>33</v>
      </c>
      <c r="B2250" t="s">
        <v>34</v>
      </c>
      <c r="C2250">
        <v>200</v>
      </c>
      <c r="D2250">
        <v>1</v>
      </c>
      <c r="E2250">
        <v>0</v>
      </c>
      <c r="F2250" t="s">
        <v>8590</v>
      </c>
      <c r="G2250">
        <v>200</v>
      </c>
      <c r="H2250">
        <v>0</v>
      </c>
      <c r="I2250" t="s">
        <v>24</v>
      </c>
      <c r="J2250" t="s">
        <v>8591</v>
      </c>
      <c r="K2250" t="s">
        <v>311</v>
      </c>
      <c r="L2250" t="s">
        <v>27</v>
      </c>
      <c r="M2250" t="s">
        <v>28</v>
      </c>
      <c r="N2250" t="s">
        <v>8592</v>
      </c>
      <c r="O2250" t="s">
        <v>27</v>
      </c>
      <c r="P2250" t="s">
        <v>39</v>
      </c>
      <c r="Q2250" t="s">
        <v>31</v>
      </c>
      <c r="R2250" t="s">
        <v>32</v>
      </c>
      <c r="S2250" t="s">
        <v>28</v>
      </c>
      <c r="T2250" t="s">
        <v>8593</v>
      </c>
      <c r="U2250" t="s">
        <v>8592</v>
      </c>
    </row>
    <row r="2251" spans="1:21" x14ac:dyDescent="0.25">
      <c r="A2251" t="s">
        <v>185</v>
      </c>
      <c r="B2251" t="s">
        <v>186</v>
      </c>
      <c r="C2251">
        <v>160</v>
      </c>
      <c r="D2251">
        <v>1</v>
      </c>
      <c r="E2251">
        <v>0</v>
      </c>
      <c r="F2251" t="s">
        <v>8594</v>
      </c>
      <c r="G2251">
        <v>400</v>
      </c>
      <c r="H2251">
        <v>0</v>
      </c>
      <c r="I2251" t="s">
        <v>24</v>
      </c>
      <c r="J2251" t="s">
        <v>1402</v>
      </c>
      <c r="K2251" t="s">
        <v>8595</v>
      </c>
      <c r="L2251" t="s">
        <v>1972</v>
      </c>
      <c r="M2251" t="s">
        <v>8596</v>
      </c>
      <c r="N2251" t="s">
        <v>8597</v>
      </c>
      <c r="O2251" t="s">
        <v>27</v>
      </c>
      <c r="P2251" t="s">
        <v>193</v>
      </c>
      <c r="Q2251" t="s">
        <v>85</v>
      </c>
      <c r="R2251" t="s">
        <v>86</v>
      </c>
      <c r="S2251" t="s">
        <v>28</v>
      </c>
      <c r="T2251" t="s">
        <v>8598</v>
      </c>
      <c r="U2251" t="s">
        <v>8599</v>
      </c>
    </row>
    <row r="2252" spans="1:21" x14ac:dyDescent="0.25">
      <c r="A2252" t="s">
        <v>58</v>
      </c>
      <c r="B2252" t="s">
        <v>103</v>
      </c>
      <c r="C2252">
        <v>105</v>
      </c>
      <c r="D2252">
        <v>1</v>
      </c>
      <c r="E2252">
        <v>0</v>
      </c>
      <c r="F2252" t="s">
        <v>8600</v>
      </c>
      <c r="G2252">
        <v>150</v>
      </c>
      <c r="H2252">
        <v>45</v>
      </c>
      <c r="I2252" t="s">
        <v>105</v>
      </c>
      <c r="J2252" t="s">
        <v>8601</v>
      </c>
      <c r="K2252" t="s">
        <v>8602</v>
      </c>
      <c r="L2252" t="s">
        <v>1234</v>
      </c>
      <c r="M2252" t="s">
        <v>8603</v>
      </c>
      <c r="N2252" t="s">
        <v>8604</v>
      </c>
      <c r="O2252" t="s">
        <v>27</v>
      </c>
      <c r="P2252" t="s">
        <v>48</v>
      </c>
      <c r="Q2252" t="s">
        <v>49</v>
      </c>
      <c r="R2252" t="s">
        <v>50</v>
      </c>
      <c r="S2252" t="s">
        <v>28</v>
      </c>
      <c r="T2252" t="s">
        <v>8605</v>
      </c>
      <c r="U2252" t="s">
        <v>8606</v>
      </c>
    </row>
    <row r="2253" spans="1:21" x14ac:dyDescent="0.25">
      <c r="A2253" t="s">
        <v>21</v>
      </c>
      <c r="B2253" t="s">
        <v>22</v>
      </c>
      <c r="C2253">
        <v>100</v>
      </c>
      <c r="D2253">
        <v>2</v>
      </c>
      <c r="E2253">
        <v>0</v>
      </c>
      <c r="F2253" t="s">
        <v>8607</v>
      </c>
      <c r="G2253">
        <v>200</v>
      </c>
      <c r="H2253">
        <v>0</v>
      </c>
      <c r="I2253" t="s">
        <v>445</v>
      </c>
      <c r="J2253" t="s">
        <v>8608</v>
      </c>
      <c r="K2253" t="s">
        <v>418</v>
      </c>
      <c r="L2253" t="s">
        <v>27</v>
      </c>
      <c r="M2253" t="s">
        <v>28</v>
      </c>
      <c r="N2253" t="s">
        <v>8609</v>
      </c>
      <c r="O2253" t="s">
        <v>27</v>
      </c>
      <c r="P2253" t="s">
        <v>39</v>
      </c>
      <c r="Q2253" t="s">
        <v>31</v>
      </c>
      <c r="R2253" t="s">
        <v>32</v>
      </c>
      <c r="S2253" t="s">
        <v>28</v>
      </c>
      <c r="T2253" t="s">
        <v>8610</v>
      </c>
      <c r="U2253" t="s">
        <v>8609</v>
      </c>
    </row>
    <row r="2254" spans="1:21" x14ac:dyDescent="0.25">
      <c r="A2254" t="s">
        <v>63</v>
      </c>
      <c r="B2254" t="s">
        <v>64</v>
      </c>
      <c r="C2254">
        <v>100</v>
      </c>
      <c r="D2254">
        <v>1</v>
      </c>
      <c r="E2254">
        <v>0</v>
      </c>
      <c r="F2254" t="s">
        <v>8611</v>
      </c>
      <c r="G2254">
        <v>100</v>
      </c>
      <c r="H2254">
        <v>0</v>
      </c>
      <c r="I2254" t="s">
        <v>140</v>
      </c>
      <c r="J2254" t="s">
        <v>8612</v>
      </c>
      <c r="K2254" t="s">
        <v>2243</v>
      </c>
      <c r="L2254" t="s">
        <v>27</v>
      </c>
      <c r="M2254" t="s">
        <v>28</v>
      </c>
      <c r="N2254" t="s">
        <v>8613</v>
      </c>
      <c r="O2254" t="s">
        <v>27</v>
      </c>
      <c r="P2254" t="s">
        <v>30</v>
      </c>
      <c r="Q2254" t="s">
        <v>31</v>
      </c>
      <c r="R2254" t="s">
        <v>32</v>
      </c>
      <c r="S2254" t="s">
        <v>28</v>
      </c>
      <c r="T2254" t="s">
        <v>8614</v>
      </c>
      <c r="U2254" t="s">
        <v>8615</v>
      </c>
    </row>
    <row r="2255" spans="1:21" x14ac:dyDescent="0.25">
      <c r="A2255" t="s">
        <v>58</v>
      </c>
      <c r="B2255" t="s">
        <v>103</v>
      </c>
      <c r="C2255">
        <v>99.75</v>
      </c>
      <c r="D2255">
        <v>1</v>
      </c>
      <c r="E2255">
        <v>0</v>
      </c>
      <c r="F2255" t="s">
        <v>8616</v>
      </c>
      <c r="G2255">
        <v>222.5</v>
      </c>
      <c r="H2255">
        <v>23</v>
      </c>
      <c r="I2255" t="s">
        <v>105</v>
      </c>
      <c r="J2255" t="s">
        <v>8617</v>
      </c>
      <c r="K2255" t="s">
        <v>8618</v>
      </c>
      <c r="L2255" t="s">
        <v>315</v>
      </c>
      <c r="M2255" t="s">
        <v>8619</v>
      </c>
      <c r="N2255" t="s">
        <v>8620</v>
      </c>
      <c r="O2255" t="s">
        <v>27</v>
      </c>
      <c r="P2255" t="s">
        <v>48</v>
      </c>
      <c r="Q2255" t="s">
        <v>49</v>
      </c>
      <c r="R2255" t="s">
        <v>50</v>
      </c>
      <c r="S2255" t="s">
        <v>28</v>
      </c>
      <c r="T2255" t="s">
        <v>8621</v>
      </c>
      <c r="U2255" t="s">
        <v>8620</v>
      </c>
    </row>
    <row r="2256" spans="1:21" x14ac:dyDescent="0.25">
      <c r="A2256" t="s">
        <v>58</v>
      </c>
      <c r="B2256" t="s">
        <v>103</v>
      </c>
      <c r="C2256">
        <v>99.75</v>
      </c>
      <c r="D2256">
        <v>1</v>
      </c>
      <c r="E2256">
        <v>0</v>
      </c>
      <c r="F2256" t="s">
        <v>8616</v>
      </c>
      <c r="G2256">
        <v>222.5</v>
      </c>
      <c r="H2256">
        <v>23</v>
      </c>
      <c r="I2256" t="s">
        <v>105</v>
      </c>
      <c r="J2256" t="s">
        <v>8617</v>
      </c>
      <c r="K2256" t="s">
        <v>8618</v>
      </c>
      <c r="L2256" t="s">
        <v>315</v>
      </c>
      <c r="M2256" t="s">
        <v>8619</v>
      </c>
      <c r="N2256" t="s">
        <v>8620</v>
      </c>
      <c r="O2256" t="s">
        <v>27</v>
      </c>
      <c r="P2256" t="s">
        <v>48</v>
      </c>
      <c r="Q2256" t="s">
        <v>49</v>
      </c>
      <c r="R2256" t="s">
        <v>50</v>
      </c>
      <c r="S2256" t="s">
        <v>28</v>
      </c>
      <c r="T2256" t="s">
        <v>8621</v>
      </c>
      <c r="U2256" t="s">
        <v>8620</v>
      </c>
    </row>
    <row r="2257" spans="1:21" x14ac:dyDescent="0.25">
      <c r="A2257" t="s">
        <v>5037</v>
      </c>
      <c r="B2257" t="s">
        <v>8622</v>
      </c>
      <c r="C2257">
        <v>420</v>
      </c>
      <c r="D2257">
        <v>1</v>
      </c>
      <c r="E2257">
        <v>0</v>
      </c>
      <c r="F2257" t="s">
        <v>8623</v>
      </c>
      <c r="G2257">
        <v>449</v>
      </c>
      <c r="H2257">
        <v>29</v>
      </c>
      <c r="I2257" t="s">
        <v>24</v>
      </c>
      <c r="J2257" t="s">
        <v>8624</v>
      </c>
      <c r="K2257" t="s">
        <v>8625</v>
      </c>
      <c r="L2257" t="s">
        <v>1677</v>
      </c>
      <c r="M2257" t="s">
        <v>1147</v>
      </c>
      <c r="N2257" t="s">
        <v>8626</v>
      </c>
      <c r="O2257" t="s">
        <v>27</v>
      </c>
      <c r="P2257" t="s">
        <v>193</v>
      </c>
      <c r="Q2257" t="s">
        <v>85</v>
      </c>
      <c r="R2257" t="s">
        <v>86</v>
      </c>
      <c r="S2257" t="s">
        <v>28</v>
      </c>
      <c r="T2257" t="s">
        <v>8627</v>
      </c>
      <c r="U2257" t="s">
        <v>8626</v>
      </c>
    </row>
    <row r="2258" spans="1:21" x14ac:dyDescent="0.25">
      <c r="A2258" t="s">
        <v>63</v>
      </c>
      <c r="B2258" t="s">
        <v>64</v>
      </c>
      <c r="C2258">
        <v>100</v>
      </c>
      <c r="D2258">
        <v>1</v>
      </c>
      <c r="E2258">
        <v>0</v>
      </c>
      <c r="F2258" t="s">
        <v>8628</v>
      </c>
      <c r="G2258">
        <v>106</v>
      </c>
      <c r="H2258">
        <v>6</v>
      </c>
      <c r="I2258" t="s">
        <v>24</v>
      </c>
      <c r="J2258" t="s">
        <v>8629</v>
      </c>
      <c r="K2258" t="s">
        <v>8630</v>
      </c>
      <c r="L2258" t="s">
        <v>27</v>
      </c>
      <c r="M2258" t="s">
        <v>28</v>
      </c>
      <c r="N2258" t="s">
        <v>8631</v>
      </c>
      <c r="O2258" t="s">
        <v>27</v>
      </c>
      <c r="P2258" t="s">
        <v>39</v>
      </c>
      <c r="Q2258" t="s">
        <v>31</v>
      </c>
      <c r="R2258" t="s">
        <v>32</v>
      </c>
      <c r="S2258" t="s">
        <v>28</v>
      </c>
      <c r="T2258" t="s">
        <v>8632</v>
      </c>
      <c r="U2258" t="s">
        <v>8633</v>
      </c>
    </row>
    <row r="2259" spans="1:21" x14ac:dyDescent="0.25">
      <c r="A2259" t="s">
        <v>58</v>
      </c>
      <c r="B2259" t="s">
        <v>58</v>
      </c>
      <c r="C2259">
        <v>100</v>
      </c>
      <c r="D2259">
        <v>1</v>
      </c>
      <c r="E2259">
        <v>0</v>
      </c>
      <c r="F2259" t="s">
        <v>8634</v>
      </c>
      <c r="G2259">
        <v>100</v>
      </c>
      <c r="H2259">
        <v>0</v>
      </c>
      <c r="I2259" t="s">
        <v>445</v>
      </c>
      <c r="J2259" t="s">
        <v>8058</v>
      </c>
      <c r="K2259" t="s">
        <v>8635</v>
      </c>
      <c r="L2259" t="s">
        <v>6531</v>
      </c>
      <c r="M2259" t="s">
        <v>876</v>
      </c>
      <c r="N2259" t="s">
        <v>8636</v>
      </c>
      <c r="O2259" t="s">
        <v>27</v>
      </c>
      <c r="P2259" t="s">
        <v>84</v>
      </c>
      <c r="Q2259" t="s">
        <v>85</v>
      </c>
      <c r="R2259" t="s">
        <v>86</v>
      </c>
      <c r="S2259" t="s">
        <v>28</v>
      </c>
      <c r="T2259" t="s">
        <v>8637</v>
      </c>
      <c r="U2259" t="s">
        <v>8638</v>
      </c>
    </row>
    <row r="2260" spans="1:21" x14ac:dyDescent="0.25">
      <c r="A2260" t="s">
        <v>134</v>
      </c>
      <c r="B2260" t="s">
        <v>64</v>
      </c>
      <c r="C2260">
        <v>100</v>
      </c>
      <c r="D2260">
        <v>1</v>
      </c>
      <c r="E2260">
        <v>0</v>
      </c>
      <c r="F2260" t="s">
        <v>8639</v>
      </c>
      <c r="G2260">
        <v>300</v>
      </c>
      <c r="H2260">
        <v>0</v>
      </c>
      <c r="I2260" t="s">
        <v>140</v>
      </c>
      <c r="J2260" t="s">
        <v>8640</v>
      </c>
      <c r="K2260" t="s">
        <v>8641</v>
      </c>
      <c r="L2260" t="s">
        <v>27</v>
      </c>
      <c r="M2260" t="s">
        <v>28</v>
      </c>
      <c r="N2260" t="s">
        <v>8638</v>
      </c>
      <c r="O2260" t="s">
        <v>27</v>
      </c>
      <c r="P2260" t="s">
        <v>369</v>
      </c>
      <c r="Q2260" t="s">
        <v>31</v>
      </c>
      <c r="R2260" t="s">
        <v>57</v>
      </c>
      <c r="S2260" t="s">
        <v>28</v>
      </c>
      <c r="T2260" t="s">
        <v>8642</v>
      </c>
      <c r="U2260" t="s">
        <v>8638</v>
      </c>
    </row>
    <row r="2261" spans="1:21" x14ac:dyDescent="0.25">
      <c r="A2261" t="s">
        <v>63</v>
      </c>
      <c r="B2261" t="s">
        <v>64</v>
      </c>
      <c r="C2261">
        <v>100</v>
      </c>
      <c r="D2261">
        <v>2</v>
      </c>
      <c r="E2261">
        <v>0</v>
      </c>
      <c r="F2261" t="s">
        <v>8639</v>
      </c>
      <c r="G2261">
        <v>300</v>
      </c>
      <c r="H2261">
        <v>0</v>
      </c>
      <c r="I2261" t="s">
        <v>140</v>
      </c>
      <c r="J2261" t="s">
        <v>8640</v>
      </c>
      <c r="K2261" t="s">
        <v>8641</v>
      </c>
      <c r="L2261" t="s">
        <v>27</v>
      </c>
      <c r="M2261" t="s">
        <v>28</v>
      </c>
      <c r="N2261" t="s">
        <v>8638</v>
      </c>
      <c r="O2261" t="s">
        <v>27</v>
      </c>
      <c r="P2261" t="s">
        <v>369</v>
      </c>
      <c r="Q2261" t="s">
        <v>31</v>
      </c>
      <c r="R2261" t="s">
        <v>57</v>
      </c>
      <c r="S2261" t="s">
        <v>28</v>
      </c>
      <c r="T2261" t="s">
        <v>8642</v>
      </c>
      <c r="U2261" t="s">
        <v>8638</v>
      </c>
    </row>
    <row r="2262" spans="1:21" x14ac:dyDescent="0.25">
      <c r="A2262" t="s">
        <v>21</v>
      </c>
      <c r="B2262" t="s">
        <v>22</v>
      </c>
      <c r="C2262">
        <v>100</v>
      </c>
      <c r="D2262">
        <v>1</v>
      </c>
      <c r="E2262">
        <v>0</v>
      </c>
      <c r="F2262" t="s">
        <v>8643</v>
      </c>
      <c r="G2262">
        <v>106</v>
      </c>
      <c r="H2262">
        <v>6</v>
      </c>
      <c r="I2262" t="s">
        <v>445</v>
      </c>
      <c r="J2262" t="s">
        <v>8644</v>
      </c>
      <c r="K2262" t="s">
        <v>250</v>
      </c>
      <c r="L2262" t="s">
        <v>27</v>
      </c>
      <c r="M2262" t="s">
        <v>28</v>
      </c>
      <c r="N2262" t="s">
        <v>8645</v>
      </c>
      <c r="O2262" t="s">
        <v>27</v>
      </c>
      <c r="P2262" t="s">
        <v>39</v>
      </c>
      <c r="Q2262" t="s">
        <v>31</v>
      </c>
      <c r="R2262" t="s">
        <v>32</v>
      </c>
      <c r="S2262" t="s">
        <v>28</v>
      </c>
      <c r="T2262" t="s">
        <v>8646</v>
      </c>
      <c r="U2262" t="s">
        <v>8647</v>
      </c>
    </row>
    <row r="2263" spans="1:21" x14ac:dyDescent="0.25">
      <c r="A2263" t="s">
        <v>21</v>
      </c>
      <c r="B2263" t="s">
        <v>22</v>
      </c>
      <c r="C2263">
        <v>100</v>
      </c>
      <c r="D2263">
        <v>1</v>
      </c>
      <c r="E2263">
        <v>0</v>
      </c>
      <c r="F2263" t="s">
        <v>8648</v>
      </c>
      <c r="G2263">
        <v>106</v>
      </c>
      <c r="H2263">
        <v>6</v>
      </c>
      <c r="I2263" t="s">
        <v>445</v>
      </c>
      <c r="J2263" t="s">
        <v>8649</v>
      </c>
      <c r="K2263" t="s">
        <v>466</v>
      </c>
      <c r="L2263" t="s">
        <v>27</v>
      </c>
      <c r="M2263" t="s">
        <v>28</v>
      </c>
      <c r="N2263" t="s">
        <v>8650</v>
      </c>
      <c r="O2263" t="s">
        <v>27</v>
      </c>
      <c r="P2263" t="s">
        <v>56</v>
      </c>
      <c r="Q2263" t="s">
        <v>31</v>
      </c>
      <c r="R2263" t="s">
        <v>57</v>
      </c>
      <c r="S2263" t="s">
        <v>28</v>
      </c>
      <c r="T2263" t="s">
        <v>8651</v>
      </c>
      <c r="U2263" t="s">
        <v>8650</v>
      </c>
    </row>
    <row r="2264" spans="1:21" x14ac:dyDescent="0.25">
      <c r="A2264" t="s">
        <v>33</v>
      </c>
      <c r="B2264" t="s">
        <v>34</v>
      </c>
      <c r="C2264">
        <v>200</v>
      </c>
      <c r="D2264">
        <v>1</v>
      </c>
      <c r="E2264">
        <v>0</v>
      </c>
      <c r="F2264" t="s">
        <v>8652</v>
      </c>
      <c r="G2264">
        <v>200</v>
      </c>
      <c r="H2264">
        <v>0</v>
      </c>
      <c r="I2264" t="s">
        <v>24</v>
      </c>
      <c r="J2264" t="s">
        <v>8653</v>
      </c>
      <c r="K2264" t="s">
        <v>653</v>
      </c>
      <c r="L2264" t="s">
        <v>27</v>
      </c>
      <c r="M2264" t="s">
        <v>28</v>
      </c>
      <c r="N2264" t="s">
        <v>8654</v>
      </c>
      <c r="O2264" t="s">
        <v>27</v>
      </c>
      <c r="P2264" t="s">
        <v>56</v>
      </c>
      <c r="Q2264" t="s">
        <v>31</v>
      </c>
      <c r="R2264" t="s">
        <v>57</v>
      </c>
      <c r="S2264" t="s">
        <v>28</v>
      </c>
      <c r="T2264" t="s">
        <v>8655</v>
      </c>
      <c r="U2264" t="s">
        <v>8654</v>
      </c>
    </row>
    <row r="2265" spans="1:21" x14ac:dyDescent="0.25">
      <c r="A2265" t="s">
        <v>21</v>
      </c>
      <c r="B2265" t="s">
        <v>22</v>
      </c>
      <c r="C2265">
        <v>100</v>
      </c>
      <c r="D2265">
        <v>2</v>
      </c>
      <c r="E2265">
        <v>0</v>
      </c>
      <c r="F2265" t="s">
        <v>8656</v>
      </c>
      <c r="G2265">
        <v>200</v>
      </c>
      <c r="H2265">
        <v>0</v>
      </c>
      <c r="I2265" t="s">
        <v>140</v>
      </c>
      <c r="J2265" t="s">
        <v>8657</v>
      </c>
      <c r="K2265" t="s">
        <v>384</v>
      </c>
      <c r="L2265" t="s">
        <v>27</v>
      </c>
      <c r="M2265" t="s">
        <v>28</v>
      </c>
      <c r="N2265" t="s">
        <v>8654</v>
      </c>
      <c r="O2265" t="s">
        <v>27</v>
      </c>
      <c r="P2265" t="s">
        <v>30</v>
      </c>
      <c r="Q2265" t="s">
        <v>31</v>
      </c>
      <c r="R2265" t="s">
        <v>32</v>
      </c>
      <c r="S2265" t="s">
        <v>28</v>
      </c>
      <c r="T2265" t="s">
        <v>8658</v>
      </c>
      <c r="U2265" t="s">
        <v>8654</v>
      </c>
    </row>
    <row r="2266" spans="1:21" x14ac:dyDescent="0.25">
      <c r="A2266" t="s">
        <v>134</v>
      </c>
      <c r="B2266" t="s">
        <v>64</v>
      </c>
      <c r="C2266">
        <v>100</v>
      </c>
      <c r="D2266">
        <v>1</v>
      </c>
      <c r="E2266">
        <v>0</v>
      </c>
      <c r="F2266" t="s">
        <v>8659</v>
      </c>
      <c r="G2266">
        <v>106</v>
      </c>
      <c r="H2266">
        <v>6</v>
      </c>
      <c r="I2266" t="s">
        <v>24</v>
      </c>
      <c r="J2266" t="s">
        <v>8660</v>
      </c>
      <c r="K2266" t="s">
        <v>237</v>
      </c>
      <c r="L2266" t="s">
        <v>27</v>
      </c>
      <c r="M2266" t="s">
        <v>28</v>
      </c>
      <c r="N2266" t="s">
        <v>8661</v>
      </c>
      <c r="O2266" t="s">
        <v>27</v>
      </c>
      <c r="P2266" t="s">
        <v>39</v>
      </c>
      <c r="Q2266" t="s">
        <v>31</v>
      </c>
      <c r="R2266" t="s">
        <v>32</v>
      </c>
      <c r="S2266" t="s">
        <v>28</v>
      </c>
      <c r="T2266" t="s">
        <v>8662</v>
      </c>
      <c r="U2266" t="s">
        <v>8661</v>
      </c>
    </row>
    <row r="2267" spans="1:21" x14ac:dyDescent="0.25">
      <c r="A2267" t="s">
        <v>134</v>
      </c>
      <c r="B2267" t="s">
        <v>64</v>
      </c>
      <c r="C2267">
        <v>100</v>
      </c>
      <c r="D2267">
        <v>1</v>
      </c>
      <c r="E2267">
        <v>0</v>
      </c>
      <c r="F2267" t="s">
        <v>8663</v>
      </c>
      <c r="G2267">
        <v>106</v>
      </c>
      <c r="H2267">
        <v>6</v>
      </c>
      <c r="I2267" t="s">
        <v>24</v>
      </c>
      <c r="J2267" t="s">
        <v>2811</v>
      </c>
      <c r="K2267" t="s">
        <v>466</v>
      </c>
      <c r="L2267" t="s">
        <v>27</v>
      </c>
      <c r="M2267" t="s">
        <v>28</v>
      </c>
      <c r="N2267" t="s">
        <v>8664</v>
      </c>
      <c r="O2267" t="s">
        <v>27</v>
      </c>
      <c r="P2267" t="s">
        <v>39</v>
      </c>
      <c r="Q2267" t="s">
        <v>31</v>
      </c>
      <c r="R2267" t="s">
        <v>32</v>
      </c>
      <c r="S2267" t="s">
        <v>28</v>
      </c>
      <c r="T2267" t="s">
        <v>8665</v>
      </c>
      <c r="U2267" t="s">
        <v>8661</v>
      </c>
    </row>
    <row r="2268" spans="1:21" x14ac:dyDescent="0.25">
      <c r="A2268" t="s">
        <v>63</v>
      </c>
      <c r="B2268" t="s">
        <v>64</v>
      </c>
      <c r="C2268">
        <v>100</v>
      </c>
      <c r="D2268">
        <v>3</v>
      </c>
      <c r="E2268">
        <v>0</v>
      </c>
      <c r="F2268" t="s">
        <v>8666</v>
      </c>
      <c r="G2268">
        <v>300</v>
      </c>
      <c r="H2268">
        <v>0</v>
      </c>
      <c r="I2268" t="s">
        <v>24</v>
      </c>
      <c r="J2268" t="s">
        <v>8667</v>
      </c>
      <c r="K2268" t="s">
        <v>61</v>
      </c>
      <c r="L2268" t="s">
        <v>27</v>
      </c>
      <c r="M2268" t="s">
        <v>28</v>
      </c>
      <c r="N2268" t="s">
        <v>8668</v>
      </c>
      <c r="O2268" t="s">
        <v>27</v>
      </c>
      <c r="P2268" t="s">
        <v>39</v>
      </c>
      <c r="Q2268" t="s">
        <v>31</v>
      </c>
      <c r="R2268" t="s">
        <v>32</v>
      </c>
      <c r="S2268" t="s">
        <v>28</v>
      </c>
      <c r="T2268" t="s">
        <v>8669</v>
      </c>
      <c r="U2268" t="s">
        <v>8668</v>
      </c>
    </row>
    <row r="2269" spans="1:21" x14ac:dyDescent="0.25">
      <c r="A2269" t="s">
        <v>21</v>
      </c>
      <c r="B2269" t="s">
        <v>22</v>
      </c>
      <c r="C2269">
        <v>100</v>
      </c>
      <c r="D2269">
        <v>1</v>
      </c>
      <c r="E2269">
        <v>0</v>
      </c>
      <c r="F2269" t="s">
        <v>8670</v>
      </c>
      <c r="G2269">
        <v>106</v>
      </c>
      <c r="H2269">
        <v>6</v>
      </c>
      <c r="I2269" t="s">
        <v>24</v>
      </c>
      <c r="J2269" t="s">
        <v>8671</v>
      </c>
      <c r="K2269" t="s">
        <v>137</v>
      </c>
      <c r="L2269" t="s">
        <v>27</v>
      </c>
      <c r="M2269" t="s">
        <v>28</v>
      </c>
      <c r="N2269" t="s">
        <v>8672</v>
      </c>
      <c r="O2269" t="s">
        <v>27</v>
      </c>
      <c r="P2269" t="s">
        <v>39</v>
      </c>
      <c r="Q2269" t="s">
        <v>31</v>
      </c>
      <c r="R2269" t="s">
        <v>32</v>
      </c>
      <c r="S2269" t="s">
        <v>28</v>
      </c>
      <c r="T2269" t="s">
        <v>8673</v>
      </c>
      <c r="U2269" t="s">
        <v>8672</v>
      </c>
    </row>
    <row r="2270" spans="1:21" x14ac:dyDescent="0.25">
      <c r="A2270" t="s">
        <v>21</v>
      </c>
      <c r="B2270" t="s">
        <v>22</v>
      </c>
      <c r="C2270">
        <v>100</v>
      </c>
      <c r="D2270">
        <v>1</v>
      </c>
      <c r="E2270">
        <v>0</v>
      </c>
      <c r="F2270" t="s">
        <v>8674</v>
      </c>
      <c r="G2270">
        <v>106</v>
      </c>
      <c r="H2270">
        <v>6</v>
      </c>
      <c r="I2270" t="s">
        <v>24</v>
      </c>
      <c r="J2270" t="s">
        <v>8675</v>
      </c>
      <c r="K2270" t="s">
        <v>89</v>
      </c>
      <c r="L2270" t="s">
        <v>27</v>
      </c>
      <c r="M2270" t="s">
        <v>28</v>
      </c>
      <c r="N2270" t="s">
        <v>8676</v>
      </c>
      <c r="O2270" t="s">
        <v>27</v>
      </c>
      <c r="P2270" t="s">
        <v>39</v>
      </c>
      <c r="Q2270" t="s">
        <v>31</v>
      </c>
      <c r="R2270" t="s">
        <v>32</v>
      </c>
      <c r="S2270" t="s">
        <v>28</v>
      </c>
      <c r="T2270" t="s">
        <v>8677</v>
      </c>
      <c r="U2270" t="s">
        <v>8678</v>
      </c>
    </row>
    <row r="2271" spans="1:21" x14ac:dyDescent="0.25">
      <c r="A2271" t="s">
        <v>63</v>
      </c>
      <c r="B2271" t="s">
        <v>64</v>
      </c>
      <c r="C2271">
        <v>100</v>
      </c>
      <c r="D2271">
        <v>1</v>
      </c>
      <c r="E2271">
        <v>0</v>
      </c>
      <c r="F2271" t="s">
        <v>8679</v>
      </c>
      <c r="G2271">
        <v>200</v>
      </c>
      <c r="H2271">
        <v>0</v>
      </c>
      <c r="I2271" t="s">
        <v>24</v>
      </c>
      <c r="J2271" t="s">
        <v>8680</v>
      </c>
      <c r="K2271" t="s">
        <v>89</v>
      </c>
      <c r="L2271" t="s">
        <v>27</v>
      </c>
      <c r="M2271" t="s">
        <v>28</v>
      </c>
      <c r="N2271" t="s">
        <v>8681</v>
      </c>
      <c r="O2271" t="s">
        <v>27</v>
      </c>
      <c r="P2271" t="s">
        <v>39</v>
      </c>
      <c r="Q2271" t="s">
        <v>31</v>
      </c>
      <c r="R2271" t="s">
        <v>32</v>
      </c>
      <c r="S2271" t="s">
        <v>28</v>
      </c>
      <c r="T2271" t="s">
        <v>8682</v>
      </c>
      <c r="U2271" t="s">
        <v>8678</v>
      </c>
    </row>
    <row r="2272" spans="1:21" x14ac:dyDescent="0.25">
      <c r="A2272" t="s">
        <v>21</v>
      </c>
      <c r="B2272" t="s">
        <v>22</v>
      </c>
      <c r="C2272">
        <v>100</v>
      </c>
      <c r="D2272">
        <v>1</v>
      </c>
      <c r="E2272">
        <v>0</v>
      </c>
      <c r="F2272" t="s">
        <v>8679</v>
      </c>
      <c r="G2272">
        <v>200</v>
      </c>
      <c r="H2272">
        <v>0</v>
      </c>
      <c r="I2272" t="s">
        <v>24</v>
      </c>
      <c r="J2272" t="s">
        <v>8680</v>
      </c>
      <c r="K2272" t="s">
        <v>89</v>
      </c>
      <c r="L2272" t="s">
        <v>27</v>
      </c>
      <c r="M2272" t="s">
        <v>28</v>
      </c>
      <c r="N2272" t="s">
        <v>8681</v>
      </c>
      <c r="O2272" t="s">
        <v>27</v>
      </c>
      <c r="P2272" t="s">
        <v>39</v>
      </c>
      <c r="Q2272" t="s">
        <v>31</v>
      </c>
      <c r="R2272" t="s">
        <v>32</v>
      </c>
      <c r="S2272" t="s">
        <v>28</v>
      </c>
      <c r="T2272" t="s">
        <v>8682</v>
      </c>
      <c r="U2272" t="s">
        <v>8678</v>
      </c>
    </row>
    <row r="2273" spans="1:21" x14ac:dyDescent="0.25">
      <c r="A2273" t="s">
        <v>143</v>
      </c>
      <c r="B2273" t="s">
        <v>144</v>
      </c>
      <c r="C2273">
        <v>200</v>
      </c>
      <c r="D2273">
        <v>1</v>
      </c>
      <c r="E2273">
        <v>0</v>
      </c>
      <c r="F2273" t="s">
        <v>8683</v>
      </c>
      <c r="G2273">
        <v>200</v>
      </c>
      <c r="H2273">
        <v>0</v>
      </c>
      <c r="I2273" t="s">
        <v>24</v>
      </c>
      <c r="J2273" t="s">
        <v>8684</v>
      </c>
      <c r="K2273" t="s">
        <v>1029</v>
      </c>
      <c r="L2273" t="s">
        <v>27</v>
      </c>
      <c r="M2273" t="s">
        <v>28</v>
      </c>
      <c r="N2273" t="s">
        <v>8685</v>
      </c>
      <c r="O2273" t="s">
        <v>27</v>
      </c>
      <c r="P2273" t="s">
        <v>39</v>
      </c>
      <c r="Q2273" t="s">
        <v>31</v>
      </c>
      <c r="R2273" t="s">
        <v>32</v>
      </c>
      <c r="S2273" t="s">
        <v>28</v>
      </c>
      <c r="T2273" t="s">
        <v>8686</v>
      </c>
      <c r="U2273" t="s">
        <v>8681</v>
      </c>
    </row>
    <row r="2274" spans="1:21" x14ac:dyDescent="0.25">
      <c r="A2274" t="s">
        <v>58</v>
      </c>
      <c r="B2274" t="s">
        <v>103</v>
      </c>
      <c r="C2274">
        <v>20.95</v>
      </c>
      <c r="D2274">
        <v>1</v>
      </c>
      <c r="E2274">
        <v>0</v>
      </c>
      <c r="F2274" t="s">
        <v>8687</v>
      </c>
      <c r="G2274">
        <v>25.95</v>
      </c>
      <c r="H2274">
        <v>5</v>
      </c>
      <c r="I2274" t="s">
        <v>105</v>
      </c>
      <c r="J2274" t="s">
        <v>8688</v>
      </c>
      <c r="K2274" t="s">
        <v>8689</v>
      </c>
      <c r="L2274" t="s">
        <v>8690</v>
      </c>
      <c r="M2274" t="s">
        <v>8691</v>
      </c>
      <c r="N2274" t="s">
        <v>8692</v>
      </c>
      <c r="O2274" t="s">
        <v>27</v>
      </c>
      <c r="P2274" t="s">
        <v>48</v>
      </c>
      <c r="Q2274" t="s">
        <v>49</v>
      </c>
      <c r="R2274" t="s">
        <v>50</v>
      </c>
      <c r="S2274" t="s">
        <v>28</v>
      </c>
      <c r="T2274" t="s">
        <v>8693</v>
      </c>
      <c r="U2274" t="s">
        <v>8694</v>
      </c>
    </row>
    <row r="2275" spans="1:21" x14ac:dyDescent="0.25">
      <c r="A2275" t="s">
        <v>58</v>
      </c>
      <c r="B2275" t="s">
        <v>58</v>
      </c>
      <c r="C2275">
        <v>150</v>
      </c>
      <c r="D2275">
        <v>2</v>
      </c>
      <c r="E2275">
        <v>0</v>
      </c>
      <c r="F2275" t="s">
        <v>8695</v>
      </c>
      <c r="G2275">
        <v>421</v>
      </c>
      <c r="H2275">
        <v>41</v>
      </c>
      <c r="I2275" t="s">
        <v>24</v>
      </c>
      <c r="J2275" t="s">
        <v>8696</v>
      </c>
      <c r="K2275" t="s">
        <v>8697</v>
      </c>
      <c r="L2275" t="s">
        <v>8698</v>
      </c>
      <c r="M2275" t="s">
        <v>8699</v>
      </c>
      <c r="N2275" t="s">
        <v>8700</v>
      </c>
      <c r="O2275" t="s">
        <v>27</v>
      </c>
      <c r="P2275" t="s">
        <v>84</v>
      </c>
      <c r="Q2275" t="s">
        <v>85</v>
      </c>
      <c r="R2275" t="s">
        <v>86</v>
      </c>
      <c r="S2275" t="s">
        <v>28</v>
      </c>
      <c r="T2275" t="s">
        <v>8701</v>
      </c>
      <c r="U2275" t="s">
        <v>8702</v>
      </c>
    </row>
    <row r="2276" spans="1:21" x14ac:dyDescent="0.25">
      <c r="A2276" t="s">
        <v>33</v>
      </c>
      <c r="B2276" t="s">
        <v>34</v>
      </c>
      <c r="C2276">
        <v>200</v>
      </c>
      <c r="D2276">
        <v>1</v>
      </c>
      <c r="E2276">
        <v>0</v>
      </c>
      <c r="F2276" t="s">
        <v>8703</v>
      </c>
      <c r="G2276">
        <v>200</v>
      </c>
      <c r="H2276">
        <v>0</v>
      </c>
      <c r="I2276" t="s">
        <v>24</v>
      </c>
      <c r="J2276" t="s">
        <v>8704</v>
      </c>
      <c r="K2276" t="s">
        <v>37</v>
      </c>
      <c r="L2276" t="s">
        <v>27</v>
      </c>
      <c r="M2276" t="s">
        <v>28</v>
      </c>
      <c r="N2276" t="s">
        <v>8705</v>
      </c>
      <c r="O2276" t="s">
        <v>27</v>
      </c>
      <c r="P2276" t="s">
        <v>39</v>
      </c>
      <c r="Q2276" t="s">
        <v>31</v>
      </c>
      <c r="R2276" t="s">
        <v>32</v>
      </c>
      <c r="S2276" t="s">
        <v>28</v>
      </c>
      <c r="T2276" t="s">
        <v>8706</v>
      </c>
      <c r="U2276" t="s">
        <v>8705</v>
      </c>
    </row>
    <row r="2277" spans="1:21" x14ac:dyDescent="0.25">
      <c r="A2277" t="s">
        <v>33</v>
      </c>
      <c r="B2277" t="s">
        <v>34</v>
      </c>
      <c r="C2277">
        <v>200</v>
      </c>
      <c r="D2277">
        <v>1</v>
      </c>
      <c r="E2277">
        <v>0</v>
      </c>
      <c r="F2277" t="s">
        <v>8707</v>
      </c>
      <c r="G2277">
        <v>200</v>
      </c>
      <c r="H2277">
        <v>0</v>
      </c>
      <c r="I2277" t="s">
        <v>24</v>
      </c>
      <c r="J2277" t="s">
        <v>8708</v>
      </c>
      <c r="K2277" t="s">
        <v>384</v>
      </c>
      <c r="L2277" t="s">
        <v>27</v>
      </c>
      <c r="M2277" t="s">
        <v>28</v>
      </c>
      <c r="N2277" t="s">
        <v>8709</v>
      </c>
      <c r="O2277" t="s">
        <v>27</v>
      </c>
      <c r="P2277" t="s">
        <v>39</v>
      </c>
      <c r="Q2277" t="s">
        <v>31</v>
      </c>
      <c r="R2277" t="s">
        <v>32</v>
      </c>
      <c r="S2277" t="s">
        <v>28</v>
      </c>
      <c r="T2277" t="s">
        <v>8710</v>
      </c>
      <c r="U2277" t="s">
        <v>8709</v>
      </c>
    </row>
    <row r="2278" spans="1:21" x14ac:dyDescent="0.25">
      <c r="A2278" t="s">
        <v>21</v>
      </c>
      <c r="B2278" t="s">
        <v>22</v>
      </c>
      <c r="C2278">
        <v>100</v>
      </c>
      <c r="D2278">
        <v>2</v>
      </c>
      <c r="E2278">
        <v>0</v>
      </c>
      <c r="F2278" t="s">
        <v>8711</v>
      </c>
      <c r="G2278">
        <v>200</v>
      </c>
      <c r="H2278">
        <v>0</v>
      </c>
      <c r="I2278" t="s">
        <v>140</v>
      </c>
      <c r="J2278" t="s">
        <v>8712</v>
      </c>
      <c r="K2278" t="s">
        <v>677</v>
      </c>
      <c r="L2278" t="s">
        <v>27</v>
      </c>
      <c r="M2278" t="s">
        <v>28</v>
      </c>
      <c r="N2278" t="s">
        <v>8713</v>
      </c>
      <c r="O2278" t="s">
        <v>27</v>
      </c>
      <c r="P2278" t="s">
        <v>30</v>
      </c>
      <c r="Q2278" t="s">
        <v>31</v>
      </c>
      <c r="R2278" t="s">
        <v>32</v>
      </c>
      <c r="S2278" t="s">
        <v>28</v>
      </c>
      <c r="T2278" t="s">
        <v>8714</v>
      </c>
      <c r="U2278" t="s">
        <v>8715</v>
      </c>
    </row>
    <row r="2279" spans="1:21" x14ac:dyDescent="0.25">
      <c r="A2279" t="s">
        <v>63</v>
      </c>
      <c r="B2279" t="s">
        <v>64</v>
      </c>
      <c r="C2279">
        <v>100</v>
      </c>
      <c r="D2279">
        <v>1</v>
      </c>
      <c r="E2279">
        <v>0</v>
      </c>
      <c r="F2279" t="s">
        <v>8716</v>
      </c>
      <c r="G2279">
        <v>106</v>
      </c>
      <c r="H2279">
        <v>6</v>
      </c>
      <c r="I2279" t="s">
        <v>140</v>
      </c>
      <c r="J2279" t="s">
        <v>8717</v>
      </c>
      <c r="K2279" t="s">
        <v>61</v>
      </c>
      <c r="L2279" t="s">
        <v>27</v>
      </c>
      <c r="M2279" t="s">
        <v>28</v>
      </c>
      <c r="N2279" t="s">
        <v>8718</v>
      </c>
      <c r="O2279" t="s">
        <v>27</v>
      </c>
      <c r="P2279" t="s">
        <v>30</v>
      </c>
      <c r="Q2279" t="s">
        <v>31</v>
      </c>
      <c r="R2279" t="s">
        <v>32</v>
      </c>
      <c r="S2279" t="s">
        <v>28</v>
      </c>
      <c r="T2279" t="s">
        <v>8719</v>
      </c>
      <c r="U2279" t="s">
        <v>8718</v>
      </c>
    </row>
    <row r="2280" spans="1:21" x14ac:dyDescent="0.25">
      <c r="A2280" t="s">
        <v>275</v>
      </c>
      <c r="B2280" t="s">
        <v>276</v>
      </c>
      <c r="C2280">
        <v>150</v>
      </c>
      <c r="D2280">
        <v>1</v>
      </c>
      <c r="E2280">
        <v>0</v>
      </c>
      <c r="F2280" t="s">
        <v>8720</v>
      </c>
      <c r="G2280">
        <v>540</v>
      </c>
      <c r="H2280">
        <v>45</v>
      </c>
      <c r="I2280" t="s">
        <v>24</v>
      </c>
      <c r="J2280" t="s">
        <v>8721</v>
      </c>
      <c r="K2280" t="s">
        <v>8722</v>
      </c>
      <c r="L2280" t="s">
        <v>3861</v>
      </c>
      <c r="M2280" t="s">
        <v>8723</v>
      </c>
      <c r="N2280" t="s">
        <v>8724</v>
      </c>
      <c r="O2280" t="s">
        <v>27</v>
      </c>
      <c r="P2280" t="s">
        <v>48</v>
      </c>
      <c r="Q2280" t="s">
        <v>49</v>
      </c>
      <c r="R2280" t="s">
        <v>50</v>
      </c>
      <c r="S2280" t="s">
        <v>28</v>
      </c>
      <c r="T2280" t="s">
        <v>8725</v>
      </c>
      <c r="U2280" t="s">
        <v>8724</v>
      </c>
    </row>
    <row r="2281" spans="1:21" x14ac:dyDescent="0.25">
      <c r="A2281" t="s">
        <v>275</v>
      </c>
      <c r="B2281" t="s">
        <v>276</v>
      </c>
      <c r="C2281">
        <v>150</v>
      </c>
      <c r="D2281">
        <v>1</v>
      </c>
      <c r="E2281">
        <v>0</v>
      </c>
      <c r="F2281" t="s">
        <v>8720</v>
      </c>
      <c r="G2281">
        <v>540</v>
      </c>
      <c r="H2281">
        <v>45</v>
      </c>
      <c r="I2281" t="s">
        <v>24</v>
      </c>
      <c r="J2281" t="s">
        <v>8721</v>
      </c>
      <c r="K2281" t="s">
        <v>8722</v>
      </c>
      <c r="L2281" t="s">
        <v>3861</v>
      </c>
      <c r="M2281" t="s">
        <v>8723</v>
      </c>
      <c r="N2281" t="s">
        <v>8724</v>
      </c>
      <c r="O2281" t="s">
        <v>27</v>
      </c>
      <c r="P2281" t="s">
        <v>48</v>
      </c>
      <c r="Q2281" t="s">
        <v>49</v>
      </c>
      <c r="R2281" t="s">
        <v>50</v>
      </c>
      <c r="S2281" t="s">
        <v>28</v>
      </c>
      <c r="T2281" t="s">
        <v>8725</v>
      </c>
      <c r="U2281" t="s">
        <v>8724</v>
      </c>
    </row>
    <row r="2282" spans="1:21" x14ac:dyDescent="0.25">
      <c r="A2282" t="s">
        <v>997</v>
      </c>
      <c r="B2282" t="s">
        <v>998</v>
      </c>
      <c r="C2282">
        <v>800</v>
      </c>
      <c r="D2282">
        <v>1</v>
      </c>
      <c r="E2282">
        <v>0</v>
      </c>
      <c r="F2282" t="s">
        <v>8726</v>
      </c>
      <c r="G2282">
        <v>800</v>
      </c>
      <c r="H2282">
        <v>0</v>
      </c>
      <c r="I2282" t="s">
        <v>140</v>
      </c>
      <c r="J2282" t="s">
        <v>8727</v>
      </c>
      <c r="K2282" t="s">
        <v>1198</v>
      </c>
      <c r="L2282" t="s">
        <v>27</v>
      </c>
      <c r="M2282" t="s">
        <v>28</v>
      </c>
      <c r="N2282" t="s">
        <v>8724</v>
      </c>
      <c r="O2282" t="s">
        <v>27</v>
      </c>
      <c r="P2282" t="s">
        <v>30</v>
      </c>
      <c r="Q2282" t="s">
        <v>31</v>
      </c>
      <c r="R2282" t="s">
        <v>32</v>
      </c>
      <c r="S2282" t="s">
        <v>28</v>
      </c>
      <c r="T2282" t="s">
        <v>8728</v>
      </c>
      <c r="U2282" t="s">
        <v>8724</v>
      </c>
    </row>
    <row r="2283" spans="1:21" x14ac:dyDescent="0.25">
      <c r="A2283" t="s">
        <v>33</v>
      </c>
      <c r="B2283" t="s">
        <v>34</v>
      </c>
      <c r="C2283">
        <v>200</v>
      </c>
      <c r="D2283">
        <v>1</v>
      </c>
      <c r="E2283">
        <v>0</v>
      </c>
      <c r="F2283" t="s">
        <v>8729</v>
      </c>
      <c r="G2283">
        <v>200</v>
      </c>
      <c r="H2283">
        <v>0</v>
      </c>
      <c r="I2283" t="s">
        <v>24</v>
      </c>
      <c r="J2283" t="s">
        <v>8730</v>
      </c>
      <c r="K2283" t="s">
        <v>8731</v>
      </c>
      <c r="L2283" t="s">
        <v>27</v>
      </c>
      <c r="M2283" t="s">
        <v>28</v>
      </c>
      <c r="N2283" t="s">
        <v>8732</v>
      </c>
      <c r="O2283" t="s">
        <v>27</v>
      </c>
      <c r="P2283" t="s">
        <v>39</v>
      </c>
      <c r="Q2283" t="s">
        <v>31</v>
      </c>
      <c r="R2283" t="s">
        <v>32</v>
      </c>
      <c r="S2283" t="s">
        <v>28</v>
      </c>
      <c r="T2283" t="s">
        <v>8733</v>
      </c>
      <c r="U2283" t="s">
        <v>8732</v>
      </c>
    </row>
    <row r="2284" spans="1:21" x14ac:dyDescent="0.25">
      <c r="A2284" t="s">
        <v>58</v>
      </c>
      <c r="B2284" t="s">
        <v>103</v>
      </c>
      <c r="C2284">
        <v>88.4</v>
      </c>
      <c r="D2284">
        <v>1</v>
      </c>
      <c r="E2284">
        <v>0</v>
      </c>
      <c r="F2284" t="s">
        <v>8734</v>
      </c>
      <c r="G2284">
        <v>88.4</v>
      </c>
      <c r="H2284">
        <v>0</v>
      </c>
      <c r="I2284" t="s">
        <v>105</v>
      </c>
      <c r="J2284" t="s">
        <v>8735</v>
      </c>
      <c r="K2284" t="s">
        <v>8736</v>
      </c>
      <c r="L2284" t="s">
        <v>5906</v>
      </c>
      <c r="M2284" t="s">
        <v>8737</v>
      </c>
      <c r="N2284" t="s">
        <v>8738</v>
      </c>
      <c r="O2284" t="s">
        <v>27</v>
      </c>
      <c r="P2284" t="s">
        <v>48</v>
      </c>
      <c r="Q2284" t="s">
        <v>49</v>
      </c>
      <c r="R2284" t="s">
        <v>50</v>
      </c>
      <c r="S2284" t="s">
        <v>28</v>
      </c>
      <c r="T2284" t="s">
        <v>8739</v>
      </c>
      <c r="U2284" t="s">
        <v>8738</v>
      </c>
    </row>
    <row r="2285" spans="1:21" x14ac:dyDescent="0.25">
      <c r="A2285" t="s">
        <v>456</v>
      </c>
      <c r="B2285" t="s">
        <v>457</v>
      </c>
      <c r="C2285">
        <v>199</v>
      </c>
      <c r="D2285">
        <v>1</v>
      </c>
      <c r="E2285">
        <v>0</v>
      </c>
      <c r="F2285" t="s">
        <v>8740</v>
      </c>
      <c r="G2285">
        <v>244</v>
      </c>
      <c r="H2285">
        <v>45</v>
      </c>
      <c r="I2285" t="s">
        <v>24</v>
      </c>
      <c r="J2285" t="s">
        <v>8741</v>
      </c>
      <c r="K2285" t="s">
        <v>8742</v>
      </c>
      <c r="L2285" t="s">
        <v>8743</v>
      </c>
      <c r="M2285" t="s">
        <v>1836</v>
      </c>
      <c r="N2285" t="s">
        <v>8744</v>
      </c>
      <c r="O2285" t="s">
        <v>27</v>
      </c>
      <c r="P2285" t="s">
        <v>84</v>
      </c>
      <c r="Q2285" t="s">
        <v>85</v>
      </c>
      <c r="R2285" t="s">
        <v>86</v>
      </c>
      <c r="S2285" t="s">
        <v>28</v>
      </c>
      <c r="T2285" t="s">
        <v>8745</v>
      </c>
      <c r="U2285" t="s">
        <v>8744</v>
      </c>
    </row>
    <row r="2286" spans="1:21" x14ac:dyDescent="0.25">
      <c r="A2286" t="s">
        <v>456</v>
      </c>
      <c r="B2286" t="s">
        <v>457</v>
      </c>
      <c r="C2286">
        <v>199</v>
      </c>
      <c r="D2286">
        <v>1</v>
      </c>
      <c r="E2286">
        <v>0</v>
      </c>
      <c r="F2286" t="s">
        <v>8746</v>
      </c>
      <c r="G2286">
        <v>244</v>
      </c>
      <c r="H2286">
        <v>45</v>
      </c>
      <c r="I2286" t="s">
        <v>24</v>
      </c>
      <c r="J2286" t="s">
        <v>8747</v>
      </c>
      <c r="K2286" t="s">
        <v>8748</v>
      </c>
      <c r="L2286" t="s">
        <v>1900</v>
      </c>
      <c r="M2286" t="s">
        <v>975</v>
      </c>
      <c r="N2286" t="s">
        <v>8749</v>
      </c>
      <c r="O2286" t="s">
        <v>27</v>
      </c>
      <c r="P2286" t="s">
        <v>193</v>
      </c>
      <c r="Q2286" t="s">
        <v>85</v>
      </c>
      <c r="R2286" t="s">
        <v>86</v>
      </c>
      <c r="S2286" t="s">
        <v>28</v>
      </c>
      <c r="T2286" t="s">
        <v>8750</v>
      </c>
      <c r="U2286" t="s">
        <v>8751</v>
      </c>
    </row>
    <row r="2287" spans="1:21" x14ac:dyDescent="0.25">
      <c r="A2287" t="s">
        <v>63</v>
      </c>
      <c r="B2287" t="s">
        <v>64</v>
      </c>
      <c r="C2287">
        <v>100</v>
      </c>
      <c r="D2287">
        <v>1</v>
      </c>
      <c r="E2287">
        <v>0</v>
      </c>
      <c r="F2287" t="s">
        <v>8752</v>
      </c>
      <c r="G2287">
        <v>200</v>
      </c>
      <c r="H2287">
        <v>0</v>
      </c>
      <c r="I2287" t="s">
        <v>24</v>
      </c>
      <c r="J2287" t="s">
        <v>8753</v>
      </c>
      <c r="K2287" t="s">
        <v>67</v>
      </c>
      <c r="L2287" t="s">
        <v>27</v>
      </c>
      <c r="M2287" t="s">
        <v>28</v>
      </c>
      <c r="N2287" t="s">
        <v>8754</v>
      </c>
      <c r="O2287" t="s">
        <v>27</v>
      </c>
      <c r="P2287" t="s">
        <v>39</v>
      </c>
      <c r="Q2287" t="s">
        <v>31</v>
      </c>
      <c r="R2287" t="s">
        <v>32</v>
      </c>
      <c r="S2287" t="s">
        <v>28</v>
      </c>
      <c r="T2287" t="s">
        <v>8755</v>
      </c>
      <c r="U2287" t="s">
        <v>8754</v>
      </c>
    </row>
    <row r="2288" spans="1:21" x14ac:dyDescent="0.25">
      <c r="A2288" t="s">
        <v>134</v>
      </c>
      <c r="B2288" t="s">
        <v>64</v>
      </c>
      <c r="C2288">
        <v>100</v>
      </c>
      <c r="D2288">
        <v>1</v>
      </c>
      <c r="E2288">
        <v>0</v>
      </c>
      <c r="F2288" t="s">
        <v>8752</v>
      </c>
      <c r="G2288">
        <v>200</v>
      </c>
      <c r="H2288">
        <v>0</v>
      </c>
      <c r="I2288" t="s">
        <v>24</v>
      </c>
      <c r="J2288" t="s">
        <v>8753</v>
      </c>
      <c r="K2288" t="s">
        <v>67</v>
      </c>
      <c r="L2288" t="s">
        <v>27</v>
      </c>
      <c r="M2288" t="s">
        <v>28</v>
      </c>
      <c r="N2288" t="s">
        <v>8754</v>
      </c>
      <c r="O2288" t="s">
        <v>27</v>
      </c>
      <c r="P2288" t="s">
        <v>39</v>
      </c>
      <c r="Q2288" t="s">
        <v>31</v>
      </c>
      <c r="R2288" t="s">
        <v>32</v>
      </c>
      <c r="S2288" t="s">
        <v>28</v>
      </c>
      <c r="T2288" t="s">
        <v>8755</v>
      </c>
      <c r="U2288" t="s">
        <v>8754</v>
      </c>
    </row>
    <row r="2289" spans="1:21" x14ac:dyDescent="0.25">
      <c r="A2289" t="s">
        <v>63</v>
      </c>
      <c r="B2289" t="s">
        <v>64</v>
      </c>
      <c r="C2289">
        <v>100</v>
      </c>
      <c r="D2289">
        <v>1</v>
      </c>
      <c r="E2289">
        <v>0</v>
      </c>
      <c r="F2289" t="s">
        <v>8756</v>
      </c>
      <c r="G2289">
        <v>200</v>
      </c>
      <c r="H2289">
        <v>0</v>
      </c>
      <c r="I2289" t="s">
        <v>140</v>
      </c>
      <c r="J2289" t="s">
        <v>8757</v>
      </c>
      <c r="K2289" t="s">
        <v>1797</v>
      </c>
      <c r="L2289" t="s">
        <v>27</v>
      </c>
      <c r="M2289" t="s">
        <v>28</v>
      </c>
      <c r="N2289" t="s">
        <v>8758</v>
      </c>
      <c r="O2289" t="s">
        <v>27</v>
      </c>
      <c r="P2289" t="s">
        <v>369</v>
      </c>
      <c r="Q2289" t="s">
        <v>31</v>
      </c>
      <c r="R2289" t="s">
        <v>57</v>
      </c>
      <c r="S2289" t="s">
        <v>28</v>
      </c>
      <c r="T2289" t="s">
        <v>8759</v>
      </c>
      <c r="U2289" t="s">
        <v>8760</v>
      </c>
    </row>
    <row r="2290" spans="1:21" x14ac:dyDescent="0.25">
      <c r="A2290" t="s">
        <v>134</v>
      </c>
      <c r="B2290" t="s">
        <v>64</v>
      </c>
      <c r="C2290">
        <v>100</v>
      </c>
      <c r="D2290">
        <v>1</v>
      </c>
      <c r="E2290">
        <v>0</v>
      </c>
      <c r="F2290" t="s">
        <v>8756</v>
      </c>
      <c r="G2290">
        <v>200</v>
      </c>
      <c r="H2290">
        <v>0</v>
      </c>
      <c r="I2290" t="s">
        <v>140</v>
      </c>
      <c r="J2290" t="s">
        <v>8757</v>
      </c>
      <c r="K2290" t="s">
        <v>1797</v>
      </c>
      <c r="L2290" t="s">
        <v>27</v>
      </c>
      <c r="M2290" t="s">
        <v>28</v>
      </c>
      <c r="N2290" t="s">
        <v>8758</v>
      </c>
      <c r="O2290" t="s">
        <v>27</v>
      </c>
      <c r="P2290" t="s">
        <v>369</v>
      </c>
      <c r="Q2290" t="s">
        <v>31</v>
      </c>
      <c r="R2290" t="s">
        <v>57</v>
      </c>
      <c r="S2290" t="s">
        <v>28</v>
      </c>
      <c r="T2290" t="s">
        <v>8759</v>
      </c>
      <c r="U2290" t="s">
        <v>8760</v>
      </c>
    </row>
    <row r="2291" spans="1:21" x14ac:dyDescent="0.25">
      <c r="A2291" t="s">
        <v>134</v>
      </c>
      <c r="B2291" t="s">
        <v>64</v>
      </c>
      <c r="C2291">
        <v>100</v>
      </c>
      <c r="D2291">
        <v>1</v>
      </c>
      <c r="E2291">
        <v>0</v>
      </c>
      <c r="F2291" t="s">
        <v>8761</v>
      </c>
      <c r="G2291">
        <v>106</v>
      </c>
      <c r="H2291">
        <v>6</v>
      </c>
      <c r="I2291" t="s">
        <v>140</v>
      </c>
      <c r="J2291" t="s">
        <v>8762</v>
      </c>
      <c r="K2291" t="s">
        <v>89</v>
      </c>
      <c r="L2291" t="s">
        <v>27</v>
      </c>
      <c r="M2291" t="s">
        <v>28</v>
      </c>
      <c r="N2291" t="s">
        <v>8760</v>
      </c>
      <c r="O2291" t="s">
        <v>27</v>
      </c>
      <c r="P2291" t="s">
        <v>30</v>
      </c>
      <c r="Q2291" t="s">
        <v>31</v>
      </c>
      <c r="R2291" t="s">
        <v>32</v>
      </c>
      <c r="S2291" t="s">
        <v>28</v>
      </c>
      <c r="T2291" t="s">
        <v>8763</v>
      </c>
      <c r="U2291" t="s">
        <v>8760</v>
      </c>
    </row>
    <row r="2292" spans="1:21" x14ac:dyDescent="0.25">
      <c r="A2292" t="s">
        <v>21</v>
      </c>
      <c r="B2292" t="s">
        <v>22</v>
      </c>
      <c r="C2292">
        <v>100</v>
      </c>
      <c r="D2292">
        <v>1</v>
      </c>
      <c r="E2292">
        <v>0</v>
      </c>
      <c r="F2292" t="s">
        <v>8764</v>
      </c>
      <c r="G2292">
        <v>106</v>
      </c>
      <c r="H2292">
        <v>6</v>
      </c>
      <c r="I2292" t="s">
        <v>140</v>
      </c>
      <c r="J2292" t="s">
        <v>8765</v>
      </c>
      <c r="K2292" t="s">
        <v>250</v>
      </c>
      <c r="L2292" t="s">
        <v>27</v>
      </c>
      <c r="M2292" t="s">
        <v>28</v>
      </c>
      <c r="N2292" t="s">
        <v>8766</v>
      </c>
      <c r="O2292" t="s">
        <v>27</v>
      </c>
      <c r="P2292" t="s">
        <v>30</v>
      </c>
      <c r="Q2292" t="s">
        <v>31</v>
      </c>
      <c r="R2292" t="s">
        <v>32</v>
      </c>
      <c r="S2292" t="s">
        <v>28</v>
      </c>
      <c r="T2292" t="s">
        <v>8767</v>
      </c>
      <c r="U2292" t="s">
        <v>8766</v>
      </c>
    </row>
    <row r="2293" spans="1:21" x14ac:dyDescent="0.25">
      <c r="A2293" t="s">
        <v>33</v>
      </c>
      <c r="B2293" t="s">
        <v>34</v>
      </c>
      <c r="C2293">
        <v>200</v>
      </c>
      <c r="D2293">
        <v>1</v>
      </c>
      <c r="E2293">
        <v>0</v>
      </c>
      <c r="F2293" t="s">
        <v>8768</v>
      </c>
      <c r="G2293">
        <v>200</v>
      </c>
      <c r="H2293">
        <v>0</v>
      </c>
      <c r="I2293" t="s">
        <v>140</v>
      </c>
      <c r="J2293" t="s">
        <v>8769</v>
      </c>
      <c r="K2293" t="s">
        <v>241</v>
      </c>
      <c r="L2293" t="s">
        <v>27</v>
      </c>
      <c r="M2293" t="s">
        <v>28</v>
      </c>
      <c r="N2293" t="s">
        <v>8770</v>
      </c>
      <c r="O2293" t="s">
        <v>27</v>
      </c>
      <c r="P2293" t="s">
        <v>30</v>
      </c>
      <c r="Q2293" t="s">
        <v>31</v>
      </c>
      <c r="R2293" t="s">
        <v>32</v>
      </c>
      <c r="S2293" t="s">
        <v>8771</v>
      </c>
      <c r="T2293" t="s">
        <v>8772</v>
      </c>
      <c r="U2293" t="s">
        <v>8770</v>
      </c>
    </row>
    <row r="2294" spans="1:21" x14ac:dyDescent="0.25">
      <c r="A2294" t="s">
        <v>70</v>
      </c>
      <c r="B2294" t="s">
        <v>70</v>
      </c>
      <c r="C2294">
        <v>330</v>
      </c>
      <c r="D2294">
        <v>1</v>
      </c>
      <c r="E2294">
        <v>0</v>
      </c>
      <c r="F2294" t="s">
        <v>8773</v>
      </c>
      <c r="G2294">
        <v>330</v>
      </c>
      <c r="H2294">
        <v>0</v>
      </c>
      <c r="I2294" t="s">
        <v>445</v>
      </c>
      <c r="J2294" t="s">
        <v>8774</v>
      </c>
      <c r="K2294" t="s">
        <v>711</v>
      </c>
      <c r="L2294" t="s">
        <v>27</v>
      </c>
      <c r="M2294" t="s">
        <v>28</v>
      </c>
      <c r="N2294" t="s">
        <v>8775</v>
      </c>
      <c r="O2294" t="s">
        <v>27</v>
      </c>
      <c r="P2294" t="s">
        <v>39</v>
      </c>
      <c r="Q2294" t="s">
        <v>31</v>
      </c>
      <c r="R2294" t="s">
        <v>32</v>
      </c>
      <c r="S2294" t="s">
        <v>28</v>
      </c>
      <c r="T2294" t="s">
        <v>8776</v>
      </c>
      <c r="U2294" t="s">
        <v>8770</v>
      </c>
    </row>
    <row r="2295" spans="1:21" x14ac:dyDescent="0.25">
      <c r="A2295" t="s">
        <v>456</v>
      </c>
      <c r="B2295" t="s">
        <v>457</v>
      </c>
      <c r="C2295">
        <v>197</v>
      </c>
      <c r="D2295">
        <v>2</v>
      </c>
      <c r="E2295">
        <v>0</v>
      </c>
      <c r="F2295" t="s">
        <v>8777</v>
      </c>
      <c r="G2295">
        <v>458</v>
      </c>
      <c r="H2295">
        <v>64</v>
      </c>
      <c r="I2295" t="s">
        <v>445</v>
      </c>
      <c r="J2295" t="s">
        <v>8778</v>
      </c>
      <c r="K2295" t="s">
        <v>8779</v>
      </c>
      <c r="L2295" t="s">
        <v>640</v>
      </c>
      <c r="M2295" t="s">
        <v>3687</v>
      </c>
      <c r="N2295" t="s">
        <v>8780</v>
      </c>
      <c r="O2295" t="s">
        <v>27</v>
      </c>
      <c r="P2295" t="s">
        <v>193</v>
      </c>
      <c r="Q2295" t="s">
        <v>85</v>
      </c>
      <c r="R2295" t="s">
        <v>86</v>
      </c>
      <c r="S2295" t="s">
        <v>28</v>
      </c>
      <c r="T2295" t="s">
        <v>8781</v>
      </c>
      <c r="U2295" t="s">
        <v>8782</v>
      </c>
    </row>
    <row r="2296" spans="1:21" x14ac:dyDescent="0.25">
      <c r="A2296" t="s">
        <v>63</v>
      </c>
      <c r="B2296" t="s">
        <v>64</v>
      </c>
      <c r="C2296">
        <v>100</v>
      </c>
      <c r="D2296">
        <v>1</v>
      </c>
      <c r="E2296">
        <v>0</v>
      </c>
      <c r="F2296" t="s">
        <v>8783</v>
      </c>
      <c r="G2296">
        <v>145</v>
      </c>
      <c r="H2296">
        <v>45</v>
      </c>
      <c r="I2296" t="s">
        <v>445</v>
      </c>
      <c r="J2296" t="s">
        <v>8784</v>
      </c>
      <c r="K2296" t="s">
        <v>797</v>
      </c>
      <c r="L2296" t="s">
        <v>27</v>
      </c>
      <c r="M2296" t="s">
        <v>28</v>
      </c>
      <c r="N2296" t="s">
        <v>8785</v>
      </c>
      <c r="O2296" t="s">
        <v>27</v>
      </c>
      <c r="P2296" t="s">
        <v>56</v>
      </c>
      <c r="Q2296" t="s">
        <v>31</v>
      </c>
      <c r="R2296" t="s">
        <v>57</v>
      </c>
      <c r="S2296" t="s">
        <v>28</v>
      </c>
      <c r="T2296" t="s">
        <v>8786</v>
      </c>
      <c r="U2296" t="s">
        <v>8785</v>
      </c>
    </row>
    <row r="2297" spans="1:21" x14ac:dyDescent="0.25">
      <c r="A2297" t="s">
        <v>58</v>
      </c>
      <c r="B2297" t="s">
        <v>58</v>
      </c>
      <c r="C2297">
        <v>100</v>
      </c>
      <c r="D2297">
        <v>1</v>
      </c>
      <c r="E2297">
        <v>0</v>
      </c>
      <c r="F2297" t="s">
        <v>8787</v>
      </c>
      <c r="G2297">
        <v>195</v>
      </c>
      <c r="H2297">
        <v>0</v>
      </c>
      <c r="I2297" t="s">
        <v>445</v>
      </c>
      <c r="J2297" t="s">
        <v>8788</v>
      </c>
      <c r="K2297" t="s">
        <v>237</v>
      </c>
      <c r="L2297" t="s">
        <v>27</v>
      </c>
      <c r="M2297" t="s">
        <v>28</v>
      </c>
      <c r="N2297" t="s">
        <v>8785</v>
      </c>
      <c r="O2297" t="s">
        <v>27</v>
      </c>
      <c r="P2297" t="s">
        <v>39</v>
      </c>
      <c r="Q2297" t="s">
        <v>31</v>
      </c>
      <c r="R2297" t="s">
        <v>32</v>
      </c>
      <c r="S2297" t="s">
        <v>28</v>
      </c>
      <c r="T2297" t="s">
        <v>8789</v>
      </c>
      <c r="U2297" t="s">
        <v>8785</v>
      </c>
    </row>
    <row r="2298" spans="1:21" x14ac:dyDescent="0.25">
      <c r="A2298" t="s">
        <v>134</v>
      </c>
      <c r="B2298" t="s">
        <v>64</v>
      </c>
      <c r="C2298">
        <v>100</v>
      </c>
      <c r="D2298">
        <v>1</v>
      </c>
      <c r="E2298">
        <v>0</v>
      </c>
      <c r="F2298" t="s">
        <v>8790</v>
      </c>
      <c r="G2298">
        <v>145</v>
      </c>
      <c r="H2298">
        <v>45</v>
      </c>
      <c r="I2298" t="s">
        <v>140</v>
      </c>
      <c r="J2298" t="s">
        <v>8791</v>
      </c>
      <c r="K2298" t="s">
        <v>237</v>
      </c>
      <c r="L2298" t="s">
        <v>27</v>
      </c>
      <c r="M2298" t="s">
        <v>28</v>
      </c>
      <c r="N2298" t="s">
        <v>8792</v>
      </c>
      <c r="O2298" t="s">
        <v>27</v>
      </c>
      <c r="P2298" t="s">
        <v>369</v>
      </c>
      <c r="Q2298" t="s">
        <v>31</v>
      </c>
      <c r="R2298" t="s">
        <v>57</v>
      </c>
      <c r="S2298" t="s">
        <v>28</v>
      </c>
      <c r="T2298" t="s">
        <v>8793</v>
      </c>
      <c r="U2298" t="s">
        <v>8792</v>
      </c>
    </row>
    <row r="2299" spans="1:21" x14ac:dyDescent="0.25">
      <c r="A2299" t="s">
        <v>134</v>
      </c>
      <c r="B2299" t="s">
        <v>64</v>
      </c>
      <c r="C2299">
        <v>100</v>
      </c>
      <c r="D2299">
        <v>1</v>
      </c>
      <c r="E2299">
        <v>0</v>
      </c>
      <c r="F2299" t="s">
        <v>8794</v>
      </c>
      <c r="G2299">
        <v>145</v>
      </c>
      <c r="H2299">
        <v>45</v>
      </c>
      <c r="I2299" t="s">
        <v>140</v>
      </c>
      <c r="J2299" t="s">
        <v>8795</v>
      </c>
      <c r="K2299" t="s">
        <v>1772</v>
      </c>
      <c r="L2299" t="s">
        <v>27</v>
      </c>
      <c r="M2299" t="s">
        <v>28</v>
      </c>
      <c r="N2299" t="s">
        <v>8792</v>
      </c>
      <c r="O2299" t="s">
        <v>27</v>
      </c>
      <c r="P2299" t="s">
        <v>369</v>
      </c>
      <c r="Q2299" t="s">
        <v>31</v>
      </c>
      <c r="R2299" t="s">
        <v>57</v>
      </c>
      <c r="S2299" t="s">
        <v>28</v>
      </c>
      <c r="T2299" t="s">
        <v>8796</v>
      </c>
      <c r="U2299" t="s">
        <v>8797</v>
      </c>
    </row>
    <row r="2300" spans="1:21" x14ac:dyDescent="0.25">
      <c r="A2300" t="s">
        <v>143</v>
      </c>
      <c r="B2300" t="s">
        <v>144</v>
      </c>
      <c r="C2300">
        <v>200</v>
      </c>
      <c r="D2300">
        <v>1</v>
      </c>
      <c r="E2300">
        <v>0</v>
      </c>
      <c r="F2300" t="s">
        <v>8798</v>
      </c>
      <c r="G2300">
        <v>200</v>
      </c>
      <c r="H2300">
        <v>0</v>
      </c>
      <c r="I2300" t="s">
        <v>445</v>
      </c>
      <c r="J2300" t="s">
        <v>8799</v>
      </c>
      <c r="K2300" t="s">
        <v>37</v>
      </c>
      <c r="L2300" t="s">
        <v>27</v>
      </c>
      <c r="M2300" t="s">
        <v>28</v>
      </c>
      <c r="N2300" t="s">
        <v>8800</v>
      </c>
      <c r="O2300" t="s">
        <v>27</v>
      </c>
      <c r="P2300" t="s">
        <v>39</v>
      </c>
      <c r="Q2300" t="s">
        <v>31</v>
      </c>
      <c r="R2300" t="s">
        <v>32</v>
      </c>
      <c r="S2300" t="s">
        <v>28</v>
      </c>
      <c r="T2300" t="s">
        <v>8801</v>
      </c>
      <c r="U2300" t="s">
        <v>8800</v>
      </c>
    </row>
    <row r="2301" spans="1:21" x14ac:dyDescent="0.25">
      <c r="A2301" t="s">
        <v>143</v>
      </c>
      <c r="B2301" t="s">
        <v>144</v>
      </c>
      <c r="C2301">
        <v>200</v>
      </c>
      <c r="D2301">
        <v>1</v>
      </c>
      <c r="E2301">
        <v>0</v>
      </c>
      <c r="F2301" t="s">
        <v>8802</v>
      </c>
      <c r="G2301">
        <v>200</v>
      </c>
      <c r="H2301">
        <v>0</v>
      </c>
      <c r="I2301" t="s">
        <v>445</v>
      </c>
      <c r="J2301" t="s">
        <v>8803</v>
      </c>
      <c r="K2301" t="s">
        <v>753</v>
      </c>
      <c r="L2301" t="s">
        <v>27</v>
      </c>
      <c r="M2301" t="s">
        <v>28</v>
      </c>
      <c r="N2301" t="s">
        <v>8800</v>
      </c>
      <c r="O2301" t="s">
        <v>27</v>
      </c>
      <c r="P2301" t="s">
        <v>56</v>
      </c>
      <c r="Q2301" t="s">
        <v>31</v>
      </c>
      <c r="R2301" t="s">
        <v>57</v>
      </c>
      <c r="S2301" t="s">
        <v>28</v>
      </c>
      <c r="T2301" t="s">
        <v>8804</v>
      </c>
      <c r="U2301" t="s">
        <v>8800</v>
      </c>
    </row>
    <row r="2302" spans="1:21" x14ac:dyDescent="0.25">
      <c r="A2302" t="s">
        <v>456</v>
      </c>
      <c r="B2302" t="s">
        <v>457</v>
      </c>
      <c r="C2302">
        <v>250</v>
      </c>
      <c r="D2302">
        <v>2</v>
      </c>
      <c r="E2302">
        <v>0</v>
      </c>
      <c r="F2302" t="s">
        <v>8805</v>
      </c>
      <c r="G2302">
        <v>500</v>
      </c>
      <c r="H2302">
        <v>0</v>
      </c>
      <c r="I2302" t="s">
        <v>140</v>
      </c>
      <c r="J2302" t="s">
        <v>8806</v>
      </c>
      <c r="K2302" t="s">
        <v>919</v>
      </c>
      <c r="L2302" t="s">
        <v>27</v>
      </c>
      <c r="M2302" t="s">
        <v>28</v>
      </c>
      <c r="N2302" t="s">
        <v>8807</v>
      </c>
      <c r="O2302" t="s">
        <v>27</v>
      </c>
      <c r="P2302" t="s">
        <v>369</v>
      </c>
      <c r="Q2302" t="s">
        <v>31</v>
      </c>
      <c r="R2302" t="s">
        <v>57</v>
      </c>
      <c r="S2302" t="s">
        <v>28</v>
      </c>
      <c r="T2302" t="s">
        <v>8808</v>
      </c>
      <c r="U2302" t="s">
        <v>8809</v>
      </c>
    </row>
    <row r="2303" spans="1:21" x14ac:dyDescent="0.25">
      <c r="A2303" t="s">
        <v>58</v>
      </c>
      <c r="B2303" t="s">
        <v>103</v>
      </c>
      <c r="C2303">
        <v>84</v>
      </c>
      <c r="D2303">
        <v>1</v>
      </c>
      <c r="E2303">
        <v>0</v>
      </c>
      <c r="F2303" t="s">
        <v>8810</v>
      </c>
      <c r="G2303">
        <v>89</v>
      </c>
      <c r="H2303">
        <v>5</v>
      </c>
      <c r="I2303" t="s">
        <v>105</v>
      </c>
      <c r="J2303" t="s">
        <v>8811</v>
      </c>
      <c r="K2303" t="s">
        <v>8812</v>
      </c>
      <c r="L2303" t="s">
        <v>3784</v>
      </c>
      <c r="M2303" t="s">
        <v>8813</v>
      </c>
      <c r="N2303" t="s">
        <v>8814</v>
      </c>
      <c r="O2303" t="s">
        <v>27</v>
      </c>
      <c r="P2303" t="s">
        <v>48</v>
      </c>
      <c r="Q2303" t="s">
        <v>49</v>
      </c>
      <c r="R2303" t="s">
        <v>50</v>
      </c>
      <c r="S2303" t="s">
        <v>28</v>
      </c>
      <c r="T2303" t="s">
        <v>8815</v>
      </c>
      <c r="U2303" t="s">
        <v>8814</v>
      </c>
    </row>
    <row r="2304" spans="1:21" x14ac:dyDescent="0.25">
      <c r="A2304" t="s">
        <v>33</v>
      </c>
      <c r="B2304" t="s">
        <v>34</v>
      </c>
      <c r="C2304">
        <v>145</v>
      </c>
      <c r="D2304">
        <v>1</v>
      </c>
      <c r="E2304">
        <v>0</v>
      </c>
      <c r="F2304" t="s">
        <v>8816</v>
      </c>
      <c r="G2304">
        <v>150</v>
      </c>
      <c r="H2304">
        <v>5</v>
      </c>
      <c r="I2304" t="s">
        <v>24</v>
      </c>
      <c r="J2304" t="s">
        <v>8817</v>
      </c>
      <c r="K2304" t="s">
        <v>8818</v>
      </c>
      <c r="L2304" t="s">
        <v>1707</v>
      </c>
      <c r="M2304" t="s">
        <v>8819</v>
      </c>
      <c r="N2304" t="s">
        <v>8820</v>
      </c>
      <c r="O2304" t="s">
        <v>27</v>
      </c>
      <c r="P2304" t="s">
        <v>48</v>
      </c>
      <c r="Q2304" t="s">
        <v>49</v>
      </c>
      <c r="R2304" t="s">
        <v>50</v>
      </c>
      <c r="S2304" t="s">
        <v>28</v>
      </c>
      <c r="T2304" t="s">
        <v>8821</v>
      </c>
      <c r="U2304" t="s">
        <v>8814</v>
      </c>
    </row>
    <row r="2305" spans="1:21" x14ac:dyDescent="0.25">
      <c r="A2305" t="s">
        <v>70</v>
      </c>
      <c r="B2305" t="s">
        <v>70</v>
      </c>
      <c r="C2305">
        <v>330</v>
      </c>
      <c r="D2305">
        <v>1</v>
      </c>
      <c r="E2305">
        <v>0</v>
      </c>
      <c r="F2305" t="s">
        <v>8822</v>
      </c>
      <c r="G2305">
        <v>330</v>
      </c>
      <c r="H2305">
        <v>0</v>
      </c>
      <c r="I2305" t="s">
        <v>24</v>
      </c>
      <c r="J2305" t="s">
        <v>8823</v>
      </c>
      <c r="K2305" t="s">
        <v>611</v>
      </c>
      <c r="L2305" t="s">
        <v>27</v>
      </c>
      <c r="M2305" t="s">
        <v>28</v>
      </c>
      <c r="N2305" t="s">
        <v>8824</v>
      </c>
      <c r="O2305" t="s">
        <v>27</v>
      </c>
      <c r="P2305" t="s">
        <v>56</v>
      </c>
      <c r="Q2305" t="s">
        <v>31</v>
      </c>
      <c r="R2305" t="s">
        <v>57</v>
      </c>
      <c r="S2305" t="s">
        <v>28</v>
      </c>
      <c r="T2305" t="s">
        <v>8825</v>
      </c>
      <c r="U2305" t="s">
        <v>8826</v>
      </c>
    </row>
    <row r="2306" spans="1:21" x14ac:dyDescent="0.25">
      <c r="A2306" t="s">
        <v>134</v>
      </c>
      <c r="B2306" t="s">
        <v>64</v>
      </c>
      <c r="C2306">
        <v>100</v>
      </c>
      <c r="D2306">
        <v>2</v>
      </c>
      <c r="E2306">
        <v>0</v>
      </c>
      <c r="F2306" t="s">
        <v>8827</v>
      </c>
      <c r="G2306">
        <v>200</v>
      </c>
      <c r="H2306">
        <v>0</v>
      </c>
      <c r="I2306" t="s">
        <v>445</v>
      </c>
      <c r="J2306" t="s">
        <v>8828</v>
      </c>
      <c r="K2306" t="s">
        <v>325</v>
      </c>
      <c r="L2306" t="s">
        <v>27</v>
      </c>
      <c r="M2306" t="s">
        <v>28</v>
      </c>
      <c r="N2306" t="s">
        <v>8829</v>
      </c>
      <c r="O2306" t="s">
        <v>27</v>
      </c>
      <c r="P2306" t="s">
        <v>39</v>
      </c>
      <c r="Q2306" t="s">
        <v>31</v>
      </c>
      <c r="R2306" t="s">
        <v>32</v>
      </c>
      <c r="S2306" t="s">
        <v>28</v>
      </c>
      <c r="T2306" t="s">
        <v>8830</v>
      </c>
      <c r="U2306" t="s">
        <v>8829</v>
      </c>
    </row>
    <row r="2307" spans="1:21" x14ac:dyDescent="0.25">
      <c r="A2307" t="s">
        <v>997</v>
      </c>
      <c r="B2307" t="s">
        <v>998</v>
      </c>
      <c r="C2307">
        <v>800</v>
      </c>
      <c r="D2307">
        <v>1</v>
      </c>
      <c r="E2307">
        <v>0</v>
      </c>
      <c r="F2307" t="s">
        <v>8831</v>
      </c>
      <c r="G2307">
        <v>800</v>
      </c>
      <c r="H2307">
        <v>0</v>
      </c>
      <c r="I2307" t="s">
        <v>24</v>
      </c>
      <c r="J2307" t="s">
        <v>8832</v>
      </c>
      <c r="K2307" t="s">
        <v>89</v>
      </c>
      <c r="L2307" t="s">
        <v>27</v>
      </c>
      <c r="M2307" t="s">
        <v>28</v>
      </c>
      <c r="N2307" t="s">
        <v>8833</v>
      </c>
      <c r="O2307" t="s">
        <v>27</v>
      </c>
      <c r="P2307" t="s">
        <v>39</v>
      </c>
      <c r="Q2307" t="s">
        <v>31</v>
      </c>
      <c r="R2307" t="s">
        <v>32</v>
      </c>
      <c r="S2307" t="s">
        <v>28</v>
      </c>
      <c r="T2307" t="s">
        <v>8834</v>
      </c>
      <c r="U2307" t="s">
        <v>8833</v>
      </c>
    </row>
    <row r="2308" spans="1:21" x14ac:dyDescent="0.25">
      <c r="A2308" t="s">
        <v>63</v>
      </c>
      <c r="B2308" t="s">
        <v>64</v>
      </c>
      <c r="C2308">
        <v>100</v>
      </c>
      <c r="D2308">
        <v>1</v>
      </c>
      <c r="E2308">
        <v>0</v>
      </c>
      <c r="F2308" t="s">
        <v>8835</v>
      </c>
      <c r="G2308">
        <v>100</v>
      </c>
      <c r="H2308">
        <v>0</v>
      </c>
      <c r="I2308" t="s">
        <v>140</v>
      </c>
      <c r="J2308" t="s">
        <v>8836</v>
      </c>
      <c r="K2308" t="s">
        <v>342</v>
      </c>
      <c r="L2308" t="s">
        <v>27</v>
      </c>
      <c r="M2308" t="s">
        <v>28</v>
      </c>
      <c r="N2308" t="s">
        <v>8837</v>
      </c>
      <c r="O2308" t="s">
        <v>27</v>
      </c>
      <c r="P2308" t="s">
        <v>30</v>
      </c>
      <c r="Q2308" t="s">
        <v>31</v>
      </c>
      <c r="R2308" t="s">
        <v>32</v>
      </c>
      <c r="S2308" t="s">
        <v>28</v>
      </c>
      <c r="T2308" t="s">
        <v>8838</v>
      </c>
      <c r="U2308" t="s">
        <v>8839</v>
      </c>
    </row>
    <row r="2309" spans="1:21" x14ac:dyDescent="0.25">
      <c r="A2309" t="s">
        <v>21</v>
      </c>
      <c r="B2309" t="s">
        <v>22</v>
      </c>
      <c r="C2309">
        <v>100</v>
      </c>
      <c r="D2309">
        <v>1</v>
      </c>
      <c r="E2309">
        <v>0</v>
      </c>
      <c r="F2309" t="s">
        <v>8840</v>
      </c>
      <c r="G2309">
        <v>106</v>
      </c>
      <c r="H2309">
        <v>6</v>
      </c>
      <c r="I2309" t="s">
        <v>140</v>
      </c>
      <c r="J2309" t="s">
        <v>8841</v>
      </c>
      <c r="K2309" t="s">
        <v>358</v>
      </c>
      <c r="L2309" t="s">
        <v>27</v>
      </c>
      <c r="M2309" t="s">
        <v>28</v>
      </c>
      <c r="N2309" t="s">
        <v>8837</v>
      </c>
      <c r="O2309" t="s">
        <v>27</v>
      </c>
      <c r="P2309" t="s">
        <v>30</v>
      </c>
      <c r="Q2309" t="s">
        <v>31</v>
      </c>
      <c r="R2309" t="s">
        <v>32</v>
      </c>
      <c r="S2309" t="s">
        <v>28</v>
      </c>
      <c r="T2309" t="s">
        <v>8842</v>
      </c>
      <c r="U2309" t="s">
        <v>8837</v>
      </c>
    </row>
    <row r="2310" spans="1:21" x14ac:dyDescent="0.25">
      <c r="A2310" t="s">
        <v>58</v>
      </c>
      <c r="B2310" t="s">
        <v>103</v>
      </c>
      <c r="C2310">
        <v>84</v>
      </c>
      <c r="D2310">
        <v>1</v>
      </c>
      <c r="E2310">
        <v>0</v>
      </c>
      <c r="F2310" t="s">
        <v>8843</v>
      </c>
      <c r="G2310">
        <v>89</v>
      </c>
      <c r="H2310">
        <v>5</v>
      </c>
      <c r="I2310" t="s">
        <v>105</v>
      </c>
      <c r="J2310" t="s">
        <v>8844</v>
      </c>
      <c r="K2310" t="s">
        <v>8845</v>
      </c>
      <c r="L2310" t="s">
        <v>5918</v>
      </c>
      <c r="M2310" t="s">
        <v>8846</v>
      </c>
      <c r="N2310" t="s">
        <v>8837</v>
      </c>
      <c r="O2310" t="s">
        <v>27</v>
      </c>
      <c r="P2310" t="s">
        <v>48</v>
      </c>
      <c r="Q2310" t="s">
        <v>49</v>
      </c>
      <c r="R2310" t="s">
        <v>50</v>
      </c>
      <c r="S2310" t="s">
        <v>28</v>
      </c>
      <c r="T2310" t="s">
        <v>8847</v>
      </c>
      <c r="U2310" t="s">
        <v>8837</v>
      </c>
    </row>
    <row r="2311" spans="1:21" x14ac:dyDescent="0.25">
      <c r="A2311" t="s">
        <v>21</v>
      </c>
      <c r="B2311" t="s">
        <v>22</v>
      </c>
      <c r="C2311">
        <v>100</v>
      </c>
      <c r="D2311">
        <v>1</v>
      </c>
      <c r="E2311">
        <v>0</v>
      </c>
      <c r="F2311" t="s">
        <v>8848</v>
      </c>
      <c r="G2311">
        <v>106</v>
      </c>
      <c r="H2311">
        <v>6</v>
      </c>
      <c r="I2311" t="s">
        <v>140</v>
      </c>
      <c r="J2311" t="s">
        <v>8849</v>
      </c>
      <c r="K2311" t="s">
        <v>331</v>
      </c>
      <c r="L2311" t="s">
        <v>27</v>
      </c>
      <c r="M2311" t="s">
        <v>28</v>
      </c>
      <c r="N2311" t="s">
        <v>8850</v>
      </c>
      <c r="O2311" t="s">
        <v>27</v>
      </c>
      <c r="P2311" t="s">
        <v>30</v>
      </c>
      <c r="Q2311" t="s">
        <v>31</v>
      </c>
      <c r="R2311" t="s">
        <v>32</v>
      </c>
      <c r="S2311" t="s">
        <v>28</v>
      </c>
      <c r="T2311" t="s">
        <v>8851</v>
      </c>
      <c r="U2311" t="s">
        <v>8850</v>
      </c>
    </row>
    <row r="2312" spans="1:21" x14ac:dyDescent="0.25">
      <c r="A2312" t="s">
        <v>33</v>
      </c>
      <c r="B2312" t="s">
        <v>34</v>
      </c>
      <c r="C2312">
        <v>200</v>
      </c>
      <c r="D2312">
        <v>1</v>
      </c>
      <c r="E2312">
        <v>0</v>
      </c>
      <c r="F2312" t="s">
        <v>8852</v>
      </c>
      <c r="G2312">
        <v>300</v>
      </c>
      <c r="H2312">
        <v>0</v>
      </c>
      <c r="I2312" t="s">
        <v>24</v>
      </c>
      <c r="J2312" t="s">
        <v>8853</v>
      </c>
      <c r="K2312" t="s">
        <v>474</v>
      </c>
      <c r="L2312" t="s">
        <v>27</v>
      </c>
      <c r="M2312" t="s">
        <v>28</v>
      </c>
      <c r="N2312" t="s">
        <v>8854</v>
      </c>
      <c r="O2312" t="s">
        <v>27</v>
      </c>
      <c r="P2312" t="s">
        <v>56</v>
      </c>
      <c r="Q2312" t="s">
        <v>31</v>
      </c>
      <c r="R2312" t="s">
        <v>57</v>
      </c>
      <c r="S2312" t="s">
        <v>28</v>
      </c>
      <c r="T2312" t="s">
        <v>8855</v>
      </c>
      <c r="U2312" t="s">
        <v>8850</v>
      </c>
    </row>
    <row r="2313" spans="1:21" x14ac:dyDescent="0.25">
      <c r="A2313" t="s">
        <v>134</v>
      </c>
      <c r="B2313" t="s">
        <v>64</v>
      </c>
      <c r="C2313">
        <v>100</v>
      </c>
      <c r="D2313">
        <v>1</v>
      </c>
      <c r="E2313">
        <v>0</v>
      </c>
      <c r="F2313" t="s">
        <v>8852</v>
      </c>
      <c r="G2313">
        <v>300</v>
      </c>
      <c r="H2313">
        <v>0</v>
      </c>
      <c r="I2313" t="s">
        <v>24</v>
      </c>
      <c r="J2313" t="s">
        <v>8853</v>
      </c>
      <c r="K2313" t="s">
        <v>474</v>
      </c>
      <c r="L2313" t="s">
        <v>27</v>
      </c>
      <c r="M2313" t="s">
        <v>28</v>
      </c>
      <c r="N2313" t="s">
        <v>8854</v>
      </c>
      <c r="O2313" t="s">
        <v>27</v>
      </c>
      <c r="P2313" t="s">
        <v>56</v>
      </c>
      <c r="Q2313" t="s">
        <v>31</v>
      </c>
      <c r="R2313" t="s">
        <v>57</v>
      </c>
      <c r="S2313" t="s">
        <v>28</v>
      </c>
      <c r="T2313" t="s">
        <v>8855</v>
      </c>
      <c r="U2313" t="s">
        <v>8850</v>
      </c>
    </row>
    <row r="2314" spans="1:21" x14ac:dyDescent="0.25">
      <c r="A2314" t="s">
        <v>70</v>
      </c>
      <c r="B2314" t="s">
        <v>70</v>
      </c>
      <c r="C2314">
        <v>330</v>
      </c>
      <c r="D2314">
        <v>1</v>
      </c>
      <c r="E2314">
        <v>0</v>
      </c>
      <c r="F2314" t="s">
        <v>8856</v>
      </c>
      <c r="G2314">
        <v>330</v>
      </c>
      <c r="H2314">
        <v>0</v>
      </c>
      <c r="I2314" t="s">
        <v>445</v>
      </c>
      <c r="J2314" t="s">
        <v>8857</v>
      </c>
      <c r="K2314" t="s">
        <v>1420</v>
      </c>
      <c r="L2314" t="s">
        <v>27</v>
      </c>
      <c r="M2314" t="s">
        <v>28</v>
      </c>
      <c r="N2314" t="s">
        <v>8858</v>
      </c>
      <c r="O2314" t="s">
        <v>27</v>
      </c>
      <c r="P2314" t="s">
        <v>39</v>
      </c>
      <c r="Q2314" t="s">
        <v>31</v>
      </c>
      <c r="R2314" t="s">
        <v>32</v>
      </c>
      <c r="S2314" t="s">
        <v>28</v>
      </c>
      <c r="T2314" t="s">
        <v>8859</v>
      </c>
      <c r="U2314" t="s">
        <v>8858</v>
      </c>
    </row>
    <row r="2315" spans="1:21" x14ac:dyDescent="0.25">
      <c r="A2315" t="s">
        <v>266</v>
      </c>
      <c r="B2315" t="s">
        <v>267</v>
      </c>
      <c r="C2315">
        <v>800</v>
      </c>
      <c r="D2315">
        <v>1</v>
      </c>
      <c r="E2315">
        <v>0</v>
      </c>
      <c r="F2315" t="s">
        <v>8860</v>
      </c>
      <c r="G2315">
        <v>800</v>
      </c>
      <c r="H2315">
        <v>0</v>
      </c>
      <c r="I2315" t="s">
        <v>140</v>
      </c>
      <c r="J2315" t="s">
        <v>8861</v>
      </c>
      <c r="K2315" t="s">
        <v>89</v>
      </c>
      <c r="L2315" t="s">
        <v>27</v>
      </c>
      <c r="M2315" t="s">
        <v>28</v>
      </c>
      <c r="N2315" t="s">
        <v>8862</v>
      </c>
      <c r="O2315" t="s">
        <v>27</v>
      </c>
      <c r="P2315" t="s">
        <v>30</v>
      </c>
      <c r="Q2315" t="s">
        <v>31</v>
      </c>
      <c r="R2315" t="s">
        <v>32</v>
      </c>
      <c r="S2315" t="s">
        <v>28</v>
      </c>
      <c r="T2315" t="s">
        <v>8863</v>
      </c>
      <c r="U2315" t="s">
        <v>8862</v>
      </c>
    </row>
    <row r="2316" spans="1:21" x14ac:dyDescent="0.25">
      <c r="A2316" t="s">
        <v>266</v>
      </c>
      <c r="B2316" t="s">
        <v>267</v>
      </c>
      <c r="C2316">
        <v>800</v>
      </c>
      <c r="D2316">
        <v>1</v>
      </c>
      <c r="E2316">
        <v>0</v>
      </c>
      <c r="F2316" t="s">
        <v>8864</v>
      </c>
      <c r="G2316">
        <v>1140</v>
      </c>
      <c r="H2316">
        <v>0</v>
      </c>
      <c r="I2316" t="s">
        <v>140</v>
      </c>
      <c r="J2316" t="s">
        <v>8861</v>
      </c>
      <c r="K2316" t="s">
        <v>89</v>
      </c>
      <c r="L2316" t="s">
        <v>27</v>
      </c>
      <c r="M2316" t="s">
        <v>28</v>
      </c>
      <c r="N2316" t="s">
        <v>8865</v>
      </c>
      <c r="O2316" t="s">
        <v>27</v>
      </c>
      <c r="P2316" t="s">
        <v>30</v>
      </c>
      <c r="Q2316" t="s">
        <v>31</v>
      </c>
      <c r="R2316" t="s">
        <v>32</v>
      </c>
      <c r="S2316" t="s">
        <v>28</v>
      </c>
      <c r="T2316" t="s">
        <v>8866</v>
      </c>
      <c r="U2316" t="s">
        <v>8865</v>
      </c>
    </row>
    <row r="2317" spans="1:21" x14ac:dyDescent="0.25">
      <c r="A2317" t="s">
        <v>63</v>
      </c>
      <c r="B2317" t="s">
        <v>64</v>
      </c>
      <c r="C2317">
        <v>100</v>
      </c>
      <c r="D2317">
        <v>1</v>
      </c>
      <c r="E2317">
        <v>0</v>
      </c>
      <c r="F2317" t="s">
        <v>8864</v>
      </c>
      <c r="G2317">
        <v>1140</v>
      </c>
      <c r="H2317">
        <v>0</v>
      </c>
      <c r="I2317" t="s">
        <v>140</v>
      </c>
      <c r="J2317" t="s">
        <v>8861</v>
      </c>
      <c r="K2317" t="s">
        <v>89</v>
      </c>
      <c r="L2317" t="s">
        <v>27</v>
      </c>
      <c r="M2317" t="s">
        <v>28</v>
      </c>
      <c r="N2317" t="s">
        <v>8865</v>
      </c>
      <c r="O2317" t="s">
        <v>27</v>
      </c>
      <c r="P2317" t="s">
        <v>30</v>
      </c>
      <c r="Q2317" t="s">
        <v>31</v>
      </c>
      <c r="R2317" t="s">
        <v>32</v>
      </c>
      <c r="S2317" t="s">
        <v>28</v>
      </c>
      <c r="T2317" t="s">
        <v>8866</v>
      </c>
      <c r="U2317" t="s">
        <v>8865</v>
      </c>
    </row>
    <row r="2318" spans="1:21" x14ac:dyDescent="0.25">
      <c r="A2318" t="s">
        <v>909</v>
      </c>
      <c r="B2318" t="s">
        <v>3592</v>
      </c>
      <c r="C2318">
        <v>240</v>
      </c>
      <c r="D2318">
        <v>1</v>
      </c>
      <c r="E2318">
        <v>0</v>
      </c>
      <c r="F2318" t="s">
        <v>8864</v>
      </c>
      <c r="G2318">
        <v>1140</v>
      </c>
      <c r="H2318">
        <v>0</v>
      </c>
      <c r="I2318" t="s">
        <v>140</v>
      </c>
      <c r="J2318" t="s">
        <v>8861</v>
      </c>
      <c r="K2318" t="s">
        <v>89</v>
      </c>
      <c r="L2318" t="s">
        <v>27</v>
      </c>
      <c r="M2318" t="s">
        <v>28</v>
      </c>
      <c r="N2318" t="s">
        <v>8865</v>
      </c>
      <c r="O2318" t="s">
        <v>27</v>
      </c>
      <c r="P2318" t="s">
        <v>30</v>
      </c>
      <c r="Q2318" t="s">
        <v>31</v>
      </c>
      <c r="R2318" t="s">
        <v>32</v>
      </c>
      <c r="S2318" t="s">
        <v>28</v>
      </c>
      <c r="T2318" t="s">
        <v>8866</v>
      </c>
      <c r="U2318" t="s">
        <v>8865</v>
      </c>
    </row>
    <row r="2319" spans="1:21" x14ac:dyDescent="0.25">
      <c r="A2319" t="s">
        <v>134</v>
      </c>
      <c r="B2319" t="s">
        <v>64</v>
      </c>
      <c r="C2319">
        <v>100</v>
      </c>
      <c r="D2319">
        <v>2</v>
      </c>
      <c r="E2319">
        <v>0</v>
      </c>
      <c r="F2319" t="s">
        <v>8867</v>
      </c>
      <c r="G2319">
        <v>206</v>
      </c>
      <c r="H2319">
        <v>6</v>
      </c>
      <c r="I2319" t="s">
        <v>24</v>
      </c>
      <c r="J2319" t="s">
        <v>8868</v>
      </c>
      <c r="K2319" t="s">
        <v>273</v>
      </c>
      <c r="L2319" t="s">
        <v>27</v>
      </c>
      <c r="M2319" t="s">
        <v>28</v>
      </c>
      <c r="N2319" t="s">
        <v>8869</v>
      </c>
      <c r="O2319" t="s">
        <v>27</v>
      </c>
      <c r="P2319" t="s">
        <v>56</v>
      </c>
      <c r="Q2319" t="s">
        <v>31</v>
      </c>
      <c r="R2319" t="s">
        <v>57</v>
      </c>
      <c r="S2319" t="s">
        <v>28</v>
      </c>
      <c r="T2319" t="s">
        <v>8870</v>
      </c>
      <c r="U2319" t="s">
        <v>8869</v>
      </c>
    </row>
    <row r="2320" spans="1:21" x14ac:dyDescent="0.25">
      <c r="A2320" t="s">
        <v>63</v>
      </c>
      <c r="B2320" t="s">
        <v>64</v>
      </c>
      <c r="C2320">
        <v>100</v>
      </c>
      <c r="D2320">
        <v>2</v>
      </c>
      <c r="E2320">
        <v>0</v>
      </c>
      <c r="F2320" t="s">
        <v>8871</v>
      </c>
      <c r="G2320">
        <v>200</v>
      </c>
      <c r="H2320">
        <v>0</v>
      </c>
      <c r="I2320" t="s">
        <v>140</v>
      </c>
      <c r="J2320" t="s">
        <v>8872</v>
      </c>
      <c r="K2320" t="s">
        <v>250</v>
      </c>
      <c r="L2320" t="s">
        <v>27</v>
      </c>
      <c r="M2320" t="s">
        <v>28</v>
      </c>
      <c r="N2320" t="s">
        <v>8873</v>
      </c>
      <c r="O2320" t="s">
        <v>27</v>
      </c>
      <c r="P2320" t="s">
        <v>369</v>
      </c>
      <c r="Q2320" t="s">
        <v>31</v>
      </c>
      <c r="R2320" t="s">
        <v>57</v>
      </c>
      <c r="S2320" t="s">
        <v>28</v>
      </c>
      <c r="T2320" t="s">
        <v>8874</v>
      </c>
      <c r="U2320" t="s">
        <v>8873</v>
      </c>
    </row>
    <row r="2321" spans="1:21" x14ac:dyDescent="0.25">
      <c r="A2321" t="s">
        <v>33</v>
      </c>
      <c r="B2321" t="s">
        <v>34</v>
      </c>
      <c r="C2321">
        <v>200</v>
      </c>
      <c r="D2321">
        <v>1</v>
      </c>
      <c r="E2321">
        <v>0</v>
      </c>
      <c r="F2321" t="s">
        <v>8875</v>
      </c>
      <c r="G2321">
        <v>200</v>
      </c>
      <c r="H2321">
        <v>0</v>
      </c>
      <c r="I2321" t="s">
        <v>445</v>
      </c>
      <c r="J2321" t="s">
        <v>8876</v>
      </c>
      <c r="K2321" t="s">
        <v>438</v>
      </c>
      <c r="L2321" t="s">
        <v>27</v>
      </c>
      <c r="M2321" t="s">
        <v>28</v>
      </c>
      <c r="N2321" t="s">
        <v>8877</v>
      </c>
      <c r="O2321" t="s">
        <v>27</v>
      </c>
      <c r="P2321" t="s">
        <v>39</v>
      </c>
      <c r="Q2321" t="s">
        <v>31</v>
      </c>
      <c r="R2321" t="s">
        <v>32</v>
      </c>
      <c r="S2321" t="s">
        <v>28</v>
      </c>
      <c r="T2321" t="s">
        <v>8878</v>
      </c>
      <c r="U2321" t="s">
        <v>8877</v>
      </c>
    </row>
    <row r="2322" spans="1:21" x14ac:dyDescent="0.25">
      <c r="A2322" t="s">
        <v>134</v>
      </c>
      <c r="B2322" t="s">
        <v>64</v>
      </c>
      <c r="C2322">
        <v>100</v>
      </c>
      <c r="D2322">
        <v>3</v>
      </c>
      <c r="E2322">
        <v>0</v>
      </c>
      <c r="F2322" t="s">
        <v>8879</v>
      </c>
      <c r="G2322">
        <v>300</v>
      </c>
      <c r="H2322">
        <v>0</v>
      </c>
      <c r="I2322" t="s">
        <v>140</v>
      </c>
      <c r="J2322" t="s">
        <v>3869</v>
      </c>
      <c r="K2322" t="s">
        <v>451</v>
      </c>
      <c r="L2322" t="s">
        <v>27</v>
      </c>
      <c r="M2322" t="s">
        <v>28</v>
      </c>
      <c r="N2322" t="s">
        <v>8880</v>
      </c>
      <c r="O2322" t="s">
        <v>27</v>
      </c>
      <c r="P2322" t="s">
        <v>30</v>
      </c>
      <c r="Q2322" t="s">
        <v>31</v>
      </c>
      <c r="R2322" t="s">
        <v>32</v>
      </c>
      <c r="S2322" t="s">
        <v>28</v>
      </c>
      <c r="T2322" t="s">
        <v>8881</v>
      </c>
      <c r="U2322" t="s">
        <v>8880</v>
      </c>
    </row>
    <row r="2323" spans="1:21" x14ac:dyDescent="0.25">
      <c r="A2323" t="s">
        <v>21</v>
      </c>
      <c r="B2323" t="s">
        <v>22</v>
      </c>
      <c r="C2323">
        <v>100</v>
      </c>
      <c r="D2323">
        <v>1</v>
      </c>
      <c r="E2323">
        <v>0</v>
      </c>
      <c r="F2323" t="s">
        <v>8882</v>
      </c>
      <c r="G2323">
        <v>100</v>
      </c>
      <c r="H2323">
        <v>0</v>
      </c>
      <c r="I2323" t="s">
        <v>24</v>
      </c>
      <c r="J2323" t="s">
        <v>8883</v>
      </c>
      <c r="K2323" t="s">
        <v>3713</v>
      </c>
      <c r="L2323" t="s">
        <v>27</v>
      </c>
      <c r="M2323" t="s">
        <v>28</v>
      </c>
      <c r="N2323" t="s">
        <v>8884</v>
      </c>
      <c r="O2323" t="s">
        <v>27</v>
      </c>
      <c r="P2323" t="s">
        <v>39</v>
      </c>
      <c r="Q2323" t="s">
        <v>31</v>
      </c>
      <c r="R2323" t="s">
        <v>32</v>
      </c>
      <c r="S2323" t="s">
        <v>28</v>
      </c>
      <c r="T2323" t="s">
        <v>8885</v>
      </c>
      <c r="U2323" t="s">
        <v>8884</v>
      </c>
    </row>
    <row r="2324" spans="1:21" x14ac:dyDescent="0.25">
      <c r="A2324" t="s">
        <v>2703</v>
      </c>
      <c r="B2324" t="s">
        <v>2704</v>
      </c>
      <c r="C2324">
        <v>450</v>
      </c>
      <c r="D2324">
        <v>1</v>
      </c>
      <c r="E2324">
        <v>0</v>
      </c>
      <c r="F2324" t="s">
        <v>8886</v>
      </c>
      <c r="G2324">
        <v>2084</v>
      </c>
      <c r="H2324">
        <v>134</v>
      </c>
      <c r="I2324" t="s">
        <v>24</v>
      </c>
      <c r="J2324" t="s">
        <v>8887</v>
      </c>
      <c r="K2324" t="s">
        <v>8888</v>
      </c>
      <c r="L2324" t="s">
        <v>8889</v>
      </c>
      <c r="M2324" t="s">
        <v>8890</v>
      </c>
      <c r="N2324" t="s">
        <v>8891</v>
      </c>
      <c r="O2324" t="s">
        <v>27</v>
      </c>
      <c r="P2324" t="s">
        <v>48</v>
      </c>
      <c r="Q2324" t="s">
        <v>49</v>
      </c>
      <c r="R2324" t="s">
        <v>50</v>
      </c>
      <c r="S2324" t="s">
        <v>28</v>
      </c>
      <c r="T2324" t="s">
        <v>8892</v>
      </c>
      <c r="U2324" t="s">
        <v>8891</v>
      </c>
    </row>
    <row r="2325" spans="1:21" x14ac:dyDescent="0.25">
      <c r="A2325" t="s">
        <v>635</v>
      </c>
      <c r="B2325" t="s">
        <v>8000</v>
      </c>
      <c r="C2325">
        <v>750</v>
      </c>
      <c r="D2325">
        <v>1</v>
      </c>
      <c r="E2325">
        <v>0</v>
      </c>
      <c r="F2325" t="s">
        <v>8886</v>
      </c>
      <c r="G2325">
        <v>2084</v>
      </c>
      <c r="H2325">
        <v>134</v>
      </c>
      <c r="I2325" t="s">
        <v>24</v>
      </c>
      <c r="J2325" t="s">
        <v>8887</v>
      </c>
      <c r="K2325" t="s">
        <v>8888</v>
      </c>
      <c r="L2325" t="s">
        <v>8889</v>
      </c>
      <c r="M2325" t="s">
        <v>8890</v>
      </c>
      <c r="N2325" t="s">
        <v>8891</v>
      </c>
      <c r="O2325" t="s">
        <v>27</v>
      </c>
      <c r="P2325" t="s">
        <v>48</v>
      </c>
      <c r="Q2325" t="s">
        <v>49</v>
      </c>
      <c r="R2325" t="s">
        <v>50</v>
      </c>
      <c r="S2325" t="s">
        <v>28</v>
      </c>
      <c r="T2325" t="s">
        <v>8892</v>
      </c>
      <c r="U2325" t="s">
        <v>8891</v>
      </c>
    </row>
    <row r="2326" spans="1:21" x14ac:dyDescent="0.25">
      <c r="A2326" t="s">
        <v>635</v>
      </c>
      <c r="B2326" t="s">
        <v>8000</v>
      </c>
      <c r="C2326">
        <v>750</v>
      </c>
      <c r="D2326">
        <v>1</v>
      </c>
      <c r="E2326">
        <v>0</v>
      </c>
      <c r="F2326" t="s">
        <v>8886</v>
      </c>
      <c r="G2326">
        <v>2084</v>
      </c>
      <c r="H2326">
        <v>134</v>
      </c>
      <c r="I2326" t="s">
        <v>24</v>
      </c>
      <c r="J2326" t="s">
        <v>8887</v>
      </c>
      <c r="K2326" t="s">
        <v>8888</v>
      </c>
      <c r="L2326" t="s">
        <v>8889</v>
      </c>
      <c r="M2326" t="s">
        <v>8890</v>
      </c>
      <c r="N2326" t="s">
        <v>8891</v>
      </c>
      <c r="O2326" t="s">
        <v>27</v>
      </c>
      <c r="P2326" t="s">
        <v>48</v>
      </c>
      <c r="Q2326" t="s">
        <v>49</v>
      </c>
      <c r="R2326" t="s">
        <v>50</v>
      </c>
      <c r="S2326" t="s">
        <v>28</v>
      </c>
      <c r="T2326" t="s">
        <v>8892</v>
      </c>
      <c r="U2326" t="s">
        <v>8891</v>
      </c>
    </row>
    <row r="2327" spans="1:21" x14ac:dyDescent="0.25">
      <c r="A2327" t="s">
        <v>70</v>
      </c>
      <c r="B2327" t="s">
        <v>70</v>
      </c>
      <c r="C2327">
        <v>330</v>
      </c>
      <c r="D2327">
        <v>1</v>
      </c>
      <c r="E2327">
        <v>0</v>
      </c>
      <c r="F2327" t="s">
        <v>8893</v>
      </c>
      <c r="G2327">
        <v>330</v>
      </c>
      <c r="H2327">
        <v>0</v>
      </c>
      <c r="I2327" t="s">
        <v>24</v>
      </c>
      <c r="J2327" t="s">
        <v>8894</v>
      </c>
      <c r="K2327" t="s">
        <v>797</v>
      </c>
      <c r="L2327" t="s">
        <v>27</v>
      </c>
      <c r="M2327" t="s">
        <v>28</v>
      </c>
      <c r="N2327" t="s">
        <v>8891</v>
      </c>
      <c r="O2327" t="s">
        <v>27</v>
      </c>
      <c r="P2327" t="s">
        <v>39</v>
      </c>
      <c r="Q2327" t="s">
        <v>31</v>
      </c>
      <c r="R2327" t="s">
        <v>32</v>
      </c>
      <c r="S2327" t="s">
        <v>28</v>
      </c>
      <c r="T2327" t="s">
        <v>8895</v>
      </c>
      <c r="U2327" t="s">
        <v>8891</v>
      </c>
    </row>
    <row r="2328" spans="1:21" x14ac:dyDescent="0.25">
      <c r="A2328" t="s">
        <v>134</v>
      </c>
      <c r="B2328" t="s">
        <v>64</v>
      </c>
      <c r="C2328">
        <v>100</v>
      </c>
      <c r="D2328">
        <v>6</v>
      </c>
      <c r="E2328">
        <v>0</v>
      </c>
      <c r="F2328" t="s">
        <v>8896</v>
      </c>
      <c r="G2328">
        <v>600</v>
      </c>
      <c r="H2328">
        <v>0</v>
      </c>
      <c r="I2328" t="s">
        <v>140</v>
      </c>
      <c r="J2328" t="s">
        <v>8897</v>
      </c>
      <c r="K2328" t="s">
        <v>294</v>
      </c>
      <c r="L2328" t="s">
        <v>27</v>
      </c>
      <c r="M2328" t="s">
        <v>28</v>
      </c>
      <c r="N2328" t="s">
        <v>8898</v>
      </c>
      <c r="O2328" t="s">
        <v>27</v>
      </c>
      <c r="P2328" t="s">
        <v>30</v>
      </c>
      <c r="Q2328" t="s">
        <v>31</v>
      </c>
      <c r="R2328" t="s">
        <v>32</v>
      </c>
      <c r="S2328" t="s">
        <v>28</v>
      </c>
      <c r="T2328" t="s">
        <v>8899</v>
      </c>
      <c r="U2328" t="s">
        <v>8898</v>
      </c>
    </row>
    <row r="2329" spans="1:21" x14ac:dyDescent="0.25">
      <c r="A2329" t="s">
        <v>2307</v>
      </c>
      <c r="B2329" t="s">
        <v>2308</v>
      </c>
      <c r="C2329">
        <v>330</v>
      </c>
      <c r="D2329">
        <v>1</v>
      </c>
      <c r="E2329">
        <v>0</v>
      </c>
      <c r="F2329" t="s">
        <v>8900</v>
      </c>
      <c r="G2329">
        <v>330</v>
      </c>
      <c r="H2329">
        <v>0</v>
      </c>
      <c r="I2329" t="s">
        <v>140</v>
      </c>
      <c r="J2329" t="s">
        <v>8901</v>
      </c>
      <c r="K2329" t="s">
        <v>89</v>
      </c>
      <c r="L2329" t="s">
        <v>27</v>
      </c>
      <c r="M2329" t="s">
        <v>28</v>
      </c>
      <c r="N2329" t="s">
        <v>8902</v>
      </c>
      <c r="O2329" t="s">
        <v>27</v>
      </c>
      <c r="P2329" t="s">
        <v>369</v>
      </c>
      <c r="Q2329" t="s">
        <v>31</v>
      </c>
      <c r="R2329" t="s">
        <v>57</v>
      </c>
      <c r="S2329" t="s">
        <v>28</v>
      </c>
      <c r="T2329" t="s">
        <v>8903</v>
      </c>
      <c r="U2329" t="s">
        <v>8902</v>
      </c>
    </row>
    <row r="2330" spans="1:21" x14ac:dyDescent="0.25">
      <c r="A2330" t="s">
        <v>58</v>
      </c>
      <c r="B2330" t="s">
        <v>58</v>
      </c>
      <c r="C2330">
        <v>100</v>
      </c>
      <c r="D2330">
        <v>1</v>
      </c>
      <c r="E2330">
        <v>0</v>
      </c>
      <c r="F2330" t="s">
        <v>8904</v>
      </c>
      <c r="G2330">
        <v>106</v>
      </c>
      <c r="H2330">
        <v>6</v>
      </c>
      <c r="I2330" t="s">
        <v>140</v>
      </c>
      <c r="J2330" t="s">
        <v>8905</v>
      </c>
      <c r="K2330" t="s">
        <v>346</v>
      </c>
      <c r="L2330" t="s">
        <v>27</v>
      </c>
      <c r="M2330" t="s">
        <v>28</v>
      </c>
      <c r="N2330" t="s">
        <v>8906</v>
      </c>
      <c r="O2330" t="s">
        <v>27</v>
      </c>
      <c r="P2330" t="s">
        <v>30</v>
      </c>
      <c r="Q2330" t="s">
        <v>31</v>
      </c>
      <c r="R2330" t="s">
        <v>32</v>
      </c>
      <c r="S2330" t="s">
        <v>28</v>
      </c>
      <c r="T2330" t="s">
        <v>8907</v>
      </c>
      <c r="U2330" t="s">
        <v>8906</v>
      </c>
    </row>
    <row r="2331" spans="1:21" x14ac:dyDescent="0.25">
      <c r="A2331" t="s">
        <v>456</v>
      </c>
      <c r="B2331" t="s">
        <v>457</v>
      </c>
      <c r="C2331">
        <v>250</v>
      </c>
      <c r="D2331">
        <v>1</v>
      </c>
      <c r="E2331">
        <v>0</v>
      </c>
      <c r="F2331" t="s">
        <v>8908</v>
      </c>
      <c r="G2331">
        <v>250</v>
      </c>
      <c r="H2331">
        <v>0</v>
      </c>
      <c r="I2331" t="s">
        <v>140</v>
      </c>
      <c r="J2331" t="s">
        <v>4953</v>
      </c>
      <c r="K2331" t="s">
        <v>342</v>
      </c>
      <c r="L2331" t="s">
        <v>27</v>
      </c>
      <c r="M2331" t="s">
        <v>28</v>
      </c>
      <c r="N2331" t="s">
        <v>8909</v>
      </c>
      <c r="O2331" t="s">
        <v>27</v>
      </c>
      <c r="P2331" t="s">
        <v>30</v>
      </c>
      <c r="Q2331" t="s">
        <v>31</v>
      </c>
      <c r="R2331" t="s">
        <v>32</v>
      </c>
      <c r="S2331" t="s">
        <v>28</v>
      </c>
      <c r="T2331" t="s">
        <v>8910</v>
      </c>
      <c r="U2331" t="s">
        <v>8909</v>
      </c>
    </row>
    <row r="2332" spans="1:21" x14ac:dyDescent="0.25">
      <c r="A2332" t="s">
        <v>63</v>
      </c>
      <c r="B2332" t="s">
        <v>64</v>
      </c>
      <c r="C2332">
        <v>100</v>
      </c>
      <c r="D2332">
        <v>3</v>
      </c>
      <c r="E2332">
        <v>0</v>
      </c>
      <c r="F2332" t="s">
        <v>8911</v>
      </c>
      <c r="G2332">
        <v>300</v>
      </c>
      <c r="H2332">
        <v>0</v>
      </c>
      <c r="I2332" t="s">
        <v>24</v>
      </c>
      <c r="J2332" t="s">
        <v>8912</v>
      </c>
      <c r="K2332" t="s">
        <v>653</v>
      </c>
      <c r="L2332" t="s">
        <v>27</v>
      </c>
      <c r="M2332" t="s">
        <v>28</v>
      </c>
      <c r="N2332" t="s">
        <v>8913</v>
      </c>
      <c r="O2332" t="s">
        <v>27</v>
      </c>
      <c r="P2332" t="s">
        <v>56</v>
      </c>
      <c r="Q2332" t="s">
        <v>31</v>
      </c>
      <c r="R2332" t="s">
        <v>57</v>
      </c>
      <c r="S2332" t="s">
        <v>28</v>
      </c>
      <c r="T2332" t="s">
        <v>8914</v>
      </c>
      <c r="U2332" t="s">
        <v>8913</v>
      </c>
    </row>
    <row r="2333" spans="1:21" x14ac:dyDescent="0.25">
      <c r="A2333" t="s">
        <v>1513</v>
      </c>
      <c r="B2333" t="s">
        <v>1514</v>
      </c>
      <c r="C2333">
        <v>330</v>
      </c>
      <c r="D2333">
        <v>1</v>
      </c>
      <c r="E2333">
        <v>0</v>
      </c>
      <c r="F2333" t="s">
        <v>8915</v>
      </c>
      <c r="G2333">
        <v>330</v>
      </c>
      <c r="H2333">
        <v>0</v>
      </c>
      <c r="I2333" t="s">
        <v>140</v>
      </c>
      <c r="J2333" t="s">
        <v>8916</v>
      </c>
      <c r="K2333" t="s">
        <v>2243</v>
      </c>
      <c r="L2333" t="s">
        <v>27</v>
      </c>
      <c r="M2333" t="s">
        <v>28</v>
      </c>
      <c r="N2333" t="s">
        <v>8917</v>
      </c>
      <c r="O2333" t="s">
        <v>27</v>
      </c>
      <c r="P2333" t="s">
        <v>30</v>
      </c>
      <c r="Q2333" t="s">
        <v>31</v>
      </c>
      <c r="R2333" t="s">
        <v>32</v>
      </c>
      <c r="S2333" t="s">
        <v>28</v>
      </c>
      <c r="T2333" t="s">
        <v>8918</v>
      </c>
      <c r="U2333" t="s">
        <v>8917</v>
      </c>
    </row>
    <row r="2334" spans="1:21" x14ac:dyDescent="0.25">
      <c r="A2334" t="s">
        <v>33</v>
      </c>
      <c r="B2334" t="s">
        <v>34</v>
      </c>
      <c r="C2334">
        <v>200</v>
      </c>
      <c r="D2334">
        <v>1</v>
      </c>
      <c r="E2334">
        <v>0</v>
      </c>
      <c r="F2334" t="s">
        <v>8919</v>
      </c>
      <c r="G2334">
        <v>200</v>
      </c>
      <c r="H2334">
        <v>0</v>
      </c>
      <c r="I2334" t="s">
        <v>24</v>
      </c>
      <c r="J2334" t="s">
        <v>8920</v>
      </c>
      <c r="K2334" t="s">
        <v>466</v>
      </c>
      <c r="L2334" t="s">
        <v>27</v>
      </c>
      <c r="M2334" t="s">
        <v>28</v>
      </c>
      <c r="N2334" t="s">
        <v>8921</v>
      </c>
      <c r="O2334" t="s">
        <v>27</v>
      </c>
      <c r="P2334" t="s">
        <v>56</v>
      </c>
      <c r="Q2334" t="s">
        <v>31</v>
      </c>
      <c r="R2334" t="s">
        <v>57</v>
      </c>
      <c r="S2334" t="s">
        <v>28</v>
      </c>
      <c r="T2334" t="s">
        <v>8922</v>
      </c>
      <c r="U2334" t="s">
        <v>8921</v>
      </c>
    </row>
    <row r="2335" spans="1:21" x14ac:dyDescent="0.25">
      <c r="A2335" t="s">
        <v>58</v>
      </c>
      <c r="B2335" t="s">
        <v>103</v>
      </c>
      <c r="C2335">
        <v>84</v>
      </c>
      <c r="D2335">
        <v>1</v>
      </c>
      <c r="E2335">
        <v>0</v>
      </c>
      <c r="F2335" t="s">
        <v>8923</v>
      </c>
      <c r="G2335">
        <v>89</v>
      </c>
      <c r="H2335">
        <v>5</v>
      </c>
      <c r="I2335" t="s">
        <v>105</v>
      </c>
      <c r="J2335" t="s">
        <v>8924</v>
      </c>
      <c r="K2335" t="s">
        <v>8925</v>
      </c>
      <c r="L2335" t="s">
        <v>8926</v>
      </c>
      <c r="M2335" t="s">
        <v>8927</v>
      </c>
      <c r="N2335" t="s">
        <v>8921</v>
      </c>
      <c r="O2335" t="s">
        <v>27</v>
      </c>
      <c r="P2335" t="s">
        <v>48</v>
      </c>
      <c r="Q2335" t="s">
        <v>49</v>
      </c>
      <c r="R2335" t="s">
        <v>50</v>
      </c>
      <c r="S2335" t="s">
        <v>28</v>
      </c>
      <c r="T2335" t="s">
        <v>8928</v>
      </c>
      <c r="U2335" t="s">
        <v>8921</v>
      </c>
    </row>
    <row r="2336" spans="1:21" x14ac:dyDescent="0.25">
      <c r="A2336" t="s">
        <v>63</v>
      </c>
      <c r="B2336" t="s">
        <v>64</v>
      </c>
      <c r="C2336">
        <v>100</v>
      </c>
      <c r="D2336">
        <v>2</v>
      </c>
      <c r="E2336">
        <v>0</v>
      </c>
      <c r="F2336" t="s">
        <v>8929</v>
      </c>
      <c r="G2336">
        <v>200</v>
      </c>
      <c r="H2336">
        <v>0</v>
      </c>
      <c r="I2336" t="s">
        <v>445</v>
      </c>
      <c r="J2336" t="s">
        <v>8930</v>
      </c>
      <c r="K2336" t="s">
        <v>753</v>
      </c>
      <c r="L2336" t="s">
        <v>27</v>
      </c>
      <c r="M2336" t="s">
        <v>28</v>
      </c>
      <c r="N2336" t="s">
        <v>8931</v>
      </c>
      <c r="O2336" t="s">
        <v>27</v>
      </c>
      <c r="P2336" t="s">
        <v>56</v>
      </c>
      <c r="Q2336" t="s">
        <v>31</v>
      </c>
      <c r="R2336" t="s">
        <v>57</v>
      </c>
      <c r="S2336" t="s">
        <v>28</v>
      </c>
      <c r="T2336" t="s">
        <v>8932</v>
      </c>
      <c r="U2336" t="s">
        <v>8931</v>
      </c>
    </row>
    <row r="2337" spans="1:21" x14ac:dyDescent="0.25">
      <c r="A2337" t="s">
        <v>58</v>
      </c>
      <c r="B2337" t="s">
        <v>58</v>
      </c>
      <c r="C2337">
        <v>100</v>
      </c>
      <c r="D2337">
        <v>1</v>
      </c>
      <c r="E2337">
        <v>0</v>
      </c>
      <c r="F2337" t="s">
        <v>8933</v>
      </c>
      <c r="G2337">
        <v>107</v>
      </c>
      <c r="H2337">
        <v>7</v>
      </c>
      <c r="I2337" t="s">
        <v>445</v>
      </c>
      <c r="J2337" t="s">
        <v>8934</v>
      </c>
      <c r="K2337" t="s">
        <v>8935</v>
      </c>
      <c r="L2337" t="s">
        <v>1171</v>
      </c>
      <c r="M2337" t="s">
        <v>191</v>
      </c>
      <c r="N2337" t="s">
        <v>8921</v>
      </c>
      <c r="O2337" t="s">
        <v>27</v>
      </c>
      <c r="P2337" t="s">
        <v>193</v>
      </c>
      <c r="Q2337" t="s">
        <v>85</v>
      </c>
      <c r="R2337" t="s">
        <v>86</v>
      </c>
      <c r="S2337" t="s">
        <v>28</v>
      </c>
      <c r="T2337" t="s">
        <v>8936</v>
      </c>
      <c r="U2337" t="s">
        <v>8931</v>
      </c>
    </row>
    <row r="2338" spans="1:21" x14ac:dyDescent="0.25">
      <c r="A2338" t="s">
        <v>134</v>
      </c>
      <c r="B2338" t="s">
        <v>64</v>
      </c>
      <c r="C2338">
        <v>100</v>
      </c>
      <c r="D2338">
        <v>3</v>
      </c>
      <c r="E2338">
        <v>0</v>
      </c>
      <c r="F2338" t="s">
        <v>8937</v>
      </c>
      <c r="G2338">
        <v>600</v>
      </c>
      <c r="H2338">
        <v>0</v>
      </c>
      <c r="I2338" t="s">
        <v>140</v>
      </c>
      <c r="J2338" t="s">
        <v>4953</v>
      </c>
      <c r="K2338" t="s">
        <v>342</v>
      </c>
      <c r="L2338" t="s">
        <v>27</v>
      </c>
      <c r="M2338" t="s">
        <v>28</v>
      </c>
      <c r="N2338" t="s">
        <v>8938</v>
      </c>
      <c r="O2338" t="s">
        <v>27</v>
      </c>
      <c r="P2338" t="s">
        <v>30</v>
      </c>
      <c r="Q2338" t="s">
        <v>31</v>
      </c>
      <c r="R2338" t="s">
        <v>32</v>
      </c>
      <c r="S2338" t="s">
        <v>28</v>
      </c>
      <c r="T2338" t="s">
        <v>8939</v>
      </c>
      <c r="U2338" t="s">
        <v>8938</v>
      </c>
    </row>
    <row r="2339" spans="1:21" x14ac:dyDescent="0.25">
      <c r="A2339" t="s">
        <v>63</v>
      </c>
      <c r="B2339" t="s">
        <v>64</v>
      </c>
      <c r="C2339">
        <v>100</v>
      </c>
      <c r="D2339">
        <v>3</v>
      </c>
      <c r="E2339">
        <v>0</v>
      </c>
      <c r="F2339" t="s">
        <v>8937</v>
      </c>
      <c r="G2339">
        <v>600</v>
      </c>
      <c r="H2339">
        <v>0</v>
      </c>
      <c r="I2339" t="s">
        <v>140</v>
      </c>
      <c r="J2339" t="s">
        <v>4953</v>
      </c>
      <c r="K2339" t="s">
        <v>342</v>
      </c>
      <c r="L2339" t="s">
        <v>27</v>
      </c>
      <c r="M2339" t="s">
        <v>28</v>
      </c>
      <c r="N2339" t="s">
        <v>8938</v>
      </c>
      <c r="O2339" t="s">
        <v>27</v>
      </c>
      <c r="P2339" t="s">
        <v>30</v>
      </c>
      <c r="Q2339" t="s">
        <v>31</v>
      </c>
      <c r="R2339" t="s">
        <v>32</v>
      </c>
      <c r="S2339" t="s">
        <v>28</v>
      </c>
      <c r="T2339" t="s">
        <v>8939</v>
      </c>
      <c r="U2339" t="s">
        <v>8938</v>
      </c>
    </row>
    <row r="2340" spans="1:21" x14ac:dyDescent="0.25">
      <c r="A2340" t="s">
        <v>134</v>
      </c>
      <c r="B2340" t="s">
        <v>64</v>
      </c>
      <c r="C2340">
        <v>100</v>
      </c>
      <c r="D2340">
        <v>3</v>
      </c>
      <c r="E2340">
        <v>0</v>
      </c>
      <c r="F2340" t="s">
        <v>8940</v>
      </c>
      <c r="G2340">
        <v>300</v>
      </c>
      <c r="H2340">
        <v>0</v>
      </c>
      <c r="I2340" t="s">
        <v>140</v>
      </c>
      <c r="J2340" t="s">
        <v>8941</v>
      </c>
      <c r="K2340" t="s">
        <v>37</v>
      </c>
      <c r="L2340" t="s">
        <v>27</v>
      </c>
      <c r="M2340" t="s">
        <v>28</v>
      </c>
      <c r="N2340" t="s">
        <v>8942</v>
      </c>
      <c r="O2340" t="s">
        <v>27</v>
      </c>
      <c r="P2340" t="s">
        <v>369</v>
      </c>
      <c r="Q2340" t="s">
        <v>31</v>
      </c>
      <c r="R2340" t="s">
        <v>57</v>
      </c>
      <c r="S2340" t="s">
        <v>28</v>
      </c>
      <c r="T2340" t="s">
        <v>8943</v>
      </c>
      <c r="U2340" t="s">
        <v>8944</v>
      </c>
    </row>
    <row r="2341" spans="1:21" x14ac:dyDescent="0.25">
      <c r="A2341" t="s">
        <v>58</v>
      </c>
      <c r="B2341" t="s">
        <v>58</v>
      </c>
      <c r="C2341">
        <v>100</v>
      </c>
      <c r="D2341">
        <v>3</v>
      </c>
      <c r="E2341">
        <v>0</v>
      </c>
      <c r="F2341" t="s">
        <v>8945</v>
      </c>
      <c r="G2341">
        <v>300</v>
      </c>
      <c r="H2341">
        <v>0</v>
      </c>
      <c r="I2341" t="s">
        <v>140</v>
      </c>
      <c r="J2341" t="s">
        <v>8946</v>
      </c>
      <c r="K2341" t="s">
        <v>118</v>
      </c>
      <c r="L2341" t="s">
        <v>27</v>
      </c>
      <c r="M2341" t="s">
        <v>28</v>
      </c>
      <c r="N2341" t="s">
        <v>8944</v>
      </c>
      <c r="O2341" t="s">
        <v>27</v>
      </c>
      <c r="P2341" t="s">
        <v>30</v>
      </c>
      <c r="Q2341" t="s">
        <v>31</v>
      </c>
      <c r="R2341" t="s">
        <v>32</v>
      </c>
      <c r="S2341" t="s">
        <v>28</v>
      </c>
      <c r="T2341" t="s">
        <v>8947</v>
      </c>
      <c r="U2341" t="s">
        <v>8944</v>
      </c>
    </row>
    <row r="2342" spans="1:21" x14ac:dyDescent="0.25">
      <c r="A2342" t="s">
        <v>134</v>
      </c>
      <c r="B2342" t="s">
        <v>64</v>
      </c>
      <c r="C2342">
        <v>100</v>
      </c>
      <c r="D2342">
        <v>1</v>
      </c>
      <c r="E2342">
        <v>0</v>
      </c>
      <c r="F2342" t="s">
        <v>8948</v>
      </c>
      <c r="G2342">
        <v>106</v>
      </c>
      <c r="H2342">
        <v>6</v>
      </c>
      <c r="I2342" t="s">
        <v>140</v>
      </c>
      <c r="J2342" t="s">
        <v>8949</v>
      </c>
      <c r="K2342" t="s">
        <v>325</v>
      </c>
      <c r="L2342" t="s">
        <v>27</v>
      </c>
      <c r="M2342" t="s">
        <v>28</v>
      </c>
      <c r="N2342" t="s">
        <v>8950</v>
      </c>
      <c r="O2342" t="s">
        <v>27</v>
      </c>
      <c r="P2342" t="s">
        <v>30</v>
      </c>
      <c r="Q2342" t="s">
        <v>31</v>
      </c>
      <c r="R2342" t="s">
        <v>32</v>
      </c>
      <c r="S2342" t="s">
        <v>28</v>
      </c>
      <c r="T2342" t="s">
        <v>8951</v>
      </c>
      <c r="U2342" t="s">
        <v>8950</v>
      </c>
    </row>
    <row r="2343" spans="1:21" x14ac:dyDescent="0.25">
      <c r="A2343" t="s">
        <v>58</v>
      </c>
      <c r="B2343" t="s">
        <v>58</v>
      </c>
      <c r="C2343">
        <v>100</v>
      </c>
      <c r="D2343">
        <v>3</v>
      </c>
      <c r="E2343">
        <v>0</v>
      </c>
      <c r="F2343" t="s">
        <v>8952</v>
      </c>
      <c r="G2343">
        <v>345</v>
      </c>
      <c r="H2343">
        <v>45</v>
      </c>
      <c r="I2343" t="s">
        <v>445</v>
      </c>
      <c r="J2343" t="s">
        <v>1970</v>
      </c>
      <c r="K2343" t="s">
        <v>8953</v>
      </c>
      <c r="L2343" t="s">
        <v>1972</v>
      </c>
      <c r="M2343" t="s">
        <v>1973</v>
      </c>
      <c r="N2343" t="s">
        <v>8884</v>
      </c>
      <c r="O2343" t="s">
        <v>27</v>
      </c>
      <c r="P2343" t="s">
        <v>193</v>
      </c>
      <c r="Q2343" t="s">
        <v>85</v>
      </c>
      <c r="R2343" t="s">
        <v>86</v>
      </c>
      <c r="S2343" t="s">
        <v>28</v>
      </c>
      <c r="T2343" t="s">
        <v>8954</v>
      </c>
      <c r="U2343" t="s">
        <v>8955</v>
      </c>
    </row>
    <row r="2344" spans="1:21" x14ac:dyDescent="0.25">
      <c r="A2344" t="s">
        <v>58</v>
      </c>
      <c r="B2344" t="s">
        <v>58</v>
      </c>
      <c r="C2344">
        <v>100</v>
      </c>
      <c r="D2344">
        <v>1</v>
      </c>
      <c r="E2344">
        <v>0</v>
      </c>
      <c r="F2344" t="s">
        <v>8956</v>
      </c>
      <c r="G2344">
        <v>100</v>
      </c>
      <c r="H2344">
        <v>0</v>
      </c>
      <c r="I2344" t="s">
        <v>24</v>
      </c>
      <c r="J2344" t="s">
        <v>8957</v>
      </c>
      <c r="K2344" t="s">
        <v>491</v>
      </c>
      <c r="L2344" t="s">
        <v>27</v>
      </c>
      <c r="M2344" t="s">
        <v>28</v>
      </c>
      <c r="N2344" t="s">
        <v>8958</v>
      </c>
      <c r="O2344" t="s">
        <v>27</v>
      </c>
      <c r="P2344" t="s">
        <v>39</v>
      </c>
      <c r="Q2344" t="s">
        <v>31</v>
      </c>
      <c r="R2344" t="s">
        <v>32</v>
      </c>
      <c r="S2344" t="s">
        <v>28</v>
      </c>
      <c r="T2344" t="s">
        <v>8959</v>
      </c>
      <c r="U2344" t="s">
        <v>8958</v>
      </c>
    </row>
    <row r="2345" spans="1:21" x14ac:dyDescent="0.25">
      <c r="A2345" t="s">
        <v>143</v>
      </c>
      <c r="B2345" t="s">
        <v>144</v>
      </c>
      <c r="C2345">
        <v>200</v>
      </c>
      <c r="D2345">
        <v>1</v>
      </c>
      <c r="E2345">
        <v>0</v>
      </c>
      <c r="F2345" t="s">
        <v>8960</v>
      </c>
      <c r="G2345">
        <v>200</v>
      </c>
      <c r="H2345">
        <v>0</v>
      </c>
      <c r="I2345" t="s">
        <v>24</v>
      </c>
      <c r="J2345" t="s">
        <v>8957</v>
      </c>
      <c r="K2345" t="s">
        <v>3578</v>
      </c>
      <c r="L2345" t="s">
        <v>27</v>
      </c>
      <c r="M2345" t="s">
        <v>28</v>
      </c>
      <c r="N2345" t="s">
        <v>8961</v>
      </c>
      <c r="O2345" t="s">
        <v>27</v>
      </c>
      <c r="P2345" t="s">
        <v>39</v>
      </c>
      <c r="Q2345" t="s">
        <v>31</v>
      </c>
      <c r="R2345" t="s">
        <v>32</v>
      </c>
      <c r="S2345" t="s">
        <v>28</v>
      </c>
      <c r="T2345" t="s">
        <v>8962</v>
      </c>
      <c r="U2345" t="s">
        <v>8961</v>
      </c>
    </row>
    <row r="2346" spans="1:21" x14ac:dyDescent="0.25">
      <c r="A2346" t="s">
        <v>134</v>
      </c>
      <c r="B2346" t="s">
        <v>64</v>
      </c>
      <c r="C2346">
        <v>100</v>
      </c>
      <c r="D2346">
        <v>2</v>
      </c>
      <c r="E2346">
        <v>0</v>
      </c>
      <c r="F2346" t="s">
        <v>8963</v>
      </c>
      <c r="G2346">
        <v>200</v>
      </c>
      <c r="H2346">
        <v>0</v>
      </c>
      <c r="I2346" t="s">
        <v>140</v>
      </c>
      <c r="J2346" t="s">
        <v>8964</v>
      </c>
      <c r="K2346" t="s">
        <v>73</v>
      </c>
      <c r="L2346" t="s">
        <v>27</v>
      </c>
      <c r="M2346" t="s">
        <v>28</v>
      </c>
      <c r="N2346" t="s">
        <v>8965</v>
      </c>
      <c r="O2346" t="s">
        <v>27</v>
      </c>
      <c r="P2346" t="s">
        <v>369</v>
      </c>
      <c r="Q2346" t="s">
        <v>31</v>
      </c>
      <c r="R2346" t="s">
        <v>57</v>
      </c>
      <c r="S2346" t="s">
        <v>28</v>
      </c>
      <c r="T2346" t="s">
        <v>8966</v>
      </c>
      <c r="U2346" t="s">
        <v>8967</v>
      </c>
    </row>
    <row r="2347" spans="1:21" x14ac:dyDescent="0.25">
      <c r="A2347" t="s">
        <v>997</v>
      </c>
      <c r="B2347" t="s">
        <v>998</v>
      </c>
      <c r="C2347">
        <v>800</v>
      </c>
      <c r="D2347">
        <v>1</v>
      </c>
      <c r="E2347">
        <v>0</v>
      </c>
      <c r="F2347" t="s">
        <v>8968</v>
      </c>
      <c r="G2347">
        <v>800</v>
      </c>
      <c r="H2347">
        <v>0</v>
      </c>
      <c r="I2347" t="s">
        <v>445</v>
      </c>
      <c r="J2347" t="s">
        <v>8832</v>
      </c>
      <c r="K2347" t="s">
        <v>89</v>
      </c>
      <c r="L2347" t="s">
        <v>27</v>
      </c>
      <c r="M2347" t="s">
        <v>28</v>
      </c>
      <c r="N2347" t="s">
        <v>8969</v>
      </c>
      <c r="O2347" t="s">
        <v>27</v>
      </c>
      <c r="P2347" t="s">
        <v>39</v>
      </c>
      <c r="Q2347" t="s">
        <v>31</v>
      </c>
      <c r="R2347" t="s">
        <v>32</v>
      </c>
      <c r="S2347" t="s">
        <v>28</v>
      </c>
      <c r="T2347" t="s">
        <v>8970</v>
      </c>
      <c r="U2347" t="s">
        <v>8969</v>
      </c>
    </row>
    <row r="2348" spans="1:21" x14ac:dyDescent="0.25">
      <c r="A2348" t="s">
        <v>21</v>
      </c>
      <c r="B2348" t="s">
        <v>22</v>
      </c>
      <c r="C2348">
        <v>100</v>
      </c>
      <c r="D2348">
        <v>1</v>
      </c>
      <c r="E2348">
        <v>0</v>
      </c>
      <c r="F2348" t="s">
        <v>8971</v>
      </c>
      <c r="G2348">
        <v>100</v>
      </c>
      <c r="H2348">
        <v>0</v>
      </c>
      <c r="I2348" t="s">
        <v>140</v>
      </c>
      <c r="J2348" t="s">
        <v>8972</v>
      </c>
      <c r="K2348" t="s">
        <v>491</v>
      </c>
      <c r="L2348" t="s">
        <v>27</v>
      </c>
      <c r="M2348" t="s">
        <v>28</v>
      </c>
      <c r="N2348" t="s">
        <v>8973</v>
      </c>
      <c r="O2348" t="s">
        <v>27</v>
      </c>
      <c r="P2348" t="s">
        <v>369</v>
      </c>
      <c r="Q2348" t="s">
        <v>31</v>
      </c>
      <c r="R2348" t="s">
        <v>57</v>
      </c>
      <c r="S2348" t="s">
        <v>28</v>
      </c>
      <c r="T2348" t="s">
        <v>8974</v>
      </c>
      <c r="U2348" t="s">
        <v>8973</v>
      </c>
    </row>
    <row r="2349" spans="1:21" x14ac:dyDescent="0.25">
      <c r="A2349" t="s">
        <v>63</v>
      </c>
      <c r="B2349" t="s">
        <v>64</v>
      </c>
      <c r="C2349">
        <v>100</v>
      </c>
      <c r="D2349">
        <v>1</v>
      </c>
      <c r="E2349">
        <v>0</v>
      </c>
      <c r="F2349" t="s">
        <v>8975</v>
      </c>
      <c r="G2349">
        <v>200</v>
      </c>
      <c r="H2349">
        <v>0</v>
      </c>
      <c r="I2349" t="s">
        <v>140</v>
      </c>
      <c r="J2349" t="s">
        <v>8976</v>
      </c>
      <c r="K2349" t="s">
        <v>299</v>
      </c>
      <c r="L2349" t="s">
        <v>27</v>
      </c>
      <c r="M2349" t="s">
        <v>28</v>
      </c>
      <c r="N2349" t="s">
        <v>8977</v>
      </c>
      <c r="O2349" t="s">
        <v>27</v>
      </c>
      <c r="P2349" t="s">
        <v>30</v>
      </c>
      <c r="Q2349" t="s">
        <v>31</v>
      </c>
      <c r="R2349" t="s">
        <v>32</v>
      </c>
      <c r="S2349" t="s">
        <v>28</v>
      </c>
      <c r="T2349" t="s">
        <v>8978</v>
      </c>
      <c r="U2349" t="s">
        <v>8973</v>
      </c>
    </row>
    <row r="2350" spans="1:21" x14ac:dyDescent="0.25">
      <c r="A2350" t="s">
        <v>21</v>
      </c>
      <c r="B2350" t="s">
        <v>22</v>
      </c>
      <c r="C2350">
        <v>100</v>
      </c>
      <c r="D2350">
        <v>1</v>
      </c>
      <c r="E2350">
        <v>0</v>
      </c>
      <c r="F2350" t="s">
        <v>8975</v>
      </c>
      <c r="G2350">
        <v>200</v>
      </c>
      <c r="H2350">
        <v>0</v>
      </c>
      <c r="I2350" t="s">
        <v>140</v>
      </c>
      <c r="J2350" t="s">
        <v>8976</v>
      </c>
      <c r="K2350" t="s">
        <v>299</v>
      </c>
      <c r="L2350" t="s">
        <v>27</v>
      </c>
      <c r="M2350" t="s">
        <v>28</v>
      </c>
      <c r="N2350" t="s">
        <v>8977</v>
      </c>
      <c r="O2350" t="s">
        <v>27</v>
      </c>
      <c r="P2350" t="s">
        <v>30</v>
      </c>
      <c r="Q2350" t="s">
        <v>31</v>
      </c>
      <c r="R2350" t="s">
        <v>32</v>
      </c>
      <c r="S2350" t="s">
        <v>28</v>
      </c>
      <c r="T2350" t="s">
        <v>8978</v>
      </c>
      <c r="U2350" t="s">
        <v>8977</v>
      </c>
    </row>
    <row r="2351" spans="1:21" x14ac:dyDescent="0.25">
      <c r="A2351" t="s">
        <v>76</v>
      </c>
      <c r="B2351" t="s">
        <v>77</v>
      </c>
      <c r="C2351">
        <v>250</v>
      </c>
      <c r="D2351">
        <v>1</v>
      </c>
      <c r="E2351">
        <v>0</v>
      </c>
      <c r="F2351" t="s">
        <v>8979</v>
      </c>
      <c r="G2351">
        <v>315</v>
      </c>
      <c r="H2351">
        <v>0</v>
      </c>
      <c r="I2351" t="s">
        <v>24</v>
      </c>
      <c r="J2351" t="s">
        <v>8980</v>
      </c>
      <c r="K2351" t="s">
        <v>8981</v>
      </c>
      <c r="L2351" t="s">
        <v>1007</v>
      </c>
      <c r="M2351" t="s">
        <v>1147</v>
      </c>
      <c r="N2351" t="s">
        <v>8977</v>
      </c>
      <c r="O2351" t="s">
        <v>27</v>
      </c>
      <c r="P2351" t="s">
        <v>193</v>
      </c>
      <c r="Q2351" t="s">
        <v>85</v>
      </c>
      <c r="R2351" t="s">
        <v>86</v>
      </c>
      <c r="S2351" t="s">
        <v>28</v>
      </c>
      <c r="T2351" t="s">
        <v>8982</v>
      </c>
      <c r="U2351" t="s">
        <v>8977</v>
      </c>
    </row>
    <row r="2352" spans="1:21" x14ac:dyDescent="0.25">
      <c r="A2352" t="s">
        <v>21</v>
      </c>
      <c r="B2352" t="s">
        <v>22</v>
      </c>
      <c r="C2352">
        <v>100</v>
      </c>
      <c r="D2352">
        <v>2</v>
      </c>
      <c r="E2352">
        <v>0</v>
      </c>
      <c r="F2352" t="s">
        <v>8983</v>
      </c>
      <c r="G2352">
        <v>200</v>
      </c>
      <c r="H2352">
        <v>0</v>
      </c>
      <c r="I2352" t="s">
        <v>24</v>
      </c>
      <c r="J2352" t="s">
        <v>8984</v>
      </c>
      <c r="K2352" t="s">
        <v>8355</v>
      </c>
      <c r="L2352" t="s">
        <v>27</v>
      </c>
      <c r="M2352" t="s">
        <v>28</v>
      </c>
      <c r="N2352" t="s">
        <v>8985</v>
      </c>
      <c r="O2352" t="s">
        <v>27</v>
      </c>
      <c r="P2352" t="s">
        <v>39</v>
      </c>
      <c r="Q2352" t="s">
        <v>31</v>
      </c>
      <c r="R2352" t="s">
        <v>32</v>
      </c>
      <c r="S2352" t="s">
        <v>28</v>
      </c>
      <c r="T2352" t="s">
        <v>8986</v>
      </c>
      <c r="U2352" t="s">
        <v>8985</v>
      </c>
    </row>
    <row r="2353" spans="1:21" x14ac:dyDescent="0.25">
      <c r="A2353" t="s">
        <v>21</v>
      </c>
      <c r="B2353" t="s">
        <v>22</v>
      </c>
      <c r="C2353">
        <v>100</v>
      </c>
      <c r="D2353">
        <v>1</v>
      </c>
      <c r="E2353">
        <v>0</v>
      </c>
      <c r="F2353" t="s">
        <v>8987</v>
      </c>
      <c r="G2353">
        <v>106</v>
      </c>
      <c r="H2353">
        <v>6</v>
      </c>
      <c r="I2353" t="s">
        <v>24</v>
      </c>
      <c r="J2353" t="s">
        <v>8988</v>
      </c>
      <c r="K2353" t="s">
        <v>67</v>
      </c>
      <c r="L2353" t="s">
        <v>27</v>
      </c>
      <c r="M2353" t="s">
        <v>28</v>
      </c>
      <c r="N2353" t="s">
        <v>8989</v>
      </c>
      <c r="O2353" t="s">
        <v>27</v>
      </c>
      <c r="P2353" t="s">
        <v>56</v>
      </c>
      <c r="Q2353" t="s">
        <v>31</v>
      </c>
      <c r="R2353" t="s">
        <v>57</v>
      </c>
      <c r="S2353" t="s">
        <v>28</v>
      </c>
      <c r="T2353" t="s">
        <v>8990</v>
      </c>
      <c r="U2353" t="s">
        <v>8989</v>
      </c>
    </row>
    <row r="2354" spans="1:21" x14ac:dyDescent="0.25">
      <c r="A2354" t="s">
        <v>58</v>
      </c>
      <c r="B2354" t="s">
        <v>58</v>
      </c>
      <c r="C2354">
        <v>100</v>
      </c>
      <c r="D2354">
        <v>2</v>
      </c>
      <c r="E2354">
        <v>0</v>
      </c>
      <c r="F2354" t="s">
        <v>8991</v>
      </c>
      <c r="G2354">
        <v>229</v>
      </c>
      <c r="H2354">
        <v>29</v>
      </c>
      <c r="I2354" t="s">
        <v>445</v>
      </c>
      <c r="J2354" t="s">
        <v>8992</v>
      </c>
      <c r="K2354" t="s">
        <v>8993</v>
      </c>
      <c r="L2354" t="s">
        <v>777</v>
      </c>
      <c r="M2354" t="s">
        <v>8994</v>
      </c>
      <c r="N2354" t="s">
        <v>8995</v>
      </c>
      <c r="O2354" t="s">
        <v>27</v>
      </c>
      <c r="P2354" t="s">
        <v>84</v>
      </c>
      <c r="Q2354" t="s">
        <v>85</v>
      </c>
      <c r="R2354" t="s">
        <v>86</v>
      </c>
      <c r="S2354" t="s">
        <v>28</v>
      </c>
      <c r="T2354" t="s">
        <v>8996</v>
      </c>
      <c r="U2354" t="s">
        <v>8997</v>
      </c>
    </row>
    <row r="2355" spans="1:21" x14ac:dyDescent="0.25">
      <c r="A2355" t="s">
        <v>456</v>
      </c>
      <c r="B2355" t="s">
        <v>457</v>
      </c>
      <c r="C2355">
        <v>199</v>
      </c>
      <c r="D2355">
        <v>1</v>
      </c>
      <c r="E2355">
        <v>0</v>
      </c>
      <c r="F2355" t="s">
        <v>8998</v>
      </c>
      <c r="G2355">
        <v>228</v>
      </c>
      <c r="H2355">
        <v>29</v>
      </c>
      <c r="I2355" t="s">
        <v>24</v>
      </c>
      <c r="J2355" t="s">
        <v>2555</v>
      </c>
      <c r="K2355" t="s">
        <v>4844</v>
      </c>
      <c r="L2355" t="s">
        <v>4459</v>
      </c>
      <c r="M2355" t="s">
        <v>4845</v>
      </c>
      <c r="N2355" t="s">
        <v>8995</v>
      </c>
      <c r="O2355" t="s">
        <v>27</v>
      </c>
      <c r="P2355" t="s">
        <v>193</v>
      </c>
      <c r="Q2355" t="s">
        <v>85</v>
      </c>
      <c r="R2355" t="s">
        <v>86</v>
      </c>
      <c r="S2355" t="s">
        <v>28</v>
      </c>
      <c r="T2355" t="s">
        <v>8999</v>
      </c>
      <c r="U2355" t="s">
        <v>8997</v>
      </c>
    </row>
    <row r="2356" spans="1:21" x14ac:dyDescent="0.25">
      <c r="A2356" t="s">
        <v>456</v>
      </c>
      <c r="B2356" t="s">
        <v>457</v>
      </c>
      <c r="C2356">
        <v>197</v>
      </c>
      <c r="D2356">
        <v>1</v>
      </c>
      <c r="E2356">
        <v>0</v>
      </c>
      <c r="F2356" t="s">
        <v>9000</v>
      </c>
      <c r="G2356">
        <v>197</v>
      </c>
      <c r="H2356">
        <v>0</v>
      </c>
      <c r="I2356" t="s">
        <v>445</v>
      </c>
      <c r="J2356" t="s">
        <v>873</v>
      </c>
      <c r="K2356" t="s">
        <v>9001</v>
      </c>
      <c r="L2356" t="s">
        <v>1453</v>
      </c>
      <c r="M2356" t="s">
        <v>462</v>
      </c>
      <c r="N2356" t="s">
        <v>9002</v>
      </c>
      <c r="O2356" t="s">
        <v>27</v>
      </c>
      <c r="P2356" t="s">
        <v>193</v>
      </c>
      <c r="Q2356" t="s">
        <v>85</v>
      </c>
      <c r="R2356" t="s">
        <v>86</v>
      </c>
      <c r="S2356" t="s">
        <v>28</v>
      </c>
      <c r="T2356" t="s">
        <v>9003</v>
      </c>
      <c r="U2356" t="s">
        <v>9004</v>
      </c>
    </row>
    <row r="2357" spans="1:21" x14ac:dyDescent="0.25">
      <c r="A2357" t="s">
        <v>456</v>
      </c>
      <c r="B2357" t="s">
        <v>457</v>
      </c>
      <c r="C2357">
        <v>199</v>
      </c>
      <c r="D2357">
        <v>1</v>
      </c>
      <c r="E2357">
        <v>0</v>
      </c>
      <c r="F2357" t="s">
        <v>9005</v>
      </c>
      <c r="G2357">
        <v>328</v>
      </c>
      <c r="H2357">
        <v>64</v>
      </c>
      <c r="I2357" t="s">
        <v>24</v>
      </c>
      <c r="J2357" t="s">
        <v>9006</v>
      </c>
      <c r="K2357" t="s">
        <v>9007</v>
      </c>
      <c r="L2357" t="s">
        <v>3375</v>
      </c>
      <c r="M2357" t="s">
        <v>5326</v>
      </c>
      <c r="N2357" t="s">
        <v>9004</v>
      </c>
      <c r="O2357" t="s">
        <v>27</v>
      </c>
      <c r="P2357" t="s">
        <v>193</v>
      </c>
      <c r="Q2357" t="s">
        <v>85</v>
      </c>
      <c r="R2357" t="s">
        <v>86</v>
      </c>
      <c r="S2357" t="s">
        <v>28</v>
      </c>
      <c r="T2357" t="s">
        <v>9008</v>
      </c>
      <c r="U2357" t="s">
        <v>9004</v>
      </c>
    </row>
    <row r="2358" spans="1:21" x14ac:dyDescent="0.25">
      <c r="A2358" t="s">
        <v>33</v>
      </c>
      <c r="B2358" t="s">
        <v>34</v>
      </c>
      <c r="C2358">
        <v>200</v>
      </c>
      <c r="D2358">
        <v>1</v>
      </c>
      <c r="E2358">
        <v>0</v>
      </c>
      <c r="F2358" t="s">
        <v>9009</v>
      </c>
      <c r="G2358">
        <v>200</v>
      </c>
      <c r="H2358">
        <v>0</v>
      </c>
      <c r="I2358" t="s">
        <v>445</v>
      </c>
      <c r="J2358" t="s">
        <v>9010</v>
      </c>
      <c r="K2358" t="s">
        <v>247</v>
      </c>
      <c r="L2358" t="s">
        <v>27</v>
      </c>
      <c r="M2358" t="s">
        <v>28</v>
      </c>
      <c r="N2358" t="s">
        <v>9004</v>
      </c>
      <c r="O2358" t="s">
        <v>27</v>
      </c>
      <c r="P2358" t="s">
        <v>39</v>
      </c>
      <c r="Q2358" t="s">
        <v>31</v>
      </c>
      <c r="R2358" t="s">
        <v>32</v>
      </c>
      <c r="S2358" t="s">
        <v>28</v>
      </c>
      <c r="T2358" t="s">
        <v>9011</v>
      </c>
      <c r="U2358" t="s">
        <v>9004</v>
      </c>
    </row>
    <row r="2359" spans="1:21" x14ac:dyDescent="0.25">
      <c r="A2359" t="s">
        <v>21</v>
      </c>
      <c r="B2359" t="s">
        <v>22</v>
      </c>
      <c r="C2359">
        <v>100</v>
      </c>
      <c r="D2359">
        <v>1</v>
      </c>
      <c r="E2359">
        <v>0</v>
      </c>
      <c r="F2359" t="s">
        <v>9012</v>
      </c>
      <c r="G2359">
        <v>106</v>
      </c>
      <c r="H2359">
        <v>6</v>
      </c>
      <c r="I2359" t="s">
        <v>24</v>
      </c>
      <c r="J2359" t="s">
        <v>9013</v>
      </c>
      <c r="K2359" t="s">
        <v>294</v>
      </c>
      <c r="L2359" t="s">
        <v>27</v>
      </c>
      <c r="M2359" t="s">
        <v>28</v>
      </c>
      <c r="N2359" t="s">
        <v>9014</v>
      </c>
      <c r="O2359" t="s">
        <v>27</v>
      </c>
      <c r="P2359" t="s">
        <v>39</v>
      </c>
      <c r="Q2359" t="s">
        <v>31</v>
      </c>
      <c r="R2359" t="s">
        <v>32</v>
      </c>
      <c r="S2359" t="s">
        <v>28</v>
      </c>
      <c r="T2359" t="s">
        <v>9015</v>
      </c>
      <c r="U2359" t="s">
        <v>9014</v>
      </c>
    </row>
    <row r="2360" spans="1:21" x14ac:dyDescent="0.25">
      <c r="A2360" t="s">
        <v>134</v>
      </c>
      <c r="B2360" t="s">
        <v>64</v>
      </c>
      <c r="C2360">
        <v>100</v>
      </c>
      <c r="D2360">
        <v>1</v>
      </c>
      <c r="E2360">
        <v>0</v>
      </c>
      <c r="F2360" t="s">
        <v>9016</v>
      </c>
      <c r="G2360">
        <v>106</v>
      </c>
      <c r="H2360">
        <v>6</v>
      </c>
      <c r="I2360" t="s">
        <v>140</v>
      </c>
      <c r="J2360" t="s">
        <v>9017</v>
      </c>
      <c r="K2360" t="s">
        <v>711</v>
      </c>
      <c r="L2360" t="s">
        <v>27</v>
      </c>
      <c r="M2360" t="s">
        <v>28</v>
      </c>
      <c r="N2360" t="s">
        <v>9018</v>
      </c>
      <c r="O2360" t="s">
        <v>27</v>
      </c>
      <c r="P2360" t="s">
        <v>369</v>
      </c>
      <c r="Q2360" t="s">
        <v>31</v>
      </c>
      <c r="R2360" t="s">
        <v>57</v>
      </c>
      <c r="S2360" t="s">
        <v>28</v>
      </c>
      <c r="T2360" t="s">
        <v>9019</v>
      </c>
      <c r="U2360" t="s">
        <v>9020</v>
      </c>
    </row>
    <row r="2361" spans="1:21" x14ac:dyDescent="0.25">
      <c r="A2361" t="s">
        <v>21</v>
      </c>
      <c r="B2361" t="s">
        <v>22</v>
      </c>
      <c r="C2361">
        <v>100</v>
      </c>
      <c r="D2361">
        <v>1</v>
      </c>
      <c r="E2361">
        <v>0</v>
      </c>
      <c r="F2361" t="s">
        <v>9021</v>
      </c>
      <c r="G2361">
        <v>106</v>
      </c>
      <c r="H2361">
        <v>6</v>
      </c>
      <c r="I2361" t="s">
        <v>24</v>
      </c>
      <c r="J2361" t="s">
        <v>9022</v>
      </c>
      <c r="K2361" t="s">
        <v>572</v>
      </c>
      <c r="L2361" t="s">
        <v>27</v>
      </c>
      <c r="M2361" t="s">
        <v>28</v>
      </c>
      <c r="N2361" t="s">
        <v>9023</v>
      </c>
      <c r="O2361" t="s">
        <v>27</v>
      </c>
      <c r="P2361" t="s">
        <v>39</v>
      </c>
      <c r="Q2361" t="s">
        <v>31</v>
      </c>
      <c r="R2361" t="s">
        <v>32</v>
      </c>
      <c r="S2361" t="s">
        <v>28</v>
      </c>
      <c r="T2361" t="s">
        <v>9024</v>
      </c>
      <c r="U2361" t="s">
        <v>9023</v>
      </c>
    </row>
    <row r="2362" spans="1:21" x14ac:dyDescent="0.25">
      <c r="A2362" t="s">
        <v>21</v>
      </c>
      <c r="B2362" t="s">
        <v>22</v>
      </c>
      <c r="C2362">
        <v>100</v>
      </c>
      <c r="D2362">
        <v>1</v>
      </c>
      <c r="E2362">
        <v>0</v>
      </c>
      <c r="F2362" t="s">
        <v>9025</v>
      </c>
      <c r="G2362">
        <v>106</v>
      </c>
      <c r="H2362">
        <v>6</v>
      </c>
      <c r="I2362" t="s">
        <v>445</v>
      </c>
      <c r="J2362" t="s">
        <v>9026</v>
      </c>
      <c r="K2362" t="s">
        <v>37</v>
      </c>
      <c r="L2362" t="s">
        <v>27</v>
      </c>
      <c r="M2362" t="s">
        <v>28</v>
      </c>
      <c r="N2362" t="s">
        <v>9027</v>
      </c>
      <c r="O2362" t="s">
        <v>27</v>
      </c>
      <c r="P2362" t="s">
        <v>39</v>
      </c>
      <c r="Q2362" t="s">
        <v>31</v>
      </c>
      <c r="R2362" t="s">
        <v>32</v>
      </c>
      <c r="S2362" t="s">
        <v>28</v>
      </c>
      <c r="T2362" t="s">
        <v>9028</v>
      </c>
      <c r="U2362" t="s">
        <v>9027</v>
      </c>
    </row>
    <row r="2363" spans="1:21" x14ac:dyDescent="0.25">
      <c r="A2363" t="s">
        <v>70</v>
      </c>
      <c r="B2363" t="s">
        <v>70</v>
      </c>
      <c r="C2363">
        <v>350</v>
      </c>
      <c r="D2363">
        <v>1</v>
      </c>
      <c r="E2363">
        <v>0</v>
      </c>
      <c r="F2363" t="s">
        <v>9029</v>
      </c>
      <c r="G2363">
        <v>350</v>
      </c>
      <c r="H2363">
        <v>0</v>
      </c>
      <c r="I2363" t="s">
        <v>140</v>
      </c>
      <c r="J2363" t="s">
        <v>8727</v>
      </c>
      <c r="K2363" t="s">
        <v>1198</v>
      </c>
      <c r="L2363" t="s">
        <v>27</v>
      </c>
      <c r="M2363" t="s">
        <v>28</v>
      </c>
      <c r="N2363" t="s">
        <v>9027</v>
      </c>
      <c r="O2363" t="s">
        <v>27</v>
      </c>
      <c r="P2363" t="s">
        <v>30</v>
      </c>
      <c r="Q2363" t="s">
        <v>31</v>
      </c>
      <c r="R2363" t="s">
        <v>32</v>
      </c>
      <c r="S2363" t="s">
        <v>28</v>
      </c>
      <c r="T2363" t="s">
        <v>9030</v>
      </c>
      <c r="U2363" t="s">
        <v>9027</v>
      </c>
    </row>
    <row r="2364" spans="1:21" x14ac:dyDescent="0.25">
      <c r="A2364" t="s">
        <v>63</v>
      </c>
      <c r="B2364" t="s">
        <v>64</v>
      </c>
      <c r="C2364">
        <v>100</v>
      </c>
      <c r="D2364">
        <v>1</v>
      </c>
      <c r="E2364">
        <v>0</v>
      </c>
      <c r="F2364" t="s">
        <v>9031</v>
      </c>
      <c r="G2364">
        <v>300</v>
      </c>
      <c r="H2364">
        <v>0</v>
      </c>
      <c r="I2364" t="s">
        <v>24</v>
      </c>
      <c r="J2364" t="s">
        <v>6472</v>
      </c>
      <c r="K2364" t="s">
        <v>61</v>
      </c>
      <c r="L2364" t="s">
        <v>27</v>
      </c>
      <c r="M2364" t="s">
        <v>28</v>
      </c>
      <c r="N2364" t="s">
        <v>9032</v>
      </c>
      <c r="O2364" t="s">
        <v>27</v>
      </c>
      <c r="P2364" t="s">
        <v>39</v>
      </c>
      <c r="Q2364" t="s">
        <v>31</v>
      </c>
      <c r="R2364" t="s">
        <v>32</v>
      </c>
      <c r="S2364" t="s">
        <v>28</v>
      </c>
      <c r="T2364" t="s">
        <v>9033</v>
      </c>
      <c r="U2364" t="s">
        <v>9032</v>
      </c>
    </row>
    <row r="2365" spans="1:21" x14ac:dyDescent="0.25">
      <c r="A2365" t="s">
        <v>134</v>
      </c>
      <c r="B2365" t="s">
        <v>64</v>
      </c>
      <c r="C2365">
        <v>100</v>
      </c>
      <c r="D2365">
        <v>2</v>
      </c>
      <c r="E2365">
        <v>0</v>
      </c>
      <c r="F2365" t="s">
        <v>9031</v>
      </c>
      <c r="G2365">
        <v>300</v>
      </c>
      <c r="H2365">
        <v>0</v>
      </c>
      <c r="I2365" t="s">
        <v>24</v>
      </c>
      <c r="J2365" t="s">
        <v>6472</v>
      </c>
      <c r="K2365" t="s">
        <v>61</v>
      </c>
      <c r="L2365" t="s">
        <v>27</v>
      </c>
      <c r="M2365" t="s">
        <v>28</v>
      </c>
      <c r="N2365" t="s">
        <v>9032</v>
      </c>
      <c r="O2365" t="s">
        <v>27</v>
      </c>
      <c r="P2365" t="s">
        <v>39</v>
      </c>
      <c r="Q2365" t="s">
        <v>31</v>
      </c>
      <c r="R2365" t="s">
        <v>32</v>
      </c>
      <c r="S2365" t="s">
        <v>28</v>
      </c>
      <c r="T2365" t="s">
        <v>9033</v>
      </c>
      <c r="U2365" t="s">
        <v>9032</v>
      </c>
    </row>
    <row r="2366" spans="1:21" x14ac:dyDescent="0.25">
      <c r="A2366" t="s">
        <v>58</v>
      </c>
      <c r="B2366" t="s">
        <v>58</v>
      </c>
      <c r="C2366">
        <v>100</v>
      </c>
      <c r="D2366">
        <v>1</v>
      </c>
      <c r="E2366">
        <v>0</v>
      </c>
      <c r="F2366" t="s">
        <v>9034</v>
      </c>
      <c r="G2366">
        <v>160</v>
      </c>
      <c r="H2366">
        <v>0</v>
      </c>
      <c r="I2366" t="s">
        <v>445</v>
      </c>
      <c r="J2366" t="s">
        <v>9035</v>
      </c>
      <c r="K2366" t="s">
        <v>9036</v>
      </c>
      <c r="L2366" t="s">
        <v>9037</v>
      </c>
      <c r="M2366" t="s">
        <v>9038</v>
      </c>
      <c r="N2366" t="s">
        <v>9039</v>
      </c>
      <c r="O2366" t="s">
        <v>27</v>
      </c>
      <c r="P2366" t="s">
        <v>193</v>
      </c>
      <c r="Q2366" t="s">
        <v>85</v>
      </c>
      <c r="R2366" t="s">
        <v>86</v>
      </c>
      <c r="S2366" t="s">
        <v>28</v>
      </c>
      <c r="T2366" t="s">
        <v>9040</v>
      </c>
      <c r="U2366" t="s">
        <v>9041</v>
      </c>
    </row>
    <row r="2367" spans="1:21" x14ac:dyDescent="0.25">
      <c r="A2367" t="s">
        <v>21</v>
      </c>
      <c r="B2367" t="s">
        <v>22</v>
      </c>
      <c r="C2367">
        <v>100</v>
      </c>
      <c r="D2367">
        <v>2</v>
      </c>
      <c r="E2367">
        <v>0</v>
      </c>
      <c r="F2367" t="s">
        <v>9042</v>
      </c>
      <c r="G2367">
        <v>200</v>
      </c>
      <c r="H2367">
        <v>0</v>
      </c>
      <c r="I2367" t="s">
        <v>445</v>
      </c>
      <c r="J2367" t="s">
        <v>9043</v>
      </c>
      <c r="K2367" t="s">
        <v>151</v>
      </c>
      <c r="L2367" t="s">
        <v>27</v>
      </c>
      <c r="M2367" t="s">
        <v>28</v>
      </c>
      <c r="N2367" t="s">
        <v>9044</v>
      </c>
      <c r="O2367" t="s">
        <v>27</v>
      </c>
      <c r="P2367" t="s">
        <v>39</v>
      </c>
      <c r="Q2367" t="s">
        <v>31</v>
      </c>
      <c r="R2367" t="s">
        <v>32</v>
      </c>
      <c r="S2367" t="s">
        <v>28</v>
      </c>
      <c r="T2367" t="s">
        <v>9045</v>
      </c>
      <c r="U2367" t="s">
        <v>9044</v>
      </c>
    </row>
    <row r="2368" spans="1:21" x14ac:dyDescent="0.25">
      <c r="A2368" t="s">
        <v>21</v>
      </c>
      <c r="B2368" t="s">
        <v>22</v>
      </c>
      <c r="C2368">
        <v>100</v>
      </c>
      <c r="D2368">
        <v>1</v>
      </c>
      <c r="E2368">
        <v>0</v>
      </c>
      <c r="F2368" t="s">
        <v>9046</v>
      </c>
      <c r="G2368">
        <v>106</v>
      </c>
      <c r="H2368">
        <v>6</v>
      </c>
      <c r="I2368" t="s">
        <v>24</v>
      </c>
      <c r="J2368" t="s">
        <v>9047</v>
      </c>
      <c r="K2368" t="s">
        <v>250</v>
      </c>
      <c r="L2368" t="s">
        <v>27</v>
      </c>
      <c r="M2368" t="s">
        <v>28</v>
      </c>
      <c r="N2368" t="s">
        <v>9048</v>
      </c>
      <c r="O2368" t="s">
        <v>27</v>
      </c>
      <c r="P2368" t="s">
        <v>56</v>
      </c>
      <c r="Q2368" t="s">
        <v>31</v>
      </c>
      <c r="R2368" t="s">
        <v>57</v>
      </c>
      <c r="S2368" t="s">
        <v>28</v>
      </c>
      <c r="T2368" t="s">
        <v>9049</v>
      </c>
      <c r="U2368" t="s">
        <v>9044</v>
      </c>
    </row>
    <row r="2369" spans="1:21" x14ac:dyDescent="0.25">
      <c r="A2369" t="s">
        <v>1513</v>
      </c>
      <c r="B2369" t="s">
        <v>1514</v>
      </c>
      <c r="C2369">
        <v>330</v>
      </c>
      <c r="D2369">
        <v>2</v>
      </c>
      <c r="E2369">
        <v>0</v>
      </c>
      <c r="F2369" t="s">
        <v>9050</v>
      </c>
      <c r="G2369">
        <v>684</v>
      </c>
      <c r="H2369">
        <v>24</v>
      </c>
      <c r="I2369" t="s">
        <v>140</v>
      </c>
      <c r="J2369" t="s">
        <v>9051</v>
      </c>
      <c r="K2369" t="s">
        <v>273</v>
      </c>
      <c r="L2369" t="s">
        <v>27</v>
      </c>
      <c r="M2369" t="s">
        <v>28</v>
      </c>
      <c r="N2369" t="s">
        <v>9052</v>
      </c>
      <c r="O2369" t="s">
        <v>27</v>
      </c>
      <c r="P2369" t="s">
        <v>369</v>
      </c>
      <c r="Q2369" t="s">
        <v>31</v>
      </c>
      <c r="R2369" t="s">
        <v>57</v>
      </c>
      <c r="S2369" t="s">
        <v>28</v>
      </c>
      <c r="T2369" t="s">
        <v>9053</v>
      </c>
      <c r="U2369" t="s">
        <v>9052</v>
      </c>
    </row>
    <row r="2370" spans="1:21" x14ac:dyDescent="0.25">
      <c r="A2370" t="s">
        <v>33</v>
      </c>
      <c r="B2370" t="s">
        <v>34</v>
      </c>
      <c r="C2370">
        <v>200</v>
      </c>
      <c r="D2370">
        <v>1</v>
      </c>
      <c r="E2370">
        <v>0</v>
      </c>
      <c r="F2370" t="s">
        <v>9054</v>
      </c>
      <c r="G2370">
        <v>200</v>
      </c>
      <c r="H2370">
        <v>0</v>
      </c>
      <c r="I2370" t="s">
        <v>24</v>
      </c>
      <c r="J2370" t="s">
        <v>9055</v>
      </c>
      <c r="K2370" t="s">
        <v>118</v>
      </c>
      <c r="L2370" t="s">
        <v>27</v>
      </c>
      <c r="M2370" t="s">
        <v>28</v>
      </c>
      <c r="N2370" t="s">
        <v>9056</v>
      </c>
      <c r="O2370" t="s">
        <v>27</v>
      </c>
      <c r="P2370" t="s">
        <v>39</v>
      </c>
      <c r="Q2370" t="s">
        <v>31</v>
      </c>
      <c r="R2370" t="s">
        <v>32</v>
      </c>
      <c r="S2370" t="s">
        <v>28</v>
      </c>
      <c r="T2370" t="s">
        <v>9057</v>
      </c>
      <c r="U2370" t="s">
        <v>9052</v>
      </c>
    </row>
    <row r="2371" spans="1:21" x14ac:dyDescent="0.25">
      <c r="A2371" t="s">
        <v>33</v>
      </c>
      <c r="B2371" t="s">
        <v>34</v>
      </c>
      <c r="C2371">
        <v>200</v>
      </c>
      <c r="D2371">
        <v>1</v>
      </c>
      <c r="E2371">
        <v>0</v>
      </c>
      <c r="F2371" t="s">
        <v>9058</v>
      </c>
      <c r="G2371">
        <v>200</v>
      </c>
      <c r="H2371">
        <v>0</v>
      </c>
      <c r="I2371" t="s">
        <v>445</v>
      </c>
      <c r="J2371" t="s">
        <v>9059</v>
      </c>
      <c r="K2371" t="s">
        <v>250</v>
      </c>
      <c r="L2371" t="s">
        <v>27</v>
      </c>
      <c r="M2371" t="s">
        <v>28</v>
      </c>
      <c r="N2371" t="s">
        <v>9060</v>
      </c>
      <c r="O2371" t="s">
        <v>27</v>
      </c>
      <c r="P2371" t="s">
        <v>39</v>
      </c>
      <c r="Q2371" t="s">
        <v>31</v>
      </c>
      <c r="R2371" t="s">
        <v>32</v>
      </c>
      <c r="S2371" t="s">
        <v>28</v>
      </c>
      <c r="T2371" t="s">
        <v>9061</v>
      </c>
      <c r="U2371" t="s">
        <v>9060</v>
      </c>
    </row>
    <row r="2372" spans="1:21" x14ac:dyDescent="0.25">
      <c r="A2372" t="s">
        <v>2990</v>
      </c>
      <c r="B2372" t="s">
        <v>2991</v>
      </c>
      <c r="C2372">
        <v>200</v>
      </c>
      <c r="D2372">
        <v>1</v>
      </c>
      <c r="E2372">
        <v>0</v>
      </c>
      <c r="F2372" t="s">
        <v>9062</v>
      </c>
      <c r="G2372">
        <v>200</v>
      </c>
      <c r="H2372">
        <v>0</v>
      </c>
      <c r="I2372" t="s">
        <v>445</v>
      </c>
      <c r="J2372" t="s">
        <v>9063</v>
      </c>
      <c r="K2372" t="s">
        <v>8487</v>
      </c>
      <c r="L2372" t="s">
        <v>27</v>
      </c>
      <c r="M2372" t="s">
        <v>28</v>
      </c>
      <c r="N2372" t="s">
        <v>9064</v>
      </c>
      <c r="O2372" t="s">
        <v>27</v>
      </c>
      <c r="P2372" t="s">
        <v>39</v>
      </c>
      <c r="Q2372" t="s">
        <v>31</v>
      </c>
      <c r="R2372" t="s">
        <v>32</v>
      </c>
      <c r="S2372" t="s">
        <v>28</v>
      </c>
      <c r="T2372" t="s">
        <v>9065</v>
      </c>
      <c r="U2372" t="s">
        <v>9064</v>
      </c>
    </row>
    <row r="2373" spans="1:21" x14ac:dyDescent="0.25">
      <c r="A2373" t="s">
        <v>63</v>
      </c>
      <c r="B2373" t="s">
        <v>64</v>
      </c>
      <c r="C2373">
        <v>100</v>
      </c>
      <c r="D2373">
        <v>3</v>
      </c>
      <c r="E2373">
        <v>0</v>
      </c>
      <c r="F2373" t="s">
        <v>9066</v>
      </c>
      <c r="G2373">
        <v>300</v>
      </c>
      <c r="H2373">
        <v>0</v>
      </c>
      <c r="I2373" t="s">
        <v>140</v>
      </c>
      <c r="J2373" t="s">
        <v>9067</v>
      </c>
      <c r="K2373" t="s">
        <v>342</v>
      </c>
      <c r="L2373" t="s">
        <v>27</v>
      </c>
      <c r="M2373" t="s">
        <v>28</v>
      </c>
      <c r="N2373" t="s">
        <v>9068</v>
      </c>
      <c r="O2373" t="s">
        <v>27</v>
      </c>
      <c r="P2373" t="s">
        <v>30</v>
      </c>
      <c r="Q2373" t="s">
        <v>31</v>
      </c>
      <c r="R2373" t="s">
        <v>32</v>
      </c>
      <c r="S2373" t="s">
        <v>28</v>
      </c>
      <c r="T2373" t="s">
        <v>9069</v>
      </c>
      <c r="U2373" t="s">
        <v>9068</v>
      </c>
    </row>
    <row r="2374" spans="1:21" x14ac:dyDescent="0.25">
      <c r="A2374" t="s">
        <v>134</v>
      </c>
      <c r="B2374" t="s">
        <v>64</v>
      </c>
      <c r="C2374">
        <v>100</v>
      </c>
      <c r="D2374">
        <v>1</v>
      </c>
      <c r="E2374">
        <v>0</v>
      </c>
      <c r="F2374" t="s">
        <v>9070</v>
      </c>
      <c r="G2374">
        <v>140</v>
      </c>
      <c r="H2374">
        <v>0</v>
      </c>
      <c r="I2374" t="s">
        <v>24</v>
      </c>
      <c r="J2374" t="s">
        <v>9071</v>
      </c>
      <c r="K2374" t="s">
        <v>299</v>
      </c>
      <c r="L2374" t="s">
        <v>27</v>
      </c>
      <c r="M2374" t="s">
        <v>28</v>
      </c>
      <c r="N2374" t="s">
        <v>9072</v>
      </c>
      <c r="O2374" t="s">
        <v>27</v>
      </c>
      <c r="P2374" t="s">
        <v>56</v>
      </c>
      <c r="Q2374" t="s">
        <v>31</v>
      </c>
      <c r="R2374" t="s">
        <v>57</v>
      </c>
      <c r="S2374" t="s">
        <v>28</v>
      </c>
      <c r="T2374" t="s">
        <v>9073</v>
      </c>
      <c r="U2374" t="s">
        <v>9072</v>
      </c>
    </row>
    <row r="2375" spans="1:21" x14ac:dyDescent="0.25">
      <c r="A2375" t="s">
        <v>2946</v>
      </c>
      <c r="B2375" t="s">
        <v>2947</v>
      </c>
      <c r="C2375">
        <v>100</v>
      </c>
      <c r="D2375">
        <v>1</v>
      </c>
      <c r="E2375">
        <v>0</v>
      </c>
      <c r="F2375" t="s">
        <v>9074</v>
      </c>
      <c r="G2375">
        <v>300</v>
      </c>
      <c r="H2375">
        <v>0</v>
      </c>
      <c r="I2375" t="s">
        <v>140</v>
      </c>
      <c r="J2375" t="s">
        <v>9075</v>
      </c>
      <c r="K2375" t="s">
        <v>250</v>
      </c>
      <c r="L2375" t="s">
        <v>27</v>
      </c>
      <c r="M2375" t="s">
        <v>28</v>
      </c>
      <c r="N2375" t="s">
        <v>9056</v>
      </c>
      <c r="O2375" t="s">
        <v>27</v>
      </c>
      <c r="P2375" t="s">
        <v>30</v>
      </c>
      <c r="Q2375" t="s">
        <v>31</v>
      </c>
      <c r="R2375" t="s">
        <v>32</v>
      </c>
      <c r="S2375" t="s">
        <v>28</v>
      </c>
      <c r="T2375" t="s">
        <v>9076</v>
      </c>
      <c r="U2375" t="s">
        <v>9056</v>
      </c>
    </row>
    <row r="2376" spans="1:21" x14ac:dyDescent="0.25">
      <c r="A2376" t="s">
        <v>134</v>
      </c>
      <c r="B2376" t="s">
        <v>64</v>
      </c>
      <c r="C2376">
        <v>100</v>
      </c>
      <c r="D2376">
        <v>2</v>
      </c>
      <c r="E2376">
        <v>0</v>
      </c>
      <c r="F2376" t="s">
        <v>9074</v>
      </c>
      <c r="G2376">
        <v>300</v>
      </c>
      <c r="H2376">
        <v>0</v>
      </c>
      <c r="I2376" t="s">
        <v>140</v>
      </c>
      <c r="J2376" t="s">
        <v>9075</v>
      </c>
      <c r="K2376" t="s">
        <v>250</v>
      </c>
      <c r="L2376" t="s">
        <v>27</v>
      </c>
      <c r="M2376" t="s">
        <v>28</v>
      </c>
      <c r="N2376" t="s">
        <v>9056</v>
      </c>
      <c r="O2376" t="s">
        <v>27</v>
      </c>
      <c r="P2376" t="s">
        <v>30</v>
      </c>
      <c r="Q2376" t="s">
        <v>31</v>
      </c>
      <c r="R2376" t="s">
        <v>32</v>
      </c>
      <c r="S2376" t="s">
        <v>28</v>
      </c>
      <c r="T2376" t="s">
        <v>9076</v>
      </c>
      <c r="U2376" t="s">
        <v>9056</v>
      </c>
    </row>
    <row r="2377" spans="1:21" x14ac:dyDescent="0.25">
      <c r="A2377" t="s">
        <v>33</v>
      </c>
      <c r="B2377" t="s">
        <v>34</v>
      </c>
      <c r="C2377">
        <v>200</v>
      </c>
      <c r="D2377">
        <v>1</v>
      </c>
      <c r="E2377">
        <v>0</v>
      </c>
      <c r="F2377" t="s">
        <v>9077</v>
      </c>
      <c r="G2377">
        <v>200</v>
      </c>
      <c r="H2377">
        <v>0</v>
      </c>
      <c r="I2377" t="s">
        <v>24</v>
      </c>
      <c r="J2377" t="s">
        <v>9078</v>
      </c>
      <c r="K2377" t="s">
        <v>1602</v>
      </c>
      <c r="L2377" t="s">
        <v>27</v>
      </c>
      <c r="M2377" t="s">
        <v>28</v>
      </c>
      <c r="N2377" t="s">
        <v>9056</v>
      </c>
      <c r="O2377" t="s">
        <v>27</v>
      </c>
      <c r="P2377" t="s">
        <v>39</v>
      </c>
      <c r="Q2377" t="s">
        <v>31</v>
      </c>
      <c r="R2377" t="s">
        <v>32</v>
      </c>
      <c r="S2377" t="s">
        <v>28</v>
      </c>
      <c r="T2377" t="s">
        <v>9079</v>
      </c>
      <c r="U2377" t="s">
        <v>9056</v>
      </c>
    </row>
    <row r="2378" spans="1:21" x14ac:dyDescent="0.25">
      <c r="A2378" t="s">
        <v>143</v>
      </c>
      <c r="B2378" t="s">
        <v>144</v>
      </c>
      <c r="C2378">
        <v>200</v>
      </c>
      <c r="D2378">
        <v>1</v>
      </c>
      <c r="E2378">
        <v>0</v>
      </c>
      <c r="F2378" t="s">
        <v>9080</v>
      </c>
      <c r="G2378">
        <v>200</v>
      </c>
      <c r="H2378">
        <v>0</v>
      </c>
      <c r="I2378" t="s">
        <v>24</v>
      </c>
      <c r="J2378" t="s">
        <v>9081</v>
      </c>
      <c r="K2378" t="s">
        <v>346</v>
      </c>
      <c r="L2378" t="s">
        <v>27</v>
      </c>
      <c r="M2378" t="s">
        <v>28</v>
      </c>
      <c r="N2378" t="s">
        <v>9082</v>
      </c>
      <c r="O2378" t="s">
        <v>27</v>
      </c>
      <c r="P2378" t="s">
        <v>39</v>
      </c>
      <c r="Q2378" t="s">
        <v>31</v>
      </c>
      <c r="R2378" t="s">
        <v>32</v>
      </c>
      <c r="S2378" t="s">
        <v>28</v>
      </c>
      <c r="T2378" t="s">
        <v>9083</v>
      </c>
      <c r="U2378" t="s">
        <v>9082</v>
      </c>
    </row>
    <row r="2379" spans="1:21" x14ac:dyDescent="0.25">
      <c r="A2379" t="s">
        <v>33</v>
      </c>
      <c r="B2379" t="s">
        <v>34</v>
      </c>
      <c r="C2379">
        <v>200</v>
      </c>
      <c r="D2379">
        <v>1</v>
      </c>
      <c r="E2379">
        <v>0</v>
      </c>
      <c r="F2379" t="s">
        <v>9084</v>
      </c>
      <c r="G2379">
        <v>200</v>
      </c>
      <c r="H2379">
        <v>0</v>
      </c>
      <c r="I2379" t="s">
        <v>140</v>
      </c>
      <c r="J2379" t="s">
        <v>9085</v>
      </c>
      <c r="K2379" t="s">
        <v>960</v>
      </c>
      <c r="L2379" t="s">
        <v>27</v>
      </c>
      <c r="M2379" t="s">
        <v>28</v>
      </c>
      <c r="N2379" t="s">
        <v>9086</v>
      </c>
      <c r="O2379" t="s">
        <v>27</v>
      </c>
      <c r="P2379" t="s">
        <v>369</v>
      </c>
      <c r="Q2379" t="s">
        <v>31</v>
      </c>
      <c r="R2379" t="s">
        <v>57</v>
      </c>
      <c r="S2379" t="s">
        <v>28</v>
      </c>
      <c r="T2379" t="s">
        <v>9087</v>
      </c>
      <c r="U2379" t="s">
        <v>9086</v>
      </c>
    </row>
    <row r="2380" spans="1:21" x14ac:dyDescent="0.25">
      <c r="A2380" t="s">
        <v>134</v>
      </c>
      <c r="B2380" t="s">
        <v>64</v>
      </c>
      <c r="C2380">
        <v>100</v>
      </c>
      <c r="D2380">
        <v>1</v>
      </c>
      <c r="E2380">
        <v>0</v>
      </c>
      <c r="F2380" t="s">
        <v>9088</v>
      </c>
      <c r="G2380">
        <v>106</v>
      </c>
      <c r="H2380">
        <v>6</v>
      </c>
      <c r="I2380" t="s">
        <v>140</v>
      </c>
      <c r="J2380" t="s">
        <v>9089</v>
      </c>
      <c r="K2380" t="s">
        <v>1190</v>
      </c>
      <c r="L2380" t="s">
        <v>27</v>
      </c>
      <c r="M2380" t="s">
        <v>28</v>
      </c>
      <c r="N2380" t="s">
        <v>9090</v>
      </c>
      <c r="O2380" t="s">
        <v>27</v>
      </c>
      <c r="P2380" t="s">
        <v>30</v>
      </c>
      <c r="Q2380" t="s">
        <v>31</v>
      </c>
      <c r="R2380" t="s">
        <v>32</v>
      </c>
      <c r="S2380" t="s">
        <v>28</v>
      </c>
      <c r="T2380" t="s">
        <v>9091</v>
      </c>
      <c r="U2380" t="s">
        <v>9086</v>
      </c>
    </row>
    <row r="2381" spans="1:21" x14ac:dyDescent="0.25">
      <c r="A2381" t="s">
        <v>134</v>
      </c>
      <c r="B2381" t="s">
        <v>64</v>
      </c>
      <c r="C2381">
        <v>100</v>
      </c>
      <c r="D2381">
        <v>1</v>
      </c>
      <c r="E2381">
        <v>0</v>
      </c>
      <c r="F2381" t="s">
        <v>9092</v>
      </c>
      <c r="G2381">
        <v>106</v>
      </c>
      <c r="H2381">
        <v>6</v>
      </c>
      <c r="I2381" t="s">
        <v>445</v>
      </c>
      <c r="J2381" t="s">
        <v>9093</v>
      </c>
      <c r="K2381" t="s">
        <v>797</v>
      </c>
      <c r="L2381" t="s">
        <v>27</v>
      </c>
      <c r="M2381" t="s">
        <v>28</v>
      </c>
      <c r="N2381" t="s">
        <v>9086</v>
      </c>
      <c r="O2381" t="s">
        <v>27</v>
      </c>
      <c r="P2381" t="s">
        <v>56</v>
      </c>
      <c r="Q2381" t="s">
        <v>31</v>
      </c>
      <c r="R2381" t="s">
        <v>57</v>
      </c>
      <c r="S2381" t="s">
        <v>28</v>
      </c>
      <c r="T2381" t="s">
        <v>9094</v>
      </c>
      <c r="U2381" t="s">
        <v>9086</v>
      </c>
    </row>
    <row r="2382" spans="1:21" x14ac:dyDescent="0.25">
      <c r="A2382" t="s">
        <v>134</v>
      </c>
      <c r="B2382" t="s">
        <v>64</v>
      </c>
      <c r="C2382">
        <v>100</v>
      </c>
      <c r="D2382">
        <v>2</v>
      </c>
      <c r="E2382">
        <v>0</v>
      </c>
      <c r="F2382" t="s">
        <v>9095</v>
      </c>
      <c r="G2382">
        <v>200</v>
      </c>
      <c r="H2382">
        <v>0</v>
      </c>
      <c r="I2382" t="s">
        <v>140</v>
      </c>
      <c r="J2382" t="s">
        <v>2354</v>
      </c>
      <c r="K2382" t="s">
        <v>124</v>
      </c>
      <c r="L2382" t="s">
        <v>27</v>
      </c>
      <c r="M2382" t="s">
        <v>28</v>
      </c>
      <c r="N2382" t="s">
        <v>9090</v>
      </c>
      <c r="O2382" t="s">
        <v>27</v>
      </c>
      <c r="P2382" t="s">
        <v>30</v>
      </c>
      <c r="Q2382" t="s">
        <v>31</v>
      </c>
      <c r="R2382" t="s">
        <v>32</v>
      </c>
      <c r="S2382" t="s">
        <v>28</v>
      </c>
      <c r="T2382" t="s">
        <v>9096</v>
      </c>
      <c r="U2382" t="s">
        <v>9090</v>
      </c>
    </row>
    <row r="2383" spans="1:21" x14ac:dyDescent="0.25">
      <c r="A2383" t="s">
        <v>456</v>
      </c>
      <c r="B2383" t="s">
        <v>457</v>
      </c>
      <c r="C2383">
        <v>199</v>
      </c>
      <c r="D2383">
        <v>1</v>
      </c>
      <c r="E2383">
        <v>0</v>
      </c>
      <c r="F2383" t="s">
        <v>9097</v>
      </c>
      <c r="G2383">
        <v>244</v>
      </c>
      <c r="H2383">
        <v>45</v>
      </c>
      <c r="I2383" t="s">
        <v>24</v>
      </c>
      <c r="J2383" t="s">
        <v>7723</v>
      </c>
      <c r="K2383" t="s">
        <v>7724</v>
      </c>
      <c r="L2383" t="s">
        <v>6626</v>
      </c>
      <c r="M2383" t="s">
        <v>2286</v>
      </c>
      <c r="N2383" t="s">
        <v>9098</v>
      </c>
      <c r="O2383" t="s">
        <v>27</v>
      </c>
      <c r="P2383" t="s">
        <v>193</v>
      </c>
      <c r="Q2383" t="s">
        <v>85</v>
      </c>
      <c r="R2383" t="s">
        <v>86</v>
      </c>
      <c r="S2383" t="s">
        <v>28</v>
      </c>
      <c r="T2383" t="s">
        <v>9099</v>
      </c>
      <c r="U2383" t="s">
        <v>9098</v>
      </c>
    </row>
    <row r="2384" spans="1:21" x14ac:dyDescent="0.25">
      <c r="A2384" t="s">
        <v>2946</v>
      </c>
      <c r="B2384" t="s">
        <v>2947</v>
      </c>
      <c r="C2384">
        <v>100</v>
      </c>
      <c r="D2384">
        <v>1</v>
      </c>
      <c r="E2384">
        <v>0</v>
      </c>
      <c r="F2384" t="s">
        <v>9100</v>
      </c>
      <c r="G2384">
        <v>430</v>
      </c>
      <c r="H2384">
        <v>0</v>
      </c>
      <c r="I2384" t="s">
        <v>140</v>
      </c>
      <c r="J2384" t="s">
        <v>9101</v>
      </c>
      <c r="K2384" t="s">
        <v>37</v>
      </c>
      <c r="L2384" t="s">
        <v>27</v>
      </c>
      <c r="M2384" t="s">
        <v>28</v>
      </c>
      <c r="N2384" t="s">
        <v>9102</v>
      </c>
      <c r="O2384" t="s">
        <v>27</v>
      </c>
      <c r="P2384" t="s">
        <v>30</v>
      </c>
      <c r="Q2384" t="s">
        <v>31</v>
      </c>
      <c r="R2384" t="s">
        <v>32</v>
      </c>
      <c r="S2384" t="s">
        <v>28</v>
      </c>
      <c r="T2384" t="s">
        <v>9103</v>
      </c>
      <c r="U2384" t="s">
        <v>9102</v>
      </c>
    </row>
    <row r="2385" spans="1:21" x14ac:dyDescent="0.25">
      <c r="A2385" t="s">
        <v>2307</v>
      </c>
      <c r="B2385" t="s">
        <v>2308</v>
      </c>
      <c r="C2385">
        <v>330</v>
      </c>
      <c r="D2385">
        <v>1</v>
      </c>
      <c r="E2385">
        <v>0</v>
      </c>
      <c r="F2385" t="s">
        <v>9100</v>
      </c>
      <c r="G2385">
        <v>430</v>
      </c>
      <c r="H2385">
        <v>0</v>
      </c>
      <c r="I2385" t="s">
        <v>140</v>
      </c>
      <c r="J2385" t="s">
        <v>9101</v>
      </c>
      <c r="K2385" t="s">
        <v>37</v>
      </c>
      <c r="L2385" t="s">
        <v>27</v>
      </c>
      <c r="M2385" t="s">
        <v>28</v>
      </c>
      <c r="N2385" t="s">
        <v>9102</v>
      </c>
      <c r="O2385" t="s">
        <v>27</v>
      </c>
      <c r="P2385" t="s">
        <v>30</v>
      </c>
      <c r="Q2385" t="s">
        <v>31</v>
      </c>
      <c r="R2385" t="s">
        <v>32</v>
      </c>
      <c r="S2385" t="s">
        <v>28</v>
      </c>
      <c r="T2385" t="s">
        <v>9103</v>
      </c>
      <c r="U2385" t="s">
        <v>9102</v>
      </c>
    </row>
    <row r="2386" spans="1:21" x14ac:dyDescent="0.25">
      <c r="A2386" t="s">
        <v>143</v>
      </c>
      <c r="B2386" t="s">
        <v>144</v>
      </c>
      <c r="C2386">
        <v>200</v>
      </c>
      <c r="D2386">
        <v>1</v>
      </c>
      <c r="E2386">
        <v>0</v>
      </c>
      <c r="F2386" t="s">
        <v>9104</v>
      </c>
      <c r="G2386">
        <v>200</v>
      </c>
      <c r="H2386">
        <v>0</v>
      </c>
      <c r="I2386" t="s">
        <v>24</v>
      </c>
      <c r="J2386" t="s">
        <v>9105</v>
      </c>
      <c r="K2386" t="s">
        <v>1029</v>
      </c>
      <c r="L2386" t="s">
        <v>27</v>
      </c>
      <c r="M2386" t="s">
        <v>28</v>
      </c>
      <c r="N2386" t="s">
        <v>9106</v>
      </c>
      <c r="O2386" t="s">
        <v>27</v>
      </c>
      <c r="P2386" t="s">
        <v>39</v>
      </c>
      <c r="Q2386" t="s">
        <v>31</v>
      </c>
      <c r="R2386" t="s">
        <v>32</v>
      </c>
      <c r="S2386" t="s">
        <v>28</v>
      </c>
      <c r="T2386" t="s">
        <v>9107</v>
      </c>
      <c r="U2386" t="s">
        <v>9106</v>
      </c>
    </row>
    <row r="2387" spans="1:21" x14ac:dyDescent="0.25">
      <c r="A2387" t="s">
        <v>2946</v>
      </c>
      <c r="B2387" t="s">
        <v>2947</v>
      </c>
      <c r="C2387">
        <v>100</v>
      </c>
      <c r="D2387">
        <v>1</v>
      </c>
      <c r="E2387">
        <v>0</v>
      </c>
      <c r="F2387" t="s">
        <v>9108</v>
      </c>
      <c r="G2387">
        <v>106</v>
      </c>
      <c r="H2387">
        <v>6</v>
      </c>
      <c r="I2387" t="s">
        <v>140</v>
      </c>
      <c r="J2387" t="s">
        <v>9109</v>
      </c>
      <c r="K2387" t="s">
        <v>89</v>
      </c>
      <c r="L2387" t="s">
        <v>27</v>
      </c>
      <c r="M2387" t="s">
        <v>28</v>
      </c>
      <c r="N2387" t="s">
        <v>9110</v>
      </c>
      <c r="O2387" t="s">
        <v>27</v>
      </c>
      <c r="P2387" t="s">
        <v>30</v>
      </c>
      <c r="Q2387" t="s">
        <v>31</v>
      </c>
      <c r="R2387" t="s">
        <v>32</v>
      </c>
      <c r="S2387" t="s">
        <v>28</v>
      </c>
      <c r="T2387" t="s">
        <v>9111</v>
      </c>
      <c r="U2387" t="s">
        <v>9110</v>
      </c>
    </row>
    <row r="2388" spans="1:21" x14ac:dyDescent="0.25">
      <c r="A2388" t="s">
        <v>2307</v>
      </c>
      <c r="B2388" t="s">
        <v>2308</v>
      </c>
      <c r="C2388">
        <v>330</v>
      </c>
      <c r="D2388">
        <v>1</v>
      </c>
      <c r="E2388">
        <v>0</v>
      </c>
      <c r="F2388" t="s">
        <v>9112</v>
      </c>
      <c r="G2388">
        <v>330</v>
      </c>
      <c r="H2388">
        <v>0</v>
      </c>
      <c r="I2388" t="s">
        <v>140</v>
      </c>
      <c r="J2388" t="s">
        <v>9113</v>
      </c>
      <c r="K2388" t="s">
        <v>213</v>
      </c>
      <c r="L2388" t="s">
        <v>27</v>
      </c>
      <c r="M2388" t="s">
        <v>28</v>
      </c>
      <c r="N2388" t="s">
        <v>9114</v>
      </c>
      <c r="O2388" t="s">
        <v>27</v>
      </c>
      <c r="P2388" t="s">
        <v>30</v>
      </c>
      <c r="Q2388" t="s">
        <v>31</v>
      </c>
      <c r="R2388" t="s">
        <v>32</v>
      </c>
      <c r="S2388" t="s">
        <v>28</v>
      </c>
      <c r="T2388" t="s">
        <v>9115</v>
      </c>
      <c r="U2388" t="s">
        <v>9114</v>
      </c>
    </row>
    <row r="2389" spans="1:21" x14ac:dyDescent="0.25">
      <c r="A2389" t="s">
        <v>2990</v>
      </c>
      <c r="B2389" t="s">
        <v>2991</v>
      </c>
      <c r="C2389">
        <v>240</v>
      </c>
      <c r="D2389">
        <v>1</v>
      </c>
      <c r="E2389">
        <v>0</v>
      </c>
      <c r="F2389" t="s">
        <v>9116</v>
      </c>
      <c r="G2389">
        <v>285</v>
      </c>
      <c r="H2389">
        <v>45</v>
      </c>
      <c r="I2389" t="s">
        <v>24</v>
      </c>
      <c r="J2389" t="s">
        <v>9117</v>
      </c>
      <c r="K2389" t="s">
        <v>9118</v>
      </c>
      <c r="L2389" t="s">
        <v>7409</v>
      </c>
      <c r="M2389" t="s">
        <v>9119</v>
      </c>
      <c r="N2389" t="s">
        <v>9114</v>
      </c>
      <c r="O2389" t="s">
        <v>27</v>
      </c>
      <c r="P2389" t="s">
        <v>193</v>
      </c>
      <c r="Q2389" t="s">
        <v>85</v>
      </c>
      <c r="R2389" t="s">
        <v>86</v>
      </c>
      <c r="S2389" t="s">
        <v>28</v>
      </c>
      <c r="T2389" t="s">
        <v>9120</v>
      </c>
      <c r="U2389" t="s">
        <v>9114</v>
      </c>
    </row>
    <row r="2390" spans="1:21" x14ac:dyDescent="0.25">
      <c r="A2390" t="s">
        <v>143</v>
      </c>
      <c r="B2390" t="s">
        <v>144</v>
      </c>
      <c r="C2390">
        <v>200</v>
      </c>
      <c r="D2390">
        <v>2</v>
      </c>
      <c r="E2390">
        <v>0</v>
      </c>
      <c r="F2390" t="s">
        <v>9121</v>
      </c>
      <c r="G2390">
        <v>400</v>
      </c>
      <c r="H2390">
        <v>0</v>
      </c>
      <c r="I2390" t="s">
        <v>140</v>
      </c>
      <c r="J2390" t="s">
        <v>8727</v>
      </c>
      <c r="K2390" t="s">
        <v>1198</v>
      </c>
      <c r="L2390" t="s">
        <v>27</v>
      </c>
      <c r="M2390" t="s">
        <v>28</v>
      </c>
      <c r="N2390" t="s">
        <v>9122</v>
      </c>
      <c r="O2390" t="s">
        <v>27</v>
      </c>
      <c r="P2390" t="s">
        <v>30</v>
      </c>
      <c r="Q2390" t="s">
        <v>31</v>
      </c>
      <c r="R2390" t="s">
        <v>32</v>
      </c>
      <c r="S2390" t="s">
        <v>28</v>
      </c>
      <c r="T2390" t="s">
        <v>9123</v>
      </c>
      <c r="U2390" t="s">
        <v>9122</v>
      </c>
    </row>
    <row r="2391" spans="1:21" x14ac:dyDescent="0.25">
      <c r="A2391" t="s">
        <v>63</v>
      </c>
      <c r="B2391" t="s">
        <v>64</v>
      </c>
      <c r="C2391">
        <v>100</v>
      </c>
      <c r="D2391">
        <v>1</v>
      </c>
      <c r="E2391">
        <v>0</v>
      </c>
      <c r="F2391" t="s">
        <v>9124</v>
      </c>
      <c r="G2391">
        <v>106</v>
      </c>
      <c r="H2391">
        <v>6</v>
      </c>
      <c r="I2391" t="s">
        <v>140</v>
      </c>
      <c r="J2391" t="s">
        <v>9125</v>
      </c>
      <c r="K2391" t="s">
        <v>9126</v>
      </c>
      <c r="L2391" t="s">
        <v>27</v>
      </c>
      <c r="M2391" t="s">
        <v>28</v>
      </c>
      <c r="N2391" t="s">
        <v>9127</v>
      </c>
      <c r="O2391" t="s">
        <v>27</v>
      </c>
      <c r="P2391" t="s">
        <v>369</v>
      </c>
      <c r="Q2391" t="s">
        <v>31</v>
      </c>
      <c r="R2391" t="s">
        <v>57</v>
      </c>
      <c r="S2391" t="s">
        <v>28</v>
      </c>
      <c r="T2391" t="s">
        <v>9128</v>
      </c>
      <c r="U2391" t="s">
        <v>9127</v>
      </c>
    </row>
    <row r="2392" spans="1:21" x14ac:dyDescent="0.25">
      <c r="A2392" t="s">
        <v>33</v>
      </c>
      <c r="B2392" t="s">
        <v>34</v>
      </c>
      <c r="C2392">
        <v>200</v>
      </c>
      <c r="D2392">
        <v>1</v>
      </c>
      <c r="E2392">
        <v>0</v>
      </c>
      <c r="F2392" t="s">
        <v>9129</v>
      </c>
      <c r="G2392">
        <v>200</v>
      </c>
      <c r="H2392">
        <v>0</v>
      </c>
      <c r="I2392" t="s">
        <v>445</v>
      </c>
      <c r="J2392" t="s">
        <v>150</v>
      </c>
      <c r="K2392" t="s">
        <v>151</v>
      </c>
      <c r="L2392" t="s">
        <v>27</v>
      </c>
      <c r="M2392" t="s">
        <v>28</v>
      </c>
      <c r="N2392" t="s">
        <v>9130</v>
      </c>
      <c r="O2392" t="s">
        <v>27</v>
      </c>
      <c r="P2392" t="s">
        <v>39</v>
      </c>
      <c r="Q2392" t="s">
        <v>31</v>
      </c>
      <c r="R2392" t="s">
        <v>32</v>
      </c>
      <c r="S2392" t="s">
        <v>28</v>
      </c>
      <c r="T2392" t="s">
        <v>9131</v>
      </c>
      <c r="U2392" t="s">
        <v>9132</v>
      </c>
    </row>
    <row r="2393" spans="1:21" x14ac:dyDescent="0.25">
      <c r="A2393" t="s">
        <v>134</v>
      </c>
      <c r="B2393" t="s">
        <v>64</v>
      </c>
      <c r="C2393">
        <v>100</v>
      </c>
      <c r="D2393">
        <v>2</v>
      </c>
      <c r="E2393">
        <v>0</v>
      </c>
      <c r="F2393" t="s">
        <v>9133</v>
      </c>
      <c r="G2393">
        <v>200</v>
      </c>
      <c r="H2393">
        <v>0</v>
      </c>
      <c r="I2393" t="s">
        <v>140</v>
      </c>
      <c r="J2393" t="s">
        <v>150</v>
      </c>
      <c r="K2393" t="s">
        <v>151</v>
      </c>
      <c r="L2393" t="s">
        <v>27</v>
      </c>
      <c r="M2393" t="s">
        <v>28</v>
      </c>
      <c r="N2393" t="s">
        <v>9130</v>
      </c>
      <c r="O2393" t="s">
        <v>27</v>
      </c>
      <c r="P2393" t="s">
        <v>30</v>
      </c>
      <c r="Q2393" t="s">
        <v>31</v>
      </c>
      <c r="R2393" t="s">
        <v>32</v>
      </c>
      <c r="S2393" t="s">
        <v>28</v>
      </c>
      <c r="T2393" t="s">
        <v>9134</v>
      </c>
      <c r="U2393" t="s">
        <v>9130</v>
      </c>
    </row>
    <row r="2394" spans="1:21" x14ac:dyDescent="0.25">
      <c r="A2394" t="s">
        <v>21</v>
      </c>
      <c r="B2394" t="s">
        <v>22</v>
      </c>
      <c r="C2394">
        <v>100</v>
      </c>
      <c r="D2394">
        <v>2</v>
      </c>
      <c r="E2394">
        <v>0</v>
      </c>
      <c r="F2394" t="s">
        <v>9135</v>
      </c>
      <c r="G2394">
        <v>200</v>
      </c>
      <c r="H2394">
        <v>0</v>
      </c>
      <c r="I2394" t="s">
        <v>24</v>
      </c>
      <c r="J2394" t="s">
        <v>9136</v>
      </c>
      <c r="K2394" t="s">
        <v>311</v>
      </c>
      <c r="L2394" t="s">
        <v>27</v>
      </c>
      <c r="M2394" t="s">
        <v>28</v>
      </c>
      <c r="N2394" t="s">
        <v>9137</v>
      </c>
      <c r="O2394" t="s">
        <v>27</v>
      </c>
      <c r="P2394" t="s">
        <v>39</v>
      </c>
      <c r="Q2394" t="s">
        <v>31</v>
      </c>
      <c r="R2394" t="s">
        <v>32</v>
      </c>
      <c r="S2394" t="s">
        <v>28</v>
      </c>
      <c r="T2394" t="s">
        <v>9138</v>
      </c>
      <c r="U2394" t="s">
        <v>9137</v>
      </c>
    </row>
    <row r="2395" spans="1:21" x14ac:dyDescent="0.25">
      <c r="A2395" t="s">
        <v>33</v>
      </c>
      <c r="B2395" t="s">
        <v>34</v>
      </c>
      <c r="C2395">
        <v>200</v>
      </c>
      <c r="D2395">
        <v>1</v>
      </c>
      <c r="E2395">
        <v>0</v>
      </c>
      <c r="F2395" t="s">
        <v>9139</v>
      </c>
      <c r="G2395">
        <v>200</v>
      </c>
      <c r="H2395">
        <v>0</v>
      </c>
      <c r="I2395" t="s">
        <v>445</v>
      </c>
      <c r="J2395" t="s">
        <v>847</v>
      </c>
      <c r="K2395" t="s">
        <v>5225</v>
      </c>
      <c r="L2395" t="s">
        <v>27</v>
      </c>
      <c r="M2395" t="s">
        <v>28</v>
      </c>
      <c r="N2395" t="s">
        <v>9140</v>
      </c>
      <c r="O2395" t="s">
        <v>27</v>
      </c>
      <c r="P2395" t="s">
        <v>39</v>
      </c>
      <c r="Q2395" t="s">
        <v>31</v>
      </c>
      <c r="R2395" t="s">
        <v>32</v>
      </c>
      <c r="S2395" t="s">
        <v>28</v>
      </c>
      <c r="T2395" t="s">
        <v>9141</v>
      </c>
      <c r="U2395" t="s">
        <v>9140</v>
      </c>
    </row>
    <row r="2396" spans="1:21" x14ac:dyDescent="0.25">
      <c r="A2396" t="s">
        <v>134</v>
      </c>
      <c r="B2396" t="s">
        <v>64</v>
      </c>
      <c r="C2396">
        <v>100</v>
      </c>
      <c r="D2396">
        <v>1</v>
      </c>
      <c r="E2396">
        <v>0</v>
      </c>
      <c r="F2396" t="s">
        <v>9142</v>
      </c>
      <c r="G2396">
        <v>200</v>
      </c>
      <c r="H2396">
        <v>0</v>
      </c>
      <c r="I2396" t="s">
        <v>24</v>
      </c>
      <c r="J2396" t="s">
        <v>9143</v>
      </c>
      <c r="K2396" t="s">
        <v>299</v>
      </c>
      <c r="L2396" t="s">
        <v>27</v>
      </c>
      <c r="M2396" t="s">
        <v>28</v>
      </c>
      <c r="N2396" t="s">
        <v>9144</v>
      </c>
      <c r="O2396" t="s">
        <v>27</v>
      </c>
      <c r="P2396" t="s">
        <v>39</v>
      </c>
      <c r="Q2396" t="s">
        <v>31</v>
      </c>
      <c r="R2396" t="s">
        <v>32</v>
      </c>
      <c r="S2396" t="s">
        <v>28</v>
      </c>
      <c r="T2396" t="s">
        <v>9145</v>
      </c>
      <c r="U2396" t="s">
        <v>9144</v>
      </c>
    </row>
    <row r="2397" spans="1:21" x14ac:dyDescent="0.25">
      <c r="A2397" t="s">
        <v>63</v>
      </c>
      <c r="B2397" t="s">
        <v>64</v>
      </c>
      <c r="C2397">
        <v>100</v>
      </c>
      <c r="D2397">
        <v>1</v>
      </c>
      <c r="E2397">
        <v>0</v>
      </c>
      <c r="F2397" t="s">
        <v>9142</v>
      </c>
      <c r="G2397">
        <v>200</v>
      </c>
      <c r="H2397">
        <v>0</v>
      </c>
      <c r="I2397" t="s">
        <v>24</v>
      </c>
      <c r="J2397" t="s">
        <v>9143</v>
      </c>
      <c r="K2397" t="s">
        <v>299</v>
      </c>
      <c r="L2397" t="s">
        <v>27</v>
      </c>
      <c r="M2397" t="s">
        <v>28</v>
      </c>
      <c r="N2397" t="s">
        <v>9144</v>
      </c>
      <c r="O2397" t="s">
        <v>27</v>
      </c>
      <c r="P2397" t="s">
        <v>39</v>
      </c>
      <c r="Q2397" t="s">
        <v>31</v>
      </c>
      <c r="R2397" t="s">
        <v>32</v>
      </c>
      <c r="S2397" t="s">
        <v>28</v>
      </c>
      <c r="T2397" t="s">
        <v>9145</v>
      </c>
      <c r="U2397" t="s">
        <v>9144</v>
      </c>
    </row>
    <row r="2398" spans="1:21" x14ac:dyDescent="0.25">
      <c r="A2398" t="s">
        <v>21</v>
      </c>
      <c r="B2398" t="s">
        <v>22</v>
      </c>
      <c r="C2398">
        <v>100</v>
      </c>
      <c r="D2398">
        <v>1</v>
      </c>
      <c r="E2398">
        <v>0</v>
      </c>
      <c r="F2398" t="s">
        <v>9146</v>
      </c>
      <c r="G2398">
        <v>106</v>
      </c>
      <c r="H2398">
        <v>6</v>
      </c>
      <c r="I2398" t="s">
        <v>24</v>
      </c>
      <c r="J2398" t="s">
        <v>9147</v>
      </c>
      <c r="K2398" t="s">
        <v>572</v>
      </c>
      <c r="L2398" t="s">
        <v>27</v>
      </c>
      <c r="M2398" t="s">
        <v>28</v>
      </c>
      <c r="N2398" t="s">
        <v>9148</v>
      </c>
      <c r="O2398" t="s">
        <v>27</v>
      </c>
      <c r="P2398" t="s">
        <v>39</v>
      </c>
      <c r="Q2398" t="s">
        <v>31</v>
      </c>
      <c r="R2398" t="s">
        <v>32</v>
      </c>
      <c r="S2398" t="s">
        <v>9149</v>
      </c>
      <c r="T2398" t="s">
        <v>9150</v>
      </c>
      <c r="U2398" t="s">
        <v>9148</v>
      </c>
    </row>
    <row r="2399" spans="1:21" x14ac:dyDescent="0.25">
      <c r="A2399" t="s">
        <v>33</v>
      </c>
      <c r="B2399" t="s">
        <v>34</v>
      </c>
      <c r="C2399">
        <v>200</v>
      </c>
      <c r="D2399">
        <v>1</v>
      </c>
      <c r="E2399">
        <v>0</v>
      </c>
      <c r="F2399" t="s">
        <v>9151</v>
      </c>
      <c r="G2399">
        <v>200</v>
      </c>
      <c r="H2399">
        <v>0</v>
      </c>
      <c r="I2399" t="s">
        <v>445</v>
      </c>
      <c r="J2399" t="s">
        <v>9152</v>
      </c>
      <c r="K2399" t="s">
        <v>797</v>
      </c>
      <c r="L2399" t="s">
        <v>27</v>
      </c>
      <c r="M2399" t="s">
        <v>28</v>
      </c>
      <c r="N2399" t="s">
        <v>9153</v>
      </c>
      <c r="O2399" t="s">
        <v>27</v>
      </c>
      <c r="P2399" t="s">
        <v>39</v>
      </c>
      <c r="Q2399" t="s">
        <v>31</v>
      </c>
      <c r="R2399" t="s">
        <v>32</v>
      </c>
      <c r="S2399" t="s">
        <v>28</v>
      </c>
      <c r="T2399" t="s">
        <v>9154</v>
      </c>
      <c r="U2399" t="s">
        <v>9155</v>
      </c>
    </row>
    <row r="2400" spans="1:21" x14ac:dyDescent="0.25">
      <c r="A2400" t="s">
        <v>143</v>
      </c>
      <c r="B2400" t="s">
        <v>144</v>
      </c>
      <c r="C2400">
        <v>200</v>
      </c>
      <c r="D2400">
        <v>1</v>
      </c>
      <c r="E2400">
        <v>0</v>
      </c>
      <c r="F2400" t="s">
        <v>9156</v>
      </c>
      <c r="G2400">
        <v>200</v>
      </c>
      <c r="H2400">
        <v>0</v>
      </c>
      <c r="I2400" t="s">
        <v>24</v>
      </c>
      <c r="J2400" t="s">
        <v>9157</v>
      </c>
      <c r="K2400" t="s">
        <v>350</v>
      </c>
      <c r="L2400" t="s">
        <v>27</v>
      </c>
      <c r="M2400" t="s">
        <v>28</v>
      </c>
      <c r="N2400" t="s">
        <v>9158</v>
      </c>
      <c r="O2400" t="s">
        <v>27</v>
      </c>
      <c r="P2400" t="s">
        <v>56</v>
      </c>
      <c r="Q2400" t="s">
        <v>31</v>
      </c>
      <c r="R2400" t="s">
        <v>57</v>
      </c>
      <c r="S2400" t="s">
        <v>28</v>
      </c>
      <c r="T2400" t="s">
        <v>9159</v>
      </c>
      <c r="U2400" t="s">
        <v>9160</v>
      </c>
    </row>
    <row r="2401" spans="1:21" x14ac:dyDescent="0.25">
      <c r="A2401" t="s">
        <v>134</v>
      </c>
      <c r="B2401" t="s">
        <v>64</v>
      </c>
      <c r="C2401">
        <v>100</v>
      </c>
      <c r="D2401">
        <v>1</v>
      </c>
      <c r="E2401">
        <v>0</v>
      </c>
      <c r="F2401" t="s">
        <v>9161</v>
      </c>
      <c r="G2401">
        <v>106</v>
      </c>
      <c r="H2401">
        <v>6</v>
      </c>
      <c r="I2401" t="s">
        <v>24</v>
      </c>
      <c r="J2401" t="s">
        <v>9162</v>
      </c>
      <c r="K2401" t="s">
        <v>61</v>
      </c>
      <c r="L2401" t="s">
        <v>27</v>
      </c>
      <c r="M2401" t="s">
        <v>28</v>
      </c>
      <c r="N2401" t="s">
        <v>9163</v>
      </c>
      <c r="O2401" t="s">
        <v>27</v>
      </c>
      <c r="P2401" t="s">
        <v>56</v>
      </c>
      <c r="Q2401" t="s">
        <v>31</v>
      </c>
      <c r="R2401" t="s">
        <v>57</v>
      </c>
      <c r="S2401" t="s">
        <v>28</v>
      </c>
      <c r="T2401" t="s">
        <v>9164</v>
      </c>
      <c r="U2401" t="s">
        <v>9165</v>
      </c>
    </row>
    <row r="2402" spans="1:21" x14ac:dyDescent="0.25">
      <c r="A2402" t="s">
        <v>70</v>
      </c>
      <c r="B2402" t="s">
        <v>70</v>
      </c>
      <c r="C2402">
        <v>330</v>
      </c>
      <c r="D2402">
        <v>1</v>
      </c>
      <c r="E2402">
        <v>0</v>
      </c>
      <c r="F2402" t="s">
        <v>9166</v>
      </c>
      <c r="G2402">
        <v>330</v>
      </c>
      <c r="H2402">
        <v>0</v>
      </c>
      <c r="I2402" t="s">
        <v>445</v>
      </c>
      <c r="J2402" t="s">
        <v>9167</v>
      </c>
      <c r="K2402" t="s">
        <v>67</v>
      </c>
      <c r="L2402" t="s">
        <v>27</v>
      </c>
      <c r="M2402" t="s">
        <v>28</v>
      </c>
      <c r="N2402" t="s">
        <v>9168</v>
      </c>
      <c r="O2402" t="s">
        <v>27</v>
      </c>
      <c r="P2402" t="s">
        <v>39</v>
      </c>
      <c r="Q2402" t="s">
        <v>31</v>
      </c>
      <c r="R2402" t="s">
        <v>32</v>
      </c>
      <c r="S2402" t="s">
        <v>28</v>
      </c>
      <c r="T2402" t="s">
        <v>9169</v>
      </c>
      <c r="U2402" t="s">
        <v>9168</v>
      </c>
    </row>
    <row r="2403" spans="1:21" x14ac:dyDescent="0.25">
      <c r="A2403" t="s">
        <v>58</v>
      </c>
      <c r="B2403" t="s">
        <v>58</v>
      </c>
      <c r="C2403">
        <v>100</v>
      </c>
      <c r="D2403">
        <v>5</v>
      </c>
      <c r="E2403">
        <v>0</v>
      </c>
      <c r="F2403" t="s">
        <v>9170</v>
      </c>
      <c r="G2403">
        <v>500</v>
      </c>
      <c r="H2403">
        <v>0</v>
      </c>
      <c r="I2403" t="s">
        <v>24</v>
      </c>
      <c r="J2403" t="s">
        <v>9171</v>
      </c>
      <c r="K2403" t="s">
        <v>67</v>
      </c>
      <c r="L2403" t="s">
        <v>27</v>
      </c>
      <c r="M2403" t="s">
        <v>28</v>
      </c>
      <c r="N2403" t="s">
        <v>9168</v>
      </c>
      <c r="O2403" t="s">
        <v>27</v>
      </c>
      <c r="P2403" t="s">
        <v>39</v>
      </c>
      <c r="Q2403" t="s">
        <v>31</v>
      </c>
      <c r="R2403" t="s">
        <v>32</v>
      </c>
      <c r="S2403" t="s">
        <v>28</v>
      </c>
      <c r="T2403" t="s">
        <v>9172</v>
      </c>
      <c r="U2403" t="s">
        <v>9168</v>
      </c>
    </row>
    <row r="2404" spans="1:21" x14ac:dyDescent="0.25">
      <c r="A2404" t="s">
        <v>21</v>
      </c>
      <c r="B2404" t="s">
        <v>22</v>
      </c>
      <c r="C2404">
        <v>100</v>
      </c>
      <c r="D2404">
        <v>1</v>
      </c>
      <c r="E2404">
        <v>0</v>
      </c>
      <c r="F2404" t="s">
        <v>9173</v>
      </c>
      <c r="G2404">
        <v>106</v>
      </c>
      <c r="H2404">
        <v>6</v>
      </c>
      <c r="I2404" t="s">
        <v>24</v>
      </c>
      <c r="J2404" t="s">
        <v>9174</v>
      </c>
      <c r="K2404" t="s">
        <v>1989</v>
      </c>
      <c r="L2404" t="s">
        <v>27</v>
      </c>
      <c r="M2404" t="s">
        <v>28</v>
      </c>
      <c r="N2404" t="s">
        <v>9175</v>
      </c>
      <c r="O2404" t="s">
        <v>27</v>
      </c>
      <c r="P2404" t="s">
        <v>39</v>
      </c>
      <c r="Q2404" t="s">
        <v>31</v>
      </c>
      <c r="R2404" t="s">
        <v>32</v>
      </c>
      <c r="S2404" t="s">
        <v>28</v>
      </c>
      <c r="T2404" t="s">
        <v>9176</v>
      </c>
      <c r="U2404" t="s">
        <v>9175</v>
      </c>
    </row>
    <row r="2405" spans="1:21" x14ac:dyDescent="0.25">
      <c r="A2405" t="s">
        <v>21</v>
      </c>
      <c r="B2405" t="s">
        <v>22</v>
      </c>
      <c r="C2405">
        <v>100</v>
      </c>
      <c r="D2405">
        <v>1</v>
      </c>
      <c r="E2405">
        <v>0</v>
      </c>
      <c r="F2405" t="s">
        <v>9177</v>
      </c>
      <c r="G2405">
        <v>100</v>
      </c>
      <c r="H2405">
        <v>0</v>
      </c>
      <c r="I2405" t="s">
        <v>24</v>
      </c>
      <c r="J2405" t="s">
        <v>9178</v>
      </c>
      <c r="K2405" t="s">
        <v>342</v>
      </c>
      <c r="L2405" t="s">
        <v>27</v>
      </c>
      <c r="M2405" t="s">
        <v>28</v>
      </c>
      <c r="N2405" t="s">
        <v>9179</v>
      </c>
      <c r="O2405" t="s">
        <v>27</v>
      </c>
      <c r="P2405" t="s">
        <v>39</v>
      </c>
      <c r="Q2405" t="s">
        <v>31</v>
      </c>
      <c r="R2405" t="s">
        <v>32</v>
      </c>
      <c r="S2405" t="s">
        <v>28</v>
      </c>
      <c r="T2405" t="s">
        <v>9180</v>
      </c>
      <c r="U2405" t="s">
        <v>9181</v>
      </c>
    </row>
    <row r="2406" spans="1:21" x14ac:dyDescent="0.25">
      <c r="A2406" t="s">
        <v>63</v>
      </c>
      <c r="B2406" t="s">
        <v>64</v>
      </c>
      <c r="C2406">
        <v>100</v>
      </c>
      <c r="D2406">
        <v>1</v>
      </c>
      <c r="E2406">
        <v>0</v>
      </c>
      <c r="F2406" t="s">
        <v>9182</v>
      </c>
      <c r="G2406">
        <v>200</v>
      </c>
      <c r="H2406">
        <v>0</v>
      </c>
      <c r="I2406" t="s">
        <v>140</v>
      </c>
      <c r="J2406" t="s">
        <v>9183</v>
      </c>
      <c r="K2406" t="s">
        <v>250</v>
      </c>
      <c r="L2406" t="s">
        <v>27</v>
      </c>
      <c r="M2406" t="s">
        <v>28</v>
      </c>
      <c r="N2406" t="s">
        <v>9179</v>
      </c>
      <c r="O2406" t="s">
        <v>27</v>
      </c>
      <c r="P2406" t="s">
        <v>369</v>
      </c>
      <c r="Q2406" t="s">
        <v>31</v>
      </c>
      <c r="R2406" t="s">
        <v>57</v>
      </c>
      <c r="S2406" t="s">
        <v>28</v>
      </c>
      <c r="T2406" t="s">
        <v>9184</v>
      </c>
      <c r="U2406" t="s">
        <v>9185</v>
      </c>
    </row>
    <row r="2407" spans="1:21" x14ac:dyDescent="0.25">
      <c r="A2407" t="s">
        <v>2946</v>
      </c>
      <c r="B2407" t="s">
        <v>2947</v>
      </c>
      <c r="C2407">
        <v>100</v>
      </c>
      <c r="D2407">
        <v>1</v>
      </c>
      <c r="E2407">
        <v>0</v>
      </c>
      <c r="F2407" t="s">
        <v>9182</v>
      </c>
      <c r="G2407">
        <v>200</v>
      </c>
      <c r="H2407">
        <v>0</v>
      </c>
      <c r="I2407" t="s">
        <v>140</v>
      </c>
      <c r="J2407" t="s">
        <v>9183</v>
      </c>
      <c r="K2407" t="s">
        <v>250</v>
      </c>
      <c r="L2407" t="s">
        <v>27</v>
      </c>
      <c r="M2407" t="s">
        <v>28</v>
      </c>
      <c r="N2407" t="s">
        <v>9179</v>
      </c>
      <c r="O2407" t="s">
        <v>27</v>
      </c>
      <c r="P2407" t="s">
        <v>369</v>
      </c>
      <c r="Q2407" t="s">
        <v>31</v>
      </c>
      <c r="R2407" t="s">
        <v>57</v>
      </c>
      <c r="S2407" t="s">
        <v>28</v>
      </c>
      <c r="T2407" t="s">
        <v>9184</v>
      </c>
      <c r="U2407" t="s">
        <v>9179</v>
      </c>
    </row>
    <row r="2408" spans="1:21" x14ac:dyDescent="0.25">
      <c r="A2408" t="s">
        <v>58</v>
      </c>
      <c r="B2408" t="s">
        <v>103</v>
      </c>
      <c r="C2408">
        <v>84</v>
      </c>
      <c r="D2408">
        <v>1</v>
      </c>
      <c r="E2408">
        <v>0</v>
      </c>
      <c r="F2408" t="s">
        <v>9186</v>
      </c>
      <c r="G2408">
        <v>257</v>
      </c>
      <c r="H2408">
        <v>5</v>
      </c>
      <c r="I2408" t="s">
        <v>105</v>
      </c>
      <c r="J2408" t="s">
        <v>9187</v>
      </c>
      <c r="K2408" t="s">
        <v>9188</v>
      </c>
      <c r="L2408" t="s">
        <v>1522</v>
      </c>
      <c r="M2408" t="s">
        <v>9189</v>
      </c>
      <c r="N2408" t="s">
        <v>9179</v>
      </c>
      <c r="O2408" t="s">
        <v>27</v>
      </c>
      <c r="P2408" t="s">
        <v>48</v>
      </c>
      <c r="Q2408" t="s">
        <v>49</v>
      </c>
      <c r="R2408" t="s">
        <v>50</v>
      </c>
      <c r="S2408" t="s">
        <v>28</v>
      </c>
      <c r="T2408" t="s">
        <v>9190</v>
      </c>
      <c r="U2408" t="s">
        <v>9191</v>
      </c>
    </row>
    <row r="2409" spans="1:21" x14ac:dyDescent="0.25">
      <c r="A2409" t="s">
        <v>58</v>
      </c>
      <c r="B2409" t="s">
        <v>103</v>
      </c>
      <c r="C2409">
        <v>84</v>
      </c>
      <c r="D2409">
        <v>1</v>
      </c>
      <c r="E2409">
        <v>0</v>
      </c>
      <c r="F2409" t="s">
        <v>9186</v>
      </c>
      <c r="G2409">
        <v>257</v>
      </c>
      <c r="H2409">
        <v>5</v>
      </c>
      <c r="I2409" t="s">
        <v>105</v>
      </c>
      <c r="J2409" t="s">
        <v>9187</v>
      </c>
      <c r="K2409" t="s">
        <v>9188</v>
      </c>
      <c r="L2409" t="s">
        <v>1522</v>
      </c>
      <c r="M2409" t="s">
        <v>9189</v>
      </c>
      <c r="N2409" t="s">
        <v>9179</v>
      </c>
      <c r="O2409" t="s">
        <v>27</v>
      </c>
      <c r="P2409" t="s">
        <v>48</v>
      </c>
      <c r="Q2409" t="s">
        <v>49</v>
      </c>
      <c r="R2409" t="s">
        <v>50</v>
      </c>
      <c r="S2409" t="s">
        <v>28</v>
      </c>
      <c r="T2409" t="s">
        <v>9190</v>
      </c>
      <c r="U2409" t="s">
        <v>9191</v>
      </c>
    </row>
    <row r="2410" spans="1:21" x14ac:dyDescent="0.25">
      <c r="A2410" t="s">
        <v>58</v>
      </c>
      <c r="B2410" t="s">
        <v>103</v>
      </c>
      <c r="C2410">
        <v>84</v>
      </c>
      <c r="D2410">
        <v>1</v>
      </c>
      <c r="E2410">
        <v>0</v>
      </c>
      <c r="F2410" t="s">
        <v>9186</v>
      </c>
      <c r="G2410">
        <v>257</v>
      </c>
      <c r="H2410">
        <v>5</v>
      </c>
      <c r="I2410" t="s">
        <v>105</v>
      </c>
      <c r="J2410" t="s">
        <v>9187</v>
      </c>
      <c r="K2410" t="s">
        <v>9188</v>
      </c>
      <c r="L2410" t="s">
        <v>1522</v>
      </c>
      <c r="M2410" t="s">
        <v>9189</v>
      </c>
      <c r="N2410" t="s">
        <v>9179</v>
      </c>
      <c r="O2410" t="s">
        <v>27</v>
      </c>
      <c r="P2410" t="s">
        <v>48</v>
      </c>
      <c r="Q2410" t="s">
        <v>49</v>
      </c>
      <c r="R2410" t="s">
        <v>50</v>
      </c>
      <c r="S2410" t="s">
        <v>28</v>
      </c>
      <c r="T2410" t="s">
        <v>9190</v>
      </c>
      <c r="U2410" t="s">
        <v>9192</v>
      </c>
    </row>
    <row r="2411" spans="1:21" x14ac:dyDescent="0.25">
      <c r="A2411" t="s">
        <v>70</v>
      </c>
      <c r="B2411" t="s">
        <v>70</v>
      </c>
      <c r="C2411">
        <v>350</v>
      </c>
      <c r="D2411">
        <v>1</v>
      </c>
      <c r="E2411">
        <v>0</v>
      </c>
      <c r="F2411" t="s">
        <v>9193</v>
      </c>
      <c r="G2411">
        <v>350</v>
      </c>
      <c r="H2411">
        <v>0</v>
      </c>
      <c r="I2411" t="s">
        <v>140</v>
      </c>
      <c r="J2411" t="s">
        <v>9194</v>
      </c>
      <c r="K2411" t="s">
        <v>9195</v>
      </c>
      <c r="L2411" t="s">
        <v>27</v>
      </c>
      <c r="M2411" t="s">
        <v>28</v>
      </c>
      <c r="N2411" t="s">
        <v>9196</v>
      </c>
      <c r="O2411" t="s">
        <v>27</v>
      </c>
      <c r="P2411" t="s">
        <v>30</v>
      </c>
      <c r="Q2411" t="s">
        <v>31</v>
      </c>
      <c r="R2411" t="s">
        <v>32</v>
      </c>
      <c r="S2411" t="s">
        <v>28</v>
      </c>
      <c r="T2411" t="s">
        <v>9197</v>
      </c>
      <c r="U2411" t="s">
        <v>9198</v>
      </c>
    </row>
    <row r="2412" spans="1:21" x14ac:dyDescent="0.25">
      <c r="A2412" t="s">
        <v>143</v>
      </c>
      <c r="B2412" t="s">
        <v>144</v>
      </c>
      <c r="C2412">
        <v>200</v>
      </c>
      <c r="D2412">
        <v>1</v>
      </c>
      <c r="E2412">
        <v>0</v>
      </c>
      <c r="F2412" t="s">
        <v>9199</v>
      </c>
      <c r="G2412">
        <v>200</v>
      </c>
      <c r="H2412">
        <v>0</v>
      </c>
      <c r="I2412" t="s">
        <v>24</v>
      </c>
      <c r="J2412" t="s">
        <v>9200</v>
      </c>
      <c r="K2412" t="s">
        <v>321</v>
      </c>
      <c r="L2412" t="s">
        <v>27</v>
      </c>
      <c r="M2412" t="s">
        <v>28</v>
      </c>
      <c r="N2412" t="s">
        <v>9201</v>
      </c>
      <c r="O2412" t="s">
        <v>27</v>
      </c>
      <c r="P2412" t="s">
        <v>39</v>
      </c>
      <c r="Q2412" t="s">
        <v>31</v>
      </c>
      <c r="R2412" t="s">
        <v>32</v>
      </c>
      <c r="S2412" t="s">
        <v>28</v>
      </c>
      <c r="T2412" t="s">
        <v>9202</v>
      </c>
      <c r="U2412" t="s">
        <v>9201</v>
      </c>
    </row>
    <row r="2413" spans="1:21" x14ac:dyDescent="0.25">
      <c r="A2413" t="s">
        <v>21</v>
      </c>
      <c r="B2413" t="s">
        <v>22</v>
      </c>
      <c r="C2413">
        <v>100</v>
      </c>
      <c r="D2413">
        <v>1</v>
      </c>
      <c r="E2413">
        <v>0</v>
      </c>
      <c r="F2413" t="s">
        <v>9203</v>
      </c>
      <c r="G2413">
        <v>100</v>
      </c>
      <c r="H2413">
        <v>0</v>
      </c>
      <c r="I2413" t="s">
        <v>24</v>
      </c>
      <c r="J2413" t="s">
        <v>9204</v>
      </c>
      <c r="K2413" t="s">
        <v>213</v>
      </c>
      <c r="L2413" t="s">
        <v>27</v>
      </c>
      <c r="M2413" t="s">
        <v>28</v>
      </c>
      <c r="N2413" t="s">
        <v>9205</v>
      </c>
      <c r="O2413" t="s">
        <v>27</v>
      </c>
      <c r="P2413" t="s">
        <v>56</v>
      </c>
      <c r="Q2413" t="s">
        <v>31</v>
      </c>
      <c r="R2413" t="s">
        <v>57</v>
      </c>
      <c r="S2413" t="s">
        <v>28</v>
      </c>
      <c r="T2413" t="s">
        <v>9206</v>
      </c>
      <c r="U2413" t="s">
        <v>9205</v>
      </c>
    </row>
    <row r="2414" spans="1:21" x14ac:dyDescent="0.25">
      <c r="A2414" t="s">
        <v>63</v>
      </c>
      <c r="B2414" t="s">
        <v>64</v>
      </c>
      <c r="C2414">
        <v>100</v>
      </c>
      <c r="D2414">
        <v>1</v>
      </c>
      <c r="E2414">
        <v>0</v>
      </c>
      <c r="F2414" t="s">
        <v>9207</v>
      </c>
      <c r="G2414">
        <v>200</v>
      </c>
      <c r="H2414">
        <v>0</v>
      </c>
      <c r="I2414" t="s">
        <v>24</v>
      </c>
      <c r="J2414" t="s">
        <v>9208</v>
      </c>
      <c r="K2414" t="s">
        <v>342</v>
      </c>
      <c r="L2414" t="s">
        <v>27</v>
      </c>
      <c r="M2414" t="s">
        <v>28</v>
      </c>
      <c r="N2414" t="s">
        <v>9209</v>
      </c>
      <c r="O2414" t="s">
        <v>27</v>
      </c>
      <c r="P2414" t="s">
        <v>56</v>
      </c>
      <c r="Q2414" t="s">
        <v>31</v>
      </c>
      <c r="R2414" t="s">
        <v>57</v>
      </c>
      <c r="S2414" t="s">
        <v>28</v>
      </c>
      <c r="T2414" t="s">
        <v>9210</v>
      </c>
      <c r="U2414" t="s">
        <v>9209</v>
      </c>
    </row>
    <row r="2415" spans="1:21" x14ac:dyDescent="0.25">
      <c r="A2415" t="s">
        <v>134</v>
      </c>
      <c r="B2415" t="s">
        <v>64</v>
      </c>
      <c r="C2415">
        <v>100</v>
      </c>
      <c r="D2415">
        <v>1</v>
      </c>
      <c r="E2415">
        <v>0</v>
      </c>
      <c r="F2415" t="s">
        <v>9207</v>
      </c>
      <c r="G2415">
        <v>200</v>
      </c>
      <c r="H2415">
        <v>0</v>
      </c>
      <c r="I2415" t="s">
        <v>24</v>
      </c>
      <c r="J2415" t="s">
        <v>9208</v>
      </c>
      <c r="K2415" t="s">
        <v>342</v>
      </c>
      <c r="L2415" t="s">
        <v>27</v>
      </c>
      <c r="M2415" t="s">
        <v>28</v>
      </c>
      <c r="N2415" t="s">
        <v>9209</v>
      </c>
      <c r="O2415" t="s">
        <v>27</v>
      </c>
      <c r="P2415" t="s">
        <v>56</v>
      </c>
      <c r="Q2415" t="s">
        <v>31</v>
      </c>
      <c r="R2415" t="s">
        <v>57</v>
      </c>
      <c r="S2415" t="s">
        <v>28</v>
      </c>
      <c r="T2415" t="s">
        <v>9210</v>
      </c>
      <c r="U2415" t="s">
        <v>9209</v>
      </c>
    </row>
    <row r="2416" spans="1:21" x14ac:dyDescent="0.25">
      <c r="A2416" t="s">
        <v>33</v>
      </c>
      <c r="B2416" t="s">
        <v>34</v>
      </c>
      <c r="C2416">
        <v>200</v>
      </c>
      <c r="D2416">
        <v>1</v>
      </c>
      <c r="E2416">
        <v>0</v>
      </c>
      <c r="F2416" t="s">
        <v>9211</v>
      </c>
      <c r="G2416">
        <v>200</v>
      </c>
      <c r="H2416">
        <v>0</v>
      </c>
      <c r="I2416" t="s">
        <v>24</v>
      </c>
      <c r="J2416" t="s">
        <v>9212</v>
      </c>
      <c r="K2416" t="s">
        <v>579</v>
      </c>
      <c r="L2416" t="s">
        <v>27</v>
      </c>
      <c r="M2416" t="s">
        <v>28</v>
      </c>
      <c r="N2416" t="s">
        <v>9213</v>
      </c>
      <c r="O2416" t="s">
        <v>27</v>
      </c>
      <c r="P2416" t="s">
        <v>56</v>
      </c>
      <c r="Q2416" t="s">
        <v>31</v>
      </c>
      <c r="R2416" t="s">
        <v>57</v>
      </c>
      <c r="S2416" t="s">
        <v>28</v>
      </c>
      <c r="T2416" t="s">
        <v>9214</v>
      </c>
      <c r="U2416" t="s">
        <v>9215</v>
      </c>
    </row>
    <row r="2417" spans="1:21" x14ac:dyDescent="0.25">
      <c r="A2417" t="s">
        <v>21</v>
      </c>
      <c r="B2417" t="s">
        <v>22</v>
      </c>
      <c r="C2417">
        <v>100</v>
      </c>
      <c r="D2417">
        <v>1</v>
      </c>
      <c r="E2417">
        <v>0</v>
      </c>
      <c r="F2417" t="s">
        <v>9216</v>
      </c>
      <c r="G2417">
        <v>106</v>
      </c>
      <c r="H2417">
        <v>6</v>
      </c>
      <c r="I2417" t="s">
        <v>24</v>
      </c>
      <c r="J2417" t="s">
        <v>9217</v>
      </c>
      <c r="K2417" t="s">
        <v>2470</v>
      </c>
      <c r="L2417" t="s">
        <v>27</v>
      </c>
      <c r="M2417" t="s">
        <v>28</v>
      </c>
      <c r="N2417" t="s">
        <v>9218</v>
      </c>
      <c r="O2417" t="s">
        <v>27</v>
      </c>
      <c r="P2417" t="s">
        <v>39</v>
      </c>
      <c r="Q2417" t="s">
        <v>31</v>
      </c>
      <c r="R2417" t="s">
        <v>32</v>
      </c>
      <c r="S2417" t="s">
        <v>28</v>
      </c>
      <c r="T2417" t="s">
        <v>9219</v>
      </c>
      <c r="U2417" t="s">
        <v>9215</v>
      </c>
    </row>
    <row r="2418" spans="1:21" x14ac:dyDescent="0.25">
      <c r="A2418" t="s">
        <v>63</v>
      </c>
      <c r="B2418" t="s">
        <v>64</v>
      </c>
      <c r="C2418">
        <v>100</v>
      </c>
      <c r="D2418">
        <v>1</v>
      </c>
      <c r="E2418">
        <v>0</v>
      </c>
      <c r="F2418" t="s">
        <v>9220</v>
      </c>
      <c r="G2418">
        <v>200</v>
      </c>
      <c r="H2418">
        <v>0</v>
      </c>
      <c r="I2418" t="s">
        <v>445</v>
      </c>
      <c r="J2418" t="s">
        <v>9221</v>
      </c>
      <c r="K2418" t="s">
        <v>579</v>
      </c>
      <c r="L2418" t="s">
        <v>27</v>
      </c>
      <c r="M2418" t="s">
        <v>28</v>
      </c>
      <c r="N2418" t="s">
        <v>9222</v>
      </c>
      <c r="O2418" t="s">
        <v>27</v>
      </c>
      <c r="P2418" t="s">
        <v>56</v>
      </c>
      <c r="Q2418" t="s">
        <v>31</v>
      </c>
      <c r="R2418" t="s">
        <v>57</v>
      </c>
      <c r="S2418" t="s">
        <v>28</v>
      </c>
      <c r="T2418" t="s">
        <v>9223</v>
      </c>
      <c r="U2418" t="s">
        <v>9222</v>
      </c>
    </row>
    <row r="2419" spans="1:21" x14ac:dyDescent="0.25">
      <c r="A2419" t="s">
        <v>58</v>
      </c>
      <c r="B2419" t="s">
        <v>58</v>
      </c>
      <c r="C2419">
        <v>100</v>
      </c>
      <c r="D2419">
        <v>1</v>
      </c>
      <c r="E2419">
        <v>0</v>
      </c>
      <c r="F2419" t="s">
        <v>9220</v>
      </c>
      <c r="G2419">
        <v>200</v>
      </c>
      <c r="H2419">
        <v>0</v>
      </c>
      <c r="I2419" t="s">
        <v>445</v>
      </c>
      <c r="J2419" t="s">
        <v>9221</v>
      </c>
      <c r="K2419" t="s">
        <v>579</v>
      </c>
      <c r="L2419" t="s">
        <v>27</v>
      </c>
      <c r="M2419" t="s">
        <v>28</v>
      </c>
      <c r="N2419" t="s">
        <v>9222</v>
      </c>
      <c r="O2419" t="s">
        <v>27</v>
      </c>
      <c r="P2419" t="s">
        <v>56</v>
      </c>
      <c r="Q2419" t="s">
        <v>31</v>
      </c>
      <c r="R2419" t="s">
        <v>57</v>
      </c>
      <c r="S2419" t="s">
        <v>28</v>
      </c>
      <c r="T2419" t="s">
        <v>9223</v>
      </c>
      <c r="U2419" t="s">
        <v>9224</v>
      </c>
    </row>
    <row r="2420" spans="1:21" x14ac:dyDescent="0.25">
      <c r="A2420" t="s">
        <v>143</v>
      </c>
      <c r="B2420" t="s">
        <v>144</v>
      </c>
      <c r="C2420">
        <v>200</v>
      </c>
      <c r="D2420">
        <v>1</v>
      </c>
      <c r="E2420">
        <v>0</v>
      </c>
      <c r="F2420" t="s">
        <v>9225</v>
      </c>
      <c r="G2420">
        <v>200</v>
      </c>
      <c r="H2420">
        <v>0</v>
      </c>
      <c r="I2420" t="s">
        <v>24</v>
      </c>
      <c r="J2420" t="s">
        <v>9226</v>
      </c>
      <c r="K2420" t="s">
        <v>54</v>
      </c>
      <c r="L2420" t="s">
        <v>27</v>
      </c>
      <c r="M2420" t="s">
        <v>28</v>
      </c>
      <c r="N2420" t="s">
        <v>9227</v>
      </c>
      <c r="O2420" t="s">
        <v>27</v>
      </c>
      <c r="P2420" t="s">
        <v>39</v>
      </c>
      <c r="Q2420" t="s">
        <v>31</v>
      </c>
      <c r="R2420" t="s">
        <v>32</v>
      </c>
      <c r="S2420" t="s">
        <v>28</v>
      </c>
      <c r="T2420" t="s">
        <v>9228</v>
      </c>
      <c r="U2420" t="s">
        <v>9227</v>
      </c>
    </row>
    <row r="2421" spans="1:21" x14ac:dyDescent="0.25">
      <c r="A2421" t="s">
        <v>143</v>
      </c>
      <c r="B2421" t="s">
        <v>144</v>
      </c>
      <c r="C2421">
        <v>200</v>
      </c>
      <c r="D2421">
        <v>1</v>
      </c>
      <c r="E2421">
        <v>0</v>
      </c>
      <c r="F2421" t="s">
        <v>9229</v>
      </c>
      <c r="G2421">
        <v>200</v>
      </c>
      <c r="H2421">
        <v>0</v>
      </c>
      <c r="I2421" t="s">
        <v>24</v>
      </c>
      <c r="J2421" t="s">
        <v>9230</v>
      </c>
      <c r="K2421" t="s">
        <v>89</v>
      </c>
      <c r="L2421" t="s">
        <v>27</v>
      </c>
      <c r="M2421" t="s">
        <v>28</v>
      </c>
      <c r="N2421" t="s">
        <v>9231</v>
      </c>
      <c r="O2421" t="s">
        <v>27</v>
      </c>
      <c r="P2421" t="s">
        <v>56</v>
      </c>
      <c r="Q2421" t="s">
        <v>31</v>
      </c>
      <c r="R2421" t="s">
        <v>57</v>
      </c>
      <c r="S2421" t="s">
        <v>28</v>
      </c>
      <c r="T2421" t="s">
        <v>9232</v>
      </c>
      <c r="U2421" t="s">
        <v>9231</v>
      </c>
    </row>
    <row r="2422" spans="1:21" x14ac:dyDescent="0.25">
      <c r="A2422" t="s">
        <v>456</v>
      </c>
      <c r="B2422" t="s">
        <v>1178</v>
      </c>
      <c r="C2422">
        <v>180</v>
      </c>
      <c r="D2422">
        <v>1</v>
      </c>
      <c r="E2422">
        <v>0</v>
      </c>
      <c r="F2422" t="s">
        <v>9233</v>
      </c>
      <c r="G2422">
        <v>185</v>
      </c>
      <c r="H2422">
        <v>5</v>
      </c>
      <c r="I2422" t="s">
        <v>628</v>
      </c>
      <c r="J2422" t="s">
        <v>4060</v>
      </c>
      <c r="K2422" t="s">
        <v>4061</v>
      </c>
      <c r="L2422" t="s">
        <v>4062</v>
      </c>
      <c r="M2422" t="s">
        <v>4063</v>
      </c>
      <c r="N2422" t="s">
        <v>9234</v>
      </c>
      <c r="O2422" t="s">
        <v>27</v>
      </c>
      <c r="P2422" t="s">
        <v>48</v>
      </c>
      <c r="Q2422" t="s">
        <v>49</v>
      </c>
      <c r="R2422" t="s">
        <v>50</v>
      </c>
      <c r="S2422" t="s">
        <v>28</v>
      </c>
      <c r="T2422" t="s">
        <v>9235</v>
      </c>
      <c r="U2422" t="s">
        <v>9234</v>
      </c>
    </row>
    <row r="2423" spans="1:21" x14ac:dyDescent="0.25">
      <c r="A2423" t="s">
        <v>143</v>
      </c>
      <c r="B2423" t="s">
        <v>144</v>
      </c>
      <c r="C2423">
        <v>200</v>
      </c>
      <c r="D2423">
        <v>1</v>
      </c>
      <c r="E2423">
        <v>0</v>
      </c>
      <c r="F2423" t="s">
        <v>9236</v>
      </c>
      <c r="G2423">
        <v>200</v>
      </c>
      <c r="H2423">
        <v>0</v>
      </c>
      <c r="I2423" t="s">
        <v>445</v>
      </c>
      <c r="J2423" t="s">
        <v>7574</v>
      </c>
      <c r="K2423" t="s">
        <v>7575</v>
      </c>
      <c r="L2423" t="s">
        <v>27</v>
      </c>
      <c r="M2423" t="s">
        <v>28</v>
      </c>
      <c r="N2423" t="s">
        <v>9237</v>
      </c>
      <c r="O2423" t="s">
        <v>27</v>
      </c>
      <c r="P2423" t="s">
        <v>39</v>
      </c>
      <c r="Q2423" t="s">
        <v>31</v>
      </c>
      <c r="R2423" t="s">
        <v>32</v>
      </c>
      <c r="S2423" t="s">
        <v>28</v>
      </c>
      <c r="T2423" t="s">
        <v>9238</v>
      </c>
      <c r="U2423" t="s">
        <v>9237</v>
      </c>
    </row>
    <row r="2424" spans="1:21" x14ac:dyDescent="0.25">
      <c r="A2424" t="s">
        <v>2703</v>
      </c>
      <c r="B2424" t="s">
        <v>5909</v>
      </c>
      <c r="C2424">
        <v>420</v>
      </c>
      <c r="D2424">
        <v>2</v>
      </c>
      <c r="E2424">
        <v>0</v>
      </c>
      <c r="F2424" t="s">
        <v>9239</v>
      </c>
      <c r="G2424">
        <v>840</v>
      </c>
      <c r="H2424">
        <v>0</v>
      </c>
      <c r="I2424" t="s">
        <v>24</v>
      </c>
      <c r="J2424" t="s">
        <v>188</v>
      </c>
      <c r="K2424" t="s">
        <v>5382</v>
      </c>
      <c r="L2424" t="s">
        <v>925</v>
      </c>
      <c r="M2424" t="s">
        <v>2672</v>
      </c>
      <c r="N2424" t="s">
        <v>9240</v>
      </c>
      <c r="O2424" t="s">
        <v>27</v>
      </c>
      <c r="P2424" t="s">
        <v>193</v>
      </c>
      <c r="Q2424" t="s">
        <v>85</v>
      </c>
      <c r="R2424" t="s">
        <v>86</v>
      </c>
      <c r="S2424" t="s">
        <v>28</v>
      </c>
      <c r="T2424" t="s">
        <v>9241</v>
      </c>
      <c r="U2424" t="s">
        <v>9240</v>
      </c>
    </row>
    <row r="2425" spans="1:21" x14ac:dyDescent="0.25">
      <c r="A2425" t="s">
        <v>143</v>
      </c>
      <c r="B2425" t="s">
        <v>144</v>
      </c>
      <c r="C2425">
        <v>200</v>
      </c>
      <c r="D2425">
        <v>1</v>
      </c>
      <c r="E2425">
        <v>0</v>
      </c>
      <c r="F2425" t="s">
        <v>9242</v>
      </c>
      <c r="G2425">
        <v>200</v>
      </c>
      <c r="H2425">
        <v>0</v>
      </c>
      <c r="I2425" t="s">
        <v>140</v>
      </c>
      <c r="J2425" t="s">
        <v>9243</v>
      </c>
      <c r="K2425" t="s">
        <v>241</v>
      </c>
      <c r="L2425" t="s">
        <v>27</v>
      </c>
      <c r="M2425" t="s">
        <v>28</v>
      </c>
      <c r="N2425" t="s">
        <v>9244</v>
      </c>
      <c r="O2425" t="s">
        <v>27</v>
      </c>
      <c r="P2425" t="s">
        <v>30</v>
      </c>
      <c r="Q2425" t="s">
        <v>31</v>
      </c>
      <c r="R2425" t="s">
        <v>32</v>
      </c>
      <c r="S2425" t="s">
        <v>28</v>
      </c>
      <c r="T2425" t="s">
        <v>9245</v>
      </c>
      <c r="U2425" t="s">
        <v>9244</v>
      </c>
    </row>
    <row r="2426" spans="1:21" x14ac:dyDescent="0.25">
      <c r="A2426" t="s">
        <v>143</v>
      </c>
      <c r="B2426" t="s">
        <v>144</v>
      </c>
      <c r="C2426">
        <v>200</v>
      </c>
      <c r="D2426">
        <v>1</v>
      </c>
      <c r="E2426">
        <v>0</v>
      </c>
      <c r="F2426" t="s">
        <v>9246</v>
      </c>
      <c r="G2426">
        <v>200</v>
      </c>
      <c r="H2426">
        <v>0</v>
      </c>
      <c r="I2426" t="s">
        <v>140</v>
      </c>
      <c r="J2426" t="s">
        <v>9247</v>
      </c>
      <c r="K2426" t="s">
        <v>67</v>
      </c>
      <c r="L2426" t="s">
        <v>27</v>
      </c>
      <c r="M2426" t="s">
        <v>28</v>
      </c>
      <c r="N2426" t="s">
        <v>9248</v>
      </c>
      <c r="O2426" t="s">
        <v>27</v>
      </c>
      <c r="P2426" t="s">
        <v>30</v>
      </c>
      <c r="Q2426" t="s">
        <v>31</v>
      </c>
      <c r="R2426" t="s">
        <v>32</v>
      </c>
      <c r="S2426" t="s">
        <v>28</v>
      </c>
      <c r="T2426" t="s">
        <v>9249</v>
      </c>
      <c r="U2426" t="s">
        <v>9248</v>
      </c>
    </row>
    <row r="2427" spans="1:21" x14ac:dyDescent="0.25">
      <c r="A2427" t="s">
        <v>134</v>
      </c>
      <c r="B2427" t="s">
        <v>64</v>
      </c>
      <c r="C2427">
        <v>100</v>
      </c>
      <c r="D2427">
        <v>1</v>
      </c>
      <c r="E2427">
        <v>0</v>
      </c>
      <c r="F2427" t="s">
        <v>9250</v>
      </c>
      <c r="G2427">
        <v>106</v>
      </c>
      <c r="H2427">
        <v>6</v>
      </c>
      <c r="I2427" t="s">
        <v>24</v>
      </c>
      <c r="J2427" t="s">
        <v>9251</v>
      </c>
      <c r="K2427" t="s">
        <v>936</v>
      </c>
      <c r="L2427" t="s">
        <v>27</v>
      </c>
      <c r="M2427" t="s">
        <v>28</v>
      </c>
      <c r="N2427" t="s">
        <v>9252</v>
      </c>
      <c r="O2427" t="s">
        <v>27</v>
      </c>
      <c r="P2427" t="s">
        <v>39</v>
      </c>
      <c r="Q2427" t="s">
        <v>31</v>
      </c>
      <c r="R2427" t="s">
        <v>32</v>
      </c>
      <c r="S2427" t="s">
        <v>28</v>
      </c>
      <c r="T2427" t="s">
        <v>9253</v>
      </c>
      <c r="U2427" t="s">
        <v>9254</v>
      </c>
    </row>
    <row r="2428" spans="1:21" x14ac:dyDescent="0.25">
      <c r="A2428" t="s">
        <v>635</v>
      </c>
      <c r="B2428" t="s">
        <v>636</v>
      </c>
      <c r="C2428">
        <v>800</v>
      </c>
      <c r="D2428">
        <v>2</v>
      </c>
      <c r="E2428">
        <v>0</v>
      </c>
      <c r="F2428" t="s">
        <v>9255</v>
      </c>
      <c r="G2428">
        <v>1734</v>
      </c>
      <c r="H2428">
        <v>134</v>
      </c>
      <c r="I2428" t="s">
        <v>24</v>
      </c>
      <c r="J2428" t="s">
        <v>1232</v>
      </c>
      <c r="K2428" t="s">
        <v>9256</v>
      </c>
      <c r="L2428" t="s">
        <v>1342</v>
      </c>
      <c r="M2428" t="s">
        <v>9257</v>
      </c>
      <c r="N2428" t="s">
        <v>9258</v>
      </c>
      <c r="O2428" t="s">
        <v>27</v>
      </c>
      <c r="P2428" t="s">
        <v>193</v>
      </c>
      <c r="Q2428" t="s">
        <v>85</v>
      </c>
      <c r="R2428" t="s">
        <v>86</v>
      </c>
      <c r="S2428" t="s">
        <v>28</v>
      </c>
      <c r="T2428" t="s">
        <v>9259</v>
      </c>
      <c r="U2428" t="s">
        <v>9258</v>
      </c>
    </row>
    <row r="2429" spans="1:21" x14ac:dyDescent="0.25">
      <c r="A2429" t="s">
        <v>456</v>
      </c>
      <c r="B2429" t="s">
        <v>457</v>
      </c>
      <c r="C2429">
        <v>199</v>
      </c>
      <c r="D2429">
        <v>1</v>
      </c>
      <c r="E2429">
        <v>0</v>
      </c>
      <c r="F2429" t="s">
        <v>9260</v>
      </c>
      <c r="G2429">
        <v>228</v>
      </c>
      <c r="H2429">
        <v>29</v>
      </c>
      <c r="I2429" t="s">
        <v>24</v>
      </c>
      <c r="J2429" t="s">
        <v>9261</v>
      </c>
      <c r="K2429" t="s">
        <v>9262</v>
      </c>
      <c r="L2429" t="s">
        <v>8429</v>
      </c>
      <c r="M2429" t="s">
        <v>7514</v>
      </c>
      <c r="N2429" t="s">
        <v>9263</v>
      </c>
      <c r="O2429" t="s">
        <v>27</v>
      </c>
      <c r="P2429" t="s">
        <v>193</v>
      </c>
      <c r="Q2429" t="s">
        <v>85</v>
      </c>
      <c r="R2429" t="s">
        <v>86</v>
      </c>
      <c r="S2429" t="s">
        <v>28</v>
      </c>
      <c r="T2429" t="s">
        <v>9264</v>
      </c>
      <c r="U2429" t="s">
        <v>9265</v>
      </c>
    </row>
    <row r="2430" spans="1:21" x14ac:dyDescent="0.25">
      <c r="A2430" t="s">
        <v>63</v>
      </c>
      <c r="B2430" t="s">
        <v>64</v>
      </c>
      <c r="C2430">
        <v>100</v>
      </c>
      <c r="D2430">
        <v>3</v>
      </c>
      <c r="E2430">
        <v>0</v>
      </c>
      <c r="F2430" t="s">
        <v>9266</v>
      </c>
      <c r="G2430">
        <v>300</v>
      </c>
      <c r="H2430">
        <v>0</v>
      </c>
      <c r="I2430" t="s">
        <v>445</v>
      </c>
      <c r="J2430" t="s">
        <v>9267</v>
      </c>
      <c r="K2430" t="s">
        <v>89</v>
      </c>
      <c r="L2430" t="s">
        <v>27</v>
      </c>
      <c r="M2430" t="s">
        <v>28</v>
      </c>
      <c r="N2430" t="s">
        <v>9268</v>
      </c>
      <c r="O2430" t="s">
        <v>27</v>
      </c>
      <c r="P2430" t="s">
        <v>56</v>
      </c>
      <c r="Q2430" t="s">
        <v>31</v>
      </c>
      <c r="R2430" t="s">
        <v>57</v>
      </c>
      <c r="S2430" t="s">
        <v>28</v>
      </c>
      <c r="T2430" t="s">
        <v>9269</v>
      </c>
      <c r="U2430" t="s">
        <v>9268</v>
      </c>
    </row>
    <row r="2431" spans="1:21" x14ac:dyDescent="0.25">
      <c r="A2431" t="s">
        <v>143</v>
      </c>
      <c r="B2431" t="s">
        <v>144</v>
      </c>
      <c r="C2431">
        <v>200</v>
      </c>
      <c r="D2431">
        <v>1</v>
      </c>
      <c r="E2431">
        <v>0</v>
      </c>
      <c r="F2431" t="s">
        <v>9270</v>
      </c>
      <c r="G2431">
        <v>200</v>
      </c>
      <c r="H2431">
        <v>0</v>
      </c>
      <c r="I2431" t="s">
        <v>24</v>
      </c>
      <c r="J2431" t="s">
        <v>9271</v>
      </c>
      <c r="K2431" t="s">
        <v>89</v>
      </c>
      <c r="L2431" t="s">
        <v>27</v>
      </c>
      <c r="M2431" t="s">
        <v>28</v>
      </c>
      <c r="N2431" t="s">
        <v>9272</v>
      </c>
      <c r="O2431" t="s">
        <v>27</v>
      </c>
      <c r="P2431" t="s">
        <v>39</v>
      </c>
      <c r="Q2431" t="s">
        <v>31</v>
      </c>
      <c r="R2431" t="s">
        <v>32</v>
      </c>
      <c r="S2431" t="s">
        <v>28</v>
      </c>
      <c r="T2431" t="s">
        <v>9273</v>
      </c>
      <c r="U2431" t="s">
        <v>9272</v>
      </c>
    </row>
    <row r="2432" spans="1:21" x14ac:dyDescent="0.25">
      <c r="A2432" t="s">
        <v>195</v>
      </c>
      <c r="B2432" t="s">
        <v>1003</v>
      </c>
      <c r="C2432">
        <v>197.75</v>
      </c>
      <c r="D2432">
        <v>1</v>
      </c>
      <c r="E2432">
        <v>0</v>
      </c>
      <c r="F2432" t="s">
        <v>9274</v>
      </c>
      <c r="G2432">
        <v>202.75</v>
      </c>
      <c r="H2432">
        <v>5</v>
      </c>
      <c r="I2432" t="s">
        <v>628</v>
      </c>
      <c r="J2432" t="s">
        <v>9275</v>
      </c>
      <c r="K2432" t="s">
        <v>9276</v>
      </c>
      <c r="L2432" t="s">
        <v>925</v>
      </c>
      <c r="M2432" t="s">
        <v>9277</v>
      </c>
      <c r="N2432" t="s">
        <v>9278</v>
      </c>
      <c r="O2432" t="s">
        <v>27</v>
      </c>
      <c r="P2432" t="s">
        <v>48</v>
      </c>
      <c r="Q2432" t="s">
        <v>49</v>
      </c>
      <c r="R2432" t="s">
        <v>50</v>
      </c>
      <c r="S2432" t="s">
        <v>28</v>
      </c>
      <c r="T2432" t="s">
        <v>9279</v>
      </c>
      <c r="U2432" t="s">
        <v>9278</v>
      </c>
    </row>
    <row r="2433" spans="1:21" x14ac:dyDescent="0.25">
      <c r="A2433" t="s">
        <v>134</v>
      </c>
      <c r="B2433" t="s">
        <v>64</v>
      </c>
      <c r="C2433">
        <v>123</v>
      </c>
      <c r="D2433">
        <v>1</v>
      </c>
      <c r="E2433">
        <v>0</v>
      </c>
      <c r="F2433" t="s">
        <v>9280</v>
      </c>
      <c r="G2433">
        <v>128</v>
      </c>
      <c r="H2433">
        <v>5</v>
      </c>
      <c r="I2433" t="s">
        <v>24</v>
      </c>
      <c r="J2433" t="s">
        <v>9275</v>
      </c>
      <c r="K2433" t="s">
        <v>9276</v>
      </c>
      <c r="L2433" t="s">
        <v>925</v>
      </c>
      <c r="M2433" t="s">
        <v>9277</v>
      </c>
      <c r="N2433" t="s">
        <v>9281</v>
      </c>
      <c r="O2433" t="s">
        <v>27</v>
      </c>
      <c r="P2433" t="s">
        <v>48</v>
      </c>
      <c r="Q2433" t="s">
        <v>49</v>
      </c>
      <c r="R2433" t="s">
        <v>50</v>
      </c>
      <c r="S2433" t="s">
        <v>28</v>
      </c>
      <c r="T2433" t="s">
        <v>9282</v>
      </c>
      <c r="U2433" t="s">
        <v>9283</v>
      </c>
    </row>
    <row r="2434" spans="1:21" x14ac:dyDescent="0.25">
      <c r="A2434" t="s">
        <v>63</v>
      </c>
      <c r="B2434" t="s">
        <v>64</v>
      </c>
      <c r="C2434">
        <v>100</v>
      </c>
      <c r="D2434">
        <v>2</v>
      </c>
      <c r="E2434">
        <v>0</v>
      </c>
      <c r="F2434" t="s">
        <v>9284</v>
      </c>
      <c r="G2434">
        <v>400</v>
      </c>
      <c r="H2434">
        <v>0</v>
      </c>
      <c r="I2434" t="s">
        <v>24</v>
      </c>
      <c r="J2434" t="s">
        <v>9285</v>
      </c>
      <c r="K2434" t="s">
        <v>1602</v>
      </c>
      <c r="L2434" t="s">
        <v>27</v>
      </c>
      <c r="M2434" t="s">
        <v>28</v>
      </c>
      <c r="N2434" t="s">
        <v>9286</v>
      </c>
      <c r="O2434" t="s">
        <v>27</v>
      </c>
      <c r="P2434" t="s">
        <v>56</v>
      </c>
      <c r="Q2434" t="s">
        <v>31</v>
      </c>
      <c r="R2434" t="s">
        <v>57</v>
      </c>
      <c r="S2434" t="s">
        <v>28</v>
      </c>
      <c r="T2434" t="s">
        <v>9287</v>
      </c>
      <c r="U2434" t="s">
        <v>9286</v>
      </c>
    </row>
    <row r="2435" spans="1:21" x14ac:dyDescent="0.25">
      <c r="A2435" t="s">
        <v>134</v>
      </c>
      <c r="B2435" t="s">
        <v>64</v>
      </c>
      <c r="C2435">
        <v>100</v>
      </c>
      <c r="D2435">
        <v>2</v>
      </c>
      <c r="E2435">
        <v>0</v>
      </c>
      <c r="F2435" t="s">
        <v>9284</v>
      </c>
      <c r="G2435">
        <v>400</v>
      </c>
      <c r="H2435">
        <v>0</v>
      </c>
      <c r="I2435" t="s">
        <v>24</v>
      </c>
      <c r="J2435" t="s">
        <v>9285</v>
      </c>
      <c r="K2435" t="s">
        <v>1602</v>
      </c>
      <c r="L2435" t="s">
        <v>27</v>
      </c>
      <c r="M2435" t="s">
        <v>28</v>
      </c>
      <c r="N2435" t="s">
        <v>9286</v>
      </c>
      <c r="O2435" t="s">
        <v>27</v>
      </c>
      <c r="P2435" t="s">
        <v>56</v>
      </c>
      <c r="Q2435" t="s">
        <v>31</v>
      </c>
      <c r="R2435" t="s">
        <v>57</v>
      </c>
      <c r="S2435" t="s">
        <v>28</v>
      </c>
      <c r="T2435" t="s">
        <v>9287</v>
      </c>
      <c r="U2435" t="s">
        <v>9286</v>
      </c>
    </row>
    <row r="2436" spans="1:21" x14ac:dyDescent="0.25">
      <c r="A2436" t="s">
        <v>1513</v>
      </c>
      <c r="B2436" t="s">
        <v>1514</v>
      </c>
      <c r="C2436">
        <v>400</v>
      </c>
      <c r="D2436">
        <v>1</v>
      </c>
      <c r="E2436">
        <v>0</v>
      </c>
      <c r="F2436" t="s">
        <v>9288</v>
      </c>
      <c r="G2436">
        <v>400</v>
      </c>
      <c r="H2436">
        <v>0</v>
      </c>
      <c r="I2436" t="s">
        <v>140</v>
      </c>
      <c r="J2436" t="s">
        <v>9289</v>
      </c>
      <c r="K2436" t="s">
        <v>311</v>
      </c>
      <c r="L2436" t="s">
        <v>27</v>
      </c>
      <c r="M2436" t="s">
        <v>28</v>
      </c>
      <c r="N2436" t="s">
        <v>9290</v>
      </c>
      <c r="O2436" t="s">
        <v>27</v>
      </c>
      <c r="P2436" t="s">
        <v>30</v>
      </c>
      <c r="Q2436" t="s">
        <v>31</v>
      </c>
      <c r="R2436" t="s">
        <v>32</v>
      </c>
      <c r="S2436" t="s">
        <v>28</v>
      </c>
      <c r="T2436" t="s">
        <v>9291</v>
      </c>
      <c r="U2436" t="s">
        <v>9292</v>
      </c>
    </row>
    <row r="2437" spans="1:21" x14ac:dyDescent="0.25">
      <c r="A2437" t="s">
        <v>63</v>
      </c>
      <c r="B2437" t="s">
        <v>64</v>
      </c>
      <c r="C2437">
        <v>100</v>
      </c>
      <c r="D2437">
        <v>4</v>
      </c>
      <c r="E2437">
        <v>0</v>
      </c>
      <c r="F2437" t="s">
        <v>9293</v>
      </c>
      <c r="G2437">
        <v>400</v>
      </c>
      <c r="H2437">
        <v>0</v>
      </c>
      <c r="I2437" t="s">
        <v>24</v>
      </c>
      <c r="J2437" t="s">
        <v>9289</v>
      </c>
      <c r="K2437" t="s">
        <v>311</v>
      </c>
      <c r="L2437" t="s">
        <v>27</v>
      </c>
      <c r="M2437" t="s">
        <v>28</v>
      </c>
      <c r="N2437" t="s">
        <v>9294</v>
      </c>
      <c r="O2437" t="s">
        <v>27</v>
      </c>
      <c r="P2437" t="s">
        <v>39</v>
      </c>
      <c r="Q2437" t="s">
        <v>31</v>
      </c>
      <c r="R2437" t="s">
        <v>32</v>
      </c>
      <c r="S2437" t="s">
        <v>28</v>
      </c>
      <c r="T2437" t="s">
        <v>9295</v>
      </c>
      <c r="U2437" t="s">
        <v>9296</v>
      </c>
    </row>
    <row r="2438" spans="1:21" x14ac:dyDescent="0.25">
      <c r="A2438" t="s">
        <v>456</v>
      </c>
      <c r="B2438" t="s">
        <v>457</v>
      </c>
      <c r="C2438">
        <v>199</v>
      </c>
      <c r="D2438">
        <v>1</v>
      </c>
      <c r="E2438">
        <v>0</v>
      </c>
      <c r="F2438" t="s">
        <v>9297</v>
      </c>
      <c r="G2438">
        <v>228</v>
      </c>
      <c r="H2438">
        <v>29</v>
      </c>
      <c r="I2438" t="s">
        <v>24</v>
      </c>
      <c r="J2438" t="s">
        <v>7836</v>
      </c>
      <c r="K2438" t="s">
        <v>7873</v>
      </c>
      <c r="L2438" t="s">
        <v>7838</v>
      </c>
      <c r="M2438" t="s">
        <v>7874</v>
      </c>
      <c r="N2438" t="s">
        <v>9298</v>
      </c>
      <c r="O2438" t="s">
        <v>27</v>
      </c>
      <c r="P2438" t="s">
        <v>193</v>
      </c>
      <c r="Q2438" t="s">
        <v>85</v>
      </c>
      <c r="R2438" t="s">
        <v>86</v>
      </c>
      <c r="S2438" t="s">
        <v>28</v>
      </c>
      <c r="T2438" t="s">
        <v>9299</v>
      </c>
      <c r="U2438" t="s">
        <v>9300</v>
      </c>
    </row>
    <row r="2439" spans="1:21" x14ac:dyDescent="0.25">
      <c r="A2439" t="s">
        <v>456</v>
      </c>
      <c r="B2439" t="s">
        <v>457</v>
      </c>
      <c r="C2439">
        <v>199</v>
      </c>
      <c r="D2439">
        <v>1</v>
      </c>
      <c r="E2439">
        <v>0</v>
      </c>
      <c r="F2439" t="s">
        <v>9301</v>
      </c>
      <c r="G2439">
        <v>228</v>
      </c>
      <c r="H2439">
        <v>29</v>
      </c>
      <c r="I2439" t="s">
        <v>24</v>
      </c>
      <c r="J2439" t="s">
        <v>7836</v>
      </c>
      <c r="K2439" t="s">
        <v>7873</v>
      </c>
      <c r="L2439" t="s">
        <v>7838</v>
      </c>
      <c r="M2439" t="s">
        <v>7874</v>
      </c>
      <c r="N2439" t="s">
        <v>9302</v>
      </c>
      <c r="O2439" t="s">
        <v>27</v>
      </c>
      <c r="P2439" t="s">
        <v>193</v>
      </c>
      <c r="Q2439" t="s">
        <v>85</v>
      </c>
      <c r="R2439" t="s">
        <v>86</v>
      </c>
      <c r="S2439" t="s">
        <v>28</v>
      </c>
      <c r="T2439" t="s">
        <v>9303</v>
      </c>
      <c r="U2439" t="s">
        <v>9304</v>
      </c>
    </row>
    <row r="2440" spans="1:21" x14ac:dyDescent="0.25">
      <c r="A2440" t="s">
        <v>143</v>
      </c>
      <c r="B2440" t="s">
        <v>144</v>
      </c>
      <c r="C2440">
        <v>200</v>
      </c>
      <c r="D2440">
        <v>1</v>
      </c>
      <c r="E2440">
        <v>0</v>
      </c>
      <c r="F2440" t="s">
        <v>9305</v>
      </c>
      <c r="G2440">
        <v>200</v>
      </c>
      <c r="H2440">
        <v>0</v>
      </c>
      <c r="I2440" t="s">
        <v>24</v>
      </c>
      <c r="J2440" t="s">
        <v>9306</v>
      </c>
      <c r="K2440" t="s">
        <v>175</v>
      </c>
      <c r="L2440" t="s">
        <v>27</v>
      </c>
      <c r="M2440" t="s">
        <v>28</v>
      </c>
      <c r="N2440" t="s">
        <v>9307</v>
      </c>
      <c r="O2440" t="s">
        <v>27</v>
      </c>
      <c r="P2440" t="s">
        <v>39</v>
      </c>
      <c r="Q2440" t="s">
        <v>31</v>
      </c>
      <c r="R2440" t="s">
        <v>32</v>
      </c>
      <c r="S2440" t="s">
        <v>28</v>
      </c>
      <c r="T2440" t="s">
        <v>9308</v>
      </c>
      <c r="U2440" t="s">
        <v>9307</v>
      </c>
    </row>
    <row r="2441" spans="1:21" x14ac:dyDescent="0.25">
      <c r="A2441" t="s">
        <v>143</v>
      </c>
      <c r="B2441" t="s">
        <v>144</v>
      </c>
      <c r="C2441">
        <v>200</v>
      </c>
      <c r="D2441">
        <v>1</v>
      </c>
      <c r="E2441">
        <v>0</v>
      </c>
      <c r="F2441" t="s">
        <v>9309</v>
      </c>
      <c r="G2441">
        <v>200</v>
      </c>
      <c r="H2441">
        <v>0</v>
      </c>
      <c r="I2441" t="s">
        <v>24</v>
      </c>
      <c r="J2441" t="s">
        <v>4438</v>
      </c>
      <c r="K2441" t="s">
        <v>273</v>
      </c>
      <c r="L2441" t="s">
        <v>27</v>
      </c>
      <c r="M2441" t="s">
        <v>28</v>
      </c>
      <c r="N2441" t="s">
        <v>9310</v>
      </c>
      <c r="O2441" t="s">
        <v>27</v>
      </c>
      <c r="P2441" t="s">
        <v>39</v>
      </c>
      <c r="Q2441" t="s">
        <v>31</v>
      </c>
      <c r="R2441" t="s">
        <v>32</v>
      </c>
      <c r="S2441" t="s">
        <v>28</v>
      </c>
      <c r="T2441" t="s">
        <v>9311</v>
      </c>
      <c r="U2441" t="s">
        <v>9310</v>
      </c>
    </row>
    <row r="2442" spans="1:21" x14ac:dyDescent="0.25">
      <c r="A2442" t="s">
        <v>143</v>
      </c>
      <c r="B2442" t="s">
        <v>144</v>
      </c>
      <c r="C2442">
        <v>200</v>
      </c>
      <c r="D2442">
        <v>1</v>
      </c>
      <c r="E2442">
        <v>0</v>
      </c>
      <c r="F2442" t="s">
        <v>9312</v>
      </c>
      <c r="G2442">
        <v>200</v>
      </c>
      <c r="H2442">
        <v>0</v>
      </c>
      <c r="I2442" t="s">
        <v>24</v>
      </c>
      <c r="J2442" t="s">
        <v>9313</v>
      </c>
      <c r="K2442" t="s">
        <v>54</v>
      </c>
      <c r="L2442" t="s">
        <v>27</v>
      </c>
      <c r="M2442" t="s">
        <v>28</v>
      </c>
      <c r="N2442" t="s">
        <v>9314</v>
      </c>
      <c r="O2442" t="s">
        <v>27</v>
      </c>
      <c r="P2442" t="s">
        <v>56</v>
      </c>
      <c r="Q2442" t="s">
        <v>31</v>
      </c>
      <c r="R2442" t="s">
        <v>57</v>
      </c>
      <c r="S2442" t="s">
        <v>28</v>
      </c>
      <c r="T2442" t="s">
        <v>9315</v>
      </c>
      <c r="U2442" t="s">
        <v>9316</v>
      </c>
    </row>
    <row r="2443" spans="1:21" x14ac:dyDescent="0.25">
      <c r="A2443" t="s">
        <v>134</v>
      </c>
      <c r="B2443" t="s">
        <v>64</v>
      </c>
      <c r="C2443">
        <v>150</v>
      </c>
      <c r="D2443">
        <v>1</v>
      </c>
      <c r="E2443">
        <v>0</v>
      </c>
      <c r="F2443" t="s">
        <v>9317</v>
      </c>
      <c r="G2443">
        <v>305</v>
      </c>
      <c r="H2443">
        <v>5</v>
      </c>
      <c r="I2443" t="s">
        <v>24</v>
      </c>
      <c r="J2443" t="s">
        <v>9318</v>
      </c>
      <c r="K2443" t="s">
        <v>9319</v>
      </c>
      <c r="L2443" t="s">
        <v>1146</v>
      </c>
      <c r="M2443" t="s">
        <v>9320</v>
      </c>
      <c r="N2443" t="s">
        <v>9316</v>
      </c>
      <c r="O2443" t="s">
        <v>27</v>
      </c>
      <c r="P2443" t="s">
        <v>48</v>
      </c>
      <c r="Q2443" t="s">
        <v>49</v>
      </c>
      <c r="R2443" t="s">
        <v>50</v>
      </c>
      <c r="S2443" t="s">
        <v>28</v>
      </c>
      <c r="T2443" t="s">
        <v>9321</v>
      </c>
      <c r="U2443" t="s">
        <v>9322</v>
      </c>
    </row>
    <row r="2444" spans="1:21" x14ac:dyDescent="0.25">
      <c r="A2444" t="s">
        <v>134</v>
      </c>
      <c r="B2444" t="s">
        <v>64</v>
      </c>
      <c r="C2444">
        <v>150</v>
      </c>
      <c r="D2444">
        <v>1</v>
      </c>
      <c r="E2444">
        <v>0</v>
      </c>
      <c r="F2444" t="s">
        <v>9317</v>
      </c>
      <c r="G2444">
        <v>305</v>
      </c>
      <c r="H2444">
        <v>5</v>
      </c>
      <c r="I2444" t="s">
        <v>24</v>
      </c>
      <c r="J2444" t="s">
        <v>9318</v>
      </c>
      <c r="K2444" t="s">
        <v>9319</v>
      </c>
      <c r="L2444" t="s">
        <v>1146</v>
      </c>
      <c r="M2444" t="s">
        <v>9320</v>
      </c>
      <c r="N2444" t="s">
        <v>9316</v>
      </c>
      <c r="O2444" t="s">
        <v>27</v>
      </c>
      <c r="P2444" t="s">
        <v>48</v>
      </c>
      <c r="Q2444" t="s">
        <v>49</v>
      </c>
      <c r="R2444" t="s">
        <v>50</v>
      </c>
      <c r="S2444" t="s">
        <v>28</v>
      </c>
      <c r="T2444" t="s">
        <v>9321</v>
      </c>
      <c r="U2444" t="s">
        <v>9322</v>
      </c>
    </row>
    <row r="2445" spans="1:21" x14ac:dyDescent="0.25">
      <c r="A2445" t="s">
        <v>143</v>
      </c>
      <c r="B2445" t="s">
        <v>144</v>
      </c>
      <c r="C2445">
        <v>200</v>
      </c>
      <c r="D2445">
        <v>1</v>
      </c>
      <c r="E2445">
        <v>0</v>
      </c>
      <c r="F2445" t="s">
        <v>9323</v>
      </c>
      <c r="G2445">
        <v>200</v>
      </c>
      <c r="H2445">
        <v>0</v>
      </c>
      <c r="I2445" t="s">
        <v>24</v>
      </c>
      <c r="J2445" t="s">
        <v>9324</v>
      </c>
      <c r="K2445" t="s">
        <v>1198</v>
      </c>
      <c r="L2445" t="s">
        <v>27</v>
      </c>
      <c r="M2445" t="s">
        <v>28</v>
      </c>
      <c r="N2445" t="s">
        <v>9325</v>
      </c>
      <c r="O2445" t="s">
        <v>27</v>
      </c>
      <c r="P2445" t="s">
        <v>56</v>
      </c>
      <c r="Q2445" t="s">
        <v>31</v>
      </c>
      <c r="R2445" t="s">
        <v>57</v>
      </c>
      <c r="S2445" t="s">
        <v>28</v>
      </c>
      <c r="T2445" t="s">
        <v>9326</v>
      </c>
      <c r="U2445" t="s">
        <v>9325</v>
      </c>
    </row>
    <row r="2446" spans="1:21" x14ac:dyDescent="0.25">
      <c r="A2446" t="s">
        <v>143</v>
      </c>
      <c r="B2446" t="s">
        <v>144</v>
      </c>
      <c r="C2446">
        <v>200</v>
      </c>
      <c r="D2446">
        <v>1</v>
      </c>
      <c r="E2446">
        <v>0</v>
      </c>
      <c r="F2446" t="s">
        <v>9327</v>
      </c>
      <c r="G2446">
        <v>500</v>
      </c>
      <c r="H2446">
        <v>0</v>
      </c>
      <c r="I2446" t="s">
        <v>140</v>
      </c>
      <c r="J2446" t="s">
        <v>9328</v>
      </c>
      <c r="K2446" t="s">
        <v>273</v>
      </c>
      <c r="L2446" t="s">
        <v>27</v>
      </c>
      <c r="M2446" t="s">
        <v>28</v>
      </c>
      <c r="N2446" t="s">
        <v>9329</v>
      </c>
      <c r="O2446" t="s">
        <v>27</v>
      </c>
      <c r="P2446" t="s">
        <v>30</v>
      </c>
      <c r="Q2446" t="s">
        <v>31</v>
      </c>
      <c r="R2446" t="s">
        <v>32</v>
      </c>
      <c r="S2446" t="s">
        <v>28</v>
      </c>
      <c r="T2446" t="s">
        <v>9330</v>
      </c>
      <c r="U2446" t="s">
        <v>9329</v>
      </c>
    </row>
    <row r="2447" spans="1:21" x14ac:dyDescent="0.25">
      <c r="A2447" t="s">
        <v>134</v>
      </c>
      <c r="B2447" t="s">
        <v>64</v>
      </c>
      <c r="C2447">
        <v>100</v>
      </c>
      <c r="D2447">
        <v>3</v>
      </c>
      <c r="E2447">
        <v>0</v>
      </c>
      <c r="F2447" t="s">
        <v>9327</v>
      </c>
      <c r="G2447">
        <v>500</v>
      </c>
      <c r="H2447">
        <v>0</v>
      </c>
      <c r="I2447" t="s">
        <v>140</v>
      </c>
      <c r="J2447" t="s">
        <v>9328</v>
      </c>
      <c r="K2447" t="s">
        <v>273</v>
      </c>
      <c r="L2447" t="s">
        <v>27</v>
      </c>
      <c r="M2447" t="s">
        <v>28</v>
      </c>
      <c r="N2447" t="s">
        <v>9329</v>
      </c>
      <c r="O2447" t="s">
        <v>27</v>
      </c>
      <c r="P2447" t="s">
        <v>30</v>
      </c>
      <c r="Q2447" t="s">
        <v>31</v>
      </c>
      <c r="R2447" t="s">
        <v>32</v>
      </c>
      <c r="S2447" t="s">
        <v>28</v>
      </c>
      <c r="T2447" t="s">
        <v>9330</v>
      </c>
      <c r="U2447" t="s">
        <v>9329</v>
      </c>
    </row>
    <row r="2448" spans="1:21" x14ac:dyDescent="0.25">
      <c r="A2448" t="s">
        <v>143</v>
      </c>
      <c r="B2448" t="s">
        <v>144</v>
      </c>
      <c r="C2448">
        <v>200</v>
      </c>
      <c r="D2448">
        <v>1</v>
      </c>
      <c r="E2448">
        <v>0</v>
      </c>
      <c r="F2448" t="s">
        <v>9331</v>
      </c>
      <c r="G2448">
        <v>200</v>
      </c>
      <c r="H2448">
        <v>0</v>
      </c>
      <c r="I2448" t="s">
        <v>24</v>
      </c>
      <c r="J2448" t="s">
        <v>9332</v>
      </c>
      <c r="K2448" t="s">
        <v>89</v>
      </c>
      <c r="L2448" t="s">
        <v>27</v>
      </c>
      <c r="M2448" t="s">
        <v>28</v>
      </c>
      <c r="N2448" t="s">
        <v>9333</v>
      </c>
      <c r="O2448" t="s">
        <v>27</v>
      </c>
      <c r="P2448" t="s">
        <v>56</v>
      </c>
      <c r="Q2448" t="s">
        <v>31</v>
      </c>
      <c r="R2448" t="s">
        <v>57</v>
      </c>
      <c r="S2448" t="s">
        <v>28</v>
      </c>
      <c r="T2448" t="s">
        <v>9334</v>
      </c>
      <c r="U2448" t="s">
        <v>9335</v>
      </c>
    </row>
    <row r="2449" spans="1:21" x14ac:dyDescent="0.25">
      <c r="A2449" t="s">
        <v>143</v>
      </c>
      <c r="B2449" t="s">
        <v>144</v>
      </c>
      <c r="C2449">
        <v>200</v>
      </c>
      <c r="D2449">
        <v>1</v>
      </c>
      <c r="E2449">
        <v>0</v>
      </c>
      <c r="F2449" t="s">
        <v>9336</v>
      </c>
      <c r="G2449">
        <v>200</v>
      </c>
      <c r="H2449">
        <v>0</v>
      </c>
      <c r="I2449" t="s">
        <v>24</v>
      </c>
      <c r="J2449" t="s">
        <v>9337</v>
      </c>
      <c r="K2449" t="s">
        <v>89</v>
      </c>
      <c r="L2449" t="s">
        <v>27</v>
      </c>
      <c r="M2449" t="s">
        <v>28</v>
      </c>
      <c r="N2449" t="s">
        <v>9338</v>
      </c>
      <c r="O2449" t="s">
        <v>27</v>
      </c>
      <c r="P2449" t="s">
        <v>56</v>
      </c>
      <c r="Q2449" t="s">
        <v>31</v>
      </c>
      <c r="R2449" t="s">
        <v>57</v>
      </c>
      <c r="S2449" t="s">
        <v>28</v>
      </c>
      <c r="T2449" t="s">
        <v>9339</v>
      </c>
      <c r="U2449" t="s">
        <v>9340</v>
      </c>
    </row>
    <row r="2450" spans="1:21" x14ac:dyDescent="0.25">
      <c r="A2450" t="s">
        <v>33</v>
      </c>
      <c r="B2450" t="s">
        <v>34</v>
      </c>
      <c r="C2450">
        <v>200</v>
      </c>
      <c r="D2450">
        <v>1</v>
      </c>
      <c r="E2450">
        <v>0</v>
      </c>
      <c r="F2450" t="s">
        <v>9341</v>
      </c>
      <c r="G2450">
        <v>600</v>
      </c>
      <c r="H2450">
        <v>0</v>
      </c>
      <c r="I2450" t="s">
        <v>24</v>
      </c>
      <c r="J2450" t="s">
        <v>9342</v>
      </c>
      <c r="K2450" t="s">
        <v>451</v>
      </c>
      <c r="L2450" t="s">
        <v>27</v>
      </c>
      <c r="M2450" t="s">
        <v>28</v>
      </c>
      <c r="N2450" t="s">
        <v>9343</v>
      </c>
      <c r="O2450" t="s">
        <v>27</v>
      </c>
      <c r="P2450" t="s">
        <v>56</v>
      </c>
      <c r="Q2450" t="s">
        <v>31</v>
      </c>
      <c r="R2450" t="s">
        <v>57</v>
      </c>
      <c r="S2450" t="s">
        <v>28</v>
      </c>
      <c r="T2450" t="s">
        <v>9344</v>
      </c>
      <c r="U2450" t="s">
        <v>9338</v>
      </c>
    </row>
    <row r="2451" spans="1:21" x14ac:dyDescent="0.25">
      <c r="A2451" t="s">
        <v>143</v>
      </c>
      <c r="B2451" t="s">
        <v>144</v>
      </c>
      <c r="C2451">
        <v>200</v>
      </c>
      <c r="D2451">
        <v>2</v>
      </c>
      <c r="E2451">
        <v>0</v>
      </c>
      <c r="F2451" t="s">
        <v>9341</v>
      </c>
      <c r="G2451">
        <v>600</v>
      </c>
      <c r="H2451">
        <v>0</v>
      </c>
      <c r="I2451" t="s">
        <v>24</v>
      </c>
      <c r="J2451" t="s">
        <v>9342</v>
      </c>
      <c r="K2451" t="s">
        <v>451</v>
      </c>
      <c r="L2451" t="s">
        <v>27</v>
      </c>
      <c r="M2451" t="s">
        <v>28</v>
      </c>
      <c r="N2451" t="s">
        <v>9343</v>
      </c>
      <c r="O2451" t="s">
        <v>27</v>
      </c>
      <c r="P2451" t="s">
        <v>56</v>
      </c>
      <c r="Q2451" t="s">
        <v>31</v>
      </c>
      <c r="R2451" t="s">
        <v>57</v>
      </c>
      <c r="S2451" t="s">
        <v>28</v>
      </c>
      <c r="T2451" t="s">
        <v>9344</v>
      </c>
      <c r="U2451" t="s">
        <v>9338</v>
      </c>
    </row>
    <row r="2452" spans="1:21" x14ac:dyDescent="0.25">
      <c r="A2452" t="s">
        <v>58</v>
      </c>
      <c r="B2452" t="s">
        <v>103</v>
      </c>
      <c r="C2452">
        <v>84</v>
      </c>
      <c r="D2452">
        <v>1</v>
      </c>
      <c r="E2452">
        <v>0</v>
      </c>
      <c r="F2452" t="s">
        <v>9345</v>
      </c>
      <c r="G2452">
        <v>89</v>
      </c>
      <c r="H2452">
        <v>5</v>
      </c>
      <c r="I2452" t="s">
        <v>105</v>
      </c>
      <c r="J2452" t="s">
        <v>9346</v>
      </c>
      <c r="K2452" t="s">
        <v>9347</v>
      </c>
      <c r="L2452" t="s">
        <v>1907</v>
      </c>
      <c r="M2452" t="s">
        <v>9348</v>
      </c>
      <c r="N2452" t="s">
        <v>9349</v>
      </c>
      <c r="O2452" t="s">
        <v>27</v>
      </c>
      <c r="P2452" t="s">
        <v>48</v>
      </c>
      <c r="Q2452" t="s">
        <v>49</v>
      </c>
      <c r="R2452" t="s">
        <v>50</v>
      </c>
      <c r="S2452" t="s">
        <v>28</v>
      </c>
      <c r="T2452" t="s">
        <v>9350</v>
      </c>
      <c r="U2452" t="s">
        <v>9349</v>
      </c>
    </row>
    <row r="2453" spans="1:21" x14ac:dyDescent="0.25">
      <c r="A2453" t="s">
        <v>143</v>
      </c>
      <c r="B2453" t="s">
        <v>144</v>
      </c>
      <c r="C2453">
        <v>200</v>
      </c>
      <c r="D2453">
        <v>1</v>
      </c>
      <c r="E2453">
        <v>0</v>
      </c>
      <c r="F2453" t="s">
        <v>9351</v>
      </c>
      <c r="G2453">
        <v>200</v>
      </c>
      <c r="H2453">
        <v>0</v>
      </c>
      <c r="I2453" t="s">
        <v>24</v>
      </c>
      <c r="J2453" t="s">
        <v>9352</v>
      </c>
      <c r="K2453" t="s">
        <v>474</v>
      </c>
      <c r="L2453" t="s">
        <v>27</v>
      </c>
      <c r="M2453" t="s">
        <v>28</v>
      </c>
      <c r="N2453" t="s">
        <v>9353</v>
      </c>
      <c r="O2453" t="s">
        <v>27</v>
      </c>
      <c r="P2453" t="s">
        <v>56</v>
      </c>
      <c r="Q2453" t="s">
        <v>31</v>
      </c>
      <c r="R2453" t="s">
        <v>57</v>
      </c>
      <c r="S2453" t="s">
        <v>28</v>
      </c>
      <c r="T2453" t="s">
        <v>9354</v>
      </c>
      <c r="U2453" t="s">
        <v>9353</v>
      </c>
    </row>
    <row r="2454" spans="1:21" x14ac:dyDescent="0.25">
      <c r="A2454" t="s">
        <v>134</v>
      </c>
      <c r="B2454" t="s">
        <v>64</v>
      </c>
      <c r="C2454">
        <v>100</v>
      </c>
      <c r="D2454">
        <v>1</v>
      </c>
      <c r="E2454">
        <v>0</v>
      </c>
      <c r="F2454" t="s">
        <v>9355</v>
      </c>
      <c r="G2454">
        <v>106</v>
      </c>
      <c r="H2454">
        <v>6</v>
      </c>
      <c r="I2454" t="s">
        <v>24</v>
      </c>
      <c r="J2454" t="s">
        <v>9356</v>
      </c>
      <c r="K2454" t="s">
        <v>147</v>
      </c>
      <c r="L2454" t="s">
        <v>27</v>
      </c>
      <c r="M2454" t="s">
        <v>28</v>
      </c>
      <c r="N2454" t="s">
        <v>9357</v>
      </c>
      <c r="O2454" t="s">
        <v>27</v>
      </c>
      <c r="P2454" t="s">
        <v>39</v>
      </c>
      <c r="Q2454" t="s">
        <v>31</v>
      </c>
      <c r="R2454" t="s">
        <v>32</v>
      </c>
      <c r="S2454" t="s">
        <v>28</v>
      </c>
      <c r="T2454" t="s">
        <v>9358</v>
      </c>
      <c r="U2454" t="s">
        <v>9357</v>
      </c>
    </row>
    <row r="2455" spans="1:21" x14ac:dyDescent="0.25">
      <c r="A2455" t="s">
        <v>63</v>
      </c>
      <c r="B2455" t="s">
        <v>64</v>
      </c>
      <c r="C2455">
        <v>100</v>
      </c>
      <c r="D2455">
        <v>1</v>
      </c>
      <c r="E2455">
        <v>0</v>
      </c>
      <c r="F2455" t="s">
        <v>9359</v>
      </c>
      <c r="G2455">
        <v>106</v>
      </c>
      <c r="H2455">
        <v>6</v>
      </c>
      <c r="I2455" t="s">
        <v>24</v>
      </c>
      <c r="J2455" t="s">
        <v>9360</v>
      </c>
      <c r="K2455" t="s">
        <v>325</v>
      </c>
      <c r="L2455" t="s">
        <v>27</v>
      </c>
      <c r="M2455" t="s">
        <v>28</v>
      </c>
      <c r="N2455" t="s">
        <v>9361</v>
      </c>
      <c r="O2455" t="s">
        <v>27</v>
      </c>
      <c r="P2455" t="s">
        <v>39</v>
      </c>
      <c r="Q2455" t="s">
        <v>31</v>
      </c>
      <c r="R2455" t="s">
        <v>32</v>
      </c>
      <c r="S2455" t="s">
        <v>28</v>
      </c>
      <c r="T2455" t="s">
        <v>9362</v>
      </c>
      <c r="U2455" t="s">
        <v>9363</v>
      </c>
    </row>
    <row r="2456" spans="1:21" x14ac:dyDescent="0.25">
      <c r="A2456" t="s">
        <v>456</v>
      </c>
      <c r="B2456" t="s">
        <v>457</v>
      </c>
      <c r="C2456">
        <v>199</v>
      </c>
      <c r="D2456">
        <v>1</v>
      </c>
      <c r="E2456">
        <v>0</v>
      </c>
      <c r="F2456" t="s">
        <v>9364</v>
      </c>
      <c r="G2456">
        <v>228</v>
      </c>
      <c r="H2456">
        <v>29</v>
      </c>
      <c r="I2456" t="s">
        <v>24</v>
      </c>
      <c r="J2456" t="s">
        <v>9365</v>
      </c>
      <c r="K2456" t="s">
        <v>9366</v>
      </c>
      <c r="L2456" t="s">
        <v>2048</v>
      </c>
      <c r="M2456" t="s">
        <v>9367</v>
      </c>
      <c r="N2456" t="s">
        <v>9368</v>
      </c>
      <c r="O2456" t="s">
        <v>27</v>
      </c>
      <c r="P2456" t="s">
        <v>193</v>
      </c>
      <c r="Q2456" t="s">
        <v>85</v>
      </c>
      <c r="R2456" t="s">
        <v>86</v>
      </c>
      <c r="S2456" t="s">
        <v>28</v>
      </c>
      <c r="T2456" t="s">
        <v>9369</v>
      </c>
      <c r="U2456" t="s">
        <v>9370</v>
      </c>
    </row>
    <row r="2457" spans="1:21" x14ac:dyDescent="0.25">
      <c r="A2457" t="s">
        <v>143</v>
      </c>
      <c r="B2457" t="s">
        <v>144</v>
      </c>
      <c r="C2457">
        <v>200</v>
      </c>
      <c r="D2457">
        <v>1</v>
      </c>
      <c r="E2457">
        <v>0</v>
      </c>
      <c r="F2457" t="s">
        <v>9371</v>
      </c>
      <c r="G2457">
        <v>200</v>
      </c>
      <c r="H2457">
        <v>0</v>
      </c>
      <c r="I2457" t="s">
        <v>24</v>
      </c>
      <c r="J2457" t="s">
        <v>9372</v>
      </c>
      <c r="K2457" t="s">
        <v>294</v>
      </c>
      <c r="L2457" t="s">
        <v>27</v>
      </c>
      <c r="M2457" t="s">
        <v>28</v>
      </c>
      <c r="N2457" t="s">
        <v>9373</v>
      </c>
      <c r="O2457" t="s">
        <v>27</v>
      </c>
      <c r="P2457" t="s">
        <v>39</v>
      </c>
      <c r="Q2457" t="s">
        <v>31</v>
      </c>
      <c r="R2457" t="s">
        <v>32</v>
      </c>
      <c r="S2457" t="s">
        <v>28</v>
      </c>
      <c r="T2457" t="s">
        <v>9374</v>
      </c>
      <c r="U2457" t="s">
        <v>9373</v>
      </c>
    </row>
    <row r="2458" spans="1:21" x14ac:dyDescent="0.25">
      <c r="A2458" t="s">
        <v>63</v>
      </c>
      <c r="B2458" t="s">
        <v>64</v>
      </c>
      <c r="C2458">
        <v>100</v>
      </c>
      <c r="D2458">
        <v>1</v>
      </c>
      <c r="E2458">
        <v>0</v>
      </c>
      <c r="F2458" t="s">
        <v>9375</v>
      </c>
      <c r="G2458">
        <v>106</v>
      </c>
      <c r="H2458">
        <v>6</v>
      </c>
      <c r="I2458" t="s">
        <v>445</v>
      </c>
      <c r="J2458" t="s">
        <v>9376</v>
      </c>
      <c r="K2458" t="s">
        <v>331</v>
      </c>
      <c r="L2458" t="s">
        <v>27</v>
      </c>
      <c r="M2458" t="s">
        <v>28</v>
      </c>
      <c r="N2458" t="s">
        <v>9377</v>
      </c>
      <c r="O2458" t="s">
        <v>27</v>
      </c>
      <c r="P2458" t="s">
        <v>39</v>
      </c>
      <c r="Q2458" t="s">
        <v>31</v>
      </c>
      <c r="R2458" t="s">
        <v>32</v>
      </c>
      <c r="S2458" t="s">
        <v>28</v>
      </c>
      <c r="T2458" t="s">
        <v>9378</v>
      </c>
      <c r="U2458" t="s">
        <v>9379</v>
      </c>
    </row>
    <row r="2459" spans="1:21" x14ac:dyDescent="0.25">
      <c r="A2459" t="s">
        <v>143</v>
      </c>
      <c r="B2459" t="s">
        <v>144</v>
      </c>
      <c r="C2459">
        <v>200</v>
      </c>
      <c r="D2459">
        <v>1</v>
      </c>
      <c r="E2459">
        <v>0</v>
      </c>
      <c r="F2459" t="s">
        <v>9380</v>
      </c>
      <c r="G2459">
        <v>200</v>
      </c>
      <c r="H2459">
        <v>0</v>
      </c>
      <c r="I2459" t="s">
        <v>140</v>
      </c>
      <c r="J2459" t="s">
        <v>9381</v>
      </c>
      <c r="K2459" t="s">
        <v>73</v>
      </c>
      <c r="L2459" t="s">
        <v>27</v>
      </c>
      <c r="M2459" t="s">
        <v>28</v>
      </c>
      <c r="N2459" t="s">
        <v>9382</v>
      </c>
      <c r="O2459" t="s">
        <v>27</v>
      </c>
      <c r="P2459" t="s">
        <v>30</v>
      </c>
      <c r="Q2459" t="s">
        <v>31</v>
      </c>
      <c r="R2459" t="s">
        <v>32</v>
      </c>
      <c r="S2459" t="s">
        <v>28</v>
      </c>
      <c r="T2459" t="s">
        <v>9383</v>
      </c>
      <c r="U2459" t="s">
        <v>9384</v>
      </c>
    </row>
    <row r="2460" spans="1:21" x14ac:dyDescent="0.25">
      <c r="A2460" t="s">
        <v>456</v>
      </c>
      <c r="B2460" t="s">
        <v>457</v>
      </c>
      <c r="C2460">
        <v>199</v>
      </c>
      <c r="D2460">
        <v>1</v>
      </c>
      <c r="E2460">
        <v>0</v>
      </c>
      <c r="F2460" t="s">
        <v>9385</v>
      </c>
      <c r="G2460">
        <v>244</v>
      </c>
      <c r="H2460">
        <v>45</v>
      </c>
      <c r="I2460" t="s">
        <v>24</v>
      </c>
      <c r="J2460" t="s">
        <v>478</v>
      </c>
      <c r="K2460" t="s">
        <v>9386</v>
      </c>
      <c r="L2460" t="s">
        <v>9387</v>
      </c>
      <c r="M2460" t="s">
        <v>1398</v>
      </c>
      <c r="N2460" t="s">
        <v>9388</v>
      </c>
      <c r="O2460" t="s">
        <v>27</v>
      </c>
      <c r="P2460" t="s">
        <v>193</v>
      </c>
      <c r="Q2460" t="s">
        <v>85</v>
      </c>
      <c r="R2460" t="s">
        <v>86</v>
      </c>
      <c r="S2460" t="s">
        <v>28</v>
      </c>
      <c r="T2460" t="s">
        <v>9389</v>
      </c>
      <c r="U2460" t="s">
        <v>9377</v>
      </c>
    </row>
    <row r="2461" spans="1:21" x14ac:dyDescent="0.25">
      <c r="A2461" t="s">
        <v>63</v>
      </c>
      <c r="B2461" t="s">
        <v>64</v>
      </c>
      <c r="C2461">
        <v>100</v>
      </c>
      <c r="D2461">
        <v>1</v>
      </c>
      <c r="E2461">
        <v>0</v>
      </c>
      <c r="F2461" t="s">
        <v>9390</v>
      </c>
      <c r="G2461">
        <v>106</v>
      </c>
      <c r="H2461">
        <v>6</v>
      </c>
      <c r="I2461" t="s">
        <v>24</v>
      </c>
      <c r="J2461" t="s">
        <v>9391</v>
      </c>
      <c r="K2461" t="s">
        <v>89</v>
      </c>
      <c r="L2461" t="s">
        <v>27</v>
      </c>
      <c r="M2461" t="s">
        <v>28</v>
      </c>
      <c r="N2461" t="s">
        <v>9392</v>
      </c>
      <c r="O2461" t="s">
        <v>27</v>
      </c>
      <c r="P2461" t="s">
        <v>39</v>
      </c>
      <c r="Q2461" t="s">
        <v>31</v>
      </c>
      <c r="R2461" t="s">
        <v>32</v>
      </c>
      <c r="S2461" t="s">
        <v>28</v>
      </c>
      <c r="T2461" t="s">
        <v>9393</v>
      </c>
      <c r="U2461" t="s">
        <v>9394</v>
      </c>
    </row>
    <row r="2462" spans="1:21" x14ac:dyDescent="0.25">
      <c r="A2462" t="s">
        <v>63</v>
      </c>
      <c r="B2462" t="s">
        <v>64</v>
      </c>
      <c r="C2462">
        <v>100</v>
      </c>
      <c r="D2462">
        <v>1</v>
      </c>
      <c r="E2462">
        <v>0</v>
      </c>
      <c r="F2462" t="s">
        <v>9395</v>
      </c>
      <c r="G2462">
        <v>300</v>
      </c>
      <c r="H2462">
        <v>0</v>
      </c>
      <c r="I2462" t="s">
        <v>445</v>
      </c>
      <c r="J2462" t="s">
        <v>9396</v>
      </c>
      <c r="K2462" t="s">
        <v>61</v>
      </c>
      <c r="L2462" t="s">
        <v>27</v>
      </c>
      <c r="M2462" t="s">
        <v>28</v>
      </c>
      <c r="N2462" t="s">
        <v>9397</v>
      </c>
      <c r="O2462" t="s">
        <v>27</v>
      </c>
      <c r="P2462" t="s">
        <v>39</v>
      </c>
      <c r="Q2462" t="s">
        <v>31</v>
      </c>
      <c r="R2462" t="s">
        <v>32</v>
      </c>
      <c r="S2462" t="s">
        <v>28</v>
      </c>
      <c r="T2462" t="s">
        <v>9398</v>
      </c>
      <c r="U2462" t="s">
        <v>9397</v>
      </c>
    </row>
    <row r="2463" spans="1:21" x14ac:dyDescent="0.25">
      <c r="A2463" t="s">
        <v>134</v>
      </c>
      <c r="B2463" t="s">
        <v>64</v>
      </c>
      <c r="C2463">
        <v>100</v>
      </c>
      <c r="D2463">
        <v>2</v>
      </c>
      <c r="E2463">
        <v>0</v>
      </c>
      <c r="F2463" t="s">
        <v>9395</v>
      </c>
      <c r="G2463">
        <v>300</v>
      </c>
      <c r="H2463">
        <v>0</v>
      </c>
      <c r="I2463" t="s">
        <v>445</v>
      </c>
      <c r="J2463" t="s">
        <v>9396</v>
      </c>
      <c r="K2463" t="s">
        <v>61</v>
      </c>
      <c r="L2463" t="s">
        <v>27</v>
      </c>
      <c r="M2463" t="s">
        <v>28</v>
      </c>
      <c r="N2463" t="s">
        <v>9397</v>
      </c>
      <c r="O2463" t="s">
        <v>27</v>
      </c>
      <c r="P2463" t="s">
        <v>39</v>
      </c>
      <c r="Q2463" t="s">
        <v>31</v>
      </c>
      <c r="R2463" t="s">
        <v>32</v>
      </c>
      <c r="S2463" t="s">
        <v>28</v>
      </c>
      <c r="T2463" t="s">
        <v>9398</v>
      </c>
      <c r="U2463" t="s">
        <v>9397</v>
      </c>
    </row>
    <row r="2464" spans="1:21" x14ac:dyDescent="0.25">
      <c r="A2464" t="s">
        <v>63</v>
      </c>
      <c r="B2464" t="s">
        <v>64</v>
      </c>
      <c r="C2464">
        <v>100</v>
      </c>
      <c r="D2464">
        <v>1</v>
      </c>
      <c r="E2464">
        <v>0</v>
      </c>
      <c r="F2464" t="s">
        <v>9399</v>
      </c>
      <c r="G2464">
        <v>129</v>
      </c>
      <c r="H2464">
        <v>29</v>
      </c>
      <c r="I2464" t="s">
        <v>24</v>
      </c>
      <c r="J2464" t="s">
        <v>9400</v>
      </c>
      <c r="K2464" t="s">
        <v>26</v>
      </c>
      <c r="L2464" t="s">
        <v>27</v>
      </c>
      <c r="M2464" t="s">
        <v>28</v>
      </c>
      <c r="N2464" t="s">
        <v>9397</v>
      </c>
      <c r="O2464" t="s">
        <v>27</v>
      </c>
      <c r="P2464" t="s">
        <v>56</v>
      </c>
      <c r="Q2464" t="s">
        <v>31</v>
      </c>
      <c r="R2464" t="s">
        <v>57</v>
      </c>
      <c r="S2464" t="s">
        <v>28</v>
      </c>
      <c r="T2464" t="s">
        <v>9401</v>
      </c>
      <c r="U2464" t="s">
        <v>9397</v>
      </c>
    </row>
    <row r="2465" spans="1:21" x14ac:dyDescent="0.25">
      <c r="A2465" t="s">
        <v>143</v>
      </c>
      <c r="B2465" t="s">
        <v>144</v>
      </c>
      <c r="C2465">
        <v>200</v>
      </c>
      <c r="D2465">
        <v>1</v>
      </c>
      <c r="E2465">
        <v>0</v>
      </c>
      <c r="F2465" t="s">
        <v>9402</v>
      </c>
      <c r="G2465">
        <v>200</v>
      </c>
      <c r="H2465">
        <v>0</v>
      </c>
      <c r="I2465" t="s">
        <v>140</v>
      </c>
      <c r="J2465" t="s">
        <v>9403</v>
      </c>
      <c r="K2465" t="s">
        <v>1029</v>
      </c>
      <c r="L2465" t="s">
        <v>27</v>
      </c>
      <c r="M2465" t="s">
        <v>28</v>
      </c>
      <c r="N2465" t="s">
        <v>9404</v>
      </c>
      <c r="O2465" t="s">
        <v>27</v>
      </c>
      <c r="P2465" t="s">
        <v>30</v>
      </c>
      <c r="Q2465" t="s">
        <v>31</v>
      </c>
      <c r="R2465" t="s">
        <v>32</v>
      </c>
      <c r="S2465" t="s">
        <v>28</v>
      </c>
      <c r="T2465" t="s">
        <v>9405</v>
      </c>
      <c r="U2465" t="s">
        <v>9404</v>
      </c>
    </row>
    <row r="2466" spans="1:21" x14ac:dyDescent="0.25">
      <c r="A2466" t="s">
        <v>63</v>
      </c>
      <c r="B2466" t="s">
        <v>64</v>
      </c>
      <c r="C2466">
        <v>100</v>
      </c>
      <c r="D2466">
        <v>1</v>
      </c>
      <c r="E2466">
        <v>0</v>
      </c>
      <c r="F2466" t="s">
        <v>9406</v>
      </c>
      <c r="G2466">
        <v>200</v>
      </c>
      <c r="H2466">
        <v>0</v>
      </c>
      <c r="I2466" t="s">
        <v>445</v>
      </c>
      <c r="J2466" t="s">
        <v>9407</v>
      </c>
      <c r="K2466" t="s">
        <v>113</v>
      </c>
      <c r="L2466" t="s">
        <v>27</v>
      </c>
      <c r="M2466" t="s">
        <v>28</v>
      </c>
      <c r="N2466" t="s">
        <v>9404</v>
      </c>
      <c r="O2466" t="s">
        <v>27</v>
      </c>
      <c r="P2466" t="s">
        <v>39</v>
      </c>
      <c r="Q2466" t="s">
        <v>31</v>
      </c>
      <c r="R2466" t="s">
        <v>32</v>
      </c>
      <c r="S2466" t="s">
        <v>28</v>
      </c>
      <c r="T2466" t="s">
        <v>9408</v>
      </c>
      <c r="U2466" t="s">
        <v>9404</v>
      </c>
    </row>
    <row r="2467" spans="1:21" x14ac:dyDescent="0.25">
      <c r="A2467" t="s">
        <v>134</v>
      </c>
      <c r="B2467" t="s">
        <v>64</v>
      </c>
      <c r="C2467">
        <v>100</v>
      </c>
      <c r="D2467">
        <v>1</v>
      </c>
      <c r="E2467">
        <v>0</v>
      </c>
      <c r="F2467" t="s">
        <v>9406</v>
      </c>
      <c r="G2467">
        <v>200</v>
      </c>
      <c r="H2467">
        <v>0</v>
      </c>
      <c r="I2467" t="s">
        <v>445</v>
      </c>
      <c r="J2467" t="s">
        <v>9407</v>
      </c>
      <c r="K2467" t="s">
        <v>113</v>
      </c>
      <c r="L2467" t="s">
        <v>27</v>
      </c>
      <c r="M2467" t="s">
        <v>28</v>
      </c>
      <c r="N2467" t="s">
        <v>9404</v>
      </c>
      <c r="O2467" t="s">
        <v>27</v>
      </c>
      <c r="P2467" t="s">
        <v>39</v>
      </c>
      <c r="Q2467" t="s">
        <v>31</v>
      </c>
      <c r="R2467" t="s">
        <v>32</v>
      </c>
      <c r="S2467" t="s">
        <v>28</v>
      </c>
      <c r="T2467" t="s">
        <v>9408</v>
      </c>
      <c r="U2467" t="s">
        <v>9404</v>
      </c>
    </row>
    <row r="2468" spans="1:21" x14ac:dyDescent="0.25">
      <c r="A2468" t="s">
        <v>143</v>
      </c>
      <c r="B2468" t="s">
        <v>144</v>
      </c>
      <c r="C2468">
        <v>200</v>
      </c>
      <c r="D2468">
        <v>1</v>
      </c>
      <c r="E2468">
        <v>0</v>
      </c>
      <c r="F2468" t="s">
        <v>9409</v>
      </c>
      <c r="G2468">
        <v>200</v>
      </c>
      <c r="H2468">
        <v>0</v>
      </c>
      <c r="I2468" t="s">
        <v>140</v>
      </c>
      <c r="J2468" t="s">
        <v>9410</v>
      </c>
      <c r="K2468" t="s">
        <v>1029</v>
      </c>
      <c r="L2468" t="s">
        <v>27</v>
      </c>
      <c r="M2468" t="s">
        <v>28</v>
      </c>
      <c r="N2468" t="s">
        <v>9411</v>
      </c>
      <c r="O2468" t="s">
        <v>27</v>
      </c>
      <c r="P2468" t="s">
        <v>30</v>
      </c>
      <c r="Q2468" t="s">
        <v>31</v>
      </c>
      <c r="R2468" t="s">
        <v>32</v>
      </c>
      <c r="S2468" t="s">
        <v>28</v>
      </c>
      <c r="T2468" t="s">
        <v>9412</v>
      </c>
      <c r="U2468" t="s">
        <v>9411</v>
      </c>
    </row>
    <row r="2469" spans="1:21" x14ac:dyDescent="0.25">
      <c r="A2469" t="s">
        <v>143</v>
      </c>
      <c r="B2469" t="s">
        <v>144</v>
      </c>
      <c r="C2469">
        <v>200</v>
      </c>
      <c r="D2469">
        <v>1</v>
      </c>
      <c r="E2469">
        <v>0</v>
      </c>
      <c r="F2469" t="s">
        <v>9413</v>
      </c>
      <c r="G2469">
        <v>200</v>
      </c>
      <c r="H2469">
        <v>0</v>
      </c>
      <c r="I2469" t="s">
        <v>445</v>
      </c>
      <c r="J2469" t="s">
        <v>9414</v>
      </c>
      <c r="K2469" t="s">
        <v>89</v>
      </c>
      <c r="L2469" t="s">
        <v>27</v>
      </c>
      <c r="M2469" t="s">
        <v>28</v>
      </c>
      <c r="N2469" t="s">
        <v>9415</v>
      </c>
      <c r="O2469" t="s">
        <v>27</v>
      </c>
      <c r="P2469" t="s">
        <v>39</v>
      </c>
      <c r="Q2469" t="s">
        <v>31</v>
      </c>
      <c r="R2469" t="s">
        <v>32</v>
      </c>
      <c r="S2469" t="s">
        <v>28</v>
      </c>
      <c r="T2469" t="s">
        <v>9416</v>
      </c>
      <c r="U2469" t="s">
        <v>9415</v>
      </c>
    </row>
    <row r="2470" spans="1:21" x14ac:dyDescent="0.25">
      <c r="A2470" t="s">
        <v>63</v>
      </c>
      <c r="B2470" t="s">
        <v>64</v>
      </c>
      <c r="C2470">
        <v>100</v>
      </c>
      <c r="D2470">
        <v>1</v>
      </c>
      <c r="E2470">
        <v>0</v>
      </c>
      <c r="F2470" t="s">
        <v>9417</v>
      </c>
      <c r="G2470">
        <v>106</v>
      </c>
      <c r="H2470">
        <v>6</v>
      </c>
      <c r="I2470" t="s">
        <v>24</v>
      </c>
      <c r="J2470" t="s">
        <v>9418</v>
      </c>
      <c r="K2470" t="s">
        <v>1878</v>
      </c>
      <c r="L2470" t="s">
        <v>27</v>
      </c>
      <c r="M2470" t="s">
        <v>28</v>
      </c>
      <c r="N2470" t="s">
        <v>9419</v>
      </c>
      <c r="O2470" t="s">
        <v>27</v>
      </c>
      <c r="P2470" t="s">
        <v>39</v>
      </c>
      <c r="Q2470" t="s">
        <v>31</v>
      </c>
      <c r="R2470" t="s">
        <v>32</v>
      </c>
      <c r="S2470" t="s">
        <v>28</v>
      </c>
      <c r="T2470" t="s">
        <v>9420</v>
      </c>
      <c r="U2470" t="s">
        <v>9419</v>
      </c>
    </row>
    <row r="2471" spans="1:21" x14ac:dyDescent="0.25">
      <c r="A2471" t="s">
        <v>143</v>
      </c>
      <c r="B2471" t="s">
        <v>144</v>
      </c>
      <c r="C2471">
        <v>200</v>
      </c>
      <c r="D2471">
        <v>1</v>
      </c>
      <c r="E2471">
        <v>0</v>
      </c>
      <c r="F2471" t="s">
        <v>9421</v>
      </c>
      <c r="G2471">
        <v>200</v>
      </c>
      <c r="H2471">
        <v>0</v>
      </c>
      <c r="I2471" t="s">
        <v>24</v>
      </c>
      <c r="J2471" t="s">
        <v>9422</v>
      </c>
      <c r="K2471" t="s">
        <v>311</v>
      </c>
      <c r="L2471" t="s">
        <v>27</v>
      </c>
      <c r="M2471" t="s">
        <v>28</v>
      </c>
      <c r="N2471" t="s">
        <v>9423</v>
      </c>
      <c r="O2471" t="s">
        <v>27</v>
      </c>
      <c r="P2471" t="s">
        <v>56</v>
      </c>
      <c r="Q2471" t="s">
        <v>31</v>
      </c>
      <c r="R2471" t="s">
        <v>57</v>
      </c>
      <c r="S2471" t="s">
        <v>28</v>
      </c>
      <c r="T2471" t="s">
        <v>9424</v>
      </c>
      <c r="U2471" t="s">
        <v>9423</v>
      </c>
    </row>
    <row r="2472" spans="1:21" x14ac:dyDescent="0.25">
      <c r="A2472" t="s">
        <v>143</v>
      </c>
      <c r="B2472" t="s">
        <v>144</v>
      </c>
      <c r="C2472">
        <v>200</v>
      </c>
      <c r="D2472">
        <v>1</v>
      </c>
      <c r="E2472">
        <v>0</v>
      </c>
      <c r="F2472" t="s">
        <v>9425</v>
      </c>
      <c r="G2472">
        <v>200</v>
      </c>
      <c r="H2472">
        <v>0</v>
      </c>
      <c r="I2472" t="s">
        <v>140</v>
      </c>
      <c r="J2472" t="s">
        <v>9426</v>
      </c>
      <c r="K2472" t="s">
        <v>325</v>
      </c>
      <c r="L2472" t="s">
        <v>27</v>
      </c>
      <c r="M2472" t="s">
        <v>28</v>
      </c>
      <c r="N2472" t="s">
        <v>9427</v>
      </c>
      <c r="O2472" t="s">
        <v>27</v>
      </c>
      <c r="P2472" t="s">
        <v>30</v>
      </c>
      <c r="Q2472" t="s">
        <v>31</v>
      </c>
      <c r="R2472" t="s">
        <v>32</v>
      </c>
      <c r="S2472" t="s">
        <v>28</v>
      </c>
      <c r="T2472" t="s">
        <v>9428</v>
      </c>
      <c r="U2472" t="s">
        <v>9427</v>
      </c>
    </row>
    <row r="2473" spans="1:21" x14ac:dyDescent="0.25">
      <c r="A2473" t="s">
        <v>63</v>
      </c>
      <c r="B2473" t="s">
        <v>64</v>
      </c>
      <c r="C2473">
        <v>100</v>
      </c>
      <c r="D2473">
        <v>2</v>
      </c>
      <c r="E2473">
        <v>0</v>
      </c>
      <c r="F2473" t="s">
        <v>9429</v>
      </c>
      <c r="G2473">
        <v>200</v>
      </c>
      <c r="H2473">
        <v>0</v>
      </c>
      <c r="I2473" t="s">
        <v>24</v>
      </c>
      <c r="J2473" t="s">
        <v>9430</v>
      </c>
      <c r="K2473" t="s">
        <v>250</v>
      </c>
      <c r="L2473" t="s">
        <v>27</v>
      </c>
      <c r="M2473" t="s">
        <v>28</v>
      </c>
      <c r="N2473" t="s">
        <v>9427</v>
      </c>
      <c r="O2473" t="s">
        <v>27</v>
      </c>
      <c r="P2473" t="s">
        <v>39</v>
      </c>
      <c r="Q2473" t="s">
        <v>31</v>
      </c>
      <c r="R2473" t="s">
        <v>32</v>
      </c>
      <c r="S2473" t="s">
        <v>28</v>
      </c>
      <c r="T2473" t="s">
        <v>9431</v>
      </c>
      <c r="U2473" t="s">
        <v>9427</v>
      </c>
    </row>
    <row r="2474" spans="1:21" x14ac:dyDescent="0.25">
      <c r="A2474" t="s">
        <v>134</v>
      </c>
      <c r="B2474" t="s">
        <v>64</v>
      </c>
      <c r="C2474">
        <v>100</v>
      </c>
      <c r="D2474">
        <v>1</v>
      </c>
      <c r="E2474">
        <v>0</v>
      </c>
      <c r="F2474" t="s">
        <v>9432</v>
      </c>
      <c r="G2474">
        <v>106</v>
      </c>
      <c r="H2474">
        <v>6</v>
      </c>
      <c r="I2474" t="s">
        <v>24</v>
      </c>
      <c r="J2474" t="s">
        <v>9433</v>
      </c>
      <c r="K2474" t="s">
        <v>797</v>
      </c>
      <c r="L2474" t="s">
        <v>27</v>
      </c>
      <c r="M2474" t="s">
        <v>28</v>
      </c>
      <c r="N2474" t="s">
        <v>9434</v>
      </c>
      <c r="O2474" t="s">
        <v>27</v>
      </c>
      <c r="P2474" t="s">
        <v>39</v>
      </c>
      <c r="Q2474" t="s">
        <v>31</v>
      </c>
      <c r="R2474" t="s">
        <v>32</v>
      </c>
      <c r="S2474" t="s">
        <v>28</v>
      </c>
      <c r="T2474" t="s">
        <v>9435</v>
      </c>
      <c r="U2474" t="s">
        <v>9434</v>
      </c>
    </row>
    <row r="2475" spans="1:21" x14ac:dyDescent="0.25">
      <c r="A2475" t="s">
        <v>143</v>
      </c>
      <c r="B2475" t="s">
        <v>144</v>
      </c>
      <c r="C2475">
        <v>200</v>
      </c>
      <c r="D2475">
        <v>1</v>
      </c>
      <c r="E2475">
        <v>0</v>
      </c>
      <c r="F2475" t="s">
        <v>9436</v>
      </c>
      <c r="G2475">
        <v>200</v>
      </c>
      <c r="H2475">
        <v>0</v>
      </c>
      <c r="I2475" t="s">
        <v>445</v>
      </c>
      <c r="J2475" t="s">
        <v>9437</v>
      </c>
      <c r="K2475" t="s">
        <v>250</v>
      </c>
      <c r="L2475" t="s">
        <v>27</v>
      </c>
      <c r="M2475" t="s">
        <v>28</v>
      </c>
      <c r="N2475" t="s">
        <v>9438</v>
      </c>
      <c r="O2475" t="s">
        <v>27</v>
      </c>
      <c r="P2475" t="s">
        <v>39</v>
      </c>
      <c r="Q2475" t="s">
        <v>31</v>
      </c>
      <c r="R2475" t="s">
        <v>32</v>
      </c>
      <c r="S2475" t="s">
        <v>28</v>
      </c>
      <c r="T2475" t="s">
        <v>9439</v>
      </c>
      <c r="U2475" t="s">
        <v>9438</v>
      </c>
    </row>
    <row r="2476" spans="1:21" x14ac:dyDescent="0.25">
      <c r="A2476" t="s">
        <v>63</v>
      </c>
      <c r="B2476" t="s">
        <v>64</v>
      </c>
      <c r="C2476">
        <v>100</v>
      </c>
      <c r="D2476">
        <v>4</v>
      </c>
      <c r="E2476">
        <v>0</v>
      </c>
      <c r="F2476" t="s">
        <v>9440</v>
      </c>
      <c r="G2476">
        <v>400</v>
      </c>
      <c r="H2476">
        <v>0</v>
      </c>
      <c r="I2476" t="s">
        <v>24</v>
      </c>
      <c r="J2476" t="s">
        <v>8116</v>
      </c>
      <c r="K2476" t="s">
        <v>54</v>
      </c>
      <c r="L2476" t="s">
        <v>27</v>
      </c>
      <c r="M2476" t="s">
        <v>28</v>
      </c>
      <c r="N2476" t="s">
        <v>9438</v>
      </c>
      <c r="O2476" t="s">
        <v>27</v>
      </c>
      <c r="P2476" t="s">
        <v>39</v>
      </c>
      <c r="Q2476" t="s">
        <v>31</v>
      </c>
      <c r="R2476" t="s">
        <v>32</v>
      </c>
      <c r="S2476" t="s">
        <v>28</v>
      </c>
      <c r="T2476" t="s">
        <v>9441</v>
      </c>
      <c r="U2476" t="s">
        <v>9438</v>
      </c>
    </row>
    <row r="2477" spans="1:21" x14ac:dyDescent="0.25">
      <c r="A2477" t="s">
        <v>63</v>
      </c>
      <c r="B2477" t="s">
        <v>64</v>
      </c>
      <c r="C2477">
        <v>100</v>
      </c>
      <c r="D2477">
        <v>1</v>
      </c>
      <c r="E2477">
        <v>0</v>
      </c>
      <c r="F2477" t="s">
        <v>9442</v>
      </c>
      <c r="G2477">
        <v>106</v>
      </c>
      <c r="H2477">
        <v>6</v>
      </c>
      <c r="I2477" t="s">
        <v>24</v>
      </c>
      <c r="J2477" t="s">
        <v>9443</v>
      </c>
      <c r="K2477" t="s">
        <v>89</v>
      </c>
      <c r="L2477" t="s">
        <v>27</v>
      </c>
      <c r="M2477" t="s">
        <v>28</v>
      </c>
      <c r="N2477" t="s">
        <v>9444</v>
      </c>
      <c r="O2477" t="s">
        <v>27</v>
      </c>
      <c r="P2477" t="s">
        <v>39</v>
      </c>
      <c r="Q2477" t="s">
        <v>31</v>
      </c>
      <c r="R2477" t="s">
        <v>32</v>
      </c>
      <c r="S2477" t="s">
        <v>28</v>
      </c>
      <c r="T2477" t="s">
        <v>9445</v>
      </c>
      <c r="U2477" t="s">
        <v>9444</v>
      </c>
    </row>
    <row r="2478" spans="1:21" x14ac:dyDescent="0.25">
      <c r="A2478" t="s">
        <v>143</v>
      </c>
      <c r="B2478" t="s">
        <v>144</v>
      </c>
      <c r="C2478">
        <v>200</v>
      </c>
      <c r="D2478">
        <v>1</v>
      </c>
      <c r="E2478">
        <v>0</v>
      </c>
      <c r="F2478" t="s">
        <v>9446</v>
      </c>
      <c r="G2478">
        <v>200</v>
      </c>
      <c r="H2478">
        <v>0</v>
      </c>
      <c r="I2478" t="s">
        <v>140</v>
      </c>
      <c r="J2478" t="s">
        <v>9447</v>
      </c>
      <c r="K2478" t="s">
        <v>325</v>
      </c>
      <c r="L2478" t="s">
        <v>27</v>
      </c>
      <c r="M2478" t="s">
        <v>28</v>
      </c>
      <c r="N2478" t="s">
        <v>9448</v>
      </c>
      <c r="O2478" t="s">
        <v>27</v>
      </c>
      <c r="P2478" t="s">
        <v>369</v>
      </c>
      <c r="Q2478" t="s">
        <v>31</v>
      </c>
      <c r="R2478" t="s">
        <v>57</v>
      </c>
      <c r="S2478" t="s">
        <v>28</v>
      </c>
      <c r="T2478" t="s">
        <v>9449</v>
      </c>
      <c r="U2478" t="s">
        <v>9450</v>
      </c>
    </row>
    <row r="2479" spans="1:21" x14ac:dyDescent="0.25">
      <c r="A2479" t="s">
        <v>143</v>
      </c>
      <c r="B2479" t="s">
        <v>144</v>
      </c>
      <c r="C2479">
        <v>200</v>
      </c>
      <c r="D2479">
        <v>1</v>
      </c>
      <c r="E2479">
        <v>0</v>
      </c>
      <c r="F2479" t="s">
        <v>9451</v>
      </c>
      <c r="G2479">
        <v>200</v>
      </c>
      <c r="H2479">
        <v>0</v>
      </c>
      <c r="I2479" t="s">
        <v>24</v>
      </c>
      <c r="J2479" t="s">
        <v>9452</v>
      </c>
      <c r="K2479" t="s">
        <v>9195</v>
      </c>
      <c r="L2479" t="s">
        <v>27</v>
      </c>
      <c r="M2479" t="s">
        <v>28</v>
      </c>
      <c r="N2479" t="s">
        <v>9453</v>
      </c>
      <c r="O2479" t="s">
        <v>27</v>
      </c>
      <c r="P2479" t="s">
        <v>56</v>
      </c>
      <c r="Q2479" t="s">
        <v>31</v>
      </c>
      <c r="R2479" t="s">
        <v>57</v>
      </c>
      <c r="S2479" t="s">
        <v>28</v>
      </c>
      <c r="T2479" t="s">
        <v>9454</v>
      </c>
      <c r="U2479" t="s">
        <v>9453</v>
      </c>
    </row>
    <row r="2480" spans="1:21" x14ac:dyDescent="0.25">
      <c r="A2480" t="s">
        <v>134</v>
      </c>
      <c r="B2480" t="s">
        <v>64</v>
      </c>
      <c r="C2480">
        <v>100</v>
      </c>
      <c r="D2480">
        <v>1</v>
      </c>
      <c r="E2480">
        <v>0</v>
      </c>
      <c r="F2480" t="s">
        <v>9455</v>
      </c>
      <c r="G2480">
        <v>106</v>
      </c>
      <c r="H2480">
        <v>6</v>
      </c>
      <c r="I2480" t="s">
        <v>445</v>
      </c>
      <c r="J2480" t="s">
        <v>9456</v>
      </c>
      <c r="K2480" t="s">
        <v>61</v>
      </c>
      <c r="L2480" t="s">
        <v>27</v>
      </c>
      <c r="M2480" t="s">
        <v>28</v>
      </c>
      <c r="N2480" t="s">
        <v>9457</v>
      </c>
      <c r="O2480" t="s">
        <v>27</v>
      </c>
      <c r="P2480" t="s">
        <v>56</v>
      </c>
      <c r="Q2480" t="s">
        <v>31</v>
      </c>
      <c r="R2480" t="s">
        <v>57</v>
      </c>
      <c r="S2480" t="s">
        <v>28</v>
      </c>
      <c r="T2480" t="s">
        <v>9458</v>
      </c>
      <c r="U2480" t="s">
        <v>9453</v>
      </c>
    </row>
    <row r="2481" spans="1:21" x14ac:dyDescent="0.25">
      <c r="A2481" t="s">
        <v>63</v>
      </c>
      <c r="B2481" t="s">
        <v>64</v>
      </c>
      <c r="C2481">
        <v>100</v>
      </c>
      <c r="D2481">
        <v>2</v>
      </c>
      <c r="E2481">
        <v>0</v>
      </c>
      <c r="F2481" t="s">
        <v>9459</v>
      </c>
      <c r="G2481">
        <v>200</v>
      </c>
      <c r="H2481">
        <v>0</v>
      </c>
      <c r="I2481" t="s">
        <v>24</v>
      </c>
      <c r="J2481" t="s">
        <v>9460</v>
      </c>
      <c r="K2481" t="s">
        <v>273</v>
      </c>
      <c r="L2481" t="s">
        <v>27</v>
      </c>
      <c r="M2481" t="s">
        <v>28</v>
      </c>
      <c r="N2481" t="s">
        <v>9461</v>
      </c>
      <c r="O2481" t="s">
        <v>27</v>
      </c>
      <c r="P2481" t="s">
        <v>56</v>
      </c>
      <c r="Q2481" t="s">
        <v>31</v>
      </c>
      <c r="R2481" t="s">
        <v>57</v>
      </c>
      <c r="S2481" t="s">
        <v>28</v>
      </c>
      <c r="T2481" t="s">
        <v>9462</v>
      </c>
      <c r="U2481" t="s">
        <v>9461</v>
      </c>
    </row>
    <row r="2482" spans="1:21" x14ac:dyDescent="0.25">
      <c r="A2482" t="s">
        <v>63</v>
      </c>
      <c r="B2482" t="s">
        <v>64</v>
      </c>
      <c r="C2482">
        <v>100</v>
      </c>
      <c r="D2482">
        <v>2</v>
      </c>
      <c r="E2482">
        <v>0</v>
      </c>
      <c r="F2482" t="s">
        <v>9463</v>
      </c>
      <c r="G2482">
        <v>200</v>
      </c>
      <c r="H2482">
        <v>0</v>
      </c>
      <c r="I2482" t="s">
        <v>24</v>
      </c>
      <c r="J2482" t="s">
        <v>9464</v>
      </c>
      <c r="K2482" t="s">
        <v>384</v>
      </c>
      <c r="L2482" t="s">
        <v>27</v>
      </c>
      <c r="M2482" t="s">
        <v>28</v>
      </c>
      <c r="N2482" t="s">
        <v>9465</v>
      </c>
      <c r="O2482" t="s">
        <v>27</v>
      </c>
      <c r="P2482" t="s">
        <v>39</v>
      </c>
      <c r="Q2482" t="s">
        <v>31</v>
      </c>
      <c r="R2482" t="s">
        <v>32</v>
      </c>
      <c r="S2482" t="s">
        <v>28</v>
      </c>
      <c r="T2482" t="s">
        <v>9466</v>
      </c>
      <c r="U2482" t="s">
        <v>9465</v>
      </c>
    </row>
    <row r="2483" spans="1:21" x14ac:dyDescent="0.25">
      <c r="A2483" t="s">
        <v>63</v>
      </c>
      <c r="B2483" t="s">
        <v>64</v>
      </c>
      <c r="C2483">
        <v>100</v>
      </c>
      <c r="D2483">
        <v>1</v>
      </c>
      <c r="E2483">
        <v>0</v>
      </c>
      <c r="F2483" t="s">
        <v>9467</v>
      </c>
      <c r="G2483">
        <v>106</v>
      </c>
      <c r="H2483">
        <v>6</v>
      </c>
      <c r="I2483" t="s">
        <v>24</v>
      </c>
      <c r="J2483" t="s">
        <v>9468</v>
      </c>
      <c r="K2483" t="s">
        <v>331</v>
      </c>
      <c r="L2483" t="s">
        <v>27</v>
      </c>
      <c r="M2483" t="s">
        <v>28</v>
      </c>
      <c r="N2483" t="s">
        <v>9469</v>
      </c>
      <c r="O2483" t="s">
        <v>27</v>
      </c>
      <c r="P2483" t="s">
        <v>39</v>
      </c>
      <c r="Q2483" t="s">
        <v>31</v>
      </c>
      <c r="R2483" t="s">
        <v>32</v>
      </c>
      <c r="S2483" t="s">
        <v>28</v>
      </c>
      <c r="T2483" t="s">
        <v>9470</v>
      </c>
      <c r="U2483" t="s">
        <v>9469</v>
      </c>
    </row>
    <row r="2484" spans="1:21" x14ac:dyDescent="0.25">
      <c r="A2484" t="s">
        <v>134</v>
      </c>
      <c r="B2484" t="s">
        <v>64</v>
      </c>
      <c r="C2484">
        <v>100</v>
      </c>
      <c r="D2484">
        <v>1</v>
      </c>
      <c r="E2484">
        <v>0</v>
      </c>
      <c r="F2484" t="s">
        <v>9471</v>
      </c>
      <c r="G2484">
        <v>106</v>
      </c>
      <c r="H2484">
        <v>6</v>
      </c>
      <c r="I2484" t="s">
        <v>24</v>
      </c>
      <c r="J2484" t="s">
        <v>9472</v>
      </c>
      <c r="K2484" t="s">
        <v>209</v>
      </c>
      <c r="L2484" t="s">
        <v>27</v>
      </c>
      <c r="M2484" t="s">
        <v>28</v>
      </c>
      <c r="N2484" t="s">
        <v>9473</v>
      </c>
      <c r="O2484" t="s">
        <v>27</v>
      </c>
      <c r="P2484" t="s">
        <v>39</v>
      </c>
      <c r="Q2484" t="s">
        <v>31</v>
      </c>
      <c r="R2484" t="s">
        <v>32</v>
      </c>
      <c r="S2484" t="s">
        <v>28</v>
      </c>
      <c r="T2484" t="s">
        <v>9474</v>
      </c>
      <c r="U2484" t="s">
        <v>9473</v>
      </c>
    </row>
    <row r="2485" spans="1:21" x14ac:dyDescent="0.25">
      <c r="A2485" t="s">
        <v>63</v>
      </c>
      <c r="B2485" t="s">
        <v>64</v>
      </c>
      <c r="C2485">
        <v>100</v>
      </c>
      <c r="D2485">
        <v>2</v>
      </c>
      <c r="E2485">
        <v>0</v>
      </c>
      <c r="F2485" t="s">
        <v>9475</v>
      </c>
      <c r="G2485">
        <v>200</v>
      </c>
      <c r="H2485">
        <v>0</v>
      </c>
      <c r="I2485" t="s">
        <v>445</v>
      </c>
      <c r="J2485" t="s">
        <v>3040</v>
      </c>
      <c r="K2485" t="s">
        <v>89</v>
      </c>
      <c r="L2485" t="s">
        <v>27</v>
      </c>
      <c r="M2485" t="s">
        <v>28</v>
      </c>
      <c r="N2485" t="s">
        <v>9476</v>
      </c>
      <c r="O2485" t="s">
        <v>27</v>
      </c>
      <c r="P2485" t="s">
        <v>39</v>
      </c>
      <c r="Q2485" t="s">
        <v>31</v>
      </c>
      <c r="R2485" t="s">
        <v>32</v>
      </c>
      <c r="S2485" t="s">
        <v>28</v>
      </c>
      <c r="T2485" t="s">
        <v>9477</v>
      </c>
      <c r="U2485" t="s">
        <v>9476</v>
      </c>
    </row>
    <row r="2486" spans="1:21" x14ac:dyDescent="0.25">
      <c r="A2486" t="s">
        <v>63</v>
      </c>
      <c r="B2486" t="s">
        <v>64</v>
      </c>
      <c r="C2486">
        <v>100</v>
      </c>
      <c r="D2486">
        <v>6</v>
      </c>
      <c r="E2486">
        <v>0</v>
      </c>
      <c r="F2486" t="s">
        <v>9478</v>
      </c>
      <c r="G2486">
        <v>600</v>
      </c>
      <c r="H2486">
        <v>0</v>
      </c>
      <c r="I2486" t="s">
        <v>24</v>
      </c>
      <c r="J2486" t="s">
        <v>9479</v>
      </c>
      <c r="K2486" t="s">
        <v>346</v>
      </c>
      <c r="L2486" t="s">
        <v>27</v>
      </c>
      <c r="M2486" t="s">
        <v>28</v>
      </c>
      <c r="N2486" t="s">
        <v>9480</v>
      </c>
      <c r="O2486" t="s">
        <v>27</v>
      </c>
      <c r="P2486" t="s">
        <v>56</v>
      </c>
      <c r="Q2486" t="s">
        <v>31</v>
      </c>
      <c r="R2486" t="s">
        <v>57</v>
      </c>
      <c r="S2486" t="s">
        <v>28</v>
      </c>
      <c r="T2486" t="s">
        <v>9481</v>
      </c>
      <c r="U2486" t="s">
        <v>9480</v>
      </c>
    </row>
    <row r="2487" spans="1:21" x14ac:dyDescent="0.25">
      <c r="A2487" t="s">
        <v>63</v>
      </c>
      <c r="B2487" t="s">
        <v>64</v>
      </c>
      <c r="C2487">
        <v>100</v>
      </c>
      <c r="D2487">
        <v>1</v>
      </c>
      <c r="E2487">
        <v>0</v>
      </c>
      <c r="F2487" t="s">
        <v>9482</v>
      </c>
      <c r="G2487">
        <v>129</v>
      </c>
      <c r="H2487">
        <v>29</v>
      </c>
      <c r="I2487" t="s">
        <v>24</v>
      </c>
      <c r="J2487" t="s">
        <v>9483</v>
      </c>
      <c r="K2487" t="s">
        <v>2243</v>
      </c>
      <c r="L2487" t="s">
        <v>27</v>
      </c>
      <c r="M2487" t="s">
        <v>28</v>
      </c>
      <c r="N2487" t="s">
        <v>9484</v>
      </c>
      <c r="O2487" t="s">
        <v>27</v>
      </c>
      <c r="P2487" t="s">
        <v>39</v>
      </c>
      <c r="Q2487" t="s">
        <v>31</v>
      </c>
      <c r="R2487" t="s">
        <v>32</v>
      </c>
      <c r="S2487" t="s">
        <v>28</v>
      </c>
      <c r="T2487" t="s">
        <v>9485</v>
      </c>
      <c r="U2487" t="s">
        <v>9484</v>
      </c>
    </row>
    <row r="2488" spans="1:21" x14ac:dyDescent="0.25">
      <c r="A2488" t="s">
        <v>58</v>
      </c>
      <c r="B2488" t="s">
        <v>58</v>
      </c>
      <c r="C2488">
        <v>100</v>
      </c>
      <c r="D2488">
        <v>1</v>
      </c>
      <c r="E2488">
        <v>0</v>
      </c>
      <c r="F2488" t="s">
        <v>9486</v>
      </c>
      <c r="G2488">
        <v>106</v>
      </c>
      <c r="H2488">
        <v>6</v>
      </c>
      <c r="I2488" t="s">
        <v>24</v>
      </c>
      <c r="J2488" t="s">
        <v>9487</v>
      </c>
      <c r="K2488" t="s">
        <v>418</v>
      </c>
      <c r="L2488" t="s">
        <v>27</v>
      </c>
      <c r="M2488" t="s">
        <v>28</v>
      </c>
      <c r="N2488" t="s">
        <v>9488</v>
      </c>
      <c r="O2488" t="s">
        <v>27</v>
      </c>
      <c r="P2488" t="s">
        <v>56</v>
      </c>
      <c r="Q2488" t="s">
        <v>31</v>
      </c>
      <c r="R2488" t="s">
        <v>57</v>
      </c>
      <c r="S2488" t="s">
        <v>28</v>
      </c>
      <c r="T2488" t="s">
        <v>9489</v>
      </c>
      <c r="U2488" t="s">
        <v>9490</v>
      </c>
    </row>
    <row r="2489" spans="1:21" x14ac:dyDescent="0.25">
      <c r="A2489" t="s">
        <v>33</v>
      </c>
      <c r="B2489" t="s">
        <v>34</v>
      </c>
      <c r="C2489">
        <v>200</v>
      </c>
      <c r="D2489">
        <v>1</v>
      </c>
      <c r="E2489">
        <v>0</v>
      </c>
      <c r="F2489" t="s">
        <v>9491</v>
      </c>
      <c r="G2489">
        <v>200</v>
      </c>
      <c r="H2489">
        <v>0</v>
      </c>
      <c r="I2489" t="s">
        <v>24</v>
      </c>
      <c r="J2489" t="s">
        <v>9492</v>
      </c>
      <c r="K2489" t="s">
        <v>331</v>
      </c>
      <c r="L2489" t="s">
        <v>27</v>
      </c>
      <c r="M2489" t="s">
        <v>28</v>
      </c>
      <c r="N2489" t="s">
        <v>9493</v>
      </c>
      <c r="O2489" t="s">
        <v>27</v>
      </c>
      <c r="P2489" t="s">
        <v>56</v>
      </c>
      <c r="Q2489" t="s">
        <v>31</v>
      </c>
      <c r="R2489" t="s">
        <v>57</v>
      </c>
      <c r="S2489" t="s">
        <v>9494</v>
      </c>
      <c r="T2489" t="s">
        <v>9495</v>
      </c>
      <c r="U2489" t="s">
        <v>9493</v>
      </c>
    </row>
    <row r="2490" spans="1:21" x14ac:dyDescent="0.25">
      <c r="A2490" t="s">
        <v>33</v>
      </c>
      <c r="B2490" t="s">
        <v>34</v>
      </c>
      <c r="C2490">
        <v>200</v>
      </c>
      <c r="D2490">
        <v>1</v>
      </c>
      <c r="E2490">
        <v>0</v>
      </c>
      <c r="F2490" t="s">
        <v>9496</v>
      </c>
      <c r="G2490">
        <v>200</v>
      </c>
      <c r="H2490">
        <v>0</v>
      </c>
      <c r="I2490" t="s">
        <v>140</v>
      </c>
      <c r="J2490" t="s">
        <v>9497</v>
      </c>
      <c r="K2490" t="s">
        <v>37</v>
      </c>
      <c r="L2490" t="s">
        <v>27</v>
      </c>
      <c r="M2490" t="s">
        <v>28</v>
      </c>
      <c r="N2490" t="s">
        <v>9498</v>
      </c>
      <c r="O2490" t="s">
        <v>27</v>
      </c>
      <c r="P2490" t="s">
        <v>30</v>
      </c>
      <c r="Q2490" t="s">
        <v>31</v>
      </c>
      <c r="R2490" t="s">
        <v>32</v>
      </c>
      <c r="S2490" t="s">
        <v>28</v>
      </c>
      <c r="T2490" t="s">
        <v>9499</v>
      </c>
      <c r="U2490" t="s">
        <v>9498</v>
      </c>
    </row>
    <row r="2491" spans="1:21" x14ac:dyDescent="0.25">
      <c r="A2491" t="s">
        <v>33</v>
      </c>
      <c r="B2491" t="s">
        <v>34</v>
      </c>
      <c r="C2491">
        <v>200</v>
      </c>
      <c r="D2491">
        <v>1</v>
      </c>
      <c r="E2491">
        <v>0</v>
      </c>
      <c r="F2491" t="s">
        <v>9500</v>
      </c>
      <c r="G2491">
        <v>200</v>
      </c>
      <c r="H2491">
        <v>0</v>
      </c>
      <c r="I2491" t="s">
        <v>24</v>
      </c>
      <c r="J2491" t="s">
        <v>9501</v>
      </c>
      <c r="K2491" t="s">
        <v>325</v>
      </c>
      <c r="L2491" t="s">
        <v>27</v>
      </c>
      <c r="M2491" t="s">
        <v>28</v>
      </c>
      <c r="N2491" t="s">
        <v>9502</v>
      </c>
      <c r="O2491" t="s">
        <v>27</v>
      </c>
      <c r="P2491" t="s">
        <v>56</v>
      </c>
      <c r="Q2491" t="s">
        <v>31</v>
      </c>
      <c r="R2491" t="s">
        <v>57</v>
      </c>
      <c r="S2491" t="s">
        <v>28</v>
      </c>
      <c r="T2491" t="s">
        <v>9503</v>
      </c>
      <c r="U2491" t="s">
        <v>9502</v>
      </c>
    </row>
    <row r="2492" spans="1:21" x14ac:dyDescent="0.25">
      <c r="A2492" t="s">
        <v>70</v>
      </c>
      <c r="B2492" t="s">
        <v>70</v>
      </c>
      <c r="C2492">
        <v>330</v>
      </c>
      <c r="D2492">
        <v>1</v>
      </c>
      <c r="E2492">
        <v>0</v>
      </c>
      <c r="F2492" t="s">
        <v>9504</v>
      </c>
      <c r="G2492">
        <v>330</v>
      </c>
      <c r="H2492">
        <v>0</v>
      </c>
      <c r="I2492" t="s">
        <v>24</v>
      </c>
      <c r="J2492" t="s">
        <v>9505</v>
      </c>
      <c r="K2492" t="s">
        <v>311</v>
      </c>
      <c r="L2492" t="s">
        <v>27</v>
      </c>
      <c r="M2492" t="s">
        <v>28</v>
      </c>
      <c r="N2492" t="s">
        <v>9506</v>
      </c>
      <c r="O2492" t="s">
        <v>27</v>
      </c>
      <c r="P2492" t="s">
        <v>39</v>
      </c>
      <c r="Q2492" t="s">
        <v>31</v>
      </c>
      <c r="R2492" t="s">
        <v>32</v>
      </c>
      <c r="S2492" t="s">
        <v>28</v>
      </c>
      <c r="T2492" t="s">
        <v>9507</v>
      </c>
      <c r="U2492" t="s">
        <v>9506</v>
      </c>
    </row>
    <row r="2493" spans="1:21" x14ac:dyDescent="0.25">
      <c r="A2493" t="s">
        <v>9508</v>
      </c>
      <c r="B2493" t="s">
        <v>9509</v>
      </c>
      <c r="C2493">
        <v>180</v>
      </c>
      <c r="D2493">
        <v>1</v>
      </c>
      <c r="E2493">
        <v>0</v>
      </c>
      <c r="F2493" t="s">
        <v>9510</v>
      </c>
      <c r="G2493">
        <v>180</v>
      </c>
      <c r="H2493">
        <v>0</v>
      </c>
      <c r="I2493" t="s">
        <v>140</v>
      </c>
      <c r="J2493" t="s">
        <v>9511</v>
      </c>
      <c r="K2493" t="s">
        <v>960</v>
      </c>
      <c r="L2493" t="s">
        <v>27</v>
      </c>
      <c r="M2493" t="s">
        <v>28</v>
      </c>
      <c r="N2493" t="s">
        <v>9512</v>
      </c>
      <c r="O2493" t="s">
        <v>27</v>
      </c>
      <c r="P2493" t="s">
        <v>30</v>
      </c>
      <c r="Q2493" t="s">
        <v>31</v>
      </c>
      <c r="R2493" t="s">
        <v>32</v>
      </c>
      <c r="S2493" t="s">
        <v>28</v>
      </c>
      <c r="T2493" t="s">
        <v>9513</v>
      </c>
      <c r="U2493" t="s">
        <v>9512</v>
      </c>
    </row>
    <row r="2494" spans="1:21" x14ac:dyDescent="0.25">
      <c r="A2494" t="s">
        <v>456</v>
      </c>
      <c r="B2494" t="s">
        <v>457</v>
      </c>
      <c r="C2494">
        <v>197</v>
      </c>
      <c r="D2494">
        <v>1</v>
      </c>
      <c r="E2494">
        <v>0</v>
      </c>
      <c r="F2494" t="s">
        <v>9514</v>
      </c>
      <c r="G2494">
        <v>197</v>
      </c>
      <c r="H2494">
        <v>0</v>
      </c>
      <c r="I2494" t="s">
        <v>445</v>
      </c>
      <c r="J2494" t="s">
        <v>883</v>
      </c>
      <c r="K2494" t="s">
        <v>9515</v>
      </c>
      <c r="L2494" t="s">
        <v>3470</v>
      </c>
      <c r="M2494" t="s">
        <v>7874</v>
      </c>
      <c r="N2494" t="s">
        <v>9512</v>
      </c>
      <c r="O2494" t="s">
        <v>27</v>
      </c>
      <c r="P2494" t="s">
        <v>84</v>
      </c>
      <c r="Q2494" t="s">
        <v>85</v>
      </c>
      <c r="R2494" t="s">
        <v>86</v>
      </c>
      <c r="S2494" t="s">
        <v>28</v>
      </c>
      <c r="T2494" t="s">
        <v>9516</v>
      </c>
      <c r="U2494" t="s">
        <v>9512</v>
      </c>
    </row>
    <row r="2495" spans="1:21" x14ac:dyDescent="0.25">
      <c r="A2495" t="s">
        <v>143</v>
      </c>
      <c r="B2495" t="s">
        <v>144</v>
      </c>
      <c r="C2495">
        <v>200</v>
      </c>
      <c r="D2495">
        <v>2</v>
      </c>
      <c r="E2495">
        <v>0</v>
      </c>
      <c r="F2495" t="s">
        <v>9517</v>
      </c>
      <c r="G2495">
        <v>400</v>
      </c>
      <c r="H2495">
        <v>0</v>
      </c>
      <c r="I2495" t="s">
        <v>445</v>
      </c>
      <c r="J2495" t="s">
        <v>9518</v>
      </c>
      <c r="K2495" t="s">
        <v>834</v>
      </c>
      <c r="L2495" t="s">
        <v>27</v>
      </c>
      <c r="M2495" t="s">
        <v>28</v>
      </c>
      <c r="N2495" t="s">
        <v>9519</v>
      </c>
      <c r="O2495" t="s">
        <v>27</v>
      </c>
      <c r="P2495" t="s">
        <v>39</v>
      </c>
      <c r="Q2495" t="s">
        <v>31</v>
      </c>
      <c r="R2495" t="s">
        <v>32</v>
      </c>
      <c r="S2495" t="s">
        <v>28</v>
      </c>
      <c r="T2495" t="s">
        <v>9520</v>
      </c>
      <c r="U2495" t="s">
        <v>9519</v>
      </c>
    </row>
    <row r="2496" spans="1:21" x14ac:dyDescent="0.25">
      <c r="A2496" t="s">
        <v>63</v>
      </c>
      <c r="B2496" t="s">
        <v>64</v>
      </c>
      <c r="C2496">
        <v>100</v>
      </c>
      <c r="D2496">
        <v>1</v>
      </c>
      <c r="E2496">
        <v>0</v>
      </c>
      <c r="F2496" t="s">
        <v>9521</v>
      </c>
      <c r="G2496">
        <v>106</v>
      </c>
      <c r="H2496">
        <v>6</v>
      </c>
      <c r="I2496" t="s">
        <v>445</v>
      </c>
      <c r="J2496" t="s">
        <v>9522</v>
      </c>
      <c r="K2496" t="s">
        <v>151</v>
      </c>
      <c r="L2496" t="s">
        <v>27</v>
      </c>
      <c r="M2496" t="s">
        <v>28</v>
      </c>
      <c r="N2496" t="s">
        <v>9523</v>
      </c>
      <c r="O2496" t="s">
        <v>27</v>
      </c>
      <c r="P2496" t="s">
        <v>39</v>
      </c>
      <c r="Q2496" t="s">
        <v>31</v>
      </c>
      <c r="R2496" t="s">
        <v>32</v>
      </c>
      <c r="S2496" t="s">
        <v>28</v>
      </c>
      <c r="T2496" t="s">
        <v>9524</v>
      </c>
      <c r="U2496" t="s">
        <v>9523</v>
      </c>
    </row>
    <row r="2497" spans="1:21" x14ac:dyDescent="0.25">
      <c r="A2497" t="s">
        <v>33</v>
      </c>
      <c r="B2497" t="s">
        <v>34</v>
      </c>
      <c r="C2497">
        <v>200</v>
      </c>
      <c r="D2497">
        <v>1</v>
      </c>
      <c r="E2497">
        <v>0</v>
      </c>
      <c r="F2497" t="s">
        <v>9525</v>
      </c>
      <c r="G2497">
        <v>200</v>
      </c>
      <c r="H2497">
        <v>0</v>
      </c>
      <c r="I2497" t="s">
        <v>445</v>
      </c>
      <c r="J2497" t="s">
        <v>9526</v>
      </c>
      <c r="K2497" t="s">
        <v>73</v>
      </c>
      <c r="L2497" t="s">
        <v>27</v>
      </c>
      <c r="M2497" t="s">
        <v>28</v>
      </c>
      <c r="N2497" t="s">
        <v>9527</v>
      </c>
      <c r="O2497" t="s">
        <v>27</v>
      </c>
      <c r="P2497" t="s">
        <v>39</v>
      </c>
      <c r="Q2497" t="s">
        <v>31</v>
      </c>
      <c r="R2497" t="s">
        <v>32</v>
      </c>
      <c r="S2497" t="s">
        <v>28</v>
      </c>
      <c r="T2497" t="s">
        <v>9528</v>
      </c>
      <c r="U2497" t="s">
        <v>9527</v>
      </c>
    </row>
    <row r="2498" spans="1:21" x14ac:dyDescent="0.25">
      <c r="A2498" t="s">
        <v>143</v>
      </c>
      <c r="B2498" t="s">
        <v>144</v>
      </c>
      <c r="C2498">
        <v>200</v>
      </c>
      <c r="D2498">
        <v>1</v>
      </c>
      <c r="E2498">
        <v>0</v>
      </c>
      <c r="F2498" t="s">
        <v>9529</v>
      </c>
      <c r="G2498">
        <v>200</v>
      </c>
      <c r="H2498">
        <v>0</v>
      </c>
      <c r="I2498" t="s">
        <v>24</v>
      </c>
      <c r="J2498" t="s">
        <v>9530</v>
      </c>
      <c r="K2498" t="s">
        <v>350</v>
      </c>
      <c r="L2498" t="s">
        <v>27</v>
      </c>
      <c r="M2498" t="s">
        <v>28</v>
      </c>
      <c r="N2498" t="s">
        <v>9531</v>
      </c>
      <c r="O2498" t="s">
        <v>27</v>
      </c>
      <c r="P2498" t="s">
        <v>39</v>
      </c>
      <c r="Q2498" t="s">
        <v>31</v>
      </c>
      <c r="R2498" t="s">
        <v>32</v>
      </c>
      <c r="S2498" t="s">
        <v>28</v>
      </c>
      <c r="T2498" t="s">
        <v>9532</v>
      </c>
      <c r="U2498" t="s">
        <v>9531</v>
      </c>
    </row>
    <row r="2499" spans="1:21" x14ac:dyDescent="0.25">
      <c r="A2499" t="s">
        <v>456</v>
      </c>
      <c r="B2499" t="s">
        <v>457</v>
      </c>
      <c r="C2499">
        <v>199</v>
      </c>
      <c r="D2499">
        <v>3</v>
      </c>
      <c r="E2499">
        <v>0</v>
      </c>
      <c r="F2499" t="s">
        <v>9533</v>
      </c>
      <c r="G2499">
        <v>676</v>
      </c>
      <c r="H2499">
        <v>79</v>
      </c>
      <c r="I2499" t="s">
        <v>24</v>
      </c>
      <c r="J2499" t="s">
        <v>9534</v>
      </c>
      <c r="K2499" t="s">
        <v>9535</v>
      </c>
      <c r="L2499" t="s">
        <v>9536</v>
      </c>
      <c r="M2499" t="s">
        <v>3687</v>
      </c>
      <c r="N2499" t="s">
        <v>9537</v>
      </c>
      <c r="O2499" t="s">
        <v>27</v>
      </c>
      <c r="P2499" t="s">
        <v>84</v>
      </c>
      <c r="Q2499" t="s">
        <v>85</v>
      </c>
      <c r="R2499" t="s">
        <v>86</v>
      </c>
      <c r="S2499" t="s">
        <v>28</v>
      </c>
      <c r="T2499" t="s">
        <v>9538</v>
      </c>
      <c r="U2499" t="s">
        <v>9539</v>
      </c>
    </row>
    <row r="2500" spans="1:21" x14ac:dyDescent="0.25">
      <c r="A2500" t="s">
        <v>21</v>
      </c>
      <c r="B2500" t="s">
        <v>22</v>
      </c>
      <c r="C2500">
        <v>100</v>
      </c>
      <c r="D2500">
        <v>1</v>
      </c>
      <c r="E2500">
        <v>0</v>
      </c>
      <c r="F2500" t="s">
        <v>9540</v>
      </c>
      <c r="G2500">
        <v>100</v>
      </c>
      <c r="H2500">
        <v>0</v>
      </c>
      <c r="I2500" t="s">
        <v>24</v>
      </c>
      <c r="J2500" t="s">
        <v>9541</v>
      </c>
      <c r="K2500" t="s">
        <v>384</v>
      </c>
      <c r="L2500" t="s">
        <v>27</v>
      </c>
      <c r="M2500" t="s">
        <v>28</v>
      </c>
      <c r="N2500" t="s">
        <v>9542</v>
      </c>
      <c r="O2500" t="s">
        <v>27</v>
      </c>
      <c r="P2500" t="s">
        <v>39</v>
      </c>
      <c r="Q2500" t="s">
        <v>31</v>
      </c>
      <c r="R2500" t="s">
        <v>32</v>
      </c>
      <c r="S2500" t="s">
        <v>28</v>
      </c>
      <c r="T2500" t="s">
        <v>9543</v>
      </c>
      <c r="U2500" t="s">
        <v>9542</v>
      </c>
    </row>
    <row r="2501" spans="1:21" x14ac:dyDescent="0.25">
      <c r="A2501" t="s">
        <v>33</v>
      </c>
      <c r="B2501" t="s">
        <v>34</v>
      </c>
      <c r="C2501">
        <v>200</v>
      </c>
      <c r="D2501">
        <v>1</v>
      </c>
      <c r="E2501">
        <v>0</v>
      </c>
      <c r="F2501" t="s">
        <v>9544</v>
      </c>
      <c r="G2501">
        <v>200</v>
      </c>
      <c r="H2501">
        <v>0</v>
      </c>
      <c r="I2501" t="s">
        <v>24</v>
      </c>
      <c r="J2501" t="s">
        <v>9545</v>
      </c>
      <c r="K2501" t="s">
        <v>61</v>
      </c>
      <c r="L2501" t="s">
        <v>27</v>
      </c>
      <c r="M2501" t="s">
        <v>28</v>
      </c>
      <c r="N2501" t="s">
        <v>9546</v>
      </c>
      <c r="O2501" t="s">
        <v>27</v>
      </c>
      <c r="P2501" t="s">
        <v>39</v>
      </c>
      <c r="Q2501" t="s">
        <v>31</v>
      </c>
      <c r="R2501" t="s">
        <v>32</v>
      </c>
      <c r="S2501" t="s">
        <v>28</v>
      </c>
      <c r="T2501" t="s">
        <v>9547</v>
      </c>
      <c r="U2501" t="s">
        <v>9546</v>
      </c>
    </row>
    <row r="2502" spans="1:21" x14ac:dyDescent="0.25">
      <c r="A2502" t="s">
        <v>456</v>
      </c>
      <c r="B2502" t="s">
        <v>1178</v>
      </c>
      <c r="C2502">
        <v>214.1</v>
      </c>
      <c r="D2502">
        <v>1</v>
      </c>
      <c r="E2502">
        <v>0</v>
      </c>
      <c r="F2502" t="s">
        <v>9548</v>
      </c>
      <c r="G2502">
        <v>219.1</v>
      </c>
      <c r="H2502">
        <v>5</v>
      </c>
      <c r="I2502" t="s">
        <v>628</v>
      </c>
      <c r="J2502" t="s">
        <v>9549</v>
      </c>
      <c r="K2502" t="s">
        <v>9550</v>
      </c>
      <c r="L2502" t="s">
        <v>9551</v>
      </c>
      <c r="M2502" t="s">
        <v>9552</v>
      </c>
      <c r="N2502" t="s">
        <v>9553</v>
      </c>
      <c r="O2502" t="s">
        <v>27</v>
      </c>
      <c r="P2502" t="s">
        <v>48</v>
      </c>
      <c r="Q2502" t="s">
        <v>49</v>
      </c>
      <c r="R2502" t="s">
        <v>50</v>
      </c>
      <c r="S2502" t="s">
        <v>28</v>
      </c>
      <c r="T2502" t="s">
        <v>9554</v>
      </c>
      <c r="U2502" t="s">
        <v>9553</v>
      </c>
    </row>
    <row r="2503" spans="1:21" x14ac:dyDescent="0.25">
      <c r="A2503" t="s">
        <v>33</v>
      </c>
      <c r="B2503" t="s">
        <v>34</v>
      </c>
      <c r="C2503">
        <v>200</v>
      </c>
      <c r="D2503">
        <v>1</v>
      </c>
      <c r="E2503">
        <v>0</v>
      </c>
      <c r="F2503" t="s">
        <v>9555</v>
      </c>
      <c r="G2503">
        <v>200</v>
      </c>
      <c r="H2503">
        <v>0</v>
      </c>
      <c r="I2503" t="s">
        <v>445</v>
      </c>
      <c r="J2503" t="s">
        <v>9556</v>
      </c>
      <c r="K2503" t="s">
        <v>67</v>
      </c>
      <c r="L2503" t="s">
        <v>27</v>
      </c>
      <c r="M2503" t="s">
        <v>28</v>
      </c>
      <c r="N2503" t="s">
        <v>9557</v>
      </c>
      <c r="O2503" t="s">
        <v>27</v>
      </c>
      <c r="P2503" t="s">
        <v>39</v>
      </c>
      <c r="Q2503" t="s">
        <v>31</v>
      </c>
      <c r="R2503" t="s">
        <v>32</v>
      </c>
      <c r="S2503" t="s">
        <v>28</v>
      </c>
      <c r="T2503" t="s">
        <v>9558</v>
      </c>
      <c r="U2503" t="s">
        <v>9557</v>
      </c>
    </row>
    <row r="2504" spans="1:21" x14ac:dyDescent="0.25">
      <c r="A2504" t="s">
        <v>63</v>
      </c>
      <c r="B2504" t="s">
        <v>64</v>
      </c>
      <c r="C2504">
        <v>100</v>
      </c>
      <c r="D2504">
        <v>1</v>
      </c>
      <c r="E2504">
        <v>0</v>
      </c>
      <c r="F2504" t="s">
        <v>9559</v>
      </c>
      <c r="G2504">
        <v>200</v>
      </c>
      <c r="H2504">
        <v>0</v>
      </c>
      <c r="I2504" t="s">
        <v>24</v>
      </c>
      <c r="J2504" t="s">
        <v>9560</v>
      </c>
      <c r="K2504" t="s">
        <v>466</v>
      </c>
      <c r="L2504" t="s">
        <v>27</v>
      </c>
      <c r="M2504" t="s">
        <v>28</v>
      </c>
      <c r="N2504" t="s">
        <v>9561</v>
      </c>
      <c r="O2504" t="s">
        <v>27</v>
      </c>
      <c r="P2504" t="s">
        <v>56</v>
      </c>
      <c r="Q2504" t="s">
        <v>31</v>
      </c>
      <c r="R2504" t="s">
        <v>57</v>
      </c>
      <c r="S2504" t="s">
        <v>28</v>
      </c>
      <c r="T2504" t="s">
        <v>9562</v>
      </c>
      <c r="U2504" t="s">
        <v>9563</v>
      </c>
    </row>
    <row r="2505" spans="1:21" x14ac:dyDescent="0.25">
      <c r="A2505" t="s">
        <v>58</v>
      </c>
      <c r="B2505" t="s">
        <v>58</v>
      </c>
      <c r="C2505">
        <v>100</v>
      </c>
      <c r="D2505">
        <v>1</v>
      </c>
      <c r="E2505">
        <v>0</v>
      </c>
      <c r="F2505" t="s">
        <v>9559</v>
      </c>
      <c r="G2505">
        <v>200</v>
      </c>
      <c r="H2505">
        <v>0</v>
      </c>
      <c r="I2505" t="s">
        <v>24</v>
      </c>
      <c r="J2505" t="s">
        <v>9560</v>
      </c>
      <c r="K2505" t="s">
        <v>466</v>
      </c>
      <c r="L2505" t="s">
        <v>27</v>
      </c>
      <c r="M2505" t="s">
        <v>28</v>
      </c>
      <c r="N2505" t="s">
        <v>9561</v>
      </c>
      <c r="O2505" t="s">
        <v>27</v>
      </c>
      <c r="P2505" t="s">
        <v>56</v>
      </c>
      <c r="Q2505" t="s">
        <v>31</v>
      </c>
      <c r="R2505" t="s">
        <v>57</v>
      </c>
      <c r="S2505" t="s">
        <v>28</v>
      </c>
      <c r="T2505" t="s">
        <v>9562</v>
      </c>
      <c r="U2505" t="s">
        <v>9563</v>
      </c>
    </row>
    <row r="2506" spans="1:21" x14ac:dyDescent="0.25">
      <c r="A2506" t="s">
        <v>70</v>
      </c>
      <c r="B2506" t="s">
        <v>70</v>
      </c>
      <c r="C2506">
        <v>330</v>
      </c>
      <c r="D2506">
        <v>1</v>
      </c>
      <c r="E2506">
        <v>0</v>
      </c>
      <c r="F2506" t="s">
        <v>9564</v>
      </c>
      <c r="G2506">
        <v>330</v>
      </c>
      <c r="H2506">
        <v>0</v>
      </c>
      <c r="I2506" t="s">
        <v>24</v>
      </c>
      <c r="J2506" t="s">
        <v>2585</v>
      </c>
      <c r="K2506" t="s">
        <v>418</v>
      </c>
      <c r="L2506" t="s">
        <v>27</v>
      </c>
      <c r="M2506" t="s">
        <v>28</v>
      </c>
      <c r="N2506" t="s">
        <v>9565</v>
      </c>
      <c r="O2506" t="s">
        <v>27</v>
      </c>
      <c r="P2506" t="s">
        <v>39</v>
      </c>
      <c r="Q2506" t="s">
        <v>31</v>
      </c>
      <c r="R2506" t="s">
        <v>32</v>
      </c>
      <c r="S2506" t="s">
        <v>28</v>
      </c>
      <c r="T2506" t="s">
        <v>9566</v>
      </c>
      <c r="U2506" t="s">
        <v>9565</v>
      </c>
    </row>
    <row r="2507" spans="1:21" x14ac:dyDescent="0.25">
      <c r="A2507" t="s">
        <v>33</v>
      </c>
      <c r="B2507" t="s">
        <v>34</v>
      </c>
      <c r="C2507">
        <v>200</v>
      </c>
      <c r="D2507">
        <v>1</v>
      </c>
      <c r="E2507">
        <v>0</v>
      </c>
      <c r="F2507" t="s">
        <v>9567</v>
      </c>
      <c r="G2507">
        <v>200</v>
      </c>
      <c r="H2507">
        <v>0</v>
      </c>
      <c r="I2507" t="s">
        <v>24</v>
      </c>
      <c r="J2507" t="s">
        <v>9568</v>
      </c>
      <c r="K2507" t="s">
        <v>137</v>
      </c>
      <c r="L2507" t="s">
        <v>27</v>
      </c>
      <c r="M2507" t="s">
        <v>28</v>
      </c>
      <c r="N2507" t="s">
        <v>9569</v>
      </c>
      <c r="O2507" t="s">
        <v>27</v>
      </c>
      <c r="P2507" t="s">
        <v>39</v>
      </c>
      <c r="Q2507" t="s">
        <v>31</v>
      </c>
      <c r="R2507" t="s">
        <v>32</v>
      </c>
      <c r="S2507" t="s">
        <v>28</v>
      </c>
      <c r="T2507" t="s">
        <v>9570</v>
      </c>
      <c r="U2507" t="s">
        <v>9569</v>
      </c>
    </row>
    <row r="2508" spans="1:21" x14ac:dyDescent="0.25">
      <c r="A2508" t="s">
        <v>143</v>
      </c>
      <c r="B2508" t="s">
        <v>144</v>
      </c>
      <c r="C2508">
        <v>200</v>
      </c>
      <c r="D2508">
        <v>1</v>
      </c>
      <c r="E2508">
        <v>0</v>
      </c>
      <c r="F2508" t="s">
        <v>9571</v>
      </c>
      <c r="G2508">
        <v>200</v>
      </c>
      <c r="H2508">
        <v>0</v>
      </c>
      <c r="I2508" t="s">
        <v>24</v>
      </c>
      <c r="J2508" t="s">
        <v>9572</v>
      </c>
      <c r="K2508" t="s">
        <v>325</v>
      </c>
      <c r="L2508" t="s">
        <v>27</v>
      </c>
      <c r="M2508" t="s">
        <v>28</v>
      </c>
      <c r="N2508" t="s">
        <v>9569</v>
      </c>
      <c r="O2508" t="s">
        <v>27</v>
      </c>
      <c r="P2508" t="s">
        <v>39</v>
      </c>
      <c r="Q2508" t="s">
        <v>31</v>
      </c>
      <c r="R2508" t="s">
        <v>32</v>
      </c>
      <c r="S2508" t="s">
        <v>28</v>
      </c>
      <c r="T2508" t="s">
        <v>9573</v>
      </c>
      <c r="U2508" t="s">
        <v>9569</v>
      </c>
    </row>
    <row r="2509" spans="1:21" x14ac:dyDescent="0.25">
      <c r="A2509" t="s">
        <v>58</v>
      </c>
      <c r="B2509" t="s">
        <v>103</v>
      </c>
      <c r="C2509">
        <v>99.75</v>
      </c>
      <c r="D2509">
        <v>1</v>
      </c>
      <c r="E2509">
        <v>0</v>
      </c>
      <c r="F2509" t="s">
        <v>9574</v>
      </c>
      <c r="G2509">
        <v>104.75</v>
      </c>
      <c r="H2509">
        <v>5</v>
      </c>
      <c r="I2509" t="s">
        <v>105</v>
      </c>
      <c r="J2509" t="s">
        <v>9575</v>
      </c>
      <c r="K2509" t="s">
        <v>9576</v>
      </c>
      <c r="L2509" t="s">
        <v>3704</v>
      </c>
      <c r="M2509" t="s">
        <v>9577</v>
      </c>
      <c r="N2509" t="s">
        <v>9578</v>
      </c>
      <c r="O2509" t="s">
        <v>27</v>
      </c>
      <c r="P2509" t="s">
        <v>48</v>
      </c>
      <c r="Q2509" t="s">
        <v>49</v>
      </c>
      <c r="R2509" t="s">
        <v>50</v>
      </c>
      <c r="S2509" t="s">
        <v>28</v>
      </c>
      <c r="T2509" t="s">
        <v>9579</v>
      </c>
      <c r="U2509" t="s">
        <v>9578</v>
      </c>
    </row>
    <row r="2510" spans="1:21" x14ac:dyDescent="0.25">
      <c r="A2510" t="s">
        <v>33</v>
      </c>
      <c r="B2510" t="s">
        <v>34</v>
      </c>
      <c r="C2510">
        <v>200</v>
      </c>
      <c r="D2510">
        <v>1</v>
      </c>
      <c r="E2510">
        <v>0</v>
      </c>
      <c r="F2510" t="s">
        <v>9580</v>
      </c>
      <c r="G2510">
        <v>200</v>
      </c>
      <c r="H2510">
        <v>0</v>
      </c>
      <c r="I2510" t="s">
        <v>24</v>
      </c>
      <c r="J2510" t="s">
        <v>9581</v>
      </c>
      <c r="K2510" t="s">
        <v>711</v>
      </c>
      <c r="L2510" t="s">
        <v>27</v>
      </c>
      <c r="M2510" t="s">
        <v>28</v>
      </c>
      <c r="N2510" t="s">
        <v>9578</v>
      </c>
      <c r="O2510" t="s">
        <v>27</v>
      </c>
      <c r="P2510" t="s">
        <v>39</v>
      </c>
      <c r="Q2510" t="s">
        <v>31</v>
      </c>
      <c r="R2510" t="s">
        <v>32</v>
      </c>
      <c r="S2510" t="s">
        <v>28</v>
      </c>
      <c r="T2510" t="s">
        <v>9582</v>
      </c>
      <c r="U2510" t="s">
        <v>9578</v>
      </c>
    </row>
    <row r="2511" spans="1:21" x14ac:dyDescent="0.25">
      <c r="A2511" t="s">
        <v>143</v>
      </c>
      <c r="B2511" t="s">
        <v>144</v>
      </c>
      <c r="C2511">
        <v>200</v>
      </c>
      <c r="D2511">
        <v>1</v>
      </c>
      <c r="E2511">
        <v>0</v>
      </c>
      <c r="F2511" t="s">
        <v>9583</v>
      </c>
      <c r="G2511">
        <v>200</v>
      </c>
      <c r="H2511">
        <v>0</v>
      </c>
      <c r="I2511" t="s">
        <v>140</v>
      </c>
      <c r="J2511" t="s">
        <v>9584</v>
      </c>
      <c r="K2511" t="s">
        <v>250</v>
      </c>
      <c r="L2511" t="s">
        <v>27</v>
      </c>
      <c r="M2511" t="s">
        <v>28</v>
      </c>
      <c r="N2511" t="s">
        <v>9585</v>
      </c>
      <c r="O2511" t="s">
        <v>27</v>
      </c>
      <c r="P2511" t="s">
        <v>30</v>
      </c>
      <c r="Q2511" t="s">
        <v>31</v>
      </c>
      <c r="R2511" t="s">
        <v>32</v>
      </c>
      <c r="S2511" t="s">
        <v>28</v>
      </c>
      <c r="T2511" t="s">
        <v>9586</v>
      </c>
      <c r="U2511" t="s">
        <v>9578</v>
      </c>
    </row>
    <row r="2512" spans="1:21" x14ac:dyDescent="0.25">
      <c r="A2512" t="s">
        <v>143</v>
      </c>
      <c r="B2512" t="s">
        <v>144</v>
      </c>
      <c r="C2512">
        <v>200</v>
      </c>
      <c r="D2512">
        <v>1</v>
      </c>
      <c r="E2512">
        <v>0</v>
      </c>
      <c r="F2512" t="s">
        <v>9587</v>
      </c>
      <c r="G2512">
        <v>200</v>
      </c>
      <c r="H2512">
        <v>0</v>
      </c>
      <c r="I2512" t="s">
        <v>140</v>
      </c>
      <c r="J2512" t="s">
        <v>9588</v>
      </c>
      <c r="K2512" t="s">
        <v>26</v>
      </c>
      <c r="L2512" t="s">
        <v>27</v>
      </c>
      <c r="M2512" t="s">
        <v>28</v>
      </c>
      <c r="N2512" t="s">
        <v>9589</v>
      </c>
      <c r="O2512" t="s">
        <v>27</v>
      </c>
      <c r="P2512" t="s">
        <v>369</v>
      </c>
      <c r="Q2512" t="s">
        <v>31</v>
      </c>
      <c r="R2512" t="s">
        <v>57</v>
      </c>
      <c r="S2512" t="s">
        <v>28</v>
      </c>
      <c r="T2512" t="s">
        <v>9590</v>
      </c>
      <c r="U2512" t="s">
        <v>9589</v>
      </c>
    </row>
    <row r="2513" spans="1:21" x14ac:dyDescent="0.25">
      <c r="A2513" t="s">
        <v>70</v>
      </c>
      <c r="B2513" t="s">
        <v>70</v>
      </c>
      <c r="C2513">
        <v>330</v>
      </c>
      <c r="D2513">
        <v>1</v>
      </c>
      <c r="E2513">
        <v>0</v>
      </c>
      <c r="F2513" t="s">
        <v>9591</v>
      </c>
      <c r="G2513">
        <v>330</v>
      </c>
      <c r="H2513">
        <v>0</v>
      </c>
      <c r="I2513" t="s">
        <v>24</v>
      </c>
      <c r="J2513" t="s">
        <v>9592</v>
      </c>
      <c r="K2513" t="s">
        <v>701</v>
      </c>
      <c r="L2513" t="s">
        <v>27</v>
      </c>
      <c r="M2513" t="s">
        <v>28</v>
      </c>
      <c r="N2513" t="s">
        <v>9593</v>
      </c>
      <c r="O2513" t="s">
        <v>27</v>
      </c>
      <c r="P2513" t="s">
        <v>56</v>
      </c>
      <c r="Q2513" t="s">
        <v>31</v>
      </c>
      <c r="R2513" t="s">
        <v>57</v>
      </c>
      <c r="S2513" t="s">
        <v>28</v>
      </c>
      <c r="T2513" t="s">
        <v>9594</v>
      </c>
      <c r="U2513" t="s">
        <v>9593</v>
      </c>
    </row>
    <row r="2514" spans="1:21" x14ac:dyDescent="0.25">
      <c r="A2514" t="s">
        <v>33</v>
      </c>
      <c r="B2514" t="s">
        <v>34</v>
      </c>
      <c r="C2514">
        <v>200</v>
      </c>
      <c r="D2514">
        <v>1</v>
      </c>
      <c r="E2514">
        <v>0</v>
      </c>
      <c r="F2514" t="s">
        <v>9595</v>
      </c>
      <c r="G2514">
        <v>200</v>
      </c>
      <c r="H2514">
        <v>0</v>
      </c>
      <c r="I2514" t="s">
        <v>24</v>
      </c>
      <c r="J2514" t="s">
        <v>9596</v>
      </c>
      <c r="K2514" t="s">
        <v>711</v>
      </c>
      <c r="L2514" t="s">
        <v>27</v>
      </c>
      <c r="M2514" t="s">
        <v>28</v>
      </c>
      <c r="N2514" t="s">
        <v>9597</v>
      </c>
      <c r="O2514" t="s">
        <v>27</v>
      </c>
      <c r="P2514" t="s">
        <v>56</v>
      </c>
      <c r="Q2514" t="s">
        <v>31</v>
      </c>
      <c r="R2514" t="s">
        <v>57</v>
      </c>
      <c r="S2514" t="s">
        <v>28</v>
      </c>
      <c r="T2514" t="s">
        <v>9598</v>
      </c>
      <c r="U2514" t="s">
        <v>9599</v>
      </c>
    </row>
    <row r="2515" spans="1:21" x14ac:dyDescent="0.25">
      <c r="A2515" t="s">
        <v>70</v>
      </c>
      <c r="B2515" t="s">
        <v>70</v>
      </c>
      <c r="C2515">
        <v>350</v>
      </c>
      <c r="D2515">
        <v>1</v>
      </c>
      <c r="E2515">
        <v>0</v>
      </c>
      <c r="F2515" t="s">
        <v>9600</v>
      </c>
      <c r="G2515">
        <v>350</v>
      </c>
      <c r="H2515">
        <v>0</v>
      </c>
      <c r="I2515" t="s">
        <v>140</v>
      </c>
      <c r="J2515" t="s">
        <v>9601</v>
      </c>
      <c r="K2515" t="s">
        <v>285</v>
      </c>
      <c r="L2515" t="s">
        <v>27</v>
      </c>
      <c r="M2515" t="s">
        <v>28</v>
      </c>
      <c r="N2515" t="s">
        <v>9602</v>
      </c>
      <c r="O2515" t="s">
        <v>27</v>
      </c>
      <c r="P2515" t="s">
        <v>30</v>
      </c>
      <c r="Q2515" t="s">
        <v>31</v>
      </c>
      <c r="R2515" t="s">
        <v>32</v>
      </c>
      <c r="S2515" t="s">
        <v>28</v>
      </c>
      <c r="T2515" t="s">
        <v>9603</v>
      </c>
      <c r="U2515" t="s">
        <v>9602</v>
      </c>
    </row>
    <row r="2516" spans="1:21" x14ac:dyDescent="0.25">
      <c r="A2516" t="s">
        <v>70</v>
      </c>
      <c r="B2516" t="s">
        <v>70</v>
      </c>
      <c r="C2516">
        <v>330</v>
      </c>
      <c r="D2516">
        <v>1</v>
      </c>
      <c r="E2516">
        <v>0</v>
      </c>
      <c r="F2516" t="s">
        <v>9604</v>
      </c>
      <c r="G2516">
        <v>330</v>
      </c>
      <c r="H2516">
        <v>0</v>
      </c>
      <c r="I2516" t="s">
        <v>24</v>
      </c>
      <c r="J2516" t="s">
        <v>9605</v>
      </c>
      <c r="K2516" t="s">
        <v>2243</v>
      </c>
      <c r="L2516" t="s">
        <v>27</v>
      </c>
      <c r="M2516" t="s">
        <v>28</v>
      </c>
      <c r="N2516" t="s">
        <v>9606</v>
      </c>
      <c r="O2516" t="s">
        <v>27</v>
      </c>
      <c r="P2516" t="s">
        <v>56</v>
      </c>
      <c r="Q2516" t="s">
        <v>31</v>
      </c>
      <c r="R2516" t="s">
        <v>57</v>
      </c>
      <c r="S2516" t="s">
        <v>28</v>
      </c>
      <c r="T2516" t="s">
        <v>9607</v>
      </c>
      <c r="U2516" t="s">
        <v>9606</v>
      </c>
    </row>
    <row r="2517" spans="1:21" x14ac:dyDescent="0.25">
      <c r="A2517" t="s">
        <v>63</v>
      </c>
      <c r="B2517" t="s">
        <v>64</v>
      </c>
      <c r="C2517">
        <v>100</v>
      </c>
      <c r="D2517">
        <v>2</v>
      </c>
      <c r="E2517">
        <v>0</v>
      </c>
      <c r="F2517" t="s">
        <v>9608</v>
      </c>
      <c r="G2517">
        <v>200</v>
      </c>
      <c r="H2517">
        <v>0</v>
      </c>
      <c r="I2517" t="s">
        <v>445</v>
      </c>
      <c r="J2517" t="s">
        <v>9609</v>
      </c>
      <c r="K2517" t="s">
        <v>358</v>
      </c>
      <c r="L2517" t="s">
        <v>27</v>
      </c>
      <c r="M2517" t="s">
        <v>28</v>
      </c>
      <c r="N2517" t="s">
        <v>9606</v>
      </c>
      <c r="O2517" t="s">
        <v>27</v>
      </c>
      <c r="P2517" t="s">
        <v>39</v>
      </c>
      <c r="Q2517" t="s">
        <v>31</v>
      </c>
      <c r="R2517" t="s">
        <v>32</v>
      </c>
      <c r="S2517" t="s">
        <v>28</v>
      </c>
      <c r="T2517" t="s">
        <v>9610</v>
      </c>
      <c r="U2517" t="s">
        <v>9606</v>
      </c>
    </row>
    <row r="2518" spans="1:21" x14ac:dyDescent="0.25">
      <c r="A2518" t="s">
        <v>58</v>
      </c>
      <c r="B2518" t="s">
        <v>58</v>
      </c>
      <c r="C2518">
        <v>100</v>
      </c>
      <c r="D2518">
        <v>2</v>
      </c>
      <c r="E2518">
        <v>0</v>
      </c>
      <c r="F2518" t="s">
        <v>9611</v>
      </c>
      <c r="G2518">
        <v>198</v>
      </c>
      <c r="H2518">
        <v>0</v>
      </c>
      <c r="I2518" t="s">
        <v>445</v>
      </c>
      <c r="J2518" t="s">
        <v>9612</v>
      </c>
      <c r="K2518" t="s">
        <v>9613</v>
      </c>
      <c r="L2518" t="s">
        <v>5793</v>
      </c>
      <c r="M2518" t="s">
        <v>4870</v>
      </c>
      <c r="N2518" t="s">
        <v>9614</v>
      </c>
      <c r="O2518" t="s">
        <v>27</v>
      </c>
      <c r="P2518" t="s">
        <v>84</v>
      </c>
      <c r="Q2518" t="s">
        <v>85</v>
      </c>
      <c r="R2518" t="s">
        <v>86</v>
      </c>
      <c r="S2518" t="s">
        <v>28</v>
      </c>
      <c r="T2518" t="s">
        <v>9615</v>
      </c>
      <c r="U2518" t="s">
        <v>9614</v>
      </c>
    </row>
    <row r="2519" spans="1:21" x14ac:dyDescent="0.25">
      <c r="A2519" t="s">
        <v>58</v>
      </c>
      <c r="B2519" t="s">
        <v>103</v>
      </c>
      <c r="C2519">
        <v>99.75</v>
      </c>
      <c r="D2519">
        <v>1</v>
      </c>
      <c r="E2519">
        <v>0</v>
      </c>
      <c r="F2519" t="s">
        <v>9616</v>
      </c>
      <c r="G2519">
        <v>99.75</v>
      </c>
      <c r="H2519">
        <v>0</v>
      </c>
      <c r="I2519" t="s">
        <v>105</v>
      </c>
      <c r="J2519" t="s">
        <v>9617</v>
      </c>
      <c r="K2519" t="s">
        <v>9618</v>
      </c>
      <c r="L2519" t="s">
        <v>9619</v>
      </c>
      <c r="M2519" t="s">
        <v>9620</v>
      </c>
      <c r="N2519" t="s">
        <v>9621</v>
      </c>
      <c r="O2519" t="s">
        <v>27</v>
      </c>
      <c r="P2519" t="s">
        <v>48</v>
      </c>
      <c r="Q2519" t="s">
        <v>49</v>
      </c>
      <c r="R2519" t="s">
        <v>50</v>
      </c>
      <c r="S2519" t="s">
        <v>28</v>
      </c>
      <c r="T2519" t="s">
        <v>9622</v>
      </c>
      <c r="U2519" t="s">
        <v>9621</v>
      </c>
    </row>
    <row r="2520" spans="1:21" x14ac:dyDescent="0.25">
      <c r="A2520" t="s">
        <v>143</v>
      </c>
      <c r="B2520" t="s">
        <v>144</v>
      </c>
      <c r="C2520">
        <v>200</v>
      </c>
      <c r="D2520">
        <v>1</v>
      </c>
      <c r="E2520">
        <v>0</v>
      </c>
      <c r="F2520" t="s">
        <v>9623</v>
      </c>
      <c r="G2520">
        <v>200</v>
      </c>
      <c r="H2520">
        <v>0</v>
      </c>
      <c r="I2520" t="s">
        <v>140</v>
      </c>
      <c r="J2520" t="s">
        <v>9624</v>
      </c>
      <c r="K2520" t="s">
        <v>61</v>
      </c>
      <c r="L2520" t="s">
        <v>27</v>
      </c>
      <c r="M2520" t="s">
        <v>28</v>
      </c>
      <c r="N2520" t="s">
        <v>9621</v>
      </c>
      <c r="O2520" t="s">
        <v>27</v>
      </c>
      <c r="P2520" t="s">
        <v>30</v>
      </c>
      <c r="Q2520" t="s">
        <v>31</v>
      </c>
      <c r="R2520" t="s">
        <v>32</v>
      </c>
      <c r="S2520" t="s">
        <v>28</v>
      </c>
      <c r="T2520" t="s">
        <v>9625</v>
      </c>
      <c r="U2520" t="s">
        <v>9621</v>
      </c>
    </row>
    <row r="2521" spans="1:21" x14ac:dyDescent="0.25">
      <c r="A2521" t="s">
        <v>33</v>
      </c>
      <c r="B2521" t="s">
        <v>34</v>
      </c>
      <c r="C2521">
        <v>200</v>
      </c>
      <c r="D2521">
        <v>5</v>
      </c>
      <c r="E2521">
        <v>0</v>
      </c>
      <c r="F2521" t="s">
        <v>9626</v>
      </c>
      <c r="G2521">
        <v>2000</v>
      </c>
      <c r="H2521">
        <v>0</v>
      </c>
      <c r="I2521" t="s">
        <v>24</v>
      </c>
      <c r="J2521" t="s">
        <v>9627</v>
      </c>
      <c r="K2521" t="s">
        <v>579</v>
      </c>
      <c r="L2521" t="s">
        <v>27</v>
      </c>
      <c r="M2521" t="s">
        <v>28</v>
      </c>
      <c r="N2521" t="s">
        <v>9628</v>
      </c>
      <c r="O2521" t="s">
        <v>27</v>
      </c>
      <c r="P2521" t="s">
        <v>56</v>
      </c>
      <c r="Q2521" t="s">
        <v>31</v>
      </c>
      <c r="R2521" t="s">
        <v>57</v>
      </c>
      <c r="S2521" t="s">
        <v>28</v>
      </c>
      <c r="T2521" t="s">
        <v>9629</v>
      </c>
      <c r="U2521" t="s">
        <v>9630</v>
      </c>
    </row>
    <row r="2522" spans="1:21" x14ac:dyDescent="0.25">
      <c r="A2522" t="s">
        <v>143</v>
      </c>
      <c r="B2522" t="s">
        <v>144</v>
      </c>
      <c r="C2522">
        <v>200</v>
      </c>
      <c r="D2522">
        <v>5</v>
      </c>
      <c r="E2522">
        <v>0</v>
      </c>
      <c r="F2522" t="s">
        <v>9626</v>
      </c>
      <c r="G2522">
        <v>2000</v>
      </c>
      <c r="H2522">
        <v>0</v>
      </c>
      <c r="I2522" t="s">
        <v>24</v>
      </c>
      <c r="J2522" t="s">
        <v>9627</v>
      </c>
      <c r="K2522" t="s">
        <v>579</v>
      </c>
      <c r="L2522" t="s">
        <v>27</v>
      </c>
      <c r="M2522" t="s">
        <v>28</v>
      </c>
      <c r="N2522" t="s">
        <v>9628</v>
      </c>
      <c r="O2522" t="s">
        <v>27</v>
      </c>
      <c r="P2522" t="s">
        <v>56</v>
      </c>
      <c r="Q2522" t="s">
        <v>31</v>
      </c>
      <c r="R2522" t="s">
        <v>57</v>
      </c>
      <c r="S2522" t="s">
        <v>28</v>
      </c>
      <c r="T2522" t="s">
        <v>9629</v>
      </c>
      <c r="U2522" t="s">
        <v>9630</v>
      </c>
    </row>
    <row r="2523" spans="1:21" x14ac:dyDescent="0.25">
      <c r="A2523" t="s">
        <v>143</v>
      </c>
      <c r="B2523" t="s">
        <v>144</v>
      </c>
      <c r="C2523">
        <v>200</v>
      </c>
      <c r="D2523">
        <v>2</v>
      </c>
      <c r="E2523">
        <v>0</v>
      </c>
      <c r="F2523" t="s">
        <v>9631</v>
      </c>
      <c r="G2523">
        <v>400</v>
      </c>
      <c r="H2523">
        <v>0</v>
      </c>
      <c r="I2523" t="s">
        <v>24</v>
      </c>
      <c r="J2523" t="s">
        <v>9632</v>
      </c>
      <c r="K2523" t="s">
        <v>579</v>
      </c>
      <c r="L2523" t="s">
        <v>27</v>
      </c>
      <c r="M2523" t="s">
        <v>28</v>
      </c>
      <c r="N2523" t="s">
        <v>9633</v>
      </c>
      <c r="O2523" t="s">
        <v>27</v>
      </c>
      <c r="P2523" t="s">
        <v>56</v>
      </c>
      <c r="Q2523" t="s">
        <v>31</v>
      </c>
      <c r="R2523" t="s">
        <v>57</v>
      </c>
      <c r="S2523" t="s">
        <v>28</v>
      </c>
      <c r="T2523" t="s">
        <v>9634</v>
      </c>
      <c r="U2523" t="s">
        <v>9633</v>
      </c>
    </row>
    <row r="2524" spans="1:21" x14ac:dyDescent="0.25">
      <c r="A2524" t="s">
        <v>63</v>
      </c>
      <c r="B2524" t="s">
        <v>64</v>
      </c>
      <c r="C2524">
        <v>100</v>
      </c>
      <c r="D2524">
        <v>2</v>
      </c>
      <c r="E2524">
        <v>0</v>
      </c>
      <c r="F2524" t="s">
        <v>9635</v>
      </c>
      <c r="G2524">
        <v>400</v>
      </c>
      <c r="H2524">
        <v>0</v>
      </c>
      <c r="I2524" t="s">
        <v>24</v>
      </c>
      <c r="J2524" t="s">
        <v>9609</v>
      </c>
      <c r="K2524" t="s">
        <v>358</v>
      </c>
      <c r="L2524" t="s">
        <v>27</v>
      </c>
      <c r="M2524" t="s">
        <v>28</v>
      </c>
      <c r="N2524" t="s">
        <v>9636</v>
      </c>
      <c r="O2524" t="s">
        <v>27</v>
      </c>
      <c r="P2524" t="s">
        <v>39</v>
      </c>
      <c r="Q2524" t="s">
        <v>31</v>
      </c>
      <c r="R2524" t="s">
        <v>32</v>
      </c>
      <c r="S2524" t="s">
        <v>28</v>
      </c>
      <c r="T2524" t="s">
        <v>9637</v>
      </c>
      <c r="U2524" t="s">
        <v>9636</v>
      </c>
    </row>
    <row r="2525" spans="1:21" x14ac:dyDescent="0.25">
      <c r="A2525" t="s">
        <v>134</v>
      </c>
      <c r="B2525" t="s">
        <v>64</v>
      </c>
      <c r="C2525">
        <v>100</v>
      </c>
      <c r="D2525">
        <v>2</v>
      </c>
      <c r="E2525">
        <v>0</v>
      </c>
      <c r="F2525" t="s">
        <v>9635</v>
      </c>
      <c r="G2525">
        <v>400</v>
      </c>
      <c r="H2525">
        <v>0</v>
      </c>
      <c r="I2525" t="s">
        <v>24</v>
      </c>
      <c r="J2525" t="s">
        <v>9609</v>
      </c>
      <c r="K2525" t="s">
        <v>358</v>
      </c>
      <c r="L2525" t="s">
        <v>27</v>
      </c>
      <c r="M2525" t="s">
        <v>28</v>
      </c>
      <c r="N2525" t="s">
        <v>9636</v>
      </c>
      <c r="O2525" t="s">
        <v>27</v>
      </c>
      <c r="P2525" t="s">
        <v>39</v>
      </c>
      <c r="Q2525" t="s">
        <v>31</v>
      </c>
      <c r="R2525" t="s">
        <v>32</v>
      </c>
      <c r="S2525" t="s">
        <v>28</v>
      </c>
      <c r="T2525" t="s">
        <v>9637</v>
      </c>
      <c r="U2525" t="s">
        <v>9636</v>
      </c>
    </row>
    <row r="2526" spans="1:21" x14ac:dyDescent="0.25">
      <c r="A2526" t="s">
        <v>134</v>
      </c>
      <c r="B2526" t="s">
        <v>64</v>
      </c>
      <c r="C2526">
        <v>100</v>
      </c>
      <c r="D2526">
        <v>1</v>
      </c>
      <c r="E2526">
        <v>0</v>
      </c>
      <c r="F2526" t="s">
        <v>9638</v>
      </c>
      <c r="G2526">
        <v>106</v>
      </c>
      <c r="H2526">
        <v>6</v>
      </c>
      <c r="I2526" t="s">
        <v>24</v>
      </c>
      <c r="J2526" t="s">
        <v>9639</v>
      </c>
      <c r="K2526" t="s">
        <v>325</v>
      </c>
      <c r="L2526" t="s">
        <v>27</v>
      </c>
      <c r="M2526" t="s">
        <v>28</v>
      </c>
      <c r="N2526" t="s">
        <v>9640</v>
      </c>
      <c r="O2526" t="s">
        <v>27</v>
      </c>
      <c r="P2526" t="s">
        <v>39</v>
      </c>
      <c r="Q2526" t="s">
        <v>31</v>
      </c>
      <c r="R2526" t="s">
        <v>32</v>
      </c>
      <c r="S2526" t="s">
        <v>28</v>
      </c>
      <c r="T2526" t="s">
        <v>9641</v>
      </c>
      <c r="U2526" t="s">
        <v>9642</v>
      </c>
    </row>
    <row r="2527" spans="1:21" x14ac:dyDescent="0.25">
      <c r="A2527" t="s">
        <v>456</v>
      </c>
      <c r="B2527" t="s">
        <v>1178</v>
      </c>
      <c r="C2527">
        <v>149.88</v>
      </c>
      <c r="D2527">
        <v>1</v>
      </c>
      <c r="E2527">
        <v>0</v>
      </c>
      <c r="F2527" t="s">
        <v>9643</v>
      </c>
      <c r="G2527">
        <v>299.75</v>
      </c>
      <c r="H2527">
        <v>0</v>
      </c>
      <c r="I2527" t="s">
        <v>628</v>
      </c>
      <c r="J2527" t="s">
        <v>4998</v>
      </c>
      <c r="K2527" t="s">
        <v>4999</v>
      </c>
      <c r="L2527" t="s">
        <v>5000</v>
      </c>
      <c r="M2527" t="s">
        <v>5001</v>
      </c>
      <c r="N2527" t="s">
        <v>9644</v>
      </c>
      <c r="O2527" t="s">
        <v>27</v>
      </c>
      <c r="P2527" t="s">
        <v>48</v>
      </c>
      <c r="Q2527" t="s">
        <v>49</v>
      </c>
      <c r="R2527" t="s">
        <v>50</v>
      </c>
      <c r="S2527" t="s">
        <v>28</v>
      </c>
      <c r="T2527" t="s">
        <v>9645</v>
      </c>
      <c r="U2527" t="s">
        <v>9640</v>
      </c>
    </row>
    <row r="2528" spans="1:21" x14ac:dyDescent="0.25">
      <c r="A2528" t="s">
        <v>456</v>
      </c>
      <c r="B2528" t="s">
        <v>1178</v>
      </c>
      <c r="C2528">
        <v>149.87</v>
      </c>
      <c r="D2528">
        <v>1</v>
      </c>
      <c r="E2528">
        <v>0</v>
      </c>
      <c r="F2528" t="s">
        <v>9643</v>
      </c>
      <c r="G2528">
        <v>299.75</v>
      </c>
      <c r="H2528">
        <v>0</v>
      </c>
      <c r="I2528" t="s">
        <v>628</v>
      </c>
      <c r="J2528" t="s">
        <v>4998</v>
      </c>
      <c r="K2528" t="s">
        <v>4999</v>
      </c>
      <c r="L2528" t="s">
        <v>5000</v>
      </c>
      <c r="M2528" t="s">
        <v>5001</v>
      </c>
      <c r="N2528" t="s">
        <v>9644</v>
      </c>
      <c r="O2528" t="s">
        <v>27</v>
      </c>
      <c r="P2528" t="s">
        <v>48</v>
      </c>
      <c r="Q2528" t="s">
        <v>49</v>
      </c>
      <c r="R2528" t="s">
        <v>50</v>
      </c>
      <c r="S2528" t="s">
        <v>28</v>
      </c>
      <c r="T2528" t="s">
        <v>9645</v>
      </c>
      <c r="U2528" t="s">
        <v>9640</v>
      </c>
    </row>
    <row r="2529" spans="1:21" x14ac:dyDescent="0.25">
      <c r="A2529" t="s">
        <v>143</v>
      </c>
      <c r="B2529" t="s">
        <v>144</v>
      </c>
      <c r="C2529">
        <v>200</v>
      </c>
      <c r="D2529">
        <v>1</v>
      </c>
      <c r="E2529">
        <v>0</v>
      </c>
      <c r="F2529" t="s">
        <v>9646</v>
      </c>
      <c r="G2529">
        <v>200</v>
      </c>
      <c r="H2529">
        <v>0</v>
      </c>
      <c r="I2529" t="s">
        <v>140</v>
      </c>
      <c r="J2529" t="s">
        <v>9647</v>
      </c>
      <c r="K2529" t="s">
        <v>89</v>
      </c>
      <c r="L2529" t="s">
        <v>27</v>
      </c>
      <c r="M2529" t="s">
        <v>28</v>
      </c>
      <c r="N2529" t="s">
        <v>9648</v>
      </c>
      <c r="O2529" t="s">
        <v>27</v>
      </c>
      <c r="P2529" t="s">
        <v>30</v>
      </c>
      <c r="Q2529" t="s">
        <v>31</v>
      </c>
      <c r="R2529" t="s">
        <v>32</v>
      </c>
      <c r="S2529" t="s">
        <v>28</v>
      </c>
      <c r="T2529" t="s">
        <v>9649</v>
      </c>
      <c r="U2529" t="s">
        <v>9648</v>
      </c>
    </row>
    <row r="2530" spans="1:21" x14ac:dyDescent="0.25">
      <c r="A2530" t="s">
        <v>134</v>
      </c>
      <c r="B2530" t="s">
        <v>64</v>
      </c>
      <c r="C2530">
        <v>100</v>
      </c>
      <c r="D2530">
        <v>4</v>
      </c>
      <c r="E2530">
        <v>0</v>
      </c>
      <c r="F2530" t="s">
        <v>9650</v>
      </c>
      <c r="G2530">
        <v>400</v>
      </c>
      <c r="H2530">
        <v>0</v>
      </c>
      <c r="I2530" t="s">
        <v>24</v>
      </c>
      <c r="J2530" t="s">
        <v>150</v>
      </c>
      <c r="K2530" t="s">
        <v>151</v>
      </c>
      <c r="L2530" t="s">
        <v>27</v>
      </c>
      <c r="M2530" t="s">
        <v>28</v>
      </c>
      <c r="N2530" t="s">
        <v>9651</v>
      </c>
      <c r="O2530" t="s">
        <v>27</v>
      </c>
      <c r="P2530" t="s">
        <v>39</v>
      </c>
      <c r="Q2530" t="s">
        <v>31</v>
      </c>
      <c r="R2530" t="s">
        <v>32</v>
      </c>
      <c r="S2530" t="s">
        <v>28</v>
      </c>
      <c r="T2530" t="s">
        <v>9652</v>
      </c>
      <c r="U2530" t="s">
        <v>9653</v>
      </c>
    </row>
    <row r="2531" spans="1:21" x14ac:dyDescent="0.25">
      <c r="A2531" t="s">
        <v>143</v>
      </c>
      <c r="B2531" t="s">
        <v>144</v>
      </c>
      <c r="C2531">
        <v>200</v>
      </c>
      <c r="D2531">
        <v>2</v>
      </c>
      <c r="E2531">
        <v>0</v>
      </c>
      <c r="F2531" t="s">
        <v>9654</v>
      </c>
      <c r="G2531">
        <v>400</v>
      </c>
      <c r="H2531">
        <v>0</v>
      </c>
      <c r="I2531" t="s">
        <v>140</v>
      </c>
      <c r="J2531" t="s">
        <v>9655</v>
      </c>
      <c r="K2531" t="s">
        <v>346</v>
      </c>
      <c r="L2531" t="s">
        <v>27</v>
      </c>
      <c r="M2531" t="s">
        <v>28</v>
      </c>
      <c r="N2531" t="s">
        <v>9651</v>
      </c>
      <c r="O2531" t="s">
        <v>27</v>
      </c>
      <c r="P2531" t="s">
        <v>369</v>
      </c>
      <c r="Q2531" t="s">
        <v>31</v>
      </c>
      <c r="R2531" t="s">
        <v>57</v>
      </c>
      <c r="S2531" t="s">
        <v>28</v>
      </c>
      <c r="T2531" t="s">
        <v>9656</v>
      </c>
      <c r="U2531" t="s">
        <v>9653</v>
      </c>
    </row>
    <row r="2532" spans="1:21" x14ac:dyDescent="0.25">
      <c r="A2532" t="s">
        <v>33</v>
      </c>
      <c r="B2532" t="s">
        <v>34</v>
      </c>
      <c r="C2532">
        <v>200</v>
      </c>
      <c r="D2532">
        <v>1</v>
      </c>
      <c r="E2532">
        <v>0</v>
      </c>
      <c r="F2532" t="s">
        <v>9657</v>
      </c>
      <c r="G2532">
        <v>200</v>
      </c>
      <c r="H2532">
        <v>0</v>
      </c>
      <c r="I2532" t="s">
        <v>24</v>
      </c>
      <c r="J2532" t="s">
        <v>9658</v>
      </c>
      <c r="K2532" t="s">
        <v>753</v>
      </c>
      <c r="L2532" t="s">
        <v>27</v>
      </c>
      <c r="M2532" t="s">
        <v>28</v>
      </c>
      <c r="N2532" t="s">
        <v>9659</v>
      </c>
      <c r="O2532" t="s">
        <v>27</v>
      </c>
      <c r="P2532" t="s">
        <v>39</v>
      </c>
      <c r="Q2532" t="s">
        <v>31</v>
      </c>
      <c r="R2532" t="s">
        <v>32</v>
      </c>
      <c r="S2532" t="s">
        <v>28</v>
      </c>
      <c r="T2532" t="s">
        <v>9660</v>
      </c>
      <c r="U2532" t="s">
        <v>9661</v>
      </c>
    </row>
    <row r="2533" spans="1:21" x14ac:dyDescent="0.25">
      <c r="A2533" t="s">
        <v>33</v>
      </c>
      <c r="B2533" t="s">
        <v>34</v>
      </c>
      <c r="C2533">
        <v>200</v>
      </c>
      <c r="D2533">
        <v>1</v>
      </c>
      <c r="E2533">
        <v>0</v>
      </c>
      <c r="F2533" t="s">
        <v>9662</v>
      </c>
      <c r="G2533">
        <v>200</v>
      </c>
      <c r="H2533">
        <v>0</v>
      </c>
      <c r="I2533" t="s">
        <v>24</v>
      </c>
      <c r="J2533" t="s">
        <v>9663</v>
      </c>
      <c r="K2533" t="s">
        <v>67</v>
      </c>
      <c r="L2533" t="s">
        <v>27</v>
      </c>
      <c r="M2533" t="s">
        <v>28</v>
      </c>
      <c r="N2533" t="s">
        <v>9664</v>
      </c>
      <c r="O2533" t="s">
        <v>27</v>
      </c>
      <c r="P2533" t="s">
        <v>30</v>
      </c>
      <c r="Q2533" t="s">
        <v>31</v>
      </c>
      <c r="R2533" t="s">
        <v>32</v>
      </c>
      <c r="S2533" t="s">
        <v>28</v>
      </c>
      <c r="T2533" t="s">
        <v>9665</v>
      </c>
      <c r="U2533" t="s">
        <v>9664</v>
      </c>
    </row>
    <row r="2534" spans="1:21" x14ac:dyDescent="0.25">
      <c r="A2534" t="s">
        <v>143</v>
      </c>
      <c r="B2534" t="s">
        <v>144</v>
      </c>
      <c r="C2534">
        <v>200</v>
      </c>
      <c r="D2534">
        <v>1</v>
      </c>
      <c r="E2534">
        <v>0</v>
      </c>
      <c r="F2534" t="s">
        <v>9666</v>
      </c>
      <c r="G2534">
        <v>200</v>
      </c>
      <c r="H2534">
        <v>0</v>
      </c>
      <c r="I2534" t="s">
        <v>24</v>
      </c>
      <c r="J2534" t="s">
        <v>9667</v>
      </c>
      <c r="K2534" t="s">
        <v>919</v>
      </c>
      <c r="L2534" t="s">
        <v>27</v>
      </c>
      <c r="M2534" t="s">
        <v>28</v>
      </c>
      <c r="N2534" t="s">
        <v>9668</v>
      </c>
      <c r="O2534" t="s">
        <v>27</v>
      </c>
      <c r="P2534" t="s">
        <v>39</v>
      </c>
      <c r="Q2534" t="s">
        <v>31</v>
      </c>
      <c r="R2534" t="s">
        <v>32</v>
      </c>
      <c r="S2534" t="s">
        <v>28</v>
      </c>
      <c r="T2534" t="s">
        <v>9669</v>
      </c>
      <c r="U2534" t="s">
        <v>9668</v>
      </c>
    </row>
    <row r="2535" spans="1:21" x14ac:dyDescent="0.25">
      <c r="A2535" t="s">
        <v>63</v>
      </c>
      <c r="B2535" t="s">
        <v>64</v>
      </c>
      <c r="C2535">
        <v>100</v>
      </c>
      <c r="D2535">
        <v>2</v>
      </c>
      <c r="E2535">
        <v>0</v>
      </c>
      <c r="F2535" t="s">
        <v>9670</v>
      </c>
      <c r="G2535">
        <v>200</v>
      </c>
      <c r="H2535">
        <v>0</v>
      </c>
      <c r="I2535" t="s">
        <v>445</v>
      </c>
      <c r="J2535" t="s">
        <v>3969</v>
      </c>
      <c r="K2535" t="s">
        <v>37</v>
      </c>
      <c r="L2535" t="s">
        <v>27</v>
      </c>
      <c r="M2535" t="s">
        <v>28</v>
      </c>
      <c r="N2535" t="s">
        <v>9671</v>
      </c>
      <c r="O2535" t="s">
        <v>27</v>
      </c>
      <c r="P2535" t="s">
        <v>39</v>
      </c>
      <c r="Q2535" t="s">
        <v>31</v>
      </c>
      <c r="R2535" t="s">
        <v>32</v>
      </c>
      <c r="S2535" t="s">
        <v>28</v>
      </c>
      <c r="T2535" t="s">
        <v>9672</v>
      </c>
      <c r="U2535" t="s">
        <v>9671</v>
      </c>
    </row>
    <row r="2536" spans="1:21" x14ac:dyDescent="0.25">
      <c r="A2536" t="s">
        <v>70</v>
      </c>
      <c r="B2536" t="s">
        <v>70</v>
      </c>
      <c r="C2536">
        <v>330</v>
      </c>
      <c r="D2536">
        <v>1</v>
      </c>
      <c r="E2536">
        <v>0</v>
      </c>
      <c r="F2536" t="s">
        <v>9673</v>
      </c>
      <c r="G2536">
        <v>330</v>
      </c>
      <c r="H2536">
        <v>0</v>
      </c>
      <c r="I2536" t="s">
        <v>24</v>
      </c>
      <c r="J2536" t="s">
        <v>9674</v>
      </c>
      <c r="K2536" t="s">
        <v>583</v>
      </c>
      <c r="L2536" t="s">
        <v>27</v>
      </c>
      <c r="M2536" t="s">
        <v>28</v>
      </c>
      <c r="N2536" t="s">
        <v>9675</v>
      </c>
      <c r="O2536" t="s">
        <v>27</v>
      </c>
      <c r="P2536" t="s">
        <v>30</v>
      </c>
      <c r="Q2536" t="s">
        <v>31</v>
      </c>
      <c r="R2536" t="s">
        <v>32</v>
      </c>
      <c r="S2536" t="s">
        <v>28</v>
      </c>
      <c r="T2536" t="s">
        <v>9676</v>
      </c>
      <c r="U2536" t="s">
        <v>9677</v>
      </c>
    </row>
    <row r="2537" spans="1:21" x14ac:dyDescent="0.25">
      <c r="A2537" t="s">
        <v>63</v>
      </c>
      <c r="B2537" t="s">
        <v>64</v>
      </c>
      <c r="C2537">
        <v>100</v>
      </c>
      <c r="D2537">
        <v>1</v>
      </c>
      <c r="E2537">
        <v>0</v>
      </c>
      <c r="F2537" t="s">
        <v>9678</v>
      </c>
      <c r="G2537">
        <v>200</v>
      </c>
      <c r="H2537">
        <v>0</v>
      </c>
      <c r="I2537" t="s">
        <v>445</v>
      </c>
      <c r="J2537" t="s">
        <v>9679</v>
      </c>
      <c r="K2537" t="s">
        <v>5225</v>
      </c>
      <c r="L2537" t="s">
        <v>27</v>
      </c>
      <c r="M2537" t="s">
        <v>28</v>
      </c>
      <c r="N2537" t="s">
        <v>9680</v>
      </c>
      <c r="O2537" t="s">
        <v>27</v>
      </c>
      <c r="P2537" t="s">
        <v>39</v>
      </c>
      <c r="Q2537" t="s">
        <v>31</v>
      </c>
      <c r="R2537" t="s">
        <v>32</v>
      </c>
      <c r="S2537" t="s">
        <v>28</v>
      </c>
      <c r="T2537" t="s">
        <v>9681</v>
      </c>
      <c r="U2537" t="s">
        <v>9680</v>
      </c>
    </row>
    <row r="2538" spans="1:21" x14ac:dyDescent="0.25">
      <c r="A2538" t="s">
        <v>134</v>
      </c>
      <c r="B2538" t="s">
        <v>64</v>
      </c>
      <c r="C2538">
        <v>100</v>
      </c>
      <c r="D2538">
        <v>1</v>
      </c>
      <c r="E2538">
        <v>0</v>
      </c>
      <c r="F2538" t="s">
        <v>9678</v>
      </c>
      <c r="G2538">
        <v>200</v>
      </c>
      <c r="H2538">
        <v>0</v>
      </c>
      <c r="I2538" t="s">
        <v>445</v>
      </c>
      <c r="J2538" t="s">
        <v>9679</v>
      </c>
      <c r="K2538" t="s">
        <v>5225</v>
      </c>
      <c r="L2538" t="s">
        <v>27</v>
      </c>
      <c r="M2538" t="s">
        <v>28</v>
      </c>
      <c r="N2538" t="s">
        <v>9680</v>
      </c>
      <c r="O2538" t="s">
        <v>27</v>
      </c>
      <c r="P2538" t="s">
        <v>39</v>
      </c>
      <c r="Q2538" t="s">
        <v>31</v>
      </c>
      <c r="R2538" t="s">
        <v>32</v>
      </c>
      <c r="S2538" t="s">
        <v>28</v>
      </c>
      <c r="T2538" t="s">
        <v>9681</v>
      </c>
      <c r="U2538" t="s">
        <v>9680</v>
      </c>
    </row>
    <row r="2539" spans="1:21" x14ac:dyDescent="0.25">
      <c r="A2539" t="s">
        <v>33</v>
      </c>
      <c r="B2539" t="s">
        <v>34</v>
      </c>
      <c r="C2539">
        <v>200</v>
      </c>
      <c r="D2539">
        <v>1</v>
      </c>
      <c r="E2539">
        <v>0</v>
      </c>
      <c r="F2539" t="s">
        <v>9682</v>
      </c>
      <c r="G2539">
        <v>200</v>
      </c>
      <c r="H2539">
        <v>0</v>
      </c>
      <c r="I2539" t="s">
        <v>445</v>
      </c>
      <c r="J2539" t="s">
        <v>9683</v>
      </c>
      <c r="K2539" t="s">
        <v>151</v>
      </c>
      <c r="L2539" t="s">
        <v>27</v>
      </c>
      <c r="M2539" t="s">
        <v>28</v>
      </c>
      <c r="N2539" t="s">
        <v>9680</v>
      </c>
      <c r="O2539" t="s">
        <v>27</v>
      </c>
      <c r="P2539" t="s">
        <v>39</v>
      </c>
      <c r="Q2539" t="s">
        <v>31</v>
      </c>
      <c r="R2539" t="s">
        <v>32</v>
      </c>
      <c r="S2539" t="s">
        <v>28</v>
      </c>
      <c r="T2539" t="s">
        <v>9684</v>
      </c>
      <c r="U2539" t="s">
        <v>9680</v>
      </c>
    </row>
    <row r="2540" spans="1:21" x14ac:dyDescent="0.25">
      <c r="A2540" t="s">
        <v>33</v>
      </c>
      <c r="B2540" t="s">
        <v>34</v>
      </c>
      <c r="C2540">
        <v>200</v>
      </c>
      <c r="D2540">
        <v>1</v>
      </c>
      <c r="E2540">
        <v>0</v>
      </c>
      <c r="F2540" t="s">
        <v>9685</v>
      </c>
      <c r="G2540">
        <v>200</v>
      </c>
      <c r="H2540">
        <v>0</v>
      </c>
      <c r="I2540" t="s">
        <v>445</v>
      </c>
      <c r="J2540" t="s">
        <v>9686</v>
      </c>
      <c r="K2540" t="s">
        <v>118</v>
      </c>
      <c r="L2540" t="s">
        <v>27</v>
      </c>
      <c r="M2540" t="s">
        <v>28</v>
      </c>
      <c r="N2540" t="s">
        <v>9687</v>
      </c>
      <c r="O2540" t="s">
        <v>27</v>
      </c>
      <c r="P2540" t="s">
        <v>39</v>
      </c>
      <c r="Q2540" t="s">
        <v>31</v>
      </c>
      <c r="R2540" t="s">
        <v>32</v>
      </c>
      <c r="S2540" t="s">
        <v>28</v>
      </c>
      <c r="T2540" t="s">
        <v>9688</v>
      </c>
      <c r="U2540" t="s">
        <v>9687</v>
      </c>
    </row>
    <row r="2541" spans="1:21" x14ac:dyDescent="0.25">
      <c r="A2541" t="s">
        <v>456</v>
      </c>
      <c r="B2541" t="s">
        <v>457</v>
      </c>
      <c r="C2541">
        <v>199</v>
      </c>
      <c r="D2541">
        <v>1</v>
      </c>
      <c r="E2541">
        <v>0</v>
      </c>
      <c r="F2541" t="s">
        <v>9689</v>
      </c>
      <c r="G2541">
        <v>228</v>
      </c>
      <c r="H2541">
        <v>29</v>
      </c>
      <c r="I2541" t="s">
        <v>24</v>
      </c>
      <c r="J2541" t="s">
        <v>7836</v>
      </c>
      <c r="K2541" t="s">
        <v>7837</v>
      </c>
      <c r="L2541" t="s">
        <v>7838</v>
      </c>
      <c r="M2541" t="s">
        <v>1343</v>
      </c>
      <c r="N2541" t="s">
        <v>9690</v>
      </c>
      <c r="O2541" t="s">
        <v>27</v>
      </c>
      <c r="P2541" t="s">
        <v>84</v>
      </c>
      <c r="Q2541" t="s">
        <v>85</v>
      </c>
      <c r="R2541" t="s">
        <v>86</v>
      </c>
      <c r="S2541" t="s">
        <v>28</v>
      </c>
      <c r="T2541" t="s">
        <v>9691</v>
      </c>
      <c r="U2541" t="s">
        <v>9692</v>
      </c>
    </row>
    <row r="2542" spans="1:21" x14ac:dyDescent="0.25">
      <c r="A2542" t="s">
        <v>58</v>
      </c>
      <c r="B2542" t="s">
        <v>103</v>
      </c>
      <c r="C2542">
        <v>84</v>
      </c>
      <c r="D2542">
        <v>1</v>
      </c>
      <c r="E2542">
        <v>0</v>
      </c>
      <c r="F2542" t="s">
        <v>9693</v>
      </c>
      <c r="G2542">
        <v>173</v>
      </c>
      <c r="H2542">
        <v>5</v>
      </c>
      <c r="I2542" t="s">
        <v>105</v>
      </c>
      <c r="J2542" t="s">
        <v>9694</v>
      </c>
      <c r="K2542" t="s">
        <v>9695</v>
      </c>
      <c r="L2542" t="s">
        <v>516</v>
      </c>
      <c r="M2542" t="s">
        <v>9696</v>
      </c>
      <c r="N2542" t="s">
        <v>9697</v>
      </c>
      <c r="O2542" t="s">
        <v>27</v>
      </c>
      <c r="P2542" t="s">
        <v>48</v>
      </c>
      <c r="Q2542" t="s">
        <v>49</v>
      </c>
      <c r="R2542" t="s">
        <v>50</v>
      </c>
      <c r="S2542" t="s">
        <v>28</v>
      </c>
      <c r="T2542" t="s">
        <v>9698</v>
      </c>
      <c r="U2542" t="s">
        <v>9699</v>
      </c>
    </row>
    <row r="2543" spans="1:21" x14ac:dyDescent="0.25">
      <c r="A2543" t="s">
        <v>58</v>
      </c>
      <c r="B2543" t="s">
        <v>103</v>
      </c>
      <c r="C2543">
        <v>84</v>
      </c>
      <c r="D2543">
        <v>1</v>
      </c>
      <c r="E2543">
        <v>0</v>
      </c>
      <c r="F2543" t="s">
        <v>9693</v>
      </c>
      <c r="G2543">
        <v>173</v>
      </c>
      <c r="H2543">
        <v>5</v>
      </c>
      <c r="I2543" t="s">
        <v>105</v>
      </c>
      <c r="J2543" t="s">
        <v>9694</v>
      </c>
      <c r="K2543" t="s">
        <v>9695</v>
      </c>
      <c r="L2543" t="s">
        <v>516</v>
      </c>
      <c r="M2543" t="s">
        <v>9696</v>
      </c>
      <c r="N2543" t="s">
        <v>9697</v>
      </c>
      <c r="O2543" t="s">
        <v>27</v>
      </c>
      <c r="P2543" t="s">
        <v>48</v>
      </c>
      <c r="Q2543" t="s">
        <v>49</v>
      </c>
      <c r="R2543" t="s">
        <v>50</v>
      </c>
      <c r="S2543" t="s">
        <v>28</v>
      </c>
      <c r="T2543" t="s">
        <v>9698</v>
      </c>
      <c r="U2543" t="s">
        <v>9699</v>
      </c>
    </row>
    <row r="2544" spans="1:21" x14ac:dyDescent="0.25">
      <c r="A2544" t="s">
        <v>134</v>
      </c>
      <c r="B2544" t="s">
        <v>64</v>
      </c>
      <c r="C2544">
        <v>100</v>
      </c>
      <c r="D2544">
        <v>1</v>
      </c>
      <c r="E2544">
        <v>0</v>
      </c>
      <c r="F2544" t="s">
        <v>9700</v>
      </c>
      <c r="G2544">
        <v>185</v>
      </c>
      <c r="H2544">
        <v>0</v>
      </c>
      <c r="I2544" t="s">
        <v>140</v>
      </c>
      <c r="J2544" t="s">
        <v>9701</v>
      </c>
      <c r="K2544" t="s">
        <v>67</v>
      </c>
      <c r="L2544" t="s">
        <v>27</v>
      </c>
      <c r="M2544" t="s">
        <v>28</v>
      </c>
      <c r="N2544" t="s">
        <v>9702</v>
      </c>
      <c r="O2544" t="s">
        <v>27</v>
      </c>
      <c r="P2544" t="s">
        <v>369</v>
      </c>
      <c r="Q2544" t="s">
        <v>31</v>
      </c>
      <c r="R2544" t="s">
        <v>57</v>
      </c>
      <c r="S2544" t="s">
        <v>28</v>
      </c>
      <c r="T2544" t="s">
        <v>9703</v>
      </c>
      <c r="U2544" t="s">
        <v>9704</v>
      </c>
    </row>
    <row r="2545" spans="1:21" x14ac:dyDescent="0.25">
      <c r="A2545" t="s">
        <v>9705</v>
      </c>
      <c r="B2545" t="s">
        <v>168</v>
      </c>
      <c r="C2545">
        <v>250</v>
      </c>
      <c r="D2545">
        <v>1</v>
      </c>
      <c r="E2545">
        <v>0</v>
      </c>
      <c r="F2545" t="s">
        <v>9706</v>
      </c>
      <c r="G2545">
        <v>500</v>
      </c>
      <c r="H2545">
        <v>0</v>
      </c>
      <c r="I2545" t="s">
        <v>140</v>
      </c>
      <c r="J2545" t="s">
        <v>9707</v>
      </c>
      <c r="K2545" t="s">
        <v>61</v>
      </c>
      <c r="L2545" t="s">
        <v>27</v>
      </c>
      <c r="M2545" t="s">
        <v>28</v>
      </c>
      <c r="N2545" t="s">
        <v>9704</v>
      </c>
      <c r="O2545" t="s">
        <v>27</v>
      </c>
      <c r="P2545" t="s">
        <v>369</v>
      </c>
      <c r="Q2545" t="s">
        <v>31</v>
      </c>
      <c r="R2545" t="s">
        <v>57</v>
      </c>
      <c r="S2545" t="s">
        <v>28</v>
      </c>
      <c r="T2545" t="s">
        <v>9708</v>
      </c>
      <c r="U2545" t="s">
        <v>9704</v>
      </c>
    </row>
    <row r="2546" spans="1:21" x14ac:dyDescent="0.25">
      <c r="A2546" t="s">
        <v>9709</v>
      </c>
      <c r="B2546" t="s">
        <v>168</v>
      </c>
      <c r="C2546">
        <v>250</v>
      </c>
      <c r="D2546">
        <v>1</v>
      </c>
      <c r="E2546">
        <v>0</v>
      </c>
      <c r="F2546" t="s">
        <v>9706</v>
      </c>
      <c r="G2546">
        <v>500</v>
      </c>
      <c r="H2546">
        <v>0</v>
      </c>
      <c r="I2546" t="s">
        <v>140</v>
      </c>
      <c r="J2546" t="s">
        <v>9707</v>
      </c>
      <c r="K2546" t="s">
        <v>61</v>
      </c>
      <c r="L2546" t="s">
        <v>27</v>
      </c>
      <c r="M2546" t="s">
        <v>28</v>
      </c>
      <c r="N2546" t="s">
        <v>9704</v>
      </c>
      <c r="O2546" t="s">
        <v>27</v>
      </c>
      <c r="P2546" t="s">
        <v>369</v>
      </c>
      <c r="Q2546" t="s">
        <v>31</v>
      </c>
      <c r="R2546" t="s">
        <v>57</v>
      </c>
      <c r="S2546" t="s">
        <v>28</v>
      </c>
      <c r="T2546" t="s">
        <v>9708</v>
      </c>
      <c r="U2546" t="s">
        <v>9704</v>
      </c>
    </row>
    <row r="2547" spans="1:21" x14ac:dyDescent="0.25">
      <c r="A2547" t="s">
        <v>143</v>
      </c>
      <c r="B2547" t="s">
        <v>144</v>
      </c>
      <c r="C2547">
        <v>200</v>
      </c>
      <c r="D2547">
        <v>1</v>
      </c>
      <c r="E2547">
        <v>0</v>
      </c>
      <c r="F2547" t="s">
        <v>9710</v>
      </c>
      <c r="G2547">
        <v>200</v>
      </c>
      <c r="H2547">
        <v>0</v>
      </c>
      <c r="I2547" t="s">
        <v>445</v>
      </c>
      <c r="J2547" t="s">
        <v>9711</v>
      </c>
      <c r="K2547" t="s">
        <v>213</v>
      </c>
      <c r="L2547" t="s">
        <v>27</v>
      </c>
      <c r="M2547" t="s">
        <v>28</v>
      </c>
      <c r="N2547" t="s">
        <v>9712</v>
      </c>
      <c r="O2547" t="s">
        <v>27</v>
      </c>
      <c r="P2547" t="s">
        <v>56</v>
      </c>
      <c r="Q2547" t="s">
        <v>31</v>
      </c>
      <c r="R2547" t="s">
        <v>57</v>
      </c>
      <c r="S2547" t="s">
        <v>28</v>
      </c>
      <c r="T2547" t="s">
        <v>9713</v>
      </c>
      <c r="U2547" t="s">
        <v>9714</v>
      </c>
    </row>
    <row r="2548" spans="1:21" x14ac:dyDescent="0.25">
      <c r="A2548" t="s">
        <v>63</v>
      </c>
      <c r="B2548" t="s">
        <v>64</v>
      </c>
      <c r="C2548">
        <v>100</v>
      </c>
      <c r="D2548">
        <v>1</v>
      </c>
      <c r="E2548">
        <v>0</v>
      </c>
      <c r="F2548" t="s">
        <v>9715</v>
      </c>
      <c r="G2548">
        <v>200</v>
      </c>
      <c r="H2548">
        <v>0</v>
      </c>
      <c r="I2548" t="s">
        <v>24</v>
      </c>
      <c r="J2548" t="s">
        <v>9716</v>
      </c>
      <c r="K2548" t="s">
        <v>611</v>
      </c>
      <c r="L2548" t="s">
        <v>27</v>
      </c>
      <c r="M2548" t="s">
        <v>28</v>
      </c>
      <c r="N2548" t="s">
        <v>9717</v>
      </c>
      <c r="O2548" t="s">
        <v>27</v>
      </c>
      <c r="P2548" t="s">
        <v>39</v>
      </c>
      <c r="Q2548" t="s">
        <v>31</v>
      </c>
      <c r="R2548" t="s">
        <v>32</v>
      </c>
      <c r="S2548" t="s">
        <v>28</v>
      </c>
      <c r="T2548" t="s">
        <v>9718</v>
      </c>
      <c r="U2548" t="s">
        <v>9717</v>
      </c>
    </row>
    <row r="2549" spans="1:21" x14ac:dyDescent="0.25">
      <c r="A2549" t="s">
        <v>134</v>
      </c>
      <c r="B2549" t="s">
        <v>64</v>
      </c>
      <c r="C2549">
        <v>100</v>
      </c>
      <c r="D2549">
        <v>1</v>
      </c>
      <c r="E2549">
        <v>0</v>
      </c>
      <c r="F2549" t="s">
        <v>9715</v>
      </c>
      <c r="G2549">
        <v>200</v>
      </c>
      <c r="H2549">
        <v>0</v>
      </c>
      <c r="I2549" t="s">
        <v>24</v>
      </c>
      <c r="J2549" t="s">
        <v>9716</v>
      </c>
      <c r="K2549" t="s">
        <v>611</v>
      </c>
      <c r="L2549" t="s">
        <v>27</v>
      </c>
      <c r="M2549" t="s">
        <v>28</v>
      </c>
      <c r="N2549" t="s">
        <v>9717</v>
      </c>
      <c r="O2549" t="s">
        <v>27</v>
      </c>
      <c r="P2549" t="s">
        <v>39</v>
      </c>
      <c r="Q2549" t="s">
        <v>31</v>
      </c>
      <c r="R2549" t="s">
        <v>32</v>
      </c>
      <c r="S2549" t="s">
        <v>28</v>
      </c>
      <c r="T2549" t="s">
        <v>9718</v>
      </c>
      <c r="U2549" t="s">
        <v>9717</v>
      </c>
    </row>
    <row r="2550" spans="1:21" x14ac:dyDescent="0.25">
      <c r="A2550" t="s">
        <v>21</v>
      </c>
      <c r="B2550" t="s">
        <v>22</v>
      </c>
      <c r="C2550">
        <v>100</v>
      </c>
      <c r="D2550">
        <v>1</v>
      </c>
      <c r="E2550">
        <v>0</v>
      </c>
      <c r="F2550" t="s">
        <v>9719</v>
      </c>
      <c r="G2550">
        <v>106</v>
      </c>
      <c r="H2550">
        <v>6</v>
      </c>
      <c r="I2550" t="s">
        <v>24</v>
      </c>
      <c r="J2550" t="s">
        <v>53</v>
      </c>
      <c r="K2550" t="s">
        <v>611</v>
      </c>
      <c r="L2550" t="s">
        <v>27</v>
      </c>
      <c r="M2550" t="s">
        <v>28</v>
      </c>
      <c r="N2550" t="s">
        <v>9720</v>
      </c>
      <c r="O2550" t="s">
        <v>27</v>
      </c>
      <c r="P2550" t="s">
        <v>56</v>
      </c>
      <c r="Q2550" t="s">
        <v>31</v>
      </c>
      <c r="R2550" t="s">
        <v>57</v>
      </c>
      <c r="S2550" t="s">
        <v>28</v>
      </c>
      <c r="T2550" t="s">
        <v>9721</v>
      </c>
      <c r="U2550" t="s">
        <v>9720</v>
      </c>
    </row>
    <row r="2551" spans="1:21" x14ac:dyDescent="0.25">
      <c r="A2551" t="s">
        <v>70</v>
      </c>
      <c r="B2551" t="s">
        <v>70</v>
      </c>
      <c r="C2551">
        <v>350</v>
      </c>
      <c r="D2551">
        <v>1</v>
      </c>
      <c r="E2551">
        <v>0</v>
      </c>
      <c r="F2551" t="s">
        <v>9722</v>
      </c>
      <c r="G2551">
        <v>350</v>
      </c>
      <c r="H2551">
        <v>0</v>
      </c>
      <c r="I2551" t="s">
        <v>140</v>
      </c>
      <c r="J2551" t="s">
        <v>9723</v>
      </c>
      <c r="K2551" t="s">
        <v>672</v>
      </c>
      <c r="L2551" t="s">
        <v>27</v>
      </c>
      <c r="M2551" t="s">
        <v>28</v>
      </c>
      <c r="N2551" t="s">
        <v>9724</v>
      </c>
      <c r="O2551" t="s">
        <v>27</v>
      </c>
      <c r="P2551" t="s">
        <v>30</v>
      </c>
      <c r="Q2551" t="s">
        <v>31</v>
      </c>
      <c r="R2551" t="s">
        <v>32</v>
      </c>
      <c r="S2551" t="s">
        <v>28</v>
      </c>
      <c r="T2551" t="s">
        <v>9725</v>
      </c>
      <c r="U2551" t="s">
        <v>9720</v>
      </c>
    </row>
    <row r="2552" spans="1:21" x14ac:dyDescent="0.25">
      <c r="A2552" t="s">
        <v>33</v>
      </c>
      <c r="B2552" t="s">
        <v>34</v>
      </c>
      <c r="C2552">
        <v>200</v>
      </c>
      <c r="D2552">
        <v>1</v>
      </c>
      <c r="E2552">
        <v>0</v>
      </c>
      <c r="F2552" t="s">
        <v>9726</v>
      </c>
      <c r="G2552">
        <v>200</v>
      </c>
      <c r="H2552">
        <v>0</v>
      </c>
      <c r="I2552" t="s">
        <v>445</v>
      </c>
      <c r="J2552" t="s">
        <v>9727</v>
      </c>
      <c r="K2552" t="s">
        <v>241</v>
      </c>
      <c r="L2552" t="s">
        <v>27</v>
      </c>
      <c r="M2552" t="s">
        <v>28</v>
      </c>
      <c r="N2552" t="s">
        <v>9724</v>
      </c>
      <c r="O2552" t="s">
        <v>27</v>
      </c>
      <c r="P2552" t="s">
        <v>56</v>
      </c>
      <c r="Q2552" t="s">
        <v>31</v>
      </c>
      <c r="R2552" t="s">
        <v>57</v>
      </c>
      <c r="S2552" t="s">
        <v>28</v>
      </c>
      <c r="T2552" t="s">
        <v>9728</v>
      </c>
      <c r="U2552" t="s">
        <v>9729</v>
      </c>
    </row>
    <row r="2553" spans="1:21" x14ac:dyDescent="0.25">
      <c r="A2553" t="s">
        <v>70</v>
      </c>
      <c r="B2553" t="s">
        <v>70</v>
      </c>
      <c r="C2553">
        <v>330</v>
      </c>
      <c r="D2553">
        <v>1</v>
      </c>
      <c r="E2553">
        <v>0</v>
      </c>
      <c r="F2553" t="s">
        <v>9730</v>
      </c>
      <c r="G2553">
        <v>330</v>
      </c>
      <c r="H2553">
        <v>0</v>
      </c>
      <c r="I2553" t="s">
        <v>24</v>
      </c>
      <c r="J2553" t="s">
        <v>9731</v>
      </c>
      <c r="K2553" t="s">
        <v>4596</v>
      </c>
      <c r="L2553" t="s">
        <v>27</v>
      </c>
      <c r="M2553" t="s">
        <v>28</v>
      </c>
      <c r="N2553" t="s">
        <v>9732</v>
      </c>
      <c r="O2553" t="s">
        <v>27</v>
      </c>
      <c r="P2553" t="s">
        <v>39</v>
      </c>
      <c r="Q2553" t="s">
        <v>31</v>
      </c>
      <c r="R2553" t="s">
        <v>32</v>
      </c>
      <c r="S2553" t="s">
        <v>28</v>
      </c>
      <c r="T2553" t="s">
        <v>9733</v>
      </c>
      <c r="U2553" t="s">
        <v>9732</v>
      </c>
    </row>
    <row r="2554" spans="1:21" x14ac:dyDescent="0.25">
      <c r="A2554" t="s">
        <v>134</v>
      </c>
      <c r="B2554" t="s">
        <v>64</v>
      </c>
      <c r="C2554">
        <v>100</v>
      </c>
      <c r="D2554">
        <v>1</v>
      </c>
      <c r="E2554">
        <v>0</v>
      </c>
      <c r="F2554" t="s">
        <v>9734</v>
      </c>
      <c r="G2554">
        <v>500</v>
      </c>
      <c r="H2554">
        <v>0</v>
      </c>
      <c r="I2554" t="s">
        <v>140</v>
      </c>
      <c r="J2554" t="s">
        <v>9735</v>
      </c>
      <c r="K2554" t="s">
        <v>1198</v>
      </c>
      <c r="L2554" t="s">
        <v>27</v>
      </c>
      <c r="M2554" t="s">
        <v>28</v>
      </c>
      <c r="N2554" t="s">
        <v>9732</v>
      </c>
      <c r="O2554" t="s">
        <v>27</v>
      </c>
      <c r="P2554" t="s">
        <v>369</v>
      </c>
      <c r="Q2554" t="s">
        <v>31</v>
      </c>
      <c r="R2554" t="s">
        <v>57</v>
      </c>
      <c r="S2554" t="s">
        <v>9736</v>
      </c>
      <c r="T2554" t="s">
        <v>9737</v>
      </c>
      <c r="U2554" t="s">
        <v>9732</v>
      </c>
    </row>
    <row r="2555" spans="1:21" x14ac:dyDescent="0.25">
      <c r="A2555" t="s">
        <v>143</v>
      </c>
      <c r="B2555" t="s">
        <v>144</v>
      </c>
      <c r="C2555">
        <v>200</v>
      </c>
      <c r="D2555">
        <v>2</v>
      </c>
      <c r="E2555">
        <v>0</v>
      </c>
      <c r="F2555" t="s">
        <v>9734</v>
      </c>
      <c r="G2555">
        <v>500</v>
      </c>
      <c r="H2555">
        <v>0</v>
      </c>
      <c r="I2555" t="s">
        <v>140</v>
      </c>
      <c r="J2555" t="s">
        <v>9735</v>
      </c>
      <c r="K2555" t="s">
        <v>1198</v>
      </c>
      <c r="L2555" t="s">
        <v>27</v>
      </c>
      <c r="M2555" t="s">
        <v>28</v>
      </c>
      <c r="N2555" t="s">
        <v>9732</v>
      </c>
      <c r="O2555" t="s">
        <v>27</v>
      </c>
      <c r="P2555" t="s">
        <v>369</v>
      </c>
      <c r="Q2555" t="s">
        <v>31</v>
      </c>
      <c r="R2555" t="s">
        <v>57</v>
      </c>
      <c r="S2555" t="s">
        <v>9736</v>
      </c>
      <c r="T2555" t="s">
        <v>9737</v>
      </c>
      <c r="U2555" t="s">
        <v>9732</v>
      </c>
    </row>
    <row r="2556" spans="1:21" x14ac:dyDescent="0.25">
      <c r="A2556" t="s">
        <v>21</v>
      </c>
      <c r="B2556" t="s">
        <v>22</v>
      </c>
      <c r="C2556">
        <v>100</v>
      </c>
      <c r="D2556">
        <v>1</v>
      </c>
      <c r="E2556">
        <v>0</v>
      </c>
      <c r="F2556" t="s">
        <v>9738</v>
      </c>
      <c r="G2556">
        <v>100</v>
      </c>
      <c r="H2556">
        <v>0</v>
      </c>
      <c r="I2556" t="s">
        <v>445</v>
      </c>
      <c r="J2556" t="s">
        <v>9739</v>
      </c>
      <c r="K2556" t="s">
        <v>653</v>
      </c>
      <c r="L2556" t="s">
        <v>27</v>
      </c>
      <c r="M2556" t="s">
        <v>28</v>
      </c>
      <c r="N2556" t="s">
        <v>9740</v>
      </c>
      <c r="O2556" t="s">
        <v>27</v>
      </c>
      <c r="P2556" t="s">
        <v>39</v>
      </c>
      <c r="Q2556" t="s">
        <v>31</v>
      </c>
      <c r="R2556" t="s">
        <v>32</v>
      </c>
      <c r="S2556" t="s">
        <v>28</v>
      </c>
      <c r="T2556" t="s">
        <v>9741</v>
      </c>
      <c r="U2556" t="s">
        <v>9740</v>
      </c>
    </row>
    <row r="2557" spans="1:21" x14ac:dyDescent="0.25">
      <c r="A2557" t="s">
        <v>33</v>
      </c>
      <c r="B2557" t="s">
        <v>34</v>
      </c>
      <c r="C2557">
        <v>200</v>
      </c>
      <c r="D2557">
        <v>1</v>
      </c>
      <c r="E2557">
        <v>0</v>
      </c>
      <c r="F2557" t="s">
        <v>9742</v>
      </c>
      <c r="G2557">
        <v>200</v>
      </c>
      <c r="H2557">
        <v>0</v>
      </c>
      <c r="I2557" t="s">
        <v>445</v>
      </c>
      <c r="J2557" t="s">
        <v>9743</v>
      </c>
      <c r="K2557" t="s">
        <v>7080</v>
      </c>
      <c r="L2557" t="s">
        <v>27</v>
      </c>
      <c r="M2557" t="s">
        <v>28</v>
      </c>
      <c r="N2557" t="s">
        <v>9744</v>
      </c>
      <c r="O2557" t="s">
        <v>27</v>
      </c>
      <c r="P2557" t="s">
        <v>39</v>
      </c>
      <c r="Q2557" t="s">
        <v>31</v>
      </c>
      <c r="R2557" t="s">
        <v>32</v>
      </c>
      <c r="S2557" t="s">
        <v>28</v>
      </c>
      <c r="T2557" t="s">
        <v>9745</v>
      </c>
      <c r="U2557" t="s">
        <v>9744</v>
      </c>
    </row>
    <row r="2558" spans="1:21" x14ac:dyDescent="0.25">
      <c r="A2558" t="s">
        <v>2990</v>
      </c>
      <c r="B2558" t="s">
        <v>2991</v>
      </c>
      <c r="C2558">
        <v>200</v>
      </c>
      <c r="D2558">
        <v>1</v>
      </c>
      <c r="E2558">
        <v>0</v>
      </c>
      <c r="F2558" t="s">
        <v>9746</v>
      </c>
      <c r="G2558">
        <v>245</v>
      </c>
      <c r="H2558">
        <v>45</v>
      </c>
      <c r="I2558" t="s">
        <v>140</v>
      </c>
      <c r="J2558" t="s">
        <v>9747</v>
      </c>
      <c r="K2558" t="s">
        <v>61</v>
      </c>
      <c r="L2558" t="s">
        <v>27</v>
      </c>
      <c r="M2558" t="s">
        <v>28</v>
      </c>
      <c r="N2558" t="s">
        <v>9744</v>
      </c>
      <c r="O2558" t="s">
        <v>27</v>
      </c>
      <c r="P2558" t="s">
        <v>369</v>
      </c>
      <c r="Q2558" t="s">
        <v>31</v>
      </c>
      <c r="R2558" t="s">
        <v>57</v>
      </c>
      <c r="S2558" t="s">
        <v>28</v>
      </c>
      <c r="T2558" t="s">
        <v>9748</v>
      </c>
      <c r="U2558" t="s">
        <v>9749</v>
      </c>
    </row>
    <row r="2559" spans="1:21" x14ac:dyDescent="0.25">
      <c r="A2559" t="s">
        <v>63</v>
      </c>
      <c r="B2559" t="s">
        <v>64</v>
      </c>
      <c r="C2559">
        <v>100</v>
      </c>
      <c r="D2559">
        <v>1</v>
      </c>
      <c r="E2559">
        <v>0</v>
      </c>
      <c r="F2559" t="s">
        <v>9750</v>
      </c>
      <c r="G2559">
        <v>129</v>
      </c>
      <c r="H2559">
        <v>29</v>
      </c>
      <c r="I2559" t="s">
        <v>445</v>
      </c>
      <c r="J2559" t="s">
        <v>9751</v>
      </c>
      <c r="K2559" t="s">
        <v>384</v>
      </c>
      <c r="L2559" t="s">
        <v>27</v>
      </c>
      <c r="M2559" t="s">
        <v>28</v>
      </c>
      <c r="N2559" t="s">
        <v>9749</v>
      </c>
      <c r="O2559" t="s">
        <v>27</v>
      </c>
      <c r="P2559" t="s">
        <v>56</v>
      </c>
      <c r="Q2559" t="s">
        <v>31</v>
      </c>
      <c r="R2559" t="s">
        <v>57</v>
      </c>
      <c r="S2559" t="s">
        <v>28</v>
      </c>
      <c r="T2559" t="s">
        <v>9752</v>
      </c>
      <c r="U2559" t="s">
        <v>9753</v>
      </c>
    </row>
    <row r="2560" spans="1:21" x14ac:dyDescent="0.25">
      <c r="A2560" t="s">
        <v>33</v>
      </c>
      <c r="B2560" t="s">
        <v>34</v>
      </c>
      <c r="C2560">
        <v>200</v>
      </c>
      <c r="D2560">
        <v>1</v>
      </c>
      <c r="E2560">
        <v>0</v>
      </c>
      <c r="F2560" t="s">
        <v>9754</v>
      </c>
      <c r="G2560">
        <v>200</v>
      </c>
      <c r="H2560">
        <v>0</v>
      </c>
      <c r="I2560" t="s">
        <v>24</v>
      </c>
      <c r="J2560" t="s">
        <v>9755</v>
      </c>
      <c r="K2560" t="s">
        <v>4082</v>
      </c>
      <c r="L2560" t="s">
        <v>27</v>
      </c>
      <c r="M2560" t="s">
        <v>28</v>
      </c>
      <c r="N2560" t="s">
        <v>9756</v>
      </c>
      <c r="O2560" t="s">
        <v>27</v>
      </c>
      <c r="P2560" t="s">
        <v>39</v>
      </c>
      <c r="Q2560" t="s">
        <v>31</v>
      </c>
      <c r="R2560" t="s">
        <v>32</v>
      </c>
      <c r="S2560" t="s">
        <v>28</v>
      </c>
      <c r="T2560" t="s">
        <v>9757</v>
      </c>
      <c r="U2560" t="s">
        <v>9756</v>
      </c>
    </row>
    <row r="2561" spans="1:21" x14ac:dyDescent="0.25">
      <c r="A2561" t="s">
        <v>33</v>
      </c>
      <c r="B2561" t="s">
        <v>34</v>
      </c>
      <c r="C2561">
        <v>200</v>
      </c>
      <c r="D2561">
        <v>1</v>
      </c>
      <c r="E2561">
        <v>0</v>
      </c>
      <c r="F2561" t="s">
        <v>9758</v>
      </c>
      <c r="G2561">
        <v>200</v>
      </c>
      <c r="H2561">
        <v>0</v>
      </c>
      <c r="I2561" t="s">
        <v>445</v>
      </c>
      <c r="J2561" t="s">
        <v>9759</v>
      </c>
      <c r="K2561" t="s">
        <v>438</v>
      </c>
      <c r="L2561" t="s">
        <v>27</v>
      </c>
      <c r="M2561" t="s">
        <v>28</v>
      </c>
      <c r="N2561" t="s">
        <v>9760</v>
      </c>
      <c r="O2561" t="s">
        <v>27</v>
      </c>
      <c r="P2561" t="s">
        <v>39</v>
      </c>
      <c r="Q2561" t="s">
        <v>31</v>
      </c>
      <c r="R2561" t="s">
        <v>32</v>
      </c>
      <c r="S2561" t="s">
        <v>28</v>
      </c>
      <c r="T2561" t="s">
        <v>9761</v>
      </c>
      <c r="U2561" t="s">
        <v>9760</v>
      </c>
    </row>
    <row r="2562" spans="1:21" x14ac:dyDescent="0.25">
      <c r="A2562" t="s">
        <v>33</v>
      </c>
      <c r="B2562" t="s">
        <v>34</v>
      </c>
      <c r="C2562">
        <v>200</v>
      </c>
      <c r="D2562">
        <v>1</v>
      </c>
      <c r="E2562">
        <v>0</v>
      </c>
      <c r="F2562" t="s">
        <v>9762</v>
      </c>
      <c r="G2562">
        <v>200</v>
      </c>
      <c r="H2562">
        <v>0</v>
      </c>
      <c r="I2562" t="s">
        <v>24</v>
      </c>
      <c r="J2562" t="s">
        <v>9763</v>
      </c>
      <c r="K2562" t="s">
        <v>89</v>
      </c>
      <c r="L2562" t="s">
        <v>27</v>
      </c>
      <c r="M2562" t="s">
        <v>28</v>
      </c>
      <c r="N2562" t="s">
        <v>9764</v>
      </c>
      <c r="O2562" t="s">
        <v>27</v>
      </c>
      <c r="P2562" t="s">
        <v>39</v>
      </c>
      <c r="Q2562" t="s">
        <v>31</v>
      </c>
      <c r="R2562" t="s">
        <v>32</v>
      </c>
      <c r="S2562" t="s">
        <v>28</v>
      </c>
      <c r="T2562" t="s">
        <v>9765</v>
      </c>
      <c r="U2562" t="s">
        <v>9764</v>
      </c>
    </row>
    <row r="2563" spans="1:21" x14ac:dyDescent="0.25">
      <c r="A2563" t="s">
        <v>456</v>
      </c>
      <c r="B2563" t="s">
        <v>1178</v>
      </c>
      <c r="C2563">
        <v>213.75</v>
      </c>
      <c r="D2563">
        <v>1</v>
      </c>
      <c r="E2563">
        <v>0</v>
      </c>
      <c r="F2563" t="s">
        <v>9766</v>
      </c>
      <c r="G2563">
        <v>218.75</v>
      </c>
      <c r="H2563">
        <v>5</v>
      </c>
      <c r="I2563" t="s">
        <v>628</v>
      </c>
      <c r="J2563" t="s">
        <v>9767</v>
      </c>
      <c r="K2563" t="s">
        <v>9768</v>
      </c>
      <c r="L2563" t="s">
        <v>3424</v>
      </c>
      <c r="M2563" t="s">
        <v>9769</v>
      </c>
      <c r="N2563" t="s">
        <v>9770</v>
      </c>
      <c r="O2563" t="s">
        <v>27</v>
      </c>
      <c r="P2563" t="s">
        <v>48</v>
      </c>
      <c r="Q2563" t="s">
        <v>49</v>
      </c>
      <c r="R2563" t="s">
        <v>50</v>
      </c>
      <c r="S2563" t="s">
        <v>28</v>
      </c>
      <c r="T2563" t="s">
        <v>9771</v>
      </c>
      <c r="U2563" t="s">
        <v>9770</v>
      </c>
    </row>
    <row r="2564" spans="1:21" x14ac:dyDescent="0.25">
      <c r="A2564" t="s">
        <v>456</v>
      </c>
      <c r="B2564" t="s">
        <v>457</v>
      </c>
      <c r="C2564">
        <v>197</v>
      </c>
      <c r="D2564">
        <v>1</v>
      </c>
      <c r="E2564">
        <v>0</v>
      </c>
      <c r="F2564" t="s">
        <v>9772</v>
      </c>
      <c r="G2564">
        <v>240</v>
      </c>
      <c r="H2564">
        <v>45</v>
      </c>
      <c r="I2564" t="s">
        <v>445</v>
      </c>
      <c r="J2564" t="s">
        <v>2876</v>
      </c>
      <c r="K2564" t="s">
        <v>9773</v>
      </c>
      <c r="L2564" t="s">
        <v>1730</v>
      </c>
      <c r="M2564" t="s">
        <v>9774</v>
      </c>
      <c r="N2564" t="s">
        <v>9775</v>
      </c>
      <c r="O2564" t="s">
        <v>27</v>
      </c>
      <c r="P2564" t="s">
        <v>84</v>
      </c>
      <c r="Q2564" t="s">
        <v>85</v>
      </c>
      <c r="R2564" t="s">
        <v>86</v>
      </c>
      <c r="S2564" t="s">
        <v>28</v>
      </c>
      <c r="T2564" t="s">
        <v>9776</v>
      </c>
      <c r="U2564" t="s">
        <v>9777</v>
      </c>
    </row>
    <row r="2565" spans="1:21" x14ac:dyDescent="0.25">
      <c r="A2565" t="s">
        <v>143</v>
      </c>
      <c r="B2565" t="s">
        <v>144</v>
      </c>
      <c r="C2565">
        <v>200</v>
      </c>
      <c r="D2565">
        <v>1</v>
      </c>
      <c r="E2565">
        <v>0</v>
      </c>
      <c r="F2565" t="s">
        <v>9778</v>
      </c>
      <c r="G2565">
        <v>200</v>
      </c>
      <c r="H2565">
        <v>0</v>
      </c>
      <c r="I2565" t="s">
        <v>140</v>
      </c>
      <c r="J2565" t="s">
        <v>9779</v>
      </c>
      <c r="K2565" t="s">
        <v>54</v>
      </c>
      <c r="L2565" t="s">
        <v>27</v>
      </c>
      <c r="M2565" t="s">
        <v>28</v>
      </c>
      <c r="N2565" t="s">
        <v>9777</v>
      </c>
      <c r="O2565" t="s">
        <v>27</v>
      </c>
      <c r="P2565" t="s">
        <v>30</v>
      </c>
      <c r="Q2565" t="s">
        <v>31</v>
      </c>
      <c r="R2565" t="s">
        <v>32</v>
      </c>
      <c r="S2565" t="s">
        <v>28</v>
      </c>
      <c r="T2565" t="s">
        <v>9780</v>
      </c>
      <c r="U2565" t="s">
        <v>9777</v>
      </c>
    </row>
    <row r="2566" spans="1:21" x14ac:dyDescent="0.25">
      <c r="A2566" t="s">
        <v>33</v>
      </c>
      <c r="B2566" t="s">
        <v>34</v>
      </c>
      <c r="C2566">
        <v>232.55</v>
      </c>
      <c r="D2566">
        <v>1</v>
      </c>
      <c r="E2566">
        <v>0</v>
      </c>
      <c r="F2566" t="s">
        <v>9781</v>
      </c>
      <c r="G2566">
        <v>489.1</v>
      </c>
      <c r="H2566">
        <v>24</v>
      </c>
      <c r="I2566" t="s">
        <v>24</v>
      </c>
      <c r="J2566" t="s">
        <v>9782</v>
      </c>
      <c r="K2566" t="s">
        <v>9783</v>
      </c>
      <c r="L2566" t="s">
        <v>9784</v>
      </c>
      <c r="M2566" t="s">
        <v>9785</v>
      </c>
      <c r="N2566" t="s">
        <v>9777</v>
      </c>
      <c r="O2566" t="s">
        <v>27</v>
      </c>
      <c r="P2566" t="s">
        <v>48</v>
      </c>
      <c r="Q2566" t="s">
        <v>49</v>
      </c>
      <c r="R2566" t="s">
        <v>50</v>
      </c>
      <c r="S2566" t="s">
        <v>28</v>
      </c>
      <c r="T2566" t="s">
        <v>9786</v>
      </c>
      <c r="U2566" t="s">
        <v>9777</v>
      </c>
    </row>
    <row r="2567" spans="1:21" x14ac:dyDescent="0.25">
      <c r="A2567" t="s">
        <v>33</v>
      </c>
      <c r="B2567" t="s">
        <v>34</v>
      </c>
      <c r="C2567">
        <v>232.55</v>
      </c>
      <c r="D2567">
        <v>1</v>
      </c>
      <c r="E2567">
        <v>0</v>
      </c>
      <c r="F2567" t="s">
        <v>9781</v>
      </c>
      <c r="G2567">
        <v>489.1</v>
      </c>
      <c r="H2567">
        <v>24</v>
      </c>
      <c r="I2567" t="s">
        <v>24</v>
      </c>
      <c r="J2567" t="s">
        <v>9782</v>
      </c>
      <c r="K2567" t="s">
        <v>9783</v>
      </c>
      <c r="L2567" t="s">
        <v>9784</v>
      </c>
      <c r="M2567" t="s">
        <v>9785</v>
      </c>
      <c r="N2567" t="s">
        <v>9777</v>
      </c>
      <c r="O2567" t="s">
        <v>27</v>
      </c>
      <c r="P2567" t="s">
        <v>48</v>
      </c>
      <c r="Q2567" t="s">
        <v>49</v>
      </c>
      <c r="R2567" t="s">
        <v>50</v>
      </c>
      <c r="S2567" t="s">
        <v>28</v>
      </c>
      <c r="T2567" t="s">
        <v>9786</v>
      </c>
      <c r="U2567" t="s">
        <v>9777</v>
      </c>
    </row>
    <row r="2568" spans="1:21" x14ac:dyDescent="0.25">
      <c r="A2568" t="s">
        <v>63</v>
      </c>
      <c r="B2568" t="s">
        <v>64</v>
      </c>
      <c r="C2568">
        <v>100</v>
      </c>
      <c r="D2568">
        <v>1</v>
      </c>
      <c r="E2568">
        <v>0</v>
      </c>
      <c r="F2568" t="s">
        <v>9787</v>
      </c>
      <c r="G2568">
        <v>106</v>
      </c>
      <c r="H2568">
        <v>6</v>
      </c>
      <c r="I2568" t="s">
        <v>445</v>
      </c>
      <c r="J2568" t="s">
        <v>9788</v>
      </c>
      <c r="K2568" t="s">
        <v>346</v>
      </c>
      <c r="L2568" t="s">
        <v>27</v>
      </c>
      <c r="M2568" t="s">
        <v>28</v>
      </c>
      <c r="N2568" t="s">
        <v>9789</v>
      </c>
      <c r="O2568" t="s">
        <v>27</v>
      </c>
      <c r="P2568" t="s">
        <v>39</v>
      </c>
      <c r="Q2568" t="s">
        <v>31</v>
      </c>
      <c r="R2568" t="s">
        <v>32</v>
      </c>
      <c r="S2568" t="s">
        <v>28</v>
      </c>
      <c r="T2568" t="s">
        <v>9790</v>
      </c>
      <c r="U2568" t="s">
        <v>9789</v>
      </c>
    </row>
    <row r="2569" spans="1:21" x14ac:dyDescent="0.25">
      <c r="A2569" t="s">
        <v>143</v>
      </c>
      <c r="B2569" t="s">
        <v>144</v>
      </c>
      <c r="C2569">
        <v>200</v>
      </c>
      <c r="D2569">
        <v>1</v>
      </c>
      <c r="E2569">
        <v>0</v>
      </c>
      <c r="F2569" t="s">
        <v>9791</v>
      </c>
      <c r="G2569">
        <v>530</v>
      </c>
      <c r="H2569">
        <v>0</v>
      </c>
      <c r="I2569" t="s">
        <v>445</v>
      </c>
      <c r="J2569" t="s">
        <v>9792</v>
      </c>
      <c r="K2569" t="s">
        <v>67</v>
      </c>
      <c r="L2569" t="s">
        <v>27</v>
      </c>
      <c r="M2569" t="s">
        <v>28</v>
      </c>
      <c r="N2569" t="s">
        <v>9793</v>
      </c>
      <c r="O2569" t="s">
        <v>27</v>
      </c>
      <c r="P2569" t="s">
        <v>369</v>
      </c>
      <c r="Q2569" t="s">
        <v>31</v>
      </c>
      <c r="R2569" t="s">
        <v>57</v>
      </c>
      <c r="S2569" t="s">
        <v>28</v>
      </c>
      <c r="T2569" t="s">
        <v>9794</v>
      </c>
      <c r="U2569" t="s">
        <v>9793</v>
      </c>
    </row>
    <row r="2570" spans="1:21" x14ac:dyDescent="0.25">
      <c r="A2570" t="s">
        <v>70</v>
      </c>
      <c r="B2570" t="s">
        <v>70</v>
      </c>
      <c r="C2570">
        <v>330</v>
      </c>
      <c r="D2570">
        <v>1</v>
      </c>
      <c r="E2570">
        <v>0</v>
      </c>
      <c r="F2570" t="s">
        <v>9791</v>
      </c>
      <c r="G2570">
        <v>530</v>
      </c>
      <c r="H2570">
        <v>0</v>
      </c>
      <c r="I2570" t="s">
        <v>445</v>
      </c>
      <c r="J2570" t="s">
        <v>9792</v>
      </c>
      <c r="K2570" t="s">
        <v>67</v>
      </c>
      <c r="L2570" t="s">
        <v>27</v>
      </c>
      <c r="M2570" t="s">
        <v>28</v>
      </c>
      <c r="N2570" t="s">
        <v>9793</v>
      </c>
      <c r="O2570" t="s">
        <v>27</v>
      </c>
      <c r="P2570" t="s">
        <v>369</v>
      </c>
      <c r="Q2570" t="s">
        <v>31</v>
      </c>
      <c r="R2570" t="s">
        <v>57</v>
      </c>
      <c r="S2570" t="s">
        <v>28</v>
      </c>
      <c r="T2570" t="s">
        <v>9794</v>
      </c>
      <c r="U2570" t="s">
        <v>9793</v>
      </c>
    </row>
    <row r="2571" spans="1:21" x14ac:dyDescent="0.25">
      <c r="A2571" t="s">
        <v>63</v>
      </c>
      <c r="B2571" t="s">
        <v>64</v>
      </c>
      <c r="C2571">
        <v>100</v>
      </c>
      <c r="D2571">
        <v>1</v>
      </c>
      <c r="E2571">
        <v>0</v>
      </c>
      <c r="F2571" t="s">
        <v>9795</v>
      </c>
      <c r="G2571">
        <v>106</v>
      </c>
      <c r="H2571">
        <v>6</v>
      </c>
      <c r="I2571" t="s">
        <v>140</v>
      </c>
      <c r="J2571" t="s">
        <v>9796</v>
      </c>
      <c r="K2571" t="s">
        <v>118</v>
      </c>
      <c r="L2571" t="s">
        <v>27</v>
      </c>
      <c r="M2571" t="s">
        <v>28</v>
      </c>
      <c r="N2571" t="s">
        <v>9797</v>
      </c>
      <c r="O2571" t="s">
        <v>27</v>
      </c>
      <c r="P2571" t="s">
        <v>30</v>
      </c>
      <c r="Q2571" t="s">
        <v>31</v>
      </c>
      <c r="R2571" t="s">
        <v>32</v>
      </c>
      <c r="S2571" t="s">
        <v>28</v>
      </c>
      <c r="T2571" t="s">
        <v>9798</v>
      </c>
      <c r="U2571" t="s">
        <v>9797</v>
      </c>
    </row>
    <row r="2572" spans="1:21" x14ac:dyDescent="0.25">
      <c r="A2572" t="s">
        <v>70</v>
      </c>
      <c r="B2572" t="s">
        <v>70</v>
      </c>
      <c r="C2572">
        <v>350</v>
      </c>
      <c r="D2572">
        <v>1</v>
      </c>
      <c r="E2572">
        <v>0</v>
      </c>
      <c r="F2572" t="s">
        <v>9799</v>
      </c>
      <c r="G2572">
        <v>350</v>
      </c>
      <c r="H2572">
        <v>0</v>
      </c>
      <c r="I2572" t="s">
        <v>140</v>
      </c>
      <c r="J2572" t="s">
        <v>9800</v>
      </c>
      <c r="K2572" t="s">
        <v>677</v>
      </c>
      <c r="L2572" t="s">
        <v>27</v>
      </c>
      <c r="M2572" t="s">
        <v>28</v>
      </c>
      <c r="N2572" t="s">
        <v>9801</v>
      </c>
      <c r="O2572" t="s">
        <v>27</v>
      </c>
      <c r="P2572" t="s">
        <v>30</v>
      </c>
      <c r="Q2572" t="s">
        <v>31</v>
      </c>
      <c r="R2572" t="s">
        <v>32</v>
      </c>
      <c r="S2572" t="s">
        <v>28</v>
      </c>
      <c r="T2572" t="s">
        <v>9802</v>
      </c>
      <c r="U2572" t="s">
        <v>9801</v>
      </c>
    </row>
    <row r="2573" spans="1:21" x14ac:dyDescent="0.25">
      <c r="A2573" t="s">
        <v>134</v>
      </c>
      <c r="B2573" t="s">
        <v>64</v>
      </c>
      <c r="C2573">
        <v>100</v>
      </c>
      <c r="D2573">
        <v>1</v>
      </c>
      <c r="E2573">
        <v>0</v>
      </c>
      <c r="F2573" t="s">
        <v>9803</v>
      </c>
      <c r="G2573">
        <v>106</v>
      </c>
      <c r="H2573">
        <v>6</v>
      </c>
      <c r="I2573" t="s">
        <v>445</v>
      </c>
      <c r="J2573" t="s">
        <v>9804</v>
      </c>
      <c r="K2573" t="s">
        <v>346</v>
      </c>
      <c r="L2573" t="s">
        <v>27</v>
      </c>
      <c r="M2573" t="s">
        <v>28</v>
      </c>
      <c r="N2573" t="s">
        <v>9805</v>
      </c>
      <c r="O2573" t="s">
        <v>27</v>
      </c>
      <c r="P2573" t="s">
        <v>39</v>
      </c>
      <c r="Q2573" t="s">
        <v>31</v>
      </c>
      <c r="R2573" t="s">
        <v>32</v>
      </c>
      <c r="S2573" t="s">
        <v>28</v>
      </c>
      <c r="T2573" t="s">
        <v>9806</v>
      </c>
      <c r="U2573" t="s">
        <v>9805</v>
      </c>
    </row>
    <row r="2574" spans="1:21" x14ac:dyDescent="0.25">
      <c r="A2574" t="s">
        <v>33</v>
      </c>
      <c r="B2574" t="s">
        <v>34</v>
      </c>
      <c r="C2574">
        <v>200</v>
      </c>
      <c r="D2574">
        <v>1</v>
      </c>
      <c r="E2574">
        <v>0</v>
      </c>
      <c r="F2574" t="s">
        <v>9807</v>
      </c>
      <c r="G2574">
        <v>200</v>
      </c>
      <c r="H2574">
        <v>0</v>
      </c>
      <c r="I2574" t="s">
        <v>24</v>
      </c>
      <c r="J2574" t="s">
        <v>9808</v>
      </c>
      <c r="K2574" t="s">
        <v>466</v>
      </c>
      <c r="L2574" t="s">
        <v>27</v>
      </c>
      <c r="M2574" t="s">
        <v>28</v>
      </c>
      <c r="N2574" t="s">
        <v>9809</v>
      </c>
      <c r="O2574" t="s">
        <v>27</v>
      </c>
      <c r="P2574" t="s">
        <v>39</v>
      </c>
      <c r="Q2574" t="s">
        <v>31</v>
      </c>
      <c r="R2574" t="s">
        <v>32</v>
      </c>
      <c r="S2574" t="s">
        <v>28</v>
      </c>
      <c r="T2574" t="s">
        <v>9810</v>
      </c>
      <c r="U2574" t="s">
        <v>9809</v>
      </c>
    </row>
    <row r="2575" spans="1:21" x14ac:dyDescent="0.25">
      <c r="A2575" t="s">
        <v>134</v>
      </c>
      <c r="B2575" t="s">
        <v>64</v>
      </c>
      <c r="C2575">
        <v>100</v>
      </c>
      <c r="D2575">
        <v>1</v>
      </c>
      <c r="E2575">
        <v>0</v>
      </c>
      <c r="F2575" t="s">
        <v>9811</v>
      </c>
      <c r="G2575">
        <v>200</v>
      </c>
      <c r="H2575">
        <v>0</v>
      </c>
      <c r="I2575" t="s">
        <v>445</v>
      </c>
      <c r="J2575" t="s">
        <v>9812</v>
      </c>
      <c r="K2575" t="s">
        <v>960</v>
      </c>
      <c r="L2575" t="s">
        <v>27</v>
      </c>
      <c r="M2575" t="s">
        <v>28</v>
      </c>
      <c r="N2575" t="s">
        <v>9813</v>
      </c>
      <c r="O2575" t="s">
        <v>27</v>
      </c>
      <c r="P2575" t="s">
        <v>39</v>
      </c>
      <c r="Q2575" t="s">
        <v>31</v>
      </c>
      <c r="R2575" t="s">
        <v>32</v>
      </c>
      <c r="S2575" t="s">
        <v>28</v>
      </c>
      <c r="T2575" t="s">
        <v>9814</v>
      </c>
      <c r="U2575" t="s">
        <v>9813</v>
      </c>
    </row>
    <row r="2576" spans="1:21" x14ac:dyDescent="0.25">
      <c r="A2576" t="s">
        <v>63</v>
      </c>
      <c r="B2576" t="s">
        <v>64</v>
      </c>
      <c r="C2576">
        <v>100</v>
      </c>
      <c r="D2576">
        <v>1</v>
      </c>
      <c r="E2576">
        <v>0</v>
      </c>
      <c r="F2576" t="s">
        <v>9811</v>
      </c>
      <c r="G2576">
        <v>200</v>
      </c>
      <c r="H2576">
        <v>0</v>
      </c>
      <c r="I2576" t="s">
        <v>445</v>
      </c>
      <c r="J2576" t="s">
        <v>9812</v>
      </c>
      <c r="K2576" t="s">
        <v>960</v>
      </c>
      <c r="L2576" t="s">
        <v>27</v>
      </c>
      <c r="M2576" t="s">
        <v>28</v>
      </c>
      <c r="N2576" t="s">
        <v>9813</v>
      </c>
      <c r="O2576" t="s">
        <v>27</v>
      </c>
      <c r="P2576" t="s">
        <v>39</v>
      </c>
      <c r="Q2576" t="s">
        <v>31</v>
      </c>
      <c r="R2576" t="s">
        <v>32</v>
      </c>
      <c r="S2576" t="s">
        <v>28</v>
      </c>
      <c r="T2576" t="s">
        <v>9814</v>
      </c>
      <c r="U2576" t="s">
        <v>9813</v>
      </c>
    </row>
    <row r="2577" spans="1:21" x14ac:dyDescent="0.25">
      <c r="A2577" t="s">
        <v>143</v>
      </c>
      <c r="B2577" t="s">
        <v>144</v>
      </c>
      <c r="C2577">
        <v>200</v>
      </c>
      <c r="D2577">
        <v>1</v>
      </c>
      <c r="E2577">
        <v>0</v>
      </c>
      <c r="F2577" t="s">
        <v>9815</v>
      </c>
      <c r="G2577">
        <v>200</v>
      </c>
      <c r="H2577">
        <v>0</v>
      </c>
      <c r="I2577" t="s">
        <v>140</v>
      </c>
      <c r="J2577" t="s">
        <v>9816</v>
      </c>
      <c r="K2577" t="s">
        <v>67</v>
      </c>
      <c r="L2577" t="s">
        <v>27</v>
      </c>
      <c r="M2577" t="s">
        <v>28</v>
      </c>
      <c r="N2577" t="s">
        <v>9817</v>
      </c>
      <c r="O2577" t="s">
        <v>27</v>
      </c>
      <c r="P2577" t="s">
        <v>30</v>
      </c>
      <c r="Q2577" t="s">
        <v>31</v>
      </c>
      <c r="R2577" t="s">
        <v>32</v>
      </c>
      <c r="S2577" t="s">
        <v>28</v>
      </c>
      <c r="T2577" t="s">
        <v>9818</v>
      </c>
      <c r="U2577" t="s">
        <v>9817</v>
      </c>
    </row>
    <row r="2578" spans="1:21" x14ac:dyDescent="0.25">
      <c r="A2578" t="s">
        <v>63</v>
      </c>
      <c r="B2578" t="s">
        <v>64</v>
      </c>
      <c r="C2578">
        <v>100</v>
      </c>
      <c r="D2578">
        <v>1</v>
      </c>
      <c r="E2578">
        <v>0</v>
      </c>
      <c r="F2578" t="s">
        <v>9819</v>
      </c>
      <c r="G2578">
        <v>106</v>
      </c>
      <c r="H2578">
        <v>6</v>
      </c>
      <c r="I2578" t="s">
        <v>24</v>
      </c>
      <c r="J2578" t="s">
        <v>9820</v>
      </c>
      <c r="K2578" t="s">
        <v>5225</v>
      </c>
      <c r="L2578" t="s">
        <v>27</v>
      </c>
      <c r="M2578" t="s">
        <v>28</v>
      </c>
      <c r="N2578" t="s">
        <v>9821</v>
      </c>
      <c r="O2578" t="s">
        <v>27</v>
      </c>
      <c r="P2578" t="s">
        <v>39</v>
      </c>
      <c r="Q2578" t="s">
        <v>31</v>
      </c>
      <c r="R2578" t="s">
        <v>32</v>
      </c>
      <c r="S2578" t="s">
        <v>28</v>
      </c>
      <c r="T2578" t="s">
        <v>9822</v>
      </c>
      <c r="U2578" t="s">
        <v>9821</v>
      </c>
    </row>
    <row r="2579" spans="1:21" x14ac:dyDescent="0.25">
      <c r="A2579" t="s">
        <v>58</v>
      </c>
      <c r="B2579" t="s">
        <v>58</v>
      </c>
      <c r="C2579">
        <v>100</v>
      </c>
      <c r="D2579">
        <v>1</v>
      </c>
      <c r="E2579">
        <v>0</v>
      </c>
      <c r="F2579" t="s">
        <v>9823</v>
      </c>
      <c r="G2579">
        <v>167</v>
      </c>
      <c r="H2579">
        <v>7</v>
      </c>
      <c r="I2579" t="s">
        <v>445</v>
      </c>
      <c r="J2579" t="s">
        <v>9534</v>
      </c>
      <c r="K2579" t="s">
        <v>9824</v>
      </c>
      <c r="L2579" t="s">
        <v>3316</v>
      </c>
      <c r="M2579" t="s">
        <v>9257</v>
      </c>
      <c r="N2579" t="s">
        <v>9825</v>
      </c>
      <c r="O2579" t="s">
        <v>27</v>
      </c>
      <c r="P2579" t="s">
        <v>84</v>
      </c>
      <c r="Q2579" t="s">
        <v>85</v>
      </c>
      <c r="R2579" t="s">
        <v>86</v>
      </c>
      <c r="S2579" t="s">
        <v>28</v>
      </c>
      <c r="T2579" t="s">
        <v>9826</v>
      </c>
      <c r="U2579" t="s">
        <v>9827</v>
      </c>
    </row>
    <row r="2580" spans="1:21" x14ac:dyDescent="0.25">
      <c r="A2580" t="s">
        <v>58</v>
      </c>
      <c r="B2580" t="s">
        <v>58</v>
      </c>
      <c r="C2580">
        <v>100</v>
      </c>
      <c r="D2580">
        <v>1</v>
      </c>
      <c r="E2580">
        <v>0</v>
      </c>
      <c r="F2580" t="s">
        <v>9828</v>
      </c>
      <c r="G2580">
        <v>300</v>
      </c>
      <c r="H2580">
        <v>0</v>
      </c>
      <c r="I2580" t="s">
        <v>24</v>
      </c>
      <c r="J2580" t="s">
        <v>9829</v>
      </c>
      <c r="K2580" t="s">
        <v>89</v>
      </c>
      <c r="L2580" t="s">
        <v>27</v>
      </c>
      <c r="M2580" t="s">
        <v>28</v>
      </c>
      <c r="N2580" t="s">
        <v>9827</v>
      </c>
      <c r="O2580" t="s">
        <v>27</v>
      </c>
      <c r="P2580" t="s">
        <v>56</v>
      </c>
      <c r="Q2580" t="s">
        <v>31</v>
      </c>
      <c r="R2580" t="s">
        <v>57</v>
      </c>
      <c r="S2580" t="s">
        <v>28</v>
      </c>
      <c r="T2580" t="s">
        <v>9830</v>
      </c>
      <c r="U2580" t="s">
        <v>9827</v>
      </c>
    </row>
    <row r="2581" spans="1:21" x14ac:dyDescent="0.25">
      <c r="A2581" t="s">
        <v>63</v>
      </c>
      <c r="B2581" t="s">
        <v>64</v>
      </c>
      <c r="C2581">
        <v>100</v>
      </c>
      <c r="D2581">
        <v>1</v>
      </c>
      <c r="E2581">
        <v>0</v>
      </c>
      <c r="F2581" t="s">
        <v>9828</v>
      </c>
      <c r="G2581">
        <v>300</v>
      </c>
      <c r="H2581">
        <v>0</v>
      </c>
      <c r="I2581" t="s">
        <v>24</v>
      </c>
      <c r="J2581" t="s">
        <v>9829</v>
      </c>
      <c r="K2581" t="s">
        <v>89</v>
      </c>
      <c r="L2581" t="s">
        <v>27</v>
      </c>
      <c r="M2581" t="s">
        <v>28</v>
      </c>
      <c r="N2581" t="s">
        <v>9827</v>
      </c>
      <c r="O2581" t="s">
        <v>27</v>
      </c>
      <c r="P2581" t="s">
        <v>56</v>
      </c>
      <c r="Q2581" t="s">
        <v>31</v>
      </c>
      <c r="R2581" t="s">
        <v>57</v>
      </c>
      <c r="S2581" t="s">
        <v>28</v>
      </c>
      <c r="T2581" t="s">
        <v>9830</v>
      </c>
      <c r="U2581" t="s">
        <v>9827</v>
      </c>
    </row>
    <row r="2582" spans="1:21" x14ac:dyDescent="0.25">
      <c r="A2582" t="s">
        <v>134</v>
      </c>
      <c r="B2582" t="s">
        <v>64</v>
      </c>
      <c r="C2582">
        <v>100</v>
      </c>
      <c r="D2582">
        <v>1</v>
      </c>
      <c r="E2582">
        <v>0</v>
      </c>
      <c r="F2582" t="s">
        <v>9828</v>
      </c>
      <c r="G2582">
        <v>300</v>
      </c>
      <c r="H2582">
        <v>0</v>
      </c>
      <c r="I2582" t="s">
        <v>24</v>
      </c>
      <c r="J2582" t="s">
        <v>9829</v>
      </c>
      <c r="K2582" t="s">
        <v>89</v>
      </c>
      <c r="L2582" t="s">
        <v>27</v>
      </c>
      <c r="M2582" t="s">
        <v>28</v>
      </c>
      <c r="N2582" t="s">
        <v>9827</v>
      </c>
      <c r="O2582" t="s">
        <v>27</v>
      </c>
      <c r="P2582" t="s">
        <v>56</v>
      </c>
      <c r="Q2582" t="s">
        <v>31</v>
      </c>
      <c r="R2582" t="s">
        <v>57</v>
      </c>
      <c r="S2582" t="s">
        <v>28</v>
      </c>
      <c r="T2582" t="s">
        <v>9830</v>
      </c>
      <c r="U2582" t="s">
        <v>9827</v>
      </c>
    </row>
    <row r="2583" spans="1:21" x14ac:dyDescent="0.25">
      <c r="A2583" t="s">
        <v>143</v>
      </c>
      <c r="B2583" t="s">
        <v>144</v>
      </c>
      <c r="C2583">
        <v>200</v>
      </c>
      <c r="D2583">
        <v>1</v>
      </c>
      <c r="E2583">
        <v>0</v>
      </c>
      <c r="F2583" t="s">
        <v>9831</v>
      </c>
      <c r="G2583">
        <v>200</v>
      </c>
      <c r="H2583">
        <v>0</v>
      </c>
      <c r="I2583" t="s">
        <v>24</v>
      </c>
      <c r="J2583" t="s">
        <v>9832</v>
      </c>
      <c r="K2583" t="s">
        <v>1989</v>
      </c>
      <c r="L2583" t="s">
        <v>27</v>
      </c>
      <c r="M2583" t="s">
        <v>28</v>
      </c>
      <c r="N2583" t="s">
        <v>9833</v>
      </c>
      <c r="O2583" t="s">
        <v>27</v>
      </c>
      <c r="P2583" t="s">
        <v>39</v>
      </c>
      <c r="Q2583" t="s">
        <v>31</v>
      </c>
      <c r="R2583" t="s">
        <v>32</v>
      </c>
      <c r="S2583" t="s">
        <v>28</v>
      </c>
      <c r="T2583" t="s">
        <v>9834</v>
      </c>
      <c r="U2583" t="s">
        <v>9833</v>
      </c>
    </row>
    <row r="2584" spans="1:21" x14ac:dyDescent="0.25">
      <c r="A2584" t="s">
        <v>58</v>
      </c>
      <c r="B2584" t="s">
        <v>58</v>
      </c>
      <c r="C2584">
        <v>100</v>
      </c>
      <c r="D2584">
        <v>2</v>
      </c>
      <c r="E2584">
        <v>0</v>
      </c>
      <c r="F2584" t="s">
        <v>9835</v>
      </c>
      <c r="G2584">
        <v>983</v>
      </c>
      <c r="H2584">
        <v>0</v>
      </c>
      <c r="I2584" t="s">
        <v>445</v>
      </c>
      <c r="J2584" t="s">
        <v>3030</v>
      </c>
      <c r="K2584" t="s">
        <v>3031</v>
      </c>
      <c r="L2584" t="s">
        <v>3032</v>
      </c>
      <c r="M2584" t="s">
        <v>3033</v>
      </c>
      <c r="N2584" t="s">
        <v>9836</v>
      </c>
      <c r="O2584" t="s">
        <v>27</v>
      </c>
      <c r="P2584" t="s">
        <v>84</v>
      </c>
      <c r="Q2584" t="s">
        <v>85</v>
      </c>
      <c r="R2584" t="s">
        <v>86</v>
      </c>
      <c r="S2584" t="s">
        <v>28</v>
      </c>
      <c r="T2584" t="s">
        <v>9837</v>
      </c>
      <c r="U2584" t="s">
        <v>9836</v>
      </c>
    </row>
    <row r="2585" spans="1:21" x14ac:dyDescent="0.25">
      <c r="A2585" t="s">
        <v>456</v>
      </c>
      <c r="B2585" t="s">
        <v>457</v>
      </c>
      <c r="C2585">
        <v>197</v>
      </c>
      <c r="D2585">
        <v>4</v>
      </c>
      <c r="E2585">
        <v>0</v>
      </c>
      <c r="F2585" t="s">
        <v>9835</v>
      </c>
      <c r="G2585">
        <v>983</v>
      </c>
      <c r="H2585">
        <v>0</v>
      </c>
      <c r="I2585" t="s">
        <v>445</v>
      </c>
      <c r="J2585" t="s">
        <v>3030</v>
      </c>
      <c r="K2585" t="s">
        <v>3031</v>
      </c>
      <c r="L2585" t="s">
        <v>3032</v>
      </c>
      <c r="M2585" t="s">
        <v>3033</v>
      </c>
      <c r="N2585" t="s">
        <v>9836</v>
      </c>
      <c r="O2585" t="s">
        <v>27</v>
      </c>
      <c r="P2585" t="s">
        <v>84</v>
      </c>
      <c r="Q2585" t="s">
        <v>85</v>
      </c>
      <c r="R2585" t="s">
        <v>86</v>
      </c>
      <c r="S2585" t="s">
        <v>28</v>
      </c>
      <c r="T2585" t="s">
        <v>9837</v>
      </c>
      <c r="U2585" t="s">
        <v>9836</v>
      </c>
    </row>
    <row r="2586" spans="1:21" x14ac:dyDescent="0.25">
      <c r="A2586" t="s">
        <v>134</v>
      </c>
      <c r="B2586" t="s">
        <v>64</v>
      </c>
      <c r="C2586">
        <v>100</v>
      </c>
      <c r="D2586">
        <v>1</v>
      </c>
      <c r="E2586">
        <v>0</v>
      </c>
      <c r="F2586" t="s">
        <v>9838</v>
      </c>
      <c r="G2586">
        <v>106</v>
      </c>
      <c r="H2586">
        <v>6</v>
      </c>
      <c r="I2586" t="s">
        <v>24</v>
      </c>
      <c r="J2586" t="s">
        <v>9839</v>
      </c>
      <c r="K2586" t="s">
        <v>250</v>
      </c>
      <c r="L2586" t="s">
        <v>27</v>
      </c>
      <c r="M2586" t="s">
        <v>28</v>
      </c>
      <c r="N2586" t="s">
        <v>9836</v>
      </c>
      <c r="O2586" t="s">
        <v>27</v>
      </c>
      <c r="P2586" t="s">
        <v>56</v>
      </c>
      <c r="Q2586" t="s">
        <v>31</v>
      </c>
      <c r="R2586" t="s">
        <v>57</v>
      </c>
      <c r="S2586" t="s">
        <v>28</v>
      </c>
      <c r="T2586" t="s">
        <v>9840</v>
      </c>
      <c r="U2586" t="s">
        <v>9841</v>
      </c>
    </row>
    <row r="2587" spans="1:21" x14ac:dyDescent="0.25">
      <c r="A2587" t="s">
        <v>134</v>
      </c>
      <c r="B2587" t="s">
        <v>64</v>
      </c>
      <c r="C2587">
        <v>100</v>
      </c>
      <c r="D2587">
        <v>1</v>
      </c>
      <c r="E2587">
        <v>0</v>
      </c>
      <c r="F2587" t="s">
        <v>9842</v>
      </c>
      <c r="G2587">
        <v>106</v>
      </c>
      <c r="H2587">
        <v>6</v>
      </c>
      <c r="I2587" t="s">
        <v>445</v>
      </c>
      <c r="J2587" t="s">
        <v>9843</v>
      </c>
      <c r="K2587" t="s">
        <v>37</v>
      </c>
      <c r="L2587" t="s">
        <v>27</v>
      </c>
      <c r="M2587" t="s">
        <v>28</v>
      </c>
      <c r="N2587" t="s">
        <v>9844</v>
      </c>
      <c r="O2587" t="s">
        <v>27</v>
      </c>
      <c r="P2587" t="s">
        <v>39</v>
      </c>
      <c r="Q2587" t="s">
        <v>31</v>
      </c>
      <c r="R2587" t="s">
        <v>32</v>
      </c>
      <c r="S2587" t="s">
        <v>28</v>
      </c>
      <c r="T2587" t="s">
        <v>9845</v>
      </c>
      <c r="U2587" t="s">
        <v>9844</v>
      </c>
    </row>
    <row r="2588" spans="1:21" x14ac:dyDescent="0.25">
      <c r="A2588" t="s">
        <v>143</v>
      </c>
      <c r="B2588" t="s">
        <v>144</v>
      </c>
      <c r="C2588">
        <v>200</v>
      </c>
      <c r="D2588">
        <v>1</v>
      </c>
      <c r="E2588">
        <v>0</v>
      </c>
      <c r="F2588" t="s">
        <v>9846</v>
      </c>
      <c r="G2588">
        <v>200</v>
      </c>
      <c r="H2588">
        <v>0</v>
      </c>
      <c r="I2588" t="s">
        <v>140</v>
      </c>
      <c r="J2588" t="s">
        <v>9847</v>
      </c>
      <c r="K2588" t="s">
        <v>438</v>
      </c>
      <c r="L2588" t="s">
        <v>27</v>
      </c>
      <c r="M2588" t="s">
        <v>28</v>
      </c>
      <c r="N2588" t="s">
        <v>9848</v>
      </c>
      <c r="O2588" t="s">
        <v>27</v>
      </c>
      <c r="P2588" t="s">
        <v>30</v>
      </c>
      <c r="Q2588" t="s">
        <v>31</v>
      </c>
      <c r="R2588" t="s">
        <v>32</v>
      </c>
      <c r="S2588" t="s">
        <v>28</v>
      </c>
      <c r="T2588" t="s">
        <v>9849</v>
      </c>
      <c r="U2588" t="s">
        <v>9848</v>
      </c>
    </row>
    <row r="2589" spans="1:21" x14ac:dyDescent="0.25">
      <c r="A2589" t="s">
        <v>456</v>
      </c>
      <c r="B2589" t="s">
        <v>457</v>
      </c>
      <c r="C2589">
        <v>197</v>
      </c>
      <c r="D2589">
        <v>1</v>
      </c>
      <c r="E2589">
        <v>0</v>
      </c>
      <c r="F2589" t="s">
        <v>9850</v>
      </c>
      <c r="G2589">
        <v>240</v>
      </c>
      <c r="H2589">
        <v>45</v>
      </c>
      <c r="I2589" t="s">
        <v>445</v>
      </c>
      <c r="J2589" t="s">
        <v>9851</v>
      </c>
      <c r="K2589" t="s">
        <v>9852</v>
      </c>
      <c r="L2589" t="s">
        <v>1647</v>
      </c>
      <c r="M2589" t="s">
        <v>4069</v>
      </c>
      <c r="N2589" t="s">
        <v>9853</v>
      </c>
      <c r="O2589" t="s">
        <v>27</v>
      </c>
      <c r="P2589" t="s">
        <v>84</v>
      </c>
      <c r="Q2589" t="s">
        <v>85</v>
      </c>
      <c r="R2589" t="s">
        <v>86</v>
      </c>
      <c r="S2589" t="s">
        <v>28</v>
      </c>
      <c r="T2589" t="s">
        <v>9854</v>
      </c>
      <c r="U2589" t="s">
        <v>9853</v>
      </c>
    </row>
    <row r="2590" spans="1:21" x14ac:dyDescent="0.25">
      <c r="A2590" t="s">
        <v>456</v>
      </c>
      <c r="B2590" t="s">
        <v>457</v>
      </c>
      <c r="C2590">
        <v>197</v>
      </c>
      <c r="D2590">
        <v>1</v>
      </c>
      <c r="E2590">
        <v>0</v>
      </c>
      <c r="F2590" t="s">
        <v>9855</v>
      </c>
      <c r="G2590">
        <v>237</v>
      </c>
      <c r="H2590">
        <v>45</v>
      </c>
      <c r="I2590" t="s">
        <v>445</v>
      </c>
      <c r="J2590" t="s">
        <v>9851</v>
      </c>
      <c r="K2590" t="s">
        <v>9852</v>
      </c>
      <c r="L2590" t="s">
        <v>1647</v>
      </c>
      <c r="M2590" t="s">
        <v>4069</v>
      </c>
      <c r="N2590" t="s">
        <v>9856</v>
      </c>
      <c r="O2590" t="s">
        <v>27</v>
      </c>
      <c r="P2590" t="s">
        <v>84</v>
      </c>
      <c r="Q2590" t="s">
        <v>85</v>
      </c>
      <c r="R2590" t="s">
        <v>86</v>
      </c>
      <c r="S2590" t="s">
        <v>28</v>
      </c>
      <c r="T2590" t="s">
        <v>9857</v>
      </c>
      <c r="U2590" t="s">
        <v>9856</v>
      </c>
    </row>
    <row r="2591" spans="1:21" x14ac:dyDescent="0.25">
      <c r="A2591" t="s">
        <v>456</v>
      </c>
      <c r="B2591" t="s">
        <v>457</v>
      </c>
      <c r="C2591">
        <v>197</v>
      </c>
      <c r="D2591">
        <v>1</v>
      </c>
      <c r="E2591">
        <v>0</v>
      </c>
      <c r="F2591" t="s">
        <v>9858</v>
      </c>
      <c r="G2591">
        <v>240</v>
      </c>
      <c r="H2591">
        <v>45</v>
      </c>
      <c r="I2591" t="s">
        <v>445</v>
      </c>
      <c r="J2591" t="s">
        <v>9859</v>
      </c>
      <c r="K2591" t="s">
        <v>9860</v>
      </c>
      <c r="L2591" t="s">
        <v>1647</v>
      </c>
      <c r="M2591" t="s">
        <v>8699</v>
      </c>
      <c r="N2591" t="s">
        <v>9856</v>
      </c>
      <c r="O2591" t="s">
        <v>27</v>
      </c>
      <c r="P2591" t="s">
        <v>84</v>
      </c>
      <c r="Q2591" t="s">
        <v>85</v>
      </c>
      <c r="R2591" t="s">
        <v>86</v>
      </c>
      <c r="S2591" t="s">
        <v>28</v>
      </c>
      <c r="T2591" t="s">
        <v>9861</v>
      </c>
      <c r="U2591" t="s">
        <v>9856</v>
      </c>
    </row>
    <row r="2592" spans="1:21" x14ac:dyDescent="0.25">
      <c r="A2592" t="s">
        <v>33</v>
      </c>
      <c r="B2592" t="s">
        <v>34</v>
      </c>
      <c r="C2592">
        <v>200</v>
      </c>
      <c r="D2592">
        <v>1</v>
      </c>
      <c r="E2592">
        <v>0</v>
      </c>
      <c r="F2592" t="s">
        <v>9862</v>
      </c>
      <c r="G2592">
        <v>200</v>
      </c>
      <c r="H2592">
        <v>0</v>
      </c>
      <c r="I2592" t="s">
        <v>445</v>
      </c>
      <c r="J2592" t="s">
        <v>9863</v>
      </c>
      <c r="K2592" t="s">
        <v>89</v>
      </c>
      <c r="L2592" t="s">
        <v>27</v>
      </c>
      <c r="M2592" t="s">
        <v>28</v>
      </c>
      <c r="N2592" t="s">
        <v>9864</v>
      </c>
      <c r="O2592" t="s">
        <v>27</v>
      </c>
      <c r="P2592" t="s">
        <v>39</v>
      </c>
      <c r="Q2592" t="s">
        <v>31</v>
      </c>
      <c r="R2592" t="s">
        <v>32</v>
      </c>
      <c r="S2592" t="s">
        <v>28</v>
      </c>
      <c r="T2592" t="s">
        <v>9865</v>
      </c>
      <c r="U2592" t="s">
        <v>9864</v>
      </c>
    </row>
    <row r="2593" spans="1:21" x14ac:dyDescent="0.25">
      <c r="A2593" t="s">
        <v>33</v>
      </c>
      <c r="B2593" t="s">
        <v>34</v>
      </c>
      <c r="C2593">
        <v>200</v>
      </c>
      <c r="D2593">
        <v>1</v>
      </c>
      <c r="E2593">
        <v>0</v>
      </c>
      <c r="F2593" t="s">
        <v>9866</v>
      </c>
      <c r="G2593">
        <v>200</v>
      </c>
      <c r="H2593">
        <v>0</v>
      </c>
      <c r="I2593" t="s">
        <v>24</v>
      </c>
      <c r="J2593" t="s">
        <v>9867</v>
      </c>
      <c r="K2593" t="s">
        <v>54</v>
      </c>
      <c r="L2593" t="s">
        <v>27</v>
      </c>
      <c r="M2593" t="s">
        <v>28</v>
      </c>
      <c r="N2593" t="s">
        <v>9864</v>
      </c>
      <c r="O2593" t="s">
        <v>27</v>
      </c>
      <c r="P2593" t="s">
        <v>39</v>
      </c>
      <c r="Q2593" t="s">
        <v>31</v>
      </c>
      <c r="R2593" t="s">
        <v>32</v>
      </c>
      <c r="S2593" t="s">
        <v>28</v>
      </c>
      <c r="T2593" t="s">
        <v>9868</v>
      </c>
      <c r="U2593" t="s">
        <v>9864</v>
      </c>
    </row>
    <row r="2594" spans="1:21" x14ac:dyDescent="0.25">
      <c r="A2594" t="s">
        <v>63</v>
      </c>
      <c r="B2594" t="s">
        <v>64</v>
      </c>
      <c r="C2594">
        <v>100</v>
      </c>
      <c r="D2594">
        <v>2</v>
      </c>
      <c r="E2594">
        <v>0</v>
      </c>
      <c r="F2594" t="s">
        <v>9869</v>
      </c>
      <c r="G2594">
        <v>200</v>
      </c>
      <c r="H2594">
        <v>0</v>
      </c>
      <c r="I2594" t="s">
        <v>24</v>
      </c>
      <c r="J2594" t="s">
        <v>9870</v>
      </c>
      <c r="K2594" t="s">
        <v>372</v>
      </c>
      <c r="L2594" t="s">
        <v>27</v>
      </c>
      <c r="M2594" t="s">
        <v>28</v>
      </c>
      <c r="N2594" t="s">
        <v>9871</v>
      </c>
      <c r="O2594" t="s">
        <v>27</v>
      </c>
      <c r="P2594" t="s">
        <v>39</v>
      </c>
      <c r="Q2594" t="s">
        <v>31</v>
      </c>
      <c r="R2594" t="s">
        <v>32</v>
      </c>
      <c r="S2594" t="s">
        <v>28</v>
      </c>
      <c r="T2594" t="s">
        <v>9872</v>
      </c>
      <c r="U2594" t="s">
        <v>9871</v>
      </c>
    </row>
    <row r="2595" spans="1:21" x14ac:dyDescent="0.25">
      <c r="A2595" t="s">
        <v>58</v>
      </c>
      <c r="B2595" t="s">
        <v>58</v>
      </c>
      <c r="C2595">
        <v>100</v>
      </c>
      <c r="D2595">
        <v>1</v>
      </c>
      <c r="E2595">
        <v>0</v>
      </c>
      <c r="F2595" t="s">
        <v>9873</v>
      </c>
      <c r="G2595">
        <v>167</v>
      </c>
      <c r="H2595">
        <v>7</v>
      </c>
      <c r="I2595" t="s">
        <v>445</v>
      </c>
      <c r="J2595" t="s">
        <v>9874</v>
      </c>
      <c r="K2595" t="s">
        <v>9875</v>
      </c>
      <c r="L2595" t="s">
        <v>219</v>
      </c>
      <c r="M2595" t="s">
        <v>9876</v>
      </c>
      <c r="N2595" t="s">
        <v>9877</v>
      </c>
      <c r="O2595" t="s">
        <v>27</v>
      </c>
      <c r="P2595" t="s">
        <v>193</v>
      </c>
      <c r="Q2595" t="s">
        <v>85</v>
      </c>
      <c r="R2595" t="s">
        <v>86</v>
      </c>
      <c r="S2595" t="s">
        <v>28</v>
      </c>
      <c r="T2595" t="s">
        <v>9878</v>
      </c>
      <c r="U2595" t="s">
        <v>9879</v>
      </c>
    </row>
    <row r="2596" spans="1:21" x14ac:dyDescent="0.25">
      <c r="A2596" t="s">
        <v>58</v>
      </c>
      <c r="B2596" t="s">
        <v>103</v>
      </c>
      <c r="C2596">
        <v>84</v>
      </c>
      <c r="D2596">
        <v>1</v>
      </c>
      <c r="E2596">
        <v>0</v>
      </c>
      <c r="F2596" t="s">
        <v>9880</v>
      </c>
      <c r="G2596">
        <v>84</v>
      </c>
      <c r="H2596">
        <v>0</v>
      </c>
      <c r="I2596" t="s">
        <v>105</v>
      </c>
      <c r="J2596" t="s">
        <v>9881</v>
      </c>
      <c r="K2596" t="s">
        <v>9882</v>
      </c>
      <c r="L2596" t="s">
        <v>3283</v>
      </c>
      <c r="M2596" t="s">
        <v>9883</v>
      </c>
      <c r="N2596" t="s">
        <v>9879</v>
      </c>
      <c r="O2596" t="s">
        <v>27</v>
      </c>
      <c r="P2596" t="s">
        <v>48</v>
      </c>
      <c r="Q2596" t="s">
        <v>49</v>
      </c>
      <c r="R2596" t="s">
        <v>50</v>
      </c>
      <c r="S2596" t="s">
        <v>28</v>
      </c>
      <c r="T2596" t="s">
        <v>9884</v>
      </c>
      <c r="U2596" t="s">
        <v>9879</v>
      </c>
    </row>
    <row r="2597" spans="1:21" x14ac:dyDescent="0.25">
      <c r="A2597" t="s">
        <v>33</v>
      </c>
      <c r="B2597" t="s">
        <v>34</v>
      </c>
      <c r="C2597">
        <v>200</v>
      </c>
      <c r="D2597">
        <v>1</v>
      </c>
      <c r="E2597">
        <v>0</v>
      </c>
      <c r="F2597" t="s">
        <v>9885</v>
      </c>
      <c r="G2597">
        <v>200</v>
      </c>
      <c r="H2597">
        <v>0</v>
      </c>
      <c r="I2597" t="s">
        <v>24</v>
      </c>
      <c r="J2597" t="s">
        <v>9886</v>
      </c>
      <c r="K2597" t="s">
        <v>384</v>
      </c>
      <c r="L2597" t="s">
        <v>27</v>
      </c>
      <c r="M2597" t="s">
        <v>28</v>
      </c>
      <c r="N2597" t="s">
        <v>9887</v>
      </c>
      <c r="O2597" t="s">
        <v>27</v>
      </c>
      <c r="P2597" t="s">
        <v>30</v>
      </c>
      <c r="Q2597" t="s">
        <v>31</v>
      </c>
      <c r="R2597" t="s">
        <v>32</v>
      </c>
      <c r="S2597" t="s">
        <v>28</v>
      </c>
      <c r="T2597" t="s">
        <v>9888</v>
      </c>
      <c r="U2597" t="s">
        <v>9887</v>
      </c>
    </row>
    <row r="2598" spans="1:21" x14ac:dyDescent="0.25">
      <c r="A2598" t="s">
        <v>143</v>
      </c>
      <c r="B2598" t="s">
        <v>144</v>
      </c>
      <c r="C2598">
        <v>200</v>
      </c>
      <c r="D2598">
        <v>1</v>
      </c>
      <c r="E2598">
        <v>0</v>
      </c>
      <c r="F2598" t="s">
        <v>9889</v>
      </c>
      <c r="G2598">
        <v>200</v>
      </c>
      <c r="H2598">
        <v>0</v>
      </c>
      <c r="I2598" t="s">
        <v>24</v>
      </c>
      <c r="J2598" t="s">
        <v>9890</v>
      </c>
      <c r="K2598" t="s">
        <v>384</v>
      </c>
      <c r="L2598" t="s">
        <v>27</v>
      </c>
      <c r="M2598" t="s">
        <v>28</v>
      </c>
      <c r="N2598" t="s">
        <v>9879</v>
      </c>
      <c r="O2598" t="s">
        <v>27</v>
      </c>
      <c r="P2598" t="s">
        <v>56</v>
      </c>
      <c r="Q2598" t="s">
        <v>31</v>
      </c>
      <c r="R2598" t="s">
        <v>57</v>
      </c>
      <c r="S2598" t="s">
        <v>28</v>
      </c>
      <c r="T2598" t="s">
        <v>9891</v>
      </c>
      <c r="U2598" t="s">
        <v>9887</v>
      </c>
    </row>
    <row r="2599" spans="1:21" x14ac:dyDescent="0.25">
      <c r="A2599" t="s">
        <v>143</v>
      </c>
      <c r="B2599" t="s">
        <v>144</v>
      </c>
      <c r="C2599">
        <v>200</v>
      </c>
      <c r="D2599">
        <v>1</v>
      </c>
      <c r="E2599">
        <v>0</v>
      </c>
      <c r="F2599" t="s">
        <v>9892</v>
      </c>
      <c r="G2599">
        <v>200</v>
      </c>
      <c r="H2599">
        <v>0</v>
      </c>
      <c r="I2599" t="s">
        <v>445</v>
      </c>
      <c r="J2599" t="s">
        <v>9893</v>
      </c>
      <c r="K2599" t="s">
        <v>250</v>
      </c>
      <c r="L2599" t="s">
        <v>27</v>
      </c>
      <c r="M2599" t="s">
        <v>28</v>
      </c>
      <c r="N2599" t="s">
        <v>9887</v>
      </c>
      <c r="O2599" t="s">
        <v>27</v>
      </c>
      <c r="P2599" t="s">
        <v>30</v>
      </c>
      <c r="Q2599" t="s">
        <v>31</v>
      </c>
      <c r="R2599" t="s">
        <v>32</v>
      </c>
      <c r="S2599" t="s">
        <v>28</v>
      </c>
      <c r="T2599" t="s">
        <v>9894</v>
      </c>
      <c r="U2599" t="s">
        <v>9887</v>
      </c>
    </row>
    <row r="2600" spans="1:21" x14ac:dyDescent="0.25">
      <c r="A2600" t="s">
        <v>33</v>
      </c>
      <c r="B2600" t="s">
        <v>34</v>
      </c>
      <c r="C2600">
        <v>200</v>
      </c>
      <c r="D2600">
        <v>1</v>
      </c>
      <c r="E2600">
        <v>0</v>
      </c>
      <c r="F2600" t="s">
        <v>9895</v>
      </c>
      <c r="G2600">
        <v>200</v>
      </c>
      <c r="H2600">
        <v>0</v>
      </c>
      <c r="I2600" t="s">
        <v>445</v>
      </c>
      <c r="J2600" t="s">
        <v>9896</v>
      </c>
      <c r="K2600" t="s">
        <v>451</v>
      </c>
      <c r="L2600" t="s">
        <v>27</v>
      </c>
      <c r="M2600" t="s">
        <v>28</v>
      </c>
      <c r="N2600" t="s">
        <v>9897</v>
      </c>
      <c r="O2600" t="s">
        <v>27</v>
      </c>
      <c r="P2600" t="s">
        <v>39</v>
      </c>
      <c r="Q2600" t="s">
        <v>31</v>
      </c>
      <c r="R2600" t="s">
        <v>32</v>
      </c>
      <c r="S2600" t="s">
        <v>28</v>
      </c>
      <c r="T2600" t="s">
        <v>9898</v>
      </c>
      <c r="U2600" t="s">
        <v>9897</v>
      </c>
    </row>
    <row r="2601" spans="1:21" x14ac:dyDescent="0.25">
      <c r="A2601" t="s">
        <v>58</v>
      </c>
      <c r="B2601" t="s">
        <v>58</v>
      </c>
      <c r="C2601">
        <v>100</v>
      </c>
      <c r="D2601">
        <v>1</v>
      </c>
      <c r="E2601">
        <v>0</v>
      </c>
      <c r="F2601" t="s">
        <v>9899</v>
      </c>
      <c r="G2601">
        <v>167</v>
      </c>
      <c r="H2601">
        <v>7</v>
      </c>
      <c r="I2601" t="s">
        <v>445</v>
      </c>
      <c r="J2601" t="s">
        <v>9900</v>
      </c>
      <c r="K2601" t="s">
        <v>9901</v>
      </c>
      <c r="L2601" t="s">
        <v>1076</v>
      </c>
      <c r="M2601" t="s">
        <v>1235</v>
      </c>
      <c r="N2601" t="s">
        <v>9902</v>
      </c>
      <c r="O2601" t="s">
        <v>27</v>
      </c>
      <c r="P2601" t="s">
        <v>193</v>
      </c>
      <c r="Q2601" t="s">
        <v>85</v>
      </c>
      <c r="R2601" t="s">
        <v>86</v>
      </c>
      <c r="S2601" t="s">
        <v>28</v>
      </c>
      <c r="T2601" t="s">
        <v>9903</v>
      </c>
      <c r="U2601" t="s">
        <v>9904</v>
      </c>
    </row>
    <row r="2602" spans="1:21" x14ac:dyDescent="0.25">
      <c r="A2602" t="s">
        <v>58</v>
      </c>
      <c r="B2602" t="s">
        <v>58</v>
      </c>
      <c r="C2602">
        <v>100</v>
      </c>
      <c r="D2602">
        <v>1</v>
      </c>
      <c r="E2602">
        <v>0</v>
      </c>
      <c r="F2602" t="s">
        <v>9905</v>
      </c>
      <c r="G2602">
        <v>167</v>
      </c>
      <c r="H2602">
        <v>7</v>
      </c>
      <c r="I2602" t="s">
        <v>445</v>
      </c>
      <c r="J2602" t="s">
        <v>9906</v>
      </c>
      <c r="K2602" t="s">
        <v>9907</v>
      </c>
      <c r="L2602" t="s">
        <v>555</v>
      </c>
      <c r="M2602" t="s">
        <v>6996</v>
      </c>
      <c r="N2602" t="s">
        <v>9908</v>
      </c>
      <c r="O2602" t="s">
        <v>27</v>
      </c>
      <c r="P2602" t="s">
        <v>84</v>
      </c>
      <c r="Q2602" t="s">
        <v>85</v>
      </c>
      <c r="R2602" t="s">
        <v>86</v>
      </c>
      <c r="S2602" t="s">
        <v>28</v>
      </c>
      <c r="T2602" t="s">
        <v>9909</v>
      </c>
      <c r="U2602" t="s">
        <v>9910</v>
      </c>
    </row>
    <row r="2603" spans="1:21" x14ac:dyDescent="0.25">
      <c r="A2603" t="s">
        <v>63</v>
      </c>
      <c r="B2603" t="s">
        <v>64</v>
      </c>
      <c r="C2603">
        <v>100</v>
      </c>
      <c r="D2603">
        <v>2</v>
      </c>
      <c r="E2603">
        <v>0</v>
      </c>
      <c r="F2603" t="s">
        <v>9911</v>
      </c>
      <c r="G2603">
        <v>200</v>
      </c>
      <c r="H2603">
        <v>0</v>
      </c>
      <c r="I2603" t="s">
        <v>140</v>
      </c>
      <c r="J2603" t="s">
        <v>9912</v>
      </c>
      <c r="K2603" t="s">
        <v>124</v>
      </c>
      <c r="L2603" t="s">
        <v>27</v>
      </c>
      <c r="M2603" t="s">
        <v>28</v>
      </c>
      <c r="N2603" t="s">
        <v>9913</v>
      </c>
      <c r="O2603" t="s">
        <v>27</v>
      </c>
      <c r="P2603" t="s">
        <v>30</v>
      </c>
      <c r="Q2603" t="s">
        <v>31</v>
      </c>
      <c r="R2603" t="s">
        <v>32</v>
      </c>
      <c r="S2603" t="s">
        <v>28</v>
      </c>
      <c r="T2603" t="s">
        <v>9914</v>
      </c>
      <c r="U2603" t="s">
        <v>9913</v>
      </c>
    </row>
    <row r="2604" spans="1:21" x14ac:dyDescent="0.25">
      <c r="A2604" t="s">
        <v>58</v>
      </c>
      <c r="B2604" t="s">
        <v>58</v>
      </c>
      <c r="C2604">
        <v>100</v>
      </c>
      <c r="D2604">
        <v>4</v>
      </c>
      <c r="E2604">
        <v>0</v>
      </c>
      <c r="F2604" t="s">
        <v>9915</v>
      </c>
      <c r="G2604">
        <v>1059</v>
      </c>
      <c r="H2604">
        <v>64</v>
      </c>
      <c r="I2604" t="s">
        <v>445</v>
      </c>
      <c r="J2604" t="s">
        <v>9534</v>
      </c>
      <c r="K2604" t="s">
        <v>9824</v>
      </c>
      <c r="L2604" t="s">
        <v>3316</v>
      </c>
      <c r="M2604" t="s">
        <v>9257</v>
      </c>
      <c r="N2604" t="s">
        <v>9916</v>
      </c>
      <c r="O2604" t="s">
        <v>27</v>
      </c>
      <c r="P2604" t="s">
        <v>84</v>
      </c>
      <c r="Q2604" t="s">
        <v>85</v>
      </c>
      <c r="R2604" t="s">
        <v>86</v>
      </c>
      <c r="S2604" t="s">
        <v>28</v>
      </c>
      <c r="T2604" t="s">
        <v>9917</v>
      </c>
      <c r="U2604" t="s">
        <v>9913</v>
      </c>
    </row>
    <row r="2605" spans="1:21" x14ac:dyDescent="0.25">
      <c r="A2605" t="s">
        <v>63</v>
      </c>
      <c r="B2605" t="s">
        <v>64</v>
      </c>
      <c r="C2605">
        <v>150</v>
      </c>
      <c r="D2605">
        <v>3</v>
      </c>
      <c r="E2605">
        <v>0</v>
      </c>
      <c r="F2605" t="s">
        <v>9915</v>
      </c>
      <c r="G2605">
        <v>1059</v>
      </c>
      <c r="H2605">
        <v>64</v>
      </c>
      <c r="I2605" t="s">
        <v>445</v>
      </c>
      <c r="J2605" t="s">
        <v>9534</v>
      </c>
      <c r="K2605" t="s">
        <v>9824</v>
      </c>
      <c r="L2605" t="s">
        <v>3316</v>
      </c>
      <c r="M2605" t="s">
        <v>9257</v>
      </c>
      <c r="N2605" t="s">
        <v>9916</v>
      </c>
      <c r="O2605" t="s">
        <v>27</v>
      </c>
      <c r="P2605" t="s">
        <v>84</v>
      </c>
      <c r="Q2605" t="s">
        <v>85</v>
      </c>
      <c r="R2605" t="s">
        <v>86</v>
      </c>
      <c r="S2605" t="s">
        <v>28</v>
      </c>
      <c r="T2605" t="s">
        <v>9917</v>
      </c>
      <c r="U2605" t="s">
        <v>9913</v>
      </c>
    </row>
    <row r="2606" spans="1:21" x14ac:dyDescent="0.25">
      <c r="A2606" t="s">
        <v>134</v>
      </c>
      <c r="B2606" t="s">
        <v>64</v>
      </c>
      <c r="C2606">
        <v>150</v>
      </c>
      <c r="D2606">
        <v>1</v>
      </c>
      <c r="E2606">
        <v>0</v>
      </c>
      <c r="F2606" t="s">
        <v>9915</v>
      </c>
      <c r="G2606">
        <v>1059</v>
      </c>
      <c r="H2606">
        <v>64</v>
      </c>
      <c r="I2606" t="s">
        <v>445</v>
      </c>
      <c r="J2606" t="s">
        <v>9534</v>
      </c>
      <c r="K2606" t="s">
        <v>9824</v>
      </c>
      <c r="L2606" t="s">
        <v>3316</v>
      </c>
      <c r="M2606" t="s">
        <v>9257</v>
      </c>
      <c r="N2606" t="s">
        <v>9916</v>
      </c>
      <c r="O2606" t="s">
        <v>27</v>
      </c>
      <c r="P2606" t="s">
        <v>84</v>
      </c>
      <c r="Q2606" t="s">
        <v>85</v>
      </c>
      <c r="R2606" t="s">
        <v>86</v>
      </c>
      <c r="S2606" t="s">
        <v>28</v>
      </c>
      <c r="T2606" t="s">
        <v>9917</v>
      </c>
      <c r="U2606" t="s">
        <v>9913</v>
      </c>
    </row>
    <row r="2607" spans="1:21" x14ac:dyDescent="0.25">
      <c r="A2607" t="s">
        <v>33</v>
      </c>
      <c r="B2607" t="s">
        <v>34</v>
      </c>
      <c r="C2607">
        <v>200</v>
      </c>
      <c r="D2607">
        <v>1</v>
      </c>
      <c r="E2607">
        <v>0</v>
      </c>
      <c r="F2607" t="s">
        <v>9918</v>
      </c>
      <c r="G2607">
        <v>200</v>
      </c>
      <c r="H2607">
        <v>0</v>
      </c>
      <c r="I2607" t="s">
        <v>445</v>
      </c>
      <c r="J2607" t="s">
        <v>9919</v>
      </c>
      <c r="K2607" t="s">
        <v>89</v>
      </c>
      <c r="L2607" t="s">
        <v>27</v>
      </c>
      <c r="M2607" t="s">
        <v>28</v>
      </c>
      <c r="N2607" t="s">
        <v>9920</v>
      </c>
      <c r="O2607" t="s">
        <v>27</v>
      </c>
      <c r="P2607" t="s">
        <v>39</v>
      </c>
      <c r="Q2607" t="s">
        <v>31</v>
      </c>
      <c r="R2607" t="s">
        <v>32</v>
      </c>
      <c r="S2607" t="s">
        <v>28</v>
      </c>
      <c r="T2607" t="s">
        <v>9921</v>
      </c>
      <c r="U2607" t="s">
        <v>9920</v>
      </c>
    </row>
    <row r="2608" spans="1:21" x14ac:dyDescent="0.25">
      <c r="A2608" t="s">
        <v>33</v>
      </c>
      <c r="B2608" t="s">
        <v>34</v>
      </c>
      <c r="C2608">
        <v>200</v>
      </c>
      <c r="D2608">
        <v>1</v>
      </c>
      <c r="E2608">
        <v>0</v>
      </c>
      <c r="F2608" t="s">
        <v>9922</v>
      </c>
      <c r="G2608">
        <v>200</v>
      </c>
      <c r="H2608">
        <v>0</v>
      </c>
      <c r="I2608" t="s">
        <v>24</v>
      </c>
      <c r="J2608" t="s">
        <v>9923</v>
      </c>
      <c r="K2608" t="s">
        <v>124</v>
      </c>
      <c r="L2608" t="s">
        <v>27</v>
      </c>
      <c r="M2608" t="s">
        <v>28</v>
      </c>
      <c r="N2608" t="s">
        <v>9924</v>
      </c>
      <c r="O2608" t="s">
        <v>27</v>
      </c>
      <c r="P2608" t="s">
        <v>56</v>
      </c>
      <c r="Q2608" t="s">
        <v>31</v>
      </c>
      <c r="R2608" t="s">
        <v>57</v>
      </c>
      <c r="S2608" t="s">
        <v>28</v>
      </c>
      <c r="T2608" t="s">
        <v>9925</v>
      </c>
      <c r="U2608" t="s">
        <v>9926</v>
      </c>
    </row>
    <row r="2609" spans="1:21" x14ac:dyDescent="0.25">
      <c r="A2609" t="s">
        <v>63</v>
      </c>
      <c r="B2609" t="s">
        <v>64</v>
      </c>
      <c r="C2609">
        <v>100</v>
      </c>
      <c r="D2609">
        <v>2</v>
      </c>
      <c r="E2609">
        <v>0</v>
      </c>
      <c r="F2609" t="s">
        <v>9927</v>
      </c>
      <c r="G2609">
        <v>200</v>
      </c>
      <c r="H2609">
        <v>0</v>
      </c>
      <c r="I2609" t="s">
        <v>445</v>
      </c>
      <c r="J2609" t="s">
        <v>9928</v>
      </c>
      <c r="K2609" t="s">
        <v>384</v>
      </c>
      <c r="L2609" t="s">
        <v>27</v>
      </c>
      <c r="M2609" t="s">
        <v>28</v>
      </c>
      <c r="N2609" t="s">
        <v>9929</v>
      </c>
      <c r="O2609" t="s">
        <v>27</v>
      </c>
      <c r="P2609" t="s">
        <v>39</v>
      </c>
      <c r="Q2609" t="s">
        <v>31</v>
      </c>
      <c r="R2609" t="s">
        <v>32</v>
      </c>
      <c r="S2609" t="s">
        <v>28</v>
      </c>
      <c r="T2609" t="s">
        <v>9930</v>
      </c>
      <c r="U2609" t="s">
        <v>9929</v>
      </c>
    </row>
    <row r="2610" spans="1:21" x14ac:dyDescent="0.25">
      <c r="A2610" t="s">
        <v>70</v>
      </c>
      <c r="B2610" t="s">
        <v>70</v>
      </c>
      <c r="C2610">
        <v>330</v>
      </c>
      <c r="D2610">
        <v>1</v>
      </c>
      <c r="E2610">
        <v>0</v>
      </c>
      <c r="F2610" t="s">
        <v>9931</v>
      </c>
      <c r="G2610">
        <v>330</v>
      </c>
      <c r="H2610">
        <v>0</v>
      </c>
      <c r="I2610" t="s">
        <v>24</v>
      </c>
      <c r="J2610" t="s">
        <v>9932</v>
      </c>
      <c r="K2610" t="s">
        <v>37</v>
      </c>
      <c r="L2610" t="s">
        <v>27</v>
      </c>
      <c r="M2610" t="s">
        <v>28</v>
      </c>
      <c r="N2610" t="s">
        <v>9933</v>
      </c>
      <c r="O2610" t="s">
        <v>27</v>
      </c>
      <c r="P2610" t="s">
        <v>56</v>
      </c>
      <c r="Q2610" t="s">
        <v>31</v>
      </c>
      <c r="R2610" t="s">
        <v>57</v>
      </c>
      <c r="S2610" t="s">
        <v>28</v>
      </c>
      <c r="T2610" t="s">
        <v>9934</v>
      </c>
      <c r="U2610" t="s">
        <v>9933</v>
      </c>
    </row>
    <row r="2611" spans="1:21" x14ac:dyDescent="0.25">
      <c r="A2611" t="s">
        <v>58</v>
      </c>
      <c r="B2611" t="s">
        <v>58</v>
      </c>
      <c r="C2611">
        <v>100</v>
      </c>
      <c r="D2611">
        <v>1</v>
      </c>
      <c r="E2611">
        <v>0</v>
      </c>
      <c r="F2611" t="s">
        <v>9935</v>
      </c>
      <c r="G2611">
        <v>321</v>
      </c>
      <c r="H2611">
        <v>29</v>
      </c>
      <c r="I2611" t="s">
        <v>445</v>
      </c>
      <c r="J2611" t="s">
        <v>873</v>
      </c>
      <c r="K2611" t="s">
        <v>9936</v>
      </c>
      <c r="L2611" t="s">
        <v>9937</v>
      </c>
      <c r="M2611" t="s">
        <v>6768</v>
      </c>
      <c r="N2611" t="s">
        <v>9933</v>
      </c>
      <c r="O2611" t="s">
        <v>27</v>
      </c>
      <c r="P2611" t="s">
        <v>193</v>
      </c>
      <c r="Q2611" t="s">
        <v>85</v>
      </c>
      <c r="R2611" t="s">
        <v>86</v>
      </c>
      <c r="S2611" t="s">
        <v>28</v>
      </c>
      <c r="T2611" t="s">
        <v>9938</v>
      </c>
      <c r="U2611" t="s">
        <v>9939</v>
      </c>
    </row>
    <row r="2612" spans="1:21" x14ac:dyDescent="0.25">
      <c r="A2612" t="s">
        <v>456</v>
      </c>
      <c r="B2612" t="s">
        <v>457</v>
      </c>
      <c r="C2612">
        <v>197</v>
      </c>
      <c r="D2612">
        <v>1</v>
      </c>
      <c r="E2612">
        <v>0</v>
      </c>
      <c r="F2612" t="s">
        <v>9935</v>
      </c>
      <c r="G2612">
        <v>321</v>
      </c>
      <c r="H2612">
        <v>29</v>
      </c>
      <c r="I2612" t="s">
        <v>445</v>
      </c>
      <c r="J2612" t="s">
        <v>873</v>
      </c>
      <c r="K2612" t="s">
        <v>9936</v>
      </c>
      <c r="L2612" t="s">
        <v>9937</v>
      </c>
      <c r="M2612" t="s">
        <v>6768</v>
      </c>
      <c r="N2612" t="s">
        <v>9933</v>
      </c>
      <c r="O2612" t="s">
        <v>27</v>
      </c>
      <c r="P2612" t="s">
        <v>193</v>
      </c>
      <c r="Q2612" t="s">
        <v>85</v>
      </c>
      <c r="R2612" t="s">
        <v>86</v>
      </c>
      <c r="S2612" t="s">
        <v>28</v>
      </c>
      <c r="T2612" t="s">
        <v>9938</v>
      </c>
      <c r="U2612" t="s">
        <v>9939</v>
      </c>
    </row>
    <row r="2613" spans="1:21" x14ac:dyDescent="0.25">
      <c r="A2613" t="s">
        <v>58</v>
      </c>
      <c r="B2613" t="s">
        <v>58</v>
      </c>
      <c r="C2613">
        <v>100</v>
      </c>
      <c r="D2613">
        <v>2</v>
      </c>
      <c r="E2613">
        <v>0</v>
      </c>
      <c r="F2613" t="s">
        <v>9940</v>
      </c>
      <c r="G2613">
        <v>240</v>
      </c>
      <c r="H2613">
        <v>45</v>
      </c>
      <c r="I2613" t="s">
        <v>445</v>
      </c>
      <c r="J2613" t="s">
        <v>972</v>
      </c>
      <c r="K2613" t="s">
        <v>9941</v>
      </c>
      <c r="L2613" t="s">
        <v>1647</v>
      </c>
      <c r="M2613" t="s">
        <v>1744</v>
      </c>
      <c r="N2613" t="s">
        <v>9897</v>
      </c>
      <c r="O2613" t="s">
        <v>27</v>
      </c>
      <c r="P2613" t="s">
        <v>84</v>
      </c>
      <c r="Q2613" t="s">
        <v>85</v>
      </c>
      <c r="R2613" t="s">
        <v>86</v>
      </c>
      <c r="S2613" t="s">
        <v>28</v>
      </c>
      <c r="T2613" t="s">
        <v>9942</v>
      </c>
      <c r="U2613" t="s">
        <v>9943</v>
      </c>
    </row>
    <row r="2614" spans="1:21" x14ac:dyDescent="0.25">
      <c r="A2614" t="s">
        <v>33</v>
      </c>
      <c r="B2614" t="s">
        <v>34</v>
      </c>
      <c r="C2614">
        <v>200</v>
      </c>
      <c r="D2614">
        <v>1</v>
      </c>
      <c r="E2614">
        <v>0</v>
      </c>
      <c r="F2614" t="s">
        <v>9944</v>
      </c>
      <c r="G2614">
        <v>200</v>
      </c>
      <c r="H2614">
        <v>0</v>
      </c>
      <c r="I2614" t="s">
        <v>445</v>
      </c>
      <c r="J2614" t="s">
        <v>9945</v>
      </c>
      <c r="K2614" t="s">
        <v>89</v>
      </c>
      <c r="L2614" t="s">
        <v>27</v>
      </c>
      <c r="M2614" t="s">
        <v>28</v>
      </c>
      <c r="N2614" t="s">
        <v>9943</v>
      </c>
      <c r="O2614" t="s">
        <v>27</v>
      </c>
      <c r="P2614" t="s">
        <v>39</v>
      </c>
      <c r="Q2614" t="s">
        <v>31</v>
      </c>
      <c r="R2614" t="s">
        <v>32</v>
      </c>
      <c r="S2614" t="s">
        <v>28</v>
      </c>
      <c r="T2614" t="s">
        <v>9946</v>
      </c>
      <c r="U2614" t="s">
        <v>9943</v>
      </c>
    </row>
    <row r="2615" spans="1:21" x14ac:dyDescent="0.25">
      <c r="A2615" t="s">
        <v>58</v>
      </c>
      <c r="B2615" t="s">
        <v>58</v>
      </c>
      <c r="C2615">
        <v>100</v>
      </c>
      <c r="D2615">
        <v>2</v>
      </c>
      <c r="E2615">
        <v>0</v>
      </c>
      <c r="F2615" t="s">
        <v>9947</v>
      </c>
      <c r="G2615">
        <v>200</v>
      </c>
      <c r="H2615">
        <v>0</v>
      </c>
      <c r="I2615" t="s">
        <v>24</v>
      </c>
      <c r="J2615" t="s">
        <v>9948</v>
      </c>
      <c r="K2615" t="s">
        <v>5225</v>
      </c>
      <c r="L2615" t="s">
        <v>27</v>
      </c>
      <c r="M2615" t="s">
        <v>28</v>
      </c>
      <c r="N2615" t="s">
        <v>9949</v>
      </c>
      <c r="O2615" t="s">
        <v>27</v>
      </c>
      <c r="P2615" t="s">
        <v>39</v>
      </c>
      <c r="Q2615" t="s">
        <v>31</v>
      </c>
      <c r="R2615" t="s">
        <v>32</v>
      </c>
      <c r="S2615" t="s">
        <v>28</v>
      </c>
      <c r="T2615" t="s">
        <v>9950</v>
      </c>
      <c r="U2615" t="s">
        <v>9949</v>
      </c>
    </row>
    <row r="2616" spans="1:21" x14ac:dyDescent="0.25">
      <c r="A2616" t="s">
        <v>63</v>
      </c>
      <c r="B2616" t="s">
        <v>64</v>
      </c>
      <c r="C2616">
        <v>100</v>
      </c>
      <c r="D2616">
        <v>1</v>
      </c>
      <c r="E2616">
        <v>0</v>
      </c>
      <c r="F2616" t="s">
        <v>9951</v>
      </c>
      <c r="G2616">
        <v>106</v>
      </c>
      <c r="H2616">
        <v>6</v>
      </c>
      <c r="I2616" t="s">
        <v>445</v>
      </c>
      <c r="J2616" t="s">
        <v>9952</v>
      </c>
      <c r="K2616" t="s">
        <v>5225</v>
      </c>
      <c r="L2616" t="s">
        <v>27</v>
      </c>
      <c r="M2616" t="s">
        <v>28</v>
      </c>
      <c r="N2616" t="s">
        <v>9953</v>
      </c>
      <c r="O2616" t="s">
        <v>27</v>
      </c>
      <c r="P2616" t="s">
        <v>39</v>
      </c>
      <c r="Q2616" t="s">
        <v>31</v>
      </c>
      <c r="R2616" t="s">
        <v>32</v>
      </c>
      <c r="S2616" t="s">
        <v>28</v>
      </c>
      <c r="T2616" t="s">
        <v>9954</v>
      </c>
      <c r="U2616" t="s">
        <v>9953</v>
      </c>
    </row>
    <row r="2617" spans="1:21" x14ac:dyDescent="0.25">
      <c r="A2617" t="s">
        <v>33</v>
      </c>
      <c r="B2617" t="s">
        <v>34</v>
      </c>
      <c r="C2617">
        <v>200</v>
      </c>
      <c r="D2617">
        <v>1</v>
      </c>
      <c r="E2617">
        <v>0</v>
      </c>
      <c r="F2617" t="s">
        <v>9955</v>
      </c>
      <c r="G2617">
        <v>200</v>
      </c>
      <c r="H2617">
        <v>0</v>
      </c>
      <c r="I2617" t="s">
        <v>24</v>
      </c>
      <c r="J2617" t="s">
        <v>9956</v>
      </c>
      <c r="K2617" t="s">
        <v>26</v>
      </c>
      <c r="L2617" t="s">
        <v>27</v>
      </c>
      <c r="M2617" t="s">
        <v>28</v>
      </c>
      <c r="N2617" t="s">
        <v>9957</v>
      </c>
      <c r="O2617" t="s">
        <v>27</v>
      </c>
      <c r="P2617" t="s">
        <v>39</v>
      </c>
      <c r="Q2617" t="s">
        <v>31</v>
      </c>
      <c r="R2617" t="s">
        <v>32</v>
      </c>
      <c r="S2617" t="s">
        <v>28</v>
      </c>
      <c r="T2617" t="s">
        <v>9958</v>
      </c>
      <c r="U2617" t="s">
        <v>9957</v>
      </c>
    </row>
    <row r="2618" spans="1:21" x14ac:dyDescent="0.25">
      <c r="A2618" t="s">
        <v>58</v>
      </c>
      <c r="B2618" t="s">
        <v>58</v>
      </c>
      <c r="C2618">
        <v>100</v>
      </c>
      <c r="D2618">
        <v>1</v>
      </c>
      <c r="E2618">
        <v>0</v>
      </c>
      <c r="F2618" t="s">
        <v>9959</v>
      </c>
      <c r="G2618">
        <v>198</v>
      </c>
      <c r="H2618">
        <v>0</v>
      </c>
      <c r="I2618" t="s">
        <v>445</v>
      </c>
      <c r="J2618" t="s">
        <v>9851</v>
      </c>
      <c r="K2618" t="s">
        <v>9960</v>
      </c>
      <c r="L2618" t="s">
        <v>1714</v>
      </c>
      <c r="M2618" t="s">
        <v>2907</v>
      </c>
      <c r="N2618" t="s">
        <v>9961</v>
      </c>
      <c r="O2618" t="s">
        <v>27</v>
      </c>
      <c r="P2618" t="s">
        <v>193</v>
      </c>
      <c r="Q2618" t="s">
        <v>85</v>
      </c>
      <c r="R2618" t="s">
        <v>86</v>
      </c>
      <c r="S2618" t="s">
        <v>28</v>
      </c>
      <c r="T2618" t="s">
        <v>9962</v>
      </c>
      <c r="U2618" t="s">
        <v>9963</v>
      </c>
    </row>
    <row r="2619" spans="1:21" x14ac:dyDescent="0.25">
      <c r="A2619" t="s">
        <v>58</v>
      </c>
      <c r="B2619" t="s">
        <v>58</v>
      </c>
      <c r="C2619">
        <v>100</v>
      </c>
      <c r="D2619">
        <v>1</v>
      </c>
      <c r="E2619">
        <v>0</v>
      </c>
      <c r="F2619" t="s">
        <v>9964</v>
      </c>
      <c r="G2619">
        <v>106</v>
      </c>
      <c r="H2619">
        <v>6</v>
      </c>
      <c r="I2619" t="s">
        <v>140</v>
      </c>
      <c r="J2619" t="s">
        <v>9965</v>
      </c>
      <c r="K2619" t="s">
        <v>797</v>
      </c>
      <c r="L2619" t="s">
        <v>27</v>
      </c>
      <c r="M2619" t="s">
        <v>28</v>
      </c>
      <c r="N2619" t="s">
        <v>9966</v>
      </c>
      <c r="O2619" t="s">
        <v>27</v>
      </c>
      <c r="P2619" t="s">
        <v>369</v>
      </c>
      <c r="Q2619" t="s">
        <v>31</v>
      </c>
      <c r="R2619" t="s">
        <v>57</v>
      </c>
      <c r="S2619" t="s">
        <v>28</v>
      </c>
      <c r="T2619" t="s">
        <v>9967</v>
      </c>
      <c r="U2619" t="s">
        <v>9966</v>
      </c>
    </row>
    <row r="2620" spans="1:21" x14ac:dyDescent="0.25">
      <c r="A2620" t="s">
        <v>63</v>
      </c>
      <c r="B2620" t="s">
        <v>64</v>
      </c>
      <c r="C2620">
        <v>124.5</v>
      </c>
      <c r="D2620">
        <v>1</v>
      </c>
      <c r="E2620">
        <v>0</v>
      </c>
      <c r="F2620" t="s">
        <v>9968</v>
      </c>
      <c r="G2620">
        <v>129.5</v>
      </c>
      <c r="H2620">
        <v>5</v>
      </c>
      <c r="I2620" t="s">
        <v>24</v>
      </c>
      <c r="J2620" t="s">
        <v>9969</v>
      </c>
      <c r="K2620" t="s">
        <v>9970</v>
      </c>
      <c r="L2620" t="s">
        <v>9971</v>
      </c>
      <c r="M2620" t="s">
        <v>9972</v>
      </c>
      <c r="N2620" t="s">
        <v>9973</v>
      </c>
      <c r="O2620" t="s">
        <v>27</v>
      </c>
      <c r="P2620" t="s">
        <v>48</v>
      </c>
      <c r="Q2620" t="s">
        <v>49</v>
      </c>
      <c r="R2620" t="s">
        <v>50</v>
      </c>
      <c r="S2620" t="s">
        <v>28</v>
      </c>
      <c r="T2620" t="s">
        <v>9974</v>
      </c>
      <c r="U2620" t="s">
        <v>9973</v>
      </c>
    </row>
    <row r="2621" spans="1:21" x14ac:dyDescent="0.25">
      <c r="A2621" t="s">
        <v>33</v>
      </c>
      <c r="B2621" t="s">
        <v>34</v>
      </c>
      <c r="C2621">
        <v>200</v>
      </c>
      <c r="D2621">
        <v>1</v>
      </c>
      <c r="E2621">
        <v>0</v>
      </c>
      <c r="F2621" t="s">
        <v>9975</v>
      </c>
      <c r="G2621">
        <v>200</v>
      </c>
      <c r="H2621">
        <v>0</v>
      </c>
      <c r="I2621" t="s">
        <v>445</v>
      </c>
      <c r="J2621" t="s">
        <v>9976</v>
      </c>
      <c r="K2621" t="s">
        <v>653</v>
      </c>
      <c r="L2621" t="s">
        <v>27</v>
      </c>
      <c r="M2621" t="s">
        <v>28</v>
      </c>
      <c r="N2621" t="s">
        <v>9973</v>
      </c>
      <c r="O2621" t="s">
        <v>27</v>
      </c>
      <c r="P2621" t="s">
        <v>56</v>
      </c>
      <c r="Q2621" t="s">
        <v>31</v>
      </c>
      <c r="R2621" t="s">
        <v>57</v>
      </c>
      <c r="S2621" t="s">
        <v>28</v>
      </c>
      <c r="T2621" t="s">
        <v>9977</v>
      </c>
      <c r="U2621" t="s">
        <v>9978</v>
      </c>
    </row>
    <row r="2622" spans="1:21" x14ac:dyDescent="0.25">
      <c r="A2622" t="s">
        <v>33</v>
      </c>
      <c r="B2622" t="s">
        <v>34</v>
      </c>
      <c r="C2622">
        <v>200</v>
      </c>
      <c r="D2622">
        <v>1</v>
      </c>
      <c r="E2622">
        <v>0</v>
      </c>
      <c r="F2622" t="s">
        <v>9979</v>
      </c>
      <c r="G2622">
        <v>200</v>
      </c>
      <c r="H2622">
        <v>0</v>
      </c>
      <c r="I2622" t="s">
        <v>24</v>
      </c>
      <c r="J2622" t="s">
        <v>9980</v>
      </c>
      <c r="K2622" t="s">
        <v>209</v>
      </c>
      <c r="L2622" t="s">
        <v>27</v>
      </c>
      <c r="M2622" t="s">
        <v>28</v>
      </c>
      <c r="N2622" t="s">
        <v>9981</v>
      </c>
      <c r="O2622" t="s">
        <v>27</v>
      </c>
      <c r="P2622" t="s">
        <v>56</v>
      </c>
      <c r="Q2622" t="s">
        <v>31</v>
      </c>
      <c r="R2622" t="s">
        <v>57</v>
      </c>
      <c r="S2622" t="s">
        <v>28</v>
      </c>
      <c r="T2622" t="s">
        <v>9982</v>
      </c>
      <c r="U2622" t="s">
        <v>9981</v>
      </c>
    </row>
    <row r="2623" spans="1:21" x14ac:dyDescent="0.25">
      <c r="A2623" t="s">
        <v>63</v>
      </c>
      <c r="B2623" t="s">
        <v>64</v>
      </c>
      <c r="C2623">
        <v>100</v>
      </c>
      <c r="D2623">
        <v>1</v>
      </c>
      <c r="E2623">
        <v>0</v>
      </c>
      <c r="F2623" t="s">
        <v>9983</v>
      </c>
      <c r="G2623">
        <v>200</v>
      </c>
      <c r="H2623">
        <v>0</v>
      </c>
      <c r="I2623" t="s">
        <v>24</v>
      </c>
      <c r="J2623" t="s">
        <v>9984</v>
      </c>
      <c r="K2623" t="s">
        <v>325</v>
      </c>
      <c r="L2623" t="s">
        <v>27</v>
      </c>
      <c r="M2623" t="s">
        <v>28</v>
      </c>
      <c r="N2623" t="s">
        <v>9985</v>
      </c>
      <c r="O2623" t="s">
        <v>27</v>
      </c>
      <c r="P2623" t="s">
        <v>56</v>
      </c>
      <c r="Q2623" t="s">
        <v>31</v>
      </c>
      <c r="R2623" t="s">
        <v>57</v>
      </c>
      <c r="S2623" t="s">
        <v>28</v>
      </c>
      <c r="T2623" t="s">
        <v>9986</v>
      </c>
      <c r="U2623" t="s">
        <v>9985</v>
      </c>
    </row>
    <row r="2624" spans="1:21" x14ac:dyDescent="0.25">
      <c r="A2624" t="s">
        <v>134</v>
      </c>
      <c r="B2624" t="s">
        <v>64</v>
      </c>
      <c r="C2624">
        <v>100</v>
      </c>
      <c r="D2624">
        <v>1</v>
      </c>
      <c r="E2624">
        <v>0</v>
      </c>
      <c r="F2624" t="s">
        <v>9983</v>
      </c>
      <c r="G2624">
        <v>200</v>
      </c>
      <c r="H2624">
        <v>0</v>
      </c>
      <c r="I2624" t="s">
        <v>24</v>
      </c>
      <c r="J2624" t="s">
        <v>9984</v>
      </c>
      <c r="K2624" t="s">
        <v>325</v>
      </c>
      <c r="L2624" t="s">
        <v>27</v>
      </c>
      <c r="M2624" t="s">
        <v>28</v>
      </c>
      <c r="N2624" t="s">
        <v>9985</v>
      </c>
      <c r="O2624" t="s">
        <v>27</v>
      </c>
      <c r="P2624" t="s">
        <v>56</v>
      </c>
      <c r="Q2624" t="s">
        <v>31</v>
      </c>
      <c r="R2624" t="s">
        <v>57</v>
      </c>
      <c r="S2624" t="s">
        <v>28</v>
      </c>
      <c r="T2624" t="s">
        <v>9986</v>
      </c>
      <c r="U2624" t="s">
        <v>9985</v>
      </c>
    </row>
    <row r="2625" spans="1:21" x14ac:dyDescent="0.25">
      <c r="A2625" t="s">
        <v>63</v>
      </c>
      <c r="B2625" t="s">
        <v>64</v>
      </c>
      <c r="C2625">
        <v>100</v>
      </c>
      <c r="D2625">
        <v>1</v>
      </c>
      <c r="E2625">
        <v>0</v>
      </c>
      <c r="F2625" t="s">
        <v>9987</v>
      </c>
      <c r="G2625">
        <v>106</v>
      </c>
      <c r="H2625">
        <v>6</v>
      </c>
      <c r="I2625" t="s">
        <v>445</v>
      </c>
      <c r="J2625" t="s">
        <v>9988</v>
      </c>
      <c r="K2625" t="s">
        <v>325</v>
      </c>
      <c r="L2625" t="s">
        <v>27</v>
      </c>
      <c r="M2625" t="s">
        <v>28</v>
      </c>
      <c r="N2625" t="s">
        <v>9989</v>
      </c>
      <c r="O2625" t="s">
        <v>27</v>
      </c>
      <c r="P2625" t="s">
        <v>39</v>
      </c>
      <c r="Q2625" t="s">
        <v>31</v>
      </c>
      <c r="R2625" t="s">
        <v>32</v>
      </c>
      <c r="S2625" t="s">
        <v>28</v>
      </c>
      <c r="T2625" t="s">
        <v>9990</v>
      </c>
      <c r="U2625" t="s">
        <v>9989</v>
      </c>
    </row>
    <row r="2626" spans="1:21" x14ac:dyDescent="0.25">
      <c r="A2626" t="s">
        <v>143</v>
      </c>
      <c r="B2626" t="s">
        <v>144</v>
      </c>
      <c r="C2626">
        <v>200</v>
      </c>
      <c r="D2626">
        <v>1</v>
      </c>
      <c r="E2626">
        <v>0</v>
      </c>
      <c r="F2626" t="s">
        <v>9991</v>
      </c>
      <c r="G2626">
        <v>200</v>
      </c>
      <c r="H2626">
        <v>0</v>
      </c>
      <c r="I2626" t="s">
        <v>24</v>
      </c>
      <c r="J2626" t="s">
        <v>9992</v>
      </c>
      <c r="K2626" t="s">
        <v>26</v>
      </c>
      <c r="L2626" t="s">
        <v>27</v>
      </c>
      <c r="M2626" t="s">
        <v>28</v>
      </c>
      <c r="N2626" t="s">
        <v>9993</v>
      </c>
      <c r="O2626" t="s">
        <v>27</v>
      </c>
      <c r="P2626" t="s">
        <v>56</v>
      </c>
      <c r="Q2626" t="s">
        <v>31</v>
      </c>
      <c r="R2626" t="s">
        <v>57</v>
      </c>
      <c r="S2626" t="s">
        <v>28</v>
      </c>
      <c r="T2626" t="s">
        <v>9994</v>
      </c>
      <c r="U2626" t="s">
        <v>9993</v>
      </c>
    </row>
    <row r="2627" spans="1:21" x14ac:dyDescent="0.25">
      <c r="A2627" t="s">
        <v>456</v>
      </c>
      <c r="B2627" t="s">
        <v>457</v>
      </c>
      <c r="C2627">
        <v>199</v>
      </c>
      <c r="D2627">
        <v>2</v>
      </c>
      <c r="E2627">
        <v>0</v>
      </c>
      <c r="F2627" t="s">
        <v>9995</v>
      </c>
      <c r="G2627">
        <v>398</v>
      </c>
      <c r="H2627">
        <v>0</v>
      </c>
      <c r="I2627" t="s">
        <v>24</v>
      </c>
      <c r="J2627" t="s">
        <v>3830</v>
      </c>
      <c r="K2627" t="s">
        <v>9996</v>
      </c>
      <c r="L2627" t="s">
        <v>9997</v>
      </c>
      <c r="M2627" t="s">
        <v>1147</v>
      </c>
      <c r="N2627" t="s">
        <v>9929</v>
      </c>
      <c r="O2627" t="s">
        <v>27</v>
      </c>
      <c r="P2627" t="s">
        <v>84</v>
      </c>
      <c r="Q2627" t="s">
        <v>85</v>
      </c>
      <c r="R2627" t="s">
        <v>86</v>
      </c>
      <c r="S2627" t="s">
        <v>28</v>
      </c>
      <c r="T2627" t="s">
        <v>9998</v>
      </c>
      <c r="U2627" t="s">
        <v>9999</v>
      </c>
    </row>
    <row r="2628" spans="1:21" x14ac:dyDescent="0.25">
      <c r="A2628" t="s">
        <v>58</v>
      </c>
      <c r="B2628" t="s">
        <v>103</v>
      </c>
      <c r="C2628">
        <v>84</v>
      </c>
      <c r="D2628">
        <v>1</v>
      </c>
      <c r="E2628">
        <v>0</v>
      </c>
      <c r="F2628" t="s">
        <v>10000</v>
      </c>
      <c r="G2628">
        <v>89</v>
      </c>
      <c r="H2628">
        <v>5</v>
      </c>
      <c r="I2628" t="s">
        <v>105</v>
      </c>
      <c r="J2628" t="s">
        <v>10001</v>
      </c>
      <c r="K2628" t="s">
        <v>10002</v>
      </c>
      <c r="L2628" t="s">
        <v>885</v>
      </c>
      <c r="M2628" t="s">
        <v>10003</v>
      </c>
      <c r="N2628" t="s">
        <v>10004</v>
      </c>
      <c r="O2628" t="s">
        <v>27</v>
      </c>
      <c r="P2628" t="s">
        <v>48</v>
      </c>
      <c r="Q2628" t="s">
        <v>49</v>
      </c>
      <c r="R2628" t="s">
        <v>50</v>
      </c>
      <c r="S2628" t="s">
        <v>28</v>
      </c>
      <c r="T2628" t="s">
        <v>10005</v>
      </c>
      <c r="U2628" t="s">
        <v>10006</v>
      </c>
    </row>
    <row r="2629" spans="1:21" x14ac:dyDescent="0.25">
      <c r="A2629" t="s">
        <v>33</v>
      </c>
      <c r="B2629" t="s">
        <v>34</v>
      </c>
      <c r="C2629">
        <v>200</v>
      </c>
      <c r="D2629">
        <v>1</v>
      </c>
      <c r="E2629">
        <v>0</v>
      </c>
      <c r="F2629" t="s">
        <v>10007</v>
      </c>
      <c r="G2629">
        <v>200</v>
      </c>
      <c r="H2629">
        <v>0</v>
      </c>
      <c r="I2629" t="s">
        <v>24</v>
      </c>
      <c r="J2629" t="s">
        <v>10008</v>
      </c>
      <c r="K2629" t="s">
        <v>89</v>
      </c>
      <c r="L2629" t="s">
        <v>27</v>
      </c>
      <c r="M2629" t="s">
        <v>28</v>
      </c>
      <c r="N2629" t="s">
        <v>10009</v>
      </c>
      <c r="O2629" t="s">
        <v>27</v>
      </c>
      <c r="P2629" t="s">
        <v>39</v>
      </c>
      <c r="Q2629" t="s">
        <v>31</v>
      </c>
      <c r="R2629" t="s">
        <v>32</v>
      </c>
      <c r="S2629" t="s">
        <v>28</v>
      </c>
      <c r="T2629" t="s">
        <v>10010</v>
      </c>
      <c r="U2629" t="s">
        <v>10009</v>
      </c>
    </row>
    <row r="2630" spans="1:21" x14ac:dyDescent="0.25">
      <c r="A2630" t="s">
        <v>58</v>
      </c>
      <c r="B2630" t="s">
        <v>58</v>
      </c>
      <c r="C2630">
        <v>100</v>
      </c>
      <c r="D2630">
        <v>1</v>
      </c>
      <c r="E2630">
        <v>0</v>
      </c>
      <c r="F2630" t="s">
        <v>10011</v>
      </c>
      <c r="G2630">
        <v>105</v>
      </c>
      <c r="H2630">
        <v>7</v>
      </c>
      <c r="I2630" t="s">
        <v>445</v>
      </c>
      <c r="J2630" t="s">
        <v>10012</v>
      </c>
      <c r="K2630" t="s">
        <v>10013</v>
      </c>
      <c r="L2630" t="s">
        <v>10014</v>
      </c>
      <c r="M2630" t="s">
        <v>10015</v>
      </c>
      <c r="N2630" t="s">
        <v>10009</v>
      </c>
      <c r="O2630" t="s">
        <v>27</v>
      </c>
      <c r="P2630" t="s">
        <v>84</v>
      </c>
      <c r="Q2630" t="s">
        <v>85</v>
      </c>
      <c r="R2630" t="s">
        <v>86</v>
      </c>
      <c r="S2630" t="s">
        <v>28</v>
      </c>
      <c r="T2630" t="s">
        <v>10016</v>
      </c>
      <c r="U2630" t="s">
        <v>10009</v>
      </c>
    </row>
    <row r="2631" spans="1:21" x14ac:dyDescent="0.25">
      <c r="A2631" t="s">
        <v>195</v>
      </c>
      <c r="B2631" t="s">
        <v>196</v>
      </c>
      <c r="C2631">
        <v>230</v>
      </c>
      <c r="D2631">
        <v>1</v>
      </c>
      <c r="E2631">
        <v>0</v>
      </c>
      <c r="F2631" t="s">
        <v>10017</v>
      </c>
      <c r="G2631">
        <v>254</v>
      </c>
      <c r="H2631">
        <v>29</v>
      </c>
      <c r="I2631" t="s">
        <v>445</v>
      </c>
      <c r="J2631" t="s">
        <v>1833</v>
      </c>
      <c r="K2631" t="s">
        <v>10018</v>
      </c>
      <c r="L2631" t="s">
        <v>10019</v>
      </c>
      <c r="M2631" t="s">
        <v>7985</v>
      </c>
      <c r="N2631" t="s">
        <v>10020</v>
      </c>
      <c r="O2631" t="s">
        <v>27</v>
      </c>
      <c r="P2631" t="s">
        <v>193</v>
      </c>
      <c r="Q2631" t="s">
        <v>85</v>
      </c>
      <c r="R2631" t="s">
        <v>86</v>
      </c>
      <c r="S2631" t="s">
        <v>28</v>
      </c>
      <c r="T2631" t="s">
        <v>10021</v>
      </c>
      <c r="U2631" t="s">
        <v>10022</v>
      </c>
    </row>
    <row r="2632" spans="1:21" x14ac:dyDescent="0.25">
      <c r="A2632" t="s">
        <v>63</v>
      </c>
      <c r="B2632" t="s">
        <v>64</v>
      </c>
      <c r="C2632">
        <v>100</v>
      </c>
      <c r="D2632">
        <v>1</v>
      </c>
      <c r="E2632">
        <v>0</v>
      </c>
      <c r="F2632" t="s">
        <v>10023</v>
      </c>
      <c r="G2632">
        <v>200</v>
      </c>
      <c r="H2632">
        <v>0</v>
      </c>
      <c r="I2632" t="s">
        <v>24</v>
      </c>
      <c r="J2632" t="s">
        <v>10024</v>
      </c>
      <c r="K2632" t="s">
        <v>388</v>
      </c>
      <c r="L2632" t="s">
        <v>27</v>
      </c>
      <c r="M2632" t="s">
        <v>28</v>
      </c>
      <c r="N2632" t="s">
        <v>10025</v>
      </c>
      <c r="O2632" t="s">
        <v>27</v>
      </c>
      <c r="P2632" t="s">
        <v>56</v>
      </c>
      <c r="Q2632" t="s">
        <v>31</v>
      </c>
      <c r="R2632" t="s">
        <v>57</v>
      </c>
      <c r="S2632" t="s">
        <v>28</v>
      </c>
      <c r="T2632" t="s">
        <v>10026</v>
      </c>
      <c r="U2632" t="s">
        <v>10027</v>
      </c>
    </row>
    <row r="2633" spans="1:21" x14ac:dyDescent="0.25">
      <c r="A2633" t="s">
        <v>134</v>
      </c>
      <c r="B2633" t="s">
        <v>64</v>
      </c>
      <c r="C2633">
        <v>100</v>
      </c>
      <c r="D2633">
        <v>1</v>
      </c>
      <c r="E2633">
        <v>0</v>
      </c>
      <c r="F2633" t="s">
        <v>10023</v>
      </c>
      <c r="G2633">
        <v>200</v>
      </c>
      <c r="H2633">
        <v>0</v>
      </c>
      <c r="I2633" t="s">
        <v>24</v>
      </c>
      <c r="J2633" t="s">
        <v>10024</v>
      </c>
      <c r="K2633" t="s">
        <v>388</v>
      </c>
      <c r="L2633" t="s">
        <v>27</v>
      </c>
      <c r="M2633" t="s">
        <v>28</v>
      </c>
      <c r="N2633" t="s">
        <v>10025</v>
      </c>
      <c r="O2633" t="s">
        <v>27</v>
      </c>
      <c r="P2633" t="s">
        <v>56</v>
      </c>
      <c r="Q2633" t="s">
        <v>31</v>
      </c>
      <c r="R2633" t="s">
        <v>57</v>
      </c>
      <c r="S2633" t="s">
        <v>28</v>
      </c>
      <c r="T2633" t="s">
        <v>10026</v>
      </c>
      <c r="U2633" t="s">
        <v>10027</v>
      </c>
    </row>
    <row r="2634" spans="1:21" x14ac:dyDescent="0.25">
      <c r="A2634" t="s">
        <v>70</v>
      </c>
      <c r="B2634" t="s">
        <v>70</v>
      </c>
      <c r="C2634">
        <v>330</v>
      </c>
      <c r="D2634">
        <v>1</v>
      </c>
      <c r="E2634">
        <v>0</v>
      </c>
      <c r="F2634" t="s">
        <v>10028</v>
      </c>
      <c r="G2634">
        <v>330</v>
      </c>
      <c r="H2634">
        <v>0</v>
      </c>
      <c r="I2634" t="s">
        <v>445</v>
      </c>
      <c r="J2634" t="s">
        <v>10029</v>
      </c>
      <c r="K2634" t="s">
        <v>37</v>
      </c>
      <c r="L2634" t="s">
        <v>27</v>
      </c>
      <c r="M2634" t="s">
        <v>28</v>
      </c>
      <c r="N2634" t="s">
        <v>10027</v>
      </c>
      <c r="O2634" t="s">
        <v>27</v>
      </c>
      <c r="P2634" t="s">
        <v>39</v>
      </c>
      <c r="Q2634" t="s">
        <v>31</v>
      </c>
      <c r="R2634" t="s">
        <v>32</v>
      </c>
      <c r="S2634" t="s">
        <v>28</v>
      </c>
      <c r="T2634" t="s">
        <v>10030</v>
      </c>
      <c r="U2634" t="s">
        <v>10027</v>
      </c>
    </row>
    <row r="2635" spans="1:21" x14ac:dyDescent="0.25">
      <c r="A2635" t="s">
        <v>143</v>
      </c>
      <c r="B2635" t="s">
        <v>144</v>
      </c>
      <c r="C2635">
        <v>200</v>
      </c>
      <c r="D2635">
        <v>1</v>
      </c>
      <c r="E2635">
        <v>0</v>
      </c>
      <c r="F2635" t="s">
        <v>10031</v>
      </c>
      <c r="G2635">
        <v>200</v>
      </c>
      <c r="H2635">
        <v>0</v>
      </c>
      <c r="I2635" t="s">
        <v>140</v>
      </c>
      <c r="J2635" t="s">
        <v>10032</v>
      </c>
      <c r="K2635" t="s">
        <v>89</v>
      </c>
      <c r="L2635" t="s">
        <v>27</v>
      </c>
      <c r="M2635" t="s">
        <v>28</v>
      </c>
      <c r="N2635" t="s">
        <v>10033</v>
      </c>
      <c r="O2635" t="s">
        <v>27</v>
      </c>
      <c r="P2635" t="s">
        <v>30</v>
      </c>
      <c r="Q2635" t="s">
        <v>31</v>
      </c>
      <c r="R2635" t="s">
        <v>32</v>
      </c>
      <c r="S2635" t="s">
        <v>28</v>
      </c>
      <c r="T2635" t="s">
        <v>10034</v>
      </c>
      <c r="U2635" t="s">
        <v>10033</v>
      </c>
    </row>
    <row r="2636" spans="1:21" x14ac:dyDescent="0.25">
      <c r="A2636" t="s">
        <v>1513</v>
      </c>
      <c r="B2636" t="s">
        <v>1514</v>
      </c>
      <c r="C2636">
        <v>400</v>
      </c>
      <c r="D2636">
        <v>1</v>
      </c>
      <c r="E2636">
        <v>0</v>
      </c>
      <c r="F2636" t="s">
        <v>10035</v>
      </c>
      <c r="G2636">
        <v>1200</v>
      </c>
      <c r="H2636">
        <v>0</v>
      </c>
      <c r="I2636" t="s">
        <v>24</v>
      </c>
      <c r="J2636" t="s">
        <v>10036</v>
      </c>
      <c r="K2636" t="s">
        <v>241</v>
      </c>
      <c r="L2636" t="s">
        <v>27</v>
      </c>
      <c r="M2636" t="s">
        <v>28</v>
      </c>
      <c r="N2636" t="s">
        <v>10037</v>
      </c>
      <c r="O2636" t="s">
        <v>27</v>
      </c>
      <c r="P2636" t="s">
        <v>39</v>
      </c>
      <c r="Q2636" t="s">
        <v>31</v>
      </c>
      <c r="R2636" t="s">
        <v>32</v>
      </c>
      <c r="S2636" t="s">
        <v>28</v>
      </c>
      <c r="T2636" t="s">
        <v>10038</v>
      </c>
      <c r="U2636" t="s">
        <v>10037</v>
      </c>
    </row>
    <row r="2637" spans="1:21" x14ac:dyDescent="0.25">
      <c r="A2637" t="s">
        <v>2307</v>
      </c>
      <c r="B2637" t="s">
        <v>2308</v>
      </c>
      <c r="C2637">
        <v>400</v>
      </c>
      <c r="D2637">
        <v>2</v>
      </c>
      <c r="E2637">
        <v>0</v>
      </c>
      <c r="F2637" t="s">
        <v>10035</v>
      </c>
      <c r="G2637">
        <v>1200</v>
      </c>
      <c r="H2637">
        <v>0</v>
      </c>
      <c r="I2637" t="s">
        <v>24</v>
      </c>
      <c r="J2637" t="s">
        <v>10036</v>
      </c>
      <c r="K2637" t="s">
        <v>241</v>
      </c>
      <c r="L2637" t="s">
        <v>27</v>
      </c>
      <c r="M2637" t="s">
        <v>28</v>
      </c>
      <c r="N2637" t="s">
        <v>10037</v>
      </c>
      <c r="O2637" t="s">
        <v>27</v>
      </c>
      <c r="P2637" t="s">
        <v>39</v>
      </c>
      <c r="Q2637" t="s">
        <v>31</v>
      </c>
      <c r="R2637" t="s">
        <v>32</v>
      </c>
      <c r="S2637" t="s">
        <v>28</v>
      </c>
      <c r="T2637" t="s">
        <v>10038</v>
      </c>
      <c r="U2637" t="s">
        <v>10037</v>
      </c>
    </row>
    <row r="2638" spans="1:21" x14ac:dyDescent="0.25">
      <c r="A2638" t="s">
        <v>58</v>
      </c>
      <c r="B2638" t="s">
        <v>58</v>
      </c>
      <c r="C2638">
        <v>100</v>
      </c>
      <c r="D2638">
        <v>1</v>
      </c>
      <c r="E2638">
        <v>0</v>
      </c>
      <c r="F2638" t="s">
        <v>10039</v>
      </c>
      <c r="G2638">
        <v>185</v>
      </c>
      <c r="H2638">
        <v>0</v>
      </c>
      <c r="I2638" t="s">
        <v>140</v>
      </c>
      <c r="J2638" t="s">
        <v>10040</v>
      </c>
      <c r="K2638" t="s">
        <v>89</v>
      </c>
      <c r="L2638" t="s">
        <v>27</v>
      </c>
      <c r="M2638" t="s">
        <v>28</v>
      </c>
      <c r="N2638" t="s">
        <v>10037</v>
      </c>
      <c r="O2638" t="s">
        <v>27</v>
      </c>
      <c r="P2638" t="s">
        <v>369</v>
      </c>
      <c r="Q2638" t="s">
        <v>31</v>
      </c>
      <c r="R2638" t="s">
        <v>57</v>
      </c>
      <c r="S2638" t="s">
        <v>28</v>
      </c>
      <c r="T2638" t="s">
        <v>10041</v>
      </c>
      <c r="U2638" t="s">
        <v>10042</v>
      </c>
    </row>
    <row r="2639" spans="1:21" x14ac:dyDescent="0.25">
      <c r="A2639" t="s">
        <v>58</v>
      </c>
      <c r="B2639" t="s">
        <v>58</v>
      </c>
      <c r="C2639">
        <v>100</v>
      </c>
      <c r="D2639">
        <v>1</v>
      </c>
      <c r="E2639">
        <v>0</v>
      </c>
      <c r="F2639" t="s">
        <v>10043</v>
      </c>
      <c r="G2639">
        <v>385</v>
      </c>
      <c r="H2639">
        <v>45</v>
      </c>
      <c r="I2639" t="s">
        <v>140</v>
      </c>
      <c r="J2639" t="s">
        <v>10044</v>
      </c>
      <c r="K2639" t="s">
        <v>311</v>
      </c>
      <c r="L2639" t="s">
        <v>27</v>
      </c>
      <c r="M2639" t="s">
        <v>28</v>
      </c>
      <c r="N2639" t="s">
        <v>10045</v>
      </c>
      <c r="O2639" t="s">
        <v>27</v>
      </c>
      <c r="P2639" t="s">
        <v>369</v>
      </c>
      <c r="Q2639" t="s">
        <v>31</v>
      </c>
      <c r="R2639" t="s">
        <v>57</v>
      </c>
      <c r="S2639" t="s">
        <v>28</v>
      </c>
      <c r="T2639" t="s">
        <v>10046</v>
      </c>
      <c r="U2639" t="s">
        <v>10045</v>
      </c>
    </row>
    <row r="2640" spans="1:21" x14ac:dyDescent="0.25">
      <c r="A2640" t="s">
        <v>909</v>
      </c>
      <c r="B2640" t="s">
        <v>3592</v>
      </c>
      <c r="C2640">
        <v>240</v>
      </c>
      <c r="D2640">
        <v>1</v>
      </c>
      <c r="E2640">
        <v>0</v>
      </c>
      <c r="F2640" t="s">
        <v>10043</v>
      </c>
      <c r="G2640">
        <v>385</v>
      </c>
      <c r="H2640">
        <v>45</v>
      </c>
      <c r="I2640" t="s">
        <v>140</v>
      </c>
      <c r="J2640" t="s">
        <v>10044</v>
      </c>
      <c r="K2640" t="s">
        <v>311</v>
      </c>
      <c r="L2640" t="s">
        <v>27</v>
      </c>
      <c r="M2640" t="s">
        <v>28</v>
      </c>
      <c r="N2640" t="s">
        <v>10045</v>
      </c>
      <c r="O2640" t="s">
        <v>27</v>
      </c>
      <c r="P2640" t="s">
        <v>369</v>
      </c>
      <c r="Q2640" t="s">
        <v>31</v>
      </c>
      <c r="R2640" t="s">
        <v>57</v>
      </c>
      <c r="S2640" t="s">
        <v>28</v>
      </c>
      <c r="T2640" t="s">
        <v>10046</v>
      </c>
      <c r="U2640" t="s">
        <v>10045</v>
      </c>
    </row>
    <row r="2641" spans="1:21" x14ac:dyDescent="0.25">
      <c r="A2641" t="s">
        <v>134</v>
      </c>
      <c r="B2641" t="s">
        <v>64</v>
      </c>
      <c r="C2641">
        <v>100</v>
      </c>
      <c r="D2641">
        <v>2</v>
      </c>
      <c r="E2641">
        <v>0</v>
      </c>
      <c r="F2641" t="s">
        <v>10047</v>
      </c>
      <c r="G2641">
        <v>200</v>
      </c>
      <c r="H2641">
        <v>0</v>
      </c>
      <c r="I2641" t="s">
        <v>140</v>
      </c>
      <c r="J2641" t="s">
        <v>10048</v>
      </c>
      <c r="K2641" t="s">
        <v>346</v>
      </c>
      <c r="L2641" t="s">
        <v>27</v>
      </c>
      <c r="M2641" t="s">
        <v>28</v>
      </c>
      <c r="N2641" t="s">
        <v>10045</v>
      </c>
      <c r="O2641" t="s">
        <v>27</v>
      </c>
      <c r="P2641" t="s">
        <v>369</v>
      </c>
      <c r="Q2641" t="s">
        <v>31</v>
      </c>
      <c r="R2641" t="s">
        <v>57</v>
      </c>
      <c r="S2641" t="s">
        <v>28</v>
      </c>
      <c r="T2641" t="s">
        <v>10049</v>
      </c>
      <c r="U2641" t="s">
        <v>10050</v>
      </c>
    </row>
    <row r="2642" spans="1:21" x14ac:dyDescent="0.25">
      <c r="A2642" t="s">
        <v>63</v>
      </c>
      <c r="B2642" t="s">
        <v>64</v>
      </c>
      <c r="C2642">
        <v>100</v>
      </c>
      <c r="D2642">
        <v>1</v>
      </c>
      <c r="E2642">
        <v>0</v>
      </c>
      <c r="F2642" t="s">
        <v>10051</v>
      </c>
      <c r="G2642">
        <v>106</v>
      </c>
      <c r="H2642">
        <v>6</v>
      </c>
      <c r="I2642" t="s">
        <v>24</v>
      </c>
      <c r="J2642" t="s">
        <v>10052</v>
      </c>
      <c r="K2642" t="s">
        <v>37</v>
      </c>
      <c r="L2642" t="s">
        <v>27</v>
      </c>
      <c r="M2642" t="s">
        <v>28</v>
      </c>
      <c r="N2642" t="s">
        <v>10050</v>
      </c>
      <c r="O2642" t="s">
        <v>27</v>
      </c>
      <c r="P2642" t="s">
        <v>39</v>
      </c>
      <c r="Q2642" t="s">
        <v>31</v>
      </c>
      <c r="R2642" t="s">
        <v>32</v>
      </c>
      <c r="S2642" t="s">
        <v>28</v>
      </c>
      <c r="T2642" t="s">
        <v>10053</v>
      </c>
      <c r="U2642" t="s">
        <v>10050</v>
      </c>
    </row>
    <row r="2643" spans="1:21" x14ac:dyDescent="0.25">
      <c r="A2643" t="s">
        <v>143</v>
      </c>
      <c r="B2643" t="s">
        <v>144</v>
      </c>
      <c r="C2643">
        <v>200</v>
      </c>
      <c r="D2643">
        <v>1</v>
      </c>
      <c r="E2643">
        <v>0</v>
      </c>
      <c r="F2643" t="s">
        <v>10054</v>
      </c>
      <c r="G2643">
        <v>200</v>
      </c>
      <c r="H2643">
        <v>0</v>
      </c>
      <c r="I2643" t="s">
        <v>445</v>
      </c>
      <c r="J2643" t="s">
        <v>10055</v>
      </c>
      <c r="K2643" t="s">
        <v>89</v>
      </c>
      <c r="L2643" t="s">
        <v>27</v>
      </c>
      <c r="M2643" t="s">
        <v>28</v>
      </c>
      <c r="N2643" t="s">
        <v>10056</v>
      </c>
      <c r="O2643" t="s">
        <v>27</v>
      </c>
      <c r="P2643" t="s">
        <v>39</v>
      </c>
      <c r="Q2643" t="s">
        <v>31</v>
      </c>
      <c r="R2643" t="s">
        <v>32</v>
      </c>
      <c r="S2643" t="s">
        <v>28</v>
      </c>
      <c r="T2643" t="s">
        <v>10057</v>
      </c>
      <c r="U2643" t="s">
        <v>10056</v>
      </c>
    </row>
    <row r="2644" spans="1:21" x14ac:dyDescent="0.25">
      <c r="A2644" t="s">
        <v>33</v>
      </c>
      <c r="B2644" t="s">
        <v>34</v>
      </c>
      <c r="C2644">
        <v>200</v>
      </c>
      <c r="D2644">
        <v>1</v>
      </c>
      <c r="E2644">
        <v>0</v>
      </c>
      <c r="F2644" t="s">
        <v>10058</v>
      </c>
      <c r="G2644">
        <v>200</v>
      </c>
      <c r="H2644">
        <v>0</v>
      </c>
      <c r="I2644" t="s">
        <v>445</v>
      </c>
      <c r="J2644" t="s">
        <v>10059</v>
      </c>
      <c r="K2644" t="s">
        <v>839</v>
      </c>
      <c r="L2644" t="s">
        <v>27</v>
      </c>
      <c r="M2644" t="s">
        <v>28</v>
      </c>
      <c r="N2644" t="s">
        <v>10056</v>
      </c>
      <c r="O2644" t="s">
        <v>27</v>
      </c>
      <c r="P2644" t="s">
        <v>39</v>
      </c>
      <c r="Q2644" t="s">
        <v>31</v>
      </c>
      <c r="R2644" t="s">
        <v>32</v>
      </c>
      <c r="S2644" t="s">
        <v>28</v>
      </c>
      <c r="T2644" t="s">
        <v>10060</v>
      </c>
      <c r="U2644" t="s">
        <v>10056</v>
      </c>
    </row>
    <row r="2645" spans="1:21" x14ac:dyDescent="0.25">
      <c r="A2645" t="s">
        <v>134</v>
      </c>
      <c r="B2645" t="s">
        <v>64</v>
      </c>
      <c r="C2645">
        <v>100</v>
      </c>
      <c r="D2645">
        <v>1</v>
      </c>
      <c r="E2645">
        <v>0</v>
      </c>
      <c r="F2645" t="s">
        <v>10061</v>
      </c>
      <c r="G2645">
        <v>106</v>
      </c>
      <c r="H2645">
        <v>6</v>
      </c>
      <c r="I2645" t="s">
        <v>24</v>
      </c>
      <c r="J2645" t="s">
        <v>10062</v>
      </c>
      <c r="K2645" t="s">
        <v>346</v>
      </c>
      <c r="L2645" t="s">
        <v>27</v>
      </c>
      <c r="M2645" t="s">
        <v>28</v>
      </c>
      <c r="N2645" t="s">
        <v>10063</v>
      </c>
      <c r="O2645" t="s">
        <v>27</v>
      </c>
      <c r="P2645" t="s">
        <v>39</v>
      </c>
      <c r="Q2645" t="s">
        <v>31</v>
      </c>
      <c r="R2645" t="s">
        <v>32</v>
      </c>
      <c r="S2645" t="s">
        <v>28</v>
      </c>
      <c r="T2645" t="s">
        <v>10064</v>
      </c>
      <c r="U2645" t="s">
        <v>10063</v>
      </c>
    </row>
    <row r="2646" spans="1:21" x14ac:dyDescent="0.25">
      <c r="A2646" t="s">
        <v>456</v>
      </c>
      <c r="B2646" t="s">
        <v>1178</v>
      </c>
      <c r="C2646">
        <v>213.75</v>
      </c>
      <c r="D2646">
        <v>1</v>
      </c>
      <c r="E2646">
        <v>0</v>
      </c>
      <c r="F2646" t="s">
        <v>10065</v>
      </c>
      <c r="G2646">
        <v>213.75</v>
      </c>
      <c r="H2646">
        <v>0</v>
      </c>
      <c r="I2646" t="s">
        <v>628</v>
      </c>
      <c r="J2646" t="s">
        <v>10066</v>
      </c>
      <c r="K2646" t="s">
        <v>10067</v>
      </c>
      <c r="L2646" t="s">
        <v>3210</v>
      </c>
      <c r="M2646" t="s">
        <v>10068</v>
      </c>
      <c r="N2646" t="s">
        <v>10069</v>
      </c>
      <c r="O2646" t="s">
        <v>27</v>
      </c>
      <c r="P2646" t="s">
        <v>48</v>
      </c>
      <c r="Q2646" t="s">
        <v>49</v>
      </c>
      <c r="R2646" t="s">
        <v>50</v>
      </c>
      <c r="S2646" t="s">
        <v>28</v>
      </c>
      <c r="T2646" t="s">
        <v>10070</v>
      </c>
      <c r="U2646" t="s">
        <v>10069</v>
      </c>
    </row>
    <row r="2647" spans="1:21" x14ac:dyDescent="0.25">
      <c r="A2647" t="s">
        <v>134</v>
      </c>
      <c r="B2647" t="s">
        <v>64</v>
      </c>
      <c r="C2647">
        <v>100</v>
      </c>
      <c r="D2647">
        <v>1</v>
      </c>
      <c r="E2647">
        <v>0</v>
      </c>
      <c r="F2647" t="s">
        <v>10071</v>
      </c>
      <c r="G2647">
        <v>600</v>
      </c>
      <c r="H2647">
        <v>0</v>
      </c>
      <c r="I2647" t="s">
        <v>140</v>
      </c>
      <c r="J2647" t="s">
        <v>10072</v>
      </c>
      <c r="K2647" t="s">
        <v>451</v>
      </c>
      <c r="L2647" t="s">
        <v>27</v>
      </c>
      <c r="M2647" t="s">
        <v>28</v>
      </c>
      <c r="N2647" t="s">
        <v>10073</v>
      </c>
      <c r="O2647" t="s">
        <v>27</v>
      </c>
      <c r="P2647" t="s">
        <v>369</v>
      </c>
      <c r="Q2647" t="s">
        <v>31</v>
      </c>
      <c r="R2647" t="s">
        <v>57</v>
      </c>
      <c r="S2647" t="s">
        <v>28</v>
      </c>
      <c r="T2647" t="s">
        <v>10074</v>
      </c>
      <c r="U2647" t="s">
        <v>10069</v>
      </c>
    </row>
    <row r="2648" spans="1:21" x14ac:dyDescent="0.25">
      <c r="A2648" t="s">
        <v>58</v>
      </c>
      <c r="B2648" t="s">
        <v>58</v>
      </c>
      <c r="C2648">
        <v>100</v>
      </c>
      <c r="D2648">
        <v>1</v>
      </c>
      <c r="E2648">
        <v>0</v>
      </c>
      <c r="F2648" t="s">
        <v>10071</v>
      </c>
      <c r="G2648">
        <v>600</v>
      </c>
      <c r="H2648">
        <v>0</v>
      </c>
      <c r="I2648" t="s">
        <v>140</v>
      </c>
      <c r="J2648" t="s">
        <v>10072</v>
      </c>
      <c r="K2648" t="s">
        <v>451</v>
      </c>
      <c r="L2648" t="s">
        <v>27</v>
      </c>
      <c r="M2648" t="s">
        <v>28</v>
      </c>
      <c r="N2648" t="s">
        <v>10073</v>
      </c>
      <c r="O2648" t="s">
        <v>27</v>
      </c>
      <c r="P2648" t="s">
        <v>369</v>
      </c>
      <c r="Q2648" t="s">
        <v>31</v>
      </c>
      <c r="R2648" t="s">
        <v>57</v>
      </c>
      <c r="S2648" t="s">
        <v>28</v>
      </c>
      <c r="T2648" t="s">
        <v>10074</v>
      </c>
      <c r="U2648" t="s">
        <v>10069</v>
      </c>
    </row>
    <row r="2649" spans="1:21" x14ac:dyDescent="0.25">
      <c r="A2649" t="s">
        <v>33</v>
      </c>
      <c r="B2649" t="s">
        <v>34</v>
      </c>
      <c r="C2649">
        <v>200</v>
      </c>
      <c r="D2649">
        <v>1</v>
      </c>
      <c r="E2649">
        <v>0</v>
      </c>
      <c r="F2649" t="s">
        <v>10071</v>
      </c>
      <c r="G2649">
        <v>600</v>
      </c>
      <c r="H2649">
        <v>0</v>
      </c>
      <c r="I2649" t="s">
        <v>140</v>
      </c>
      <c r="J2649" t="s">
        <v>10072</v>
      </c>
      <c r="K2649" t="s">
        <v>451</v>
      </c>
      <c r="L2649" t="s">
        <v>27</v>
      </c>
      <c r="M2649" t="s">
        <v>28</v>
      </c>
      <c r="N2649" t="s">
        <v>10073</v>
      </c>
      <c r="O2649" t="s">
        <v>27</v>
      </c>
      <c r="P2649" t="s">
        <v>369</v>
      </c>
      <c r="Q2649" t="s">
        <v>31</v>
      </c>
      <c r="R2649" t="s">
        <v>57</v>
      </c>
      <c r="S2649" t="s">
        <v>28</v>
      </c>
      <c r="T2649" t="s">
        <v>10074</v>
      </c>
      <c r="U2649" t="s">
        <v>10069</v>
      </c>
    </row>
    <row r="2650" spans="1:21" x14ac:dyDescent="0.25">
      <c r="A2650" t="s">
        <v>143</v>
      </c>
      <c r="B2650" t="s">
        <v>144</v>
      </c>
      <c r="C2650">
        <v>200</v>
      </c>
      <c r="D2650">
        <v>1</v>
      </c>
      <c r="E2650">
        <v>0</v>
      </c>
      <c r="F2650" t="s">
        <v>10071</v>
      </c>
      <c r="G2650">
        <v>600</v>
      </c>
      <c r="H2650">
        <v>0</v>
      </c>
      <c r="I2650" t="s">
        <v>140</v>
      </c>
      <c r="J2650" t="s">
        <v>10072</v>
      </c>
      <c r="K2650" t="s">
        <v>451</v>
      </c>
      <c r="L2650" t="s">
        <v>27</v>
      </c>
      <c r="M2650" t="s">
        <v>28</v>
      </c>
      <c r="N2650" t="s">
        <v>10073</v>
      </c>
      <c r="O2650" t="s">
        <v>27</v>
      </c>
      <c r="P2650" t="s">
        <v>369</v>
      </c>
      <c r="Q2650" t="s">
        <v>31</v>
      </c>
      <c r="R2650" t="s">
        <v>57</v>
      </c>
      <c r="S2650" t="s">
        <v>28</v>
      </c>
      <c r="T2650" t="s">
        <v>10074</v>
      </c>
      <c r="U2650" t="s">
        <v>10069</v>
      </c>
    </row>
    <row r="2651" spans="1:21" x14ac:dyDescent="0.25">
      <c r="A2651" t="s">
        <v>456</v>
      </c>
      <c r="B2651" t="s">
        <v>457</v>
      </c>
      <c r="C2651">
        <v>197</v>
      </c>
      <c r="D2651">
        <v>1</v>
      </c>
      <c r="E2651">
        <v>0</v>
      </c>
      <c r="F2651" t="s">
        <v>10075</v>
      </c>
      <c r="G2651">
        <v>195</v>
      </c>
      <c r="H2651">
        <v>0</v>
      </c>
      <c r="I2651" t="s">
        <v>445</v>
      </c>
      <c r="J2651" t="s">
        <v>10076</v>
      </c>
      <c r="K2651" t="s">
        <v>10077</v>
      </c>
      <c r="L2651" t="s">
        <v>666</v>
      </c>
      <c r="M2651" t="s">
        <v>1404</v>
      </c>
      <c r="N2651" t="s">
        <v>10078</v>
      </c>
      <c r="O2651" t="s">
        <v>27</v>
      </c>
      <c r="P2651" t="s">
        <v>84</v>
      </c>
      <c r="Q2651" t="s">
        <v>85</v>
      </c>
      <c r="R2651" t="s">
        <v>86</v>
      </c>
      <c r="S2651" t="s">
        <v>28</v>
      </c>
      <c r="T2651" t="s">
        <v>10079</v>
      </c>
      <c r="U2651" t="s">
        <v>10080</v>
      </c>
    </row>
    <row r="2652" spans="1:21" x14ac:dyDescent="0.25">
      <c r="A2652" t="s">
        <v>58</v>
      </c>
      <c r="B2652" t="s">
        <v>58</v>
      </c>
      <c r="C2652">
        <v>100</v>
      </c>
      <c r="D2652">
        <v>1</v>
      </c>
      <c r="E2652">
        <v>0</v>
      </c>
      <c r="F2652" t="s">
        <v>10081</v>
      </c>
      <c r="G2652">
        <v>106</v>
      </c>
      <c r="H2652">
        <v>6</v>
      </c>
      <c r="I2652" t="s">
        <v>140</v>
      </c>
      <c r="J2652" t="s">
        <v>10082</v>
      </c>
      <c r="K2652" t="s">
        <v>273</v>
      </c>
      <c r="L2652" t="s">
        <v>27</v>
      </c>
      <c r="M2652" t="s">
        <v>28</v>
      </c>
      <c r="N2652" t="s">
        <v>10083</v>
      </c>
      <c r="O2652" t="s">
        <v>27</v>
      </c>
      <c r="P2652" t="s">
        <v>30</v>
      </c>
      <c r="Q2652" t="s">
        <v>31</v>
      </c>
      <c r="R2652" t="s">
        <v>32</v>
      </c>
      <c r="S2652" t="s">
        <v>28</v>
      </c>
      <c r="T2652" t="s">
        <v>10084</v>
      </c>
      <c r="U2652" t="s">
        <v>10083</v>
      </c>
    </row>
    <row r="2653" spans="1:21" x14ac:dyDescent="0.25">
      <c r="A2653" t="s">
        <v>58</v>
      </c>
      <c r="B2653" t="s">
        <v>58</v>
      </c>
      <c r="C2653">
        <v>100</v>
      </c>
      <c r="D2653">
        <v>3</v>
      </c>
      <c r="E2653">
        <v>0</v>
      </c>
      <c r="F2653" t="s">
        <v>10085</v>
      </c>
      <c r="G2653">
        <v>327</v>
      </c>
      <c r="H2653">
        <v>29</v>
      </c>
      <c r="I2653" t="s">
        <v>445</v>
      </c>
      <c r="J2653" t="s">
        <v>4771</v>
      </c>
      <c r="K2653" t="s">
        <v>10086</v>
      </c>
      <c r="L2653" t="s">
        <v>3988</v>
      </c>
      <c r="M2653" t="s">
        <v>541</v>
      </c>
      <c r="N2653" t="s">
        <v>10083</v>
      </c>
      <c r="O2653" t="s">
        <v>27</v>
      </c>
      <c r="P2653" t="s">
        <v>84</v>
      </c>
      <c r="Q2653" t="s">
        <v>85</v>
      </c>
      <c r="R2653" t="s">
        <v>86</v>
      </c>
      <c r="S2653" t="s">
        <v>28</v>
      </c>
      <c r="T2653" t="s">
        <v>10087</v>
      </c>
      <c r="U2653" t="s">
        <v>10088</v>
      </c>
    </row>
    <row r="2654" spans="1:21" x14ac:dyDescent="0.25">
      <c r="A2654" t="s">
        <v>134</v>
      </c>
      <c r="B2654" t="s">
        <v>64</v>
      </c>
      <c r="C2654">
        <v>100</v>
      </c>
      <c r="D2654">
        <v>2</v>
      </c>
      <c r="E2654">
        <v>0</v>
      </c>
      <c r="F2654" t="s">
        <v>10089</v>
      </c>
      <c r="G2654">
        <v>200</v>
      </c>
      <c r="H2654">
        <v>0</v>
      </c>
      <c r="I2654" t="s">
        <v>24</v>
      </c>
      <c r="J2654" t="s">
        <v>10090</v>
      </c>
      <c r="K2654" t="s">
        <v>384</v>
      </c>
      <c r="L2654" t="s">
        <v>27</v>
      </c>
      <c r="M2654" t="s">
        <v>28</v>
      </c>
      <c r="N2654" t="s">
        <v>10088</v>
      </c>
      <c r="O2654" t="s">
        <v>27</v>
      </c>
      <c r="P2654" t="s">
        <v>39</v>
      </c>
      <c r="Q2654" t="s">
        <v>31</v>
      </c>
      <c r="R2654" t="s">
        <v>32</v>
      </c>
      <c r="S2654" t="s">
        <v>28</v>
      </c>
      <c r="T2654" t="s">
        <v>10091</v>
      </c>
      <c r="U2654" t="s">
        <v>10088</v>
      </c>
    </row>
    <row r="2655" spans="1:21" x14ac:dyDescent="0.25">
      <c r="A2655" t="s">
        <v>33</v>
      </c>
      <c r="B2655" t="s">
        <v>34</v>
      </c>
      <c r="C2655">
        <v>200</v>
      </c>
      <c r="D2655">
        <v>1</v>
      </c>
      <c r="E2655">
        <v>0</v>
      </c>
      <c r="F2655" t="s">
        <v>10092</v>
      </c>
      <c r="G2655">
        <v>245</v>
      </c>
      <c r="H2655">
        <v>45</v>
      </c>
      <c r="I2655" t="s">
        <v>445</v>
      </c>
      <c r="J2655" t="s">
        <v>10093</v>
      </c>
      <c r="K2655" t="s">
        <v>89</v>
      </c>
      <c r="L2655" t="s">
        <v>27</v>
      </c>
      <c r="M2655" t="s">
        <v>28</v>
      </c>
      <c r="N2655" t="s">
        <v>10094</v>
      </c>
      <c r="O2655" t="s">
        <v>27</v>
      </c>
      <c r="P2655" t="s">
        <v>39</v>
      </c>
      <c r="Q2655" t="s">
        <v>31</v>
      </c>
      <c r="R2655" t="s">
        <v>32</v>
      </c>
      <c r="S2655" t="s">
        <v>28</v>
      </c>
      <c r="T2655" t="s">
        <v>10095</v>
      </c>
      <c r="U2655" t="s">
        <v>10088</v>
      </c>
    </row>
    <row r="2656" spans="1:21" x14ac:dyDescent="0.25">
      <c r="A2656" t="s">
        <v>63</v>
      </c>
      <c r="B2656" t="s">
        <v>64</v>
      </c>
      <c r="C2656">
        <v>100</v>
      </c>
      <c r="D2656">
        <v>1</v>
      </c>
      <c r="E2656">
        <v>0</v>
      </c>
      <c r="F2656" t="s">
        <v>10096</v>
      </c>
      <c r="G2656">
        <v>100</v>
      </c>
      <c r="H2656">
        <v>0</v>
      </c>
      <c r="I2656" t="s">
        <v>140</v>
      </c>
      <c r="J2656" t="s">
        <v>10097</v>
      </c>
      <c r="K2656" t="s">
        <v>2243</v>
      </c>
      <c r="L2656" t="s">
        <v>27</v>
      </c>
      <c r="M2656" t="s">
        <v>28</v>
      </c>
      <c r="N2656" t="s">
        <v>10094</v>
      </c>
      <c r="O2656" t="s">
        <v>27</v>
      </c>
      <c r="P2656" t="s">
        <v>30</v>
      </c>
      <c r="Q2656" t="s">
        <v>31</v>
      </c>
      <c r="R2656" t="s">
        <v>32</v>
      </c>
      <c r="S2656" t="s">
        <v>28</v>
      </c>
      <c r="T2656" t="s">
        <v>10098</v>
      </c>
      <c r="U2656" t="s">
        <v>10094</v>
      </c>
    </row>
    <row r="2657" spans="1:21" x14ac:dyDescent="0.25">
      <c r="A2657" t="s">
        <v>33</v>
      </c>
      <c r="B2657" t="s">
        <v>34</v>
      </c>
      <c r="C2657">
        <v>200</v>
      </c>
      <c r="D2657">
        <v>1</v>
      </c>
      <c r="E2657">
        <v>0</v>
      </c>
      <c r="F2657" t="s">
        <v>10099</v>
      </c>
      <c r="G2657">
        <v>200</v>
      </c>
      <c r="H2657">
        <v>0</v>
      </c>
      <c r="I2657" t="s">
        <v>24</v>
      </c>
      <c r="J2657" t="s">
        <v>10100</v>
      </c>
      <c r="K2657" t="s">
        <v>273</v>
      </c>
      <c r="L2657" t="s">
        <v>27</v>
      </c>
      <c r="M2657" t="s">
        <v>28</v>
      </c>
      <c r="N2657" t="s">
        <v>10101</v>
      </c>
      <c r="O2657" t="s">
        <v>27</v>
      </c>
      <c r="P2657" t="s">
        <v>39</v>
      </c>
      <c r="Q2657" t="s">
        <v>31</v>
      </c>
      <c r="R2657" t="s">
        <v>32</v>
      </c>
      <c r="S2657" t="s">
        <v>28</v>
      </c>
      <c r="T2657" t="s">
        <v>10102</v>
      </c>
      <c r="U2657" t="s">
        <v>10101</v>
      </c>
    </row>
    <row r="2658" spans="1:21" x14ac:dyDescent="0.25">
      <c r="A2658" t="s">
        <v>63</v>
      </c>
      <c r="B2658" t="s">
        <v>64</v>
      </c>
      <c r="C2658">
        <v>100</v>
      </c>
      <c r="D2658">
        <v>1</v>
      </c>
      <c r="E2658">
        <v>0</v>
      </c>
      <c r="F2658" t="s">
        <v>10103</v>
      </c>
      <c r="G2658">
        <v>200</v>
      </c>
      <c r="H2658">
        <v>0</v>
      </c>
      <c r="I2658" t="s">
        <v>24</v>
      </c>
      <c r="J2658" t="s">
        <v>9663</v>
      </c>
      <c r="K2658" t="s">
        <v>67</v>
      </c>
      <c r="L2658" t="s">
        <v>27</v>
      </c>
      <c r="M2658" t="s">
        <v>28</v>
      </c>
      <c r="N2658" t="s">
        <v>10104</v>
      </c>
      <c r="O2658" t="s">
        <v>27</v>
      </c>
      <c r="P2658" t="s">
        <v>30</v>
      </c>
      <c r="Q2658" t="s">
        <v>31</v>
      </c>
      <c r="R2658" t="s">
        <v>32</v>
      </c>
      <c r="S2658" t="s">
        <v>28</v>
      </c>
      <c r="T2658" t="s">
        <v>10105</v>
      </c>
      <c r="U2658" t="s">
        <v>10104</v>
      </c>
    </row>
    <row r="2659" spans="1:21" x14ac:dyDescent="0.25">
      <c r="A2659" t="s">
        <v>134</v>
      </c>
      <c r="B2659" t="s">
        <v>64</v>
      </c>
      <c r="C2659">
        <v>100</v>
      </c>
      <c r="D2659">
        <v>1</v>
      </c>
      <c r="E2659">
        <v>0</v>
      </c>
      <c r="F2659" t="s">
        <v>10103</v>
      </c>
      <c r="G2659">
        <v>200</v>
      </c>
      <c r="H2659">
        <v>0</v>
      </c>
      <c r="I2659" t="s">
        <v>24</v>
      </c>
      <c r="J2659" t="s">
        <v>9663</v>
      </c>
      <c r="K2659" t="s">
        <v>67</v>
      </c>
      <c r="L2659" t="s">
        <v>27</v>
      </c>
      <c r="M2659" t="s">
        <v>28</v>
      </c>
      <c r="N2659" t="s">
        <v>10104</v>
      </c>
      <c r="O2659" t="s">
        <v>27</v>
      </c>
      <c r="P2659" t="s">
        <v>30</v>
      </c>
      <c r="Q2659" t="s">
        <v>31</v>
      </c>
      <c r="R2659" t="s">
        <v>32</v>
      </c>
      <c r="S2659" t="s">
        <v>28</v>
      </c>
      <c r="T2659" t="s">
        <v>10105</v>
      </c>
      <c r="U2659" t="s">
        <v>10104</v>
      </c>
    </row>
    <row r="2660" spans="1:21" x14ac:dyDescent="0.25">
      <c r="A2660" t="s">
        <v>33</v>
      </c>
      <c r="B2660" t="s">
        <v>34</v>
      </c>
      <c r="C2660">
        <v>200</v>
      </c>
      <c r="D2660">
        <v>1</v>
      </c>
      <c r="E2660">
        <v>0</v>
      </c>
      <c r="F2660" t="s">
        <v>10106</v>
      </c>
      <c r="G2660">
        <v>200</v>
      </c>
      <c r="H2660">
        <v>0</v>
      </c>
      <c r="I2660" t="s">
        <v>445</v>
      </c>
      <c r="J2660" t="s">
        <v>2271</v>
      </c>
      <c r="K2660" t="s">
        <v>26</v>
      </c>
      <c r="L2660" t="s">
        <v>27</v>
      </c>
      <c r="M2660" t="s">
        <v>28</v>
      </c>
      <c r="N2660" t="s">
        <v>10107</v>
      </c>
      <c r="O2660" t="s">
        <v>27</v>
      </c>
      <c r="P2660" t="s">
        <v>39</v>
      </c>
      <c r="Q2660" t="s">
        <v>31</v>
      </c>
      <c r="R2660" t="s">
        <v>32</v>
      </c>
      <c r="S2660" t="s">
        <v>28</v>
      </c>
      <c r="T2660" t="s">
        <v>10108</v>
      </c>
      <c r="U2660" t="s">
        <v>10107</v>
      </c>
    </row>
    <row r="2661" spans="1:21" x14ac:dyDescent="0.25">
      <c r="A2661" t="s">
        <v>143</v>
      </c>
      <c r="B2661" t="s">
        <v>144</v>
      </c>
      <c r="C2661">
        <v>200</v>
      </c>
      <c r="D2661">
        <v>1</v>
      </c>
      <c r="E2661">
        <v>0</v>
      </c>
      <c r="F2661" t="s">
        <v>10109</v>
      </c>
      <c r="G2661">
        <v>200</v>
      </c>
      <c r="H2661">
        <v>0</v>
      </c>
      <c r="I2661" t="s">
        <v>24</v>
      </c>
      <c r="J2661" t="s">
        <v>10110</v>
      </c>
      <c r="K2661" t="s">
        <v>241</v>
      </c>
      <c r="L2661" t="s">
        <v>27</v>
      </c>
      <c r="M2661" t="s">
        <v>28</v>
      </c>
      <c r="N2661" t="s">
        <v>10107</v>
      </c>
      <c r="O2661" t="s">
        <v>27</v>
      </c>
      <c r="P2661" t="s">
        <v>39</v>
      </c>
      <c r="Q2661" t="s">
        <v>31</v>
      </c>
      <c r="R2661" t="s">
        <v>32</v>
      </c>
      <c r="S2661" t="s">
        <v>28</v>
      </c>
      <c r="T2661" t="s">
        <v>10111</v>
      </c>
      <c r="U2661" t="s">
        <v>10107</v>
      </c>
    </row>
    <row r="2662" spans="1:21" x14ac:dyDescent="0.25">
      <c r="A2662" t="s">
        <v>1513</v>
      </c>
      <c r="B2662" t="s">
        <v>1514</v>
      </c>
      <c r="C2662">
        <v>400</v>
      </c>
      <c r="D2662">
        <v>1</v>
      </c>
      <c r="E2662">
        <v>0</v>
      </c>
      <c r="F2662" t="s">
        <v>10112</v>
      </c>
      <c r="G2662">
        <v>850</v>
      </c>
      <c r="H2662">
        <v>0</v>
      </c>
      <c r="I2662" t="s">
        <v>140</v>
      </c>
      <c r="J2662" t="s">
        <v>10113</v>
      </c>
      <c r="K2662" t="s">
        <v>73</v>
      </c>
      <c r="L2662" t="s">
        <v>27</v>
      </c>
      <c r="M2662" t="s">
        <v>28</v>
      </c>
      <c r="N2662" t="s">
        <v>10114</v>
      </c>
      <c r="O2662" t="s">
        <v>27</v>
      </c>
      <c r="P2662" t="s">
        <v>30</v>
      </c>
      <c r="Q2662" t="s">
        <v>31</v>
      </c>
      <c r="R2662" t="s">
        <v>32</v>
      </c>
      <c r="S2662" t="s">
        <v>28</v>
      </c>
      <c r="T2662" t="s">
        <v>10115</v>
      </c>
      <c r="U2662" t="s">
        <v>10114</v>
      </c>
    </row>
    <row r="2663" spans="1:21" x14ac:dyDescent="0.25">
      <c r="A2663" t="s">
        <v>58</v>
      </c>
      <c r="B2663" t="s">
        <v>58</v>
      </c>
      <c r="C2663">
        <v>100</v>
      </c>
      <c r="D2663">
        <v>1</v>
      </c>
      <c r="E2663">
        <v>0</v>
      </c>
      <c r="F2663" t="s">
        <v>10112</v>
      </c>
      <c r="G2663">
        <v>850</v>
      </c>
      <c r="H2663">
        <v>0</v>
      </c>
      <c r="I2663" t="s">
        <v>140</v>
      </c>
      <c r="J2663" t="s">
        <v>10113</v>
      </c>
      <c r="K2663" t="s">
        <v>73</v>
      </c>
      <c r="L2663" t="s">
        <v>27</v>
      </c>
      <c r="M2663" t="s">
        <v>28</v>
      </c>
      <c r="N2663" t="s">
        <v>10114</v>
      </c>
      <c r="O2663" t="s">
        <v>27</v>
      </c>
      <c r="P2663" t="s">
        <v>30</v>
      </c>
      <c r="Q2663" t="s">
        <v>31</v>
      </c>
      <c r="R2663" t="s">
        <v>32</v>
      </c>
      <c r="S2663" t="s">
        <v>28</v>
      </c>
      <c r="T2663" t="s">
        <v>10115</v>
      </c>
      <c r="U2663" t="s">
        <v>10114</v>
      </c>
    </row>
    <row r="2664" spans="1:21" x14ac:dyDescent="0.25">
      <c r="A2664" t="s">
        <v>70</v>
      </c>
      <c r="B2664" t="s">
        <v>70</v>
      </c>
      <c r="C2664">
        <v>350</v>
      </c>
      <c r="D2664">
        <v>1</v>
      </c>
      <c r="E2664">
        <v>0</v>
      </c>
      <c r="F2664" t="s">
        <v>10112</v>
      </c>
      <c r="G2664">
        <v>850</v>
      </c>
      <c r="H2664">
        <v>0</v>
      </c>
      <c r="I2664" t="s">
        <v>140</v>
      </c>
      <c r="J2664" t="s">
        <v>10113</v>
      </c>
      <c r="K2664" t="s">
        <v>73</v>
      </c>
      <c r="L2664" t="s">
        <v>27</v>
      </c>
      <c r="M2664" t="s">
        <v>28</v>
      </c>
      <c r="N2664" t="s">
        <v>10114</v>
      </c>
      <c r="O2664" t="s">
        <v>27</v>
      </c>
      <c r="P2664" t="s">
        <v>30</v>
      </c>
      <c r="Q2664" t="s">
        <v>31</v>
      </c>
      <c r="R2664" t="s">
        <v>32</v>
      </c>
      <c r="S2664" t="s">
        <v>28</v>
      </c>
      <c r="T2664" t="s">
        <v>10115</v>
      </c>
      <c r="U2664" t="s">
        <v>10114</v>
      </c>
    </row>
    <row r="2665" spans="1:21" x14ac:dyDescent="0.25">
      <c r="A2665" t="s">
        <v>58</v>
      </c>
      <c r="B2665" t="s">
        <v>58</v>
      </c>
      <c r="C2665">
        <v>100</v>
      </c>
      <c r="D2665">
        <v>1</v>
      </c>
      <c r="E2665">
        <v>0</v>
      </c>
      <c r="F2665" t="s">
        <v>10116</v>
      </c>
      <c r="G2665">
        <v>105</v>
      </c>
      <c r="H2665">
        <v>7</v>
      </c>
      <c r="I2665" t="s">
        <v>445</v>
      </c>
      <c r="J2665" t="s">
        <v>10117</v>
      </c>
      <c r="K2665" t="s">
        <v>10118</v>
      </c>
      <c r="L2665" t="s">
        <v>10119</v>
      </c>
      <c r="M2665" t="s">
        <v>1147</v>
      </c>
      <c r="N2665" t="s">
        <v>10045</v>
      </c>
      <c r="O2665" t="s">
        <v>27</v>
      </c>
      <c r="P2665" t="s">
        <v>84</v>
      </c>
      <c r="Q2665" t="s">
        <v>85</v>
      </c>
      <c r="R2665" t="s">
        <v>86</v>
      </c>
      <c r="S2665" t="s">
        <v>28</v>
      </c>
      <c r="T2665" t="s">
        <v>10120</v>
      </c>
      <c r="U2665" t="s">
        <v>10114</v>
      </c>
    </row>
    <row r="2666" spans="1:21" x14ac:dyDescent="0.25">
      <c r="A2666" t="s">
        <v>33</v>
      </c>
      <c r="B2666" t="s">
        <v>34</v>
      </c>
      <c r="C2666">
        <v>200</v>
      </c>
      <c r="D2666">
        <v>1</v>
      </c>
      <c r="E2666">
        <v>0</v>
      </c>
      <c r="F2666" t="s">
        <v>10121</v>
      </c>
      <c r="G2666">
        <v>200</v>
      </c>
      <c r="H2666">
        <v>0</v>
      </c>
      <c r="I2666" t="s">
        <v>24</v>
      </c>
      <c r="J2666" t="s">
        <v>1637</v>
      </c>
      <c r="K2666" t="s">
        <v>37</v>
      </c>
      <c r="L2666" t="s">
        <v>27</v>
      </c>
      <c r="M2666" t="s">
        <v>28</v>
      </c>
      <c r="N2666" t="s">
        <v>10122</v>
      </c>
      <c r="O2666" t="s">
        <v>27</v>
      </c>
      <c r="P2666" t="s">
        <v>39</v>
      </c>
      <c r="Q2666" t="s">
        <v>31</v>
      </c>
      <c r="R2666" t="s">
        <v>32</v>
      </c>
      <c r="S2666" t="s">
        <v>28</v>
      </c>
      <c r="T2666" t="s">
        <v>10123</v>
      </c>
      <c r="U2666" t="s">
        <v>10122</v>
      </c>
    </row>
    <row r="2667" spans="1:21" x14ac:dyDescent="0.25">
      <c r="A2667" t="s">
        <v>58</v>
      </c>
      <c r="B2667" t="s">
        <v>58</v>
      </c>
      <c r="C2667">
        <v>100</v>
      </c>
      <c r="D2667">
        <v>2</v>
      </c>
      <c r="E2667">
        <v>0</v>
      </c>
      <c r="F2667" t="s">
        <v>10124</v>
      </c>
      <c r="G2667">
        <v>400</v>
      </c>
      <c r="H2667">
        <v>0</v>
      </c>
      <c r="I2667" t="s">
        <v>24</v>
      </c>
      <c r="J2667" t="s">
        <v>10125</v>
      </c>
      <c r="K2667" t="s">
        <v>250</v>
      </c>
      <c r="L2667" t="s">
        <v>27</v>
      </c>
      <c r="M2667" t="s">
        <v>28</v>
      </c>
      <c r="N2667" t="s">
        <v>10126</v>
      </c>
      <c r="O2667" t="s">
        <v>27</v>
      </c>
      <c r="P2667" t="s">
        <v>39</v>
      </c>
      <c r="Q2667" t="s">
        <v>31</v>
      </c>
      <c r="R2667" t="s">
        <v>32</v>
      </c>
      <c r="S2667" t="s">
        <v>28</v>
      </c>
      <c r="T2667" t="s">
        <v>10127</v>
      </c>
      <c r="U2667" t="s">
        <v>10126</v>
      </c>
    </row>
    <row r="2668" spans="1:21" x14ac:dyDescent="0.25">
      <c r="A2668" t="s">
        <v>63</v>
      </c>
      <c r="B2668" t="s">
        <v>64</v>
      </c>
      <c r="C2668">
        <v>100</v>
      </c>
      <c r="D2668">
        <v>1</v>
      </c>
      <c r="E2668">
        <v>0</v>
      </c>
      <c r="F2668" t="s">
        <v>10124</v>
      </c>
      <c r="G2668">
        <v>400</v>
      </c>
      <c r="H2668">
        <v>0</v>
      </c>
      <c r="I2668" t="s">
        <v>24</v>
      </c>
      <c r="J2668" t="s">
        <v>10125</v>
      </c>
      <c r="K2668" t="s">
        <v>250</v>
      </c>
      <c r="L2668" t="s">
        <v>27</v>
      </c>
      <c r="M2668" t="s">
        <v>28</v>
      </c>
      <c r="N2668" t="s">
        <v>10126</v>
      </c>
      <c r="O2668" t="s">
        <v>27</v>
      </c>
      <c r="P2668" t="s">
        <v>39</v>
      </c>
      <c r="Q2668" t="s">
        <v>31</v>
      </c>
      <c r="R2668" t="s">
        <v>32</v>
      </c>
      <c r="S2668" t="s">
        <v>28</v>
      </c>
      <c r="T2668" t="s">
        <v>10127</v>
      </c>
      <c r="U2668" t="s">
        <v>10126</v>
      </c>
    </row>
    <row r="2669" spans="1:21" x14ac:dyDescent="0.25">
      <c r="A2669" t="s">
        <v>134</v>
      </c>
      <c r="B2669" t="s">
        <v>64</v>
      </c>
      <c r="C2669">
        <v>100</v>
      </c>
      <c r="D2669">
        <v>1</v>
      </c>
      <c r="E2669">
        <v>0</v>
      </c>
      <c r="F2669" t="s">
        <v>10124</v>
      </c>
      <c r="G2669">
        <v>400</v>
      </c>
      <c r="H2669">
        <v>0</v>
      </c>
      <c r="I2669" t="s">
        <v>24</v>
      </c>
      <c r="J2669" t="s">
        <v>10125</v>
      </c>
      <c r="K2669" t="s">
        <v>250</v>
      </c>
      <c r="L2669" t="s">
        <v>27</v>
      </c>
      <c r="M2669" t="s">
        <v>28</v>
      </c>
      <c r="N2669" t="s">
        <v>10126</v>
      </c>
      <c r="O2669" t="s">
        <v>27</v>
      </c>
      <c r="P2669" t="s">
        <v>39</v>
      </c>
      <c r="Q2669" t="s">
        <v>31</v>
      </c>
      <c r="R2669" t="s">
        <v>32</v>
      </c>
      <c r="S2669" t="s">
        <v>28</v>
      </c>
      <c r="T2669" t="s">
        <v>10127</v>
      </c>
      <c r="U2669" t="s">
        <v>10126</v>
      </c>
    </row>
    <row r="2670" spans="1:21" x14ac:dyDescent="0.25">
      <c r="A2670" t="s">
        <v>33</v>
      </c>
      <c r="B2670" t="s">
        <v>34</v>
      </c>
      <c r="C2670">
        <v>200</v>
      </c>
      <c r="D2670">
        <v>1</v>
      </c>
      <c r="E2670">
        <v>0</v>
      </c>
      <c r="F2670" t="s">
        <v>10128</v>
      </c>
      <c r="G2670">
        <v>200</v>
      </c>
      <c r="H2670">
        <v>0</v>
      </c>
      <c r="I2670" t="s">
        <v>445</v>
      </c>
      <c r="J2670" t="s">
        <v>9647</v>
      </c>
      <c r="K2670" t="s">
        <v>89</v>
      </c>
      <c r="L2670" t="s">
        <v>27</v>
      </c>
      <c r="M2670" t="s">
        <v>28</v>
      </c>
      <c r="N2670" t="s">
        <v>10129</v>
      </c>
      <c r="O2670" t="s">
        <v>27</v>
      </c>
      <c r="P2670" t="s">
        <v>39</v>
      </c>
      <c r="Q2670" t="s">
        <v>31</v>
      </c>
      <c r="R2670" t="s">
        <v>32</v>
      </c>
      <c r="S2670" t="s">
        <v>28</v>
      </c>
      <c r="T2670" t="s">
        <v>10130</v>
      </c>
      <c r="U2670" t="s">
        <v>10131</v>
      </c>
    </row>
    <row r="2671" spans="1:21" x14ac:dyDescent="0.25">
      <c r="A2671" t="s">
        <v>456</v>
      </c>
      <c r="B2671" t="s">
        <v>457</v>
      </c>
      <c r="C2671">
        <v>199</v>
      </c>
      <c r="D2671">
        <v>1</v>
      </c>
      <c r="E2671">
        <v>0</v>
      </c>
      <c r="F2671" t="s">
        <v>10132</v>
      </c>
      <c r="G2671">
        <v>244</v>
      </c>
      <c r="H2671">
        <v>45</v>
      </c>
      <c r="I2671" t="s">
        <v>24</v>
      </c>
      <c r="J2671" t="s">
        <v>1144</v>
      </c>
      <c r="K2671" t="s">
        <v>1145</v>
      </c>
      <c r="L2671" t="s">
        <v>1146</v>
      </c>
      <c r="M2671" t="s">
        <v>1147</v>
      </c>
      <c r="N2671" t="s">
        <v>10133</v>
      </c>
      <c r="O2671" t="s">
        <v>27</v>
      </c>
      <c r="P2671" t="s">
        <v>84</v>
      </c>
      <c r="Q2671" t="s">
        <v>85</v>
      </c>
      <c r="R2671" t="s">
        <v>86</v>
      </c>
      <c r="S2671" t="s">
        <v>28</v>
      </c>
      <c r="T2671" t="s">
        <v>10134</v>
      </c>
      <c r="U2671" t="s">
        <v>10133</v>
      </c>
    </row>
    <row r="2672" spans="1:21" x14ac:dyDescent="0.25">
      <c r="A2672" t="s">
        <v>143</v>
      </c>
      <c r="B2672" t="s">
        <v>144</v>
      </c>
      <c r="C2672">
        <v>200</v>
      </c>
      <c r="D2672">
        <v>1</v>
      </c>
      <c r="E2672">
        <v>0</v>
      </c>
      <c r="F2672" t="s">
        <v>10135</v>
      </c>
      <c r="G2672">
        <v>200</v>
      </c>
      <c r="H2672">
        <v>0</v>
      </c>
      <c r="I2672" t="s">
        <v>140</v>
      </c>
      <c r="J2672" t="s">
        <v>10136</v>
      </c>
      <c r="K2672" t="s">
        <v>247</v>
      </c>
      <c r="L2672" t="s">
        <v>27</v>
      </c>
      <c r="M2672" t="s">
        <v>28</v>
      </c>
      <c r="N2672" t="s">
        <v>10137</v>
      </c>
      <c r="O2672" t="s">
        <v>27</v>
      </c>
      <c r="P2672" t="s">
        <v>369</v>
      </c>
      <c r="Q2672" t="s">
        <v>31</v>
      </c>
      <c r="R2672" t="s">
        <v>57</v>
      </c>
      <c r="S2672" t="s">
        <v>28</v>
      </c>
      <c r="T2672" t="s">
        <v>10138</v>
      </c>
      <c r="U2672" t="s">
        <v>10137</v>
      </c>
    </row>
    <row r="2673" spans="1:21" x14ac:dyDescent="0.25">
      <c r="A2673" t="s">
        <v>134</v>
      </c>
      <c r="B2673" t="s">
        <v>64</v>
      </c>
      <c r="C2673">
        <v>100</v>
      </c>
      <c r="D2673">
        <v>2</v>
      </c>
      <c r="E2673">
        <v>0</v>
      </c>
      <c r="F2673" t="s">
        <v>10139</v>
      </c>
      <c r="G2673">
        <v>200</v>
      </c>
      <c r="H2673">
        <v>0</v>
      </c>
      <c r="I2673" t="s">
        <v>140</v>
      </c>
      <c r="J2673" t="s">
        <v>4763</v>
      </c>
      <c r="K2673" t="s">
        <v>26</v>
      </c>
      <c r="L2673" t="s">
        <v>27</v>
      </c>
      <c r="M2673" t="s">
        <v>28</v>
      </c>
      <c r="N2673" t="s">
        <v>10140</v>
      </c>
      <c r="O2673" t="s">
        <v>27</v>
      </c>
      <c r="P2673" t="s">
        <v>30</v>
      </c>
      <c r="Q2673" t="s">
        <v>31</v>
      </c>
      <c r="R2673" t="s">
        <v>32</v>
      </c>
      <c r="S2673" t="s">
        <v>28</v>
      </c>
      <c r="T2673" t="s">
        <v>10141</v>
      </c>
      <c r="U2673" t="s">
        <v>10140</v>
      </c>
    </row>
    <row r="2674" spans="1:21" x14ac:dyDescent="0.25">
      <c r="A2674" t="s">
        <v>63</v>
      </c>
      <c r="B2674" t="s">
        <v>64</v>
      </c>
      <c r="C2674">
        <v>100</v>
      </c>
      <c r="D2674">
        <v>1</v>
      </c>
      <c r="E2674">
        <v>0</v>
      </c>
      <c r="F2674" t="s">
        <v>10142</v>
      </c>
      <c r="G2674">
        <v>200</v>
      </c>
      <c r="H2674">
        <v>0</v>
      </c>
      <c r="I2674" t="s">
        <v>24</v>
      </c>
      <c r="J2674" t="s">
        <v>10143</v>
      </c>
      <c r="K2674" t="s">
        <v>213</v>
      </c>
      <c r="L2674" t="s">
        <v>27</v>
      </c>
      <c r="M2674" t="s">
        <v>28</v>
      </c>
      <c r="N2674" t="s">
        <v>10144</v>
      </c>
      <c r="O2674" t="s">
        <v>27</v>
      </c>
      <c r="P2674" t="s">
        <v>39</v>
      </c>
      <c r="Q2674" t="s">
        <v>31</v>
      </c>
      <c r="R2674" t="s">
        <v>32</v>
      </c>
      <c r="S2674" t="s">
        <v>28</v>
      </c>
      <c r="T2674" t="s">
        <v>10145</v>
      </c>
      <c r="U2674" t="s">
        <v>10144</v>
      </c>
    </row>
    <row r="2675" spans="1:21" x14ac:dyDescent="0.25">
      <c r="A2675" t="s">
        <v>134</v>
      </c>
      <c r="B2675" t="s">
        <v>64</v>
      </c>
      <c r="C2675">
        <v>100</v>
      </c>
      <c r="D2675">
        <v>1</v>
      </c>
      <c r="E2675">
        <v>0</v>
      </c>
      <c r="F2675" t="s">
        <v>10142</v>
      </c>
      <c r="G2675">
        <v>200</v>
      </c>
      <c r="H2675">
        <v>0</v>
      </c>
      <c r="I2675" t="s">
        <v>24</v>
      </c>
      <c r="J2675" t="s">
        <v>10143</v>
      </c>
      <c r="K2675" t="s">
        <v>213</v>
      </c>
      <c r="L2675" t="s">
        <v>27</v>
      </c>
      <c r="M2675" t="s">
        <v>28</v>
      </c>
      <c r="N2675" t="s">
        <v>10144</v>
      </c>
      <c r="O2675" t="s">
        <v>27</v>
      </c>
      <c r="P2675" t="s">
        <v>39</v>
      </c>
      <c r="Q2675" t="s">
        <v>31</v>
      </c>
      <c r="R2675" t="s">
        <v>32</v>
      </c>
      <c r="S2675" t="s">
        <v>28</v>
      </c>
      <c r="T2675" t="s">
        <v>10145</v>
      </c>
      <c r="U2675" t="s">
        <v>10144</v>
      </c>
    </row>
    <row r="2676" spans="1:21" x14ac:dyDescent="0.25">
      <c r="A2676" t="s">
        <v>63</v>
      </c>
      <c r="B2676" t="s">
        <v>64</v>
      </c>
      <c r="C2676">
        <v>100</v>
      </c>
      <c r="D2676">
        <v>1</v>
      </c>
      <c r="E2676">
        <v>0</v>
      </c>
      <c r="F2676" t="s">
        <v>10146</v>
      </c>
      <c r="G2676">
        <v>106</v>
      </c>
      <c r="H2676">
        <v>6</v>
      </c>
      <c r="I2676" t="s">
        <v>140</v>
      </c>
      <c r="J2676" t="s">
        <v>1861</v>
      </c>
      <c r="K2676" t="s">
        <v>325</v>
      </c>
      <c r="L2676" t="s">
        <v>27</v>
      </c>
      <c r="M2676" t="s">
        <v>28</v>
      </c>
      <c r="N2676" t="s">
        <v>10147</v>
      </c>
      <c r="O2676" t="s">
        <v>27</v>
      </c>
      <c r="P2676" t="s">
        <v>30</v>
      </c>
      <c r="Q2676" t="s">
        <v>31</v>
      </c>
      <c r="R2676" t="s">
        <v>32</v>
      </c>
      <c r="S2676" t="s">
        <v>28</v>
      </c>
      <c r="T2676" t="s">
        <v>10148</v>
      </c>
      <c r="U2676" t="s">
        <v>10147</v>
      </c>
    </row>
    <row r="2677" spans="1:21" x14ac:dyDescent="0.25">
      <c r="A2677" t="s">
        <v>70</v>
      </c>
      <c r="B2677" t="s">
        <v>70</v>
      </c>
      <c r="C2677">
        <v>330</v>
      </c>
      <c r="D2677">
        <v>1</v>
      </c>
      <c r="E2677">
        <v>0</v>
      </c>
      <c r="F2677" t="s">
        <v>10149</v>
      </c>
      <c r="G2677">
        <v>330</v>
      </c>
      <c r="H2677">
        <v>0</v>
      </c>
      <c r="I2677" t="s">
        <v>24</v>
      </c>
      <c r="J2677" t="s">
        <v>10150</v>
      </c>
      <c r="K2677" t="s">
        <v>797</v>
      </c>
      <c r="L2677" t="s">
        <v>27</v>
      </c>
      <c r="M2677" t="s">
        <v>28</v>
      </c>
      <c r="N2677" t="s">
        <v>10151</v>
      </c>
      <c r="O2677" t="s">
        <v>27</v>
      </c>
      <c r="P2677" t="s">
        <v>39</v>
      </c>
      <c r="Q2677" t="s">
        <v>31</v>
      </c>
      <c r="R2677" t="s">
        <v>32</v>
      </c>
      <c r="S2677" t="s">
        <v>28</v>
      </c>
      <c r="T2677" t="s">
        <v>10152</v>
      </c>
      <c r="U2677" t="s">
        <v>10151</v>
      </c>
    </row>
    <row r="2678" spans="1:21" x14ac:dyDescent="0.25">
      <c r="A2678" t="s">
        <v>143</v>
      </c>
      <c r="B2678" t="s">
        <v>144</v>
      </c>
      <c r="C2678">
        <v>200</v>
      </c>
      <c r="D2678">
        <v>1</v>
      </c>
      <c r="E2678">
        <v>0</v>
      </c>
      <c r="F2678" t="s">
        <v>10153</v>
      </c>
      <c r="G2678">
        <v>200</v>
      </c>
      <c r="H2678">
        <v>0</v>
      </c>
      <c r="I2678" t="s">
        <v>24</v>
      </c>
      <c r="J2678" t="s">
        <v>10154</v>
      </c>
      <c r="K2678" t="s">
        <v>1989</v>
      </c>
      <c r="L2678" t="s">
        <v>27</v>
      </c>
      <c r="M2678" t="s">
        <v>28</v>
      </c>
      <c r="N2678" t="s">
        <v>10155</v>
      </c>
      <c r="O2678" t="s">
        <v>27</v>
      </c>
      <c r="P2678" t="s">
        <v>39</v>
      </c>
      <c r="Q2678" t="s">
        <v>31</v>
      </c>
      <c r="R2678" t="s">
        <v>32</v>
      </c>
      <c r="S2678" t="s">
        <v>28</v>
      </c>
      <c r="T2678" t="s">
        <v>10156</v>
      </c>
      <c r="U2678" t="s">
        <v>10155</v>
      </c>
    </row>
    <row r="2679" spans="1:21" x14ac:dyDescent="0.25">
      <c r="A2679" t="s">
        <v>70</v>
      </c>
      <c r="B2679" t="s">
        <v>70</v>
      </c>
      <c r="C2679">
        <v>330</v>
      </c>
      <c r="D2679">
        <v>1</v>
      </c>
      <c r="E2679">
        <v>0</v>
      </c>
      <c r="F2679" t="s">
        <v>10157</v>
      </c>
      <c r="G2679">
        <v>330</v>
      </c>
      <c r="H2679">
        <v>0</v>
      </c>
      <c r="I2679" t="s">
        <v>24</v>
      </c>
      <c r="J2679" t="s">
        <v>10158</v>
      </c>
      <c r="K2679" t="s">
        <v>919</v>
      </c>
      <c r="L2679" t="s">
        <v>27</v>
      </c>
      <c r="M2679" t="s">
        <v>28</v>
      </c>
      <c r="N2679" t="s">
        <v>10155</v>
      </c>
      <c r="O2679" t="s">
        <v>27</v>
      </c>
      <c r="P2679" t="s">
        <v>39</v>
      </c>
      <c r="Q2679" t="s">
        <v>31</v>
      </c>
      <c r="R2679" t="s">
        <v>32</v>
      </c>
      <c r="S2679" t="s">
        <v>28</v>
      </c>
      <c r="T2679" t="s">
        <v>10159</v>
      </c>
      <c r="U2679" t="s">
        <v>10155</v>
      </c>
    </row>
    <row r="2680" spans="1:21" x14ac:dyDescent="0.25">
      <c r="A2680" t="s">
        <v>1353</v>
      </c>
      <c r="B2680" t="s">
        <v>1354</v>
      </c>
      <c r="C2680">
        <v>153</v>
      </c>
      <c r="D2680">
        <v>1</v>
      </c>
      <c r="E2680">
        <v>0</v>
      </c>
      <c r="F2680" t="s">
        <v>10160</v>
      </c>
      <c r="G2680">
        <v>565.5</v>
      </c>
      <c r="H2680">
        <v>64</v>
      </c>
      <c r="I2680" t="s">
        <v>105</v>
      </c>
      <c r="J2680" t="s">
        <v>10161</v>
      </c>
      <c r="K2680" t="s">
        <v>10162</v>
      </c>
      <c r="L2680" t="s">
        <v>5598</v>
      </c>
      <c r="M2680" t="s">
        <v>10163</v>
      </c>
      <c r="N2680" t="s">
        <v>10155</v>
      </c>
      <c r="O2680" t="s">
        <v>27</v>
      </c>
      <c r="P2680" t="s">
        <v>48</v>
      </c>
      <c r="Q2680" t="s">
        <v>49</v>
      </c>
      <c r="R2680" t="s">
        <v>50</v>
      </c>
      <c r="S2680" t="s">
        <v>28</v>
      </c>
      <c r="T2680" t="s">
        <v>10164</v>
      </c>
      <c r="U2680" t="s">
        <v>10165</v>
      </c>
    </row>
    <row r="2681" spans="1:21" x14ac:dyDescent="0.25">
      <c r="A2681" t="s">
        <v>195</v>
      </c>
      <c r="B2681" t="s">
        <v>4787</v>
      </c>
      <c r="C2681">
        <v>191.25</v>
      </c>
      <c r="D2681">
        <v>1</v>
      </c>
      <c r="E2681">
        <v>0</v>
      </c>
      <c r="F2681" t="s">
        <v>10160</v>
      </c>
      <c r="G2681">
        <v>565.5</v>
      </c>
      <c r="H2681">
        <v>64</v>
      </c>
      <c r="I2681" t="s">
        <v>105</v>
      </c>
      <c r="J2681" t="s">
        <v>10161</v>
      </c>
      <c r="K2681" t="s">
        <v>10162</v>
      </c>
      <c r="L2681" t="s">
        <v>5598</v>
      </c>
      <c r="M2681" t="s">
        <v>10163</v>
      </c>
      <c r="N2681" t="s">
        <v>10155</v>
      </c>
      <c r="O2681" t="s">
        <v>27</v>
      </c>
      <c r="P2681" t="s">
        <v>48</v>
      </c>
      <c r="Q2681" t="s">
        <v>49</v>
      </c>
      <c r="R2681" t="s">
        <v>50</v>
      </c>
      <c r="S2681" t="s">
        <v>28</v>
      </c>
      <c r="T2681" t="s">
        <v>10164</v>
      </c>
      <c r="U2681" t="s">
        <v>10165</v>
      </c>
    </row>
    <row r="2682" spans="1:21" x14ac:dyDescent="0.25">
      <c r="A2682" t="s">
        <v>58</v>
      </c>
      <c r="B2682" t="s">
        <v>103</v>
      </c>
      <c r="C2682">
        <v>89.25</v>
      </c>
      <c r="D2682">
        <v>1</v>
      </c>
      <c r="E2682">
        <v>0</v>
      </c>
      <c r="F2682" t="s">
        <v>10160</v>
      </c>
      <c r="G2682">
        <v>565.5</v>
      </c>
      <c r="H2682">
        <v>64</v>
      </c>
      <c r="I2682" t="s">
        <v>105</v>
      </c>
      <c r="J2682" t="s">
        <v>10161</v>
      </c>
      <c r="K2682" t="s">
        <v>10162</v>
      </c>
      <c r="L2682" t="s">
        <v>5598</v>
      </c>
      <c r="M2682" t="s">
        <v>10163</v>
      </c>
      <c r="N2682" t="s">
        <v>10155</v>
      </c>
      <c r="O2682" t="s">
        <v>27</v>
      </c>
      <c r="P2682" t="s">
        <v>48</v>
      </c>
      <c r="Q2682" t="s">
        <v>49</v>
      </c>
      <c r="R2682" t="s">
        <v>50</v>
      </c>
      <c r="S2682" t="s">
        <v>28</v>
      </c>
      <c r="T2682" t="s">
        <v>10164</v>
      </c>
      <c r="U2682" t="s">
        <v>10165</v>
      </c>
    </row>
    <row r="2683" spans="1:21" x14ac:dyDescent="0.25">
      <c r="A2683" t="s">
        <v>143</v>
      </c>
      <c r="B2683" t="s">
        <v>144</v>
      </c>
      <c r="C2683">
        <v>200</v>
      </c>
      <c r="D2683">
        <v>1</v>
      </c>
      <c r="E2683">
        <v>0</v>
      </c>
      <c r="F2683" t="s">
        <v>10166</v>
      </c>
      <c r="G2683">
        <v>200</v>
      </c>
      <c r="H2683">
        <v>0</v>
      </c>
      <c r="I2683" t="s">
        <v>24</v>
      </c>
      <c r="J2683" t="s">
        <v>10167</v>
      </c>
      <c r="K2683" t="s">
        <v>466</v>
      </c>
      <c r="L2683" t="s">
        <v>27</v>
      </c>
      <c r="M2683" t="s">
        <v>28</v>
      </c>
      <c r="N2683" t="s">
        <v>10168</v>
      </c>
      <c r="O2683" t="s">
        <v>27</v>
      </c>
      <c r="P2683" t="s">
        <v>39</v>
      </c>
      <c r="Q2683" t="s">
        <v>31</v>
      </c>
      <c r="R2683" t="s">
        <v>32</v>
      </c>
      <c r="S2683" t="s">
        <v>28</v>
      </c>
      <c r="T2683" t="s">
        <v>10169</v>
      </c>
      <c r="U2683" t="s">
        <v>10168</v>
      </c>
    </row>
    <row r="2684" spans="1:21" x14ac:dyDescent="0.25">
      <c r="A2684" t="s">
        <v>143</v>
      </c>
      <c r="B2684" t="s">
        <v>144</v>
      </c>
      <c r="C2684">
        <v>200</v>
      </c>
      <c r="D2684">
        <v>1</v>
      </c>
      <c r="E2684">
        <v>0</v>
      </c>
      <c r="F2684" t="s">
        <v>10170</v>
      </c>
      <c r="G2684">
        <v>200</v>
      </c>
      <c r="H2684">
        <v>0</v>
      </c>
      <c r="I2684" t="s">
        <v>140</v>
      </c>
      <c r="J2684" t="s">
        <v>10171</v>
      </c>
      <c r="K2684" t="s">
        <v>118</v>
      </c>
      <c r="L2684" t="s">
        <v>27</v>
      </c>
      <c r="M2684" t="s">
        <v>28</v>
      </c>
      <c r="N2684" t="s">
        <v>10172</v>
      </c>
      <c r="O2684" t="s">
        <v>27</v>
      </c>
      <c r="P2684" t="s">
        <v>369</v>
      </c>
      <c r="Q2684" t="s">
        <v>31</v>
      </c>
      <c r="R2684" t="s">
        <v>57</v>
      </c>
      <c r="S2684" t="s">
        <v>28</v>
      </c>
      <c r="T2684" t="s">
        <v>10173</v>
      </c>
      <c r="U2684" t="s">
        <v>10168</v>
      </c>
    </row>
    <row r="2685" spans="1:21" x14ac:dyDescent="0.25">
      <c r="A2685" t="s">
        <v>63</v>
      </c>
      <c r="B2685" t="s">
        <v>64</v>
      </c>
      <c r="C2685">
        <v>100</v>
      </c>
      <c r="D2685">
        <v>2</v>
      </c>
      <c r="E2685">
        <v>0</v>
      </c>
      <c r="F2685" t="s">
        <v>10174</v>
      </c>
      <c r="G2685">
        <v>200</v>
      </c>
      <c r="H2685">
        <v>0</v>
      </c>
      <c r="I2685" t="s">
        <v>24</v>
      </c>
      <c r="J2685" t="s">
        <v>10175</v>
      </c>
      <c r="K2685" t="s">
        <v>37</v>
      </c>
      <c r="L2685" t="s">
        <v>27</v>
      </c>
      <c r="M2685" t="s">
        <v>28</v>
      </c>
      <c r="N2685" t="s">
        <v>10168</v>
      </c>
      <c r="O2685" t="s">
        <v>27</v>
      </c>
      <c r="P2685" t="s">
        <v>56</v>
      </c>
      <c r="Q2685" t="s">
        <v>31</v>
      </c>
      <c r="R2685" t="s">
        <v>57</v>
      </c>
      <c r="S2685" t="s">
        <v>28</v>
      </c>
      <c r="T2685" t="s">
        <v>10176</v>
      </c>
      <c r="U2685" t="s">
        <v>10172</v>
      </c>
    </row>
    <row r="2686" spans="1:21" x14ac:dyDescent="0.25">
      <c r="A2686" t="s">
        <v>63</v>
      </c>
      <c r="B2686" t="s">
        <v>64</v>
      </c>
      <c r="C2686">
        <v>100</v>
      </c>
      <c r="D2686">
        <v>1</v>
      </c>
      <c r="E2686">
        <v>0</v>
      </c>
      <c r="F2686" t="s">
        <v>10177</v>
      </c>
      <c r="G2686">
        <v>200</v>
      </c>
      <c r="H2686">
        <v>0</v>
      </c>
      <c r="I2686" t="s">
        <v>24</v>
      </c>
      <c r="J2686" t="s">
        <v>10178</v>
      </c>
      <c r="K2686" t="s">
        <v>384</v>
      </c>
      <c r="L2686" t="s">
        <v>27</v>
      </c>
      <c r="M2686" t="s">
        <v>28</v>
      </c>
      <c r="N2686" t="s">
        <v>10179</v>
      </c>
      <c r="O2686" t="s">
        <v>27</v>
      </c>
      <c r="P2686" t="s">
        <v>56</v>
      </c>
      <c r="Q2686" t="s">
        <v>31</v>
      </c>
      <c r="R2686" t="s">
        <v>57</v>
      </c>
      <c r="S2686" t="s">
        <v>28</v>
      </c>
      <c r="T2686" t="s">
        <v>10180</v>
      </c>
      <c r="U2686" t="s">
        <v>10181</v>
      </c>
    </row>
    <row r="2687" spans="1:21" x14ac:dyDescent="0.25">
      <c r="A2687" t="s">
        <v>134</v>
      </c>
      <c r="B2687" t="s">
        <v>64</v>
      </c>
      <c r="C2687">
        <v>100</v>
      </c>
      <c r="D2687">
        <v>1</v>
      </c>
      <c r="E2687">
        <v>0</v>
      </c>
      <c r="F2687" t="s">
        <v>10177</v>
      </c>
      <c r="G2687">
        <v>200</v>
      </c>
      <c r="H2687">
        <v>0</v>
      </c>
      <c r="I2687" t="s">
        <v>24</v>
      </c>
      <c r="J2687" t="s">
        <v>10178</v>
      </c>
      <c r="K2687" t="s">
        <v>384</v>
      </c>
      <c r="L2687" t="s">
        <v>27</v>
      </c>
      <c r="M2687" t="s">
        <v>28</v>
      </c>
      <c r="N2687" t="s">
        <v>10179</v>
      </c>
      <c r="O2687" t="s">
        <v>27</v>
      </c>
      <c r="P2687" t="s">
        <v>56</v>
      </c>
      <c r="Q2687" t="s">
        <v>31</v>
      </c>
      <c r="R2687" t="s">
        <v>57</v>
      </c>
      <c r="S2687" t="s">
        <v>28</v>
      </c>
      <c r="T2687" t="s">
        <v>10180</v>
      </c>
      <c r="U2687" t="s">
        <v>10181</v>
      </c>
    </row>
    <row r="2688" spans="1:21" x14ac:dyDescent="0.25">
      <c r="A2688" t="s">
        <v>21</v>
      </c>
      <c r="B2688" t="s">
        <v>22</v>
      </c>
      <c r="C2688">
        <v>100</v>
      </c>
      <c r="D2688">
        <v>2</v>
      </c>
      <c r="E2688">
        <v>0</v>
      </c>
      <c r="F2688" t="s">
        <v>10182</v>
      </c>
      <c r="G2688">
        <v>206</v>
      </c>
      <c r="H2688">
        <v>6</v>
      </c>
      <c r="I2688" t="s">
        <v>140</v>
      </c>
      <c r="J2688" t="s">
        <v>10183</v>
      </c>
      <c r="K2688" t="s">
        <v>37</v>
      </c>
      <c r="L2688" t="s">
        <v>27</v>
      </c>
      <c r="M2688" t="s">
        <v>28</v>
      </c>
      <c r="N2688" t="s">
        <v>10184</v>
      </c>
      <c r="O2688" t="s">
        <v>27</v>
      </c>
      <c r="P2688" t="s">
        <v>30</v>
      </c>
      <c r="Q2688" t="s">
        <v>31</v>
      </c>
      <c r="R2688" t="s">
        <v>32</v>
      </c>
      <c r="S2688" t="s">
        <v>28</v>
      </c>
      <c r="T2688" t="s">
        <v>10185</v>
      </c>
      <c r="U2688" t="s">
        <v>10184</v>
      </c>
    </row>
    <row r="2689" spans="1:21" x14ac:dyDescent="0.25">
      <c r="A2689" t="s">
        <v>58</v>
      </c>
      <c r="B2689" t="s">
        <v>58</v>
      </c>
      <c r="C2689">
        <v>100</v>
      </c>
      <c r="D2689">
        <v>2</v>
      </c>
      <c r="E2689">
        <v>0</v>
      </c>
      <c r="F2689" t="s">
        <v>10186</v>
      </c>
      <c r="G2689">
        <v>264</v>
      </c>
      <c r="H2689">
        <v>29</v>
      </c>
      <c r="I2689" t="s">
        <v>445</v>
      </c>
      <c r="J2689" t="s">
        <v>10187</v>
      </c>
      <c r="K2689" t="s">
        <v>10188</v>
      </c>
      <c r="L2689" t="s">
        <v>2557</v>
      </c>
      <c r="M2689" t="s">
        <v>2411</v>
      </c>
      <c r="N2689" t="s">
        <v>10189</v>
      </c>
      <c r="O2689" t="s">
        <v>27</v>
      </c>
      <c r="P2689" t="s">
        <v>84</v>
      </c>
      <c r="Q2689" t="s">
        <v>85</v>
      </c>
      <c r="R2689" t="s">
        <v>86</v>
      </c>
      <c r="S2689" t="s">
        <v>28</v>
      </c>
      <c r="T2689" t="s">
        <v>10190</v>
      </c>
      <c r="U2689" t="s">
        <v>10191</v>
      </c>
    </row>
    <row r="2690" spans="1:21" x14ac:dyDescent="0.25">
      <c r="A2690" t="s">
        <v>33</v>
      </c>
      <c r="B2690" t="s">
        <v>34</v>
      </c>
      <c r="C2690">
        <v>200</v>
      </c>
      <c r="D2690">
        <v>5</v>
      </c>
      <c r="E2690">
        <v>0</v>
      </c>
      <c r="F2690" t="s">
        <v>10192</v>
      </c>
      <c r="G2690">
        <v>1000</v>
      </c>
      <c r="H2690">
        <v>0</v>
      </c>
      <c r="I2690" t="s">
        <v>445</v>
      </c>
      <c r="J2690" t="s">
        <v>10193</v>
      </c>
      <c r="K2690" t="s">
        <v>791</v>
      </c>
      <c r="L2690" t="s">
        <v>27</v>
      </c>
      <c r="M2690" t="s">
        <v>28</v>
      </c>
      <c r="N2690" t="s">
        <v>10191</v>
      </c>
      <c r="O2690" t="s">
        <v>27</v>
      </c>
      <c r="P2690" t="s">
        <v>56</v>
      </c>
      <c r="Q2690" t="s">
        <v>31</v>
      </c>
      <c r="R2690" t="s">
        <v>57</v>
      </c>
      <c r="S2690" t="s">
        <v>28</v>
      </c>
      <c r="T2690" t="s">
        <v>10194</v>
      </c>
      <c r="U2690" t="s">
        <v>10191</v>
      </c>
    </row>
    <row r="2691" spans="1:21" x14ac:dyDescent="0.25">
      <c r="A2691" t="s">
        <v>134</v>
      </c>
      <c r="B2691" t="s">
        <v>64</v>
      </c>
      <c r="C2691">
        <v>100</v>
      </c>
      <c r="D2691">
        <v>1</v>
      </c>
      <c r="E2691">
        <v>0</v>
      </c>
      <c r="F2691" t="s">
        <v>10195</v>
      </c>
      <c r="G2691">
        <v>200</v>
      </c>
      <c r="H2691">
        <v>0</v>
      </c>
      <c r="I2691" t="s">
        <v>445</v>
      </c>
      <c r="J2691" t="s">
        <v>10196</v>
      </c>
      <c r="K2691" t="s">
        <v>247</v>
      </c>
      <c r="L2691" t="s">
        <v>27</v>
      </c>
      <c r="M2691" t="s">
        <v>28</v>
      </c>
      <c r="N2691" t="s">
        <v>10197</v>
      </c>
      <c r="O2691" t="s">
        <v>27</v>
      </c>
      <c r="P2691" t="s">
        <v>56</v>
      </c>
      <c r="Q2691" t="s">
        <v>31</v>
      </c>
      <c r="R2691" t="s">
        <v>57</v>
      </c>
      <c r="S2691" t="s">
        <v>28</v>
      </c>
      <c r="T2691" t="s">
        <v>10198</v>
      </c>
      <c r="U2691" t="s">
        <v>10199</v>
      </c>
    </row>
    <row r="2692" spans="1:21" x14ac:dyDescent="0.25">
      <c r="A2692" t="s">
        <v>63</v>
      </c>
      <c r="B2692" t="s">
        <v>64</v>
      </c>
      <c r="C2692">
        <v>100</v>
      </c>
      <c r="D2692">
        <v>1</v>
      </c>
      <c r="E2692">
        <v>0</v>
      </c>
      <c r="F2692" t="s">
        <v>10195</v>
      </c>
      <c r="G2692">
        <v>200</v>
      </c>
      <c r="H2692">
        <v>0</v>
      </c>
      <c r="I2692" t="s">
        <v>445</v>
      </c>
      <c r="J2692" t="s">
        <v>10196</v>
      </c>
      <c r="K2692" t="s">
        <v>247</v>
      </c>
      <c r="L2692" t="s">
        <v>27</v>
      </c>
      <c r="M2692" t="s">
        <v>28</v>
      </c>
      <c r="N2692" t="s">
        <v>10197</v>
      </c>
      <c r="O2692" t="s">
        <v>27</v>
      </c>
      <c r="P2692" t="s">
        <v>56</v>
      </c>
      <c r="Q2692" t="s">
        <v>31</v>
      </c>
      <c r="R2692" t="s">
        <v>57</v>
      </c>
      <c r="S2692" t="s">
        <v>28</v>
      </c>
      <c r="T2692" t="s">
        <v>10198</v>
      </c>
      <c r="U2692" t="s">
        <v>10199</v>
      </c>
    </row>
    <row r="2693" spans="1:21" x14ac:dyDescent="0.25">
      <c r="A2693" t="s">
        <v>33</v>
      </c>
      <c r="B2693" t="s">
        <v>34</v>
      </c>
      <c r="C2693">
        <v>200</v>
      </c>
      <c r="D2693">
        <v>1</v>
      </c>
      <c r="E2693">
        <v>0</v>
      </c>
      <c r="F2693" t="s">
        <v>10200</v>
      </c>
      <c r="G2693">
        <v>200</v>
      </c>
      <c r="H2693">
        <v>0</v>
      </c>
      <c r="I2693" t="s">
        <v>445</v>
      </c>
      <c r="J2693" t="s">
        <v>10201</v>
      </c>
      <c r="K2693" t="s">
        <v>10202</v>
      </c>
      <c r="L2693" t="s">
        <v>27</v>
      </c>
      <c r="M2693" t="s">
        <v>28</v>
      </c>
      <c r="N2693" t="s">
        <v>10203</v>
      </c>
      <c r="O2693" t="s">
        <v>27</v>
      </c>
      <c r="P2693" t="s">
        <v>39</v>
      </c>
      <c r="Q2693" t="s">
        <v>31</v>
      </c>
      <c r="R2693" t="s">
        <v>32</v>
      </c>
      <c r="S2693" t="s">
        <v>28</v>
      </c>
      <c r="T2693" t="s">
        <v>10204</v>
      </c>
      <c r="U2693" t="s">
        <v>10203</v>
      </c>
    </row>
    <row r="2694" spans="1:21" x14ac:dyDescent="0.25">
      <c r="A2694" t="s">
        <v>58</v>
      </c>
      <c r="B2694" t="s">
        <v>103</v>
      </c>
      <c r="C2694">
        <v>84</v>
      </c>
      <c r="D2694">
        <v>1</v>
      </c>
      <c r="E2694">
        <v>0</v>
      </c>
      <c r="F2694" t="s">
        <v>10205</v>
      </c>
      <c r="G2694">
        <v>89</v>
      </c>
      <c r="H2694">
        <v>5</v>
      </c>
      <c r="I2694" t="s">
        <v>105</v>
      </c>
      <c r="J2694" t="s">
        <v>10206</v>
      </c>
      <c r="K2694" t="s">
        <v>10207</v>
      </c>
      <c r="L2694" t="s">
        <v>9971</v>
      </c>
      <c r="M2694" t="s">
        <v>10208</v>
      </c>
      <c r="N2694" t="s">
        <v>10209</v>
      </c>
      <c r="O2694" t="s">
        <v>27</v>
      </c>
      <c r="P2694" t="s">
        <v>48</v>
      </c>
      <c r="Q2694" t="s">
        <v>49</v>
      </c>
      <c r="R2694" t="s">
        <v>50</v>
      </c>
      <c r="S2694" t="s">
        <v>28</v>
      </c>
      <c r="T2694" t="s">
        <v>10210</v>
      </c>
      <c r="U2694" t="s">
        <v>10211</v>
      </c>
    </row>
    <row r="2695" spans="1:21" x14ac:dyDescent="0.25">
      <c r="A2695" t="s">
        <v>33</v>
      </c>
      <c r="B2695" t="s">
        <v>34</v>
      </c>
      <c r="C2695">
        <v>200</v>
      </c>
      <c r="D2695">
        <v>1</v>
      </c>
      <c r="E2695">
        <v>0</v>
      </c>
      <c r="F2695" t="s">
        <v>10212</v>
      </c>
      <c r="G2695">
        <v>200</v>
      </c>
      <c r="H2695">
        <v>0</v>
      </c>
      <c r="I2695" t="s">
        <v>24</v>
      </c>
      <c r="J2695" t="s">
        <v>10213</v>
      </c>
      <c r="K2695" t="s">
        <v>358</v>
      </c>
      <c r="L2695" t="s">
        <v>27</v>
      </c>
      <c r="M2695" t="s">
        <v>28</v>
      </c>
      <c r="N2695" t="s">
        <v>10214</v>
      </c>
      <c r="O2695" t="s">
        <v>27</v>
      </c>
      <c r="P2695" t="s">
        <v>39</v>
      </c>
      <c r="Q2695" t="s">
        <v>31</v>
      </c>
      <c r="R2695" t="s">
        <v>32</v>
      </c>
      <c r="S2695" t="s">
        <v>28</v>
      </c>
      <c r="T2695" t="s">
        <v>10215</v>
      </c>
      <c r="U2695" t="s">
        <v>10214</v>
      </c>
    </row>
    <row r="2696" spans="1:21" x14ac:dyDescent="0.25">
      <c r="A2696" t="s">
        <v>58</v>
      </c>
      <c r="B2696" t="s">
        <v>58</v>
      </c>
      <c r="C2696">
        <v>100</v>
      </c>
      <c r="D2696">
        <v>1</v>
      </c>
      <c r="E2696">
        <v>0</v>
      </c>
      <c r="F2696" t="s">
        <v>10216</v>
      </c>
      <c r="G2696">
        <v>100</v>
      </c>
      <c r="H2696">
        <v>0</v>
      </c>
      <c r="I2696" t="s">
        <v>140</v>
      </c>
      <c r="J2696" t="s">
        <v>10217</v>
      </c>
      <c r="K2696" t="s">
        <v>26</v>
      </c>
      <c r="L2696" t="s">
        <v>27</v>
      </c>
      <c r="M2696" t="s">
        <v>28</v>
      </c>
      <c r="N2696" t="s">
        <v>10214</v>
      </c>
      <c r="O2696" t="s">
        <v>27</v>
      </c>
      <c r="P2696" t="s">
        <v>30</v>
      </c>
      <c r="Q2696" t="s">
        <v>31</v>
      </c>
      <c r="R2696" t="s">
        <v>32</v>
      </c>
      <c r="S2696" t="s">
        <v>28</v>
      </c>
      <c r="T2696" t="s">
        <v>10218</v>
      </c>
      <c r="U2696" t="s">
        <v>10214</v>
      </c>
    </row>
    <row r="2697" spans="1:21" x14ac:dyDescent="0.25">
      <c r="A2697" t="s">
        <v>63</v>
      </c>
      <c r="B2697" t="s">
        <v>64</v>
      </c>
      <c r="C2697">
        <v>100</v>
      </c>
      <c r="D2697">
        <v>1</v>
      </c>
      <c r="E2697">
        <v>0</v>
      </c>
      <c r="F2697" t="s">
        <v>10219</v>
      </c>
      <c r="G2697">
        <v>106</v>
      </c>
      <c r="H2697">
        <v>6</v>
      </c>
      <c r="I2697" t="s">
        <v>445</v>
      </c>
      <c r="J2697" t="s">
        <v>10220</v>
      </c>
      <c r="K2697" t="s">
        <v>67</v>
      </c>
      <c r="L2697" t="s">
        <v>27</v>
      </c>
      <c r="M2697" t="s">
        <v>28</v>
      </c>
      <c r="N2697" t="s">
        <v>10221</v>
      </c>
      <c r="O2697" t="s">
        <v>27</v>
      </c>
      <c r="P2697" t="s">
        <v>30</v>
      </c>
      <c r="Q2697" t="s">
        <v>31</v>
      </c>
      <c r="R2697" t="s">
        <v>32</v>
      </c>
      <c r="S2697" t="s">
        <v>28</v>
      </c>
      <c r="T2697" t="s">
        <v>10222</v>
      </c>
      <c r="U2697" t="s">
        <v>10221</v>
      </c>
    </row>
    <row r="2698" spans="1:21" x14ac:dyDescent="0.25">
      <c r="A2698" t="s">
        <v>58</v>
      </c>
      <c r="B2698" t="s">
        <v>58</v>
      </c>
      <c r="C2698">
        <v>100</v>
      </c>
      <c r="D2698">
        <v>1</v>
      </c>
      <c r="E2698">
        <v>0</v>
      </c>
      <c r="F2698" t="s">
        <v>10223</v>
      </c>
      <c r="G2698">
        <v>393</v>
      </c>
      <c r="H2698">
        <v>45</v>
      </c>
      <c r="I2698" t="s">
        <v>445</v>
      </c>
      <c r="J2698" t="s">
        <v>10224</v>
      </c>
      <c r="K2698" t="s">
        <v>10225</v>
      </c>
      <c r="L2698" t="s">
        <v>10226</v>
      </c>
      <c r="M2698" t="s">
        <v>2987</v>
      </c>
      <c r="N2698" t="s">
        <v>10184</v>
      </c>
      <c r="O2698" t="s">
        <v>27</v>
      </c>
      <c r="P2698" t="s">
        <v>193</v>
      </c>
      <c r="Q2698" t="s">
        <v>85</v>
      </c>
      <c r="R2698" t="s">
        <v>86</v>
      </c>
      <c r="S2698" t="s">
        <v>28</v>
      </c>
      <c r="T2698" t="s">
        <v>10227</v>
      </c>
      <c r="U2698" t="s">
        <v>10228</v>
      </c>
    </row>
    <row r="2699" spans="1:21" x14ac:dyDescent="0.25">
      <c r="A2699" t="s">
        <v>76</v>
      </c>
      <c r="B2699" t="s">
        <v>77</v>
      </c>
      <c r="C2699">
        <v>230</v>
      </c>
      <c r="D2699">
        <v>1</v>
      </c>
      <c r="E2699">
        <v>0</v>
      </c>
      <c r="F2699" t="s">
        <v>10223</v>
      </c>
      <c r="G2699">
        <v>393</v>
      </c>
      <c r="H2699">
        <v>45</v>
      </c>
      <c r="I2699" t="s">
        <v>445</v>
      </c>
      <c r="J2699" t="s">
        <v>10224</v>
      </c>
      <c r="K2699" t="s">
        <v>10225</v>
      </c>
      <c r="L2699" t="s">
        <v>10226</v>
      </c>
      <c r="M2699" t="s">
        <v>2987</v>
      </c>
      <c r="N2699" t="s">
        <v>10184</v>
      </c>
      <c r="O2699" t="s">
        <v>27</v>
      </c>
      <c r="P2699" t="s">
        <v>193</v>
      </c>
      <c r="Q2699" t="s">
        <v>85</v>
      </c>
      <c r="R2699" t="s">
        <v>86</v>
      </c>
      <c r="S2699" t="s">
        <v>28</v>
      </c>
      <c r="T2699" t="s">
        <v>10227</v>
      </c>
      <c r="U2699" t="s">
        <v>10228</v>
      </c>
    </row>
    <row r="2700" spans="1:21" x14ac:dyDescent="0.25">
      <c r="A2700" t="s">
        <v>58</v>
      </c>
      <c r="B2700" t="s">
        <v>58</v>
      </c>
      <c r="C2700">
        <v>100</v>
      </c>
      <c r="D2700">
        <v>3</v>
      </c>
      <c r="E2700">
        <v>0</v>
      </c>
      <c r="F2700" t="s">
        <v>10229</v>
      </c>
      <c r="G2700">
        <v>343</v>
      </c>
      <c r="H2700">
        <v>45</v>
      </c>
      <c r="I2700" t="s">
        <v>445</v>
      </c>
      <c r="J2700" t="s">
        <v>5346</v>
      </c>
      <c r="K2700" t="s">
        <v>10230</v>
      </c>
      <c r="L2700" t="s">
        <v>1900</v>
      </c>
      <c r="M2700" t="s">
        <v>6671</v>
      </c>
      <c r="N2700" t="s">
        <v>10231</v>
      </c>
      <c r="O2700" t="s">
        <v>27</v>
      </c>
      <c r="P2700" t="s">
        <v>193</v>
      </c>
      <c r="Q2700" t="s">
        <v>85</v>
      </c>
      <c r="R2700" t="s">
        <v>86</v>
      </c>
      <c r="S2700" t="s">
        <v>28</v>
      </c>
      <c r="T2700" t="s">
        <v>10232</v>
      </c>
      <c r="U2700" t="s">
        <v>10233</v>
      </c>
    </row>
    <row r="2701" spans="1:21" x14ac:dyDescent="0.25">
      <c r="A2701" t="s">
        <v>70</v>
      </c>
      <c r="B2701" t="s">
        <v>70</v>
      </c>
      <c r="C2701">
        <v>350</v>
      </c>
      <c r="D2701">
        <v>1</v>
      </c>
      <c r="E2701">
        <v>0</v>
      </c>
      <c r="F2701" t="s">
        <v>10234</v>
      </c>
      <c r="G2701">
        <v>350</v>
      </c>
      <c r="H2701">
        <v>0</v>
      </c>
      <c r="I2701" t="s">
        <v>140</v>
      </c>
      <c r="J2701" t="s">
        <v>10235</v>
      </c>
      <c r="K2701" t="s">
        <v>753</v>
      </c>
      <c r="L2701" t="s">
        <v>27</v>
      </c>
      <c r="M2701" t="s">
        <v>28</v>
      </c>
      <c r="N2701" t="s">
        <v>10236</v>
      </c>
      <c r="O2701" t="s">
        <v>27</v>
      </c>
      <c r="P2701" t="s">
        <v>30</v>
      </c>
      <c r="Q2701" t="s">
        <v>31</v>
      </c>
      <c r="R2701" t="s">
        <v>32</v>
      </c>
      <c r="S2701" t="s">
        <v>28</v>
      </c>
      <c r="T2701" t="s">
        <v>10237</v>
      </c>
      <c r="U2701" t="s">
        <v>10236</v>
      </c>
    </row>
    <row r="2702" spans="1:21" x14ac:dyDescent="0.25">
      <c r="A2702" t="s">
        <v>33</v>
      </c>
      <c r="B2702" t="s">
        <v>34</v>
      </c>
      <c r="C2702">
        <v>200</v>
      </c>
      <c r="D2702">
        <v>1</v>
      </c>
      <c r="E2702">
        <v>0</v>
      </c>
      <c r="F2702" t="s">
        <v>10238</v>
      </c>
      <c r="G2702">
        <v>200</v>
      </c>
      <c r="H2702">
        <v>0</v>
      </c>
      <c r="I2702" t="s">
        <v>24</v>
      </c>
      <c r="J2702" t="s">
        <v>10239</v>
      </c>
      <c r="K2702" t="s">
        <v>491</v>
      </c>
      <c r="L2702" t="s">
        <v>27</v>
      </c>
      <c r="M2702" t="s">
        <v>28</v>
      </c>
      <c r="N2702" t="s">
        <v>10240</v>
      </c>
      <c r="O2702" t="s">
        <v>27</v>
      </c>
      <c r="P2702" t="s">
        <v>39</v>
      </c>
      <c r="Q2702" t="s">
        <v>31</v>
      </c>
      <c r="R2702" t="s">
        <v>32</v>
      </c>
      <c r="S2702" t="s">
        <v>28</v>
      </c>
      <c r="T2702" t="s">
        <v>10241</v>
      </c>
      <c r="U2702" t="s">
        <v>10240</v>
      </c>
    </row>
    <row r="2703" spans="1:21" x14ac:dyDescent="0.25">
      <c r="A2703" t="s">
        <v>70</v>
      </c>
      <c r="B2703" t="s">
        <v>70</v>
      </c>
      <c r="C2703">
        <v>350</v>
      </c>
      <c r="D2703">
        <v>1</v>
      </c>
      <c r="E2703">
        <v>0</v>
      </c>
      <c r="F2703" t="s">
        <v>10242</v>
      </c>
      <c r="G2703">
        <v>350</v>
      </c>
      <c r="H2703">
        <v>0</v>
      </c>
      <c r="I2703" t="s">
        <v>140</v>
      </c>
      <c r="J2703" t="s">
        <v>440</v>
      </c>
      <c r="K2703" t="s">
        <v>61</v>
      </c>
      <c r="L2703" t="s">
        <v>27</v>
      </c>
      <c r="M2703" t="s">
        <v>28</v>
      </c>
      <c r="N2703" t="s">
        <v>10243</v>
      </c>
      <c r="O2703" t="s">
        <v>27</v>
      </c>
      <c r="P2703" t="s">
        <v>30</v>
      </c>
      <c r="Q2703" t="s">
        <v>31</v>
      </c>
      <c r="R2703" t="s">
        <v>32</v>
      </c>
      <c r="S2703" t="s">
        <v>28</v>
      </c>
      <c r="T2703" t="s">
        <v>10244</v>
      </c>
      <c r="U2703" t="s">
        <v>10243</v>
      </c>
    </row>
    <row r="2704" spans="1:21" x14ac:dyDescent="0.25">
      <c r="A2704" t="s">
        <v>58</v>
      </c>
      <c r="B2704" t="s">
        <v>103</v>
      </c>
      <c r="C2704">
        <v>84</v>
      </c>
      <c r="D2704">
        <v>1</v>
      </c>
      <c r="E2704">
        <v>0</v>
      </c>
      <c r="F2704" t="s">
        <v>10245</v>
      </c>
      <c r="G2704">
        <v>89</v>
      </c>
      <c r="H2704">
        <v>5</v>
      </c>
      <c r="I2704" t="s">
        <v>105</v>
      </c>
      <c r="J2704" t="s">
        <v>10246</v>
      </c>
      <c r="K2704" t="s">
        <v>10247</v>
      </c>
      <c r="L2704" t="s">
        <v>10248</v>
      </c>
      <c r="M2704" t="s">
        <v>10249</v>
      </c>
      <c r="N2704" t="s">
        <v>10250</v>
      </c>
      <c r="O2704" t="s">
        <v>27</v>
      </c>
      <c r="P2704" t="s">
        <v>48</v>
      </c>
      <c r="Q2704" t="s">
        <v>49</v>
      </c>
      <c r="R2704" t="s">
        <v>50</v>
      </c>
      <c r="S2704" t="s">
        <v>28</v>
      </c>
      <c r="T2704" t="s">
        <v>10251</v>
      </c>
      <c r="U2704" t="s">
        <v>10250</v>
      </c>
    </row>
    <row r="2705" spans="1:21" x14ac:dyDescent="0.25">
      <c r="A2705" t="s">
        <v>134</v>
      </c>
      <c r="B2705" t="s">
        <v>64</v>
      </c>
      <c r="C2705">
        <v>100</v>
      </c>
      <c r="D2705">
        <v>3</v>
      </c>
      <c r="E2705">
        <v>0</v>
      </c>
      <c r="F2705" t="s">
        <v>10252</v>
      </c>
      <c r="G2705">
        <v>300</v>
      </c>
      <c r="H2705">
        <v>0</v>
      </c>
      <c r="I2705" t="s">
        <v>140</v>
      </c>
      <c r="J2705" t="s">
        <v>10253</v>
      </c>
      <c r="K2705" t="s">
        <v>350</v>
      </c>
      <c r="L2705" t="s">
        <v>27</v>
      </c>
      <c r="M2705" t="s">
        <v>28</v>
      </c>
      <c r="N2705" t="s">
        <v>10250</v>
      </c>
      <c r="O2705" t="s">
        <v>27</v>
      </c>
      <c r="P2705" t="s">
        <v>30</v>
      </c>
      <c r="Q2705" t="s">
        <v>31</v>
      </c>
      <c r="R2705" t="s">
        <v>32</v>
      </c>
      <c r="S2705" t="s">
        <v>28</v>
      </c>
      <c r="T2705" t="s">
        <v>10254</v>
      </c>
      <c r="U2705" t="s">
        <v>10250</v>
      </c>
    </row>
    <row r="2706" spans="1:21" x14ac:dyDescent="0.25">
      <c r="A2706" t="s">
        <v>58</v>
      </c>
      <c r="B2706" t="s">
        <v>58</v>
      </c>
      <c r="C2706">
        <v>100</v>
      </c>
      <c r="D2706">
        <v>3</v>
      </c>
      <c r="E2706">
        <v>0</v>
      </c>
      <c r="F2706" t="s">
        <v>10255</v>
      </c>
      <c r="G2706">
        <v>340</v>
      </c>
      <c r="H2706">
        <v>45</v>
      </c>
      <c r="I2706" t="s">
        <v>445</v>
      </c>
      <c r="J2706" t="s">
        <v>5346</v>
      </c>
      <c r="K2706" t="s">
        <v>10230</v>
      </c>
      <c r="L2706" t="s">
        <v>1900</v>
      </c>
      <c r="M2706" t="s">
        <v>6671</v>
      </c>
      <c r="N2706" t="s">
        <v>10256</v>
      </c>
      <c r="O2706" t="s">
        <v>27</v>
      </c>
      <c r="P2706" t="s">
        <v>193</v>
      </c>
      <c r="Q2706" t="s">
        <v>85</v>
      </c>
      <c r="R2706" t="s">
        <v>86</v>
      </c>
      <c r="S2706" t="s">
        <v>28</v>
      </c>
      <c r="T2706" t="s">
        <v>10257</v>
      </c>
      <c r="U2706" t="s">
        <v>10258</v>
      </c>
    </row>
    <row r="2707" spans="1:21" x14ac:dyDescent="0.25">
      <c r="A2707" t="s">
        <v>58</v>
      </c>
      <c r="B2707" t="s">
        <v>103</v>
      </c>
      <c r="C2707">
        <v>99.75</v>
      </c>
      <c r="D2707">
        <v>1</v>
      </c>
      <c r="E2707">
        <v>0</v>
      </c>
      <c r="F2707" t="s">
        <v>10259</v>
      </c>
      <c r="G2707">
        <v>204.5</v>
      </c>
      <c r="H2707">
        <v>5</v>
      </c>
      <c r="I2707" t="s">
        <v>105</v>
      </c>
      <c r="J2707" t="s">
        <v>10260</v>
      </c>
      <c r="K2707" t="s">
        <v>10261</v>
      </c>
      <c r="L2707" t="s">
        <v>1737</v>
      </c>
      <c r="M2707" t="s">
        <v>10262</v>
      </c>
      <c r="N2707" t="s">
        <v>10263</v>
      </c>
      <c r="O2707" t="s">
        <v>27</v>
      </c>
      <c r="P2707" t="s">
        <v>48</v>
      </c>
      <c r="Q2707" t="s">
        <v>49</v>
      </c>
      <c r="R2707" t="s">
        <v>50</v>
      </c>
      <c r="S2707" t="s">
        <v>28</v>
      </c>
      <c r="T2707" t="s">
        <v>10264</v>
      </c>
      <c r="U2707" t="s">
        <v>10263</v>
      </c>
    </row>
    <row r="2708" spans="1:21" x14ac:dyDescent="0.25">
      <c r="A2708" t="s">
        <v>58</v>
      </c>
      <c r="B2708" t="s">
        <v>103</v>
      </c>
      <c r="C2708">
        <v>99.75</v>
      </c>
      <c r="D2708">
        <v>1</v>
      </c>
      <c r="E2708">
        <v>0</v>
      </c>
      <c r="F2708" t="s">
        <v>10259</v>
      </c>
      <c r="G2708">
        <v>204.5</v>
      </c>
      <c r="H2708">
        <v>5</v>
      </c>
      <c r="I2708" t="s">
        <v>105</v>
      </c>
      <c r="J2708" t="s">
        <v>10260</v>
      </c>
      <c r="K2708" t="s">
        <v>10261</v>
      </c>
      <c r="L2708" t="s">
        <v>1737</v>
      </c>
      <c r="M2708" t="s">
        <v>10262</v>
      </c>
      <c r="N2708" t="s">
        <v>10263</v>
      </c>
      <c r="O2708" t="s">
        <v>27</v>
      </c>
      <c r="P2708" t="s">
        <v>48</v>
      </c>
      <c r="Q2708" t="s">
        <v>49</v>
      </c>
      <c r="R2708" t="s">
        <v>50</v>
      </c>
      <c r="S2708" t="s">
        <v>28</v>
      </c>
      <c r="T2708" t="s">
        <v>10264</v>
      </c>
      <c r="U2708" t="s">
        <v>10263</v>
      </c>
    </row>
    <row r="2709" spans="1:21" x14ac:dyDescent="0.25">
      <c r="A2709" t="s">
        <v>63</v>
      </c>
      <c r="B2709" t="s">
        <v>64</v>
      </c>
      <c r="C2709">
        <v>100</v>
      </c>
      <c r="D2709">
        <v>1</v>
      </c>
      <c r="E2709">
        <v>0</v>
      </c>
      <c r="F2709" t="s">
        <v>10265</v>
      </c>
      <c r="G2709">
        <v>106</v>
      </c>
      <c r="H2709">
        <v>6</v>
      </c>
      <c r="I2709" t="s">
        <v>24</v>
      </c>
      <c r="J2709" t="s">
        <v>10266</v>
      </c>
      <c r="K2709" t="s">
        <v>89</v>
      </c>
      <c r="L2709" t="s">
        <v>27</v>
      </c>
      <c r="M2709" t="s">
        <v>28</v>
      </c>
      <c r="N2709" t="s">
        <v>10263</v>
      </c>
      <c r="O2709" t="s">
        <v>27</v>
      </c>
      <c r="P2709" t="s">
        <v>56</v>
      </c>
      <c r="Q2709" t="s">
        <v>31</v>
      </c>
      <c r="R2709" t="s">
        <v>57</v>
      </c>
      <c r="S2709" t="s">
        <v>28</v>
      </c>
      <c r="T2709" t="s">
        <v>10267</v>
      </c>
      <c r="U2709" t="s">
        <v>10268</v>
      </c>
    </row>
    <row r="2710" spans="1:21" x14ac:dyDescent="0.25">
      <c r="A2710" t="s">
        <v>70</v>
      </c>
      <c r="B2710" t="s">
        <v>70</v>
      </c>
      <c r="C2710">
        <v>330</v>
      </c>
      <c r="D2710">
        <v>1</v>
      </c>
      <c r="E2710">
        <v>0</v>
      </c>
      <c r="F2710" t="s">
        <v>10269</v>
      </c>
      <c r="G2710">
        <v>330</v>
      </c>
      <c r="H2710">
        <v>0</v>
      </c>
      <c r="I2710" t="s">
        <v>445</v>
      </c>
      <c r="J2710" t="s">
        <v>10270</v>
      </c>
      <c r="K2710" t="s">
        <v>118</v>
      </c>
      <c r="L2710" t="s">
        <v>27</v>
      </c>
      <c r="M2710" t="s">
        <v>28</v>
      </c>
      <c r="N2710" t="s">
        <v>10271</v>
      </c>
      <c r="O2710" t="s">
        <v>27</v>
      </c>
      <c r="P2710" t="s">
        <v>39</v>
      </c>
      <c r="Q2710" t="s">
        <v>31</v>
      </c>
      <c r="R2710" t="s">
        <v>32</v>
      </c>
      <c r="S2710" t="s">
        <v>28</v>
      </c>
      <c r="T2710" t="s">
        <v>10272</v>
      </c>
      <c r="U2710" t="s">
        <v>10271</v>
      </c>
    </row>
    <row r="2711" spans="1:21" x14ac:dyDescent="0.25">
      <c r="A2711" t="s">
        <v>134</v>
      </c>
      <c r="B2711" t="s">
        <v>64</v>
      </c>
      <c r="C2711">
        <v>100</v>
      </c>
      <c r="D2711">
        <v>2</v>
      </c>
      <c r="E2711">
        <v>0</v>
      </c>
      <c r="F2711" t="s">
        <v>10273</v>
      </c>
      <c r="G2711">
        <v>200</v>
      </c>
      <c r="H2711">
        <v>0</v>
      </c>
      <c r="I2711" t="s">
        <v>140</v>
      </c>
      <c r="J2711" t="s">
        <v>10274</v>
      </c>
      <c r="K2711" t="s">
        <v>89</v>
      </c>
      <c r="L2711" t="s">
        <v>27</v>
      </c>
      <c r="M2711" t="s">
        <v>28</v>
      </c>
      <c r="N2711" t="s">
        <v>10275</v>
      </c>
      <c r="O2711" t="s">
        <v>27</v>
      </c>
      <c r="P2711" t="s">
        <v>30</v>
      </c>
      <c r="Q2711" t="s">
        <v>31</v>
      </c>
      <c r="R2711" t="s">
        <v>32</v>
      </c>
      <c r="S2711" t="s">
        <v>28</v>
      </c>
      <c r="T2711" t="s">
        <v>10276</v>
      </c>
      <c r="U2711" t="s">
        <v>10275</v>
      </c>
    </row>
    <row r="2712" spans="1:21" x14ac:dyDescent="0.25">
      <c r="A2712" t="s">
        <v>33</v>
      </c>
      <c r="B2712" t="s">
        <v>34</v>
      </c>
      <c r="C2712">
        <v>200</v>
      </c>
      <c r="D2712">
        <v>2</v>
      </c>
      <c r="E2712">
        <v>0</v>
      </c>
      <c r="F2712" t="s">
        <v>10277</v>
      </c>
      <c r="G2712">
        <v>400</v>
      </c>
      <c r="H2712">
        <v>0</v>
      </c>
      <c r="I2712" t="s">
        <v>445</v>
      </c>
      <c r="J2712" t="s">
        <v>4923</v>
      </c>
      <c r="K2712" t="s">
        <v>1602</v>
      </c>
      <c r="L2712" t="s">
        <v>27</v>
      </c>
      <c r="M2712" t="s">
        <v>28</v>
      </c>
      <c r="N2712" t="s">
        <v>10278</v>
      </c>
      <c r="O2712" t="s">
        <v>27</v>
      </c>
      <c r="P2712" t="s">
        <v>39</v>
      </c>
      <c r="Q2712" t="s">
        <v>31</v>
      </c>
      <c r="R2712" t="s">
        <v>32</v>
      </c>
      <c r="S2712" t="s">
        <v>28</v>
      </c>
      <c r="T2712" t="s">
        <v>10279</v>
      </c>
      <c r="U2712" t="s">
        <v>10280</v>
      </c>
    </row>
    <row r="2713" spans="1:21" x14ac:dyDescent="0.25">
      <c r="A2713" t="s">
        <v>33</v>
      </c>
      <c r="B2713" t="s">
        <v>34</v>
      </c>
      <c r="C2713">
        <v>200</v>
      </c>
      <c r="D2713">
        <v>1</v>
      </c>
      <c r="E2713">
        <v>0</v>
      </c>
      <c r="F2713" t="s">
        <v>10281</v>
      </c>
      <c r="G2713">
        <v>200</v>
      </c>
      <c r="H2713">
        <v>0</v>
      </c>
      <c r="I2713" t="s">
        <v>24</v>
      </c>
      <c r="J2713" t="s">
        <v>10282</v>
      </c>
      <c r="K2713" t="s">
        <v>171</v>
      </c>
      <c r="L2713" t="s">
        <v>27</v>
      </c>
      <c r="M2713" t="s">
        <v>28</v>
      </c>
      <c r="N2713" t="s">
        <v>10283</v>
      </c>
      <c r="O2713" t="s">
        <v>27</v>
      </c>
      <c r="P2713" t="s">
        <v>39</v>
      </c>
      <c r="Q2713" t="s">
        <v>31</v>
      </c>
      <c r="R2713" t="s">
        <v>32</v>
      </c>
      <c r="S2713" t="s">
        <v>28</v>
      </c>
      <c r="T2713" t="s">
        <v>10284</v>
      </c>
      <c r="U2713" t="s">
        <v>10283</v>
      </c>
    </row>
    <row r="2714" spans="1:21" x14ac:dyDescent="0.25">
      <c r="A2714" t="s">
        <v>33</v>
      </c>
      <c r="B2714" t="s">
        <v>34</v>
      </c>
      <c r="C2714">
        <v>200</v>
      </c>
      <c r="D2714">
        <v>2</v>
      </c>
      <c r="E2714">
        <v>0</v>
      </c>
      <c r="F2714" t="s">
        <v>10285</v>
      </c>
      <c r="G2714">
        <v>400</v>
      </c>
      <c r="H2714">
        <v>0</v>
      </c>
      <c r="I2714" t="s">
        <v>445</v>
      </c>
      <c r="J2714" t="s">
        <v>10286</v>
      </c>
      <c r="K2714" t="s">
        <v>1190</v>
      </c>
      <c r="L2714" t="s">
        <v>27</v>
      </c>
      <c r="M2714" t="s">
        <v>28</v>
      </c>
      <c r="N2714" t="s">
        <v>10283</v>
      </c>
      <c r="O2714" t="s">
        <v>27</v>
      </c>
      <c r="P2714" t="s">
        <v>39</v>
      </c>
      <c r="Q2714" t="s">
        <v>31</v>
      </c>
      <c r="R2714" t="s">
        <v>32</v>
      </c>
      <c r="S2714" t="s">
        <v>28</v>
      </c>
      <c r="T2714" t="s">
        <v>10287</v>
      </c>
      <c r="U2714" t="s">
        <v>10283</v>
      </c>
    </row>
    <row r="2715" spans="1:21" x14ac:dyDescent="0.25">
      <c r="A2715" t="s">
        <v>143</v>
      </c>
      <c r="B2715" t="s">
        <v>144</v>
      </c>
      <c r="C2715">
        <v>200</v>
      </c>
      <c r="D2715">
        <v>2</v>
      </c>
      <c r="E2715">
        <v>0</v>
      </c>
      <c r="F2715" t="s">
        <v>10288</v>
      </c>
      <c r="G2715">
        <v>400</v>
      </c>
      <c r="H2715">
        <v>0</v>
      </c>
      <c r="I2715" t="s">
        <v>445</v>
      </c>
      <c r="J2715" t="s">
        <v>10289</v>
      </c>
      <c r="K2715" t="s">
        <v>247</v>
      </c>
      <c r="L2715" t="s">
        <v>27</v>
      </c>
      <c r="M2715" t="s">
        <v>28</v>
      </c>
      <c r="N2715" t="s">
        <v>10290</v>
      </c>
      <c r="O2715" t="s">
        <v>27</v>
      </c>
      <c r="P2715" t="s">
        <v>56</v>
      </c>
      <c r="Q2715" t="s">
        <v>31</v>
      </c>
      <c r="R2715" t="s">
        <v>57</v>
      </c>
      <c r="S2715" t="s">
        <v>28</v>
      </c>
      <c r="T2715" t="s">
        <v>10291</v>
      </c>
      <c r="U2715" t="s">
        <v>10290</v>
      </c>
    </row>
    <row r="2716" spans="1:21" x14ac:dyDescent="0.25">
      <c r="A2716" t="s">
        <v>134</v>
      </c>
      <c r="B2716" t="s">
        <v>64</v>
      </c>
      <c r="C2716">
        <v>100</v>
      </c>
      <c r="D2716">
        <v>1</v>
      </c>
      <c r="E2716">
        <v>0</v>
      </c>
      <c r="F2716" t="s">
        <v>10292</v>
      </c>
      <c r="G2716">
        <v>106</v>
      </c>
      <c r="H2716">
        <v>6</v>
      </c>
      <c r="I2716" t="s">
        <v>140</v>
      </c>
      <c r="J2716" t="s">
        <v>9763</v>
      </c>
      <c r="K2716" t="s">
        <v>37</v>
      </c>
      <c r="L2716" t="s">
        <v>27</v>
      </c>
      <c r="M2716" t="s">
        <v>28</v>
      </c>
      <c r="N2716" t="s">
        <v>10293</v>
      </c>
      <c r="O2716" t="s">
        <v>27</v>
      </c>
      <c r="P2716" t="s">
        <v>30</v>
      </c>
      <c r="Q2716" t="s">
        <v>31</v>
      </c>
      <c r="R2716" t="s">
        <v>32</v>
      </c>
      <c r="S2716" t="s">
        <v>28</v>
      </c>
      <c r="T2716" t="s">
        <v>10294</v>
      </c>
      <c r="U2716" t="s">
        <v>10293</v>
      </c>
    </row>
    <row r="2717" spans="1:21" x14ac:dyDescent="0.25">
      <c r="A2717" t="s">
        <v>456</v>
      </c>
      <c r="B2717" t="s">
        <v>457</v>
      </c>
      <c r="C2717">
        <v>199</v>
      </c>
      <c r="D2717">
        <v>1</v>
      </c>
      <c r="E2717">
        <v>0</v>
      </c>
      <c r="F2717" t="s">
        <v>10295</v>
      </c>
      <c r="G2717">
        <v>228</v>
      </c>
      <c r="H2717">
        <v>29</v>
      </c>
      <c r="I2717" t="s">
        <v>24</v>
      </c>
      <c r="J2717" t="s">
        <v>10296</v>
      </c>
      <c r="K2717" t="s">
        <v>10297</v>
      </c>
      <c r="L2717" t="s">
        <v>10298</v>
      </c>
      <c r="M2717" t="s">
        <v>8699</v>
      </c>
      <c r="N2717" t="s">
        <v>10299</v>
      </c>
      <c r="O2717" t="s">
        <v>27</v>
      </c>
      <c r="P2717" t="s">
        <v>84</v>
      </c>
      <c r="Q2717" t="s">
        <v>85</v>
      </c>
      <c r="R2717" t="s">
        <v>86</v>
      </c>
      <c r="S2717" t="s">
        <v>28</v>
      </c>
      <c r="T2717" t="s">
        <v>10300</v>
      </c>
      <c r="U2717" t="s">
        <v>10299</v>
      </c>
    </row>
    <row r="2718" spans="1:21" x14ac:dyDescent="0.25">
      <c r="A2718" t="s">
        <v>63</v>
      </c>
      <c r="B2718" t="s">
        <v>64</v>
      </c>
      <c r="C2718">
        <v>100</v>
      </c>
      <c r="D2718">
        <v>1</v>
      </c>
      <c r="E2718">
        <v>0</v>
      </c>
      <c r="F2718" t="s">
        <v>10301</v>
      </c>
      <c r="G2718">
        <v>200</v>
      </c>
      <c r="H2718">
        <v>0</v>
      </c>
      <c r="I2718" t="s">
        <v>24</v>
      </c>
      <c r="J2718" t="s">
        <v>10302</v>
      </c>
      <c r="K2718" t="s">
        <v>839</v>
      </c>
      <c r="L2718" t="s">
        <v>27</v>
      </c>
      <c r="M2718" t="s">
        <v>28</v>
      </c>
      <c r="N2718" t="s">
        <v>10303</v>
      </c>
      <c r="O2718" t="s">
        <v>27</v>
      </c>
      <c r="P2718" t="s">
        <v>39</v>
      </c>
      <c r="Q2718" t="s">
        <v>31</v>
      </c>
      <c r="R2718" t="s">
        <v>32</v>
      </c>
      <c r="S2718" t="s">
        <v>28</v>
      </c>
      <c r="T2718" t="s">
        <v>10304</v>
      </c>
      <c r="U2718" t="s">
        <v>10303</v>
      </c>
    </row>
    <row r="2719" spans="1:21" x14ac:dyDescent="0.25">
      <c r="A2719" t="s">
        <v>134</v>
      </c>
      <c r="B2719" t="s">
        <v>64</v>
      </c>
      <c r="C2719">
        <v>100</v>
      </c>
      <c r="D2719">
        <v>1</v>
      </c>
      <c r="E2719">
        <v>0</v>
      </c>
      <c r="F2719" t="s">
        <v>10301</v>
      </c>
      <c r="G2719">
        <v>200</v>
      </c>
      <c r="H2719">
        <v>0</v>
      </c>
      <c r="I2719" t="s">
        <v>24</v>
      </c>
      <c r="J2719" t="s">
        <v>10302</v>
      </c>
      <c r="K2719" t="s">
        <v>839</v>
      </c>
      <c r="L2719" t="s">
        <v>27</v>
      </c>
      <c r="M2719" t="s">
        <v>28</v>
      </c>
      <c r="N2719" t="s">
        <v>10303</v>
      </c>
      <c r="O2719" t="s">
        <v>27</v>
      </c>
      <c r="P2719" t="s">
        <v>39</v>
      </c>
      <c r="Q2719" t="s">
        <v>31</v>
      </c>
      <c r="R2719" t="s">
        <v>32</v>
      </c>
      <c r="S2719" t="s">
        <v>28</v>
      </c>
      <c r="T2719" t="s">
        <v>10304</v>
      </c>
      <c r="U2719" t="s">
        <v>10303</v>
      </c>
    </row>
    <row r="2720" spans="1:21" x14ac:dyDescent="0.25">
      <c r="A2720" t="s">
        <v>10305</v>
      </c>
      <c r="B2720" t="s">
        <v>10306</v>
      </c>
      <c r="C2720">
        <v>180</v>
      </c>
      <c r="D2720">
        <v>1</v>
      </c>
      <c r="E2720">
        <v>0</v>
      </c>
      <c r="F2720" t="s">
        <v>10307</v>
      </c>
      <c r="G2720">
        <v>180</v>
      </c>
      <c r="H2720">
        <v>0</v>
      </c>
      <c r="I2720" t="s">
        <v>24</v>
      </c>
      <c r="J2720" t="s">
        <v>10308</v>
      </c>
      <c r="K2720" t="s">
        <v>250</v>
      </c>
      <c r="L2720" t="s">
        <v>27</v>
      </c>
      <c r="M2720" t="s">
        <v>28</v>
      </c>
      <c r="N2720" t="s">
        <v>10309</v>
      </c>
      <c r="O2720" t="s">
        <v>27</v>
      </c>
      <c r="P2720" t="s">
        <v>56</v>
      </c>
      <c r="Q2720" t="s">
        <v>31</v>
      </c>
      <c r="R2720" t="s">
        <v>57</v>
      </c>
      <c r="S2720" t="s">
        <v>28</v>
      </c>
      <c r="T2720" t="s">
        <v>10310</v>
      </c>
      <c r="U2720" t="s">
        <v>10309</v>
      </c>
    </row>
    <row r="2721" spans="1:21" x14ac:dyDescent="0.25">
      <c r="A2721" t="s">
        <v>33</v>
      </c>
      <c r="B2721" t="s">
        <v>34</v>
      </c>
      <c r="C2721">
        <v>200</v>
      </c>
      <c r="D2721">
        <v>1</v>
      </c>
      <c r="E2721">
        <v>0</v>
      </c>
      <c r="F2721" t="s">
        <v>10311</v>
      </c>
      <c r="G2721">
        <v>200</v>
      </c>
      <c r="H2721">
        <v>0</v>
      </c>
      <c r="I2721" t="s">
        <v>24</v>
      </c>
      <c r="J2721" t="s">
        <v>10312</v>
      </c>
      <c r="K2721" t="s">
        <v>67</v>
      </c>
      <c r="L2721" t="s">
        <v>27</v>
      </c>
      <c r="M2721" t="s">
        <v>28</v>
      </c>
      <c r="N2721" t="s">
        <v>10309</v>
      </c>
      <c r="O2721" t="s">
        <v>27</v>
      </c>
      <c r="P2721" t="s">
        <v>39</v>
      </c>
      <c r="Q2721" t="s">
        <v>31</v>
      </c>
      <c r="R2721" t="s">
        <v>32</v>
      </c>
      <c r="S2721" t="s">
        <v>28</v>
      </c>
      <c r="T2721" t="s">
        <v>10313</v>
      </c>
      <c r="U2721" t="s">
        <v>10309</v>
      </c>
    </row>
    <row r="2722" spans="1:21" x14ac:dyDescent="0.25">
      <c r="A2722" t="s">
        <v>456</v>
      </c>
      <c r="B2722" t="s">
        <v>457</v>
      </c>
      <c r="C2722">
        <v>197</v>
      </c>
      <c r="D2722">
        <v>1</v>
      </c>
      <c r="E2722">
        <v>0</v>
      </c>
      <c r="F2722" t="s">
        <v>10314</v>
      </c>
      <c r="G2722">
        <v>237</v>
      </c>
      <c r="H2722">
        <v>45</v>
      </c>
      <c r="I2722" t="s">
        <v>445</v>
      </c>
      <c r="J2722" t="s">
        <v>8934</v>
      </c>
      <c r="K2722" t="s">
        <v>8935</v>
      </c>
      <c r="L2722" t="s">
        <v>1171</v>
      </c>
      <c r="M2722" t="s">
        <v>191</v>
      </c>
      <c r="N2722" t="s">
        <v>10309</v>
      </c>
      <c r="O2722" t="s">
        <v>27</v>
      </c>
      <c r="P2722" t="s">
        <v>193</v>
      </c>
      <c r="Q2722" t="s">
        <v>85</v>
      </c>
      <c r="R2722" t="s">
        <v>86</v>
      </c>
      <c r="S2722" t="s">
        <v>28</v>
      </c>
      <c r="T2722" t="s">
        <v>10315</v>
      </c>
      <c r="U2722" t="s">
        <v>10309</v>
      </c>
    </row>
    <row r="2723" spans="1:21" x14ac:dyDescent="0.25">
      <c r="A2723" t="s">
        <v>33</v>
      </c>
      <c r="B2723" t="s">
        <v>34</v>
      </c>
      <c r="C2723">
        <v>200</v>
      </c>
      <c r="D2723">
        <v>1</v>
      </c>
      <c r="E2723">
        <v>0</v>
      </c>
      <c r="F2723" t="s">
        <v>10316</v>
      </c>
      <c r="G2723">
        <v>200</v>
      </c>
      <c r="H2723">
        <v>0</v>
      </c>
      <c r="I2723" t="s">
        <v>24</v>
      </c>
      <c r="J2723" t="s">
        <v>3969</v>
      </c>
      <c r="K2723" t="s">
        <v>37</v>
      </c>
      <c r="L2723" t="s">
        <v>27</v>
      </c>
      <c r="M2723" t="s">
        <v>28</v>
      </c>
      <c r="N2723" t="s">
        <v>10317</v>
      </c>
      <c r="O2723" t="s">
        <v>27</v>
      </c>
      <c r="P2723" t="s">
        <v>39</v>
      </c>
      <c r="Q2723" t="s">
        <v>31</v>
      </c>
      <c r="R2723" t="s">
        <v>32</v>
      </c>
      <c r="S2723" t="s">
        <v>28</v>
      </c>
      <c r="T2723" t="s">
        <v>10318</v>
      </c>
      <c r="U2723" t="s">
        <v>10317</v>
      </c>
    </row>
    <row r="2724" spans="1:21" x14ac:dyDescent="0.25">
      <c r="A2724" t="s">
        <v>58</v>
      </c>
      <c r="B2724" t="s">
        <v>58</v>
      </c>
      <c r="C2724">
        <v>100</v>
      </c>
      <c r="D2724">
        <v>3</v>
      </c>
      <c r="E2724">
        <v>0</v>
      </c>
      <c r="F2724" t="s">
        <v>10319</v>
      </c>
      <c r="G2724">
        <v>329</v>
      </c>
      <c r="H2724">
        <v>29</v>
      </c>
      <c r="I2724" t="s">
        <v>140</v>
      </c>
      <c r="J2724" t="s">
        <v>10320</v>
      </c>
      <c r="K2724" t="s">
        <v>491</v>
      </c>
      <c r="L2724" t="s">
        <v>27</v>
      </c>
      <c r="M2724" t="s">
        <v>28</v>
      </c>
      <c r="N2724" t="s">
        <v>10317</v>
      </c>
      <c r="O2724" t="s">
        <v>27</v>
      </c>
      <c r="P2724" t="s">
        <v>369</v>
      </c>
      <c r="Q2724" t="s">
        <v>31</v>
      </c>
      <c r="R2724" t="s">
        <v>57</v>
      </c>
      <c r="S2724" t="s">
        <v>28</v>
      </c>
      <c r="T2724" t="s">
        <v>10321</v>
      </c>
      <c r="U2724" t="s">
        <v>10317</v>
      </c>
    </row>
    <row r="2725" spans="1:21" x14ac:dyDescent="0.25">
      <c r="A2725" t="s">
        <v>909</v>
      </c>
      <c r="B2725" t="s">
        <v>3592</v>
      </c>
      <c r="C2725">
        <v>240</v>
      </c>
      <c r="D2725">
        <v>1</v>
      </c>
      <c r="E2725">
        <v>0</v>
      </c>
      <c r="F2725" t="s">
        <v>10322</v>
      </c>
      <c r="G2725">
        <v>240</v>
      </c>
      <c r="H2725">
        <v>0</v>
      </c>
      <c r="I2725" t="s">
        <v>140</v>
      </c>
      <c r="J2725" t="s">
        <v>10323</v>
      </c>
      <c r="K2725" t="s">
        <v>61</v>
      </c>
      <c r="L2725" t="s">
        <v>27</v>
      </c>
      <c r="M2725" t="s">
        <v>28</v>
      </c>
      <c r="N2725" t="s">
        <v>10317</v>
      </c>
      <c r="O2725" t="s">
        <v>27</v>
      </c>
      <c r="P2725" t="s">
        <v>369</v>
      </c>
      <c r="Q2725" t="s">
        <v>31</v>
      </c>
      <c r="R2725" t="s">
        <v>57</v>
      </c>
      <c r="S2725" t="s">
        <v>28</v>
      </c>
      <c r="T2725" t="s">
        <v>10324</v>
      </c>
      <c r="U2725" t="s">
        <v>10325</v>
      </c>
    </row>
    <row r="2726" spans="1:21" x14ac:dyDescent="0.25">
      <c r="A2726" t="s">
        <v>21</v>
      </c>
      <c r="B2726" t="s">
        <v>22</v>
      </c>
      <c r="C2726">
        <v>100</v>
      </c>
      <c r="D2726">
        <v>2</v>
      </c>
      <c r="E2726">
        <v>0</v>
      </c>
      <c r="F2726" t="s">
        <v>10326</v>
      </c>
      <c r="G2726">
        <v>200</v>
      </c>
      <c r="H2726">
        <v>0</v>
      </c>
      <c r="I2726" t="s">
        <v>445</v>
      </c>
      <c r="J2726" t="s">
        <v>10327</v>
      </c>
      <c r="K2726" t="s">
        <v>388</v>
      </c>
      <c r="L2726" t="s">
        <v>27</v>
      </c>
      <c r="M2726" t="s">
        <v>28</v>
      </c>
      <c r="N2726" t="s">
        <v>10328</v>
      </c>
      <c r="O2726" t="s">
        <v>27</v>
      </c>
      <c r="P2726" t="s">
        <v>39</v>
      </c>
      <c r="Q2726" t="s">
        <v>31</v>
      </c>
      <c r="R2726" t="s">
        <v>32</v>
      </c>
      <c r="S2726" t="s">
        <v>28</v>
      </c>
      <c r="T2726" t="s">
        <v>10329</v>
      </c>
      <c r="U2726" t="s">
        <v>10330</v>
      </c>
    </row>
    <row r="2727" spans="1:21" x14ac:dyDescent="0.25">
      <c r="A2727" t="s">
        <v>58</v>
      </c>
      <c r="B2727" t="s">
        <v>58</v>
      </c>
      <c r="C2727">
        <v>100</v>
      </c>
      <c r="D2727">
        <v>1</v>
      </c>
      <c r="E2727">
        <v>0</v>
      </c>
      <c r="F2727" t="s">
        <v>10331</v>
      </c>
      <c r="G2727">
        <v>106</v>
      </c>
      <c r="H2727">
        <v>6</v>
      </c>
      <c r="I2727" t="s">
        <v>24</v>
      </c>
      <c r="J2727" t="s">
        <v>10332</v>
      </c>
      <c r="K2727" t="s">
        <v>1772</v>
      </c>
      <c r="L2727" t="s">
        <v>27</v>
      </c>
      <c r="M2727" t="s">
        <v>28</v>
      </c>
      <c r="N2727" t="s">
        <v>10328</v>
      </c>
      <c r="O2727" t="s">
        <v>27</v>
      </c>
      <c r="P2727" t="s">
        <v>56</v>
      </c>
      <c r="Q2727" t="s">
        <v>31</v>
      </c>
      <c r="R2727" t="s">
        <v>57</v>
      </c>
      <c r="S2727" t="s">
        <v>28</v>
      </c>
      <c r="T2727" t="s">
        <v>10333</v>
      </c>
      <c r="U2727" t="s">
        <v>10328</v>
      </c>
    </row>
    <row r="2728" spans="1:21" x14ac:dyDescent="0.25">
      <c r="A2728" t="s">
        <v>21</v>
      </c>
      <c r="B2728" t="s">
        <v>22</v>
      </c>
      <c r="C2728">
        <v>100</v>
      </c>
      <c r="D2728">
        <v>1</v>
      </c>
      <c r="E2728">
        <v>0</v>
      </c>
      <c r="F2728" t="s">
        <v>10334</v>
      </c>
      <c r="G2728">
        <v>106</v>
      </c>
      <c r="H2728">
        <v>6</v>
      </c>
      <c r="I2728" t="s">
        <v>24</v>
      </c>
      <c r="J2728" t="s">
        <v>10302</v>
      </c>
      <c r="K2728" t="s">
        <v>839</v>
      </c>
      <c r="L2728" t="s">
        <v>27</v>
      </c>
      <c r="M2728" t="s">
        <v>28</v>
      </c>
      <c r="N2728" t="s">
        <v>10335</v>
      </c>
      <c r="O2728" t="s">
        <v>27</v>
      </c>
      <c r="P2728" t="s">
        <v>39</v>
      </c>
      <c r="Q2728" t="s">
        <v>31</v>
      </c>
      <c r="R2728" t="s">
        <v>32</v>
      </c>
      <c r="S2728" t="s">
        <v>28</v>
      </c>
      <c r="T2728" t="s">
        <v>10336</v>
      </c>
      <c r="U2728" t="s">
        <v>10335</v>
      </c>
    </row>
    <row r="2729" spans="1:21" x14ac:dyDescent="0.25">
      <c r="A2729" t="s">
        <v>134</v>
      </c>
      <c r="B2729" t="s">
        <v>64</v>
      </c>
      <c r="C2729">
        <v>100</v>
      </c>
      <c r="D2729">
        <v>2</v>
      </c>
      <c r="E2729">
        <v>0</v>
      </c>
      <c r="F2729" t="s">
        <v>10337</v>
      </c>
      <c r="G2729">
        <v>500</v>
      </c>
      <c r="H2729">
        <v>0</v>
      </c>
      <c r="I2729" t="s">
        <v>140</v>
      </c>
      <c r="J2729" t="s">
        <v>2811</v>
      </c>
      <c r="K2729" t="s">
        <v>797</v>
      </c>
      <c r="L2729" t="s">
        <v>27</v>
      </c>
      <c r="M2729" t="s">
        <v>28</v>
      </c>
      <c r="N2729" t="s">
        <v>10338</v>
      </c>
      <c r="O2729" t="s">
        <v>27</v>
      </c>
      <c r="P2729" t="s">
        <v>369</v>
      </c>
      <c r="Q2729" t="s">
        <v>31</v>
      </c>
      <c r="R2729" t="s">
        <v>57</v>
      </c>
      <c r="S2729" t="s">
        <v>28</v>
      </c>
      <c r="T2729" t="s">
        <v>10339</v>
      </c>
      <c r="U2729" t="s">
        <v>10335</v>
      </c>
    </row>
    <row r="2730" spans="1:21" x14ac:dyDescent="0.25">
      <c r="A2730" t="s">
        <v>63</v>
      </c>
      <c r="B2730" t="s">
        <v>64</v>
      </c>
      <c r="C2730">
        <v>100</v>
      </c>
      <c r="D2730">
        <v>3</v>
      </c>
      <c r="E2730">
        <v>0</v>
      </c>
      <c r="F2730" t="s">
        <v>10337</v>
      </c>
      <c r="G2730">
        <v>500</v>
      </c>
      <c r="H2730">
        <v>0</v>
      </c>
      <c r="I2730" t="s">
        <v>140</v>
      </c>
      <c r="J2730" t="s">
        <v>2811</v>
      </c>
      <c r="K2730" t="s">
        <v>797</v>
      </c>
      <c r="L2730" t="s">
        <v>27</v>
      </c>
      <c r="M2730" t="s">
        <v>28</v>
      </c>
      <c r="N2730" t="s">
        <v>10338</v>
      </c>
      <c r="O2730" t="s">
        <v>27</v>
      </c>
      <c r="P2730" t="s">
        <v>369</v>
      </c>
      <c r="Q2730" t="s">
        <v>31</v>
      </c>
      <c r="R2730" t="s">
        <v>57</v>
      </c>
      <c r="S2730" t="s">
        <v>28</v>
      </c>
      <c r="T2730" t="s">
        <v>10339</v>
      </c>
      <c r="U2730" t="s">
        <v>10335</v>
      </c>
    </row>
    <row r="2731" spans="1:21" x14ac:dyDescent="0.25">
      <c r="A2731" t="s">
        <v>63</v>
      </c>
      <c r="B2731" t="s">
        <v>64</v>
      </c>
      <c r="C2731">
        <v>100</v>
      </c>
      <c r="D2731">
        <v>1</v>
      </c>
      <c r="E2731">
        <v>0</v>
      </c>
      <c r="F2731" t="s">
        <v>10340</v>
      </c>
      <c r="G2731">
        <v>200</v>
      </c>
      <c r="H2731">
        <v>0</v>
      </c>
      <c r="I2731" t="s">
        <v>140</v>
      </c>
      <c r="J2731" t="s">
        <v>10341</v>
      </c>
      <c r="K2731" t="s">
        <v>1198</v>
      </c>
      <c r="L2731" t="s">
        <v>27</v>
      </c>
      <c r="M2731" t="s">
        <v>28</v>
      </c>
      <c r="N2731" t="s">
        <v>10342</v>
      </c>
      <c r="O2731" t="s">
        <v>27</v>
      </c>
      <c r="P2731" t="s">
        <v>369</v>
      </c>
      <c r="Q2731" t="s">
        <v>31</v>
      </c>
      <c r="R2731" t="s">
        <v>57</v>
      </c>
      <c r="S2731" t="s">
        <v>28</v>
      </c>
      <c r="T2731" t="s">
        <v>10343</v>
      </c>
      <c r="U2731" t="s">
        <v>10342</v>
      </c>
    </row>
    <row r="2732" spans="1:21" x14ac:dyDescent="0.25">
      <c r="A2732" t="s">
        <v>134</v>
      </c>
      <c r="B2732" t="s">
        <v>64</v>
      </c>
      <c r="C2732">
        <v>100</v>
      </c>
      <c r="D2732">
        <v>1</v>
      </c>
      <c r="E2732">
        <v>0</v>
      </c>
      <c r="F2732" t="s">
        <v>10340</v>
      </c>
      <c r="G2732">
        <v>200</v>
      </c>
      <c r="H2732">
        <v>0</v>
      </c>
      <c r="I2732" t="s">
        <v>140</v>
      </c>
      <c r="J2732" t="s">
        <v>10341</v>
      </c>
      <c r="K2732" t="s">
        <v>1198</v>
      </c>
      <c r="L2732" t="s">
        <v>27</v>
      </c>
      <c r="M2732" t="s">
        <v>28</v>
      </c>
      <c r="N2732" t="s">
        <v>10342</v>
      </c>
      <c r="O2732" t="s">
        <v>27</v>
      </c>
      <c r="P2732" t="s">
        <v>369</v>
      </c>
      <c r="Q2732" t="s">
        <v>31</v>
      </c>
      <c r="R2732" t="s">
        <v>57</v>
      </c>
      <c r="S2732" t="s">
        <v>28</v>
      </c>
      <c r="T2732" t="s">
        <v>10343</v>
      </c>
      <c r="U2732" t="s">
        <v>10342</v>
      </c>
    </row>
    <row r="2733" spans="1:21" x14ac:dyDescent="0.25">
      <c r="A2733" t="s">
        <v>33</v>
      </c>
      <c r="B2733" t="s">
        <v>34</v>
      </c>
      <c r="C2733">
        <v>200</v>
      </c>
      <c r="D2733">
        <v>1</v>
      </c>
      <c r="E2733">
        <v>0</v>
      </c>
      <c r="F2733" t="s">
        <v>10344</v>
      </c>
      <c r="G2733">
        <v>200</v>
      </c>
      <c r="H2733">
        <v>0</v>
      </c>
      <c r="I2733" t="s">
        <v>24</v>
      </c>
      <c r="J2733" t="s">
        <v>10345</v>
      </c>
      <c r="K2733" t="s">
        <v>61</v>
      </c>
      <c r="L2733" t="s">
        <v>27</v>
      </c>
      <c r="M2733" t="s">
        <v>28</v>
      </c>
      <c r="N2733" t="s">
        <v>10346</v>
      </c>
      <c r="O2733" t="s">
        <v>27</v>
      </c>
      <c r="P2733" t="s">
        <v>39</v>
      </c>
      <c r="Q2733" t="s">
        <v>31</v>
      </c>
      <c r="R2733" t="s">
        <v>32</v>
      </c>
      <c r="S2733" t="s">
        <v>28</v>
      </c>
      <c r="T2733" t="s">
        <v>10347</v>
      </c>
      <c r="U2733" t="s">
        <v>10346</v>
      </c>
    </row>
    <row r="2734" spans="1:21" x14ac:dyDescent="0.25">
      <c r="A2734" t="s">
        <v>21</v>
      </c>
      <c r="B2734" t="s">
        <v>22</v>
      </c>
      <c r="C2734">
        <v>100</v>
      </c>
      <c r="D2734">
        <v>2</v>
      </c>
      <c r="E2734">
        <v>0</v>
      </c>
      <c r="F2734" t="s">
        <v>10348</v>
      </c>
      <c r="G2734">
        <v>200</v>
      </c>
      <c r="H2734">
        <v>0</v>
      </c>
      <c r="I2734" t="s">
        <v>24</v>
      </c>
      <c r="J2734" t="s">
        <v>10349</v>
      </c>
      <c r="K2734" t="s">
        <v>677</v>
      </c>
      <c r="L2734" t="s">
        <v>27</v>
      </c>
      <c r="M2734" t="s">
        <v>28</v>
      </c>
      <c r="N2734" t="s">
        <v>10346</v>
      </c>
      <c r="O2734" t="s">
        <v>27</v>
      </c>
      <c r="P2734" t="s">
        <v>56</v>
      </c>
      <c r="Q2734" t="s">
        <v>31</v>
      </c>
      <c r="R2734" t="s">
        <v>57</v>
      </c>
      <c r="S2734" t="s">
        <v>28</v>
      </c>
      <c r="T2734" t="s">
        <v>10350</v>
      </c>
      <c r="U2734" t="s">
        <v>10346</v>
      </c>
    </row>
    <row r="2735" spans="1:21" x14ac:dyDescent="0.25">
      <c r="A2735" t="s">
        <v>21</v>
      </c>
      <c r="B2735" t="s">
        <v>22</v>
      </c>
      <c r="C2735">
        <v>100</v>
      </c>
      <c r="D2735">
        <v>1</v>
      </c>
      <c r="E2735">
        <v>0</v>
      </c>
      <c r="F2735" t="s">
        <v>10351</v>
      </c>
      <c r="G2735">
        <v>100</v>
      </c>
      <c r="H2735">
        <v>0</v>
      </c>
      <c r="I2735" t="s">
        <v>445</v>
      </c>
      <c r="J2735" t="s">
        <v>10352</v>
      </c>
      <c r="K2735" t="s">
        <v>384</v>
      </c>
      <c r="L2735" t="s">
        <v>27</v>
      </c>
      <c r="M2735" t="s">
        <v>28</v>
      </c>
      <c r="N2735" t="s">
        <v>10346</v>
      </c>
      <c r="O2735" t="s">
        <v>27</v>
      </c>
      <c r="P2735" t="s">
        <v>39</v>
      </c>
      <c r="Q2735" t="s">
        <v>31</v>
      </c>
      <c r="R2735" t="s">
        <v>32</v>
      </c>
      <c r="S2735" t="s">
        <v>28</v>
      </c>
      <c r="T2735" t="s">
        <v>10353</v>
      </c>
      <c r="U2735" t="s">
        <v>10346</v>
      </c>
    </row>
    <row r="2736" spans="1:21" x14ac:dyDescent="0.25">
      <c r="A2736" t="s">
        <v>21</v>
      </c>
      <c r="B2736" t="s">
        <v>22</v>
      </c>
      <c r="C2736">
        <v>100</v>
      </c>
      <c r="D2736">
        <v>1</v>
      </c>
      <c r="E2736">
        <v>0</v>
      </c>
      <c r="F2736" t="s">
        <v>10354</v>
      </c>
      <c r="G2736">
        <v>100</v>
      </c>
      <c r="H2736">
        <v>0</v>
      </c>
      <c r="I2736" t="s">
        <v>445</v>
      </c>
      <c r="J2736" t="s">
        <v>10355</v>
      </c>
      <c r="K2736" t="s">
        <v>2243</v>
      </c>
      <c r="L2736" t="s">
        <v>27</v>
      </c>
      <c r="M2736" t="s">
        <v>28</v>
      </c>
      <c r="N2736" t="s">
        <v>10356</v>
      </c>
      <c r="O2736" t="s">
        <v>27</v>
      </c>
      <c r="P2736" t="s">
        <v>39</v>
      </c>
      <c r="Q2736" t="s">
        <v>31</v>
      </c>
      <c r="R2736" t="s">
        <v>32</v>
      </c>
      <c r="S2736" t="s">
        <v>28</v>
      </c>
      <c r="T2736" t="s">
        <v>10357</v>
      </c>
      <c r="U2736" t="s">
        <v>10356</v>
      </c>
    </row>
    <row r="2737" spans="1:21" x14ac:dyDescent="0.25">
      <c r="A2737" t="s">
        <v>21</v>
      </c>
      <c r="B2737" t="s">
        <v>22</v>
      </c>
      <c r="C2737">
        <v>100</v>
      </c>
      <c r="D2737">
        <v>3</v>
      </c>
      <c r="E2737">
        <v>0</v>
      </c>
      <c r="F2737" t="s">
        <v>10358</v>
      </c>
      <c r="G2737">
        <v>300</v>
      </c>
      <c r="H2737">
        <v>0</v>
      </c>
      <c r="I2737" t="s">
        <v>24</v>
      </c>
      <c r="J2737" t="s">
        <v>10359</v>
      </c>
      <c r="K2737" t="s">
        <v>1198</v>
      </c>
      <c r="L2737" t="s">
        <v>27</v>
      </c>
      <c r="M2737" t="s">
        <v>28</v>
      </c>
      <c r="N2737" t="s">
        <v>10360</v>
      </c>
      <c r="O2737" t="s">
        <v>27</v>
      </c>
      <c r="P2737" t="s">
        <v>39</v>
      </c>
      <c r="Q2737" t="s">
        <v>31</v>
      </c>
      <c r="R2737" t="s">
        <v>32</v>
      </c>
      <c r="S2737" t="s">
        <v>28</v>
      </c>
      <c r="T2737" t="s">
        <v>10361</v>
      </c>
      <c r="U2737" t="s">
        <v>10360</v>
      </c>
    </row>
    <row r="2738" spans="1:21" x14ac:dyDescent="0.25">
      <c r="A2738" t="s">
        <v>33</v>
      </c>
      <c r="B2738" t="s">
        <v>34</v>
      </c>
      <c r="C2738">
        <v>200</v>
      </c>
      <c r="D2738">
        <v>1</v>
      </c>
      <c r="E2738">
        <v>0</v>
      </c>
      <c r="F2738" t="s">
        <v>10362</v>
      </c>
      <c r="G2738">
        <v>200</v>
      </c>
      <c r="H2738">
        <v>0</v>
      </c>
      <c r="I2738" t="s">
        <v>445</v>
      </c>
      <c r="J2738" t="s">
        <v>10363</v>
      </c>
      <c r="K2738" t="s">
        <v>1602</v>
      </c>
      <c r="L2738" t="s">
        <v>27</v>
      </c>
      <c r="M2738" t="s">
        <v>28</v>
      </c>
      <c r="N2738" t="s">
        <v>10364</v>
      </c>
      <c r="O2738" t="s">
        <v>27</v>
      </c>
      <c r="P2738" t="s">
        <v>39</v>
      </c>
      <c r="Q2738" t="s">
        <v>31</v>
      </c>
      <c r="R2738" t="s">
        <v>32</v>
      </c>
      <c r="S2738" t="s">
        <v>28</v>
      </c>
      <c r="T2738" t="s">
        <v>10365</v>
      </c>
      <c r="U2738" t="s">
        <v>10366</v>
      </c>
    </row>
    <row r="2739" spans="1:21" x14ac:dyDescent="0.25">
      <c r="A2739" t="s">
        <v>21</v>
      </c>
      <c r="B2739" t="s">
        <v>22</v>
      </c>
      <c r="C2739">
        <v>100</v>
      </c>
      <c r="D2739">
        <v>10</v>
      </c>
      <c r="E2739">
        <v>0</v>
      </c>
      <c r="F2739" t="s">
        <v>10367</v>
      </c>
      <c r="G2739">
        <v>1000</v>
      </c>
      <c r="H2739">
        <v>0</v>
      </c>
      <c r="I2739" t="s">
        <v>140</v>
      </c>
      <c r="J2739" t="s">
        <v>1894</v>
      </c>
      <c r="K2739" t="s">
        <v>1878</v>
      </c>
      <c r="L2739" t="s">
        <v>27</v>
      </c>
      <c r="M2739" t="s">
        <v>28</v>
      </c>
      <c r="N2739" t="s">
        <v>10364</v>
      </c>
      <c r="O2739" t="s">
        <v>27</v>
      </c>
      <c r="P2739" t="s">
        <v>30</v>
      </c>
      <c r="Q2739" t="s">
        <v>31</v>
      </c>
      <c r="R2739" t="s">
        <v>32</v>
      </c>
      <c r="S2739" t="s">
        <v>28</v>
      </c>
      <c r="T2739" t="s">
        <v>10368</v>
      </c>
      <c r="U2739" t="s">
        <v>10364</v>
      </c>
    </row>
    <row r="2740" spans="1:21" x14ac:dyDescent="0.25">
      <c r="A2740" t="s">
        <v>143</v>
      </c>
      <c r="B2740" t="s">
        <v>144</v>
      </c>
      <c r="C2740">
        <v>200</v>
      </c>
      <c r="D2740">
        <v>1</v>
      </c>
      <c r="E2740">
        <v>0</v>
      </c>
      <c r="F2740" t="s">
        <v>10369</v>
      </c>
      <c r="G2740">
        <v>200</v>
      </c>
      <c r="H2740">
        <v>0</v>
      </c>
      <c r="I2740" t="s">
        <v>140</v>
      </c>
      <c r="J2740" t="s">
        <v>10370</v>
      </c>
      <c r="K2740" t="s">
        <v>237</v>
      </c>
      <c r="L2740" t="s">
        <v>27</v>
      </c>
      <c r="M2740" t="s">
        <v>28</v>
      </c>
      <c r="N2740" t="s">
        <v>10371</v>
      </c>
      <c r="O2740" t="s">
        <v>27</v>
      </c>
      <c r="P2740" t="s">
        <v>30</v>
      </c>
      <c r="Q2740" t="s">
        <v>31</v>
      </c>
      <c r="R2740" t="s">
        <v>32</v>
      </c>
      <c r="S2740" t="s">
        <v>28</v>
      </c>
      <c r="T2740" t="s">
        <v>10372</v>
      </c>
      <c r="U2740" t="s">
        <v>10371</v>
      </c>
    </row>
    <row r="2741" spans="1:21" x14ac:dyDescent="0.25">
      <c r="A2741" t="s">
        <v>21</v>
      </c>
      <c r="B2741" t="s">
        <v>22</v>
      </c>
      <c r="C2741">
        <v>100</v>
      </c>
      <c r="D2741">
        <v>2</v>
      </c>
      <c r="E2741">
        <v>0</v>
      </c>
      <c r="F2741" t="s">
        <v>10373</v>
      </c>
      <c r="G2741">
        <v>200</v>
      </c>
      <c r="H2741">
        <v>0</v>
      </c>
      <c r="I2741" t="s">
        <v>24</v>
      </c>
      <c r="J2741" t="s">
        <v>3061</v>
      </c>
      <c r="K2741" t="s">
        <v>250</v>
      </c>
      <c r="L2741" t="s">
        <v>27</v>
      </c>
      <c r="M2741" t="s">
        <v>28</v>
      </c>
      <c r="N2741" t="s">
        <v>10374</v>
      </c>
      <c r="O2741" t="s">
        <v>27</v>
      </c>
      <c r="P2741" t="s">
        <v>39</v>
      </c>
      <c r="Q2741" t="s">
        <v>31</v>
      </c>
      <c r="R2741" t="s">
        <v>32</v>
      </c>
      <c r="S2741" t="s">
        <v>28</v>
      </c>
      <c r="T2741" t="s">
        <v>10375</v>
      </c>
      <c r="U2741" t="s">
        <v>10374</v>
      </c>
    </row>
    <row r="2742" spans="1:21" x14ac:dyDescent="0.25">
      <c r="A2742" t="s">
        <v>33</v>
      </c>
      <c r="B2742" t="s">
        <v>34</v>
      </c>
      <c r="C2742">
        <v>200</v>
      </c>
      <c r="D2742">
        <v>5</v>
      </c>
      <c r="E2742">
        <v>0</v>
      </c>
      <c r="F2742" t="s">
        <v>10376</v>
      </c>
      <c r="G2742">
        <v>1000</v>
      </c>
      <c r="H2742">
        <v>0</v>
      </c>
      <c r="I2742" t="s">
        <v>445</v>
      </c>
      <c r="J2742" t="s">
        <v>10377</v>
      </c>
      <c r="K2742" t="s">
        <v>54</v>
      </c>
      <c r="L2742" t="s">
        <v>27</v>
      </c>
      <c r="M2742" t="s">
        <v>28</v>
      </c>
      <c r="N2742" t="s">
        <v>10378</v>
      </c>
      <c r="O2742" t="s">
        <v>27</v>
      </c>
      <c r="P2742" t="s">
        <v>39</v>
      </c>
      <c r="Q2742" t="s">
        <v>31</v>
      </c>
      <c r="R2742" t="s">
        <v>32</v>
      </c>
      <c r="S2742" t="s">
        <v>28</v>
      </c>
      <c r="T2742" t="s">
        <v>10379</v>
      </c>
      <c r="U2742" t="s">
        <v>10378</v>
      </c>
    </row>
    <row r="2743" spans="1:21" x14ac:dyDescent="0.25">
      <c r="A2743" t="s">
        <v>94</v>
      </c>
      <c r="B2743" t="s">
        <v>95</v>
      </c>
      <c r="C2743">
        <v>19</v>
      </c>
      <c r="D2743">
        <v>1</v>
      </c>
      <c r="E2743">
        <v>0</v>
      </c>
      <c r="F2743" t="s">
        <v>10380</v>
      </c>
      <c r="G2743">
        <v>19</v>
      </c>
      <c r="H2743">
        <v>0</v>
      </c>
      <c r="I2743" t="s">
        <v>24</v>
      </c>
      <c r="J2743" t="s">
        <v>10381</v>
      </c>
      <c r="K2743" t="s">
        <v>10382</v>
      </c>
      <c r="L2743" t="s">
        <v>2399</v>
      </c>
      <c r="M2743" t="s">
        <v>10383</v>
      </c>
      <c r="N2743" t="s">
        <v>10378</v>
      </c>
      <c r="O2743" t="s">
        <v>27</v>
      </c>
      <c r="P2743" t="s">
        <v>48</v>
      </c>
      <c r="Q2743" t="s">
        <v>49</v>
      </c>
      <c r="R2743" t="s">
        <v>50</v>
      </c>
      <c r="S2743" t="s">
        <v>28</v>
      </c>
      <c r="T2743" t="s">
        <v>10384</v>
      </c>
      <c r="U2743" t="s">
        <v>10385</v>
      </c>
    </row>
    <row r="2744" spans="1:21" x14ac:dyDescent="0.25">
      <c r="A2744" t="s">
        <v>21</v>
      </c>
      <c r="B2744" t="s">
        <v>22</v>
      </c>
      <c r="C2744">
        <v>100</v>
      </c>
      <c r="D2744">
        <v>1</v>
      </c>
      <c r="E2744">
        <v>0</v>
      </c>
      <c r="F2744" t="s">
        <v>10386</v>
      </c>
      <c r="G2744">
        <v>106</v>
      </c>
      <c r="H2744">
        <v>6</v>
      </c>
      <c r="I2744" t="s">
        <v>24</v>
      </c>
      <c r="J2744" t="s">
        <v>10387</v>
      </c>
      <c r="K2744" t="s">
        <v>61</v>
      </c>
      <c r="L2744" t="s">
        <v>27</v>
      </c>
      <c r="M2744" t="s">
        <v>28</v>
      </c>
      <c r="N2744" t="s">
        <v>10388</v>
      </c>
      <c r="O2744" t="s">
        <v>27</v>
      </c>
      <c r="P2744" t="s">
        <v>369</v>
      </c>
      <c r="Q2744" t="s">
        <v>31</v>
      </c>
      <c r="R2744" t="s">
        <v>57</v>
      </c>
      <c r="S2744" t="s">
        <v>28</v>
      </c>
      <c r="T2744" t="s">
        <v>10389</v>
      </c>
      <c r="U2744" t="s">
        <v>10388</v>
      </c>
    </row>
    <row r="2745" spans="1:21" x14ac:dyDescent="0.25">
      <c r="A2745" t="s">
        <v>21</v>
      </c>
      <c r="B2745" t="s">
        <v>22</v>
      </c>
      <c r="C2745">
        <v>100</v>
      </c>
      <c r="D2745">
        <v>1</v>
      </c>
      <c r="E2745">
        <v>0</v>
      </c>
      <c r="F2745" t="s">
        <v>10390</v>
      </c>
      <c r="G2745">
        <v>106</v>
      </c>
      <c r="H2745">
        <v>6</v>
      </c>
      <c r="I2745" t="s">
        <v>24</v>
      </c>
      <c r="J2745" t="s">
        <v>10391</v>
      </c>
      <c r="K2745" t="s">
        <v>321</v>
      </c>
      <c r="L2745" t="s">
        <v>27</v>
      </c>
      <c r="M2745" t="s">
        <v>28</v>
      </c>
      <c r="N2745" t="s">
        <v>10388</v>
      </c>
      <c r="O2745" t="s">
        <v>27</v>
      </c>
      <c r="P2745" t="s">
        <v>39</v>
      </c>
      <c r="Q2745" t="s">
        <v>31</v>
      </c>
      <c r="R2745" t="s">
        <v>32</v>
      </c>
      <c r="S2745" t="s">
        <v>28</v>
      </c>
      <c r="T2745" t="s">
        <v>10392</v>
      </c>
      <c r="U2745" t="s">
        <v>10388</v>
      </c>
    </row>
    <row r="2746" spans="1:21" x14ac:dyDescent="0.25">
      <c r="A2746" t="s">
        <v>94</v>
      </c>
      <c r="B2746" t="s">
        <v>95</v>
      </c>
      <c r="C2746">
        <v>15.1</v>
      </c>
      <c r="D2746">
        <v>1</v>
      </c>
      <c r="E2746">
        <v>0</v>
      </c>
      <c r="F2746" t="s">
        <v>10393</v>
      </c>
      <c r="G2746">
        <v>15.1</v>
      </c>
      <c r="H2746">
        <v>0</v>
      </c>
      <c r="I2746" t="s">
        <v>24</v>
      </c>
      <c r="J2746" t="s">
        <v>10394</v>
      </c>
      <c r="K2746" t="s">
        <v>4458</v>
      </c>
      <c r="L2746" t="s">
        <v>4459</v>
      </c>
      <c r="M2746" t="s">
        <v>10395</v>
      </c>
      <c r="N2746" t="s">
        <v>10378</v>
      </c>
      <c r="O2746" t="s">
        <v>27</v>
      </c>
      <c r="P2746" t="s">
        <v>48</v>
      </c>
      <c r="Q2746" t="s">
        <v>49</v>
      </c>
      <c r="R2746" t="s">
        <v>50</v>
      </c>
      <c r="S2746" t="s">
        <v>28</v>
      </c>
      <c r="T2746" t="s">
        <v>10396</v>
      </c>
      <c r="U2746" t="s">
        <v>10397</v>
      </c>
    </row>
    <row r="2747" spans="1:21" x14ac:dyDescent="0.25">
      <c r="A2747" t="s">
        <v>58</v>
      </c>
      <c r="B2747" t="s">
        <v>58</v>
      </c>
      <c r="C2747">
        <v>100</v>
      </c>
      <c r="D2747">
        <v>1</v>
      </c>
      <c r="E2747">
        <v>0</v>
      </c>
      <c r="F2747" t="s">
        <v>10398</v>
      </c>
      <c r="G2747">
        <v>344</v>
      </c>
      <c r="H2747">
        <v>0</v>
      </c>
      <c r="I2747" t="s">
        <v>24</v>
      </c>
      <c r="J2747" t="s">
        <v>10399</v>
      </c>
      <c r="K2747" t="s">
        <v>54</v>
      </c>
      <c r="L2747" t="s">
        <v>27</v>
      </c>
      <c r="M2747" t="s">
        <v>28</v>
      </c>
      <c r="N2747" t="s">
        <v>10400</v>
      </c>
      <c r="O2747" t="s">
        <v>27</v>
      </c>
      <c r="P2747" t="s">
        <v>30</v>
      </c>
      <c r="Q2747" t="s">
        <v>31</v>
      </c>
      <c r="R2747" t="s">
        <v>32</v>
      </c>
      <c r="S2747" t="s">
        <v>28</v>
      </c>
      <c r="T2747" t="s">
        <v>10401</v>
      </c>
      <c r="U2747" t="s">
        <v>10400</v>
      </c>
    </row>
    <row r="2748" spans="1:21" x14ac:dyDescent="0.25">
      <c r="A2748" t="s">
        <v>134</v>
      </c>
      <c r="B2748" t="s">
        <v>64</v>
      </c>
      <c r="C2748">
        <v>100</v>
      </c>
      <c r="D2748">
        <v>1</v>
      </c>
      <c r="E2748">
        <v>0</v>
      </c>
      <c r="F2748" t="s">
        <v>10398</v>
      </c>
      <c r="G2748">
        <v>344</v>
      </c>
      <c r="H2748">
        <v>0</v>
      </c>
      <c r="I2748" t="s">
        <v>24</v>
      </c>
      <c r="J2748" t="s">
        <v>10399</v>
      </c>
      <c r="K2748" t="s">
        <v>54</v>
      </c>
      <c r="L2748" t="s">
        <v>27</v>
      </c>
      <c r="M2748" t="s">
        <v>28</v>
      </c>
      <c r="N2748" t="s">
        <v>10400</v>
      </c>
      <c r="O2748" t="s">
        <v>27</v>
      </c>
      <c r="P2748" t="s">
        <v>30</v>
      </c>
      <c r="Q2748" t="s">
        <v>31</v>
      </c>
      <c r="R2748" t="s">
        <v>32</v>
      </c>
      <c r="S2748" t="s">
        <v>28</v>
      </c>
      <c r="T2748" t="s">
        <v>10401</v>
      </c>
      <c r="U2748" t="s">
        <v>10400</v>
      </c>
    </row>
    <row r="2749" spans="1:21" x14ac:dyDescent="0.25">
      <c r="A2749" t="s">
        <v>2307</v>
      </c>
      <c r="B2749" t="s">
        <v>2308</v>
      </c>
      <c r="C2749">
        <v>400</v>
      </c>
      <c r="D2749">
        <v>1</v>
      </c>
      <c r="E2749">
        <v>0</v>
      </c>
      <c r="F2749" t="s">
        <v>10402</v>
      </c>
      <c r="G2749">
        <v>400</v>
      </c>
      <c r="H2749">
        <v>0</v>
      </c>
      <c r="I2749" t="s">
        <v>140</v>
      </c>
      <c r="J2749" t="s">
        <v>10403</v>
      </c>
      <c r="K2749" t="s">
        <v>4310</v>
      </c>
      <c r="L2749" t="s">
        <v>27</v>
      </c>
      <c r="M2749" t="s">
        <v>28</v>
      </c>
      <c r="N2749" t="s">
        <v>10404</v>
      </c>
      <c r="O2749" t="s">
        <v>27</v>
      </c>
      <c r="P2749" t="s">
        <v>30</v>
      </c>
      <c r="Q2749" t="s">
        <v>31</v>
      </c>
      <c r="R2749" t="s">
        <v>32</v>
      </c>
      <c r="S2749" t="s">
        <v>28</v>
      </c>
      <c r="T2749" t="s">
        <v>10405</v>
      </c>
      <c r="U2749" t="s">
        <v>10404</v>
      </c>
    </row>
    <row r="2750" spans="1:21" x14ac:dyDescent="0.25">
      <c r="A2750" t="s">
        <v>21</v>
      </c>
      <c r="B2750" t="s">
        <v>22</v>
      </c>
      <c r="C2750">
        <v>100</v>
      </c>
      <c r="D2750">
        <v>1</v>
      </c>
      <c r="E2750">
        <v>0</v>
      </c>
      <c r="F2750" t="s">
        <v>10406</v>
      </c>
      <c r="G2750">
        <v>106</v>
      </c>
      <c r="H2750">
        <v>6</v>
      </c>
      <c r="I2750" t="s">
        <v>24</v>
      </c>
      <c r="J2750" t="s">
        <v>10407</v>
      </c>
      <c r="K2750" t="s">
        <v>137</v>
      </c>
      <c r="L2750" t="s">
        <v>27</v>
      </c>
      <c r="M2750" t="s">
        <v>28</v>
      </c>
      <c r="N2750" t="s">
        <v>10408</v>
      </c>
      <c r="O2750" t="s">
        <v>27</v>
      </c>
      <c r="P2750" t="s">
        <v>39</v>
      </c>
      <c r="Q2750" t="s">
        <v>31</v>
      </c>
      <c r="R2750" t="s">
        <v>32</v>
      </c>
      <c r="S2750" t="s">
        <v>28</v>
      </c>
      <c r="T2750" t="s">
        <v>10409</v>
      </c>
      <c r="U2750" t="s">
        <v>10404</v>
      </c>
    </row>
    <row r="2751" spans="1:21" x14ac:dyDescent="0.25">
      <c r="A2751" t="s">
        <v>21</v>
      </c>
      <c r="B2751" t="s">
        <v>22</v>
      </c>
      <c r="C2751">
        <v>100</v>
      </c>
      <c r="D2751">
        <v>2</v>
      </c>
      <c r="E2751">
        <v>0</v>
      </c>
      <c r="F2751" t="s">
        <v>10410</v>
      </c>
      <c r="G2751">
        <v>200</v>
      </c>
      <c r="H2751">
        <v>0</v>
      </c>
      <c r="I2751" t="s">
        <v>445</v>
      </c>
      <c r="J2751" t="s">
        <v>10411</v>
      </c>
      <c r="K2751" t="s">
        <v>10412</v>
      </c>
      <c r="L2751" t="s">
        <v>27</v>
      </c>
      <c r="M2751" t="s">
        <v>28</v>
      </c>
      <c r="N2751" t="s">
        <v>10413</v>
      </c>
      <c r="O2751" t="s">
        <v>27</v>
      </c>
      <c r="P2751" t="s">
        <v>39</v>
      </c>
      <c r="Q2751" t="s">
        <v>31</v>
      </c>
      <c r="R2751" t="s">
        <v>32</v>
      </c>
      <c r="S2751" t="s">
        <v>28</v>
      </c>
      <c r="T2751" t="s">
        <v>10414</v>
      </c>
      <c r="U2751" t="s">
        <v>10413</v>
      </c>
    </row>
    <row r="2752" spans="1:21" x14ac:dyDescent="0.25">
      <c r="A2752" t="s">
        <v>21</v>
      </c>
      <c r="B2752" t="s">
        <v>22</v>
      </c>
      <c r="C2752">
        <v>100</v>
      </c>
      <c r="D2752">
        <v>1</v>
      </c>
      <c r="E2752">
        <v>0</v>
      </c>
      <c r="F2752" t="s">
        <v>10415</v>
      </c>
      <c r="G2752">
        <v>106</v>
      </c>
      <c r="H2752">
        <v>6</v>
      </c>
      <c r="I2752" t="s">
        <v>445</v>
      </c>
      <c r="J2752" t="s">
        <v>10416</v>
      </c>
      <c r="K2752" t="s">
        <v>451</v>
      </c>
      <c r="L2752" t="s">
        <v>27</v>
      </c>
      <c r="M2752" t="s">
        <v>28</v>
      </c>
      <c r="N2752" t="s">
        <v>10417</v>
      </c>
      <c r="O2752" t="s">
        <v>27</v>
      </c>
      <c r="P2752" t="s">
        <v>39</v>
      </c>
      <c r="Q2752" t="s">
        <v>31</v>
      </c>
      <c r="R2752" t="s">
        <v>32</v>
      </c>
      <c r="S2752" t="s">
        <v>28</v>
      </c>
      <c r="T2752" t="s">
        <v>10418</v>
      </c>
      <c r="U2752" t="s">
        <v>10417</v>
      </c>
    </row>
    <row r="2753" spans="1:21" x14ac:dyDescent="0.25">
      <c r="A2753" t="s">
        <v>456</v>
      </c>
      <c r="B2753" t="s">
        <v>457</v>
      </c>
      <c r="C2753">
        <v>197</v>
      </c>
      <c r="D2753">
        <v>1</v>
      </c>
      <c r="E2753">
        <v>0</v>
      </c>
      <c r="F2753" t="s">
        <v>10419</v>
      </c>
      <c r="G2753">
        <v>237</v>
      </c>
      <c r="H2753">
        <v>45</v>
      </c>
      <c r="I2753" t="s">
        <v>445</v>
      </c>
      <c r="J2753" t="s">
        <v>10420</v>
      </c>
      <c r="K2753" t="s">
        <v>10421</v>
      </c>
      <c r="L2753" t="s">
        <v>10422</v>
      </c>
      <c r="M2753" t="s">
        <v>1398</v>
      </c>
      <c r="N2753" t="s">
        <v>10417</v>
      </c>
      <c r="O2753" t="s">
        <v>27</v>
      </c>
      <c r="P2753" t="s">
        <v>84</v>
      </c>
      <c r="Q2753" t="s">
        <v>85</v>
      </c>
      <c r="R2753" t="s">
        <v>86</v>
      </c>
      <c r="S2753" t="s">
        <v>28</v>
      </c>
      <c r="T2753" t="s">
        <v>10423</v>
      </c>
      <c r="U2753" t="s">
        <v>10424</v>
      </c>
    </row>
    <row r="2754" spans="1:21" x14ac:dyDescent="0.25">
      <c r="A2754" t="s">
        <v>21</v>
      </c>
      <c r="B2754" t="s">
        <v>22</v>
      </c>
      <c r="C2754">
        <v>100</v>
      </c>
      <c r="D2754">
        <v>1</v>
      </c>
      <c r="E2754">
        <v>0</v>
      </c>
      <c r="F2754" t="s">
        <v>10425</v>
      </c>
      <c r="G2754">
        <v>200</v>
      </c>
      <c r="H2754">
        <v>0</v>
      </c>
      <c r="I2754" t="s">
        <v>445</v>
      </c>
      <c r="J2754" t="s">
        <v>10426</v>
      </c>
      <c r="K2754" t="s">
        <v>209</v>
      </c>
      <c r="L2754" t="s">
        <v>27</v>
      </c>
      <c r="M2754" t="s">
        <v>28</v>
      </c>
      <c r="N2754" t="s">
        <v>10424</v>
      </c>
      <c r="O2754" t="s">
        <v>27</v>
      </c>
      <c r="P2754" t="s">
        <v>39</v>
      </c>
      <c r="Q2754" t="s">
        <v>31</v>
      </c>
      <c r="R2754" t="s">
        <v>32</v>
      </c>
      <c r="S2754" t="s">
        <v>28</v>
      </c>
      <c r="T2754" t="s">
        <v>10427</v>
      </c>
      <c r="U2754" t="s">
        <v>10424</v>
      </c>
    </row>
    <row r="2755" spans="1:21" x14ac:dyDescent="0.25">
      <c r="A2755" t="s">
        <v>58</v>
      </c>
      <c r="B2755" t="s">
        <v>58</v>
      </c>
      <c r="C2755">
        <v>100</v>
      </c>
      <c r="D2755">
        <v>1</v>
      </c>
      <c r="E2755">
        <v>0</v>
      </c>
      <c r="F2755" t="s">
        <v>10425</v>
      </c>
      <c r="G2755">
        <v>200</v>
      </c>
      <c r="H2755">
        <v>0</v>
      </c>
      <c r="I2755" t="s">
        <v>445</v>
      </c>
      <c r="J2755" t="s">
        <v>10426</v>
      </c>
      <c r="K2755" t="s">
        <v>209</v>
      </c>
      <c r="L2755" t="s">
        <v>27</v>
      </c>
      <c r="M2755" t="s">
        <v>28</v>
      </c>
      <c r="N2755" t="s">
        <v>10424</v>
      </c>
      <c r="O2755" t="s">
        <v>27</v>
      </c>
      <c r="P2755" t="s">
        <v>39</v>
      </c>
      <c r="Q2755" t="s">
        <v>31</v>
      </c>
      <c r="R2755" t="s">
        <v>32</v>
      </c>
      <c r="S2755" t="s">
        <v>28</v>
      </c>
      <c r="T2755" t="s">
        <v>10427</v>
      </c>
      <c r="U2755" t="s">
        <v>10424</v>
      </c>
    </row>
    <row r="2756" spans="1:21" x14ac:dyDescent="0.25">
      <c r="A2756" t="s">
        <v>21</v>
      </c>
      <c r="B2756" t="s">
        <v>22</v>
      </c>
      <c r="C2756">
        <v>100</v>
      </c>
      <c r="D2756">
        <v>1</v>
      </c>
      <c r="E2756">
        <v>0</v>
      </c>
      <c r="F2756" t="s">
        <v>10428</v>
      </c>
      <c r="G2756">
        <v>106</v>
      </c>
      <c r="H2756">
        <v>6</v>
      </c>
      <c r="I2756" t="s">
        <v>445</v>
      </c>
      <c r="J2756" t="s">
        <v>10429</v>
      </c>
      <c r="K2756" t="s">
        <v>73</v>
      </c>
      <c r="L2756" t="s">
        <v>27</v>
      </c>
      <c r="M2756" t="s">
        <v>28</v>
      </c>
      <c r="N2756" t="s">
        <v>10430</v>
      </c>
      <c r="O2756" t="s">
        <v>27</v>
      </c>
      <c r="P2756" t="s">
        <v>39</v>
      </c>
      <c r="Q2756" t="s">
        <v>31</v>
      </c>
      <c r="R2756" t="s">
        <v>32</v>
      </c>
      <c r="S2756" t="s">
        <v>28</v>
      </c>
      <c r="T2756" t="s">
        <v>10431</v>
      </c>
      <c r="U2756" t="s">
        <v>10430</v>
      </c>
    </row>
    <row r="2757" spans="1:21" x14ac:dyDescent="0.25">
      <c r="A2757" t="s">
        <v>21</v>
      </c>
      <c r="B2757" t="s">
        <v>22</v>
      </c>
      <c r="C2757">
        <v>100</v>
      </c>
      <c r="D2757">
        <v>1</v>
      </c>
      <c r="E2757">
        <v>0</v>
      </c>
      <c r="F2757" t="s">
        <v>10432</v>
      </c>
      <c r="G2757">
        <v>106</v>
      </c>
      <c r="H2757">
        <v>6</v>
      </c>
      <c r="I2757" t="s">
        <v>445</v>
      </c>
      <c r="J2757" t="s">
        <v>10433</v>
      </c>
      <c r="K2757" t="s">
        <v>155</v>
      </c>
      <c r="L2757" t="s">
        <v>27</v>
      </c>
      <c r="M2757" t="s">
        <v>28</v>
      </c>
      <c r="N2757" t="s">
        <v>10434</v>
      </c>
      <c r="O2757" t="s">
        <v>27</v>
      </c>
      <c r="P2757" t="s">
        <v>39</v>
      </c>
      <c r="Q2757" t="s">
        <v>31</v>
      </c>
      <c r="R2757" t="s">
        <v>32</v>
      </c>
      <c r="S2757" t="s">
        <v>28</v>
      </c>
      <c r="T2757" t="s">
        <v>10435</v>
      </c>
      <c r="U2757" t="s">
        <v>10434</v>
      </c>
    </row>
    <row r="2758" spans="1:21" x14ac:dyDescent="0.25">
      <c r="A2758" t="s">
        <v>21</v>
      </c>
      <c r="B2758" t="s">
        <v>22</v>
      </c>
      <c r="C2758">
        <v>100</v>
      </c>
      <c r="D2758">
        <v>1</v>
      </c>
      <c r="E2758">
        <v>0</v>
      </c>
      <c r="F2758" t="s">
        <v>10436</v>
      </c>
      <c r="G2758">
        <v>106</v>
      </c>
      <c r="H2758">
        <v>6</v>
      </c>
      <c r="I2758" t="s">
        <v>24</v>
      </c>
      <c r="J2758" t="s">
        <v>10437</v>
      </c>
      <c r="K2758" t="s">
        <v>579</v>
      </c>
      <c r="L2758" t="s">
        <v>27</v>
      </c>
      <c r="M2758" t="s">
        <v>28</v>
      </c>
      <c r="N2758" t="s">
        <v>10434</v>
      </c>
      <c r="O2758" t="s">
        <v>27</v>
      </c>
      <c r="P2758" t="s">
        <v>39</v>
      </c>
      <c r="Q2758" t="s">
        <v>31</v>
      </c>
      <c r="R2758" t="s">
        <v>32</v>
      </c>
      <c r="S2758" t="s">
        <v>28</v>
      </c>
      <c r="T2758" t="s">
        <v>10438</v>
      </c>
      <c r="U2758" t="s">
        <v>10434</v>
      </c>
    </row>
    <row r="2759" spans="1:21" x14ac:dyDescent="0.25">
      <c r="A2759" t="s">
        <v>58</v>
      </c>
      <c r="B2759" t="s">
        <v>58</v>
      </c>
      <c r="C2759">
        <v>100</v>
      </c>
      <c r="D2759">
        <v>1</v>
      </c>
      <c r="E2759">
        <v>0</v>
      </c>
      <c r="F2759" t="s">
        <v>10439</v>
      </c>
      <c r="G2759">
        <v>145</v>
      </c>
      <c r="H2759">
        <v>45</v>
      </c>
      <c r="I2759" t="s">
        <v>140</v>
      </c>
      <c r="J2759" t="s">
        <v>10440</v>
      </c>
      <c r="K2759" t="s">
        <v>3150</v>
      </c>
      <c r="L2759" t="s">
        <v>27</v>
      </c>
      <c r="M2759" t="s">
        <v>28</v>
      </c>
      <c r="N2759" t="s">
        <v>10441</v>
      </c>
      <c r="O2759" t="s">
        <v>27</v>
      </c>
      <c r="P2759" t="s">
        <v>30</v>
      </c>
      <c r="Q2759" t="s">
        <v>31</v>
      </c>
      <c r="R2759" t="s">
        <v>32</v>
      </c>
      <c r="S2759" t="s">
        <v>28</v>
      </c>
      <c r="T2759" t="s">
        <v>10442</v>
      </c>
      <c r="U2759" t="s">
        <v>10441</v>
      </c>
    </row>
    <row r="2760" spans="1:21" x14ac:dyDescent="0.25">
      <c r="A2760" t="s">
        <v>33</v>
      </c>
      <c r="B2760" t="s">
        <v>34</v>
      </c>
      <c r="C2760">
        <v>200</v>
      </c>
      <c r="D2760">
        <v>1</v>
      </c>
      <c r="E2760">
        <v>0</v>
      </c>
      <c r="F2760" t="s">
        <v>10443</v>
      </c>
      <c r="G2760">
        <v>200</v>
      </c>
      <c r="H2760">
        <v>0</v>
      </c>
      <c r="I2760" t="s">
        <v>445</v>
      </c>
      <c r="J2760" t="s">
        <v>10444</v>
      </c>
      <c r="K2760" t="s">
        <v>611</v>
      </c>
      <c r="L2760" t="s">
        <v>27</v>
      </c>
      <c r="M2760" t="s">
        <v>28</v>
      </c>
      <c r="N2760" t="s">
        <v>10445</v>
      </c>
      <c r="O2760" t="s">
        <v>27</v>
      </c>
      <c r="P2760" t="s">
        <v>39</v>
      </c>
      <c r="Q2760" t="s">
        <v>31</v>
      </c>
      <c r="R2760" t="s">
        <v>32</v>
      </c>
      <c r="S2760" t="s">
        <v>28</v>
      </c>
      <c r="T2760" t="s">
        <v>10446</v>
      </c>
      <c r="U2760" t="s">
        <v>10445</v>
      </c>
    </row>
    <row r="2761" spans="1:21" x14ac:dyDescent="0.25">
      <c r="A2761" t="s">
        <v>63</v>
      </c>
      <c r="B2761" t="s">
        <v>64</v>
      </c>
      <c r="C2761">
        <v>100</v>
      </c>
      <c r="D2761">
        <v>1</v>
      </c>
      <c r="E2761">
        <v>0</v>
      </c>
      <c r="F2761" t="s">
        <v>10447</v>
      </c>
      <c r="G2761">
        <v>106</v>
      </c>
      <c r="H2761">
        <v>6</v>
      </c>
      <c r="I2761" t="s">
        <v>24</v>
      </c>
      <c r="J2761" t="s">
        <v>4018</v>
      </c>
      <c r="K2761" t="s">
        <v>151</v>
      </c>
      <c r="L2761" t="s">
        <v>27</v>
      </c>
      <c r="M2761" t="s">
        <v>28</v>
      </c>
      <c r="N2761" t="s">
        <v>10448</v>
      </c>
      <c r="O2761" t="s">
        <v>27</v>
      </c>
      <c r="P2761" t="s">
        <v>39</v>
      </c>
      <c r="Q2761" t="s">
        <v>31</v>
      </c>
      <c r="R2761" t="s">
        <v>32</v>
      </c>
      <c r="S2761" t="s">
        <v>28</v>
      </c>
      <c r="T2761" t="s">
        <v>10449</v>
      </c>
      <c r="U2761" t="s">
        <v>10450</v>
      </c>
    </row>
    <row r="2762" spans="1:21" x14ac:dyDescent="0.25">
      <c r="A2762" t="s">
        <v>33</v>
      </c>
      <c r="B2762" t="s">
        <v>34</v>
      </c>
      <c r="C2762">
        <v>200</v>
      </c>
      <c r="D2762">
        <v>1</v>
      </c>
      <c r="E2762">
        <v>0</v>
      </c>
      <c r="F2762" t="s">
        <v>10451</v>
      </c>
      <c r="G2762">
        <v>200</v>
      </c>
      <c r="H2762">
        <v>0</v>
      </c>
      <c r="I2762" t="s">
        <v>445</v>
      </c>
      <c r="J2762" t="s">
        <v>10452</v>
      </c>
      <c r="K2762" t="s">
        <v>711</v>
      </c>
      <c r="L2762" t="s">
        <v>27</v>
      </c>
      <c r="M2762" t="s">
        <v>28</v>
      </c>
      <c r="N2762" t="s">
        <v>10453</v>
      </c>
      <c r="O2762" t="s">
        <v>27</v>
      </c>
      <c r="P2762" t="s">
        <v>39</v>
      </c>
      <c r="Q2762" t="s">
        <v>31</v>
      </c>
      <c r="R2762" t="s">
        <v>32</v>
      </c>
      <c r="S2762" t="s">
        <v>28</v>
      </c>
      <c r="T2762" t="s">
        <v>10454</v>
      </c>
      <c r="U2762" t="s">
        <v>10455</v>
      </c>
    </row>
    <row r="2763" spans="1:21" x14ac:dyDescent="0.25">
      <c r="A2763" t="s">
        <v>58</v>
      </c>
      <c r="B2763" t="s">
        <v>103</v>
      </c>
      <c r="C2763">
        <v>99.75</v>
      </c>
      <c r="D2763">
        <v>1</v>
      </c>
      <c r="E2763">
        <v>0</v>
      </c>
      <c r="F2763" t="s">
        <v>10456</v>
      </c>
      <c r="G2763">
        <v>104.75</v>
      </c>
      <c r="H2763">
        <v>5</v>
      </c>
      <c r="I2763" t="s">
        <v>105</v>
      </c>
      <c r="J2763" t="s">
        <v>10457</v>
      </c>
      <c r="K2763" t="s">
        <v>10458</v>
      </c>
      <c r="L2763" t="s">
        <v>3704</v>
      </c>
      <c r="M2763" t="s">
        <v>10459</v>
      </c>
      <c r="N2763" t="s">
        <v>10448</v>
      </c>
      <c r="O2763" t="s">
        <v>27</v>
      </c>
      <c r="P2763" t="s">
        <v>48</v>
      </c>
      <c r="Q2763" t="s">
        <v>49</v>
      </c>
      <c r="R2763" t="s">
        <v>50</v>
      </c>
      <c r="S2763" t="s">
        <v>28</v>
      </c>
      <c r="T2763" t="s">
        <v>10460</v>
      </c>
      <c r="U2763" t="s">
        <v>10448</v>
      </c>
    </row>
    <row r="2764" spans="1:21" x14ac:dyDescent="0.25">
      <c r="A2764" t="s">
        <v>21</v>
      </c>
      <c r="B2764" t="s">
        <v>22</v>
      </c>
      <c r="C2764">
        <v>100</v>
      </c>
      <c r="D2764">
        <v>1</v>
      </c>
      <c r="E2764">
        <v>0</v>
      </c>
      <c r="F2764" t="s">
        <v>10461</v>
      </c>
      <c r="G2764">
        <v>106</v>
      </c>
      <c r="H2764">
        <v>6</v>
      </c>
      <c r="I2764" t="s">
        <v>24</v>
      </c>
      <c r="J2764" t="s">
        <v>10462</v>
      </c>
      <c r="K2764" t="s">
        <v>61</v>
      </c>
      <c r="L2764" t="s">
        <v>27</v>
      </c>
      <c r="M2764" t="s">
        <v>28</v>
      </c>
      <c r="N2764" t="s">
        <v>10463</v>
      </c>
      <c r="O2764" t="s">
        <v>27</v>
      </c>
      <c r="P2764" t="s">
        <v>39</v>
      </c>
      <c r="Q2764" t="s">
        <v>31</v>
      </c>
      <c r="R2764" t="s">
        <v>32</v>
      </c>
      <c r="S2764" t="s">
        <v>28</v>
      </c>
      <c r="T2764" t="s">
        <v>10464</v>
      </c>
      <c r="U2764" t="s">
        <v>10465</v>
      </c>
    </row>
    <row r="2765" spans="1:21" x14ac:dyDescent="0.25">
      <c r="A2765" t="s">
        <v>21</v>
      </c>
      <c r="B2765" t="s">
        <v>22</v>
      </c>
      <c r="C2765">
        <v>100</v>
      </c>
      <c r="D2765">
        <v>1</v>
      </c>
      <c r="E2765">
        <v>0</v>
      </c>
      <c r="F2765" t="s">
        <v>10466</v>
      </c>
      <c r="G2765">
        <v>106</v>
      </c>
      <c r="H2765">
        <v>6</v>
      </c>
      <c r="I2765" t="s">
        <v>24</v>
      </c>
      <c r="J2765" t="s">
        <v>10467</v>
      </c>
      <c r="K2765" t="s">
        <v>151</v>
      </c>
      <c r="L2765" t="s">
        <v>27</v>
      </c>
      <c r="M2765" t="s">
        <v>28</v>
      </c>
      <c r="N2765" t="s">
        <v>10468</v>
      </c>
      <c r="O2765" t="s">
        <v>27</v>
      </c>
      <c r="P2765" t="s">
        <v>39</v>
      </c>
      <c r="Q2765" t="s">
        <v>31</v>
      </c>
      <c r="R2765" t="s">
        <v>32</v>
      </c>
      <c r="S2765" t="s">
        <v>28</v>
      </c>
      <c r="T2765" t="s">
        <v>10469</v>
      </c>
      <c r="U2765" t="s">
        <v>10465</v>
      </c>
    </row>
    <row r="2766" spans="1:21" x14ac:dyDescent="0.25">
      <c r="A2766" t="s">
        <v>21</v>
      </c>
      <c r="B2766" t="s">
        <v>22</v>
      </c>
      <c r="C2766">
        <v>100</v>
      </c>
      <c r="D2766">
        <v>1</v>
      </c>
      <c r="E2766">
        <v>0</v>
      </c>
      <c r="F2766" t="s">
        <v>10470</v>
      </c>
      <c r="G2766">
        <v>100</v>
      </c>
      <c r="H2766">
        <v>0</v>
      </c>
      <c r="I2766" t="s">
        <v>445</v>
      </c>
      <c r="J2766" t="s">
        <v>2370</v>
      </c>
      <c r="K2766" t="s">
        <v>213</v>
      </c>
      <c r="L2766" t="s">
        <v>27</v>
      </c>
      <c r="M2766" t="s">
        <v>28</v>
      </c>
      <c r="N2766" t="s">
        <v>10468</v>
      </c>
      <c r="O2766" t="s">
        <v>27</v>
      </c>
      <c r="P2766" t="s">
        <v>39</v>
      </c>
      <c r="Q2766" t="s">
        <v>31</v>
      </c>
      <c r="R2766" t="s">
        <v>32</v>
      </c>
      <c r="S2766" t="s">
        <v>28</v>
      </c>
      <c r="T2766" t="s">
        <v>10471</v>
      </c>
      <c r="U2766" t="s">
        <v>10465</v>
      </c>
    </row>
    <row r="2767" spans="1:21" x14ac:dyDescent="0.25">
      <c r="A2767" t="s">
        <v>134</v>
      </c>
      <c r="B2767" t="s">
        <v>64</v>
      </c>
      <c r="C2767">
        <v>100</v>
      </c>
      <c r="D2767">
        <v>1</v>
      </c>
      <c r="E2767">
        <v>0</v>
      </c>
      <c r="F2767" t="s">
        <v>10472</v>
      </c>
      <c r="G2767">
        <v>106</v>
      </c>
      <c r="H2767">
        <v>6</v>
      </c>
      <c r="I2767" t="s">
        <v>140</v>
      </c>
      <c r="J2767" t="s">
        <v>10473</v>
      </c>
      <c r="K2767" t="s">
        <v>89</v>
      </c>
      <c r="L2767" t="s">
        <v>27</v>
      </c>
      <c r="M2767" t="s">
        <v>28</v>
      </c>
      <c r="N2767" t="s">
        <v>10474</v>
      </c>
      <c r="O2767" t="s">
        <v>27</v>
      </c>
      <c r="P2767" t="s">
        <v>369</v>
      </c>
      <c r="Q2767" t="s">
        <v>31</v>
      </c>
      <c r="R2767" t="s">
        <v>57</v>
      </c>
      <c r="S2767" t="s">
        <v>28</v>
      </c>
      <c r="T2767" t="s">
        <v>10475</v>
      </c>
      <c r="U2767" t="s">
        <v>10465</v>
      </c>
    </row>
    <row r="2768" spans="1:21" x14ac:dyDescent="0.25">
      <c r="A2768" t="s">
        <v>58</v>
      </c>
      <c r="B2768" t="s">
        <v>58</v>
      </c>
      <c r="C2768">
        <v>100</v>
      </c>
      <c r="D2768">
        <v>2</v>
      </c>
      <c r="E2768">
        <v>0</v>
      </c>
      <c r="F2768" t="s">
        <v>10476</v>
      </c>
      <c r="G2768">
        <v>200</v>
      </c>
      <c r="H2768">
        <v>0</v>
      </c>
      <c r="I2768" t="s">
        <v>445</v>
      </c>
      <c r="J2768" t="s">
        <v>188</v>
      </c>
      <c r="K2768" t="s">
        <v>10477</v>
      </c>
      <c r="L2768" t="s">
        <v>2291</v>
      </c>
      <c r="M2768" t="s">
        <v>7030</v>
      </c>
      <c r="N2768" t="s">
        <v>10478</v>
      </c>
      <c r="O2768" t="s">
        <v>27</v>
      </c>
      <c r="P2768" t="s">
        <v>193</v>
      </c>
      <c r="Q2768" t="s">
        <v>85</v>
      </c>
      <c r="R2768" t="s">
        <v>86</v>
      </c>
      <c r="S2768" t="s">
        <v>28</v>
      </c>
      <c r="T2768" t="s">
        <v>10479</v>
      </c>
      <c r="U2768" t="s">
        <v>10480</v>
      </c>
    </row>
    <row r="2769" spans="1:21" x14ac:dyDescent="0.25">
      <c r="A2769" t="s">
        <v>21</v>
      </c>
      <c r="B2769" t="s">
        <v>22</v>
      </c>
      <c r="C2769">
        <v>100</v>
      </c>
      <c r="D2769">
        <v>1</v>
      </c>
      <c r="E2769">
        <v>0</v>
      </c>
      <c r="F2769" t="s">
        <v>10481</v>
      </c>
      <c r="G2769">
        <v>100</v>
      </c>
      <c r="H2769">
        <v>0</v>
      </c>
      <c r="I2769" t="s">
        <v>24</v>
      </c>
      <c r="J2769" t="s">
        <v>10482</v>
      </c>
      <c r="K2769" t="s">
        <v>10483</v>
      </c>
      <c r="L2769" t="s">
        <v>27</v>
      </c>
      <c r="M2769" t="s">
        <v>28</v>
      </c>
      <c r="N2769" t="s">
        <v>10484</v>
      </c>
      <c r="O2769" t="s">
        <v>27</v>
      </c>
      <c r="P2769" t="s">
        <v>39</v>
      </c>
      <c r="Q2769" t="s">
        <v>31</v>
      </c>
      <c r="R2769" t="s">
        <v>32</v>
      </c>
      <c r="S2769" t="s">
        <v>28</v>
      </c>
      <c r="T2769" t="s">
        <v>10485</v>
      </c>
      <c r="U2769" t="s">
        <v>10486</v>
      </c>
    </row>
    <row r="2770" spans="1:21" x14ac:dyDescent="0.25">
      <c r="A2770" t="s">
        <v>33</v>
      </c>
      <c r="B2770" t="s">
        <v>34</v>
      </c>
      <c r="C2770">
        <v>200</v>
      </c>
      <c r="D2770">
        <v>1</v>
      </c>
      <c r="E2770">
        <v>0</v>
      </c>
      <c r="F2770" t="s">
        <v>10487</v>
      </c>
      <c r="G2770">
        <v>200</v>
      </c>
      <c r="H2770">
        <v>0</v>
      </c>
      <c r="I2770" t="s">
        <v>24</v>
      </c>
      <c r="J2770" t="s">
        <v>10488</v>
      </c>
      <c r="K2770" t="s">
        <v>67</v>
      </c>
      <c r="L2770" t="s">
        <v>27</v>
      </c>
      <c r="M2770" t="s">
        <v>28</v>
      </c>
      <c r="N2770" t="s">
        <v>10489</v>
      </c>
      <c r="O2770" t="s">
        <v>27</v>
      </c>
      <c r="P2770" t="s">
        <v>39</v>
      </c>
      <c r="Q2770" t="s">
        <v>31</v>
      </c>
      <c r="R2770" t="s">
        <v>32</v>
      </c>
      <c r="S2770" t="s">
        <v>28</v>
      </c>
      <c r="T2770" t="s">
        <v>10490</v>
      </c>
      <c r="U2770" t="s">
        <v>10486</v>
      </c>
    </row>
    <row r="2771" spans="1:21" x14ac:dyDescent="0.25">
      <c r="A2771" t="s">
        <v>33</v>
      </c>
      <c r="B2771" t="s">
        <v>34</v>
      </c>
      <c r="C2771">
        <v>200</v>
      </c>
      <c r="D2771">
        <v>1</v>
      </c>
      <c r="E2771">
        <v>0</v>
      </c>
      <c r="F2771" t="s">
        <v>10491</v>
      </c>
      <c r="G2771">
        <v>200</v>
      </c>
      <c r="H2771">
        <v>0</v>
      </c>
      <c r="I2771" t="s">
        <v>24</v>
      </c>
      <c r="J2771" t="s">
        <v>10492</v>
      </c>
      <c r="K2771" t="s">
        <v>753</v>
      </c>
      <c r="L2771" t="s">
        <v>27</v>
      </c>
      <c r="M2771" t="s">
        <v>28</v>
      </c>
      <c r="N2771" t="s">
        <v>10493</v>
      </c>
      <c r="O2771" t="s">
        <v>27</v>
      </c>
      <c r="P2771" t="s">
        <v>39</v>
      </c>
      <c r="Q2771" t="s">
        <v>31</v>
      </c>
      <c r="R2771" t="s">
        <v>32</v>
      </c>
      <c r="S2771" t="s">
        <v>28</v>
      </c>
      <c r="T2771" t="s">
        <v>10494</v>
      </c>
      <c r="U2771" t="s">
        <v>10495</v>
      </c>
    </row>
    <row r="2772" spans="1:21" x14ac:dyDescent="0.25">
      <c r="A2772" t="s">
        <v>21</v>
      </c>
      <c r="B2772" t="s">
        <v>22</v>
      </c>
      <c r="C2772">
        <v>100</v>
      </c>
      <c r="D2772">
        <v>1</v>
      </c>
      <c r="E2772">
        <v>0</v>
      </c>
      <c r="F2772" t="s">
        <v>10496</v>
      </c>
      <c r="G2772">
        <v>100</v>
      </c>
      <c r="H2772">
        <v>0</v>
      </c>
      <c r="I2772" t="s">
        <v>24</v>
      </c>
      <c r="J2772" t="s">
        <v>10497</v>
      </c>
      <c r="K2772" t="s">
        <v>213</v>
      </c>
      <c r="L2772" t="s">
        <v>27</v>
      </c>
      <c r="M2772" t="s">
        <v>28</v>
      </c>
      <c r="N2772" t="s">
        <v>10493</v>
      </c>
      <c r="O2772" t="s">
        <v>27</v>
      </c>
      <c r="P2772" t="s">
        <v>39</v>
      </c>
      <c r="Q2772" t="s">
        <v>31</v>
      </c>
      <c r="R2772" t="s">
        <v>32</v>
      </c>
      <c r="S2772" t="s">
        <v>28</v>
      </c>
      <c r="T2772" t="s">
        <v>10498</v>
      </c>
      <c r="U2772" t="s">
        <v>10495</v>
      </c>
    </row>
    <row r="2773" spans="1:21" x14ac:dyDescent="0.25">
      <c r="A2773" t="s">
        <v>2990</v>
      </c>
      <c r="B2773" t="s">
        <v>2991</v>
      </c>
      <c r="C2773">
        <v>200</v>
      </c>
      <c r="D2773">
        <v>1</v>
      </c>
      <c r="E2773">
        <v>0</v>
      </c>
      <c r="F2773" t="s">
        <v>10499</v>
      </c>
      <c r="G2773">
        <v>200</v>
      </c>
      <c r="H2773">
        <v>0</v>
      </c>
      <c r="I2773" t="s">
        <v>140</v>
      </c>
      <c r="J2773" t="s">
        <v>10500</v>
      </c>
      <c r="K2773" t="s">
        <v>611</v>
      </c>
      <c r="L2773" t="s">
        <v>27</v>
      </c>
      <c r="M2773" t="s">
        <v>28</v>
      </c>
      <c r="N2773" t="s">
        <v>10501</v>
      </c>
      <c r="O2773" t="s">
        <v>27</v>
      </c>
      <c r="P2773" t="s">
        <v>30</v>
      </c>
      <c r="Q2773" t="s">
        <v>31</v>
      </c>
      <c r="R2773" t="s">
        <v>32</v>
      </c>
      <c r="S2773" t="s">
        <v>28</v>
      </c>
      <c r="T2773" t="s">
        <v>10502</v>
      </c>
      <c r="U2773" t="s">
        <v>10501</v>
      </c>
    </row>
    <row r="2774" spans="1:21" x14ac:dyDescent="0.25">
      <c r="A2774" t="s">
        <v>58</v>
      </c>
      <c r="B2774" t="s">
        <v>103</v>
      </c>
      <c r="C2774">
        <v>8.8699999999999992</v>
      </c>
      <c r="D2774">
        <v>1</v>
      </c>
      <c r="E2774">
        <v>0</v>
      </c>
      <c r="F2774" t="s">
        <v>10503</v>
      </c>
      <c r="G2774">
        <v>8.8699999999999992</v>
      </c>
      <c r="H2774">
        <v>0</v>
      </c>
      <c r="I2774" t="s">
        <v>105</v>
      </c>
      <c r="J2774" t="s">
        <v>10504</v>
      </c>
      <c r="K2774" t="s">
        <v>10505</v>
      </c>
      <c r="L2774" t="s">
        <v>10506</v>
      </c>
      <c r="M2774" t="s">
        <v>10507</v>
      </c>
      <c r="N2774" t="s">
        <v>10508</v>
      </c>
      <c r="O2774" t="s">
        <v>27</v>
      </c>
      <c r="P2774" t="s">
        <v>48</v>
      </c>
      <c r="Q2774" t="s">
        <v>49</v>
      </c>
      <c r="R2774" t="s">
        <v>50</v>
      </c>
      <c r="S2774" t="s">
        <v>28</v>
      </c>
      <c r="T2774" t="s">
        <v>10509</v>
      </c>
      <c r="U2774" t="s">
        <v>10508</v>
      </c>
    </row>
    <row r="2775" spans="1:21" x14ac:dyDescent="0.25">
      <c r="A2775" t="s">
        <v>635</v>
      </c>
      <c r="B2775" t="s">
        <v>8000</v>
      </c>
      <c r="C2775">
        <v>646.79999999999995</v>
      </c>
      <c r="D2775">
        <v>1</v>
      </c>
      <c r="E2775">
        <v>0</v>
      </c>
      <c r="F2775" t="s">
        <v>10510</v>
      </c>
      <c r="G2775">
        <v>685.8</v>
      </c>
      <c r="H2775">
        <v>39</v>
      </c>
      <c r="I2775" t="s">
        <v>24</v>
      </c>
      <c r="J2775" t="s">
        <v>10511</v>
      </c>
      <c r="K2775" t="s">
        <v>10512</v>
      </c>
      <c r="L2775" t="s">
        <v>10513</v>
      </c>
      <c r="M2775" t="s">
        <v>10514</v>
      </c>
      <c r="N2775" t="s">
        <v>10508</v>
      </c>
      <c r="O2775" t="s">
        <v>27</v>
      </c>
      <c r="P2775" t="s">
        <v>48</v>
      </c>
      <c r="Q2775" t="s">
        <v>49</v>
      </c>
      <c r="R2775" t="s">
        <v>50</v>
      </c>
      <c r="S2775" t="s">
        <v>28</v>
      </c>
      <c r="T2775" t="s">
        <v>10515</v>
      </c>
      <c r="U2775" t="s">
        <v>10508</v>
      </c>
    </row>
    <row r="2776" spans="1:21" x14ac:dyDescent="0.25">
      <c r="A2776" t="s">
        <v>134</v>
      </c>
      <c r="B2776" t="s">
        <v>64</v>
      </c>
      <c r="C2776">
        <v>100</v>
      </c>
      <c r="D2776">
        <v>2</v>
      </c>
      <c r="E2776">
        <v>0</v>
      </c>
      <c r="F2776" t="s">
        <v>10516</v>
      </c>
      <c r="G2776">
        <v>200</v>
      </c>
      <c r="H2776">
        <v>0</v>
      </c>
      <c r="I2776" t="s">
        <v>140</v>
      </c>
      <c r="J2776" t="s">
        <v>10517</v>
      </c>
      <c r="K2776" t="s">
        <v>61</v>
      </c>
      <c r="L2776" t="s">
        <v>27</v>
      </c>
      <c r="M2776" t="s">
        <v>28</v>
      </c>
      <c r="N2776" t="s">
        <v>10518</v>
      </c>
      <c r="O2776" t="s">
        <v>27</v>
      </c>
      <c r="P2776" t="s">
        <v>30</v>
      </c>
      <c r="Q2776" t="s">
        <v>31</v>
      </c>
      <c r="R2776" t="s">
        <v>32</v>
      </c>
      <c r="S2776" t="s">
        <v>28</v>
      </c>
      <c r="T2776" t="s">
        <v>10519</v>
      </c>
      <c r="U2776" t="s">
        <v>10518</v>
      </c>
    </row>
    <row r="2777" spans="1:21" x14ac:dyDescent="0.25">
      <c r="A2777" t="s">
        <v>63</v>
      </c>
      <c r="B2777" t="s">
        <v>64</v>
      </c>
      <c r="C2777">
        <v>100</v>
      </c>
      <c r="D2777">
        <v>4</v>
      </c>
      <c r="E2777">
        <v>0</v>
      </c>
      <c r="F2777" t="s">
        <v>10520</v>
      </c>
      <c r="G2777">
        <v>400</v>
      </c>
      <c r="H2777">
        <v>0</v>
      </c>
      <c r="I2777" t="s">
        <v>140</v>
      </c>
      <c r="J2777" t="s">
        <v>10521</v>
      </c>
      <c r="K2777" t="s">
        <v>273</v>
      </c>
      <c r="L2777" t="s">
        <v>27</v>
      </c>
      <c r="M2777" t="s">
        <v>28</v>
      </c>
      <c r="N2777" t="s">
        <v>10518</v>
      </c>
      <c r="O2777" t="s">
        <v>27</v>
      </c>
      <c r="P2777" t="s">
        <v>369</v>
      </c>
      <c r="Q2777" t="s">
        <v>31</v>
      </c>
      <c r="R2777" t="s">
        <v>57</v>
      </c>
      <c r="S2777" t="s">
        <v>28</v>
      </c>
      <c r="T2777" t="s">
        <v>10522</v>
      </c>
      <c r="U2777" t="s">
        <v>10518</v>
      </c>
    </row>
    <row r="2778" spans="1:21" x14ac:dyDescent="0.25">
      <c r="A2778" t="s">
        <v>33</v>
      </c>
      <c r="B2778" t="s">
        <v>34</v>
      </c>
      <c r="C2778">
        <v>200</v>
      </c>
      <c r="D2778">
        <v>1</v>
      </c>
      <c r="E2778">
        <v>0</v>
      </c>
      <c r="F2778" t="s">
        <v>10523</v>
      </c>
      <c r="G2778">
        <v>200</v>
      </c>
      <c r="H2778">
        <v>0</v>
      </c>
      <c r="I2778" t="s">
        <v>24</v>
      </c>
      <c r="J2778" t="s">
        <v>10524</v>
      </c>
      <c r="K2778" t="s">
        <v>919</v>
      </c>
      <c r="L2778" t="s">
        <v>27</v>
      </c>
      <c r="M2778" t="s">
        <v>28</v>
      </c>
      <c r="N2778" t="s">
        <v>10525</v>
      </c>
      <c r="O2778" t="s">
        <v>27</v>
      </c>
      <c r="P2778" t="s">
        <v>39</v>
      </c>
      <c r="Q2778" t="s">
        <v>31</v>
      </c>
      <c r="R2778" t="s">
        <v>32</v>
      </c>
      <c r="S2778" t="s">
        <v>28</v>
      </c>
      <c r="T2778" t="s">
        <v>10526</v>
      </c>
      <c r="U2778" t="s">
        <v>10525</v>
      </c>
    </row>
    <row r="2779" spans="1:21" x14ac:dyDescent="0.25">
      <c r="A2779" t="s">
        <v>21</v>
      </c>
      <c r="B2779" t="s">
        <v>22</v>
      </c>
      <c r="C2779">
        <v>100</v>
      </c>
      <c r="D2779">
        <v>1</v>
      </c>
      <c r="E2779">
        <v>0</v>
      </c>
      <c r="F2779" t="s">
        <v>10527</v>
      </c>
      <c r="G2779">
        <v>100</v>
      </c>
      <c r="H2779">
        <v>0</v>
      </c>
      <c r="I2779" t="s">
        <v>24</v>
      </c>
      <c r="J2779" t="s">
        <v>10528</v>
      </c>
      <c r="K2779" t="s">
        <v>474</v>
      </c>
      <c r="L2779" t="s">
        <v>27</v>
      </c>
      <c r="M2779" t="s">
        <v>28</v>
      </c>
      <c r="N2779" t="s">
        <v>10529</v>
      </c>
      <c r="O2779" t="s">
        <v>27</v>
      </c>
      <c r="P2779" t="s">
        <v>39</v>
      </c>
      <c r="Q2779" t="s">
        <v>31</v>
      </c>
      <c r="R2779" t="s">
        <v>32</v>
      </c>
      <c r="S2779" t="s">
        <v>28</v>
      </c>
      <c r="T2779" t="s">
        <v>10530</v>
      </c>
      <c r="U2779" t="s">
        <v>10529</v>
      </c>
    </row>
    <row r="2780" spans="1:21" x14ac:dyDescent="0.25">
      <c r="A2780" t="s">
        <v>134</v>
      </c>
      <c r="B2780" t="s">
        <v>64</v>
      </c>
      <c r="C2780">
        <v>100</v>
      </c>
      <c r="D2780">
        <v>4</v>
      </c>
      <c r="E2780">
        <v>0</v>
      </c>
      <c r="F2780" t="s">
        <v>10531</v>
      </c>
      <c r="G2780">
        <v>400</v>
      </c>
      <c r="H2780">
        <v>0</v>
      </c>
      <c r="I2780" t="s">
        <v>24</v>
      </c>
      <c r="J2780" t="s">
        <v>10532</v>
      </c>
      <c r="K2780" t="s">
        <v>834</v>
      </c>
      <c r="L2780" t="s">
        <v>27</v>
      </c>
      <c r="M2780" t="s">
        <v>28</v>
      </c>
      <c r="N2780" t="s">
        <v>10533</v>
      </c>
      <c r="O2780" t="s">
        <v>27</v>
      </c>
      <c r="P2780" t="s">
        <v>39</v>
      </c>
      <c r="Q2780" t="s">
        <v>31</v>
      </c>
      <c r="R2780" t="s">
        <v>32</v>
      </c>
      <c r="S2780" t="s">
        <v>28</v>
      </c>
      <c r="T2780" t="s">
        <v>10534</v>
      </c>
      <c r="U2780" t="s">
        <v>10533</v>
      </c>
    </row>
    <row r="2781" spans="1:21" x14ac:dyDescent="0.25">
      <c r="A2781" t="s">
        <v>33</v>
      </c>
      <c r="B2781" t="s">
        <v>34</v>
      </c>
      <c r="C2781">
        <v>200</v>
      </c>
      <c r="D2781">
        <v>1</v>
      </c>
      <c r="E2781">
        <v>0</v>
      </c>
      <c r="F2781" t="s">
        <v>10535</v>
      </c>
      <c r="G2781">
        <v>200</v>
      </c>
      <c r="H2781">
        <v>0</v>
      </c>
      <c r="I2781" t="s">
        <v>24</v>
      </c>
      <c r="J2781" t="s">
        <v>10536</v>
      </c>
      <c r="K2781" t="s">
        <v>285</v>
      </c>
      <c r="L2781" t="s">
        <v>27</v>
      </c>
      <c r="M2781" t="s">
        <v>28</v>
      </c>
      <c r="N2781" t="s">
        <v>10537</v>
      </c>
      <c r="O2781" t="s">
        <v>27</v>
      </c>
      <c r="P2781" t="s">
        <v>39</v>
      </c>
      <c r="Q2781" t="s">
        <v>31</v>
      </c>
      <c r="R2781" t="s">
        <v>32</v>
      </c>
      <c r="S2781" t="s">
        <v>28</v>
      </c>
      <c r="T2781" t="s">
        <v>10538</v>
      </c>
      <c r="U2781" t="s">
        <v>10537</v>
      </c>
    </row>
    <row r="2782" spans="1:21" x14ac:dyDescent="0.25">
      <c r="A2782" t="s">
        <v>58</v>
      </c>
      <c r="B2782" t="s">
        <v>58</v>
      </c>
      <c r="C2782">
        <v>100</v>
      </c>
      <c r="D2782">
        <v>1</v>
      </c>
      <c r="E2782">
        <v>0</v>
      </c>
      <c r="F2782" t="s">
        <v>10539</v>
      </c>
      <c r="G2782">
        <v>145</v>
      </c>
      <c r="H2782">
        <v>45</v>
      </c>
      <c r="I2782" t="s">
        <v>445</v>
      </c>
      <c r="J2782" t="s">
        <v>7836</v>
      </c>
      <c r="K2782" t="s">
        <v>10540</v>
      </c>
      <c r="L2782" t="s">
        <v>1972</v>
      </c>
      <c r="M2782" t="s">
        <v>641</v>
      </c>
      <c r="N2782" t="s">
        <v>10541</v>
      </c>
      <c r="O2782" t="s">
        <v>27</v>
      </c>
      <c r="P2782" t="s">
        <v>193</v>
      </c>
      <c r="Q2782" t="s">
        <v>85</v>
      </c>
      <c r="R2782" t="s">
        <v>86</v>
      </c>
      <c r="S2782" t="s">
        <v>28</v>
      </c>
      <c r="T2782" t="s">
        <v>10542</v>
      </c>
      <c r="U2782" t="s">
        <v>10541</v>
      </c>
    </row>
    <row r="2783" spans="1:21" x14ac:dyDescent="0.25">
      <c r="A2783" t="s">
        <v>58</v>
      </c>
      <c r="B2783" t="s">
        <v>58</v>
      </c>
      <c r="C2783">
        <v>100</v>
      </c>
      <c r="D2783">
        <v>1</v>
      </c>
      <c r="E2783">
        <v>0</v>
      </c>
      <c r="F2783" t="s">
        <v>10543</v>
      </c>
      <c r="G2783">
        <v>342</v>
      </c>
      <c r="H2783">
        <v>45</v>
      </c>
      <c r="I2783" t="s">
        <v>445</v>
      </c>
      <c r="J2783" t="s">
        <v>10544</v>
      </c>
      <c r="K2783" t="s">
        <v>10545</v>
      </c>
      <c r="L2783" t="s">
        <v>10546</v>
      </c>
      <c r="M2783" t="s">
        <v>749</v>
      </c>
      <c r="N2783" t="s">
        <v>10547</v>
      </c>
      <c r="O2783" t="s">
        <v>27</v>
      </c>
      <c r="P2783" t="s">
        <v>193</v>
      </c>
      <c r="Q2783" t="s">
        <v>85</v>
      </c>
      <c r="R2783" t="s">
        <v>86</v>
      </c>
      <c r="S2783" t="s">
        <v>28</v>
      </c>
      <c r="T2783" t="s">
        <v>10548</v>
      </c>
      <c r="U2783" t="s">
        <v>10549</v>
      </c>
    </row>
    <row r="2784" spans="1:21" x14ac:dyDescent="0.25">
      <c r="A2784" t="s">
        <v>456</v>
      </c>
      <c r="B2784" t="s">
        <v>457</v>
      </c>
      <c r="C2784">
        <v>197</v>
      </c>
      <c r="D2784">
        <v>1</v>
      </c>
      <c r="E2784">
        <v>0</v>
      </c>
      <c r="F2784" t="s">
        <v>10543</v>
      </c>
      <c r="G2784">
        <v>342</v>
      </c>
      <c r="H2784">
        <v>45</v>
      </c>
      <c r="I2784" t="s">
        <v>445</v>
      </c>
      <c r="J2784" t="s">
        <v>10544</v>
      </c>
      <c r="K2784" t="s">
        <v>10545</v>
      </c>
      <c r="L2784" t="s">
        <v>10546</v>
      </c>
      <c r="M2784" t="s">
        <v>749</v>
      </c>
      <c r="N2784" t="s">
        <v>10547</v>
      </c>
      <c r="O2784" t="s">
        <v>27</v>
      </c>
      <c r="P2784" t="s">
        <v>193</v>
      </c>
      <c r="Q2784" t="s">
        <v>85</v>
      </c>
      <c r="R2784" t="s">
        <v>86</v>
      </c>
      <c r="S2784" t="s">
        <v>28</v>
      </c>
      <c r="T2784" t="s">
        <v>10548</v>
      </c>
      <c r="U2784" t="s">
        <v>10549</v>
      </c>
    </row>
    <row r="2785" spans="1:21" x14ac:dyDescent="0.25">
      <c r="A2785" t="s">
        <v>33</v>
      </c>
      <c r="B2785" t="s">
        <v>34</v>
      </c>
      <c r="C2785">
        <v>200</v>
      </c>
      <c r="D2785">
        <v>1</v>
      </c>
      <c r="E2785">
        <v>0</v>
      </c>
      <c r="F2785" t="s">
        <v>10550</v>
      </c>
      <c r="G2785">
        <v>200</v>
      </c>
      <c r="H2785">
        <v>0</v>
      </c>
      <c r="I2785" t="s">
        <v>24</v>
      </c>
      <c r="J2785" t="s">
        <v>10551</v>
      </c>
      <c r="K2785" t="s">
        <v>89</v>
      </c>
      <c r="L2785" t="s">
        <v>27</v>
      </c>
      <c r="M2785" t="s">
        <v>28</v>
      </c>
      <c r="N2785" t="s">
        <v>10552</v>
      </c>
      <c r="O2785" t="s">
        <v>27</v>
      </c>
      <c r="P2785" t="s">
        <v>39</v>
      </c>
      <c r="Q2785" t="s">
        <v>31</v>
      </c>
      <c r="R2785" t="s">
        <v>32</v>
      </c>
      <c r="S2785" t="s">
        <v>28</v>
      </c>
      <c r="T2785" t="s">
        <v>10553</v>
      </c>
      <c r="U2785" t="s">
        <v>10552</v>
      </c>
    </row>
    <row r="2786" spans="1:21" x14ac:dyDescent="0.25">
      <c r="A2786" t="s">
        <v>33</v>
      </c>
      <c r="B2786" t="s">
        <v>34</v>
      </c>
      <c r="C2786">
        <v>200</v>
      </c>
      <c r="D2786">
        <v>1</v>
      </c>
      <c r="E2786">
        <v>0</v>
      </c>
      <c r="F2786" t="s">
        <v>10554</v>
      </c>
      <c r="G2786">
        <v>200</v>
      </c>
      <c r="H2786">
        <v>0</v>
      </c>
      <c r="I2786" t="s">
        <v>445</v>
      </c>
      <c r="J2786" t="s">
        <v>10555</v>
      </c>
      <c r="K2786" t="s">
        <v>89</v>
      </c>
      <c r="L2786" t="s">
        <v>27</v>
      </c>
      <c r="M2786" t="s">
        <v>28</v>
      </c>
      <c r="N2786" t="s">
        <v>10556</v>
      </c>
      <c r="O2786" t="s">
        <v>27</v>
      </c>
      <c r="P2786" t="s">
        <v>39</v>
      </c>
      <c r="Q2786" t="s">
        <v>31</v>
      </c>
      <c r="R2786" t="s">
        <v>32</v>
      </c>
      <c r="S2786" t="s">
        <v>28</v>
      </c>
      <c r="T2786" t="s">
        <v>10557</v>
      </c>
      <c r="U2786" t="s">
        <v>10556</v>
      </c>
    </row>
    <row r="2787" spans="1:21" x14ac:dyDescent="0.25">
      <c r="A2787" t="s">
        <v>33</v>
      </c>
      <c r="B2787" t="s">
        <v>34</v>
      </c>
      <c r="C2787">
        <v>200</v>
      </c>
      <c r="D2787">
        <v>1</v>
      </c>
      <c r="E2787">
        <v>0</v>
      </c>
      <c r="F2787" t="s">
        <v>10558</v>
      </c>
      <c r="G2787">
        <v>200</v>
      </c>
      <c r="H2787">
        <v>0</v>
      </c>
      <c r="I2787" t="s">
        <v>24</v>
      </c>
      <c r="J2787" t="s">
        <v>10559</v>
      </c>
      <c r="K2787" t="s">
        <v>325</v>
      </c>
      <c r="L2787" t="s">
        <v>27</v>
      </c>
      <c r="M2787" t="s">
        <v>28</v>
      </c>
      <c r="N2787" t="s">
        <v>10560</v>
      </c>
      <c r="O2787" t="s">
        <v>27</v>
      </c>
      <c r="P2787" t="s">
        <v>39</v>
      </c>
      <c r="Q2787" t="s">
        <v>31</v>
      </c>
      <c r="R2787" t="s">
        <v>32</v>
      </c>
      <c r="S2787" t="s">
        <v>28</v>
      </c>
      <c r="T2787" t="s">
        <v>10561</v>
      </c>
      <c r="U2787" t="s">
        <v>10560</v>
      </c>
    </row>
    <row r="2788" spans="1:21" x14ac:dyDescent="0.25">
      <c r="A2788" t="s">
        <v>21</v>
      </c>
      <c r="B2788" t="s">
        <v>22</v>
      </c>
      <c r="C2788">
        <v>100</v>
      </c>
      <c r="D2788">
        <v>2</v>
      </c>
      <c r="E2788">
        <v>0</v>
      </c>
      <c r="F2788" t="s">
        <v>10562</v>
      </c>
      <c r="G2788">
        <v>200</v>
      </c>
      <c r="H2788">
        <v>0</v>
      </c>
      <c r="I2788" t="s">
        <v>445</v>
      </c>
      <c r="J2788" t="s">
        <v>10563</v>
      </c>
      <c r="K2788" t="s">
        <v>474</v>
      </c>
      <c r="L2788" t="s">
        <v>27</v>
      </c>
      <c r="M2788" t="s">
        <v>28</v>
      </c>
      <c r="N2788" t="s">
        <v>10564</v>
      </c>
      <c r="O2788" t="s">
        <v>27</v>
      </c>
      <c r="P2788" t="s">
        <v>39</v>
      </c>
      <c r="Q2788" t="s">
        <v>31</v>
      </c>
      <c r="R2788" t="s">
        <v>32</v>
      </c>
      <c r="S2788" t="s">
        <v>28</v>
      </c>
      <c r="T2788" t="s">
        <v>10565</v>
      </c>
      <c r="U2788" t="s">
        <v>10566</v>
      </c>
    </row>
    <row r="2789" spans="1:21" x14ac:dyDescent="0.25">
      <c r="A2789" t="s">
        <v>456</v>
      </c>
      <c r="B2789" t="s">
        <v>457</v>
      </c>
      <c r="C2789">
        <v>197</v>
      </c>
      <c r="D2789">
        <v>2</v>
      </c>
      <c r="E2789">
        <v>0</v>
      </c>
      <c r="F2789" t="s">
        <v>10567</v>
      </c>
      <c r="G2789">
        <v>458</v>
      </c>
      <c r="H2789">
        <v>64</v>
      </c>
      <c r="I2789" t="s">
        <v>445</v>
      </c>
      <c r="J2789" t="s">
        <v>10568</v>
      </c>
      <c r="K2789" t="s">
        <v>10569</v>
      </c>
      <c r="L2789" t="s">
        <v>10546</v>
      </c>
      <c r="M2789" t="s">
        <v>7514</v>
      </c>
      <c r="N2789" t="s">
        <v>10570</v>
      </c>
      <c r="O2789" t="s">
        <v>27</v>
      </c>
      <c r="P2789" t="s">
        <v>193</v>
      </c>
      <c r="Q2789" t="s">
        <v>85</v>
      </c>
      <c r="R2789" t="s">
        <v>86</v>
      </c>
      <c r="S2789" t="s">
        <v>28</v>
      </c>
      <c r="T2789" t="s">
        <v>10571</v>
      </c>
      <c r="U2789" t="s">
        <v>10570</v>
      </c>
    </row>
    <row r="2790" spans="1:21" x14ac:dyDescent="0.25">
      <c r="A2790" t="s">
        <v>134</v>
      </c>
      <c r="B2790" t="s">
        <v>64</v>
      </c>
      <c r="C2790">
        <v>100</v>
      </c>
      <c r="D2790">
        <v>1</v>
      </c>
      <c r="E2790">
        <v>0</v>
      </c>
      <c r="F2790" t="s">
        <v>10572</v>
      </c>
      <c r="G2790">
        <v>106</v>
      </c>
      <c r="H2790">
        <v>6</v>
      </c>
      <c r="I2790" t="s">
        <v>140</v>
      </c>
      <c r="J2790" t="s">
        <v>10573</v>
      </c>
      <c r="K2790" t="s">
        <v>4310</v>
      </c>
      <c r="L2790" t="s">
        <v>27</v>
      </c>
      <c r="M2790" t="s">
        <v>28</v>
      </c>
      <c r="N2790" t="s">
        <v>10570</v>
      </c>
      <c r="O2790" t="s">
        <v>27</v>
      </c>
      <c r="P2790" t="s">
        <v>30</v>
      </c>
      <c r="Q2790" t="s">
        <v>31</v>
      </c>
      <c r="R2790" t="s">
        <v>32</v>
      </c>
      <c r="S2790" t="s">
        <v>28</v>
      </c>
      <c r="T2790" t="s">
        <v>10574</v>
      </c>
      <c r="U2790" t="s">
        <v>10570</v>
      </c>
    </row>
    <row r="2791" spans="1:21" x14ac:dyDescent="0.25">
      <c r="A2791" t="s">
        <v>134</v>
      </c>
      <c r="B2791" t="s">
        <v>64</v>
      </c>
      <c r="C2791">
        <v>100</v>
      </c>
      <c r="D2791">
        <v>1</v>
      </c>
      <c r="E2791">
        <v>0</v>
      </c>
      <c r="F2791" t="s">
        <v>10575</v>
      </c>
      <c r="G2791">
        <v>200</v>
      </c>
      <c r="H2791">
        <v>0</v>
      </c>
      <c r="I2791" t="s">
        <v>140</v>
      </c>
      <c r="J2791" t="s">
        <v>10576</v>
      </c>
      <c r="K2791" t="s">
        <v>342</v>
      </c>
      <c r="L2791" t="s">
        <v>27</v>
      </c>
      <c r="M2791" t="s">
        <v>28</v>
      </c>
      <c r="N2791" t="s">
        <v>10570</v>
      </c>
      <c r="O2791" t="s">
        <v>27</v>
      </c>
      <c r="P2791" t="s">
        <v>30</v>
      </c>
      <c r="Q2791" t="s">
        <v>31</v>
      </c>
      <c r="R2791" t="s">
        <v>32</v>
      </c>
      <c r="S2791" t="s">
        <v>28</v>
      </c>
      <c r="T2791" t="s">
        <v>10577</v>
      </c>
      <c r="U2791" t="s">
        <v>10570</v>
      </c>
    </row>
    <row r="2792" spans="1:21" x14ac:dyDescent="0.25">
      <c r="A2792" t="s">
        <v>63</v>
      </c>
      <c r="B2792" t="s">
        <v>64</v>
      </c>
      <c r="C2792">
        <v>100</v>
      </c>
      <c r="D2792">
        <v>1</v>
      </c>
      <c r="E2792">
        <v>0</v>
      </c>
      <c r="F2792" t="s">
        <v>10575</v>
      </c>
      <c r="G2792">
        <v>200</v>
      </c>
      <c r="H2792">
        <v>0</v>
      </c>
      <c r="I2792" t="s">
        <v>140</v>
      </c>
      <c r="J2792" t="s">
        <v>10576</v>
      </c>
      <c r="K2792" t="s">
        <v>342</v>
      </c>
      <c r="L2792" t="s">
        <v>27</v>
      </c>
      <c r="M2792" t="s">
        <v>28</v>
      </c>
      <c r="N2792" t="s">
        <v>10570</v>
      </c>
      <c r="O2792" t="s">
        <v>27</v>
      </c>
      <c r="P2792" t="s">
        <v>30</v>
      </c>
      <c r="Q2792" t="s">
        <v>31</v>
      </c>
      <c r="R2792" t="s">
        <v>32</v>
      </c>
      <c r="S2792" t="s">
        <v>28</v>
      </c>
      <c r="T2792" t="s">
        <v>10577</v>
      </c>
      <c r="U2792" t="s">
        <v>10570</v>
      </c>
    </row>
    <row r="2793" spans="1:21" x14ac:dyDescent="0.25">
      <c r="A2793" t="s">
        <v>456</v>
      </c>
      <c r="B2793" t="s">
        <v>457</v>
      </c>
      <c r="C2793">
        <v>199</v>
      </c>
      <c r="D2793">
        <v>1</v>
      </c>
      <c r="E2793">
        <v>0</v>
      </c>
      <c r="F2793" t="s">
        <v>10578</v>
      </c>
      <c r="G2793">
        <v>199</v>
      </c>
      <c r="H2793">
        <v>0</v>
      </c>
      <c r="I2793" t="s">
        <v>24</v>
      </c>
      <c r="J2793" t="s">
        <v>10579</v>
      </c>
      <c r="K2793" t="s">
        <v>10580</v>
      </c>
      <c r="L2793" t="s">
        <v>1076</v>
      </c>
      <c r="M2793" t="s">
        <v>10581</v>
      </c>
      <c r="N2793" t="s">
        <v>10570</v>
      </c>
      <c r="O2793" t="s">
        <v>27</v>
      </c>
      <c r="P2793" t="s">
        <v>193</v>
      </c>
      <c r="Q2793" t="s">
        <v>85</v>
      </c>
      <c r="R2793" t="s">
        <v>86</v>
      </c>
      <c r="S2793" t="s">
        <v>28</v>
      </c>
      <c r="T2793" t="s">
        <v>10582</v>
      </c>
      <c r="U2793" t="s">
        <v>10570</v>
      </c>
    </row>
    <row r="2794" spans="1:21" x14ac:dyDescent="0.25">
      <c r="A2794" t="s">
        <v>21</v>
      </c>
      <c r="B2794" t="s">
        <v>22</v>
      </c>
      <c r="C2794">
        <v>100</v>
      </c>
      <c r="D2794">
        <v>1</v>
      </c>
      <c r="E2794">
        <v>0</v>
      </c>
      <c r="F2794" t="s">
        <v>10583</v>
      </c>
      <c r="G2794">
        <v>145</v>
      </c>
      <c r="H2794">
        <v>45</v>
      </c>
      <c r="I2794" t="s">
        <v>24</v>
      </c>
      <c r="J2794" t="s">
        <v>10584</v>
      </c>
      <c r="K2794" t="s">
        <v>358</v>
      </c>
      <c r="L2794" t="s">
        <v>27</v>
      </c>
      <c r="M2794" t="s">
        <v>28</v>
      </c>
      <c r="N2794" t="s">
        <v>10585</v>
      </c>
      <c r="O2794" t="s">
        <v>27</v>
      </c>
      <c r="P2794" t="s">
        <v>39</v>
      </c>
      <c r="Q2794" t="s">
        <v>31</v>
      </c>
      <c r="R2794" t="s">
        <v>32</v>
      </c>
      <c r="S2794" t="s">
        <v>28</v>
      </c>
      <c r="T2794" t="s">
        <v>10586</v>
      </c>
      <c r="U2794" t="s">
        <v>10585</v>
      </c>
    </row>
    <row r="2795" spans="1:21" x14ac:dyDescent="0.25">
      <c r="A2795" t="s">
        <v>134</v>
      </c>
      <c r="B2795" t="s">
        <v>64</v>
      </c>
      <c r="C2795">
        <v>100</v>
      </c>
      <c r="D2795">
        <v>1</v>
      </c>
      <c r="E2795">
        <v>0</v>
      </c>
      <c r="F2795" t="s">
        <v>10587</v>
      </c>
      <c r="G2795">
        <v>106</v>
      </c>
      <c r="H2795">
        <v>6</v>
      </c>
      <c r="I2795" t="s">
        <v>140</v>
      </c>
      <c r="J2795" t="s">
        <v>10588</v>
      </c>
      <c r="K2795" t="s">
        <v>54</v>
      </c>
      <c r="L2795" t="s">
        <v>27</v>
      </c>
      <c r="M2795" t="s">
        <v>28</v>
      </c>
      <c r="N2795" t="s">
        <v>10585</v>
      </c>
      <c r="O2795" t="s">
        <v>27</v>
      </c>
      <c r="P2795" t="s">
        <v>30</v>
      </c>
      <c r="Q2795" t="s">
        <v>31</v>
      </c>
      <c r="R2795" t="s">
        <v>32</v>
      </c>
      <c r="S2795" t="s">
        <v>28</v>
      </c>
      <c r="T2795" t="s">
        <v>10589</v>
      </c>
      <c r="U2795" t="s">
        <v>10585</v>
      </c>
    </row>
    <row r="2796" spans="1:21" x14ac:dyDescent="0.25">
      <c r="A2796" t="s">
        <v>21</v>
      </c>
      <c r="B2796" t="s">
        <v>22</v>
      </c>
      <c r="C2796">
        <v>100</v>
      </c>
      <c r="D2796">
        <v>1</v>
      </c>
      <c r="E2796">
        <v>0</v>
      </c>
      <c r="F2796" t="s">
        <v>10590</v>
      </c>
      <c r="G2796">
        <v>106</v>
      </c>
      <c r="H2796">
        <v>6</v>
      </c>
      <c r="I2796" t="s">
        <v>445</v>
      </c>
      <c r="J2796" t="s">
        <v>10591</v>
      </c>
      <c r="K2796" t="s">
        <v>346</v>
      </c>
      <c r="L2796" t="s">
        <v>27</v>
      </c>
      <c r="M2796" t="s">
        <v>28</v>
      </c>
      <c r="N2796" t="s">
        <v>10592</v>
      </c>
      <c r="O2796" t="s">
        <v>27</v>
      </c>
      <c r="P2796" t="s">
        <v>39</v>
      </c>
      <c r="Q2796" t="s">
        <v>31</v>
      </c>
      <c r="R2796" t="s">
        <v>32</v>
      </c>
      <c r="S2796" t="s">
        <v>28</v>
      </c>
      <c r="T2796" t="s">
        <v>10593</v>
      </c>
      <c r="U2796" t="s">
        <v>10592</v>
      </c>
    </row>
    <row r="2797" spans="1:21" x14ac:dyDescent="0.25">
      <c r="A2797" t="s">
        <v>21</v>
      </c>
      <c r="B2797" t="s">
        <v>22</v>
      </c>
      <c r="C2797">
        <v>100</v>
      </c>
      <c r="D2797">
        <v>1</v>
      </c>
      <c r="E2797">
        <v>0</v>
      </c>
      <c r="F2797" t="s">
        <v>10594</v>
      </c>
      <c r="G2797">
        <v>106</v>
      </c>
      <c r="H2797">
        <v>6</v>
      </c>
      <c r="I2797" t="s">
        <v>140</v>
      </c>
      <c r="J2797" t="s">
        <v>10595</v>
      </c>
      <c r="K2797" t="s">
        <v>118</v>
      </c>
      <c r="L2797" t="s">
        <v>27</v>
      </c>
      <c r="M2797" t="s">
        <v>28</v>
      </c>
      <c r="N2797" t="s">
        <v>10596</v>
      </c>
      <c r="O2797" t="s">
        <v>27</v>
      </c>
      <c r="P2797" t="s">
        <v>30</v>
      </c>
      <c r="Q2797" t="s">
        <v>31</v>
      </c>
      <c r="R2797" t="s">
        <v>32</v>
      </c>
      <c r="S2797" t="s">
        <v>28</v>
      </c>
      <c r="T2797" t="s">
        <v>10597</v>
      </c>
      <c r="U2797" t="s">
        <v>10592</v>
      </c>
    </row>
    <row r="2798" spans="1:21" x14ac:dyDescent="0.25">
      <c r="A2798" t="s">
        <v>33</v>
      </c>
      <c r="B2798" t="s">
        <v>34</v>
      </c>
      <c r="C2798">
        <v>200</v>
      </c>
      <c r="D2798">
        <v>1</v>
      </c>
      <c r="E2798">
        <v>0</v>
      </c>
      <c r="F2798" t="s">
        <v>10598</v>
      </c>
      <c r="G2798">
        <v>200</v>
      </c>
      <c r="H2798">
        <v>0</v>
      </c>
      <c r="I2798" t="s">
        <v>24</v>
      </c>
      <c r="J2798" t="s">
        <v>10599</v>
      </c>
      <c r="K2798" t="s">
        <v>67</v>
      </c>
      <c r="L2798" t="s">
        <v>27</v>
      </c>
      <c r="M2798" t="s">
        <v>28</v>
      </c>
      <c r="N2798" t="s">
        <v>10592</v>
      </c>
      <c r="O2798" t="s">
        <v>27</v>
      </c>
      <c r="P2798" t="s">
        <v>56</v>
      </c>
      <c r="Q2798" t="s">
        <v>31</v>
      </c>
      <c r="R2798" t="s">
        <v>57</v>
      </c>
      <c r="S2798" t="s">
        <v>28</v>
      </c>
      <c r="T2798" t="s">
        <v>10600</v>
      </c>
      <c r="U2798" t="s">
        <v>10596</v>
      </c>
    </row>
    <row r="2799" spans="1:21" x14ac:dyDescent="0.25">
      <c r="A2799" t="s">
        <v>21</v>
      </c>
      <c r="B2799" t="s">
        <v>22</v>
      </c>
      <c r="C2799">
        <v>100</v>
      </c>
      <c r="D2799">
        <v>1</v>
      </c>
      <c r="E2799">
        <v>0</v>
      </c>
      <c r="F2799" t="s">
        <v>10601</v>
      </c>
      <c r="G2799">
        <v>106</v>
      </c>
      <c r="H2799">
        <v>6</v>
      </c>
      <c r="I2799" t="s">
        <v>445</v>
      </c>
      <c r="J2799" t="s">
        <v>10602</v>
      </c>
      <c r="K2799" t="s">
        <v>4310</v>
      </c>
      <c r="L2799" t="s">
        <v>27</v>
      </c>
      <c r="M2799" t="s">
        <v>28</v>
      </c>
      <c r="N2799" t="s">
        <v>10603</v>
      </c>
      <c r="O2799" t="s">
        <v>27</v>
      </c>
      <c r="P2799" t="s">
        <v>39</v>
      </c>
      <c r="Q2799" t="s">
        <v>31</v>
      </c>
      <c r="R2799" t="s">
        <v>32</v>
      </c>
      <c r="S2799" t="s">
        <v>28</v>
      </c>
      <c r="T2799" t="s">
        <v>10604</v>
      </c>
      <c r="U2799" t="s">
        <v>10603</v>
      </c>
    </row>
    <row r="2800" spans="1:21" x14ac:dyDescent="0.25">
      <c r="A2800" t="s">
        <v>134</v>
      </c>
      <c r="B2800" t="s">
        <v>64</v>
      </c>
      <c r="C2800">
        <v>100</v>
      </c>
      <c r="D2800">
        <v>4</v>
      </c>
      <c r="E2800">
        <v>0</v>
      </c>
      <c r="F2800" t="s">
        <v>10605</v>
      </c>
      <c r="G2800">
        <v>400</v>
      </c>
      <c r="H2800">
        <v>0</v>
      </c>
      <c r="I2800" t="s">
        <v>140</v>
      </c>
      <c r="J2800" t="s">
        <v>10606</v>
      </c>
      <c r="K2800" t="s">
        <v>54</v>
      </c>
      <c r="L2800" t="s">
        <v>27</v>
      </c>
      <c r="M2800" t="s">
        <v>28</v>
      </c>
      <c r="N2800" t="s">
        <v>10607</v>
      </c>
      <c r="O2800" t="s">
        <v>27</v>
      </c>
      <c r="P2800" t="s">
        <v>30</v>
      </c>
      <c r="Q2800" t="s">
        <v>31</v>
      </c>
      <c r="R2800" t="s">
        <v>32</v>
      </c>
      <c r="S2800" t="s">
        <v>28</v>
      </c>
      <c r="T2800" t="s">
        <v>10608</v>
      </c>
      <c r="U2800" t="s">
        <v>10607</v>
      </c>
    </row>
    <row r="2801" spans="1:21" x14ac:dyDescent="0.25">
      <c r="A2801" t="s">
        <v>63</v>
      </c>
      <c r="B2801" t="s">
        <v>64</v>
      </c>
      <c r="C2801">
        <v>100</v>
      </c>
      <c r="D2801">
        <v>1</v>
      </c>
      <c r="E2801">
        <v>0</v>
      </c>
      <c r="F2801" t="s">
        <v>10609</v>
      </c>
      <c r="G2801">
        <v>100</v>
      </c>
      <c r="H2801">
        <v>0</v>
      </c>
      <c r="I2801" t="s">
        <v>24</v>
      </c>
      <c r="J2801" t="s">
        <v>10610</v>
      </c>
      <c r="K2801" t="s">
        <v>4082</v>
      </c>
      <c r="L2801" t="s">
        <v>27</v>
      </c>
      <c r="M2801" t="s">
        <v>28</v>
      </c>
      <c r="N2801" t="s">
        <v>10611</v>
      </c>
      <c r="O2801" t="s">
        <v>27</v>
      </c>
      <c r="P2801" t="s">
        <v>39</v>
      </c>
      <c r="Q2801" t="s">
        <v>31</v>
      </c>
      <c r="R2801" t="s">
        <v>32</v>
      </c>
      <c r="S2801" t="s">
        <v>28</v>
      </c>
      <c r="T2801" t="s">
        <v>10612</v>
      </c>
      <c r="U2801" t="s">
        <v>10611</v>
      </c>
    </row>
    <row r="2802" spans="1:21" x14ac:dyDescent="0.25">
      <c r="A2802" t="s">
        <v>33</v>
      </c>
      <c r="B2802" t="s">
        <v>34</v>
      </c>
      <c r="C2802">
        <v>200</v>
      </c>
      <c r="D2802">
        <v>1</v>
      </c>
      <c r="E2802">
        <v>0</v>
      </c>
      <c r="F2802" t="s">
        <v>10613</v>
      </c>
      <c r="G2802">
        <v>200</v>
      </c>
      <c r="H2802">
        <v>0</v>
      </c>
      <c r="I2802" t="s">
        <v>24</v>
      </c>
      <c r="J2802" t="s">
        <v>10614</v>
      </c>
      <c r="K2802" t="s">
        <v>358</v>
      </c>
      <c r="L2802" t="s">
        <v>27</v>
      </c>
      <c r="M2802" t="s">
        <v>28</v>
      </c>
      <c r="N2802" t="s">
        <v>10615</v>
      </c>
      <c r="O2802" t="s">
        <v>27</v>
      </c>
      <c r="P2802" t="s">
        <v>39</v>
      </c>
      <c r="Q2802" t="s">
        <v>31</v>
      </c>
      <c r="R2802" t="s">
        <v>32</v>
      </c>
      <c r="S2802" t="s">
        <v>28</v>
      </c>
      <c r="T2802" t="s">
        <v>10616</v>
      </c>
      <c r="U2802" t="s">
        <v>10615</v>
      </c>
    </row>
    <row r="2803" spans="1:21" x14ac:dyDescent="0.25">
      <c r="A2803" t="s">
        <v>70</v>
      </c>
      <c r="B2803" t="s">
        <v>70</v>
      </c>
      <c r="C2803">
        <v>350</v>
      </c>
      <c r="D2803">
        <v>1</v>
      </c>
      <c r="E2803">
        <v>0</v>
      </c>
      <c r="F2803" t="s">
        <v>10617</v>
      </c>
      <c r="G2803">
        <v>350</v>
      </c>
      <c r="H2803">
        <v>0</v>
      </c>
      <c r="I2803" t="s">
        <v>140</v>
      </c>
      <c r="J2803" t="s">
        <v>10576</v>
      </c>
      <c r="K2803" t="s">
        <v>89</v>
      </c>
      <c r="L2803" t="s">
        <v>27</v>
      </c>
      <c r="M2803" t="s">
        <v>28</v>
      </c>
      <c r="N2803" t="s">
        <v>10615</v>
      </c>
      <c r="O2803" t="s">
        <v>27</v>
      </c>
      <c r="P2803" t="s">
        <v>30</v>
      </c>
      <c r="Q2803" t="s">
        <v>31</v>
      </c>
      <c r="R2803" t="s">
        <v>32</v>
      </c>
      <c r="S2803" t="s">
        <v>28</v>
      </c>
      <c r="T2803" t="s">
        <v>10618</v>
      </c>
      <c r="U2803" t="s">
        <v>10615</v>
      </c>
    </row>
    <row r="2804" spans="1:21" x14ac:dyDescent="0.25">
      <c r="A2804" t="s">
        <v>58</v>
      </c>
      <c r="B2804" t="s">
        <v>58</v>
      </c>
      <c r="C2804">
        <v>100</v>
      </c>
      <c r="D2804">
        <v>5</v>
      </c>
      <c r="E2804">
        <v>0</v>
      </c>
      <c r="F2804" t="s">
        <v>10619</v>
      </c>
      <c r="G2804">
        <v>500</v>
      </c>
      <c r="H2804">
        <v>0</v>
      </c>
      <c r="I2804" t="s">
        <v>140</v>
      </c>
      <c r="J2804" t="s">
        <v>733</v>
      </c>
      <c r="K2804" t="s">
        <v>37</v>
      </c>
      <c r="L2804" t="s">
        <v>27</v>
      </c>
      <c r="M2804" t="s">
        <v>28</v>
      </c>
      <c r="N2804" t="s">
        <v>10620</v>
      </c>
      <c r="O2804" t="s">
        <v>27</v>
      </c>
      <c r="P2804" t="s">
        <v>30</v>
      </c>
      <c r="Q2804" t="s">
        <v>31</v>
      </c>
      <c r="R2804" t="s">
        <v>32</v>
      </c>
      <c r="S2804" t="s">
        <v>28</v>
      </c>
      <c r="T2804" t="s">
        <v>10621</v>
      </c>
      <c r="U2804" t="s">
        <v>10620</v>
      </c>
    </row>
    <row r="2805" spans="1:21" x14ac:dyDescent="0.25">
      <c r="A2805" t="s">
        <v>58</v>
      </c>
      <c r="B2805" t="s">
        <v>58</v>
      </c>
      <c r="C2805">
        <v>100</v>
      </c>
      <c r="D2805">
        <v>2</v>
      </c>
      <c r="E2805">
        <v>0</v>
      </c>
      <c r="F2805" t="s">
        <v>10622</v>
      </c>
      <c r="G2805">
        <v>461</v>
      </c>
      <c r="H2805">
        <v>64</v>
      </c>
      <c r="I2805" t="s">
        <v>445</v>
      </c>
      <c r="J2805" t="s">
        <v>10623</v>
      </c>
      <c r="K2805" t="s">
        <v>10624</v>
      </c>
      <c r="L2805" t="s">
        <v>160</v>
      </c>
      <c r="M2805" t="s">
        <v>9876</v>
      </c>
      <c r="N2805" t="s">
        <v>10547</v>
      </c>
      <c r="O2805" t="s">
        <v>27</v>
      </c>
      <c r="P2805" t="s">
        <v>193</v>
      </c>
      <c r="Q2805" t="s">
        <v>85</v>
      </c>
      <c r="R2805" t="s">
        <v>86</v>
      </c>
      <c r="S2805" t="s">
        <v>28</v>
      </c>
      <c r="T2805" t="s">
        <v>10625</v>
      </c>
      <c r="U2805" t="s">
        <v>10626</v>
      </c>
    </row>
    <row r="2806" spans="1:21" x14ac:dyDescent="0.25">
      <c r="A2806" t="s">
        <v>456</v>
      </c>
      <c r="B2806" t="s">
        <v>457</v>
      </c>
      <c r="C2806">
        <v>197</v>
      </c>
      <c r="D2806">
        <v>1</v>
      </c>
      <c r="E2806">
        <v>0</v>
      </c>
      <c r="F2806" t="s">
        <v>10622</v>
      </c>
      <c r="G2806">
        <v>461</v>
      </c>
      <c r="H2806">
        <v>64</v>
      </c>
      <c r="I2806" t="s">
        <v>445</v>
      </c>
      <c r="J2806" t="s">
        <v>10623</v>
      </c>
      <c r="K2806" t="s">
        <v>10624</v>
      </c>
      <c r="L2806" t="s">
        <v>160</v>
      </c>
      <c r="M2806" t="s">
        <v>9876</v>
      </c>
      <c r="N2806" t="s">
        <v>10547</v>
      </c>
      <c r="O2806" t="s">
        <v>27</v>
      </c>
      <c r="P2806" t="s">
        <v>193</v>
      </c>
      <c r="Q2806" t="s">
        <v>85</v>
      </c>
      <c r="R2806" t="s">
        <v>86</v>
      </c>
      <c r="S2806" t="s">
        <v>28</v>
      </c>
      <c r="T2806" t="s">
        <v>10625</v>
      </c>
      <c r="U2806" t="s">
        <v>10626</v>
      </c>
    </row>
    <row r="2807" spans="1:21" x14ac:dyDescent="0.25">
      <c r="A2807" t="s">
        <v>134</v>
      </c>
      <c r="B2807" t="s">
        <v>64</v>
      </c>
      <c r="C2807">
        <v>100</v>
      </c>
      <c r="D2807">
        <v>1</v>
      </c>
      <c r="E2807">
        <v>0</v>
      </c>
      <c r="F2807" t="s">
        <v>10627</v>
      </c>
      <c r="G2807">
        <v>106</v>
      </c>
      <c r="H2807">
        <v>6</v>
      </c>
      <c r="I2807" t="s">
        <v>445</v>
      </c>
      <c r="J2807" t="s">
        <v>10628</v>
      </c>
      <c r="K2807" t="s">
        <v>346</v>
      </c>
      <c r="L2807" t="s">
        <v>27</v>
      </c>
      <c r="M2807" t="s">
        <v>28</v>
      </c>
      <c r="N2807" t="s">
        <v>10629</v>
      </c>
      <c r="O2807" t="s">
        <v>27</v>
      </c>
      <c r="P2807" t="s">
        <v>39</v>
      </c>
      <c r="Q2807" t="s">
        <v>31</v>
      </c>
      <c r="R2807" t="s">
        <v>32</v>
      </c>
      <c r="S2807" t="s">
        <v>28</v>
      </c>
      <c r="T2807" t="s">
        <v>10630</v>
      </c>
      <c r="U2807" t="s">
        <v>10629</v>
      </c>
    </row>
    <row r="2808" spans="1:21" x14ac:dyDescent="0.25">
      <c r="A2808" t="s">
        <v>33</v>
      </c>
      <c r="B2808" t="s">
        <v>34</v>
      </c>
      <c r="C2808">
        <v>200</v>
      </c>
      <c r="D2808">
        <v>1</v>
      </c>
      <c r="E2808">
        <v>0</v>
      </c>
      <c r="F2808" t="s">
        <v>10631</v>
      </c>
      <c r="G2808">
        <v>200</v>
      </c>
      <c r="H2808">
        <v>0</v>
      </c>
      <c r="I2808" t="s">
        <v>445</v>
      </c>
      <c r="J2808" t="s">
        <v>9788</v>
      </c>
      <c r="K2808" t="s">
        <v>753</v>
      </c>
      <c r="L2808" t="s">
        <v>27</v>
      </c>
      <c r="M2808" t="s">
        <v>28</v>
      </c>
      <c r="N2808" t="s">
        <v>10629</v>
      </c>
      <c r="O2808" t="s">
        <v>27</v>
      </c>
      <c r="P2808" t="s">
        <v>39</v>
      </c>
      <c r="Q2808" t="s">
        <v>31</v>
      </c>
      <c r="R2808" t="s">
        <v>32</v>
      </c>
      <c r="S2808" t="s">
        <v>28</v>
      </c>
      <c r="T2808" t="s">
        <v>10632</v>
      </c>
      <c r="U2808" t="s">
        <v>10629</v>
      </c>
    </row>
    <row r="2809" spans="1:21" x14ac:dyDescent="0.25">
      <c r="A2809" t="s">
        <v>21</v>
      </c>
      <c r="B2809" t="s">
        <v>22</v>
      </c>
      <c r="C2809">
        <v>100</v>
      </c>
      <c r="D2809">
        <v>2</v>
      </c>
      <c r="E2809">
        <v>0</v>
      </c>
      <c r="F2809" t="s">
        <v>10633</v>
      </c>
      <c r="G2809">
        <v>200</v>
      </c>
      <c r="H2809">
        <v>0</v>
      </c>
      <c r="I2809" t="s">
        <v>140</v>
      </c>
      <c r="J2809" t="s">
        <v>10634</v>
      </c>
      <c r="K2809" t="s">
        <v>653</v>
      </c>
      <c r="L2809" t="s">
        <v>27</v>
      </c>
      <c r="M2809" t="s">
        <v>28</v>
      </c>
      <c r="N2809" t="s">
        <v>10635</v>
      </c>
      <c r="O2809" t="s">
        <v>27</v>
      </c>
      <c r="P2809" t="s">
        <v>30</v>
      </c>
      <c r="Q2809" t="s">
        <v>31</v>
      </c>
      <c r="R2809" t="s">
        <v>32</v>
      </c>
      <c r="S2809" t="s">
        <v>28</v>
      </c>
      <c r="T2809" t="s">
        <v>10636</v>
      </c>
      <c r="U2809" t="s">
        <v>10635</v>
      </c>
    </row>
    <row r="2810" spans="1:21" x14ac:dyDescent="0.25">
      <c r="A2810" t="s">
        <v>70</v>
      </c>
      <c r="B2810" t="s">
        <v>70</v>
      </c>
      <c r="C2810">
        <v>330</v>
      </c>
      <c r="D2810">
        <v>1</v>
      </c>
      <c r="E2810">
        <v>0</v>
      </c>
      <c r="F2810" t="s">
        <v>10637</v>
      </c>
      <c r="G2810">
        <v>330</v>
      </c>
      <c r="H2810">
        <v>0</v>
      </c>
      <c r="I2810" t="s">
        <v>445</v>
      </c>
      <c r="J2810" t="s">
        <v>10638</v>
      </c>
      <c r="K2810" t="s">
        <v>250</v>
      </c>
      <c r="L2810" t="s">
        <v>27</v>
      </c>
      <c r="M2810" t="s">
        <v>28</v>
      </c>
      <c r="N2810" t="s">
        <v>10639</v>
      </c>
      <c r="O2810" t="s">
        <v>27</v>
      </c>
      <c r="P2810" t="s">
        <v>39</v>
      </c>
      <c r="Q2810" t="s">
        <v>31</v>
      </c>
      <c r="R2810" t="s">
        <v>32</v>
      </c>
      <c r="S2810" t="s">
        <v>28</v>
      </c>
      <c r="T2810" t="s">
        <v>10640</v>
      </c>
      <c r="U2810" t="s">
        <v>10639</v>
      </c>
    </row>
    <row r="2811" spans="1:21" x14ac:dyDescent="0.25">
      <c r="A2811" t="s">
        <v>63</v>
      </c>
      <c r="B2811" t="s">
        <v>64</v>
      </c>
      <c r="C2811">
        <v>100</v>
      </c>
      <c r="D2811">
        <v>1</v>
      </c>
      <c r="E2811">
        <v>0</v>
      </c>
      <c r="F2811" t="s">
        <v>10641</v>
      </c>
      <c r="G2811">
        <v>106</v>
      </c>
      <c r="H2811">
        <v>6</v>
      </c>
      <c r="I2811" t="s">
        <v>24</v>
      </c>
      <c r="J2811" t="s">
        <v>10642</v>
      </c>
      <c r="K2811" t="s">
        <v>350</v>
      </c>
      <c r="L2811" t="s">
        <v>27</v>
      </c>
      <c r="M2811" t="s">
        <v>28</v>
      </c>
      <c r="N2811" t="s">
        <v>10643</v>
      </c>
      <c r="O2811" t="s">
        <v>27</v>
      </c>
      <c r="P2811" t="s">
        <v>39</v>
      </c>
      <c r="Q2811" t="s">
        <v>31</v>
      </c>
      <c r="R2811" t="s">
        <v>32</v>
      </c>
      <c r="S2811" t="s">
        <v>28</v>
      </c>
      <c r="T2811" t="s">
        <v>10644</v>
      </c>
      <c r="U2811" t="s">
        <v>10643</v>
      </c>
    </row>
    <row r="2812" spans="1:21" x14ac:dyDescent="0.25">
      <c r="A2812" t="s">
        <v>143</v>
      </c>
      <c r="B2812" t="s">
        <v>144</v>
      </c>
      <c r="C2812">
        <v>200</v>
      </c>
      <c r="D2812">
        <v>2</v>
      </c>
      <c r="E2812">
        <v>0</v>
      </c>
      <c r="F2812" t="s">
        <v>10645</v>
      </c>
      <c r="G2812">
        <v>400</v>
      </c>
      <c r="H2812">
        <v>0</v>
      </c>
      <c r="I2812" t="s">
        <v>445</v>
      </c>
      <c r="J2812" t="s">
        <v>10646</v>
      </c>
      <c r="K2812" t="s">
        <v>54</v>
      </c>
      <c r="L2812" t="s">
        <v>27</v>
      </c>
      <c r="M2812" t="s">
        <v>28</v>
      </c>
      <c r="N2812" t="s">
        <v>10647</v>
      </c>
      <c r="O2812" t="s">
        <v>27</v>
      </c>
      <c r="P2812" t="s">
        <v>39</v>
      </c>
      <c r="Q2812" t="s">
        <v>31</v>
      </c>
      <c r="R2812" t="s">
        <v>32</v>
      </c>
      <c r="S2812" t="s">
        <v>28</v>
      </c>
      <c r="T2812" t="s">
        <v>10648</v>
      </c>
      <c r="U2812" t="s">
        <v>10649</v>
      </c>
    </row>
    <row r="2813" spans="1:21" x14ac:dyDescent="0.25">
      <c r="A2813" t="s">
        <v>456</v>
      </c>
      <c r="B2813" t="s">
        <v>457</v>
      </c>
      <c r="C2813">
        <v>199</v>
      </c>
      <c r="D2813">
        <v>3</v>
      </c>
      <c r="E2813">
        <v>0</v>
      </c>
      <c r="F2813" t="s">
        <v>10650</v>
      </c>
      <c r="G2813">
        <v>676</v>
      </c>
      <c r="H2813">
        <v>79</v>
      </c>
      <c r="I2813" t="s">
        <v>24</v>
      </c>
      <c r="J2813" t="s">
        <v>2283</v>
      </c>
      <c r="K2813" t="s">
        <v>3631</v>
      </c>
      <c r="L2813" t="s">
        <v>1737</v>
      </c>
      <c r="M2813" t="s">
        <v>2987</v>
      </c>
      <c r="N2813" t="s">
        <v>10647</v>
      </c>
      <c r="O2813" t="s">
        <v>27</v>
      </c>
      <c r="P2813" t="s">
        <v>193</v>
      </c>
      <c r="Q2813" t="s">
        <v>85</v>
      </c>
      <c r="R2813" t="s">
        <v>86</v>
      </c>
      <c r="S2813" t="s">
        <v>28</v>
      </c>
      <c r="T2813" t="s">
        <v>10651</v>
      </c>
      <c r="U2813" t="s">
        <v>10652</v>
      </c>
    </row>
    <row r="2814" spans="1:21" x14ac:dyDescent="0.25">
      <c r="A2814" t="s">
        <v>63</v>
      </c>
      <c r="B2814" t="s">
        <v>64</v>
      </c>
      <c r="C2814">
        <v>100</v>
      </c>
      <c r="D2814">
        <v>1</v>
      </c>
      <c r="E2814">
        <v>0</v>
      </c>
      <c r="F2814" t="s">
        <v>10653</v>
      </c>
      <c r="G2814">
        <v>100</v>
      </c>
      <c r="H2814">
        <v>0</v>
      </c>
      <c r="I2814" t="s">
        <v>24</v>
      </c>
      <c r="J2814" t="s">
        <v>10654</v>
      </c>
      <c r="K2814" t="s">
        <v>247</v>
      </c>
      <c r="L2814" t="s">
        <v>27</v>
      </c>
      <c r="M2814" t="s">
        <v>28</v>
      </c>
      <c r="N2814" t="s">
        <v>10655</v>
      </c>
      <c r="O2814" t="s">
        <v>27</v>
      </c>
      <c r="P2814" t="s">
        <v>39</v>
      </c>
      <c r="Q2814" t="s">
        <v>31</v>
      </c>
      <c r="R2814" t="s">
        <v>32</v>
      </c>
      <c r="S2814" t="s">
        <v>28</v>
      </c>
      <c r="T2814" t="s">
        <v>10656</v>
      </c>
      <c r="U2814" t="s">
        <v>10655</v>
      </c>
    </row>
    <row r="2815" spans="1:21" x14ac:dyDescent="0.25">
      <c r="A2815" t="s">
        <v>94</v>
      </c>
      <c r="B2815" t="s">
        <v>95</v>
      </c>
      <c r="C2815">
        <v>0</v>
      </c>
      <c r="D2815">
        <v>1</v>
      </c>
      <c r="E2815">
        <v>0</v>
      </c>
      <c r="F2815" t="s">
        <v>10657</v>
      </c>
      <c r="G2815">
        <v>5</v>
      </c>
      <c r="H2815">
        <v>5</v>
      </c>
      <c r="I2815" t="s">
        <v>24</v>
      </c>
      <c r="J2815" t="s">
        <v>8688</v>
      </c>
      <c r="K2815" t="s">
        <v>10658</v>
      </c>
      <c r="L2815" t="s">
        <v>3493</v>
      </c>
      <c r="M2815" t="s">
        <v>10659</v>
      </c>
      <c r="N2815" t="s">
        <v>10660</v>
      </c>
      <c r="O2815" t="s">
        <v>27</v>
      </c>
      <c r="P2815" t="s">
        <v>48</v>
      </c>
      <c r="Q2815" t="s">
        <v>49</v>
      </c>
      <c r="R2815" t="s">
        <v>50</v>
      </c>
      <c r="S2815" t="s">
        <v>28</v>
      </c>
      <c r="T2815" t="s">
        <v>10661</v>
      </c>
      <c r="U2815" t="s">
        <v>10662</v>
      </c>
    </row>
    <row r="2816" spans="1:21" x14ac:dyDescent="0.25">
      <c r="A2816" t="s">
        <v>63</v>
      </c>
      <c r="B2816" t="s">
        <v>64</v>
      </c>
      <c r="C2816">
        <v>100</v>
      </c>
      <c r="D2816">
        <v>1</v>
      </c>
      <c r="E2816">
        <v>0</v>
      </c>
      <c r="F2816" t="s">
        <v>10663</v>
      </c>
      <c r="G2816">
        <v>100</v>
      </c>
      <c r="H2816">
        <v>0</v>
      </c>
      <c r="I2816" t="s">
        <v>445</v>
      </c>
      <c r="J2816" t="s">
        <v>10664</v>
      </c>
      <c r="K2816" t="s">
        <v>653</v>
      </c>
      <c r="L2816" t="s">
        <v>27</v>
      </c>
      <c r="M2816" t="s">
        <v>28</v>
      </c>
      <c r="N2816" t="s">
        <v>10662</v>
      </c>
      <c r="O2816" t="s">
        <v>27</v>
      </c>
      <c r="P2816" t="s">
        <v>39</v>
      </c>
      <c r="Q2816" t="s">
        <v>31</v>
      </c>
      <c r="R2816" t="s">
        <v>32</v>
      </c>
      <c r="S2816" t="s">
        <v>28</v>
      </c>
      <c r="T2816" t="s">
        <v>10665</v>
      </c>
      <c r="U2816" t="s">
        <v>10662</v>
      </c>
    </row>
    <row r="2817" spans="1:21" x14ac:dyDescent="0.25">
      <c r="A2817" t="s">
        <v>134</v>
      </c>
      <c r="B2817" t="s">
        <v>64</v>
      </c>
      <c r="C2817">
        <v>100</v>
      </c>
      <c r="D2817">
        <v>1</v>
      </c>
      <c r="E2817">
        <v>0</v>
      </c>
      <c r="F2817" t="s">
        <v>10666</v>
      </c>
      <c r="G2817">
        <v>106</v>
      </c>
      <c r="H2817">
        <v>6</v>
      </c>
      <c r="I2817" t="s">
        <v>24</v>
      </c>
      <c r="J2817" t="s">
        <v>10667</v>
      </c>
      <c r="K2817" t="s">
        <v>466</v>
      </c>
      <c r="L2817" t="s">
        <v>27</v>
      </c>
      <c r="M2817" t="s">
        <v>28</v>
      </c>
      <c r="N2817" t="s">
        <v>10662</v>
      </c>
      <c r="O2817" t="s">
        <v>27</v>
      </c>
      <c r="P2817" t="s">
        <v>56</v>
      </c>
      <c r="Q2817" t="s">
        <v>31</v>
      </c>
      <c r="R2817" t="s">
        <v>57</v>
      </c>
      <c r="S2817" t="s">
        <v>28</v>
      </c>
      <c r="T2817" t="s">
        <v>10668</v>
      </c>
      <c r="U2817" t="s">
        <v>10669</v>
      </c>
    </row>
    <row r="2818" spans="1:21" x14ac:dyDescent="0.25">
      <c r="A2818" t="s">
        <v>21</v>
      </c>
      <c r="B2818" t="s">
        <v>22</v>
      </c>
      <c r="C2818">
        <v>100</v>
      </c>
      <c r="D2818">
        <v>1</v>
      </c>
      <c r="E2818">
        <v>0</v>
      </c>
      <c r="F2818" t="s">
        <v>10670</v>
      </c>
      <c r="G2818">
        <v>106</v>
      </c>
      <c r="H2818">
        <v>6</v>
      </c>
      <c r="I2818" t="s">
        <v>140</v>
      </c>
      <c r="J2818" t="s">
        <v>10671</v>
      </c>
      <c r="K2818" t="s">
        <v>67</v>
      </c>
      <c r="L2818" t="s">
        <v>27</v>
      </c>
      <c r="M2818" t="s">
        <v>28</v>
      </c>
      <c r="N2818" t="s">
        <v>10669</v>
      </c>
      <c r="O2818" t="s">
        <v>27</v>
      </c>
      <c r="P2818" t="s">
        <v>369</v>
      </c>
      <c r="Q2818" t="s">
        <v>31</v>
      </c>
      <c r="R2818" t="s">
        <v>57</v>
      </c>
      <c r="S2818" t="s">
        <v>28</v>
      </c>
      <c r="T2818" t="s">
        <v>10672</v>
      </c>
      <c r="U2818" t="s">
        <v>10669</v>
      </c>
    </row>
    <row r="2819" spans="1:21" x14ac:dyDescent="0.25">
      <c r="A2819" t="s">
        <v>134</v>
      </c>
      <c r="B2819" t="s">
        <v>64</v>
      </c>
      <c r="C2819">
        <v>100</v>
      </c>
      <c r="D2819">
        <v>3</v>
      </c>
      <c r="E2819">
        <v>0</v>
      </c>
      <c r="F2819" t="s">
        <v>10673</v>
      </c>
      <c r="G2819">
        <v>300</v>
      </c>
      <c r="H2819">
        <v>0</v>
      </c>
      <c r="I2819" t="s">
        <v>140</v>
      </c>
      <c r="J2819" t="s">
        <v>10674</v>
      </c>
      <c r="K2819" t="s">
        <v>936</v>
      </c>
      <c r="L2819" t="s">
        <v>27</v>
      </c>
      <c r="M2819" t="s">
        <v>28</v>
      </c>
      <c r="N2819" t="s">
        <v>10675</v>
      </c>
      <c r="O2819" t="s">
        <v>27</v>
      </c>
      <c r="P2819" t="s">
        <v>30</v>
      </c>
      <c r="Q2819" t="s">
        <v>31</v>
      </c>
      <c r="R2819" t="s">
        <v>32</v>
      </c>
      <c r="S2819" t="s">
        <v>28</v>
      </c>
      <c r="T2819" t="s">
        <v>10676</v>
      </c>
      <c r="U2819" t="s">
        <v>10675</v>
      </c>
    </row>
    <row r="2820" spans="1:21" x14ac:dyDescent="0.25">
      <c r="A2820" t="s">
        <v>33</v>
      </c>
      <c r="B2820" t="s">
        <v>34</v>
      </c>
      <c r="C2820">
        <v>200</v>
      </c>
      <c r="D2820">
        <v>1</v>
      </c>
      <c r="E2820">
        <v>0</v>
      </c>
      <c r="F2820" t="s">
        <v>10677</v>
      </c>
      <c r="G2820">
        <v>200</v>
      </c>
      <c r="H2820">
        <v>0</v>
      </c>
      <c r="I2820" t="s">
        <v>445</v>
      </c>
      <c r="J2820" t="s">
        <v>10678</v>
      </c>
      <c r="K2820" t="s">
        <v>54</v>
      </c>
      <c r="L2820" t="s">
        <v>27</v>
      </c>
      <c r="M2820" t="s">
        <v>28</v>
      </c>
      <c r="N2820" t="s">
        <v>10679</v>
      </c>
      <c r="O2820" t="s">
        <v>27</v>
      </c>
      <c r="P2820" t="s">
        <v>39</v>
      </c>
      <c r="Q2820" t="s">
        <v>31</v>
      </c>
      <c r="R2820" t="s">
        <v>32</v>
      </c>
      <c r="S2820" t="s">
        <v>28</v>
      </c>
      <c r="T2820" t="s">
        <v>10680</v>
      </c>
      <c r="U2820" t="s">
        <v>10679</v>
      </c>
    </row>
    <row r="2821" spans="1:21" x14ac:dyDescent="0.25">
      <c r="A2821" t="s">
        <v>70</v>
      </c>
      <c r="B2821" t="s">
        <v>70</v>
      </c>
      <c r="C2821">
        <v>350</v>
      </c>
      <c r="D2821">
        <v>1</v>
      </c>
      <c r="E2821">
        <v>0</v>
      </c>
      <c r="F2821" t="s">
        <v>10681</v>
      </c>
      <c r="G2821">
        <v>350</v>
      </c>
      <c r="H2821">
        <v>0</v>
      </c>
      <c r="I2821" t="s">
        <v>140</v>
      </c>
      <c r="J2821" t="s">
        <v>1920</v>
      </c>
      <c r="K2821" t="s">
        <v>89</v>
      </c>
      <c r="L2821" t="s">
        <v>27</v>
      </c>
      <c r="M2821" t="s">
        <v>28</v>
      </c>
      <c r="N2821" t="s">
        <v>10679</v>
      </c>
      <c r="O2821" t="s">
        <v>27</v>
      </c>
      <c r="P2821" t="s">
        <v>30</v>
      </c>
      <c r="Q2821" t="s">
        <v>31</v>
      </c>
      <c r="R2821" t="s">
        <v>32</v>
      </c>
      <c r="S2821" t="s">
        <v>28</v>
      </c>
      <c r="T2821" t="s">
        <v>10682</v>
      </c>
      <c r="U2821" t="s">
        <v>10679</v>
      </c>
    </row>
    <row r="2822" spans="1:21" x14ac:dyDescent="0.25">
      <c r="A2822" t="s">
        <v>63</v>
      </c>
      <c r="B2822" t="s">
        <v>64</v>
      </c>
      <c r="C2822">
        <v>100</v>
      </c>
      <c r="D2822">
        <v>1</v>
      </c>
      <c r="E2822">
        <v>0</v>
      </c>
      <c r="F2822" t="s">
        <v>10683</v>
      </c>
      <c r="G2822">
        <v>100</v>
      </c>
      <c r="H2822">
        <v>0</v>
      </c>
      <c r="I2822" t="s">
        <v>140</v>
      </c>
      <c r="J2822" t="s">
        <v>10684</v>
      </c>
      <c r="K2822" t="s">
        <v>299</v>
      </c>
      <c r="L2822" t="s">
        <v>27</v>
      </c>
      <c r="M2822" t="s">
        <v>28</v>
      </c>
      <c r="N2822" t="s">
        <v>10679</v>
      </c>
      <c r="O2822" t="s">
        <v>27</v>
      </c>
      <c r="P2822" t="s">
        <v>369</v>
      </c>
      <c r="Q2822" t="s">
        <v>31</v>
      </c>
      <c r="R2822" t="s">
        <v>57</v>
      </c>
      <c r="S2822" t="s">
        <v>28</v>
      </c>
      <c r="T2822" t="s">
        <v>10685</v>
      </c>
      <c r="U2822" t="s">
        <v>10686</v>
      </c>
    </row>
    <row r="2823" spans="1:21" x14ac:dyDescent="0.25">
      <c r="A2823" t="s">
        <v>70</v>
      </c>
      <c r="B2823" t="s">
        <v>70</v>
      </c>
      <c r="C2823">
        <v>330</v>
      </c>
      <c r="D2823">
        <v>1</v>
      </c>
      <c r="E2823">
        <v>0</v>
      </c>
      <c r="F2823" t="s">
        <v>10687</v>
      </c>
      <c r="G2823">
        <v>330</v>
      </c>
      <c r="H2823">
        <v>0</v>
      </c>
      <c r="I2823" t="s">
        <v>445</v>
      </c>
      <c r="J2823" t="s">
        <v>10688</v>
      </c>
      <c r="K2823" t="s">
        <v>466</v>
      </c>
      <c r="L2823" t="s">
        <v>27</v>
      </c>
      <c r="M2823" t="s">
        <v>28</v>
      </c>
      <c r="N2823" t="s">
        <v>10689</v>
      </c>
      <c r="O2823" t="s">
        <v>27</v>
      </c>
      <c r="P2823" t="s">
        <v>39</v>
      </c>
      <c r="Q2823" t="s">
        <v>31</v>
      </c>
      <c r="R2823" t="s">
        <v>32</v>
      </c>
      <c r="S2823" t="s">
        <v>28</v>
      </c>
      <c r="T2823" t="s">
        <v>10690</v>
      </c>
      <c r="U2823" t="s">
        <v>10689</v>
      </c>
    </row>
    <row r="2824" spans="1:21" x14ac:dyDescent="0.25">
      <c r="A2824" t="s">
        <v>134</v>
      </c>
      <c r="B2824" t="s">
        <v>64</v>
      </c>
      <c r="C2824">
        <v>100</v>
      </c>
      <c r="D2824">
        <v>1</v>
      </c>
      <c r="E2824">
        <v>0</v>
      </c>
      <c r="F2824" t="s">
        <v>10691</v>
      </c>
      <c r="G2824">
        <v>106</v>
      </c>
      <c r="H2824">
        <v>6</v>
      </c>
      <c r="I2824" t="s">
        <v>140</v>
      </c>
      <c r="J2824" t="s">
        <v>10692</v>
      </c>
      <c r="K2824" t="s">
        <v>1602</v>
      </c>
      <c r="L2824" t="s">
        <v>27</v>
      </c>
      <c r="M2824" t="s">
        <v>28</v>
      </c>
      <c r="N2824" t="s">
        <v>10689</v>
      </c>
      <c r="O2824" t="s">
        <v>27</v>
      </c>
      <c r="P2824" t="s">
        <v>369</v>
      </c>
      <c r="Q2824" t="s">
        <v>31</v>
      </c>
      <c r="R2824" t="s">
        <v>57</v>
      </c>
      <c r="S2824" t="s">
        <v>28</v>
      </c>
      <c r="T2824" t="s">
        <v>10693</v>
      </c>
      <c r="U2824" t="s">
        <v>10689</v>
      </c>
    </row>
    <row r="2825" spans="1:21" x14ac:dyDescent="0.25">
      <c r="A2825" t="s">
        <v>33</v>
      </c>
      <c r="B2825" t="s">
        <v>34</v>
      </c>
      <c r="C2825">
        <v>200</v>
      </c>
      <c r="D2825">
        <v>1</v>
      </c>
      <c r="E2825">
        <v>0</v>
      </c>
      <c r="F2825" t="s">
        <v>10694</v>
      </c>
      <c r="G2825">
        <v>200</v>
      </c>
      <c r="H2825">
        <v>0</v>
      </c>
      <c r="I2825" t="s">
        <v>445</v>
      </c>
      <c r="J2825" t="s">
        <v>10695</v>
      </c>
      <c r="K2825" t="s">
        <v>753</v>
      </c>
      <c r="L2825" t="s">
        <v>27</v>
      </c>
      <c r="M2825" t="s">
        <v>28</v>
      </c>
      <c r="N2825" t="s">
        <v>10696</v>
      </c>
      <c r="O2825" t="s">
        <v>27</v>
      </c>
      <c r="P2825" t="s">
        <v>56</v>
      </c>
      <c r="Q2825" t="s">
        <v>31</v>
      </c>
      <c r="R2825" t="s">
        <v>57</v>
      </c>
      <c r="S2825" t="s">
        <v>28</v>
      </c>
      <c r="T2825" t="s">
        <v>10697</v>
      </c>
      <c r="U2825" t="s">
        <v>10696</v>
      </c>
    </row>
    <row r="2826" spans="1:21" x14ac:dyDescent="0.25">
      <c r="A2826" t="s">
        <v>58</v>
      </c>
      <c r="B2826" t="s">
        <v>103</v>
      </c>
      <c r="C2826">
        <v>84</v>
      </c>
      <c r="D2826">
        <v>1</v>
      </c>
      <c r="E2826">
        <v>0</v>
      </c>
      <c r="F2826" t="s">
        <v>10698</v>
      </c>
      <c r="G2826">
        <v>89</v>
      </c>
      <c r="H2826">
        <v>5</v>
      </c>
      <c r="I2826" t="s">
        <v>105</v>
      </c>
      <c r="J2826" t="s">
        <v>10699</v>
      </c>
      <c r="K2826" t="s">
        <v>10700</v>
      </c>
      <c r="L2826" t="s">
        <v>10701</v>
      </c>
      <c r="M2826" t="s">
        <v>10702</v>
      </c>
      <c r="N2826" t="s">
        <v>10703</v>
      </c>
      <c r="O2826" t="s">
        <v>27</v>
      </c>
      <c r="P2826" t="s">
        <v>48</v>
      </c>
      <c r="Q2826" t="s">
        <v>49</v>
      </c>
      <c r="R2826" t="s">
        <v>50</v>
      </c>
      <c r="S2826" t="s">
        <v>28</v>
      </c>
      <c r="T2826" t="s">
        <v>10704</v>
      </c>
      <c r="U2826" t="s">
        <v>10703</v>
      </c>
    </row>
    <row r="2827" spans="1:21" x14ac:dyDescent="0.25">
      <c r="A2827" t="s">
        <v>134</v>
      </c>
      <c r="B2827" t="s">
        <v>64</v>
      </c>
      <c r="C2827">
        <v>100</v>
      </c>
      <c r="D2827">
        <v>3</v>
      </c>
      <c r="E2827">
        <v>0</v>
      </c>
      <c r="F2827" t="s">
        <v>10705</v>
      </c>
      <c r="G2827">
        <v>300</v>
      </c>
      <c r="H2827">
        <v>0</v>
      </c>
      <c r="I2827" t="s">
        <v>140</v>
      </c>
      <c r="J2827" t="s">
        <v>2342</v>
      </c>
      <c r="K2827" t="s">
        <v>89</v>
      </c>
      <c r="L2827" t="s">
        <v>27</v>
      </c>
      <c r="M2827" t="s">
        <v>28</v>
      </c>
      <c r="N2827" t="s">
        <v>10706</v>
      </c>
      <c r="O2827" t="s">
        <v>27</v>
      </c>
      <c r="P2827" t="s">
        <v>30</v>
      </c>
      <c r="Q2827" t="s">
        <v>31</v>
      </c>
      <c r="R2827" t="s">
        <v>32</v>
      </c>
      <c r="S2827" t="s">
        <v>28</v>
      </c>
      <c r="T2827" t="s">
        <v>10707</v>
      </c>
      <c r="U2827" t="s">
        <v>10706</v>
      </c>
    </row>
    <row r="2828" spans="1:21" x14ac:dyDescent="0.25">
      <c r="A2828" t="s">
        <v>70</v>
      </c>
      <c r="B2828" t="s">
        <v>70</v>
      </c>
      <c r="C2828">
        <v>350</v>
      </c>
      <c r="D2828">
        <v>1</v>
      </c>
      <c r="E2828">
        <v>0</v>
      </c>
      <c r="F2828" t="s">
        <v>10708</v>
      </c>
      <c r="G2828">
        <v>350</v>
      </c>
      <c r="H2828">
        <v>0</v>
      </c>
      <c r="I2828" t="s">
        <v>140</v>
      </c>
      <c r="J2828" t="s">
        <v>10709</v>
      </c>
      <c r="K2828" t="s">
        <v>67</v>
      </c>
      <c r="L2828" t="s">
        <v>27</v>
      </c>
      <c r="M2828" t="s">
        <v>28</v>
      </c>
      <c r="N2828" t="s">
        <v>10706</v>
      </c>
      <c r="O2828" t="s">
        <v>27</v>
      </c>
      <c r="P2828" t="s">
        <v>30</v>
      </c>
      <c r="Q2828" t="s">
        <v>31</v>
      </c>
      <c r="R2828" t="s">
        <v>32</v>
      </c>
      <c r="S2828" t="s">
        <v>28</v>
      </c>
      <c r="T2828" t="s">
        <v>10710</v>
      </c>
      <c r="U2828" t="s">
        <v>10706</v>
      </c>
    </row>
    <row r="2829" spans="1:21" x14ac:dyDescent="0.25">
      <c r="A2829" t="s">
        <v>134</v>
      </c>
      <c r="B2829" t="s">
        <v>64</v>
      </c>
      <c r="C2829">
        <v>129</v>
      </c>
      <c r="D2829">
        <v>2</v>
      </c>
      <c r="E2829">
        <v>0</v>
      </c>
      <c r="F2829" t="s">
        <v>10711</v>
      </c>
      <c r="G2829">
        <v>303</v>
      </c>
      <c r="H2829">
        <v>45</v>
      </c>
      <c r="I2829" t="s">
        <v>24</v>
      </c>
      <c r="J2829" t="s">
        <v>7760</v>
      </c>
      <c r="K2829" t="s">
        <v>10712</v>
      </c>
      <c r="L2829" t="s">
        <v>3447</v>
      </c>
      <c r="M2829" t="s">
        <v>191</v>
      </c>
      <c r="N2829" t="s">
        <v>10713</v>
      </c>
      <c r="O2829" t="s">
        <v>27</v>
      </c>
      <c r="P2829" t="s">
        <v>193</v>
      </c>
      <c r="Q2829" t="s">
        <v>85</v>
      </c>
      <c r="R2829" t="s">
        <v>86</v>
      </c>
      <c r="S2829" t="s">
        <v>28</v>
      </c>
      <c r="T2829" t="s">
        <v>10714</v>
      </c>
      <c r="U2829" t="s">
        <v>10713</v>
      </c>
    </row>
    <row r="2830" spans="1:21" x14ac:dyDescent="0.25">
      <c r="A2830" t="s">
        <v>33</v>
      </c>
      <c r="B2830" t="s">
        <v>34</v>
      </c>
      <c r="C2830">
        <v>200</v>
      </c>
      <c r="D2830">
        <v>1</v>
      </c>
      <c r="E2830">
        <v>0</v>
      </c>
      <c r="F2830" t="s">
        <v>10715</v>
      </c>
      <c r="G2830">
        <v>300</v>
      </c>
      <c r="H2830">
        <v>0</v>
      </c>
      <c r="I2830" t="s">
        <v>140</v>
      </c>
      <c r="J2830" t="s">
        <v>10716</v>
      </c>
      <c r="K2830" t="s">
        <v>791</v>
      </c>
      <c r="L2830" t="s">
        <v>27</v>
      </c>
      <c r="M2830" t="s">
        <v>28</v>
      </c>
      <c r="N2830" t="s">
        <v>10713</v>
      </c>
      <c r="O2830" t="s">
        <v>27</v>
      </c>
      <c r="P2830" t="s">
        <v>369</v>
      </c>
      <c r="Q2830" t="s">
        <v>31</v>
      </c>
      <c r="R2830" t="s">
        <v>57</v>
      </c>
      <c r="S2830" t="s">
        <v>28</v>
      </c>
      <c r="T2830" t="s">
        <v>10717</v>
      </c>
      <c r="U2830" t="s">
        <v>10718</v>
      </c>
    </row>
    <row r="2831" spans="1:21" x14ac:dyDescent="0.25">
      <c r="A2831" t="s">
        <v>134</v>
      </c>
      <c r="B2831" t="s">
        <v>64</v>
      </c>
      <c r="C2831">
        <v>100</v>
      </c>
      <c r="D2831">
        <v>1</v>
      </c>
      <c r="E2831">
        <v>0</v>
      </c>
      <c r="F2831" t="s">
        <v>10715</v>
      </c>
      <c r="G2831">
        <v>300</v>
      </c>
      <c r="H2831">
        <v>0</v>
      </c>
      <c r="I2831" t="s">
        <v>140</v>
      </c>
      <c r="J2831" t="s">
        <v>10716</v>
      </c>
      <c r="K2831" t="s">
        <v>791</v>
      </c>
      <c r="L2831" t="s">
        <v>27</v>
      </c>
      <c r="M2831" t="s">
        <v>28</v>
      </c>
      <c r="N2831" t="s">
        <v>10713</v>
      </c>
      <c r="O2831" t="s">
        <v>27</v>
      </c>
      <c r="P2831" t="s">
        <v>369</v>
      </c>
      <c r="Q2831" t="s">
        <v>31</v>
      </c>
      <c r="R2831" t="s">
        <v>57</v>
      </c>
      <c r="S2831" t="s">
        <v>28</v>
      </c>
      <c r="T2831" t="s">
        <v>10717</v>
      </c>
      <c r="U2831" t="s">
        <v>10718</v>
      </c>
    </row>
    <row r="2832" spans="1:21" x14ac:dyDescent="0.25">
      <c r="A2832" t="s">
        <v>33</v>
      </c>
      <c r="B2832" t="s">
        <v>34</v>
      </c>
      <c r="C2832">
        <v>200</v>
      </c>
      <c r="D2832">
        <v>1</v>
      </c>
      <c r="E2832">
        <v>0</v>
      </c>
      <c r="F2832" t="s">
        <v>10719</v>
      </c>
      <c r="G2832">
        <v>200</v>
      </c>
      <c r="H2832">
        <v>0</v>
      </c>
      <c r="I2832" t="s">
        <v>445</v>
      </c>
      <c r="J2832" t="s">
        <v>10720</v>
      </c>
      <c r="K2832" t="s">
        <v>384</v>
      </c>
      <c r="L2832" t="s">
        <v>27</v>
      </c>
      <c r="M2832" t="s">
        <v>28</v>
      </c>
      <c r="N2832" t="s">
        <v>10721</v>
      </c>
      <c r="O2832" t="s">
        <v>27</v>
      </c>
      <c r="P2832" t="s">
        <v>39</v>
      </c>
      <c r="Q2832" t="s">
        <v>31</v>
      </c>
      <c r="R2832" t="s">
        <v>32</v>
      </c>
      <c r="S2832" t="s">
        <v>28</v>
      </c>
      <c r="T2832" t="s">
        <v>10722</v>
      </c>
      <c r="U2832" t="s">
        <v>10721</v>
      </c>
    </row>
    <row r="2833" spans="1:21" x14ac:dyDescent="0.25">
      <c r="A2833" t="s">
        <v>33</v>
      </c>
      <c r="B2833" t="s">
        <v>34</v>
      </c>
      <c r="C2833">
        <v>200</v>
      </c>
      <c r="D2833">
        <v>1</v>
      </c>
      <c r="E2833">
        <v>0</v>
      </c>
      <c r="F2833" t="s">
        <v>10723</v>
      </c>
      <c r="G2833">
        <v>200</v>
      </c>
      <c r="H2833">
        <v>0</v>
      </c>
      <c r="I2833" t="s">
        <v>24</v>
      </c>
      <c r="J2833" t="s">
        <v>10724</v>
      </c>
      <c r="K2833" t="s">
        <v>89</v>
      </c>
      <c r="L2833" t="s">
        <v>27</v>
      </c>
      <c r="M2833" t="s">
        <v>28</v>
      </c>
      <c r="N2833" t="s">
        <v>10721</v>
      </c>
      <c r="O2833" t="s">
        <v>27</v>
      </c>
      <c r="P2833" t="s">
        <v>56</v>
      </c>
      <c r="Q2833" t="s">
        <v>31</v>
      </c>
      <c r="R2833" t="s">
        <v>57</v>
      </c>
      <c r="S2833" t="s">
        <v>28</v>
      </c>
      <c r="T2833" t="s">
        <v>10725</v>
      </c>
      <c r="U2833" t="s">
        <v>10721</v>
      </c>
    </row>
    <row r="2834" spans="1:21" x14ac:dyDescent="0.25">
      <c r="A2834" t="s">
        <v>33</v>
      </c>
      <c r="B2834" t="s">
        <v>34</v>
      </c>
      <c r="C2834">
        <v>200</v>
      </c>
      <c r="D2834">
        <v>1</v>
      </c>
      <c r="E2834">
        <v>0</v>
      </c>
      <c r="F2834" t="s">
        <v>10726</v>
      </c>
      <c r="G2834">
        <v>200</v>
      </c>
      <c r="H2834">
        <v>0</v>
      </c>
      <c r="I2834" t="s">
        <v>140</v>
      </c>
      <c r="J2834" t="s">
        <v>10727</v>
      </c>
      <c r="K2834" t="s">
        <v>54</v>
      </c>
      <c r="L2834" t="s">
        <v>27</v>
      </c>
      <c r="M2834" t="s">
        <v>28</v>
      </c>
      <c r="N2834" t="s">
        <v>10728</v>
      </c>
      <c r="O2834" t="s">
        <v>27</v>
      </c>
      <c r="P2834" t="s">
        <v>30</v>
      </c>
      <c r="Q2834" t="s">
        <v>31</v>
      </c>
      <c r="R2834" t="s">
        <v>32</v>
      </c>
      <c r="S2834" t="s">
        <v>28</v>
      </c>
      <c r="T2834" t="s">
        <v>10729</v>
      </c>
      <c r="U2834" t="s">
        <v>10728</v>
      </c>
    </row>
    <row r="2835" spans="1:21" x14ac:dyDescent="0.25">
      <c r="A2835" t="s">
        <v>63</v>
      </c>
      <c r="B2835" t="s">
        <v>64</v>
      </c>
      <c r="C2835">
        <v>100</v>
      </c>
      <c r="D2835">
        <v>2</v>
      </c>
      <c r="E2835">
        <v>0</v>
      </c>
      <c r="F2835" t="s">
        <v>10730</v>
      </c>
      <c r="G2835">
        <v>500</v>
      </c>
      <c r="H2835">
        <v>0</v>
      </c>
      <c r="I2835" t="s">
        <v>140</v>
      </c>
      <c r="J2835" t="s">
        <v>10731</v>
      </c>
      <c r="K2835" t="s">
        <v>273</v>
      </c>
      <c r="L2835" t="s">
        <v>27</v>
      </c>
      <c r="M2835" t="s">
        <v>28</v>
      </c>
      <c r="N2835" t="s">
        <v>10732</v>
      </c>
      <c r="O2835" t="s">
        <v>27</v>
      </c>
      <c r="P2835" t="s">
        <v>30</v>
      </c>
      <c r="Q2835" t="s">
        <v>31</v>
      </c>
      <c r="R2835" t="s">
        <v>32</v>
      </c>
      <c r="S2835" t="s">
        <v>28</v>
      </c>
      <c r="T2835" t="s">
        <v>10733</v>
      </c>
      <c r="U2835" t="s">
        <v>10732</v>
      </c>
    </row>
    <row r="2836" spans="1:21" x14ac:dyDescent="0.25">
      <c r="A2836" t="s">
        <v>134</v>
      </c>
      <c r="B2836" t="s">
        <v>64</v>
      </c>
      <c r="C2836">
        <v>100</v>
      </c>
      <c r="D2836">
        <v>3</v>
      </c>
      <c r="E2836">
        <v>0</v>
      </c>
      <c r="F2836" t="s">
        <v>10730</v>
      </c>
      <c r="G2836">
        <v>500</v>
      </c>
      <c r="H2836">
        <v>0</v>
      </c>
      <c r="I2836" t="s">
        <v>140</v>
      </c>
      <c r="J2836" t="s">
        <v>10731</v>
      </c>
      <c r="K2836" t="s">
        <v>273</v>
      </c>
      <c r="L2836" t="s">
        <v>27</v>
      </c>
      <c r="M2836" t="s">
        <v>28</v>
      </c>
      <c r="N2836" t="s">
        <v>10732</v>
      </c>
      <c r="O2836" t="s">
        <v>27</v>
      </c>
      <c r="P2836" t="s">
        <v>30</v>
      </c>
      <c r="Q2836" t="s">
        <v>31</v>
      </c>
      <c r="R2836" t="s">
        <v>32</v>
      </c>
      <c r="S2836" t="s">
        <v>28</v>
      </c>
      <c r="T2836" t="s">
        <v>10733</v>
      </c>
      <c r="U2836" t="s">
        <v>10732</v>
      </c>
    </row>
    <row r="2837" spans="1:21" x14ac:dyDescent="0.25">
      <c r="A2837" t="s">
        <v>143</v>
      </c>
      <c r="B2837" t="s">
        <v>144</v>
      </c>
      <c r="C2837">
        <v>200</v>
      </c>
      <c r="D2837">
        <v>1</v>
      </c>
      <c r="E2837">
        <v>0</v>
      </c>
      <c r="F2837" t="s">
        <v>10734</v>
      </c>
      <c r="G2837">
        <v>200</v>
      </c>
      <c r="H2837">
        <v>0</v>
      </c>
      <c r="I2837" t="s">
        <v>445</v>
      </c>
      <c r="J2837" t="s">
        <v>10735</v>
      </c>
      <c r="K2837" t="s">
        <v>653</v>
      </c>
      <c r="L2837" t="s">
        <v>27</v>
      </c>
      <c r="M2837" t="s">
        <v>28</v>
      </c>
      <c r="N2837" t="s">
        <v>10732</v>
      </c>
      <c r="O2837" t="s">
        <v>27</v>
      </c>
      <c r="P2837" t="s">
        <v>56</v>
      </c>
      <c r="Q2837" t="s">
        <v>31</v>
      </c>
      <c r="R2837" t="s">
        <v>57</v>
      </c>
      <c r="S2837" t="s">
        <v>28</v>
      </c>
      <c r="T2837" t="s">
        <v>10736</v>
      </c>
      <c r="U2837" t="s">
        <v>10732</v>
      </c>
    </row>
    <row r="2838" spans="1:21" x14ac:dyDescent="0.25">
      <c r="A2838" t="s">
        <v>456</v>
      </c>
      <c r="B2838" t="s">
        <v>457</v>
      </c>
      <c r="C2838">
        <v>199</v>
      </c>
      <c r="D2838">
        <v>1</v>
      </c>
      <c r="E2838">
        <v>0</v>
      </c>
      <c r="F2838" t="s">
        <v>10737</v>
      </c>
      <c r="G2838">
        <v>228</v>
      </c>
      <c r="H2838">
        <v>29</v>
      </c>
      <c r="I2838" t="s">
        <v>24</v>
      </c>
      <c r="J2838" t="s">
        <v>10738</v>
      </c>
      <c r="K2838" t="s">
        <v>10739</v>
      </c>
      <c r="L2838" t="s">
        <v>2557</v>
      </c>
      <c r="M2838" t="s">
        <v>975</v>
      </c>
      <c r="N2838" t="s">
        <v>10647</v>
      </c>
      <c r="O2838" t="s">
        <v>27</v>
      </c>
      <c r="P2838" t="s">
        <v>193</v>
      </c>
      <c r="Q2838" t="s">
        <v>85</v>
      </c>
      <c r="R2838" t="s">
        <v>86</v>
      </c>
      <c r="S2838" t="s">
        <v>28</v>
      </c>
      <c r="T2838" t="s">
        <v>10740</v>
      </c>
      <c r="U2838" t="s">
        <v>10741</v>
      </c>
    </row>
    <row r="2839" spans="1:21" x14ac:dyDescent="0.25">
      <c r="A2839" t="s">
        <v>33</v>
      </c>
      <c r="B2839" t="s">
        <v>34</v>
      </c>
      <c r="C2839">
        <v>200</v>
      </c>
      <c r="D2839">
        <v>1</v>
      </c>
      <c r="E2839">
        <v>0</v>
      </c>
      <c r="F2839" t="s">
        <v>10742</v>
      </c>
      <c r="G2839">
        <v>200</v>
      </c>
      <c r="H2839">
        <v>0</v>
      </c>
      <c r="I2839" t="s">
        <v>24</v>
      </c>
      <c r="J2839" t="s">
        <v>10743</v>
      </c>
      <c r="K2839" t="s">
        <v>250</v>
      </c>
      <c r="L2839" t="s">
        <v>27</v>
      </c>
      <c r="M2839" t="s">
        <v>28</v>
      </c>
      <c r="N2839" t="s">
        <v>10741</v>
      </c>
      <c r="O2839" t="s">
        <v>27</v>
      </c>
      <c r="P2839" t="s">
        <v>56</v>
      </c>
      <c r="Q2839" t="s">
        <v>31</v>
      </c>
      <c r="R2839" t="s">
        <v>57</v>
      </c>
      <c r="S2839" t="s">
        <v>28</v>
      </c>
      <c r="T2839" t="s">
        <v>10744</v>
      </c>
      <c r="U2839" t="s">
        <v>10741</v>
      </c>
    </row>
    <row r="2840" spans="1:21" x14ac:dyDescent="0.25">
      <c r="A2840" t="s">
        <v>63</v>
      </c>
      <c r="B2840" t="s">
        <v>64</v>
      </c>
      <c r="C2840">
        <v>100</v>
      </c>
      <c r="D2840">
        <v>1</v>
      </c>
      <c r="E2840">
        <v>0</v>
      </c>
      <c r="F2840" t="s">
        <v>10745</v>
      </c>
      <c r="G2840">
        <v>106</v>
      </c>
      <c r="H2840">
        <v>6</v>
      </c>
      <c r="I2840" t="s">
        <v>140</v>
      </c>
      <c r="J2840" t="s">
        <v>10746</v>
      </c>
      <c r="K2840" t="s">
        <v>273</v>
      </c>
      <c r="L2840" t="s">
        <v>27</v>
      </c>
      <c r="M2840" t="s">
        <v>28</v>
      </c>
      <c r="N2840" t="s">
        <v>10747</v>
      </c>
      <c r="O2840" t="s">
        <v>27</v>
      </c>
      <c r="P2840" t="s">
        <v>30</v>
      </c>
      <c r="Q2840" t="s">
        <v>31</v>
      </c>
      <c r="R2840" t="s">
        <v>32</v>
      </c>
      <c r="S2840" t="s">
        <v>28</v>
      </c>
      <c r="T2840" t="s">
        <v>10748</v>
      </c>
      <c r="U2840" t="s">
        <v>10747</v>
      </c>
    </row>
    <row r="2841" spans="1:21" x14ac:dyDescent="0.25">
      <c r="A2841" t="s">
        <v>58</v>
      </c>
      <c r="B2841" t="s">
        <v>58</v>
      </c>
      <c r="C2841">
        <v>100</v>
      </c>
      <c r="D2841">
        <v>1</v>
      </c>
      <c r="E2841">
        <v>0</v>
      </c>
      <c r="F2841" t="s">
        <v>10749</v>
      </c>
      <c r="G2841">
        <v>106</v>
      </c>
      <c r="H2841">
        <v>6</v>
      </c>
      <c r="I2841" t="s">
        <v>140</v>
      </c>
      <c r="J2841" t="s">
        <v>10750</v>
      </c>
      <c r="K2841" t="s">
        <v>325</v>
      </c>
      <c r="L2841" t="s">
        <v>27</v>
      </c>
      <c r="M2841" t="s">
        <v>28</v>
      </c>
      <c r="N2841" t="s">
        <v>10747</v>
      </c>
      <c r="O2841" t="s">
        <v>27</v>
      </c>
      <c r="P2841" t="s">
        <v>30</v>
      </c>
      <c r="Q2841" t="s">
        <v>31</v>
      </c>
      <c r="R2841" t="s">
        <v>32</v>
      </c>
      <c r="S2841" t="s">
        <v>28</v>
      </c>
      <c r="T2841" t="s">
        <v>10751</v>
      </c>
      <c r="U2841" t="s">
        <v>10747</v>
      </c>
    </row>
    <row r="2842" spans="1:21" x14ac:dyDescent="0.25">
      <c r="A2842" t="s">
        <v>58</v>
      </c>
      <c r="B2842" t="s">
        <v>58</v>
      </c>
      <c r="C2842">
        <v>100</v>
      </c>
      <c r="D2842">
        <v>3</v>
      </c>
      <c r="E2842">
        <v>0</v>
      </c>
      <c r="F2842" t="s">
        <v>10752</v>
      </c>
      <c r="G2842">
        <v>324</v>
      </c>
      <c r="H2842">
        <v>29</v>
      </c>
      <c r="I2842" t="s">
        <v>445</v>
      </c>
      <c r="J2842" t="s">
        <v>8499</v>
      </c>
      <c r="K2842" t="s">
        <v>10753</v>
      </c>
      <c r="L2842" t="s">
        <v>868</v>
      </c>
      <c r="M2842" t="s">
        <v>4069</v>
      </c>
      <c r="N2842" t="s">
        <v>10754</v>
      </c>
      <c r="O2842" t="s">
        <v>27</v>
      </c>
      <c r="P2842" t="s">
        <v>193</v>
      </c>
      <c r="Q2842" t="s">
        <v>85</v>
      </c>
      <c r="R2842" t="s">
        <v>86</v>
      </c>
      <c r="S2842" t="s">
        <v>28</v>
      </c>
      <c r="T2842" t="s">
        <v>10755</v>
      </c>
      <c r="U2842" t="s">
        <v>10756</v>
      </c>
    </row>
    <row r="2843" spans="1:21" x14ac:dyDescent="0.25">
      <c r="A2843" t="s">
        <v>33</v>
      </c>
      <c r="B2843" t="s">
        <v>34</v>
      </c>
      <c r="C2843">
        <v>200</v>
      </c>
      <c r="D2843">
        <v>1</v>
      </c>
      <c r="E2843">
        <v>0</v>
      </c>
      <c r="F2843" t="s">
        <v>10757</v>
      </c>
      <c r="G2843">
        <v>200</v>
      </c>
      <c r="H2843">
        <v>0</v>
      </c>
      <c r="I2843" t="s">
        <v>445</v>
      </c>
      <c r="J2843" t="s">
        <v>10758</v>
      </c>
      <c r="K2843" t="s">
        <v>4082</v>
      </c>
      <c r="L2843" t="s">
        <v>27</v>
      </c>
      <c r="M2843" t="s">
        <v>28</v>
      </c>
      <c r="N2843" t="s">
        <v>10759</v>
      </c>
      <c r="O2843" t="s">
        <v>27</v>
      </c>
      <c r="P2843" t="s">
        <v>39</v>
      </c>
      <c r="Q2843" t="s">
        <v>31</v>
      </c>
      <c r="R2843" t="s">
        <v>32</v>
      </c>
      <c r="S2843" t="s">
        <v>28</v>
      </c>
      <c r="T2843" t="s">
        <v>10760</v>
      </c>
      <c r="U2843" t="s">
        <v>10759</v>
      </c>
    </row>
    <row r="2844" spans="1:21" x14ac:dyDescent="0.25">
      <c r="A2844" t="s">
        <v>33</v>
      </c>
      <c r="B2844" t="s">
        <v>34</v>
      </c>
      <c r="C2844">
        <v>200</v>
      </c>
      <c r="D2844">
        <v>1</v>
      </c>
      <c r="E2844">
        <v>0</v>
      </c>
      <c r="F2844" t="s">
        <v>10761</v>
      </c>
      <c r="G2844">
        <v>200</v>
      </c>
      <c r="H2844">
        <v>0</v>
      </c>
      <c r="I2844" t="s">
        <v>24</v>
      </c>
      <c r="J2844" t="s">
        <v>5283</v>
      </c>
      <c r="K2844" t="s">
        <v>273</v>
      </c>
      <c r="L2844" t="s">
        <v>27</v>
      </c>
      <c r="M2844" t="s">
        <v>28</v>
      </c>
      <c r="N2844" t="s">
        <v>10762</v>
      </c>
      <c r="O2844" t="s">
        <v>27</v>
      </c>
      <c r="P2844" t="s">
        <v>39</v>
      </c>
      <c r="Q2844" t="s">
        <v>31</v>
      </c>
      <c r="R2844" t="s">
        <v>32</v>
      </c>
      <c r="S2844" t="s">
        <v>28</v>
      </c>
      <c r="T2844" t="s">
        <v>10763</v>
      </c>
      <c r="U2844" t="s">
        <v>10762</v>
      </c>
    </row>
    <row r="2845" spans="1:21" x14ac:dyDescent="0.25">
      <c r="A2845" t="s">
        <v>33</v>
      </c>
      <c r="B2845" t="s">
        <v>34</v>
      </c>
      <c r="C2845">
        <v>200</v>
      </c>
      <c r="D2845">
        <v>1</v>
      </c>
      <c r="E2845">
        <v>0</v>
      </c>
      <c r="F2845" t="s">
        <v>10764</v>
      </c>
      <c r="G2845">
        <v>300</v>
      </c>
      <c r="H2845">
        <v>0</v>
      </c>
      <c r="I2845" t="s">
        <v>140</v>
      </c>
      <c r="J2845" t="s">
        <v>10765</v>
      </c>
      <c r="K2845" t="s">
        <v>358</v>
      </c>
      <c r="L2845" t="s">
        <v>27</v>
      </c>
      <c r="M2845" t="s">
        <v>28</v>
      </c>
      <c r="N2845" t="s">
        <v>10766</v>
      </c>
      <c r="O2845" t="s">
        <v>27</v>
      </c>
      <c r="P2845" t="s">
        <v>369</v>
      </c>
      <c r="Q2845" t="s">
        <v>31</v>
      </c>
      <c r="R2845" t="s">
        <v>57</v>
      </c>
      <c r="S2845" t="s">
        <v>28</v>
      </c>
      <c r="T2845" t="s">
        <v>10767</v>
      </c>
      <c r="U2845" t="s">
        <v>10766</v>
      </c>
    </row>
    <row r="2846" spans="1:21" x14ac:dyDescent="0.25">
      <c r="A2846" t="s">
        <v>63</v>
      </c>
      <c r="B2846" t="s">
        <v>64</v>
      </c>
      <c r="C2846">
        <v>100</v>
      </c>
      <c r="D2846">
        <v>1</v>
      </c>
      <c r="E2846">
        <v>0</v>
      </c>
      <c r="F2846" t="s">
        <v>10764</v>
      </c>
      <c r="G2846">
        <v>300</v>
      </c>
      <c r="H2846">
        <v>0</v>
      </c>
      <c r="I2846" t="s">
        <v>140</v>
      </c>
      <c r="J2846" t="s">
        <v>10765</v>
      </c>
      <c r="K2846" t="s">
        <v>358</v>
      </c>
      <c r="L2846" t="s">
        <v>27</v>
      </c>
      <c r="M2846" t="s">
        <v>28</v>
      </c>
      <c r="N2846" t="s">
        <v>10766</v>
      </c>
      <c r="O2846" t="s">
        <v>27</v>
      </c>
      <c r="P2846" t="s">
        <v>369</v>
      </c>
      <c r="Q2846" t="s">
        <v>31</v>
      </c>
      <c r="R2846" t="s">
        <v>57</v>
      </c>
      <c r="S2846" t="s">
        <v>28</v>
      </c>
      <c r="T2846" t="s">
        <v>10767</v>
      </c>
      <c r="U2846" t="s">
        <v>10766</v>
      </c>
    </row>
    <row r="2847" spans="1:21" x14ac:dyDescent="0.25">
      <c r="A2847" t="s">
        <v>456</v>
      </c>
      <c r="B2847" t="s">
        <v>457</v>
      </c>
      <c r="C2847">
        <v>199</v>
      </c>
      <c r="D2847">
        <v>2</v>
      </c>
      <c r="E2847">
        <v>0</v>
      </c>
      <c r="F2847" t="s">
        <v>10768</v>
      </c>
      <c r="G2847">
        <v>462</v>
      </c>
      <c r="H2847">
        <v>64</v>
      </c>
      <c r="I2847" t="s">
        <v>24</v>
      </c>
      <c r="J2847" t="s">
        <v>866</v>
      </c>
      <c r="K2847" t="s">
        <v>10769</v>
      </c>
      <c r="L2847" t="s">
        <v>3981</v>
      </c>
      <c r="M2847" t="s">
        <v>10770</v>
      </c>
      <c r="N2847" t="s">
        <v>10771</v>
      </c>
      <c r="O2847" t="s">
        <v>27</v>
      </c>
      <c r="P2847" t="s">
        <v>193</v>
      </c>
      <c r="Q2847" t="s">
        <v>85</v>
      </c>
      <c r="R2847" t="s">
        <v>86</v>
      </c>
      <c r="S2847" t="s">
        <v>28</v>
      </c>
      <c r="T2847" t="s">
        <v>10772</v>
      </c>
      <c r="U2847" t="s">
        <v>10771</v>
      </c>
    </row>
    <row r="2848" spans="1:21" x14ac:dyDescent="0.25">
      <c r="A2848" t="s">
        <v>2703</v>
      </c>
      <c r="B2848" t="s">
        <v>5909</v>
      </c>
      <c r="C2848">
        <v>420</v>
      </c>
      <c r="D2848">
        <v>1</v>
      </c>
      <c r="E2848">
        <v>0</v>
      </c>
      <c r="F2848" t="s">
        <v>10773</v>
      </c>
      <c r="G2848">
        <v>499</v>
      </c>
      <c r="H2848">
        <v>79</v>
      </c>
      <c r="I2848" t="s">
        <v>24</v>
      </c>
      <c r="J2848" t="s">
        <v>2103</v>
      </c>
      <c r="K2848" t="s">
        <v>10774</v>
      </c>
      <c r="L2848" t="s">
        <v>406</v>
      </c>
      <c r="M2848" t="s">
        <v>1404</v>
      </c>
      <c r="N2848" t="s">
        <v>10771</v>
      </c>
      <c r="O2848" t="s">
        <v>27</v>
      </c>
      <c r="P2848" t="s">
        <v>84</v>
      </c>
      <c r="Q2848" t="s">
        <v>85</v>
      </c>
      <c r="R2848" t="s">
        <v>86</v>
      </c>
      <c r="S2848" t="s">
        <v>28</v>
      </c>
      <c r="T2848" t="s">
        <v>10775</v>
      </c>
      <c r="U2848" t="s">
        <v>10771</v>
      </c>
    </row>
    <row r="2849" spans="1:21" x14ac:dyDescent="0.25">
      <c r="A2849" t="s">
        <v>70</v>
      </c>
      <c r="B2849" t="s">
        <v>70</v>
      </c>
      <c r="C2849">
        <v>330</v>
      </c>
      <c r="D2849">
        <v>1</v>
      </c>
      <c r="E2849">
        <v>0</v>
      </c>
      <c r="F2849" t="s">
        <v>10776</v>
      </c>
      <c r="G2849">
        <v>330</v>
      </c>
      <c r="H2849">
        <v>0</v>
      </c>
      <c r="I2849" t="s">
        <v>24</v>
      </c>
      <c r="J2849" t="s">
        <v>10777</v>
      </c>
      <c r="K2849" t="s">
        <v>273</v>
      </c>
      <c r="L2849" t="s">
        <v>27</v>
      </c>
      <c r="M2849" t="s">
        <v>28</v>
      </c>
      <c r="N2849" t="s">
        <v>10778</v>
      </c>
      <c r="O2849" t="s">
        <v>27</v>
      </c>
      <c r="P2849" t="s">
        <v>39</v>
      </c>
      <c r="Q2849" t="s">
        <v>31</v>
      </c>
      <c r="R2849" t="s">
        <v>32</v>
      </c>
      <c r="S2849" t="s">
        <v>28</v>
      </c>
      <c r="T2849" t="s">
        <v>10779</v>
      </c>
      <c r="U2849" t="s">
        <v>10778</v>
      </c>
    </row>
    <row r="2850" spans="1:21" x14ac:dyDescent="0.25">
      <c r="A2850" t="s">
        <v>33</v>
      </c>
      <c r="B2850" t="s">
        <v>34</v>
      </c>
      <c r="C2850">
        <v>200</v>
      </c>
      <c r="D2850">
        <v>1</v>
      </c>
      <c r="E2850">
        <v>0</v>
      </c>
      <c r="F2850" t="s">
        <v>10780</v>
      </c>
      <c r="G2850">
        <v>200</v>
      </c>
      <c r="H2850">
        <v>0</v>
      </c>
      <c r="I2850" t="s">
        <v>24</v>
      </c>
      <c r="J2850" t="s">
        <v>10781</v>
      </c>
      <c r="K2850" t="s">
        <v>1772</v>
      </c>
      <c r="L2850" t="s">
        <v>27</v>
      </c>
      <c r="M2850" t="s">
        <v>28</v>
      </c>
      <c r="N2850" t="s">
        <v>10448</v>
      </c>
      <c r="O2850" t="s">
        <v>27</v>
      </c>
      <c r="P2850" t="s">
        <v>56</v>
      </c>
      <c r="Q2850" t="s">
        <v>31</v>
      </c>
      <c r="R2850" t="s">
        <v>57</v>
      </c>
      <c r="S2850" t="s">
        <v>28</v>
      </c>
      <c r="T2850" t="s">
        <v>10782</v>
      </c>
      <c r="U2850" t="s">
        <v>10783</v>
      </c>
    </row>
    <row r="2851" spans="1:21" x14ac:dyDescent="0.25">
      <c r="A2851" t="s">
        <v>33</v>
      </c>
      <c r="B2851" t="s">
        <v>34</v>
      </c>
      <c r="C2851">
        <v>200</v>
      </c>
      <c r="D2851">
        <v>1</v>
      </c>
      <c r="E2851">
        <v>0</v>
      </c>
      <c r="F2851" t="s">
        <v>10784</v>
      </c>
      <c r="G2851">
        <v>200</v>
      </c>
      <c r="H2851">
        <v>0</v>
      </c>
      <c r="I2851" t="s">
        <v>24</v>
      </c>
      <c r="J2851" t="s">
        <v>10785</v>
      </c>
      <c r="K2851" t="s">
        <v>451</v>
      </c>
      <c r="L2851" t="s">
        <v>27</v>
      </c>
      <c r="M2851" t="s">
        <v>28</v>
      </c>
      <c r="N2851" t="s">
        <v>10786</v>
      </c>
      <c r="O2851" t="s">
        <v>27</v>
      </c>
      <c r="P2851" t="s">
        <v>56</v>
      </c>
      <c r="Q2851" t="s">
        <v>31</v>
      </c>
      <c r="R2851" t="s">
        <v>57</v>
      </c>
      <c r="S2851" t="s">
        <v>28</v>
      </c>
      <c r="T2851" t="s">
        <v>10787</v>
      </c>
      <c r="U2851" t="s">
        <v>10786</v>
      </c>
    </row>
    <row r="2852" spans="1:21" x14ac:dyDescent="0.25">
      <c r="A2852" t="s">
        <v>63</v>
      </c>
      <c r="B2852" t="s">
        <v>64</v>
      </c>
      <c r="C2852">
        <v>100</v>
      </c>
      <c r="D2852">
        <v>2</v>
      </c>
      <c r="E2852">
        <v>0</v>
      </c>
      <c r="F2852" t="s">
        <v>10788</v>
      </c>
      <c r="G2852">
        <v>200</v>
      </c>
      <c r="H2852">
        <v>0</v>
      </c>
      <c r="I2852" t="s">
        <v>140</v>
      </c>
      <c r="J2852" t="s">
        <v>10789</v>
      </c>
      <c r="K2852" t="s">
        <v>273</v>
      </c>
      <c r="L2852" t="s">
        <v>27</v>
      </c>
      <c r="M2852" t="s">
        <v>28</v>
      </c>
      <c r="N2852" t="s">
        <v>10790</v>
      </c>
      <c r="O2852" t="s">
        <v>27</v>
      </c>
      <c r="P2852" t="s">
        <v>30</v>
      </c>
      <c r="Q2852" t="s">
        <v>31</v>
      </c>
      <c r="R2852" t="s">
        <v>32</v>
      </c>
      <c r="S2852" t="s">
        <v>28</v>
      </c>
      <c r="T2852" t="s">
        <v>10791</v>
      </c>
      <c r="U2852" t="s">
        <v>10790</v>
      </c>
    </row>
    <row r="2853" spans="1:21" x14ac:dyDescent="0.25">
      <c r="A2853" t="s">
        <v>58</v>
      </c>
      <c r="B2853" t="s">
        <v>103</v>
      </c>
      <c r="C2853">
        <v>97.08</v>
      </c>
      <c r="D2853">
        <v>1</v>
      </c>
      <c r="E2853">
        <v>0</v>
      </c>
      <c r="F2853" t="s">
        <v>10792</v>
      </c>
      <c r="G2853">
        <v>412.3</v>
      </c>
      <c r="H2853">
        <v>24</v>
      </c>
      <c r="I2853" t="s">
        <v>105</v>
      </c>
      <c r="J2853" t="s">
        <v>10793</v>
      </c>
      <c r="K2853" t="s">
        <v>10794</v>
      </c>
      <c r="L2853" t="s">
        <v>9784</v>
      </c>
      <c r="M2853" t="s">
        <v>10795</v>
      </c>
      <c r="N2853" t="s">
        <v>10796</v>
      </c>
      <c r="O2853" t="s">
        <v>27</v>
      </c>
      <c r="P2853" t="s">
        <v>48</v>
      </c>
      <c r="Q2853" t="s">
        <v>49</v>
      </c>
      <c r="R2853" t="s">
        <v>50</v>
      </c>
      <c r="S2853" t="s">
        <v>28</v>
      </c>
      <c r="T2853" t="s">
        <v>10797</v>
      </c>
      <c r="U2853" t="s">
        <v>10796</v>
      </c>
    </row>
    <row r="2854" spans="1:21" x14ac:dyDescent="0.25">
      <c r="A2854" t="s">
        <v>58</v>
      </c>
      <c r="B2854" t="s">
        <v>103</v>
      </c>
      <c r="C2854">
        <v>97.07</v>
      </c>
      <c r="D2854">
        <v>1</v>
      </c>
      <c r="E2854">
        <v>0</v>
      </c>
      <c r="F2854" t="s">
        <v>10792</v>
      </c>
      <c r="G2854">
        <v>412.3</v>
      </c>
      <c r="H2854">
        <v>24</v>
      </c>
      <c r="I2854" t="s">
        <v>105</v>
      </c>
      <c r="J2854" t="s">
        <v>10793</v>
      </c>
      <c r="K2854" t="s">
        <v>10794</v>
      </c>
      <c r="L2854" t="s">
        <v>9784</v>
      </c>
      <c r="M2854" t="s">
        <v>10795</v>
      </c>
      <c r="N2854" t="s">
        <v>10796</v>
      </c>
      <c r="O2854" t="s">
        <v>27</v>
      </c>
      <c r="P2854" t="s">
        <v>48</v>
      </c>
      <c r="Q2854" t="s">
        <v>49</v>
      </c>
      <c r="R2854" t="s">
        <v>50</v>
      </c>
      <c r="S2854" t="s">
        <v>28</v>
      </c>
      <c r="T2854" t="s">
        <v>10797</v>
      </c>
      <c r="U2854" t="s">
        <v>10796</v>
      </c>
    </row>
    <row r="2855" spans="1:21" x14ac:dyDescent="0.25">
      <c r="A2855" t="s">
        <v>58</v>
      </c>
      <c r="B2855" t="s">
        <v>103</v>
      </c>
      <c r="C2855">
        <v>97.08</v>
      </c>
      <c r="D2855">
        <v>1</v>
      </c>
      <c r="E2855">
        <v>0</v>
      </c>
      <c r="F2855" t="s">
        <v>10792</v>
      </c>
      <c r="G2855">
        <v>412.3</v>
      </c>
      <c r="H2855">
        <v>24</v>
      </c>
      <c r="I2855" t="s">
        <v>105</v>
      </c>
      <c r="J2855" t="s">
        <v>10793</v>
      </c>
      <c r="K2855" t="s">
        <v>10794</v>
      </c>
      <c r="L2855" t="s">
        <v>9784</v>
      </c>
      <c r="M2855" t="s">
        <v>10795</v>
      </c>
      <c r="N2855" t="s">
        <v>10796</v>
      </c>
      <c r="O2855" t="s">
        <v>27</v>
      </c>
      <c r="P2855" t="s">
        <v>48</v>
      </c>
      <c r="Q2855" t="s">
        <v>49</v>
      </c>
      <c r="R2855" t="s">
        <v>50</v>
      </c>
      <c r="S2855" t="s">
        <v>28</v>
      </c>
      <c r="T2855" t="s">
        <v>10797</v>
      </c>
      <c r="U2855" t="s">
        <v>10796</v>
      </c>
    </row>
    <row r="2856" spans="1:21" x14ac:dyDescent="0.25">
      <c r="A2856" t="s">
        <v>58</v>
      </c>
      <c r="B2856" t="s">
        <v>103</v>
      </c>
      <c r="C2856">
        <v>97.07</v>
      </c>
      <c r="D2856">
        <v>1</v>
      </c>
      <c r="E2856">
        <v>0</v>
      </c>
      <c r="F2856" t="s">
        <v>10792</v>
      </c>
      <c r="G2856">
        <v>412.3</v>
      </c>
      <c r="H2856">
        <v>24</v>
      </c>
      <c r="I2856" t="s">
        <v>105</v>
      </c>
      <c r="J2856" t="s">
        <v>10793</v>
      </c>
      <c r="K2856" t="s">
        <v>10794</v>
      </c>
      <c r="L2856" t="s">
        <v>9784</v>
      </c>
      <c r="M2856" t="s">
        <v>10795</v>
      </c>
      <c r="N2856" t="s">
        <v>10796</v>
      </c>
      <c r="O2856" t="s">
        <v>27</v>
      </c>
      <c r="P2856" t="s">
        <v>48</v>
      </c>
      <c r="Q2856" t="s">
        <v>49</v>
      </c>
      <c r="R2856" t="s">
        <v>50</v>
      </c>
      <c r="S2856" t="s">
        <v>28</v>
      </c>
      <c r="T2856" t="s">
        <v>10797</v>
      </c>
      <c r="U2856" t="s">
        <v>10796</v>
      </c>
    </row>
    <row r="2857" spans="1:21" x14ac:dyDescent="0.25">
      <c r="A2857" t="s">
        <v>63</v>
      </c>
      <c r="B2857" t="s">
        <v>64</v>
      </c>
      <c r="C2857">
        <v>100</v>
      </c>
      <c r="D2857">
        <v>1</v>
      </c>
      <c r="E2857">
        <v>0</v>
      </c>
      <c r="F2857" t="s">
        <v>10798</v>
      </c>
      <c r="G2857">
        <v>106</v>
      </c>
      <c r="H2857">
        <v>6</v>
      </c>
      <c r="I2857" t="s">
        <v>24</v>
      </c>
      <c r="J2857" t="s">
        <v>10799</v>
      </c>
      <c r="K2857" t="s">
        <v>611</v>
      </c>
      <c r="L2857" t="s">
        <v>27</v>
      </c>
      <c r="M2857" t="s">
        <v>28</v>
      </c>
      <c r="N2857" t="s">
        <v>10800</v>
      </c>
      <c r="O2857" t="s">
        <v>27</v>
      </c>
      <c r="P2857" t="s">
        <v>39</v>
      </c>
      <c r="Q2857" t="s">
        <v>31</v>
      </c>
      <c r="R2857" t="s">
        <v>32</v>
      </c>
      <c r="S2857" t="s">
        <v>28</v>
      </c>
      <c r="T2857" t="s">
        <v>10801</v>
      </c>
      <c r="U2857" t="s">
        <v>10800</v>
      </c>
    </row>
    <row r="2858" spans="1:21" x14ac:dyDescent="0.25">
      <c r="A2858" t="s">
        <v>134</v>
      </c>
      <c r="B2858" t="s">
        <v>64</v>
      </c>
      <c r="C2858">
        <v>100</v>
      </c>
      <c r="D2858">
        <v>1</v>
      </c>
      <c r="E2858">
        <v>0</v>
      </c>
      <c r="F2858" t="s">
        <v>10802</v>
      </c>
      <c r="G2858">
        <v>106</v>
      </c>
      <c r="H2858">
        <v>6</v>
      </c>
      <c r="I2858" t="s">
        <v>24</v>
      </c>
      <c r="J2858" t="s">
        <v>10803</v>
      </c>
      <c r="K2858" t="s">
        <v>250</v>
      </c>
      <c r="L2858" t="s">
        <v>27</v>
      </c>
      <c r="M2858" t="s">
        <v>28</v>
      </c>
      <c r="N2858" t="s">
        <v>10804</v>
      </c>
      <c r="O2858" t="s">
        <v>27</v>
      </c>
      <c r="P2858" t="s">
        <v>39</v>
      </c>
      <c r="Q2858" t="s">
        <v>31</v>
      </c>
      <c r="R2858" t="s">
        <v>32</v>
      </c>
      <c r="S2858" t="s">
        <v>28</v>
      </c>
      <c r="T2858" t="s">
        <v>10805</v>
      </c>
      <c r="U2858" t="s">
        <v>10804</v>
      </c>
    </row>
    <row r="2859" spans="1:21" x14ac:dyDescent="0.25">
      <c r="A2859" t="s">
        <v>33</v>
      </c>
      <c r="B2859" t="s">
        <v>34</v>
      </c>
      <c r="C2859">
        <v>200</v>
      </c>
      <c r="D2859">
        <v>1</v>
      </c>
      <c r="E2859">
        <v>0</v>
      </c>
      <c r="F2859" t="s">
        <v>10806</v>
      </c>
      <c r="G2859">
        <v>200</v>
      </c>
      <c r="H2859">
        <v>0</v>
      </c>
      <c r="I2859" t="s">
        <v>24</v>
      </c>
      <c r="J2859" t="s">
        <v>10807</v>
      </c>
      <c r="K2859" t="s">
        <v>388</v>
      </c>
      <c r="L2859" t="s">
        <v>27</v>
      </c>
      <c r="M2859" t="s">
        <v>28</v>
      </c>
      <c r="N2859" t="s">
        <v>10808</v>
      </c>
      <c r="O2859" t="s">
        <v>27</v>
      </c>
      <c r="P2859" t="s">
        <v>39</v>
      </c>
      <c r="Q2859" t="s">
        <v>31</v>
      </c>
      <c r="R2859" t="s">
        <v>32</v>
      </c>
      <c r="S2859" t="s">
        <v>28</v>
      </c>
      <c r="T2859" t="s">
        <v>10809</v>
      </c>
      <c r="U2859" t="s">
        <v>10808</v>
      </c>
    </row>
    <row r="2860" spans="1:21" x14ac:dyDescent="0.25">
      <c r="A2860" t="s">
        <v>63</v>
      </c>
      <c r="B2860" t="s">
        <v>64</v>
      </c>
      <c r="C2860">
        <v>100</v>
      </c>
      <c r="D2860">
        <v>1</v>
      </c>
      <c r="E2860">
        <v>0</v>
      </c>
      <c r="F2860" t="s">
        <v>10810</v>
      </c>
      <c r="G2860">
        <v>106</v>
      </c>
      <c r="H2860">
        <v>6</v>
      </c>
      <c r="I2860" t="s">
        <v>445</v>
      </c>
      <c r="J2860" t="s">
        <v>10811</v>
      </c>
      <c r="K2860" t="s">
        <v>250</v>
      </c>
      <c r="L2860" t="s">
        <v>27</v>
      </c>
      <c r="M2860" t="s">
        <v>28</v>
      </c>
      <c r="N2860" t="s">
        <v>10812</v>
      </c>
      <c r="O2860" t="s">
        <v>27</v>
      </c>
      <c r="P2860" t="s">
        <v>56</v>
      </c>
      <c r="Q2860" t="s">
        <v>31</v>
      </c>
      <c r="R2860" t="s">
        <v>57</v>
      </c>
      <c r="S2860" t="s">
        <v>28</v>
      </c>
      <c r="T2860" t="s">
        <v>10813</v>
      </c>
      <c r="U2860" t="s">
        <v>10812</v>
      </c>
    </row>
    <row r="2861" spans="1:21" x14ac:dyDescent="0.25">
      <c r="A2861" t="s">
        <v>70</v>
      </c>
      <c r="B2861" t="s">
        <v>70</v>
      </c>
      <c r="C2861">
        <v>330</v>
      </c>
      <c r="D2861">
        <v>1</v>
      </c>
      <c r="E2861">
        <v>0</v>
      </c>
      <c r="F2861" t="s">
        <v>10814</v>
      </c>
      <c r="G2861">
        <v>330</v>
      </c>
      <c r="H2861">
        <v>0</v>
      </c>
      <c r="I2861" t="s">
        <v>24</v>
      </c>
      <c r="J2861" t="s">
        <v>10815</v>
      </c>
      <c r="K2861" t="s">
        <v>5378</v>
      </c>
      <c r="L2861" t="s">
        <v>27</v>
      </c>
      <c r="M2861" t="s">
        <v>28</v>
      </c>
      <c r="N2861" t="s">
        <v>10812</v>
      </c>
      <c r="O2861" t="s">
        <v>27</v>
      </c>
      <c r="P2861" t="s">
        <v>56</v>
      </c>
      <c r="Q2861" t="s">
        <v>31</v>
      </c>
      <c r="R2861" t="s">
        <v>57</v>
      </c>
      <c r="S2861" t="s">
        <v>28</v>
      </c>
      <c r="T2861" t="s">
        <v>10816</v>
      </c>
      <c r="U2861" t="s">
        <v>10812</v>
      </c>
    </row>
    <row r="2862" spans="1:21" x14ac:dyDescent="0.25">
      <c r="A2862" t="s">
        <v>134</v>
      </c>
      <c r="B2862" t="s">
        <v>64</v>
      </c>
      <c r="C2862">
        <v>100</v>
      </c>
      <c r="D2862">
        <v>3</v>
      </c>
      <c r="E2862">
        <v>0</v>
      </c>
      <c r="F2862" t="s">
        <v>10817</v>
      </c>
      <c r="G2862">
        <v>300</v>
      </c>
      <c r="H2862">
        <v>0</v>
      </c>
      <c r="I2862" t="s">
        <v>140</v>
      </c>
      <c r="J2862" t="s">
        <v>10789</v>
      </c>
      <c r="K2862" t="s">
        <v>273</v>
      </c>
      <c r="L2862" t="s">
        <v>27</v>
      </c>
      <c r="M2862" t="s">
        <v>28</v>
      </c>
      <c r="N2862" t="s">
        <v>10818</v>
      </c>
      <c r="O2862" t="s">
        <v>27</v>
      </c>
      <c r="P2862" t="s">
        <v>30</v>
      </c>
      <c r="Q2862" t="s">
        <v>31</v>
      </c>
      <c r="R2862" t="s">
        <v>32</v>
      </c>
      <c r="S2862" t="s">
        <v>28</v>
      </c>
      <c r="T2862" t="s">
        <v>10819</v>
      </c>
      <c r="U2862" t="s">
        <v>10818</v>
      </c>
    </row>
    <row r="2863" spans="1:21" x14ac:dyDescent="0.25">
      <c r="A2863" t="s">
        <v>63</v>
      </c>
      <c r="B2863" t="s">
        <v>64</v>
      </c>
      <c r="C2863">
        <v>100</v>
      </c>
      <c r="D2863">
        <v>2</v>
      </c>
      <c r="E2863">
        <v>0</v>
      </c>
      <c r="F2863" t="s">
        <v>10820</v>
      </c>
      <c r="G2863">
        <v>200</v>
      </c>
      <c r="H2863">
        <v>0</v>
      </c>
      <c r="I2863" t="s">
        <v>24</v>
      </c>
      <c r="J2863" t="s">
        <v>10821</v>
      </c>
      <c r="K2863" t="s">
        <v>73</v>
      </c>
      <c r="L2863" t="s">
        <v>27</v>
      </c>
      <c r="M2863" t="s">
        <v>28</v>
      </c>
      <c r="N2863" t="s">
        <v>10818</v>
      </c>
      <c r="O2863" t="s">
        <v>27</v>
      </c>
      <c r="P2863" t="s">
        <v>39</v>
      </c>
      <c r="Q2863" t="s">
        <v>31</v>
      </c>
      <c r="R2863" t="s">
        <v>32</v>
      </c>
      <c r="S2863" t="s">
        <v>28</v>
      </c>
      <c r="T2863" t="s">
        <v>10822</v>
      </c>
      <c r="U2863" t="s">
        <v>10818</v>
      </c>
    </row>
    <row r="2864" spans="1:21" x14ac:dyDescent="0.25">
      <c r="A2864" t="s">
        <v>134</v>
      </c>
      <c r="B2864" t="s">
        <v>64</v>
      </c>
      <c r="C2864">
        <v>100</v>
      </c>
      <c r="D2864">
        <v>1</v>
      </c>
      <c r="E2864">
        <v>0</v>
      </c>
      <c r="F2864" t="s">
        <v>10823</v>
      </c>
      <c r="G2864">
        <v>200</v>
      </c>
      <c r="H2864">
        <v>0</v>
      </c>
      <c r="I2864" t="s">
        <v>140</v>
      </c>
      <c r="J2864" t="s">
        <v>10824</v>
      </c>
      <c r="K2864" t="s">
        <v>37</v>
      </c>
      <c r="L2864" t="s">
        <v>27</v>
      </c>
      <c r="M2864" t="s">
        <v>28</v>
      </c>
      <c r="N2864" t="s">
        <v>10818</v>
      </c>
      <c r="O2864" t="s">
        <v>27</v>
      </c>
      <c r="P2864" t="s">
        <v>30</v>
      </c>
      <c r="Q2864" t="s">
        <v>31</v>
      </c>
      <c r="R2864" t="s">
        <v>32</v>
      </c>
      <c r="S2864" t="s">
        <v>28</v>
      </c>
      <c r="T2864" t="s">
        <v>10825</v>
      </c>
      <c r="U2864" t="s">
        <v>10818</v>
      </c>
    </row>
    <row r="2865" spans="1:21" x14ac:dyDescent="0.25">
      <c r="A2865" t="s">
        <v>58</v>
      </c>
      <c r="B2865" t="s">
        <v>58</v>
      </c>
      <c r="C2865">
        <v>100</v>
      </c>
      <c r="D2865">
        <v>1</v>
      </c>
      <c r="E2865">
        <v>0</v>
      </c>
      <c r="F2865" t="s">
        <v>10823</v>
      </c>
      <c r="G2865">
        <v>200</v>
      </c>
      <c r="H2865">
        <v>0</v>
      </c>
      <c r="I2865" t="s">
        <v>140</v>
      </c>
      <c r="J2865" t="s">
        <v>10824</v>
      </c>
      <c r="K2865" t="s">
        <v>37</v>
      </c>
      <c r="L2865" t="s">
        <v>27</v>
      </c>
      <c r="M2865" t="s">
        <v>28</v>
      </c>
      <c r="N2865" t="s">
        <v>10818</v>
      </c>
      <c r="O2865" t="s">
        <v>27</v>
      </c>
      <c r="P2865" t="s">
        <v>30</v>
      </c>
      <c r="Q2865" t="s">
        <v>31</v>
      </c>
      <c r="R2865" t="s">
        <v>32</v>
      </c>
      <c r="S2865" t="s">
        <v>28</v>
      </c>
      <c r="T2865" t="s">
        <v>10825</v>
      </c>
      <c r="U2865" t="s">
        <v>10818</v>
      </c>
    </row>
    <row r="2866" spans="1:21" x14ac:dyDescent="0.25">
      <c r="A2866" t="s">
        <v>58</v>
      </c>
      <c r="B2866" t="s">
        <v>58</v>
      </c>
      <c r="C2866">
        <v>100</v>
      </c>
      <c r="D2866">
        <v>1</v>
      </c>
      <c r="E2866">
        <v>0</v>
      </c>
      <c r="F2866" t="s">
        <v>10826</v>
      </c>
      <c r="G2866">
        <v>200</v>
      </c>
      <c r="H2866">
        <v>0</v>
      </c>
      <c r="I2866" t="s">
        <v>140</v>
      </c>
      <c r="J2866" t="s">
        <v>10827</v>
      </c>
      <c r="K2866" t="s">
        <v>54</v>
      </c>
      <c r="L2866" t="s">
        <v>27</v>
      </c>
      <c r="M2866" t="s">
        <v>28</v>
      </c>
      <c r="N2866" t="s">
        <v>10828</v>
      </c>
      <c r="O2866" t="s">
        <v>27</v>
      </c>
      <c r="P2866" t="s">
        <v>30</v>
      </c>
      <c r="Q2866" t="s">
        <v>31</v>
      </c>
      <c r="R2866" t="s">
        <v>32</v>
      </c>
      <c r="S2866" t="s">
        <v>28</v>
      </c>
      <c r="T2866" t="s">
        <v>10829</v>
      </c>
      <c r="U2866" t="s">
        <v>10830</v>
      </c>
    </row>
    <row r="2867" spans="1:21" x14ac:dyDescent="0.25">
      <c r="A2867" t="s">
        <v>134</v>
      </c>
      <c r="B2867" t="s">
        <v>64</v>
      </c>
      <c r="C2867">
        <v>100</v>
      </c>
      <c r="D2867">
        <v>1</v>
      </c>
      <c r="E2867">
        <v>0</v>
      </c>
      <c r="F2867" t="s">
        <v>10826</v>
      </c>
      <c r="G2867">
        <v>200</v>
      </c>
      <c r="H2867">
        <v>0</v>
      </c>
      <c r="I2867" t="s">
        <v>140</v>
      </c>
      <c r="J2867" t="s">
        <v>10827</v>
      </c>
      <c r="K2867" t="s">
        <v>54</v>
      </c>
      <c r="L2867" t="s">
        <v>27</v>
      </c>
      <c r="M2867" t="s">
        <v>28</v>
      </c>
      <c r="N2867" t="s">
        <v>10828</v>
      </c>
      <c r="O2867" t="s">
        <v>27</v>
      </c>
      <c r="P2867" t="s">
        <v>30</v>
      </c>
      <c r="Q2867" t="s">
        <v>31</v>
      </c>
      <c r="R2867" t="s">
        <v>32</v>
      </c>
      <c r="S2867" t="s">
        <v>28</v>
      </c>
      <c r="T2867" t="s">
        <v>10829</v>
      </c>
      <c r="U2867" t="s">
        <v>10830</v>
      </c>
    </row>
    <row r="2868" spans="1:21" x14ac:dyDescent="0.25">
      <c r="A2868" t="s">
        <v>63</v>
      </c>
      <c r="B2868" t="s">
        <v>64</v>
      </c>
      <c r="C2868">
        <v>100</v>
      </c>
      <c r="D2868">
        <v>1</v>
      </c>
      <c r="E2868">
        <v>0</v>
      </c>
      <c r="F2868" t="s">
        <v>10831</v>
      </c>
      <c r="G2868">
        <v>100</v>
      </c>
      <c r="H2868">
        <v>0</v>
      </c>
      <c r="I2868" t="s">
        <v>140</v>
      </c>
      <c r="J2868" t="s">
        <v>10832</v>
      </c>
      <c r="K2868" t="s">
        <v>474</v>
      </c>
      <c r="L2868" t="s">
        <v>27</v>
      </c>
      <c r="M2868" t="s">
        <v>28</v>
      </c>
      <c r="N2868" t="s">
        <v>10833</v>
      </c>
      <c r="O2868" t="s">
        <v>27</v>
      </c>
      <c r="P2868" t="s">
        <v>30</v>
      </c>
      <c r="Q2868" t="s">
        <v>31</v>
      </c>
      <c r="R2868" t="s">
        <v>32</v>
      </c>
      <c r="S2868" t="s">
        <v>28</v>
      </c>
      <c r="T2868" t="s">
        <v>10834</v>
      </c>
      <c r="U2868" t="s">
        <v>10828</v>
      </c>
    </row>
    <row r="2869" spans="1:21" x14ac:dyDescent="0.25">
      <c r="A2869" t="s">
        <v>58</v>
      </c>
      <c r="B2869" t="s">
        <v>58</v>
      </c>
      <c r="C2869">
        <v>150</v>
      </c>
      <c r="D2869">
        <v>1</v>
      </c>
      <c r="E2869">
        <v>0</v>
      </c>
      <c r="F2869" t="s">
        <v>10835</v>
      </c>
      <c r="G2869">
        <v>774</v>
      </c>
      <c r="H2869">
        <v>79</v>
      </c>
      <c r="I2869" t="s">
        <v>24</v>
      </c>
      <c r="J2869" t="s">
        <v>10836</v>
      </c>
      <c r="K2869" t="s">
        <v>10837</v>
      </c>
      <c r="L2869" t="s">
        <v>10838</v>
      </c>
      <c r="M2869" t="s">
        <v>1235</v>
      </c>
      <c r="N2869" t="s">
        <v>10833</v>
      </c>
      <c r="O2869" t="s">
        <v>27</v>
      </c>
      <c r="P2869" t="s">
        <v>193</v>
      </c>
      <c r="Q2869" t="s">
        <v>85</v>
      </c>
      <c r="R2869" t="s">
        <v>86</v>
      </c>
      <c r="S2869" t="s">
        <v>28</v>
      </c>
      <c r="T2869" t="s">
        <v>10839</v>
      </c>
      <c r="U2869" t="s">
        <v>10833</v>
      </c>
    </row>
    <row r="2870" spans="1:21" x14ac:dyDescent="0.25">
      <c r="A2870" t="s">
        <v>275</v>
      </c>
      <c r="B2870" t="s">
        <v>1864</v>
      </c>
      <c r="C2870">
        <v>140</v>
      </c>
      <c r="D2870">
        <v>1</v>
      </c>
      <c r="E2870">
        <v>0</v>
      </c>
      <c r="F2870" t="s">
        <v>10835</v>
      </c>
      <c r="G2870">
        <v>774</v>
      </c>
      <c r="H2870">
        <v>79</v>
      </c>
      <c r="I2870" t="s">
        <v>24</v>
      </c>
      <c r="J2870" t="s">
        <v>10836</v>
      </c>
      <c r="K2870" t="s">
        <v>10837</v>
      </c>
      <c r="L2870" t="s">
        <v>10838</v>
      </c>
      <c r="M2870" t="s">
        <v>1235</v>
      </c>
      <c r="N2870" t="s">
        <v>10833</v>
      </c>
      <c r="O2870" t="s">
        <v>27</v>
      </c>
      <c r="P2870" t="s">
        <v>193</v>
      </c>
      <c r="Q2870" t="s">
        <v>85</v>
      </c>
      <c r="R2870" t="s">
        <v>86</v>
      </c>
      <c r="S2870" t="s">
        <v>28</v>
      </c>
      <c r="T2870" t="s">
        <v>10839</v>
      </c>
      <c r="U2870" t="s">
        <v>10833</v>
      </c>
    </row>
    <row r="2871" spans="1:21" x14ac:dyDescent="0.25">
      <c r="A2871" t="s">
        <v>134</v>
      </c>
      <c r="B2871" t="s">
        <v>64</v>
      </c>
      <c r="C2871">
        <v>100</v>
      </c>
      <c r="D2871">
        <v>1</v>
      </c>
      <c r="E2871">
        <v>0</v>
      </c>
      <c r="F2871" t="s">
        <v>10840</v>
      </c>
      <c r="G2871">
        <v>200</v>
      </c>
      <c r="H2871">
        <v>0</v>
      </c>
      <c r="I2871" t="s">
        <v>140</v>
      </c>
      <c r="J2871" t="s">
        <v>847</v>
      </c>
      <c r="K2871" t="s">
        <v>54</v>
      </c>
      <c r="L2871" t="s">
        <v>27</v>
      </c>
      <c r="M2871" t="s">
        <v>28</v>
      </c>
      <c r="N2871" t="s">
        <v>10841</v>
      </c>
      <c r="O2871" t="s">
        <v>27</v>
      </c>
      <c r="P2871" t="s">
        <v>30</v>
      </c>
      <c r="Q2871" t="s">
        <v>31</v>
      </c>
      <c r="R2871" t="s">
        <v>32</v>
      </c>
      <c r="S2871" t="s">
        <v>28</v>
      </c>
      <c r="T2871" t="s">
        <v>10842</v>
      </c>
      <c r="U2871" t="s">
        <v>10833</v>
      </c>
    </row>
    <row r="2872" spans="1:21" x14ac:dyDescent="0.25">
      <c r="A2872" t="s">
        <v>63</v>
      </c>
      <c r="B2872" t="s">
        <v>64</v>
      </c>
      <c r="C2872">
        <v>100</v>
      </c>
      <c r="D2872">
        <v>1</v>
      </c>
      <c r="E2872">
        <v>0</v>
      </c>
      <c r="F2872" t="s">
        <v>10840</v>
      </c>
      <c r="G2872">
        <v>200</v>
      </c>
      <c r="H2872">
        <v>0</v>
      </c>
      <c r="I2872" t="s">
        <v>140</v>
      </c>
      <c r="J2872" t="s">
        <v>847</v>
      </c>
      <c r="K2872" t="s">
        <v>54</v>
      </c>
      <c r="L2872" t="s">
        <v>27</v>
      </c>
      <c r="M2872" t="s">
        <v>28</v>
      </c>
      <c r="N2872" t="s">
        <v>10841</v>
      </c>
      <c r="O2872" t="s">
        <v>27</v>
      </c>
      <c r="P2872" t="s">
        <v>30</v>
      </c>
      <c r="Q2872" t="s">
        <v>31</v>
      </c>
      <c r="R2872" t="s">
        <v>32</v>
      </c>
      <c r="S2872" t="s">
        <v>28</v>
      </c>
      <c r="T2872" t="s">
        <v>10842</v>
      </c>
      <c r="U2872" t="s">
        <v>10833</v>
      </c>
    </row>
    <row r="2873" spans="1:21" x14ac:dyDescent="0.25">
      <c r="A2873" t="s">
        <v>134</v>
      </c>
      <c r="B2873" t="s">
        <v>64</v>
      </c>
      <c r="C2873">
        <v>100</v>
      </c>
      <c r="D2873">
        <v>2</v>
      </c>
      <c r="E2873">
        <v>0</v>
      </c>
      <c r="F2873" t="s">
        <v>10843</v>
      </c>
      <c r="G2873">
        <v>400</v>
      </c>
      <c r="H2873">
        <v>0</v>
      </c>
      <c r="I2873" t="s">
        <v>140</v>
      </c>
      <c r="J2873" t="s">
        <v>10844</v>
      </c>
      <c r="K2873" t="s">
        <v>342</v>
      </c>
      <c r="L2873" t="s">
        <v>27</v>
      </c>
      <c r="M2873" t="s">
        <v>28</v>
      </c>
      <c r="N2873" t="s">
        <v>10841</v>
      </c>
      <c r="O2873" t="s">
        <v>27</v>
      </c>
      <c r="P2873" t="s">
        <v>30</v>
      </c>
      <c r="Q2873" t="s">
        <v>31</v>
      </c>
      <c r="R2873" t="s">
        <v>32</v>
      </c>
      <c r="S2873" t="s">
        <v>28</v>
      </c>
      <c r="T2873" t="s">
        <v>10845</v>
      </c>
      <c r="U2873" t="s">
        <v>10833</v>
      </c>
    </row>
    <row r="2874" spans="1:21" x14ac:dyDescent="0.25">
      <c r="A2874" t="s">
        <v>63</v>
      </c>
      <c r="B2874" t="s">
        <v>64</v>
      </c>
      <c r="C2874">
        <v>100</v>
      </c>
      <c r="D2874">
        <v>2</v>
      </c>
      <c r="E2874">
        <v>0</v>
      </c>
      <c r="F2874" t="s">
        <v>10843</v>
      </c>
      <c r="G2874">
        <v>400</v>
      </c>
      <c r="H2874">
        <v>0</v>
      </c>
      <c r="I2874" t="s">
        <v>140</v>
      </c>
      <c r="J2874" t="s">
        <v>10844</v>
      </c>
      <c r="K2874" t="s">
        <v>342</v>
      </c>
      <c r="L2874" t="s">
        <v>27</v>
      </c>
      <c r="M2874" t="s">
        <v>28</v>
      </c>
      <c r="N2874" t="s">
        <v>10841</v>
      </c>
      <c r="O2874" t="s">
        <v>27</v>
      </c>
      <c r="P2874" t="s">
        <v>30</v>
      </c>
      <c r="Q2874" t="s">
        <v>31</v>
      </c>
      <c r="R2874" t="s">
        <v>32</v>
      </c>
      <c r="S2874" t="s">
        <v>28</v>
      </c>
      <c r="T2874" t="s">
        <v>10845</v>
      </c>
      <c r="U2874" t="s">
        <v>10833</v>
      </c>
    </row>
    <row r="2875" spans="1:21" x14ac:dyDescent="0.25">
      <c r="A2875" t="s">
        <v>70</v>
      </c>
      <c r="B2875" t="s">
        <v>70</v>
      </c>
      <c r="C2875">
        <v>330</v>
      </c>
      <c r="D2875">
        <v>1</v>
      </c>
      <c r="E2875">
        <v>0</v>
      </c>
      <c r="F2875" t="s">
        <v>10846</v>
      </c>
      <c r="G2875">
        <v>330</v>
      </c>
      <c r="H2875">
        <v>0</v>
      </c>
      <c r="I2875" t="s">
        <v>445</v>
      </c>
      <c r="J2875" t="s">
        <v>10847</v>
      </c>
      <c r="K2875" t="s">
        <v>325</v>
      </c>
      <c r="L2875" t="s">
        <v>27</v>
      </c>
      <c r="M2875" t="s">
        <v>28</v>
      </c>
      <c r="N2875" t="s">
        <v>10848</v>
      </c>
      <c r="O2875" t="s">
        <v>27</v>
      </c>
      <c r="P2875" t="s">
        <v>39</v>
      </c>
      <c r="Q2875" t="s">
        <v>31</v>
      </c>
      <c r="R2875" t="s">
        <v>32</v>
      </c>
      <c r="S2875" t="s">
        <v>10849</v>
      </c>
      <c r="T2875" t="s">
        <v>10850</v>
      </c>
      <c r="U2875" t="s">
        <v>10833</v>
      </c>
    </row>
    <row r="2876" spans="1:21" x14ac:dyDescent="0.25">
      <c r="A2876" t="s">
        <v>134</v>
      </c>
      <c r="B2876" t="s">
        <v>64</v>
      </c>
      <c r="C2876">
        <v>100</v>
      </c>
      <c r="D2876">
        <v>3</v>
      </c>
      <c r="E2876">
        <v>0</v>
      </c>
      <c r="F2876" t="s">
        <v>10851</v>
      </c>
      <c r="G2876">
        <v>700</v>
      </c>
      <c r="H2876">
        <v>0</v>
      </c>
      <c r="I2876" t="s">
        <v>140</v>
      </c>
      <c r="J2876" t="s">
        <v>10852</v>
      </c>
      <c r="K2876" t="s">
        <v>1602</v>
      </c>
      <c r="L2876" t="s">
        <v>27</v>
      </c>
      <c r="M2876" t="s">
        <v>28</v>
      </c>
      <c r="N2876" t="s">
        <v>10853</v>
      </c>
      <c r="O2876" t="s">
        <v>27</v>
      </c>
      <c r="P2876" t="s">
        <v>30</v>
      </c>
      <c r="Q2876" t="s">
        <v>31</v>
      </c>
      <c r="R2876" t="s">
        <v>32</v>
      </c>
      <c r="S2876" t="s">
        <v>28</v>
      </c>
      <c r="T2876" t="s">
        <v>10854</v>
      </c>
      <c r="U2876" t="s">
        <v>10855</v>
      </c>
    </row>
    <row r="2877" spans="1:21" x14ac:dyDescent="0.25">
      <c r="A2877" t="s">
        <v>63</v>
      </c>
      <c r="B2877" t="s">
        <v>64</v>
      </c>
      <c r="C2877">
        <v>100</v>
      </c>
      <c r="D2877">
        <v>4</v>
      </c>
      <c r="E2877">
        <v>0</v>
      </c>
      <c r="F2877" t="s">
        <v>10851</v>
      </c>
      <c r="G2877">
        <v>700</v>
      </c>
      <c r="H2877">
        <v>0</v>
      </c>
      <c r="I2877" t="s">
        <v>140</v>
      </c>
      <c r="J2877" t="s">
        <v>10852</v>
      </c>
      <c r="K2877" t="s">
        <v>1602</v>
      </c>
      <c r="L2877" t="s">
        <v>27</v>
      </c>
      <c r="M2877" t="s">
        <v>28</v>
      </c>
      <c r="N2877" t="s">
        <v>10853</v>
      </c>
      <c r="O2877" t="s">
        <v>27</v>
      </c>
      <c r="P2877" t="s">
        <v>30</v>
      </c>
      <c r="Q2877" t="s">
        <v>31</v>
      </c>
      <c r="R2877" t="s">
        <v>32</v>
      </c>
      <c r="S2877" t="s">
        <v>28</v>
      </c>
      <c r="T2877" t="s">
        <v>10854</v>
      </c>
      <c r="U2877" t="s">
        <v>10855</v>
      </c>
    </row>
    <row r="2878" spans="1:21" x14ac:dyDescent="0.25">
      <c r="A2878" t="s">
        <v>456</v>
      </c>
      <c r="B2878" t="s">
        <v>1178</v>
      </c>
      <c r="C2878">
        <v>191.25</v>
      </c>
      <c r="D2878">
        <v>1</v>
      </c>
      <c r="E2878">
        <v>0</v>
      </c>
      <c r="F2878" t="s">
        <v>10856</v>
      </c>
      <c r="G2878">
        <v>387.5</v>
      </c>
      <c r="H2878">
        <v>5</v>
      </c>
      <c r="I2878" t="s">
        <v>628</v>
      </c>
      <c r="J2878" t="s">
        <v>10857</v>
      </c>
      <c r="K2878" t="s">
        <v>10858</v>
      </c>
      <c r="L2878" t="s">
        <v>6593</v>
      </c>
      <c r="M2878" t="s">
        <v>10859</v>
      </c>
      <c r="N2878" t="s">
        <v>10855</v>
      </c>
      <c r="O2878" t="s">
        <v>27</v>
      </c>
      <c r="P2878" t="s">
        <v>48</v>
      </c>
      <c r="Q2878" t="s">
        <v>49</v>
      </c>
      <c r="R2878" t="s">
        <v>50</v>
      </c>
      <c r="S2878" t="s">
        <v>28</v>
      </c>
      <c r="T2878" t="s">
        <v>10860</v>
      </c>
      <c r="U2878" t="s">
        <v>10855</v>
      </c>
    </row>
    <row r="2879" spans="1:21" x14ac:dyDescent="0.25">
      <c r="A2879" t="s">
        <v>456</v>
      </c>
      <c r="B2879" t="s">
        <v>1178</v>
      </c>
      <c r="C2879">
        <v>191.25</v>
      </c>
      <c r="D2879">
        <v>1</v>
      </c>
      <c r="E2879">
        <v>0</v>
      </c>
      <c r="F2879" t="s">
        <v>10856</v>
      </c>
      <c r="G2879">
        <v>387.5</v>
      </c>
      <c r="H2879">
        <v>5</v>
      </c>
      <c r="I2879" t="s">
        <v>628</v>
      </c>
      <c r="J2879" t="s">
        <v>10857</v>
      </c>
      <c r="K2879" t="s">
        <v>10858</v>
      </c>
      <c r="L2879" t="s">
        <v>6593</v>
      </c>
      <c r="M2879" t="s">
        <v>10859</v>
      </c>
      <c r="N2879" t="s">
        <v>10855</v>
      </c>
      <c r="O2879" t="s">
        <v>27</v>
      </c>
      <c r="P2879" t="s">
        <v>48</v>
      </c>
      <c r="Q2879" t="s">
        <v>49</v>
      </c>
      <c r="R2879" t="s">
        <v>50</v>
      </c>
      <c r="S2879" t="s">
        <v>28</v>
      </c>
      <c r="T2879" t="s">
        <v>10860</v>
      </c>
      <c r="U2879" t="s">
        <v>10855</v>
      </c>
    </row>
    <row r="2880" spans="1:21" x14ac:dyDescent="0.25">
      <c r="A2880" t="s">
        <v>134</v>
      </c>
      <c r="B2880" t="s">
        <v>64</v>
      </c>
      <c r="C2880">
        <v>100</v>
      </c>
      <c r="D2880">
        <v>5</v>
      </c>
      <c r="E2880">
        <v>0</v>
      </c>
      <c r="F2880" t="s">
        <v>10861</v>
      </c>
      <c r="G2880">
        <v>500</v>
      </c>
      <c r="H2880">
        <v>0</v>
      </c>
      <c r="I2880" t="s">
        <v>24</v>
      </c>
      <c r="J2880" t="s">
        <v>10862</v>
      </c>
      <c r="K2880" t="s">
        <v>384</v>
      </c>
      <c r="L2880" t="s">
        <v>27</v>
      </c>
      <c r="M2880" t="s">
        <v>28</v>
      </c>
      <c r="N2880" t="s">
        <v>10863</v>
      </c>
      <c r="O2880" t="s">
        <v>27</v>
      </c>
      <c r="P2880" t="s">
        <v>39</v>
      </c>
      <c r="Q2880" t="s">
        <v>31</v>
      </c>
      <c r="R2880" t="s">
        <v>32</v>
      </c>
      <c r="S2880" t="s">
        <v>28</v>
      </c>
      <c r="T2880" t="s">
        <v>10864</v>
      </c>
      <c r="U2880" t="s">
        <v>10865</v>
      </c>
    </row>
    <row r="2881" spans="1:21" x14ac:dyDescent="0.25">
      <c r="A2881" t="s">
        <v>33</v>
      </c>
      <c r="B2881" t="s">
        <v>34</v>
      </c>
      <c r="C2881">
        <v>200</v>
      </c>
      <c r="D2881">
        <v>1</v>
      </c>
      <c r="E2881">
        <v>0</v>
      </c>
      <c r="F2881" t="s">
        <v>10866</v>
      </c>
      <c r="G2881">
        <v>200</v>
      </c>
      <c r="H2881">
        <v>0</v>
      </c>
      <c r="I2881" t="s">
        <v>24</v>
      </c>
      <c r="J2881" t="s">
        <v>10867</v>
      </c>
      <c r="K2881" t="s">
        <v>325</v>
      </c>
      <c r="L2881" t="s">
        <v>27</v>
      </c>
      <c r="M2881" t="s">
        <v>28</v>
      </c>
      <c r="N2881" t="s">
        <v>10868</v>
      </c>
      <c r="O2881" t="s">
        <v>27</v>
      </c>
      <c r="P2881" t="s">
        <v>39</v>
      </c>
      <c r="Q2881" t="s">
        <v>31</v>
      </c>
      <c r="R2881" t="s">
        <v>32</v>
      </c>
      <c r="S2881" t="s">
        <v>28</v>
      </c>
      <c r="T2881" t="s">
        <v>10869</v>
      </c>
      <c r="U2881" t="s">
        <v>10870</v>
      </c>
    </row>
    <row r="2882" spans="1:21" x14ac:dyDescent="0.25">
      <c r="A2882" t="s">
        <v>243</v>
      </c>
      <c r="B2882" t="s">
        <v>244</v>
      </c>
      <c r="C2882">
        <v>100</v>
      </c>
      <c r="D2882">
        <v>1</v>
      </c>
      <c r="E2882">
        <v>0</v>
      </c>
      <c r="F2882" t="s">
        <v>10871</v>
      </c>
      <c r="G2882">
        <v>106</v>
      </c>
      <c r="H2882">
        <v>6</v>
      </c>
      <c r="I2882" t="s">
        <v>140</v>
      </c>
      <c r="J2882" t="s">
        <v>10872</v>
      </c>
      <c r="K2882" t="s">
        <v>54</v>
      </c>
      <c r="L2882" t="s">
        <v>27</v>
      </c>
      <c r="M2882" t="s">
        <v>28</v>
      </c>
      <c r="N2882" t="s">
        <v>10873</v>
      </c>
      <c r="O2882" t="s">
        <v>27</v>
      </c>
      <c r="P2882" t="s">
        <v>30</v>
      </c>
      <c r="Q2882" t="s">
        <v>31</v>
      </c>
      <c r="R2882" t="s">
        <v>32</v>
      </c>
      <c r="S2882" t="s">
        <v>28</v>
      </c>
      <c r="T2882" t="s">
        <v>10874</v>
      </c>
      <c r="U2882" t="s">
        <v>10841</v>
      </c>
    </row>
    <row r="2883" spans="1:21" x14ac:dyDescent="0.25">
      <c r="A2883" t="s">
        <v>58</v>
      </c>
      <c r="B2883" t="s">
        <v>58</v>
      </c>
      <c r="C2883">
        <v>100</v>
      </c>
      <c r="D2883">
        <v>2</v>
      </c>
      <c r="E2883">
        <v>0</v>
      </c>
      <c r="F2883" t="s">
        <v>10875</v>
      </c>
      <c r="G2883">
        <v>229</v>
      </c>
      <c r="H2883">
        <v>29</v>
      </c>
      <c r="I2883" t="s">
        <v>445</v>
      </c>
      <c r="J2883" t="s">
        <v>1395</v>
      </c>
      <c r="K2883" t="s">
        <v>10876</v>
      </c>
      <c r="L2883" t="s">
        <v>10877</v>
      </c>
      <c r="M2883" t="s">
        <v>1973</v>
      </c>
      <c r="N2883" t="s">
        <v>10848</v>
      </c>
      <c r="O2883" t="s">
        <v>27</v>
      </c>
      <c r="P2883" t="s">
        <v>193</v>
      </c>
      <c r="Q2883" t="s">
        <v>85</v>
      </c>
      <c r="R2883" t="s">
        <v>86</v>
      </c>
      <c r="S2883" t="s">
        <v>28</v>
      </c>
      <c r="T2883" t="s">
        <v>10878</v>
      </c>
      <c r="U2883" t="s">
        <v>10848</v>
      </c>
    </row>
    <row r="2884" spans="1:21" x14ac:dyDescent="0.25">
      <c r="A2884" t="s">
        <v>63</v>
      </c>
      <c r="B2884" t="s">
        <v>64</v>
      </c>
      <c r="C2884">
        <v>100</v>
      </c>
      <c r="D2884">
        <v>1</v>
      </c>
      <c r="E2884">
        <v>0</v>
      </c>
      <c r="F2884" t="s">
        <v>10879</v>
      </c>
      <c r="G2884">
        <v>106</v>
      </c>
      <c r="H2884">
        <v>6</v>
      </c>
      <c r="I2884" t="s">
        <v>140</v>
      </c>
      <c r="J2884" t="s">
        <v>10880</v>
      </c>
      <c r="K2884" t="s">
        <v>61</v>
      </c>
      <c r="L2884" t="s">
        <v>27</v>
      </c>
      <c r="M2884" t="s">
        <v>28</v>
      </c>
      <c r="N2884" t="s">
        <v>10881</v>
      </c>
      <c r="O2884" t="s">
        <v>27</v>
      </c>
      <c r="P2884" t="s">
        <v>30</v>
      </c>
      <c r="Q2884" t="s">
        <v>31</v>
      </c>
      <c r="R2884" t="s">
        <v>32</v>
      </c>
      <c r="S2884" t="s">
        <v>28</v>
      </c>
      <c r="T2884" t="s">
        <v>10882</v>
      </c>
      <c r="U2884" t="s">
        <v>10883</v>
      </c>
    </row>
    <row r="2885" spans="1:21" x14ac:dyDescent="0.25">
      <c r="A2885" t="s">
        <v>456</v>
      </c>
      <c r="B2885" t="s">
        <v>457</v>
      </c>
      <c r="C2885">
        <v>199</v>
      </c>
      <c r="D2885">
        <v>1</v>
      </c>
      <c r="E2885">
        <v>0</v>
      </c>
      <c r="F2885" t="s">
        <v>10884</v>
      </c>
      <c r="G2885">
        <v>244</v>
      </c>
      <c r="H2885">
        <v>45</v>
      </c>
      <c r="I2885" t="s">
        <v>24</v>
      </c>
      <c r="J2885" t="s">
        <v>866</v>
      </c>
      <c r="K2885" t="s">
        <v>10885</v>
      </c>
      <c r="L2885" t="s">
        <v>1076</v>
      </c>
      <c r="M2885" t="s">
        <v>9774</v>
      </c>
      <c r="N2885" t="s">
        <v>10886</v>
      </c>
      <c r="O2885" t="s">
        <v>27</v>
      </c>
      <c r="P2885" t="s">
        <v>193</v>
      </c>
      <c r="Q2885" t="s">
        <v>85</v>
      </c>
      <c r="R2885" t="s">
        <v>86</v>
      </c>
      <c r="S2885" t="s">
        <v>28</v>
      </c>
      <c r="T2885" t="s">
        <v>10887</v>
      </c>
      <c r="U2885" t="s">
        <v>10886</v>
      </c>
    </row>
    <row r="2886" spans="1:21" x14ac:dyDescent="0.25">
      <c r="A2886" t="s">
        <v>21</v>
      </c>
      <c r="B2886" t="s">
        <v>22</v>
      </c>
      <c r="C2886">
        <v>100</v>
      </c>
      <c r="D2886">
        <v>1</v>
      </c>
      <c r="E2886">
        <v>0</v>
      </c>
      <c r="F2886" t="s">
        <v>10888</v>
      </c>
      <c r="G2886">
        <v>100</v>
      </c>
      <c r="H2886">
        <v>0</v>
      </c>
      <c r="I2886" t="s">
        <v>140</v>
      </c>
      <c r="J2886" t="s">
        <v>10889</v>
      </c>
      <c r="K2886" t="s">
        <v>342</v>
      </c>
      <c r="L2886" t="s">
        <v>27</v>
      </c>
      <c r="M2886" t="s">
        <v>28</v>
      </c>
      <c r="N2886" t="s">
        <v>10890</v>
      </c>
      <c r="O2886" t="s">
        <v>27</v>
      </c>
      <c r="P2886" t="s">
        <v>30</v>
      </c>
      <c r="Q2886" t="s">
        <v>31</v>
      </c>
      <c r="R2886" t="s">
        <v>32</v>
      </c>
      <c r="S2886" t="s">
        <v>28</v>
      </c>
      <c r="T2886" t="s">
        <v>10891</v>
      </c>
      <c r="U2886" t="s">
        <v>10863</v>
      </c>
    </row>
    <row r="2887" spans="1:21" x14ac:dyDescent="0.25">
      <c r="A2887" t="s">
        <v>76</v>
      </c>
      <c r="B2887" t="s">
        <v>77</v>
      </c>
      <c r="C2887">
        <v>199</v>
      </c>
      <c r="D2887">
        <v>3</v>
      </c>
      <c r="E2887">
        <v>0</v>
      </c>
      <c r="F2887" t="s">
        <v>10892</v>
      </c>
      <c r="G2887">
        <v>597</v>
      </c>
      <c r="H2887">
        <v>0</v>
      </c>
      <c r="I2887" t="s">
        <v>24</v>
      </c>
      <c r="J2887" t="s">
        <v>3411</v>
      </c>
      <c r="K2887" t="s">
        <v>10893</v>
      </c>
      <c r="L2887" t="s">
        <v>10894</v>
      </c>
      <c r="M2887" t="s">
        <v>1147</v>
      </c>
      <c r="N2887" t="s">
        <v>10868</v>
      </c>
      <c r="O2887" t="s">
        <v>27</v>
      </c>
      <c r="P2887" t="s">
        <v>193</v>
      </c>
      <c r="Q2887" t="s">
        <v>85</v>
      </c>
      <c r="R2887" t="s">
        <v>86</v>
      </c>
      <c r="S2887" t="s">
        <v>28</v>
      </c>
      <c r="T2887" t="s">
        <v>10895</v>
      </c>
      <c r="U2887" t="s">
        <v>10868</v>
      </c>
    </row>
    <row r="2888" spans="1:21" x14ac:dyDescent="0.25">
      <c r="A2888" t="s">
        <v>10896</v>
      </c>
      <c r="B2888" t="s">
        <v>10897</v>
      </c>
      <c r="C2888">
        <v>992.6</v>
      </c>
      <c r="D2888">
        <v>1</v>
      </c>
      <c r="E2888">
        <v>0</v>
      </c>
      <c r="F2888" t="s">
        <v>10898</v>
      </c>
      <c r="G2888">
        <v>992.6</v>
      </c>
      <c r="H2888">
        <v>0</v>
      </c>
      <c r="I2888" t="s">
        <v>720</v>
      </c>
      <c r="J2888" t="s">
        <v>5359</v>
      </c>
      <c r="K2888" t="s">
        <v>5360</v>
      </c>
      <c r="L2888" t="s">
        <v>81</v>
      </c>
      <c r="M2888" t="s">
        <v>5361</v>
      </c>
      <c r="N2888" t="s">
        <v>10868</v>
      </c>
      <c r="O2888" t="s">
        <v>27</v>
      </c>
      <c r="P2888" t="s">
        <v>48</v>
      </c>
      <c r="Q2888" t="s">
        <v>49</v>
      </c>
      <c r="R2888" t="s">
        <v>50</v>
      </c>
      <c r="S2888" t="s">
        <v>28</v>
      </c>
      <c r="T2888" t="s">
        <v>10899</v>
      </c>
      <c r="U2888" t="s">
        <v>10868</v>
      </c>
    </row>
    <row r="2889" spans="1:21" x14ac:dyDescent="0.25">
      <c r="A2889" t="s">
        <v>134</v>
      </c>
      <c r="B2889" t="s">
        <v>64</v>
      </c>
      <c r="C2889">
        <v>100</v>
      </c>
      <c r="D2889">
        <v>1</v>
      </c>
      <c r="E2889">
        <v>0</v>
      </c>
      <c r="F2889" t="s">
        <v>10900</v>
      </c>
      <c r="G2889">
        <v>106</v>
      </c>
      <c r="H2889">
        <v>6</v>
      </c>
      <c r="I2889" t="s">
        <v>140</v>
      </c>
      <c r="J2889" t="s">
        <v>10901</v>
      </c>
      <c r="K2889" t="s">
        <v>61</v>
      </c>
      <c r="L2889" t="s">
        <v>27</v>
      </c>
      <c r="M2889" t="s">
        <v>28</v>
      </c>
      <c r="N2889" t="s">
        <v>10902</v>
      </c>
      <c r="O2889" t="s">
        <v>27</v>
      </c>
      <c r="P2889" t="s">
        <v>369</v>
      </c>
      <c r="Q2889" t="s">
        <v>31</v>
      </c>
      <c r="R2889" t="s">
        <v>57</v>
      </c>
      <c r="S2889" t="s">
        <v>28</v>
      </c>
      <c r="T2889" t="s">
        <v>10903</v>
      </c>
      <c r="U2889" t="s">
        <v>10868</v>
      </c>
    </row>
    <row r="2890" spans="1:21" x14ac:dyDescent="0.25">
      <c r="A2890" t="s">
        <v>10896</v>
      </c>
      <c r="B2890" t="s">
        <v>10897</v>
      </c>
      <c r="C2890">
        <v>850</v>
      </c>
      <c r="D2890">
        <v>1</v>
      </c>
      <c r="E2890">
        <v>0</v>
      </c>
      <c r="F2890" t="s">
        <v>10900</v>
      </c>
      <c r="G2890">
        <v>850</v>
      </c>
      <c r="H2890">
        <v>0</v>
      </c>
      <c r="I2890" t="s">
        <v>720</v>
      </c>
      <c r="J2890" t="s">
        <v>5359</v>
      </c>
      <c r="K2890" t="s">
        <v>5360</v>
      </c>
      <c r="L2890" t="s">
        <v>81</v>
      </c>
      <c r="M2890" t="s">
        <v>5361</v>
      </c>
      <c r="N2890" t="s">
        <v>10868</v>
      </c>
      <c r="O2890" t="s">
        <v>27</v>
      </c>
      <c r="P2890" t="s">
        <v>48</v>
      </c>
      <c r="Q2890" t="s">
        <v>49</v>
      </c>
      <c r="R2890" t="s">
        <v>50</v>
      </c>
      <c r="S2890" t="s">
        <v>28</v>
      </c>
      <c r="T2890" t="s">
        <v>10904</v>
      </c>
      <c r="U2890" t="s">
        <v>10868</v>
      </c>
    </row>
    <row r="2891" spans="1:21" x14ac:dyDescent="0.25">
      <c r="A2891" t="s">
        <v>134</v>
      </c>
      <c r="B2891" t="s">
        <v>64</v>
      </c>
      <c r="C2891">
        <v>100</v>
      </c>
      <c r="D2891">
        <v>1</v>
      </c>
      <c r="E2891">
        <v>0</v>
      </c>
      <c r="F2891" t="s">
        <v>10905</v>
      </c>
      <c r="G2891">
        <v>106</v>
      </c>
      <c r="H2891">
        <v>6</v>
      </c>
      <c r="I2891" t="s">
        <v>140</v>
      </c>
      <c r="J2891" t="s">
        <v>10906</v>
      </c>
      <c r="K2891" t="s">
        <v>285</v>
      </c>
      <c r="L2891" t="s">
        <v>27</v>
      </c>
      <c r="M2891" t="s">
        <v>28</v>
      </c>
      <c r="N2891" t="s">
        <v>10907</v>
      </c>
      <c r="O2891" t="s">
        <v>27</v>
      </c>
      <c r="P2891" t="s">
        <v>30</v>
      </c>
      <c r="Q2891" t="s">
        <v>31</v>
      </c>
      <c r="R2891" t="s">
        <v>32</v>
      </c>
      <c r="S2891" t="s">
        <v>28</v>
      </c>
      <c r="T2891" t="s">
        <v>10908</v>
      </c>
      <c r="U2891" t="s">
        <v>10909</v>
      </c>
    </row>
    <row r="2892" spans="1:21" x14ac:dyDescent="0.25">
      <c r="A2892" t="s">
        <v>456</v>
      </c>
      <c r="B2892" t="s">
        <v>457</v>
      </c>
      <c r="C2892">
        <v>199</v>
      </c>
      <c r="D2892">
        <v>1</v>
      </c>
      <c r="E2892">
        <v>0</v>
      </c>
      <c r="F2892" t="s">
        <v>10910</v>
      </c>
      <c r="G2892">
        <v>228</v>
      </c>
      <c r="H2892">
        <v>29</v>
      </c>
      <c r="I2892" t="s">
        <v>24</v>
      </c>
      <c r="J2892" t="s">
        <v>7836</v>
      </c>
      <c r="K2892" t="s">
        <v>7873</v>
      </c>
      <c r="L2892" t="s">
        <v>7838</v>
      </c>
      <c r="M2892" t="s">
        <v>7874</v>
      </c>
      <c r="N2892" t="s">
        <v>10886</v>
      </c>
      <c r="O2892" t="s">
        <v>27</v>
      </c>
      <c r="P2892" t="s">
        <v>193</v>
      </c>
      <c r="Q2892" t="s">
        <v>85</v>
      </c>
      <c r="R2892" t="s">
        <v>86</v>
      </c>
      <c r="S2892" t="s">
        <v>28</v>
      </c>
      <c r="T2892" t="s">
        <v>10911</v>
      </c>
      <c r="U2892" t="s">
        <v>10912</v>
      </c>
    </row>
    <row r="2893" spans="1:21" x14ac:dyDescent="0.25">
      <c r="A2893" t="s">
        <v>456</v>
      </c>
      <c r="B2893" t="s">
        <v>457</v>
      </c>
      <c r="C2893">
        <v>199</v>
      </c>
      <c r="D2893">
        <v>1</v>
      </c>
      <c r="E2893">
        <v>0</v>
      </c>
      <c r="F2893" t="s">
        <v>10913</v>
      </c>
      <c r="G2893">
        <v>228</v>
      </c>
      <c r="H2893">
        <v>29</v>
      </c>
      <c r="I2893" t="s">
        <v>24</v>
      </c>
      <c r="J2893" t="s">
        <v>7836</v>
      </c>
      <c r="K2893" t="s">
        <v>7873</v>
      </c>
      <c r="L2893" t="s">
        <v>7838</v>
      </c>
      <c r="M2893" t="s">
        <v>7874</v>
      </c>
      <c r="N2893" t="s">
        <v>10886</v>
      </c>
      <c r="O2893" t="s">
        <v>27</v>
      </c>
      <c r="P2893" t="s">
        <v>193</v>
      </c>
      <c r="Q2893" t="s">
        <v>85</v>
      </c>
      <c r="R2893" t="s">
        <v>86</v>
      </c>
      <c r="S2893" t="s">
        <v>28</v>
      </c>
      <c r="T2893" t="s">
        <v>10914</v>
      </c>
      <c r="U2893" t="s">
        <v>10912</v>
      </c>
    </row>
    <row r="2894" spans="1:21" x14ac:dyDescent="0.25">
      <c r="A2894" t="s">
        <v>456</v>
      </c>
      <c r="B2894" t="s">
        <v>457</v>
      </c>
      <c r="C2894">
        <v>199</v>
      </c>
      <c r="D2894">
        <v>1</v>
      </c>
      <c r="E2894">
        <v>0</v>
      </c>
      <c r="F2894" t="s">
        <v>10915</v>
      </c>
      <c r="G2894">
        <v>228</v>
      </c>
      <c r="H2894">
        <v>29</v>
      </c>
      <c r="I2894" t="s">
        <v>24</v>
      </c>
      <c r="J2894" t="s">
        <v>5955</v>
      </c>
      <c r="K2894" t="s">
        <v>7843</v>
      </c>
      <c r="L2894" t="s">
        <v>7838</v>
      </c>
      <c r="M2894" t="s">
        <v>2987</v>
      </c>
      <c r="N2894" t="s">
        <v>10886</v>
      </c>
      <c r="O2894" t="s">
        <v>27</v>
      </c>
      <c r="P2894" t="s">
        <v>193</v>
      </c>
      <c r="Q2894" t="s">
        <v>85</v>
      </c>
      <c r="R2894" t="s">
        <v>86</v>
      </c>
      <c r="S2894" t="s">
        <v>28</v>
      </c>
      <c r="T2894" t="s">
        <v>10916</v>
      </c>
      <c r="U2894" t="s">
        <v>10873</v>
      </c>
    </row>
    <row r="2895" spans="1:21" x14ac:dyDescent="0.25">
      <c r="A2895" t="s">
        <v>76</v>
      </c>
      <c r="B2895" t="s">
        <v>77</v>
      </c>
      <c r="C2895">
        <v>199</v>
      </c>
      <c r="D2895">
        <v>2</v>
      </c>
      <c r="E2895">
        <v>0</v>
      </c>
      <c r="F2895" t="s">
        <v>10917</v>
      </c>
      <c r="G2895">
        <v>477</v>
      </c>
      <c r="H2895">
        <v>79</v>
      </c>
      <c r="I2895" t="s">
        <v>24</v>
      </c>
      <c r="J2895" t="s">
        <v>5955</v>
      </c>
      <c r="K2895" t="s">
        <v>10918</v>
      </c>
      <c r="L2895" t="s">
        <v>1868</v>
      </c>
      <c r="M2895" t="s">
        <v>10919</v>
      </c>
      <c r="N2895" t="s">
        <v>10873</v>
      </c>
      <c r="O2895" t="s">
        <v>27</v>
      </c>
      <c r="P2895" t="s">
        <v>193</v>
      </c>
      <c r="Q2895" t="s">
        <v>85</v>
      </c>
      <c r="R2895" t="s">
        <v>86</v>
      </c>
      <c r="S2895" t="s">
        <v>28</v>
      </c>
      <c r="T2895" t="s">
        <v>10920</v>
      </c>
      <c r="U2895" t="s">
        <v>10873</v>
      </c>
    </row>
    <row r="2896" spans="1:21" x14ac:dyDescent="0.25">
      <c r="A2896" t="s">
        <v>635</v>
      </c>
      <c r="B2896" t="s">
        <v>8000</v>
      </c>
      <c r="C2896">
        <v>644.64</v>
      </c>
      <c r="D2896">
        <v>1</v>
      </c>
      <c r="E2896">
        <v>0</v>
      </c>
      <c r="F2896" t="s">
        <v>10921</v>
      </c>
      <c r="G2896">
        <v>752.4</v>
      </c>
      <c r="H2896">
        <v>39</v>
      </c>
      <c r="I2896" t="s">
        <v>24</v>
      </c>
      <c r="J2896" t="s">
        <v>10922</v>
      </c>
      <c r="K2896" t="s">
        <v>10923</v>
      </c>
      <c r="L2896" t="s">
        <v>1453</v>
      </c>
      <c r="M2896" t="s">
        <v>10924</v>
      </c>
      <c r="N2896" t="s">
        <v>10925</v>
      </c>
      <c r="O2896" t="s">
        <v>27</v>
      </c>
      <c r="P2896" t="s">
        <v>48</v>
      </c>
      <c r="Q2896" t="s">
        <v>49</v>
      </c>
      <c r="R2896" t="s">
        <v>50</v>
      </c>
      <c r="S2896" t="s">
        <v>28</v>
      </c>
      <c r="T2896" t="s">
        <v>10926</v>
      </c>
      <c r="U2896" t="s">
        <v>10925</v>
      </c>
    </row>
    <row r="2897" spans="1:21" x14ac:dyDescent="0.25">
      <c r="A2897" t="s">
        <v>94</v>
      </c>
      <c r="B2897" t="s">
        <v>95</v>
      </c>
      <c r="C2897">
        <v>68.760000000000005</v>
      </c>
      <c r="D2897">
        <v>1</v>
      </c>
      <c r="E2897">
        <v>0</v>
      </c>
      <c r="F2897" t="s">
        <v>10921</v>
      </c>
      <c r="G2897">
        <v>752.4</v>
      </c>
      <c r="H2897">
        <v>39</v>
      </c>
      <c r="I2897" t="s">
        <v>24</v>
      </c>
      <c r="J2897" t="s">
        <v>10922</v>
      </c>
      <c r="K2897" t="s">
        <v>10923</v>
      </c>
      <c r="L2897" t="s">
        <v>1453</v>
      </c>
      <c r="M2897" t="s">
        <v>10924</v>
      </c>
      <c r="N2897" t="s">
        <v>10925</v>
      </c>
      <c r="O2897" t="s">
        <v>27</v>
      </c>
      <c r="P2897" t="s">
        <v>48</v>
      </c>
      <c r="Q2897" t="s">
        <v>49</v>
      </c>
      <c r="R2897" t="s">
        <v>50</v>
      </c>
      <c r="S2897" t="s">
        <v>28</v>
      </c>
      <c r="T2897" t="s">
        <v>10926</v>
      </c>
      <c r="U2897" t="s">
        <v>10925</v>
      </c>
    </row>
    <row r="2898" spans="1:21" x14ac:dyDescent="0.25">
      <c r="A2898" t="s">
        <v>63</v>
      </c>
      <c r="B2898" t="s">
        <v>64</v>
      </c>
      <c r="C2898">
        <v>100</v>
      </c>
      <c r="D2898">
        <v>1</v>
      </c>
      <c r="E2898">
        <v>0</v>
      </c>
      <c r="F2898" t="s">
        <v>10927</v>
      </c>
      <c r="G2898">
        <v>300</v>
      </c>
      <c r="H2898">
        <v>0</v>
      </c>
      <c r="I2898" t="s">
        <v>24</v>
      </c>
      <c r="J2898" t="s">
        <v>10928</v>
      </c>
      <c r="K2898" t="s">
        <v>9195</v>
      </c>
      <c r="L2898" t="s">
        <v>27</v>
      </c>
      <c r="M2898" t="s">
        <v>28</v>
      </c>
      <c r="N2898" t="s">
        <v>10929</v>
      </c>
      <c r="O2898" t="s">
        <v>27</v>
      </c>
      <c r="P2898" t="s">
        <v>39</v>
      </c>
      <c r="Q2898" t="s">
        <v>31</v>
      </c>
      <c r="R2898" t="s">
        <v>32</v>
      </c>
      <c r="S2898" t="s">
        <v>28</v>
      </c>
      <c r="T2898" t="s">
        <v>10930</v>
      </c>
      <c r="U2898" t="s">
        <v>10931</v>
      </c>
    </row>
    <row r="2899" spans="1:21" x14ac:dyDescent="0.25">
      <c r="A2899" t="s">
        <v>21</v>
      </c>
      <c r="B2899" t="s">
        <v>22</v>
      </c>
      <c r="C2899">
        <v>100</v>
      </c>
      <c r="D2899">
        <v>1</v>
      </c>
      <c r="E2899">
        <v>0</v>
      </c>
      <c r="F2899" t="s">
        <v>10927</v>
      </c>
      <c r="G2899">
        <v>300</v>
      </c>
      <c r="H2899">
        <v>0</v>
      </c>
      <c r="I2899" t="s">
        <v>24</v>
      </c>
      <c r="J2899" t="s">
        <v>10928</v>
      </c>
      <c r="K2899" t="s">
        <v>9195</v>
      </c>
      <c r="L2899" t="s">
        <v>27</v>
      </c>
      <c r="M2899" t="s">
        <v>28</v>
      </c>
      <c r="N2899" t="s">
        <v>10929</v>
      </c>
      <c r="O2899" t="s">
        <v>27</v>
      </c>
      <c r="P2899" t="s">
        <v>39</v>
      </c>
      <c r="Q2899" t="s">
        <v>31</v>
      </c>
      <c r="R2899" t="s">
        <v>32</v>
      </c>
      <c r="S2899" t="s">
        <v>28</v>
      </c>
      <c r="T2899" t="s">
        <v>10930</v>
      </c>
      <c r="U2899" t="s">
        <v>10931</v>
      </c>
    </row>
    <row r="2900" spans="1:21" x14ac:dyDescent="0.25">
      <c r="A2900" t="s">
        <v>58</v>
      </c>
      <c r="B2900" t="s">
        <v>58</v>
      </c>
      <c r="C2900">
        <v>100</v>
      </c>
      <c r="D2900">
        <v>1</v>
      </c>
      <c r="E2900">
        <v>0</v>
      </c>
      <c r="F2900" t="s">
        <v>10927</v>
      </c>
      <c r="G2900">
        <v>300</v>
      </c>
      <c r="H2900">
        <v>0</v>
      </c>
      <c r="I2900" t="s">
        <v>24</v>
      </c>
      <c r="J2900" t="s">
        <v>10928</v>
      </c>
      <c r="K2900" t="s">
        <v>9195</v>
      </c>
      <c r="L2900" t="s">
        <v>27</v>
      </c>
      <c r="M2900" t="s">
        <v>28</v>
      </c>
      <c r="N2900" t="s">
        <v>10929</v>
      </c>
      <c r="O2900" t="s">
        <v>27</v>
      </c>
      <c r="P2900" t="s">
        <v>39</v>
      </c>
      <c r="Q2900" t="s">
        <v>31</v>
      </c>
      <c r="R2900" t="s">
        <v>32</v>
      </c>
      <c r="S2900" t="s">
        <v>28</v>
      </c>
      <c r="T2900" t="s">
        <v>10930</v>
      </c>
      <c r="U2900" t="s">
        <v>10931</v>
      </c>
    </row>
    <row r="2901" spans="1:21" x14ac:dyDescent="0.25">
      <c r="A2901" t="s">
        <v>21</v>
      </c>
      <c r="B2901" t="s">
        <v>22</v>
      </c>
      <c r="C2901">
        <v>100</v>
      </c>
      <c r="D2901">
        <v>1</v>
      </c>
      <c r="E2901">
        <v>0</v>
      </c>
      <c r="F2901" t="s">
        <v>10932</v>
      </c>
      <c r="G2901">
        <v>100</v>
      </c>
      <c r="H2901">
        <v>0</v>
      </c>
      <c r="I2901" t="s">
        <v>24</v>
      </c>
      <c r="J2901" t="s">
        <v>10933</v>
      </c>
      <c r="K2901" t="s">
        <v>342</v>
      </c>
      <c r="L2901" t="s">
        <v>27</v>
      </c>
      <c r="M2901" t="s">
        <v>28</v>
      </c>
      <c r="N2901" t="s">
        <v>10934</v>
      </c>
      <c r="O2901" t="s">
        <v>27</v>
      </c>
      <c r="P2901" t="s">
        <v>39</v>
      </c>
      <c r="Q2901" t="s">
        <v>31</v>
      </c>
      <c r="R2901" t="s">
        <v>32</v>
      </c>
      <c r="S2901" t="s">
        <v>28</v>
      </c>
      <c r="T2901" t="s">
        <v>10935</v>
      </c>
      <c r="U2901" t="s">
        <v>10931</v>
      </c>
    </row>
    <row r="2902" spans="1:21" x14ac:dyDescent="0.25">
      <c r="A2902" t="s">
        <v>21</v>
      </c>
      <c r="B2902" t="s">
        <v>22</v>
      </c>
      <c r="C2902">
        <v>100</v>
      </c>
      <c r="D2902">
        <v>1</v>
      </c>
      <c r="E2902">
        <v>0</v>
      </c>
      <c r="F2902" t="s">
        <v>10936</v>
      </c>
      <c r="G2902">
        <v>106</v>
      </c>
      <c r="H2902">
        <v>6</v>
      </c>
      <c r="I2902" t="s">
        <v>24</v>
      </c>
      <c r="J2902" t="s">
        <v>2456</v>
      </c>
      <c r="K2902" t="s">
        <v>241</v>
      </c>
      <c r="L2902" t="s">
        <v>27</v>
      </c>
      <c r="M2902" t="s">
        <v>28</v>
      </c>
      <c r="N2902" t="s">
        <v>10937</v>
      </c>
      <c r="O2902" t="s">
        <v>27</v>
      </c>
      <c r="P2902" t="s">
        <v>39</v>
      </c>
      <c r="Q2902" t="s">
        <v>31</v>
      </c>
      <c r="R2902" t="s">
        <v>32</v>
      </c>
      <c r="S2902" t="s">
        <v>28</v>
      </c>
      <c r="T2902" t="s">
        <v>10938</v>
      </c>
      <c r="U2902" t="s">
        <v>10931</v>
      </c>
    </row>
    <row r="2903" spans="1:21" x14ac:dyDescent="0.25">
      <c r="A2903" t="s">
        <v>70</v>
      </c>
      <c r="B2903" t="s">
        <v>70</v>
      </c>
      <c r="C2903">
        <v>330</v>
      </c>
      <c r="D2903">
        <v>1</v>
      </c>
      <c r="E2903">
        <v>0</v>
      </c>
      <c r="F2903" t="s">
        <v>10939</v>
      </c>
      <c r="G2903">
        <v>330</v>
      </c>
      <c r="H2903">
        <v>0</v>
      </c>
      <c r="I2903" t="s">
        <v>24</v>
      </c>
      <c r="J2903" t="s">
        <v>10940</v>
      </c>
      <c r="K2903" t="s">
        <v>384</v>
      </c>
      <c r="L2903" t="s">
        <v>27</v>
      </c>
      <c r="M2903" t="s">
        <v>28</v>
      </c>
      <c r="N2903" t="s">
        <v>10941</v>
      </c>
      <c r="O2903" t="s">
        <v>27</v>
      </c>
      <c r="P2903" t="s">
        <v>56</v>
      </c>
      <c r="Q2903" t="s">
        <v>31</v>
      </c>
      <c r="R2903" t="s">
        <v>57</v>
      </c>
      <c r="S2903" t="s">
        <v>28</v>
      </c>
      <c r="T2903" t="s">
        <v>10942</v>
      </c>
      <c r="U2903" t="s">
        <v>10931</v>
      </c>
    </row>
    <row r="2904" spans="1:21" x14ac:dyDescent="0.25">
      <c r="A2904" t="s">
        <v>134</v>
      </c>
      <c r="B2904" t="s">
        <v>64</v>
      </c>
      <c r="C2904">
        <v>100</v>
      </c>
      <c r="D2904">
        <v>1</v>
      </c>
      <c r="E2904">
        <v>0</v>
      </c>
      <c r="F2904" t="s">
        <v>10943</v>
      </c>
      <c r="G2904">
        <v>200</v>
      </c>
      <c r="H2904">
        <v>0</v>
      </c>
      <c r="I2904" t="s">
        <v>24</v>
      </c>
      <c r="J2904" t="s">
        <v>10944</v>
      </c>
      <c r="K2904" t="s">
        <v>124</v>
      </c>
      <c r="L2904" t="s">
        <v>27</v>
      </c>
      <c r="M2904" t="s">
        <v>28</v>
      </c>
      <c r="N2904" t="s">
        <v>10941</v>
      </c>
      <c r="O2904" t="s">
        <v>27</v>
      </c>
      <c r="P2904" t="s">
        <v>39</v>
      </c>
      <c r="Q2904" t="s">
        <v>31</v>
      </c>
      <c r="R2904" t="s">
        <v>32</v>
      </c>
      <c r="S2904" t="s">
        <v>28</v>
      </c>
      <c r="T2904" t="s">
        <v>10945</v>
      </c>
      <c r="U2904" t="s">
        <v>10931</v>
      </c>
    </row>
    <row r="2905" spans="1:21" x14ac:dyDescent="0.25">
      <c r="A2905" t="s">
        <v>63</v>
      </c>
      <c r="B2905" t="s">
        <v>64</v>
      </c>
      <c r="C2905">
        <v>100</v>
      </c>
      <c r="D2905">
        <v>1</v>
      </c>
      <c r="E2905">
        <v>0</v>
      </c>
      <c r="F2905" t="s">
        <v>10943</v>
      </c>
      <c r="G2905">
        <v>200</v>
      </c>
      <c r="H2905">
        <v>0</v>
      </c>
      <c r="I2905" t="s">
        <v>24</v>
      </c>
      <c r="J2905" t="s">
        <v>10944</v>
      </c>
      <c r="K2905" t="s">
        <v>124</v>
      </c>
      <c r="L2905" t="s">
        <v>27</v>
      </c>
      <c r="M2905" t="s">
        <v>28</v>
      </c>
      <c r="N2905" t="s">
        <v>10941</v>
      </c>
      <c r="O2905" t="s">
        <v>27</v>
      </c>
      <c r="P2905" t="s">
        <v>39</v>
      </c>
      <c r="Q2905" t="s">
        <v>31</v>
      </c>
      <c r="R2905" t="s">
        <v>32</v>
      </c>
      <c r="S2905" t="s">
        <v>28</v>
      </c>
      <c r="T2905" t="s">
        <v>10945</v>
      </c>
      <c r="U2905" t="s">
        <v>10931</v>
      </c>
    </row>
    <row r="2906" spans="1:21" x14ac:dyDescent="0.25">
      <c r="A2906" t="s">
        <v>21</v>
      </c>
      <c r="B2906" t="s">
        <v>22</v>
      </c>
      <c r="C2906">
        <v>100</v>
      </c>
      <c r="D2906">
        <v>1</v>
      </c>
      <c r="E2906">
        <v>0</v>
      </c>
      <c r="F2906" t="s">
        <v>10946</v>
      </c>
      <c r="G2906">
        <v>200</v>
      </c>
      <c r="H2906">
        <v>0</v>
      </c>
      <c r="I2906" t="s">
        <v>24</v>
      </c>
      <c r="J2906" t="s">
        <v>10947</v>
      </c>
      <c r="K2906" t="s">
        <v>237</v>
      </c>
      <c r="L2906" t="s">
        <v>27</v>
      </c>
      <c r="M2906" t="s">
        <v>28</v>
      </c>
      <c r="N2906" t="s">
        <v>10902</v>
      </c>
      <c r="O2906" t="s">
        <v>27</v>
      </c>
      <c r="P2906" t="s">
        <v>39</v>
      </c>
      <c r="Q2906" t="s">
        <v>31</v>
      </c>
      <c r="R2906" t="s">
        <v>32</v>
      </c>
      <c r="S2906" t="s">
        <v>28</v>
      </c>
      <c r="T2906" t="s">
        <v>10948</v>
      </c>
      <c r="U2906" t="s">
        <v>10931</v>
      </c>
    </row>
    <row r="2907" spans="1:21" x14ac:dyDescent="0.25">
      <c r="A2907" t="s">
        <v>134</v>
      </c>
      <c r="B2907" t="s">
        <v>64</v>
      </c>
      <c r="C2907">
        <v>100</v>
      </c>
      <c r="D2907">
        <v>1</v>
      </c>
      <c r="E2907">
        <v>0</v>
      </c>
      <c r="F2907" t="s">
        <v>10946</v>
      </c>
      <c r="G2907">
        <v>200</v>
      </c>
      <c r="H2907">
        <v>0</v>
      </c>
      <c r="I2907" t="s">
        <v>24</v>
      </c>
      <c r="J2907" t="s">
        <v>10947</v>
      </c>
      <c r="K2907" t="s">
        <v>237</v>
      </c>
      <c r="L2907" t="s">
        <v>27</v>
      </c>
      <c r="M2907" t="s">
        <v>28</v>
      </c>
      <c r="N2907" t="s">
        <v>10902</v>
      </c>
      <c r="O2907" t="s">
        <v>27</v>
      </c>
      <c r="P2907" t="s">
        <v>39</v>
      </c>
      <c r="Q2907" t="s">
        <v>31</v>
      </c>
      <c r="R2907" t="s">
        <v>32</v>
      </c>
      <c r="S2907" t="s">
        <v>28</v>
      </c>
      <c r="T2907" t="s">
        <v>10948</v>
      </c>
      <c r="U2907" t="s">
        <v>10931</v>
      </c>
    </row>
    <row r="2908" spans="1:21" x14ac:dyDescent="0.25">
      <c r="A2908" t="s">
        <v>33</v>
      </c>
      <c r="B2908" t="s">
        <v>34</v>
      </c>
      <c r="C2908">
        <v>200</v>
      </c>
      <c r="D2908">
        <v>1</v>
      </c>
      <c r="E2908">
        <v>0</v>
      </c>
      <c r="F2908" t="s">
        <v>10949</v>
      </c>
      <c r="G2908">
        <v>200</v>
      </c>
      <c r="H2908">
        <v>0</v>
      </c>
      <c r="I2908" t="s">
        <v>24</v>
      </c>
      <c r="J2908" t="s">
        <v>10950</v>
      </c>
      <c r="K2908" t="s">
        <v>250</v>
      </c>
      <c r="L2908" t="s">
        <v>27</v>
      </c>
      <c r="M2908" t="s">
        <v>28</v>
      </c>
      <c r="N2908" t="s">
        <v>10951</v>
      </c>
      <c r="O2908" t="s">
        <v>27</v>
      </c>
      <c r="P2908" t="s">
        <v>39</v>
      </c>
      <c r="Q2908" t="s">
        <v>31</v>
      </c>
      <c r="R2908" t="s">
        <v>32</v>
      </c>
      <c r="S2908" t="s">
        <v>28</v>
      </c>
      <c r="T2908" t="s">
        <v>10952</v>
      </c>
      <c r="U2908" t="s">
        <v>10931</v>
      </c>
    </row>
    <row r="2909" spans="1:21" x14ac:dyDescent="0.25">
      <c r="A2909" t="s">
        <v>243</v>
      </c>
      <c r="B2909" t="s">
        <v>244</v>
      </c>
      <c r="C2909">
        <v>200</v>
      </c>
      <c r="D2909">
        <v>1</v>
      </c>
      <c r="E2909">
        <v>0</v>
      </c>
      <c r="F2909" t="s">
        <v>10953</v>
      </c>
      <c r="G2909">
        <v>200</v>
      </c>
      <c r="H2909">
        <v>0</v>
      </c>
      <c r="I2909" t="s">
        <v>24</v>
      </c>
      <c r="J2909" t="s">
        <v>10954</v>
      </c>
      <c r="K2909" t="s">
        <v>372</v>
      </c>
      <c r="L2909" t="s">
        <v>27</v>
      </c>
      <c r="M2909" t="s">
        <v>28</v>
      </c>
      <c r="N2909" t="s">
        <v>10955</v>
      </c>
      <c r="O2909" t="s">
        <v>27</v>
      </c>
      <c r="P2909" t="s">
        <v>39</v>
      </c>
      <c r="Q2909" t="s">
        <v>31</v>
      </c>
      <c r="R2909" t="s">
        <v>32</v>
      </c>
      <c r="S2909" t="s">
        <v>28</v>
      </c>
      <c r="T2909" t="s">
        <v>10956</v>
      </c>
      <c r="U2909" t="s">
        <v>10931</v>
      </c>
    </row>
    <row r="2910" spans="1:21" x14ac:dyDescent="0.25">
      <c r="A2910" t="s">
        <v>33</v>
      </c>
      <c r="B2910" t="s">
        <v>34</v>
      </c>
      <c r="C2910">
        <v>200</v>
      </c>
      <c r="D2910">
        <v>1</v>
      </c>
      <c r="E2910">
        <v>0</v>
      </c>
      <c r="F2910" t="s">
        <v>10957</v>
      </c>
      <c r="G2910">
        <v>200</v>
      </c>
      <c r="H2910">
        <v>0</v>
      </c>
      <c r="I2910" t="s">
        <v>24</v>
      </c>
      <c r="J2910" t="s">
        <v>10958</v>
      </c>
      <c r="K2910" t="s">
        <v>388</v>
      </c>
      <c r="L2910" t="s">
        <v>27</v>
      </c>
      <c r="M2910" t="s">
        <v>28</v>
      </c>
      <c r="N2910" t="s">
        <v>10959</v>
      </c>
      <c r="O2910" t="s">
        <v>27</v>
      </c>
      <c r="P2910" t="s">
        <v>39</v>
      </c>
      <c r="Q2910" t="s">
        <v>31</v>
      </c>
      <c r="R2910" t="s">
        <v>32</v>
      </c>
      <c r="S2910" t="s">
        <v>28</v>
      </c>
      <c r="T2910" t="s">
        <v>10960</v>
      </c>
      <c r="U2910" t="s">
        <v>10931</v>
      </c>
    </row>
    <row r="2911" spans="1:21" x14ac:dyDescent="0.25">
      <c r="A2911" t="s">
        <v>134</v>
      </c>
      <c r="B2911" t="s">
        <v>64</v>
      </c>
      <c r="C2911">
        <v>100</v>
      </c>
      <c r="D2911">
        <v>2</v>
      </c>
      <c r="E2911">
        <v>0</v>
      </c>
      <c r="F2911" t="s">
        <v>10961</v>
      </c>
      <c r="G2911">
        <v>200</v>
      </c>
      <c r="H2911">
        <v>0</v>
      </c>
      <c r="I2911" t="s">
        <v>24</v>
      </c>
      <c r="J2911" t="s">
        <v>10962</v>
      </c>
      <c r="K2911" t="s">
        <v>325</v>
      </c>
      <c r="L2911" t="s">
        <v>27</v>
      </c>
      <c r="M2911" t="s">
        <v>28</v>
      </c>
      <c r="N2911" t="s">
        <v>10963</v>
      </c>
      <c r="O2911" t="s">
        <v>27</v>
      </c>
      <c r="P2911" t="s">
        <v>39</v>
      </c>
      <c r="Q2911" t="s">
        <v>31</v>
      </c>
      <c r="R2911" t="s">
        <v>32</v>
      </c>
      <c r="S2911" t="s">
        <v>28</v>
      </c>
      <c r="T2911" t="s">
        <v>10964</v>
      </c>
      <c r="U2911" t="s">
        <v>10931</v>
      </c>
    </row>
    <row r="2912" spans="1:21" x14ac:dyDescent="0.25">
      <c r="A2912" t="s">
        <v>58</v>
      </c>
      <c r="B2912" t="s">
        <v>58</v>
      </c>
      <c r="C2912">
        <v>100</v>
      </c>
      <c r="D2912">
        <v>2</v>
      </c>
      <c r="E2912">
        <v>0</v>
      </c>
      <c r="F2912" t="s">
        <v>10965</v>
      </c>
      <c r="G2912">
        <v>245</v>
      </c>
      <c r="H2912">
        <v>45</v>
      </c>
      <c r="I2912" t="s">
        <v>445</v>
      </c>
      <c r="J2912" t="s">
        <v>6766</v>
      </c>
      <c r="K2912" t="s">
        <v>10966</v>
      </c>
      <c r="L2912" t="s">
        <v>10967</v>
      </c>
      <c r="M2912" t="s">
        <v>3413</v>
      </c>
      <c r="N2912" t="s">
        <v>10968</v>
      </c>
      <c r="O2912" t="s">
        <v>27</v>
      </c>
      <c r="P2912" t="s">
        <v>193</v>
      </c>
      <c r="Q2912" t="s">
        <v>85</v>
      </c>
      <c r="R2912" t="s">
        <v>86</v>
      </c>
      <c r="S2912" t="s">
        <v>28</v>
      </c>
      <c r="T2912" t="s">
        <v>10969</v>
      </c>
      <c r="U2912" t="s">
        <v>10968</v>
      </c>
    </row>
    <row r="2913" spans="1:21" x14ac:dyDescent="0.25">
      <c r="A2913" t="s">
        <v>21</v>
      </c>
      <c r="B2913" t="s">
        <v>22</v>
      </c>
      <c r="C2913">
        <v>100</v>
      </c>
      <c r="D2913">
        <v>1</v>
      </c>
      <c r="E2913">
        <v>0</v>
      </c>
      <c r="F2913" t="s">
        <v>10970</v>
      </c>
      <c r="G2913">
        <v>200</v>
      </c>
      <c r="H2913">
        <v>0</v>
      </c>
      <c r="I2913" t="s">
        <v>140</v>
      </c>
      <c r="J2913" t="s">
        <v>847</v>
      </c>
      <c r="K2913" t="s">
        <v>342</v>
      </c>
      <c r="L2913" t="s">
        <v>27</v>
      </c>
      <c r="M2913" t="s">
        <v>28</v>
      </c>
      <c r="N2913" t="s">
        <v>10971</v>
      </c>
      <c r="O2913" t="s">
        <v>27</v>
      </c>
      <c r="P2913" t="s">
        <v>30</v>
      </c>
      <c r="Q2913" t="s">
        <v>31</v>
      </c>
      <c r="R2913" t="s">
        <v>32</v>
      </c>
      <c r="S2913" t="s">
        <v>28</v>
      </c>
      <c r="T2913" t="s">
        <v>10972</v>
      </c>
      <c r="U2913" t="s">
        <v>10973</v>
      </c>
    </row>
    <row r="2914" spans="1:21" x14ac:dyDescent="0.25">
      <c r="A2914" t="s">
        <v>63</v>
      </c>
      <c r="B2914" t="s">
        <v>64</v>
      </c>
      <c r="C2914">
        <v>100</v>
      </c>
      <c r="D2914">
        <v>1</v>
      </c>
      <c r="E2914">
        <v>0</v>
      </c>
      <c r="F2914" t="s">
        <v>10970</v>
      </c>
      <c r="G2914">
        <v>200</v>
      </c>
      <c r="H2914">
        <v>0</v>
      </c>
      <c r="I2914" t="s">
        <v>140</v>
      </c>
      <c r="J2914" t="s">
        <v>847</v>
      </c>
      <c r="K2914" t="s">
        <v>342</v>
      </c>
      <c r="L2914" t="s">
        <v>27</v>
      </c>
      <c r="M2914" t="s">
        <v>28</v>
      </c>
      <c r="N2914" t="s">
        <v>10971</v>
      </c>
      <c r="O2914" t="s">
        <v>27</v>
      </c>
      <c r="P2914" t="s">
        <v>30</v>
      </c>
      <c r="Q2914" t="s">
        <v>31</v>
      </c>
      <c r="R2914" t="s">
        <v>32</v>
      </c>
      <c r="S2914" t="s">
        <v>28</v>
      </c>
      <c r="T2914" t="s">
        <v>10972</v>
      </c>
      <c r="U2914" t="s">
        <v>10973</v>
      </c>
    </row>
    <row r="2915" spans="1:21" x14ac:dyDescent="0.25">
      <c r="A2915" t="s">
        <v>58</v>
      </c>
      <c r="B2915" t="s">
        <v>58</v>
      </c>
      <c r="C2915">
        <v>100</v>
      </c>
      <c r="D2915">
        <v>1</v>
      </c>
      <c r="E2915">
        <v>0</v>
      </c>
      <c r="F2915" t="s">
        <v>10974</v>
      </c>
      <c r="G2915">
        <v>106</v>
      </c>
      <c r="H2915">
        <v>6</v>
      </c>
      <c r="I2915" t="s">
        <v>140</v>
      </c>
      <c r="J2915" t="s">
        <v>10975</v>
      </c>
      <c r="K2915" t="s">
        <v>418</v>
      </c>
      <c r="L2915" t="s">
        <v>27</v>
      </c>
      <c r="M2915" t="s">
        <v>28</v>
      </c>
      <c r="N2915" t="s">
        <v>10976</v>
      </c>
      <c r="O2915" t="s">
        <v>27</v>
      </c>
      <c r="P2915" t="s">
        <v>30</v>
      </c>
      <c r="Q2915" t="s">
        <v>31</v>
      </c>
      <c r="R2915" t="s">
        <v>32</v>
      </c>
      <c r="S2915" t="s">
        <v>28</v>
      </c>
      <c r="T2915" t="s">
        <v>10977</v>
      </c>
      <c r="U2915" t="s">
        <v>10973</v>
      </c>
    </row>
    <row r="2916" spans="1:21" x14ac:dyDescent="0.25">
      <c r="A2916" t="s">
        <v>58</v>
      </c>
      <c r="B2916" t="s">
        <v>58</v>
      </c>
      <c r="C2916">
        <v>100</v>
      </c>
      <c r="D2916">
        <v>1</v>
      </c>
      <c r="E2916">
        <v>0</v>
      </c>
      <c r="F2916" t="s">
        <v>10978</v>
      </c>
      <c r="G2916">
        <v>106</v>
      </c>
      <c r="H2916">
        <v>6</v>
      </c>
      <c r="I2916" t="s">
        <v>140</v>
      </c>
      <c r="J2916" t="s">
        <v>10979</v>
      </c>
      <c r="K2916" t="s">
        <v>797</v>
      </c>
      <c r="L2916" t="s">
        <v>27</v>
      </c>
      <c r="M2916" t="s">
        <v>28</v>
      </c>
      <c r="N2916" t="s">
        <v>10980</v>
      </c>
      <c r="O2916" t="s">
        <v>27</v>
      </c>
      <c r="P2916" t="s">
        <v>369</v>
      </c>
      <c r="Q2916" t="s">
        <v>31</v>
      </c>
      <c r="R2916" t="s">
        <v>57</v>
      </c>
      <c r="S2916" t="s">
        <v>28</v>
      </c>
      <c r="T2916" t="s">
        <v>10981</v>
      </c>
      <c r="U2916" t="s">
        <v>10973</v>
      </c>
    </row>
    <row r="2917" spans="1:21" x14ac:dyDescent="0.25">
      <c r="A2917" t="s">
        <v>58</v>
      </c>
      <c r="B2917" t="s">
        <v>58</v>
      </c>
      <c r="C2917">
        <v>100</v>
      </c>
      <c r="D2917">
        <v>2</v>
      </c>
      <c r="E2917">
        <v>0</v>
      </c>
      <c r="F2917" t="s">
        <v>10982</v>
      </c>
      <c r="G2917">
        <v>200</v>
      </c>
      <c r="H2917">
        <v>0</v>
      </c>
      <c r="I2917" t="s">
        <v>140</v>
      </c>
      <c r="J2917" t="s">
        <v>10983</v>
      </c>
      <c r="K2917" t="s">
        <v>54</v>
      </c>
      <c r="L2917" t="s">
        <v>27</v>
      </c>
      <c r="M2917" t="s">
        <v>28</v>
      </c>
      <c r="N2917" t="s">
        <v>10984</v>
      </c>
      <c r="O2917" t="s">
        <v>27</v>
      </c>
      <c r="P2917" t="s">
        <v>30</v>
      </c>
      <c r="Q2917" t="s">
        <v>31</v>
      </c>
      <c r="R2917" t="s">
        <v>32</v>
      </c>
      <c r="S2917" t="s">
        <v>28</v>
      </c>
      <c r="T2917" t="s">
        <v>10985</v>
      </c>
      <c r="U2917" t="s">
        <v>10973</v>
      </c>
    </row>
    <row r="2918" spans="1:21" x14ac:dyDescent="0.25">
      <c r="A2918" t="s">
        <v>63</v>
      </c>
      <c r="B2918" t="s">
        <v>64</v>
      </c>
      <c r="C2918">
        <v>100</v>
      </c>
      <c r="D2918">
        <v>1</v>
      </c>
      <c r="E2918">
        <v>0</v>
      </c>
      <c r="F2918" t="s">
        <v>10986</v>
      </c>
      <c r="G2918">
        <v>106</v>
      </c>
      <c r="H2918">
        <v>6</v>
      </c>
      <c r="I2918" t="s">
        <v>445</v>
      </c>
      <c r="J2918" t="s">
        <v>10987</v>
      </c>
      <c r="K2918" t="s">
        <v>572</v>
      </c>
      <c r="L2918" t="s">
        <v>27</v>
      </c>
      <c r="M2918" t="s">
        <v>28</v>
      </c>
      <c r="N2918" t="s">
        <v>10988</v>
      </c>
      <c r="O2918" t="s">
        <v>27</v>
      </c>
      <c r="P2918" t="s">
        <v>39</v>
      </c>
      <c r="Q2918" t="s">
        <v>31</v>
      </c>
      <c r="R2918" t="s">
        <v>32</v>
      </c>
      <c r="S2918" t="s">
        <v>28</v>
      </c>
      <c r="T2918" t="s">
        <v>10989</v>
      </c>
      <c r="U2918" t="s">
        <v>10988</v>
      </c>
    </row>
    <row r="2919" spans="1:21" x14ac:dyDescent="0.25">
      <c r="A2919" t="s">
        <v>21</v>
      </c>
      <c r="B2919" t="s">
        <v>22</v>
      </c>
      <c r="C2919">
        <v>100</v>
      </c>
      <c r="D2919">
        <v>1</v>
      </c>
      <c r="E2919">
        <v>0</v>
      </c>
      <c r="F2919" t="s">
        <v>10990</v>
      </c>
      <c r="G2919">
        <v>106</v>
      </c>
      <c r="H2919">
        <v>6</v>
      </c>
      <c r="I2919" t="s">
        <v>24</v>
      </c>
      <c r="J2919" t="s">
        <v>10991</v>
      </c>
      <c r="K2919" t="s">
        <v>237</v>
      </c>
      <c r="L2919" t="s">
        <v>27</v>
      </c>
      <c r="M2919" t="s">
        <v>28</v>
      </c>
      <c r="N2919" t="s">
        <v>10988</v>
      </c>
      <c r="O2919" t="s">
        <v>27</v>
      </c>
      <c r="P2919" t="s">
        <v>39</v>
      </c>
      <c r="Q2919" t="s">
        <v>31</v>
      </c>
      <c r="R2919" t="s">
        <v>32</v>
      </c>
      <c r="S2919" t="s">
        <v>28</v>
      </c>
      <c r="T2919" t="s">
        <v>10992</v>
      </c>
      <c r="U2919" t="s">
        <v>10988</v>
      </c>
    </row>
    <row r="2920" spans="1:21" x14ac:dyDescent="0.25">
      <c r="A2920" t="s">
        <v>33</v>
      </c>
      <c r="B2920" t="s">
        <v>34</v>
      </c>
      <c r="C2920">
        <v>200</v>
      </c>
      <c r="D2920">
        <v>1</v>
      </c>
      <c r="E2920">
        <v>0</v>
      </c>
      <c r="F2920" t="s">
        <v>10993</v>
      </c>
      <c r="G2920">
        <v>500</v>
      </c>
      <c r="H2920">
        <v>0</v>
      </c>
      <c r="I2920" t="s">
        <v>445</v>
      </c>
      <c r="J2920" t="s">
        <v>10994</v>
      </c>
      <c r="K2920" t="s">
        <v>137</v>
      </c>
      <c r="L2920" t="s">
        <v>27</v>
      </c>
      <c r="M2920" t="s">
        <v>28</v>
      </c>
      <c r="N2920" t="s">
        <v>10995</v>
      </c>
      <c r="O2920" t="s">
        <v>27</v>
      </c>
      <c r="P2920" t="s">
        <v>39</v>
      </c>
      <c r="Q2920" t="s">
        <v>31</v>
      </c>
      <c r="R2920" t="s">
        <v>32</v>
      </c>
      <c r="S2920" t="s">
        <v>28</v>
      </c>
      <c r="T2920" t="s">
        <v>10996</v>
      </c>
      <c r="U2920" t="s">
        <v>10995</v>
      </c>
    </row>
    <row r="2921" spans="1:21" x14ac:dyDescent="0.25">
      <c r="A2921" t="s">
        <v>134</v>
      </c>
      <c r="B2921" t="s">
        <v>64</v>
      </c>
      <c r="C2921">
        <v>100</v>
      </c>
      <c r="D2921">
        <v>1</v>
      </c>
      <c r="E2921">
        <v>0</v>
      </c>
      <c r="F2921" t="s">
        <v>10993</v>
      </c>
      <c r="G2921">
        <v>500</v>
      </c>
      <c r="H2921">
        <v>0</v>
      </c>
      <c r="I2921" t="s">
        <v>445</v>
      </c>
      <c r="J2921" t="s">
        <v>10994</v>
      </c>
      <c r="K2921" t="s">
        <v>137</v>
      </c>
      <c r="L2921" t="s">
        <v>27</v>
      </c>
      <c r="M2921" t="s">
        <v>28</v>
      </c>
      <c r="N2921" t="s">
        <v>10995</v>
      </c>
      <c r="O2921" t="s">
        <v>27</v>
      </c>
      <c r="P2921" t="s">
        <v>39</v>
      </c>
      <c r="Q2921" t="s">
        <v>31</v>
      </c>
      <c r="R2921" t="s">
        <v>32</v>
      </c>
      <c r="S2921" t="s">
        <v>28</v>
      </c>
      <c r="T2921" t="s">
        <v>10996</v>
      </c>
      <c r="U2921" t="s">
        <v>10995</v>
      </c>
    </row>
    <row r="2922" spans="1:21" x14ac:dyDescent="0.25">
      <c r="A2922" t="s">
        <v>21</v>
      </c>
      <c r="B2922" t="s">
        <v>22</v>
      </c>
      <c r="C2922">
        <v>100</v>
      </c>
      <c r="D2922">
        <v>2</v>
      </c>
      <c r="E2922">
        <v>0</v>
      </c>
      <c r="F2922" t="s">
        <v>10993</v>
      </c>
      <c r="G2922">
        <v>500</v>
      </c>
      <c r="H2922">
        <v>0</v>
      </c>
      <c r="I2922" t="s">
        <v>445</v>
      </c>
      <c r="J2922" t="s">
        <v>10994</v>
      </c>
      <c r="K2922" t="s">
        <v>137</v>
      </c>
      <c r="L2922" t="s">
        <v>27</v>
      </c>
      <c r="M2922" t="s">
        <v>28</v>
      </c>
      <c r="N2922" t="s">
        <v>10995</v>
      </c>
      <c r="O2922" t="s">
        <v>27</v>
      </c>
      <c r="P2922" t="s">
        <v>39</v>
      </c>
      <c r="Q2922" t="s">
        <v>31</v>
      </c>
      <c r="R2922" t="s">
        <v>32</v>
      </c>
      <c r="S2922" t="s">
        <v>28</v>
      </c>
      <c r="T2922" t="s">
        <v>10996</v>
      </c>
      <c r="U2922" t="s">
        <v>10995</v>
      </c>
    </row>
    <row r="2923" spans="1:21" x14ac:dyDescent="0.25">
      <c r="A2923" t="s">
        <v>21</v>
      </c>
      <c r="B2923" t="s">
        <v>22</v>
      </c>
      <c r="C2923">
        <v>100</v>
      </c>
      <c r="D2923">
        <v>1</v>
      </c>
      <c r="E2923">
        <v>0</v>
      </c>
      <c r="F2923" t="s">
        <v>10997</v>
      </c>
      <c r="G2923">
        <v>100</v>
      </c>
      <c r="H2923">
        <v>0</v>
      </c>
      <c r="I2923" t="s">
        <v>445</v>
      </c>
      <c r="J2923" t="s">
        <v>10944</v>
      </c>
      <c r="K2923" t="s">
        <v>124</v>
      </c>
      <c r="L2923" t="s">
        <v>27</v>
      </c>
      <c r="M2923" t="s">
        <v>28</v>
      </c>
      <c r="N2923" t="s">
        <v>10995</v>
      </c>
      <c r="O2923" t="s">
        <v>27</v>
      </c>
      <c r="P2923" t="s">
        <v>39</v>
      </c>
      <c r="Q2923" t="s">
        <v>31</v>
      </c>
      <c r="R2923" t="s">
        <v>32</v>
      </c>
      <c r="S2923" t="s">
        <v>28</v>
      </c>
      <c r="T2923" t="s">
        <v>10998</v>
      </c>
      <c r="U2923" t="s">
        <v>10995</v>
      </c>
    </row>
    <row r="2924" spans="1:21" x14ac:dyDescent="0.25">
      <c r="A2924" t="s">
        <v>58</v>
      </c>
      <c r="B2924" t="s">
        <v>58</v>
      </c>
      <c r="C2924">
        <v>100</v>
      </c>
      <c r="D2924">
        <v>1</v>
      </c>
      <c r="E2924">
        <v>0</v>
      </c>
      <c r="F2924" t="s">
        <v>10999</v>
      </c>
      <c r="G2924">
        <v>107</v>
      </c>
      <c r="H2924">
        <v>7</v>
      </c>
      <c r="I2924" t="s">
        <v>445</v>
      </c>
      <c r="J2924" t="s">
        <v>11000</v>
      </c>
      <c r="K2924" t="s">
        <v>11001</v>
      </c>
      <c r="L2924" t="s">
        <v>11002</v>
      </c>
      <c r="M2924" t="s">
        <v>7874</v>
      </c>
      <c r="N2924" t="s">
        <v>10988</v>
      </c>
      <c r="O2924" t="s">
        <v>27</v>
      </c>
      <c r="P2924" t="s">
        <v>84</v>
      </c>
      <c r="Q2924" t="s">
        <v>85</v>
      </c>
      <c r="R2924" t="s">
        <v>86</v>
      </c>
      <c r="S2924" t="s">
        <v>28</v>
      </c>
      <c r="T2924" t="s">
        <v>11003</v>
      </c>
      <c r="U2924" t="s">
        <v>10995</v>
      </c>
    </row>
    <row r="2925" spans="1:21" x14ac:dyDescent="0.25">
      <c r="A2925" t="s">
        <v>134</v>
      </c>
      <c r="B2925" t="s">
        <v>64</v>
      </c>
      <c r="C2925">
        <v>100</v>
      </c>
      <c r="D2925">
        <v>6</v>
      </c>
      <c r="E2925">
        <v>0</v>
      </c>
      <c r="F2925" t="s">
        <v>11004</v>
      </c>
      <c r="G2925">
        <v>600</v>
      </c>
      <c r="H2925">
        <v>0</v>
      </c>
      <c r="I2925" t="s">
        <v>140</v>
      </c>
      <c r="J2925" t="s">
        <v>11005</v>
      </c>
      <c r="K2925" t="s">
        <v>9195</v>
      </c>
      <c r="L2925" t="s">
        <v>27</v>
      </c>
      <c r="M2925" t="s">
        <v>28</v>
      </c>
      <c r="N2925" t="s">
        <v>11006</v>
      </c>
      <c r="O2925" t="s">
        <v>27</v>
      </c>
      <c r="P2925" t="s">
        <v>369</v>
      </c>
      <c r="Q2925" t="s">
        <v>31</v>
      </c>
      <c r="R2925" t="s">
        <v>57</v>
      </c>
      <c r="S2925" t="s">
        <v>28</v>
      </c>
      <c r="T2925" t="s">
        <v>11007</v>
      </c>
      <c r="U2925" t="s">
        <v>10995</v>
      </c>
    </row>
    <row r="2926" spans="1:21" x14ac:dyDescent="0.25">
      <c r="A2926" t="s">
        <v>76</v>
      </c>
      <c r="B2926" t="s">
        <v>77</v>
      </c>
      <c r="C2926">
        <v>199</v>
      </c>
      <c r="D2926">
        <v>1</v>
      </c>
      <c r="E2926">
        <v>0</v>
      </c>
      <c r="F2926" t="s">
        <v>11008</v>
      </c>
      <c r="G2926">
        <v>199</v>
      </c>
      <c r="H2926">
        <v>0</v>
      </c>
      <c r="I2926" t="s">
        <v>24</v>
      </c>
      <c r="J2926" t="s">
        <v>11009</v>
      </c>
      <c r="K2926" t="s">
        <v>11010</v>
      </c>
      <c r="L2926" t="s">
        <v>11011</v>
      </c>
      <c r="M2926" t="s">
        <v>11012</v>
      </c>
      <c r="N2926" t="s">
        <v>10995</v>
      </c>
      <c r="O2926" t="s">
        <v>27</v>
      </c>
      <c r="P2926" t="s">
        <v>193</v>
      </c>
      <c r="Q2926" t="s">
        <v>85</v>
      </c>
      <c r="R2926" t="s">
        <v>86</v>
      </c>
      <c r="S2926" t="s">
        <v>28</v>
      </c>
      <c r="T2926" t="s">
        <v>11013</v>
      </c>
      <c r="U2926" t="s">
        <v>11006</v>
      </c>
    </row>
    <row r="2927" spans="1:21" x14ac:dyDescent="0.25">
      <c r="A2927" t="s">
        <v>58</v>
      </c>
      <c r="B2927" t="s">
        <v>58</v>
      </c>
      <c r="C2927">
        <v>100</v>
      </c>
      <c r="D2927">
        <v>3</v>
      </c>
      <c r="E2927">
        <v>0</v>
      </c>
      <c r="F2927" t="s">
        <v>11014</v>
      </c>
      <c r="G2927">
        <v>300</v>
      </c>
      <c r="H2927">
        <v>0</v>
      </c>
      <c r="I2927" t="s">
        <v>140</v>
      </c>
      <c r="J2927" t="s">
        <v>11015</v>
      </c>
      <c r="K2927" t="s">
        <v>67</v>
      </c>
      <c r="L2927" t="s">
        <v>27</v>
      </c>
      <c r="M2927" t="s">
        <v>28</v>
      </c>
      <c r="N2927" t="s">
        <v>11016</v>
      </c>
      <c r="O2927" t="s">
        <v>27</v>
      </c>
      <c r="P2927" t="s">
        <v>30</v>
      </c>
      <c r="Q2927" t="s">
        <v>31</v>
      </c>
      <c r="R2927" t="s">
        <v>32</v>
      </c>
      <c r="S2927" t="s">
        <v>28</v>
      </c>
      <c r="T2927" t="s">
        <v>11017</v>
      </c>
      <c r="U2927" t="s">
        <v>11016</v>
      </c>
    </row>
    <row r="2928" spans="1:21" x14ac:dyDescent="0.25">
      <c r="A2928" t="s">
        <v>33</v>
      </c>
      <c r="B2928" t="s">
        <v>34</v>
      </c>
      <c r="C2928">
        <v>200</v>
      </c>
      <c r="D2928">
        <v>1</v>
      </c>
      <c r="E2928">
        <v>0</v>
      </c>
      <c r="F2928" t="s">
        <v>11018</v>
      </c>
      <c r="G2928">
        <v>200</v>
      </c>
      <c r="H2928">
        <v>0</v>
      </c>
      <c r="I2928" t="s">
        <v>445</v>
      </c>
      <c r="J2928" t="s">
        <v>11019</v>
      </c>
      <c r="K2928" t="s">
        <v>61</v>
      </c>
      <c r="L2928" t="s">
        <v>27</v>
      </c>
      <c r="M2928" t="s">
        <v>28</v>
      </c>
      <c r="N2928" t="s">
        <v>11020</v>
      </c>
      <c r="O2928" t="s">
        <v>27</v>
      </c>
      <c r="P2928" t="s">
        <v>39</v>
      </c>
      <c r="Q2928" t="s">
        <v>31</v>
      </c>
      <c r="R2928" t="s">
        <v>32</v>
      </c>
      <c r="S2928" t="s">
        <v>28</v>
      </c>
      <c r="T2928" t="s">
        <v>11021</v>
      </c>
      <c r="U2928" t="s">
        <v>11020</v>
      </c>
    </row>
    <row r="2929" spans="1:21" x14ac:dyDescent="0.25">
      <c r="A2929" t="s">
        <v>134</v>
      </c>
      <c r="B2929" t="s">
        <v>64</v>
      </c>
      <c r="C2929">
        <v>100</v>
      </c>
      <c r="D2929">
        <v>1</v>
      </c>
      <c r="E2929">
        <v>0</v>
      </c>
      <c r="F2929" t="s">
        <v>11022</v>
      </c>
      <c r="G2929">
        <v>100</v>
      </c>
      <c r="H2929">
        <v>0</v>
      </c>
      <c r="I2929" t="s">
        <v>140</v>
      </c>
      <c r="J2929" t="s">
        <v>11023</v>
      </c>
      <c r="K2929" t="s">
        <v>3713</v>
      </c>
      <c r="L2929" t="s">
        <v>27</v>
      </c>
      <c r="M2929" t="s">
        <v>28</v>
      </c>
      <c r="N2929" t="s">
        <v>11024</v>
      </c>
      <c r="O2929" t="s">
        <v>27</v>
      </c>
      <c r="P2929" t="s">
        <v>30</v>
      </c>
      <c r="Q2929" t="s">
        <v>31</v>
      </c>
      <c r="R2929" t="s">
        <v>32</v>
      </c>
      <c r="S2929" t="s">
        <v>28</v>
      </c>
      <c r="T2929" t="s">
        <v>11025</v>
      </c>
      <c r="U2929" t="s">
        <v>11024</v>
      </c>
    </row>
    <row r="2930" spans="1:21" x14ac:dyDescent="0.25">
      <c r="A2930" t="s">
        <v>33</v>
      </c>
      <c r="B2930" t="s">
        <v>34</v>
      </c>
      <c r="C2930">
        <v>200</v>
      </c>
      <c r="D2930">
        <v>1</v>
      </c>
      <c r="E2930">
        <v>0</v>
      </c>
      <c r="F2930" t="s">
        <v>11026</v>
      </c>
      <c r="G2930">
        <v>200</v>
      </c>
      <c r="H2930">
        <v>0</v>
      </c>
      <c r="I2930" t="s">
        <v>24</v>
      </c>
      <c r="J2930" t="s">
        <v>11027</v>
      </c>
      <c r="K2930" t="s">
        <v>1797</v>
      </c>
      <c r="L2930" t="s">
        <v>27</v>
      </c>
      <c r="M2930" t="s">
        <v>28</v>
      </c>
      <c r="N2930" t="s">
        <v>11028</v>
      </c>
      <c r="O2930" t="s">
        <v>27</v>
      </c>
      <c r="P2930" t="s">
        <v>39</v>
      </c>
      <c r="Q2930" t="s">
        <v>31</v>
      </c>
      <c r="R2930" t="s">
        <v>32</v>
      </c>
      <c r="S2930" t="s">
        <v>28</v>
      </c>
      <c r="T2930" t="s">
        <v>11029</v>
      </c>
      <c r="U2930" t="s">
        <v>11028</v>
      </c>
    </row>
    <row r="2931" spans="1:21" x14ac:dyDescent="0.25">
      <c r="A2931" t="s">
        <v>21</v>
      </c>
      <c r="B2931" t="s">
        <v>22</v>
      </c>
      <c r="C2931">
        <v>100</v>
      </c>
      <c r="D2931">
        <v>3</v>
      </c>
      <c r="E2931">
        <v>0</v>
      </c>
      <c r="F2931" t="s">
        <v>11030</v>
      </c>
      <c r="G2931">
        <v>300</v>
      </c>
      <c r="H2931">
        <v>0</v>
      </c>
      <c r="I2931" t="s">
        <v>24</v>
      </c>
      <c r="J2931" t="s">
        <v>8836</v>
      </c>
      <c r="K2931" t="s">
        <v>342</v>
      </c>
      <c r="L2931" t="s">
        <v>27</v>
      </c>
      <c r="M2931" t="s">
        <v>28</v>
      </c>
      <c r="N2931" t="s">
        <v>11031</v>
      </c>
      <c r="O2931" t="s">
        <v>27</v>
      </c>
      <c r="P2931" t="s">
        <v>39</v>
      </c>
      <c r="Q2931" t="s">
        <v>31</v>
      </c>
      <c r="R2931" t="s">
        <v>32</v>
      </c>
      <c r="S2931" t="s">
        <v>28</v>
      </c>
      <c r="T2931" t="s">
        <v>11032</v>
      </c>
      <c r="U2931" t="s">
        <v>11031</v>
      </c>
    </row>
    <row r="2932" spans="1:21" x14ac:dyDescent="0.25">
      <c r="A2932" t="s">
        <v>21</v>
      </c>
      <c r="B2932" t="s">
        <v>22</v>
      </c>
      <c r="C2932">
        <v>100</v>
      </c>
      <c r="D2932">
        <v>1</v>
      </c>
      <c r="E2932">
        <v>0</v>
      </c>
      <c r="F2932" t="s">
        <v>11033</v>
      </c>
      <c r="G2932">
        <v>106</v>
      </c>
      <c r="H2932">
        <v>6</v>
      </c>
      <c r="I2932" t="s">
        <v>445</v>
      </c>
      <c r="J2932" t="s">
        <v>11034</v>
      </c>
      <c r="K2932" t="s">
        <v>418</v>
      </c>
      <c r="L2932" t="s">
        <v>27</v>
      </c>
      <c r="M2932" t="s">
        <v>28</v>
      </c>
      <c r="N2932" t="s">
        <v>11031</v>
      </c>
      <c r="O2932" t="s">
        <v>27</v>
      </c>
      <c r="P2932" t="s">
        <v>39</v>
      </c>
      <c r="Q2932" t="s">
        <v>31</v>
      </c>
      <c r="R2932" t="s">
        <v>32</v>
      </c>
      <c r="S2932" t="s">
        <v>28</v>
      </c>
      <c r="T2932" t="s">
        <v>11035</v>
      </c>
      <c r="U2932" t="s">
        <v>11031</v>
      </c>
    </row>
    <row r="2933" spans="1:21" x14ac:dyDescent="0.25">
      <c r="A2933" t="s">
        <v>21</v>
      </c>
      <c r="B2933" t="s">
        <v>22</v>
      </c>
      <c r="C2933">
        <v>100</v>
      </c>
      <c r="D2933">
        <v>1</v>
      </c>
      <c r="E2933">
        <v>0</v>
      </c>
      <c r="F2933" t="s">
        <v>11036</v>
      </c>
      <c r="G2933">
        <v>106</v>
      </c>
      <c r="H2933">
        <v>6</v>
      </c>
      <c r="I2933" t="s">
        <v>24</v>
      </c>
      <c r="J2933" t="s">
        <v>11037</v>
      </c>
      <c r="K2933" t="s">
        <v>89</v>
      </c>
      <c r="L2933" t="s">
        <v>27</v>
      </c>
      <c r="M2933" t="s">
        <v>28</v>
      </c>
      <c r="N2933" t="s">
        <v>11038</v>
      </c>
      <c r="O2933" t="s">
        <v>27</v>
      </c>
      <c r="P2933" t="s">
        <v>39</v>
      </c>
      <c r="Q2933" t="s">
        <v>31</v>
      </c>
      <c r="R2933" t="s">
        <v>32</v>
      </c>
      <c r="S2933" t="s">
        <v>28</v>
      </c>
      <c r="T2933" t="s">
        <v>11039</v>
      </c>
      <c r="U2933" t="s">
        <v>11040</v>
      </c>
    </row>
    <row r="2934" spans="1:21" x14ac:dyDescent="0.25">
      <c r="A2934" t="s">
        <v>21</v>
      </c>
      <c r="B2934" t="s">
        <v>22</v>
      </c>
      <c r="C2934">
        <v>100</v>
      </c>
      <c r="D2934">
        <v>1</v>
      </c>
      <c r="E2934">
        <v>0</v>
      </c>
      <c r="F2934" t="s">
        <v>11041</v>
      </c>
      <c r="G2934">
        <v>106</v>
      </c>
      <c r="H2934">
        <v>6</v>
      </c>
      <c r="I2934" t="s">
        <v>24</v>
      </c>
      <c r="J2934" t="s">
        <v>11042</v>
      </c>
      <c r="K2934" t="s">
        <v>273</v>
      </c>
      <c r="L2934" t="s">
        <v>27</v>
      </c>
      <c r="M2934" t="s">
        <v>28</v>
      </c>
      <c r="N2934" t="s">
        <v>11043</v>
      </c>
      <c r="O2934" t="s">
        <v>27</v>
      </c>
      <c r="P2934" t="s">
        <v>39</v>
      </c>
      <c r="Q2934" t="s">
        <v>31</v>
      </c>
      <c r="R2934" t="s">
        <v>32</v>
      </c>
      <c r="S2934" t="s">
        <v>28</v>
      </c>
      <c r="T2934" t="s">
        <v>11044</v>
      </c>
      <c r="U2934" t="s">
        <v>11043</v>
      </c>
    </row>
    <row r="2935" spans="1:21" x14ac:dyDescent="0.25">
      <c r="A2935" t="s">
        <v>21</v>
      </c>
      <c r="B2935" t="s">
        <v>22</v>
      </c>
      <c r="C2935">
        <v>100</v>
      </c>
      <c r="D2935">
        <v>1</v>
      </c>
      <c r="E2935">
        <v>0</v>
      </c>
      <c r="F2935" t="s">
        <v>11045</v>
      </c>
      <c r="G2935">
        <v>106</v>
      </c>
      <c r="H2935">
        <v>6</v>
      </c>
      <c r="I2935" t="s">
        <v>24</v>
      </c>
      <c r="J2935" t="s">
        <v>11046</v>
      </c>
      <c r="K2935" t="s">
        <v>250</v>
      </c>
      <c r="L2935" t="s">
        <v>27</v>
      </c>
      <c r="M2935" t="s">
        <v>28</v>
      </c>
      <c r="N2935" t="s">
        <v>11047</v>
      </c>
      <c r="O2935" t="s">
        <v>27</v>
      </c>
      <c r="P2935" t="s">
        <v>39</v>
      </c>
      <c r="Q2935" t="s">
        <v>31</v>
      </c>
      <c r="R2935" t="s">
        <v>32</v>
      </c>
      <c r="S2935" t="s">
        <v>28</v>
      </c>
      <c r="T2935" t="s">
        <v>11048</v>
      </c>
      <c r="U2935" t="s">
        <v>11047</v>
      </c>
    </row>
    <row r="2936" spans="1:21" x14ac:dyDescent="0.25">
      <c r="A2936" t="s">
        <v>21</v>
      </c>
      <c r="B2936" t="s">
        <v>22</v>
      </c>
      <c r="C2936">
        <v>100</v>
      </c>
      <c r="D2936">
        <v>1</v>
      </c>
      <c r="E2936">
        <v>0</v>
      </c>
      <c r="F2936" t="s">
        <v>11049</v>
      </c>
      <c r="G2936">
        <v>100</v>
      </c>
      <c r="H2936">
        <v>0</v>
      </c>
      <c r="I2936" t="s">
        <v>140</v>
      </c>
      <c r="J2936" t="s">
        <v>11050</v>
      </c>
      <c r="K2936" t="s">
        <v>753</v>
      </c>
      <c r="L2936" t="s">
        <v>27</v>
      </c>
      <c r="M2936" t="s">
        <v>28</v>
      </c>
      <c r="N2936" t="s">
        <v>11051</v>
      </c>
      <c r="O2936" t="s">
        <v>27</v>
      </c>
      <c r="P2936" t="s">
        <v>369</v>
      </c>
      <c r="Q2936" t="s">
        <v>31</v>
      </c>
      <c r="R2936" t="s">
        <v>57</v>
      </c>
      <c r="S2936" t="s">
        <v>28</v>
      </c>
      <c r="T2936" t="s">
        <v>11052</v>
      </c>
      <c r="U2936" t="s">
        <v>11051</v>
      </c>
    </row>
    <row r="2937" spans="1:21" x14ac:dyDescent="0.25">
      <c r="A2937" t="s">
        <v>1513</v>
      </c>
      <c r="B2937" t="s">
        <v>1514</v>
      </c>
      <c r="C2937">
        <v>400</v>
      </c>
      <c r="D2937">
        <v>1</v>
      </c>
      <c r="E2937">
        <v>0</v>
      </c>
      <c r="F2937" t="s">
        <v>11053</v>
      </c>
      <c r="G2937">
        <v>400</v>
      </c>
      <c r="H2937">
        <v>0</v>
      </c>
      <c r="I2937" t="s">
        <v>140</v>
      </c>
      <c r="J2937" t="s">
        <v>11054</v>
      </c>
      <c r="K2937" t="s">
        <v>37</v>
      </c>
      <c r="L2937" t="s">
        <v>27</v>
      </c>
      <c r="M2937" t="s">
        <v>28</v>
      </c>
      <c r="N2937" t="s">
        <v>11055</v>
      </c>
      <c r="O2937" t="s">
        <v>27</v>
      </c>
      <c r="P2937" t="s">
        <v>30</v>
      </c>
      <c r="Q2937" t="s">
        <v>31</v>
      </c>
      <c r="R2937" t="s">
        <v>32</v>
      </c>
      <c r="S2937" t="s">
        <v>28</v>
      </c>
      <c r="T2937" t="s">
        <v>11056</v>
      </c>
      <c r="U2937" t="s">
        <v>11055</v>
      </c>
    </row>
    <row r="2938" spans="1:21" x14ac:dyDescent="0.25">
      <c r="A2938" t="s">
        <v>63</v>
      </c>
      <c r="B2938" t="s">
        <v>64</v>
      </c>
      <c r="C2938">
        <v>100</v>
      </c>
      <c r="D2938">
        <v>1</v>
      </c>
      <c r="E2938">
        <v>0</v>
      </c>
      <c r="F2938" t="s">
        <v>11057</v>
      </c>
      <c r="G2938">
        <v>106</v>
      </c>
      <c r="H2938">
        <v>6</v>
      </c>
      <c r="I2938" t="s">
        <v>24</v>
      </c>
      <c r="J2938" t="s">
        <v>11058</v>
      </c>
      <c r="K2938" t="s">
        <v>89</v>
      </c>
      <c r="L2938" t="s">
        <v>27</v>
      </c>
      <c r="M2938" t="s">
        <v>28</v>
      </c>
      <c r="N2938" t="s">
        <v>11055</v>
      </c>
      <c r="O2938" t="s">
        <v>27</v>
      </c>
      <c r="P2938" t="s">
        <v>39</v>
      </c>
      <c r="Q2938" t="s">
        <v>31</v>
      </c>
      <c r="R2938" t="s">
        <v>32</v>
      </c>
      <c r="S2938" t="s">
        <v>28</v>
      </c>
      <c r="T2938" t="s">
        <v>11059</v>
      </c>
      <c r="U2938" t="s">
        <v>11055</v>
      </c>
    </row>
    <row r="2939" spans="1:21" x14ac:dyDescent="0.25">
      <c r="A2939" t="s">
        <v>63</v>
      </c>
      <c r="B2939" t="s">
        <v>64</v>
      </c>
      <c r="C2939">
        <v>100</v>
      </c>
      <c r="D2939">
        <v>3</v>
      </c>
      <c r="E2939">
        <v>0</v>
      </c>
      <c r="F2939" t="s">
        <v>11060</v>
      </c>
      <c r="G2939">
        <v>300</v>
      </c>
      <c r="H2939">
        <v>0</v>
      </c>
      <c r="I2939" t="s">
        <v>140</v>
      </c>
      <c r="J2939" t="s">
        <v>11061</v>
      </c>
      <c r="K2939" t="s">
        <v>1602</v>
      </c>
      <c r="L2939" t="s">
        <v>27</v>
      </c>
      <c r="M2939" t="s">
        <v>28</v>
      </c>
      <c r="N2939" t="s">
        <v>11062</v>
      </c>
      <c r="O2939" t="s">
        <v>27</v>
      </c>
      <c r="P2939" t="s">
        <v>30</v>
      </c>
      <c r="Q2939" t="s">
        <v>31</v>
      </c>
      <c r="R2939" t="s">
        <v>32</v>
      </c>
      <c r="S2939" t="s">
        <v>28</v>
      </c>
      <c r="T2939" t="s">
        <v>11063</v>
      </c>
      <c r="U2939" t="s">
        <v>11062</v>
      </c>
    </row>
    <row r="2940" spans="1:21" x14ac:dyDescent="0.25">
      <c r="A2940" t="s">
        <v>63</v>
      </c>
      <c r="B2940" t="s">
        <v>64</v>
      </c>
      <c r="C2940">
        <v>100</v>
      </c>
      <c r="D2940">
        <v>2</v>
      </c>
      <c r="E2940">
        <v>0</v>
      </c>
      <c r="F2940" t="s">
        <v>11064</v>
      </c>
      <c r="G2940">
        <v>200</v>
      </c>
      <c r="H2940">
        <v>0</v>
      </c>
      <c r="I2940" t="s">
        <v>140</v>
      </c>
      <c r="J2940" t="s">
        <v>11065</v>
      </c>
      <c r="K2940" t="s">
        <v>384</v>
      </c>
      <c r="L2940" t="s">
        <v>27</v>
      </c>
      <c r="M2940" t="s">
        <v>28</v>
      </c>
      <c r="N2940" t="s">
        <v>11066</v>
      </c>
      <c r="O2940" t="s">
        <v>27</v>
      </c>
      <c r="P2940" t="s">
        <v>369</v>
      </c>
      <c r="Q2940" t="s">
        <v>31</v>
      </c>
      <c r="R2940" t="s">
        <v>57</v>
      </c>
      <c r="S2940" t="s">
        <v>28</v>
      </c>
      <c r="T2940" t="s">
        <v>11067</v>
      </c>
      <c r="U2940" t="s">
        <v>11066</v>
      </c>
    </row>
    <row r="2941" spans="1:21" x14ac:dyDescent="0.25">
      <c r="A2941" t="s">
        <v>21</v>
      </c>
      <c r="B2941" t="s">
        <v>22</v>
      </c>
      <c r="C2941">
        <v>100</v>
      </c>
      <c r="D2941">
        <v>1</v>
      </c>
      <c r="E2941">
        <v>0</v>
      </c>
      <c r="F2941" t="s">
        <v>11068</v>
      </c>
      <c r="G2941">
        <v>145</v>
      </c>
      <c r="H2941">
        <v>45</v>
      </c>
      <c r="I2941" t="s">
        <v>445</v>
      </c>
      <c r="J2941" t="s">
        <v>11069</v>
      </c>
      <c r="K2941" t="s">
        <v>321</v>
      </c>
      <c r="L2941" t="s">
        <v>27</v>
      </c>
      <c r="M2941" t="s">
        <v>28</v>
      </c>
      <c r="N2941" t="s">
        <v>11066</v>
      </c>
      <c r="O2941" t="s">
        <v>27</v>
      </c>
      <c r="P2941" t="s">
        <v>39</v>
      </c>
      <c r="Q2941" t="s">
        <v>31</v>
      </c>
      <c r="R2941" t="s">
        <v>32</v>
      </c>
      <c r="S2941" t="s">
        <v>28</v>
      </c>
      <c r="T2941" t="s">
        <v>11070</v>
      </c>
      <c r="U2941" t="s">
        <v>11066</v>
      </c>
    </row>
    <row r="2942" spans="1:21" x14ac:dyDescent="0.25">
      <c r="A2942" t="s">
        <v>58</v>
      </c>
      <c r="B2942" t="s">
        <v>58</v>
      </c>
      <c r="C2942">
        <v>100</v>
      </c>
      <c r="D2942">
        <v>1</v>
      </c>
      <c r="E2942">
        <v>0</v>
      </c>
      <c r="F2942" t="s">
        <v>11071</v>
      </c>
      <c r="G2942">
        <v>299</v>
      </c>
      <c r="H2942">
        <v>0</v>
      </c>
      <c r="I2942" t="s">
        <v>24</v>
      </c>
      <c r="J2942" t="s">
        <v>11072</v>
      </c>
      <c r="K2942" t="s">
        <v>285</v>
      </c>
      <c r="L2942" t="s">
        <v>27</v>
      </c>
      <c r="M2942" t="s">
        <v>28</v>
      </c>
      <c r="N2942" t="s">
        <v>11073</v>
      </c>
      <c r="O2942" t="s">
        <v>27</v>
      </c>
      <c r="P2942" t="s">
        <v>39</v>
      </c>
      <c r="Q2942" t="s">
        <v>31</v>
      </c>
      <c r="R2942" t="s">
        <v>32</v>
      </c>
      <c r="S2942" t="s">
        <v>28</v>
      </c>
      <c r="T2942" t="s">
        <v>11074</v>
      </c>
      <c r="U2942" t="s">
        <v>11073</v>
      </c>
    </row>
    <row r="2943" spans="1:21" x14ac:dyDescent="0.25">
      <c r="A2943" t="s">
        <v>21</v>
      </c>
      <c r="B2943" t="s">
        <v>22</v>
      </c>
      <c r="C2943">
        <v>100</v>
      </c>
      <c r="D2943">
        <v>1</v>
      </c>
      <c r="E2943">
        <v>0</v>
      </c>
      <c r="F2943" t="s">
        <v>11071</v>
      </c>
      <c r="G2943">
        <v>299</v>
      </c>
      <c r="H2943">
        <v>0</v>
      </c>
      <c r="I2943" t="s">
        <v>24</v>
      </c>
      <c r="J2943" t="s">
        <v>11072</v>
      </c>
      <c r="K2943" t="s">
        <v>285</v>
      </c>
      <c r="L2943" t="s">
        <v>27</v>
      </c>
      <c r="M2943" t="s">
        <v>28</v>
      </c>
      <c r="N2943" t="s">
        <v>11073</v>
      </c>
      <c r="O2943" t="s">
        <v>27</v>
      </c>
      <c r="P2943" t="s">
        <v>39</v>
      </c>
      <c r="Q2943" t="s">
        <v>31</v>
      </c>
      <c r="R2943" t="s">
        <v>32</v>
      </c>
      <c r="S2943" t="s">
        <v>28</v>
      </c>
      <c r="T2943" t="s">
        <v>11074</v>
      </c>
      <c r="U2943" t="s">
        <v>11073</v>
      </c>
    </row>
    <row r="2944" spans="1:21" x14ac:dyDescent="0.25">
      <c r="A2944" t="s">
        <v>21</v>
      </c>
      <c r="B2944" t="s">
        <v>22</v>
      </c>
      <c r="C2944">
        <v>100</v>
      </c>
      <c r="D2944">
        <v>1</v>
      </c>
      <c r="E2944">
        <v>0</v>
      </c>
      <c r="F2944" t="s">
        <v>11075</v>
      </c>
      <c r="G2944">
        <v>106</v>
      </c>
      <c r="H2944">
        <v>6</v>
      </c>
      <c r="I2944" t="s">
        <v>24</v>
      </c>
      <c r="J2944" t="s">
        <v>11076</v>
      </c>
      <c r="K2944" t="s">
        <v>11077</v>
      </c>
      <c r="L2944" t="s">
        <v>27</v>
      </c>
      <c r="M2944" t="s">
        <v>28</v>
      </c>
      <c r="N2944" t="s">
        <v>11078</v>
      </c>
      <c r="O2944" t="s">
        <v>27</v>
      </c>
      <c r="P2944" t="s">
        <v>56</v>
      </c>
      <c r="Q2944" t="s">
        <v>31</v>
      </c>
      <c r="R2944" t="s">
        <v>57</v>
      </c>
      <c r="S2944" t="s">
        <v>28</v>
      </c>
      <c r="T2944" t="s">
        <v>11079</v>
      </c>
      <c r="U2944" t="s">
        <v>11078</v>
      </c>
    </row>
    <row r="2945" spans="1:21" x14ac:dyDescent="0.25">
      <c r="A2945" t="s">
        <v>70</v>
      </c>
      <c r="B2945" t="s">
        <v>70</v>
      </c>
      <c r="C2945">
        <v>330</v>
      </c>
      <c r="D2945">
        <v>1</v>
      </c>
      <c r="E2945">
        <v>0</v>
      </c>
      <c r="F2945" t="s">
        <v>11080</v>
      </c>
      <c r="G2945">
        <v>330</v>
      </c>
      <c r="H2945">
        <v>0</v>
      </c>
      <c r="I2945" t="s">
        <v>445</v>
      </c>
      <c r="J2945" t="s">
        <v>11081</v>
      </c>
      <c r="K2945" t="s">
        <v>1038</v>
      </c>
      <c r="L2945" t="s">
        <v>27</v>
      </c>
      <c r="M2945" t="s">
        <v>28</v>
      </c>
      <c r="N2945" t="s">
        <v>11082</v>
      </c>
      <c r="O2945" t="s">
        <v>27</v>
      </c>
      <c r="P2945" t="s">
        <v>39</v>
      </c>
      <c r="Q2945" t="s">
        <v>31</v>
      </c>
      <c r="R2945" t="s">
        <v>32</v>
      </c>
      <c r="S2945" t="s">
        <v>28</v>
      </c>
      <c r="T2945" t="s">
        <v>11083</v>
      </c>
      <c r="U2945" t="s">
        <v>11082</v>
      </c>
    </row>
    <row r="2946" spans="1:21" x14ac:dyDescent="0.25">
      <c r="A2946" t="s">
        <v>21</v>
      </c>
      <c r="B2946" t="s">
        <v>22</v>
      </c>
      <c r="C2946">
        <v>100</v>
      </c>
      <c r="D2946">
        <v>1</v>
      </c>
      <c r="E2946">
        <v>0</v>
      </c>
      <c r="F2946" t="s">
        <v>11084</v>
      </c>
      <c r="G2946">
        <v>106</v>
      </c>
      <c r="H2946">
        <v>6</v>
      </c>
      <c r="I2946" t="s">
        <v>140</v>
      </c>
      <c r="J2946" t="s">
        <v>11085</v>
      </c>
      <c r="K2946" t="s">
        <v>358</v>
      </c>
      <c r="L2946" t="s">
        <v>27</v>
      </c>
      <c r="M2946" t="s">
        <v>28</v>
      </c>
      <c r="N2946" t="s">
        <v>11082</v>
      </c>
      <c r="O2946" t="s">
        <v>27</v>
      </c>
      <c r="P2946" t="s">
        <v>30</v>
      </c>
      <c r="Q2946" t="s">
        <v>31</v>
      </c>
      <c r="R2946" t="s">
        <v>32</v>
      </c>
      <c r="S2946" t="s">
        <v>28</v>
      </c>
      <c r="T2946" t="s">
        <v>11086</v>
      </c>
      <c r="U2946" t="s">
        <v>11082</v>
      </c>
    </row>
    <row r="2947" spans="1:21" x14ac:dyDescent="0.25">
      <c r="A2947" t="s">
        <v>1513</v>
      </c>
      <c r="B2947" t="s">
        <v>1514</v>
      </c>
      <c r="C2947">
        <v>330</v>
      </c>
      <c r="D2947">
        <v>1</v>
      </c>
      <c r="E2947">
        <v>0</v>
      </c>
      <c r="F2947" t="s">
        <v>11087</v>
      </c>
      <c r="G2947">
        <v>660</v>
      </c>
      <c r="H2947">
        <v>0</v>
      </c>
      <c r="I2947" t="s">
        <v>24</v>
      </c>
      <c r="J2947" t="s">
        <v>11088</v>
      </c>
      <c r="K2947" t="s">
        <v>237</v>
      </c>
      <c r="L2947" t="s">
        <v>27</v>
      </c>
      <c r="M2947" t="s">
        <v>28</v>
      </c>
      <c r="N2947" t="s">
        <v>11089</v>
      </c>
      <c r="O2947" t="s">
        <v>27</v>
      </c>
      <c r="P2947" t="s">
        <v>39</v>
      </c>
      <c r="Q2947" t="s">
        <v>31</v>
      </c>
      <c r="R2947" t="s">
        <v>32</v>
      </c>
      <c r="S2947" t="s">
        <v>28</v>
      </c>
      <c r="T2947" t="s">
        <v>11090</v>
      </c>
      <c r="U2947" t="s">
        <v>11091</v>
      </c>
    </row>
    <row r="2948" spans="1:21" x14ac:dyDescent="0.25">
      <c r="A2948" t="s">
        <v>70</v>
      </c>
      <c r="B2948" t="s">
        <v>70</v>
      </c>
      <c r="C2948">
        <v>330</v>
      </c>
      <c r="D2948">
        <v>1</v>
      </c>
      <c r="E2948">
        <v>0</v>
      </c>
      <c r="F2948" t="s">
        <v>11087</v>
      </c>
      <c r="G2948">
        <v>660</v>
      </c>
      <c r="H2948">
        <v>0</v>
      </c>
      <c r="I2948" t="s">
        <v>24</v>
      </c>
      <c r="J2948" t="s">
        <v>11088</v>
      </c>
      <c r="K2948" t="s">
        <v>237</v>
      </c>
      <c r="L2948" t="s">
        <v>27</v>
      </c>
      <c r="M2948" t="s">
        <v>28</v>
      </c>
      <c r="N2948" t="s">
        <v>11089</v>
      </c>
      <c r="O2948" t="s">
        <v>27</v>
      </c>
      <c r="P2948" t="s">
        <v>39</v>
      </c>
      <c r="Q2948" t="s">
        <v>31</v>
      </c>
      <c r="R2948" t="s">
        <v>32</v>
      </c>
      <c r="S2948" t="s">
        <v>28</v>
      </c>
      <c r="T2948" t="s">
        <v>11090</v>
      </c>
      <c r="U2948" t="s">
        <v>11091</v>
      </c>
    </row>
    <row r="2949" spans="1:21" x14ac:dyDescent="0.25">
      <c r="A2949" t="s">
        <v>63</v>
      </c>
      <c r="B2949" t="s">
        <v>64</v>
      </c>
      <c r="C2949">
        <v>100</v>
      </c>
      <c r="D2949">
        <v>4</v>
      </c>
      <c r="E2949">
        <v>0</v>
      </c>
      <c r="F2949" t="s">
        <v>11092</v>
      </c>
      <c r="G2949">
        <v>400</v>
      </c>
      <c r="H2949">
        <v>0</v>
      </c>
      <c r="I2949" t="s">
        <v>445</v>
      </c>
      <c r="J2949" t="s">
        <v>11093</v>
      </c>
      <c r="K2949" t="s">
        <v>1190</v>
      </c>
      <c r="L2949" t="s">
        <v>27</v>
      </c>
      <c r="M2949" t="s">
        <v>28</v>
      </c>
      <c r="N2949" t="s">
        <v>11089</v>
      </c>
      <c r="O2949" t="s">
        <v>27</v>
      </c>
      <c r="P2949" t="s">
        <v>56</v>
      </c>
      <c r="Q2949" t="s">
        <v>31</v>
      </c>
      <c r="R2949" t="s">
        <v>57</v>
      </c>
      <c r="S2949" t="s">
        <v>28</v>
      </c>
      <c r="T2949" t="s">
        <v>11094</v>
      </c>
      <c r="U2949" t="s">
        <v>11089</v>
      </c>
    </row>
    <row r="2950" spans="1:21" x14ac:dyDescent="0.25">
      <c r="A2950" t="s">
        <v>33</v>
      </c>
      <c r="B2950" t="s">
        <v>34</v>
      </c>
      <c r="C2950">
        <v>200</v>
      </c>
      <c r="D2950">
        <v>1</v>
      </c>
      <c r="E2950">
        <v>0</v>
      </c>
      <c r="F2950" t="s">
        <v>11095</v>
      </c>
      <c r="G2950">
        <v>200</v>
      </c>
      <c r="H2950">
        <v>0</v>
      </c>
      <c r="I2950" t="s">
        <v>24</v>
      </c>
      <c r="J2950" t="s">
        <v>11096</v>
      </c>
      <c r="K2950" t="s">
        <v>250</v>
      </c>
      <c r="L2950" t="s">
        <v>27</v>
      </c>
      <c r="M2950" t="s">
        <v>28</v>
      </c>
      <c r="N2950" t="s">
        <v>11089</v>
      </c>
      <c r="O2950" t="s">
        <v>27</v>
      </c>
      <c r="P2950" t="s">
        <v>39</v>
      </c>
      <c r="Q2950" t="s">
        <v>31</v>
      </c>
      <c r="R2950" t="s">
        <v>32</v>
      </c>
      <c r="S2950" t="s">
        <v>28</v>
      </c>
      <c r="T2950" t="s">
        <v>11097</v>
      </c>
      <c r="U2950" t="s">
        <v>11089</v>
      </c>
    </row>
    <row r="2951" spans="1:21" x14ac:dyDescent="0.25">
      <c r="A2951" t="s">
        <v>63</v>
      </c>
      <c r="B2951" t="s">
        <v>64</v>
      </c>
      <c r="C2951">
        <v>100</v>
      </c>
      <c r="D2951">
        <v>1</v>
      </c>
      <c r="E2951">
        <v>0</v>
      </c>
      <c r="F2951" t="s">
        <v>11098</v>
      </c>
      <c r="G2951">
        <v>106</v>
      </c>
      <c r="H2951">
        <v>6</v>
      </c>
      <c r="I2951" t="s">
        <v>140</v>
      </c>
      <c r="J2951" t="s">
        <v>11099</v>
      </c>
      <c r="K2951" t="s">
        <v>209</v>
      </c>
      <c r="L2951" t="s">
        <v>27</v>
      </c>
      <c r="M2951" t="s">
        <v>28</v>
      </c>
      <c r="N2951" t="s">
        <v>11089</v>
      </c>
      <c r="O2951" t="s">
        <v>27</v>
      </c>
      <c r="P2951" t="s">
        <v>369</v>
      </c>
      <c r="Q2951" t="s">
        <v>31</v>
      </c>
      <c r="R2951" t="s">
        <v>57</v>
      </c>
      <c r="S2951" t="s">
        <v>28</v>
      </c>
      <c r="T2951" t="s">
        <v>11100</v>
      </c>
      <c r="U2951" t="s">
        <v>11089</v>
      </c>
    </row>
    <row r="2952" spans="1:21" x14ac:dyDescent="0.25">
      <c r="A2952" t="s">
        <v>21</v>
      </c>
      <c r="B2952" t="s">
        <v>22</v>
      </c>
      <c r="C2952">
        <v>100</v>
      </c>
      <c r="D2952">
        <v>1</v>
      </c>
      <c r="E2952">
        <v>0</v>
      </c>
      <c r="F2952" t="s">
        <v>11101</v>
      </c>
      <c r="G2952">
        <v>100</v>
      </c>
      <c r="H2952">
        <v>0</v>
      </c>
      <c r="I2952" t="s">
        <v>445</v>
      </c>
      <c r="J2952" t="s">
        <v>11102</v>
      </c>
      <c r="K2952" t="s">
        <v>213</v>
      </c>
      <c r="L2952" t="s">
        <v>27</v>
      </c>
      <c r="M2952" t="s">
        <v>28</v>
      </c>
      <c r="N2952" t="s">
        <v>11103</v>
      </c>
      <c r="O2952" t="s">
        <v>27</v>
      </c>
      <c r="P2952" t="s">
        <v>39</v>
      </c>
      <c r="Q2952" t="s">
        <v>31</v>
      </c>
      <c r="R2952" t="s">
        <v>32</v>
      </c>
      <c r="S2952" t="s">
        <v>28</v>
      </c>
      <c r="T2952" t="s">
        <v>11104</v>
      </c>
      <c r="U2952" t="s">
        <v>11089</v>
      </c>
    </row>
    <row r="2953" spans="1:21" x14ac:dyDescent="0.25">
      <c r="A2953" t="s">
        <v>21</v>
      </c>
      <c r="B2953" t="s">
        <v>22</v>
      </c>
      <c r="C2953">
        <v>100</v>
      </c>
      <c r="D2953">
        <v>2</v>
      </c>
      <c r="E2953">
        <v>0</v>
      </c>
      <c r="F2953" t="s">
        <v>11105</v>
      </c>
      <c r="G2953">
        <v>200</v>
      </c>
      <c r="H2953">
        <v>0</v>
      </c>
      <c r="I2953" t="s">
        <v>140</v>
      </c>
      <c r="J2953" t="s">
        <v>847</v>
      </c>
      <c r="K2953" t="s">
        <v>124</v>
      </c>
      <c r="L2953" t="s">
        <v>27</v>
      </c>
      <c r="M2953" t="s">
        <v>28</v>
      </c>
      <c r="N2953" t="s">
        <v>11103</v>
      </c>
      <c r="O2953" t="s">
        <v>27</v>
      </c>
      <c r="P2953" t="s">
        <v>30</v>
      </c>
      <c r="Q2953" t="s">
        <v>31</v>
      </c>
      <c r="R2953" t="s">
        <v>32</v>
      </c>
      <c r="S2953" t="s">
        <v>28</v>
      </c>
      <c r="T2953" t="s">
        <v>11106</v>
      </c>
      <c r="U2953" t="s">
        <v>11103</v>
      </c>
    </row>
    <row r="2954" spans="1:21" x14ac:dyDescent="0.25">
      <c r="A2954" t="s">
        <v>63</v>
      </c>
      <c r="B2954" t="s">
        <v>64</v>
      </c>
      <c r="C2954">
        <v>100</v>
      </c>
      <c r="D2954">
        <v>2</v>
      </c>
      <c r="E2954">
        <v>0</v>
      </c>
      <c r="F2954" t="s">
        <v>11107</v>
      </c>
      <c r="G2954">
        <v>200</v>
      </c>
      <c r="H2954">
        <v>0</v>
      </c>
      <c r="I2954" t="s">
        <v>140</v>
      </c>
      <c r="J2954" t="s">
        <v>847</v>
      </c>
      <c r="K2954" t="s">
        <v>124</v>
      </c>
      <c r="L2954" t="s">
        <v>27</v>
      </c>
      <c r="M2954" t="s">
        <v>28</v>
      </c>
      <c r="N2954" t="s">
        <v>11108</v>
      </c>
      <c r="O2954" t="s">
        <v>27</v>
      </c>
      <c r="P2954" t="s">
        <v>30</v>
      </c>
      <c r="Q2954" t="s">
        <v>31</v>
      </c>
      <c r="R2954" t="s">
        <v>32</v>
      </c>
      <c r="S2954" t="s">
        <v>28</v>
      </c>
      <c r="T2954" t="s">
        <v>11109</v>
      </c>
      <c r="U2954" t="s">
        <v>11108</v>
      </c>
    </row>
    <row r="2955" spans="1:21" x14ac:dyDescent="0.25">
      <c r="A2955" t="s">
        <v>33</v>
      </c>
      <c r="B2955" t="s">
        <v>34</v>
      </c>
      <c r="C2955">
        <v>200</v>
      </c>
      <c r="D2955">
        <v>1</v>
      </c>
      <c r="E2955">
        <v>0</v>
      </c>
      <c r="F2955" t="s">
        <v>11110</v>
      </c>
      <c r="G2955">
        <v>200</v>
      </c>
      <c r="H2955">
        <v>0</v>
      </c>
      <c r="I2955" t="s">
        <v>24</v>
      </c>
      <c r="J2955" t="s">
        <v>11111</v>
      </c>
      <c r="K2955" t="s">
        <v>1198</v>
      </c>
      <c r="L2955" t="s">
        <v>27</v>
      </c>
      <c r="M2955" t="s">
        <v>28</v>
      </c>
      <c r="N2955" t="s">
        <v>11108</v>
      </c>
      <c r="O2955" t="s">
        <v>27</v>
      </c>
      <c r="P2955" t="s">
        <v>39</v>
      </c>
      <c r="Q2955" t="s">
        <v>31</v>
      </c>
      <c r="R2955" t="s">
        <v>32</v>
      </c>
      <c r="S2955" t="s">
        <v>28</v>
      </c>
      <c r="T2955" t="s">
        <v>11112</v>
      </c>
      <c r="U2955" t="s">
        <v>11108</v>
      </c>
    </row>
    <row r="2956" spans="1:21" x14ac:dyDescent="0.25">
      <c r="A2956" t="s">
        <v>21</v>
      </c>
      <c r="B2956" t="s">
        <v>22</v>
      </c>
      <c r="C2956">
        <v>100</v>
      </c>
      <c r="D2956">
        <v>1</v>
      </c>
      <c r="E2956">
        <v>0</v>
      </c>
      <c r="F2956" t="s">
        <v>11113</v>
      </c>
      <c r="G2956">
        <v>106</v>
      </c>
      <c r="H2956">
        <v>6</v>
      </c>
      <c r="I2956" t="s">
        <v>140</v>
      </c>
      <c r="J2956" t="s">
        <v>11114</v>
      </c>
      <c r="K2956" t="s">
        <v>237</v>
      </c>
      <c r="L2956" t="s">
        <v>27</v>
      </c>
      <c r="M2956" t="s">
        <v>28</v>
      </c>
      <c r="N2956" t="s">
        <v>11115</v>
      </c>
      <c r="O2956" t="s">
        <v>27</v>
      </c>
      <c r="P2956" t="s">
        <v>30</v>
      </c>
      <c r="Q2956" t="s">
        <v>31</v>
      </c>
      <c r="R2956" t="s">
        <v>32</v>
      </c>
      <c r="S2956" t="s">
        <v>28</v>
      </c>
      <c r="T2956" t="s">
        <v>11116</v>
      </c>
      <c r="U2956" t="s">
        <v>11108</v>
      </c>
    </row>
    <row r="2957" spans="1:21" x14ac:dyDescent="0.25">
      <c r="A2957" t="s">
        <v>21</v>
      </c>
      <c r="B2957" t="s">
        <v>22</v>
      </c>
      <c r="C2957">
        <v>100</v>
      </c>
      <c r="D2957">
        <v>1</v>
      </c>
      <c r="E2957">
        <v>0</v>
      </c>
      <c r="F2957" t="s">
        <v>11117</v>
      </c>
      <c r="G2957">
        <v>106</v>
      </c>
      <c r="H2957">
        <v>6</v>
      </c>
      <c r="I2957" t="s">
        <v>24</v>
      </c>
      <c r="J2957" t="s">
        <v>11118</v>
      </c>
      <c r="K2957" t="s">
        <v>5378</v>
      </c>
      <c r="L2957" t="s">
        <v>27</v>
      </c>
      <c r="M2957" t="s">
        <v>28</v>
      </c>
      <c r="N2957" t="s">
        <v>11119</v>
      </c>
      <c r="O2957" t="s">
        <v>27</v>
      </c>
      <c r="P2957" t="s">
        <v>39</v>
      </c>
      <c r="Q2957" t="s">
        <v>31</v>
      </c>
      <c r="R2957" t="s">
        <v>32</v>
      </c>
      <c r="S2957" t="s">
        <v>28</v>
      </c>
      <c r="T2957" t="s">
        <v>11120</v>
      </c>
      <c r="U2957" t="s">
        <v>11119</v>
      </c>
    </row>
    <row r="2958" spans="1:21" x14ac:dyDescent="0.25">
      <c r="A2958" t="s">
        <v>70</v>
      </c>
      <c r="B2958" t="s">
        <v>70</v>
      </c>
      <c r="C2958">
        <v>330</v>
      </c>
      <c r="D2958">
        <v>1</v>
      </c>
      <c r="E2958">
        <v>0</v>
      </c>
      <c r="F2958" t="s">
        <v>11121</v>
      </c>
      <c r="G2958">
        <v>330</v>
      </c>
      <c r="H2958">
        <v>0</v>
      </c>
      <c r="I2958" t="s">
        <v>24</v>
      </c>
      <c r="J2958" t="s">
        <v>11122</v>
      </c>
      <c r="K2958" t="s">
        <v>451</v>
      </c>
      <c r="L2958" t="s">
        <v>27</v>
      </c>
      <c r="M2958" t="s">
        <v>28</v>
      </c>
      <c r="N2958" t="s">
        <v>11119</v>
      </c>
      <c r="O2958" t="s">
        <v>27</v>
      </c>
      <c r="P2958" t="s">
        <v>39</v>
      </c>
      <c r="Q2958" t="s">
        <v>31</v>
      </c>
      <c r="R2958" t="s">
        <v>32</v>
      </c>
      <c r="S2958" t="s">
        <v>28</v>
      </c>
      <c r="T2958" t="s">
        <v>11123</v>
      </c>
      <c r="U2958" t="s">
        <v>11119</v>
      </c>
    </row>
    <row r="2959" spans="1:21" x14ac:dyDescent="0.25">
      <c r="A2959" t="s">
        <v>33</v>
      </c>
      <c r="B2959" t="s">
        <v>34</v>
      </c>
      <c r="C2959">
        <v>200</v>
      </c>
      <c r="D2959">
        <v>1</v>
      </c>
      <c r="E2959">
        <v>0</v>
      </c>
      <c r="F2959" t="s">
        <v>11124</v>
      </c>
      <c r="G2959">
        <v>200</v>
      </c>
      <c r="H2959">
        <v>0</v>
      </c>
      <c r="I2959" t="s">
        <v>445</v>
      </c>
      <c r="J2959" t="s">
        <v>11125</v>
      </c>
      <c r="K2959" t="s">
        <v>372</v>
      </c>
      <c r="L2959" t="s">
        <v>27</v>
      </c>
      <c r="M2959" t="s">
        <v>28</v>
      </c>
      <c r="N2959" t="s">
        <v>11126</v>
      </c>
      <c r="O2959" t="s">
        <v>27</v>
      </c>
      <c r="P2959" t="s">
        <v>56</v>
      </c>
      <c r="Q2959" t="s">
        <v>31</v>
      </c>
      <c r="R2959" t="s">
        <v>57</v>
      </c>
      <c r="S2959" t="s">
        <v>28</v>
      </c>
      <c r="T2959" t="s">
        <v>11127</v>
      </c>
      <c r="U2959" t="s">
        <v>11126</v>
      </c>
    </row>
    <row r="2960" spans="1:21" x14ac:dyDescent="0.25">
      <c r="A2960" t="s">
        <v>58</v>
      </c>
      <c r="B2960" t="s">
        <v>58</v>
      </c>
      <c r="C2960">
        <v>100</v>
      </c>
      <c r="D2960">
        <v>2</v>
      </c>
      <c r="E2960">
        <v>0</v>
      </c>
      <c r="F2960" t="s">
        <v>11128</v>
      </c>
      <c r="G2960">
        <v>200</v>
      </c>
      <c r="H2960">
        <v>0</v>
      </c>
      <c r="I2960" t="s">
        <v>140</v>
      </c>
      <c r="J2960" t="s">
        <v>11129</v>
      </c>
      <c r="K2960" t="s">
        <v>124</v>
      </c>
      <c r="L2960" t="s">
        <v>27</v>
      </c>
      <c r="M2960" t="s">
        <v>28</v>
      </c>
      <c r="N2960" t="s">
        <v>11126</v>
      </c>
      <c r="O2960" t="s">
        <v>27</v>
      </c>
      <c r="P2960" t="s">
        <v>30</v>
      </c>
      <c r="Q2960" t="s">
        <v>31</v>
      </c>
      <c r="R2960" t="s">
        <v>32</v>
      </c>
      <c r="S2960" t="s">
        <v>28</v>
      </c>
      <c r="T2960" t="s">
        <v>11130</v>
      </c>
      <c r="U2960" t="s">
        <v>11126</v>
      </c>
    </row>
    <row r="2961" spans="1:21" x14ac:dyDescent="0.25">
      <c r="A2961" t="s">
        <v>21</v>
      </c>
      <c r="B2961" t="s">
        <v>22</v>
      </c>
      <c r="C2961">
        <v>100</v>
      </c>
      <c r="D2961">
        <v>1</v>
      </c>
      <c r="E2961">
        <v>0</v>
      </c>
      <c r="F2961" t="s">
        <v>11131</v>
      </c>
      <c r="G2961">
        <v>100</v>
      </c>
      <c r="H2961">
        <v>0</v>
      </c>
      <c r="I2961" t="s">
        <v>24</v>
      </c>
      <c r="J2961" t="s">
        <v>11132</v>
      </c>
      <c r="K2961" t="s">
        <v>372</v>
      </c>
      <c r="L2961" t="s">
        <v>27</v>
      </c>
      <c r="M2961" t="s">
        <v>28</v>
      </c>
      <c r="N2961" t="s">
        <v>11133</v>
      </c>
      <c r="O2961" t="s">
        <v>27</v>
      </c>
      <c r="P2961" t="s">
        <v>39</v>
      </c>
      <c r="Q2961" t="s">
        <v>31</v>
      </c>
      <c r="R2961" t="s">
        <v>32</v>
      </c>
      <c r="S2961" t="s">
        <v>28</v>
      </c>
      <c r="T2961" t="s">
        <v>11134</v>
      </c>
      <c r="U2961" t="s">
        <v>11133</v>
      </c>
    </row>
    <row r="2962" spans="1:21" x14ac:dyDescent="0.25">
      <c r="A2962" t="s">
        <v>456</v>
      </c>
      <c r="B2962" t="s">
        <v>457</v>
      </c>
      <c r="C2962">
        <v>199</v>
      </c>
      <c r="D2962">
        <v>2</v>
      </c>
      <c r="E2962">
        <v>0</v>
      </c>
      <c r="F2962" t="s">
        <v>11135</v>
      </c>
      <c r="G2962">
        <v>398</v>
      </c>
      <c r="H2962">
        <v>0</v>
      </c>
      <c r="I2962" t="s">
        <v>24</v>
      </c>
      <c r="J2962" t="s">
        <v>11136</v>
      </c>
      <c r="K2962" t="s">
        <v>11137</v>
      </c>
      <c r="L2962" t="s">
        <v>3447</v>
      </c>
      <c r="M2962" t="s">
        <v>3833</v>
      </c>
      <c r="N2962" t="s">
        <v>11043</v>
      </c>
      <c r="O2962" t="s">
        <v>27</v>
      </c>
      <c r="P2962" t="s">
        <v>193</v>
      </c>
      <c r="Q2962" t="s">
        <v>85</v>
      </c>
      <c r="R2962" t="s">
        <v>86</v>
      </c>
      <c r="S2962" t="s">
        <v>28</v>
      </c>
      <c r="T2962" t="s">
        <v>11138</v>
      </c>
      <c r="U2962" t="s">
        <v>11133</v>
      </c>
    </row>
    <row r="2963" spans="1:21" x14ac:dyDescent="0.25">
      <c r="A2963" t="s">
        <v>21</v>
      </c>
      <c r="B2963" t="s">
        <v>22</v>
      </c>
      <c r="C2963">
        <v>100</v>
      </c>
      <c r="D2963">
        <v>1</v>
      </c>
      <c r="E2963">
        <v>0</v>
      </c>
      <c r="F2963" t="s">
        <v>11139</v>
      </c>
      <c r="G2963">
        <v>100</v>
      </c>
      <c r="H2963">
        <v>0</v>
      </c>
      <c r="I2963" t="s">
        <v>24</v>
      </c>
      <c r="J2963" t="s">
        <v>11140</v>
      </c>
      <c r="K2963" t="s">
        <v>299</v>
      </c>
      <c r="L2963" t="s">
        <v>27</v>
      </c>
      <c r="M2963" t="s">
        <v>28</v>
      </c>
      <c r="N2963" t="s">
        <v>11141</v>
      </c>
      <c r="O2963" t="s">
        <v>27</v>
      </c>
      <c r="P2963" t="s">
        <v>39</v>
      </c>
      <c r="Q2963" t="s">
        <v>31</v>
      </c>
      <c r="R2963" t="s">
        <v>32</v>
      </c>
      <c r="S2963" t="s">
        <v>28</v>
      </c>
      <c r="T2963" t="s">
        <v>11142</v>
      </c>
      <c r="U2963" t="s">
        <v>11143</v>
      </c>
    </row>
    <row r="2964" spans="1:21" x14ac:dyDescent="0.25">
      <c r="A2964" t="s">
        <v>143</v>
      </c>
      <c r="B2964" t="s">
        <v>144</v>
      </c>
      <c r="C2964">
        <v>200</v>
      </c>
      <c r="D2964">
        <v>1</v>
      </c>
      <c r="E2964">
        <v>0</v>
      </c>
      <c r="F2964" t="s">
        <v>11144</v>
      </c>
      <c r="G2964">
        <v>200</v>
      </c>
      <c r="H2964">
        <v>0</v>
      </c>
      <c r="I2964" t="s">
        <v>24</v>
      </c>
      <c r="J2964" t="s">
        <v>1861</v>
      </c>
      <c r="K2964" t="s">
        <v>325</v>
      </c>
      <c r="L2964" t="s">
        <v>27</v>
      </c>
      <c r="M2964" t="s">
        <v>28</v>
      </c>
      <c r="N2964" t="s">
        <v>11141</v>
      </c>
      <c r="O2964" t="s">
        <v>27</v>
      </c>
      <c r="P2964" t="s">
        <v>39</v>
      </c>
      <c r="Q2964" t="s">
        <v>31</v>
      </c>
      <c r="R2964" t="s">
        <v>32</v>
      </c>
      <c r="S2964" t="s">
        <v>28</v>
      </c>
      <c r="T2964" t="s">
        <v>11145</v>
      </c>
      <c r="U2964" t="s">
        <v>11141</v>
      </c>
    </row>
    <row r="2965" spans="1:21" x14ac:dyDescent="0.25">
      <c r="A2965" t="s">
        <v>94</v>
      </c>
      <c r="B2965" t="s">
        <v>95</v>
      </c>
      <c r="C2965">
        <v>64.400000000000006</v>
      </c>
      <c r="D2965">
        <v>1</v>
      </c>
      <c r="E2965">
        <v>0</v>
      </c>
      <c r="F2965" t="s">
        <v>11146</v>
      </c>
      <c r="G2965">
        <v>69.400000000000006</v>
      </c>
      <c r="H2965">
        <v>5</v>
      </c>
      <c r="I2965" t="s">
        <v>24</v>
      </c>
      <c r="J2965" t="s">
        <v>11147</v>
      </c>
      <c r="K2965" t="s">
        <v>11148</v>
      </c>
      <c r="L2965" t="s">
        <v>3316</v>
      </c>
      <c r="M2965" t="s">
        <v>11149</v>
      </c>
      <c r="N2965" t="s">
        <v>11141</v>
      </c>
      <c r="O2965" t="s">
        <v>27</v>
      </c>
      <c r="P2965" t="s">
        <v>48</v>
      </c>
      <c r="Q2965" t="s">
        <v>49</v>
      </c>
      <c r="R2965" t="s">
        <v>50</v>
      </c>
      <c r="S2965" t="s">
        <v>28</v>
      </c>
      <c r="T2965" t="s">
        <v>11150</v>
      </c>
      <c r="U2965" t="s">
        <v>11141</v>
      </c>
    </row>
    <row r="2966" spans="1:21" x14ac:dyDescent="0.25">
      <c r="A2966" t="s">
        <v>143</v>
      </c>
      <c r="B2966" t="s">
        <v>144</v>
      </c>
      <c r="C2966">
        <v>200</v>
      </c>
      <c r="D2966">
        <v>1</v>
      </c>
      <c r="E2966">
        <v>0</v>
      </c>
      <c r="F2966" t="s">
        <v>11151</v>
      </c>
      <c r="G2966">
        <v>200</v>
      </c>
      <c r="H2966">
        <v>0</v>
      </c>
      <c r="I2966" t="s">
        <v>445</v>
      </c>
      <c r="J2966" t="s">
        <v>11152</v>
      </c>
      <c r="K2966" t="s">
        <v>37</v>
      </c>
      <c r="L2966" t="s">
        <v>27</v>
      </c>
      <c r="M2966" t="s">
        <v>28</v>
      </c>
      <c r="N2966" t="s">
        <v>11153</v>
      </c>
      <c r="O2966" t="s">
        <v>27</v>
      </c>
      <c r="P2966" t="s">
        <v>39</v>
      </c>
      <c r="Q2966" t="s">
        <v>31</v>
      </c>
      <c r="R2966" t="s">
        <v>32</v>
      </c>
      <c r="S2966" t="s">
        <v>28</v>
      </c>
      <c r="T2966" t="s">
        <v>11154</v>
      </c>
      <c r="U2966" t="s">
        <v>11155</v>
      </c>
    </row>
    <row r="2967" spans="1:21" x14ac:dyDescent="0.25">
      <c r="A2967" t="s">
        <v>21</v>
      </c>
      <c r="B2967" t="s">
        <v>22</v>
      </c>
      <c r="C2967">
        <v>100</v>
      </c>
      <c r="D2967">
        <v>2</v>
      </c>
      <c r="E2967">
        <v>0</v>
      </c>
      <c r="F2967" t="s">
        <v>11156</v>
      </c>
      <c r="G2967">
        <v>200</v>
      </c>
      <c r="H2967">
        <v>0</v>
      </c>
      <c r="I2967" t="s">
        <v>24</v>
      </c>
      <c r="J2967" t="s">
        <v>11157</v>
      </c>
      <c r="K2967" t="s">
        <v>358</v>
      </c>
      <c r="L2967" t="s">
        <v>27</v>
      </c>
      <c r="M2967" t="s">
        <v>28</v>
      </c>
      <c r="N2967" t="s">
        <v>11158</v>
      </c>
      <c r="O2967" t="s">
        <v>27</v>
      </c>
      <c r="P2967" t="s">
        <v>39</v>
      </c>
      <c r="Q2967" t="s">
        <v>31</v>
      </c>
      <c r="R2967" t="s">
        <v>32</v>
      </c>
      <c r="S2967" t="s">
        <v>28</v>
      </c>
      <c r="T2967" t="s">
        <v>11159</v>
      </c>
      <c r="U2967" t="s">
        <v>11160</v>
      </c>
    </row>
    <row r="2968" spans="1:21" x14ac:dyDescent="0.25">
      <c r="A2968" t="s">
        <v>143</v>
      </c>
      <c r="B2968" t="s">
        <v>144</v>
      </c>
      <c r="C2968">
        <v>200</v>
      </c>
      <c r="D2968">
        <v>1</v>
      </c>
      <c r="E2968">
        <v>0</v>
      </c>
      <c r="F2968" t="s">
        <v>11161</v>
      </c>
      <c r="G2968">
        <v>200</v>
      </c>
      <c r="H2968">
        <v>0</v>
      </c>
      <c r="I2968" t="s">
        <v>445</v>
      </c>
      <c r="J2968" t="s">
        <v>11162</v>
      </c>
      <c r="K2968" t="s">
        <v>5378</v>
      </c>
      <c r="L2968" t="s">
        <v>27</v>
      </c>
      <c r="M2968" t="s">
        <v>28</v>
      </c>
      <c r="N2968" t="s">
        <v>11158</v>
      </c>
      <c r="O2968" t="s">
        <v>27</v>
      </c>
      <c r="P2968" t="s">
        <v>39</v>
      </c>
      <c r="Q2968" t="s">
        <v>31</v>
      </c>
      <c r="R2968" t="s">
        <v>32</v>
      </c>
      <c r="S2968" t="s">
        <v>28</v>
      </c>
      <c r="T2968" t="s">
        <v>11163</v>
      </c>
      <c r="U2968" t="s">
        <v>11160</v>
      </c>
    </row>
    <row r="2969" spans="1:21" x14ac:dyDescent="0.25">
      <c r="A2969" t="s">
        <v>21</v>
      </c>
      <c r="B2969" t="s">
        <v>22</v>
      </c>
      <c r="C2969">
        <v>100</v>
      </c>
      <c r="D2969">
        <v>1</v>
      </c>
      <c r="E2969">
        <v>0</v>
      </c>
      <c r="F2969" t="s">
        <v>11164</v>
      </c>
      <c r="G2969">
        <v>100</v>
      </c>
      <c r="H2969">
        <v>0</v>
      </c>
      <c r="I2969" t="s">
        <v>24</v>
      </c>
      <c r="J2969" t="s">
        <v>11165</v>
      </c>
      <c r="K2969" t="s">
        <v>299</v>
      </c>
      <c r="L2969" t="s">
        <v>27</v>
      </c>
      <c r="M2969" t="s">
        <v>28</v>
      </c>
      <c r="N2969" t="s">
        <v>11158</v>
      </c>
      <c r="O2969" t="s">
        <v>27</v>
      </c>
      <c r="P2969" t="s">
        <v>39</v>
      </c>
      <c r="Q2969" t="s">
        <v>31</v>
      </c>
      <c r="R2969" t="s">
        <v>32</v>
      </c>
      <c r="S2969" t="s">
        <v>28</v>
      </c>
      <c r="T2969" t="s">
        <v>11166</v>
      </c>
      <c r="U2969" t="s">
        <v>11167</v>
      </c>
    </row>
    <row r="2970" spans="1:21" x14ac:dyDescent="0.25">
      <c r="A2970" t="s">
        <v>58</v>
      </c>
      <c r="B2970" t="s">
        <v>58</v>
      </c>
      <c r="C2970">
        <v>100</v>
      </c>
      <c r="D2970">
        <v>1</v>
      </c>
      <c r="E2970">
        <v>0</v>
      </c>
      <c r="F2970" t="s">
        <v>11168</v>
      </c>
      <c r="G2970">
        <v>100</v>
      </c>
      <c r="H2970">
        <v>0</v>
      </c>
      <c r="I2970" t="s">
        <v>445</v>
      </c>
      <c r="J2970" t="s">
        <v>7886</v>
      </c>
      <c r="K2970" t="s">
        <v>11169</v>
      </c>
      <c r="L2970" t="s">
        <v>1076</v>
      </c>
      <c r="M2970" t="s">
        <v>3687</v>
      </c>
      <c r="N2970" t="s">
        <v>11158</v>
      </c>
      <c r="O2970" t="s">
        <v>27</v>
      </c>
      <c r="P2970" t="s">
        <v>193</v>
      </c>
      <c r="Q2970" t="s">
        <v>85</v>
      </c>
      <c r="R2970" t="s">
        <v>86</v>
      </c>
      <c r="S2970" t="s">
        <v>28</v>
      </c>
      <c r="T2970" t="s">
        <v>11170</v>
      </c>
      <c r="U2970" t="s">
        <v>11158</v>
      </c>
    </row>
    <row r="2971" spans="1:21" x14ac:dyDescent="0.25">
      <c r="A2971" t="s">
        <v>70</v>
      </c>
      <c r="B2971" t="s">
        <v>70</v>
      </c>
      <c r="C2971">
        <v>350</v>
      </c>
      <c r="D2971">
        <v>1</v>
      </c>
      <c r="E2971">
        <v>0</v>
      </c>
      <c r="F2971" t="s">
        <v>11171</v>
      </c>
      <c r="G2971">
        <v>350</v>
      </c>
      <c r="H2971">
        <v>0</v>
      </c>
      <c r="I2971" t="s">
        <v>140</v>
      </c>
      <c r="J2971" t="s">
        <v>11172</v>
      </c>
      <c r="K2971" t="s">
        <v>677</v>
      </c>
      <c r="L2971" t="s">
        <v>27</v>
      </c>
      <c r="M2971" t="s">
        <v>28</v>
      </c>
      <c r="N2971" t="s">
        <v>11173</v>
      </c>
      <c r="O2971" t="s">
        <v>27</v>
      </c>
      <c r="P2971" t="s">
        <v>30</v>
      </c>
      <c r="Q2971" t="s">
        <v>31</v>
      </c>
      <c r="R2971" t="s">
        <v>32</v>
      </c>
      <c r="S2971" t="s">
        <v>28</v>
      </c>
      <c r="T2971" t="s">
        <v>11174</v>
      </c>
      <c r="U2971" t="s">
        <v>11175</v>
      </c>
    </row>
    <row r="2972" spans="1:21" x14ac:dyDescent="0.25">
      <c r="A2972" t="s">
        <v>21</v>
      </c>
      <c r="B2972" t="s">
        <v>22</v>
      </c>
      <c r="C2972">
        <v>100</v>
      </c>
      <c r="D2972">
        <v>1</v>
      </c>
      <c r="E2972">
        <v>0</v>
      </c>
      <c r="F2972" t="s">
        <v>11176</v>
      </c>
      <c r="G2972">
        <v>106</v>
      </c>
      <c r="H2972">
        <v>6</v>
      </c>
      <c r="I2972" t="s">
        <v>140</v>
      </c>
      <c r="J2972" t="s">
        <v>11177</v>
      </c>
      <c r="K2972" t="s">
        <v>54</v>
      </c>
      <c r="L2972" t="s">
        <v>27</v>
      </c>
      <c r="M2972" t="s">
        <v>28</v>
      </c>
      <c r="N2972" t="s">
        <v>11178</v>
      </c>
      <c r="O2972" t="s">
        <v>27</v>
      </c>
      <c r="P2972" t="s">
        <v>30</v>
      </c>
      <c r="Q2972" t="s">
        <v>31</v>
      </c>
      <c r="R2972" t="s">
        <v>32</v>
      </c>
      <c r="S2972" t="s">
        <v>28</v>
      </c>
      <c r="T2972" t="s">
        <v>11179</v>
      </c>
      <c r="U2972" t="s">
        <v>11180</v>
      </c>
    </row>
    <row r="2973" spans="1:21" x14ac:dyDescent="0.25">
      <c r="A2973" t="s">
        <v>58</v>
      </c>
      <c r="B2973" t="s">
        <v>103</v>
      </c>
      <c r="C2973">
        <v>0</v>
      </c>
      <c r="D2973">
        <v>1</v>
      </c>
      <c r="E2973">
        <v>0</v>
      </c>
      <c r="F2973" t="s">
        <v>11181</v>
      </c>
      <c r="G2973">
        <v>5</v>
      </c>
      <c r="H2973">
        <v>5</v>
      </c>
      <c r="I2973" t="s">
        <v>105</v>
      </c>
      <c r="J2973" t="s">
        <v>11182</v>
      </c>
      <c r="K2973" t="s">
        <v>11183</v>
      </c>
      <c r="L2973" t="s">
        <v>1714</v>
      </c>
      <c r="M2973" t="s">
        <v>11184</v>
      </c>
      <c r="N2973" t="s">
        <v>11180</v>
      </c>
      <c r="O2973" t="s">
        <v>27</v>
      </c>
      <c r="P2973" t="s">
        <v>48</v>
      </c>
      <c r="Q2973" t="s">
        <v>49</v>
      </c>
      <c r="R2973" t="s">
        <v>50</v>
      </c>
      <c r="S2973" t="s">
        <v>28</v>
      </c>
      <c r="T2973" t="s">
        <v>11185</v>
      </c>
      <c r="U2973" t="s">
        <v>11180</v>
      </c>
    </row>
    <row r="2974" spans="1:21" x14ac:dyDescent="0.25">
      <c r="A2974" t="s">
        <v>456</v>
      </c>
      <c r="B2974" t="s">
        <v>457</v>
      </c>
      <c r="C2974">
        <v>199</v>
      </c>
      <c r="D2974">
        <v>1</v>
      </c>
      <c r="E2974">
        <v>0</v>
      </c>
      <c r="F2974" t="s">
        <v>11186</v>
      </c>
      <c r="G2974">
        <v>234</v>
      </c>
      <c r="H2974">
        <v>35</v>
      </c>
      <c r="I2974" t="s">
        <v>24</v>
      </c>
      <c r="J2974" t="s">
        <v>11187</v>
      </c>
      <c r="K2974" t="s">
        <v>11188</v>
      </c>
      <c r="L2974" t="s">
        <v>11189</v>
      </c>
      <c r="M2974" t="s">
        <v>886</v>
      </c>
      <c r="N2974" t="s">
        <v>11190</v>
      </c>
      <c r="O2974" t="s">
        <v>27</v>
      </c>
      <c r="P2974" t="s">
        <v>84</v>
      </c>
      <c r="Q2974" t="s">
        <v>85</v>
      </c>
      <c r="R2974" t="s">
        <v>86</v>
      </c>
      <c r="S2974" t="s">
        <v>28</v>
      </c>
      <c r="T2974" t="s">
        <v>11191</v>
      </c>
      <c r="U2974" t="s">
        <v>11192</v>
      </c>
    </row>
    <row r="2975" spans="1:21" x14ac:dyDescent="0.25">
      <c r="A2975" t="s">
        <v>63</v>
      </c>
      <c r="B2975" t="s">
        <v>64</v>
      </c>
      <c r="C2975">
        <v>100</v>
      </c>
      <c r="D2975">
        <v>1</v>
      </c>
      <c r="E2975">
        <v>0</v>
      </c>
      <c r="F2975" t="s">
        <v>11193</v>
      </c>
      <c r="G2975">
        <v>200</v>
      </c>
      <c r="H2975">
        <v>0</v>
      </c>
      <c r="I2975" t="s">
        <v>24</v>
      </c>
      <c r="J2975" t="s">
        <v>9796</v>
      </c>
      <c r="K2975" t="s">
        <v>118</v>
      </c>
      <c r="L2975" t="s">
        <v>27</v>
      </c>
      <c r="M2975" t="s">
        <v>28</v>
      </c>
      <c r="N2975" t="s">
        <v>11194</v>
      </c>
      <c r="O2975" t="s">
        <v>27</v>
      </c>
      <c r="P2975" t="s">
        <v>39</v>
      </c>
      <c r="Q2975" t="s">
        <v>31</v>
      </c>
      <c r="R2975" t="s">
        <v>32</v>
      </c>
      <c r="S2975" t="s">
        <v>28</v>
      </c>
      <c r="T2975" t="s">
        <v>11195</v>
      </c>
      <c r="U2975" t="s">
        <v>11192</v>
      </c>
    </row>
    <row r="2976" spans="1:21" x14ac:dyDescent="0.25">
      <c r="A2976" t="s">
        <v>134</v>
      </c>
      <c r="B2976" t="s">
        <v>64</v>
      </c>
      <c r="C2976">
        <v>100</v>
      </c>
      <c r="D2976">
        <v>1</v>
      </c>
      <c r="E2976">
        <v>0</v>
      </c>
      <c r="F2976" t="s">
        <v>11193</v>
      </c>
      <c r="G2976">
        <v>200</v>
      </c>
      <c r="H2976">
        <v>0</v>
      </c>
      <c r="I2976" t="s">
        <v>24</v>
      </c>
      <c r="J2976" t="s">
        <v>9796</v>
      </c>
      <c r="K2976" t="s">
        <v>118</v>
      </c>
      <c r="L2976" t="s">
        <v>27</v>
      </c>
      <c r="M2976" t="s">
        <v>28</v>
      </c>
      <c r="N2976" t="s">
        <v>11194</v>
      </c>
      <c r="O2976" t="s">
        <v>27</v>
      </c>
      <c r="P2976" t="s">
        <v>39</v>
      </c>
      <c r="Q2976" t="s">
        <v>31</v>
      </c>
      <c r="R2976" t="s">
        <v>32</v>
      </c>
      <c r="S2976" t="s">
        <v>28</v>
      </c>
      <c r="T2976" t="s">
        <v>11195</v>
      </c>
      <c r="U2976" t="s">
        <v>11192</v>
      </c>
    </row>
    <row r="2977" spans="1:21" x14ac:dyDescent="0.25">
      <c r="A2977" t="s">
        <v>21</v>
      </c>
      <c r="B2977" t="s">
        <v>22</v>
      </c>
      <c r="C2977">
        <v>100</v>
      </c>
      <c r="D2977">
        <v>1</v>
      </c>
      <c r="E2977">
        <v>0</v>
      </c>
      <c r="F2977" t="s">
        <v>11196</v>
      </c>
      <c r="G2977">
        <v>100</v>
      </c>
      <c r="H2977">
        <v>0</v>
      </c>
      <c r="I2977" t="s">
        <v>140</v>
      </c>
      <c r="J2977" t="s">
        <v>11197</v>
      </c>
      <c r="K2977" t="s">
        <v>753</v>
      </c>
      <c r="L2977" t="s">
        <v>27</v>
      </c>
      <c r="M2977" t="s">
        <v>28</v>
      </c>
      <c r="N2977" t="s">
        <v>11198</v>
      </c>
      <c r="O2977" t="s">
        <v>27</v>
      </c>
      <c r="P2977" t="s">
        <v>369</v>
      </c>
      <c r="Q2977" t="s">
        <v>31</v>
      </c>
      <c r="R2977" t="s">
        <v>57</v>
      </c>
      <c r="S2977" t="s">
        <v>28</v>
      </c>
      <c r="T2977" t="s">
        <v>11199</v>
      </c>
      <c r="U2977" t="s">
        <v>11198</v>
      </c>
    </row>
    <row r="2978" spans="1:21" x14ac:dyDescent="0.25">
      <c r="A2978" t="s">
        <v>33</v>
      </c>
      <c r="B2978" t="s">
        <v>34</v>
      </c>
      <c r="C2978">
        <v>200</v>
      </c>
      <c r="D2978">
        <v>1</v>
      </c>
      <c r="E2978">
        <v>0</v>
      </c>
      <c r="F2978" t="s">
        <v>11200</v>
      </c>
      <c r="G2978">
        <v>200</v>
      </c>
      <c r="H2978">
        <v>0</v>
      </c>
      <c r="I2978" t="s">
        <v>445</v>
      </c>
      <c r="J2978" t="s">
        <v>11201</v>
      </c>
      <c r="K2978" t="s">
        <v>388</v>
      </c>
      <c r="L2978" t="s">
        <v>27</v>
      </c>
      <c r="M2978" t="s">
        <v>28</v>
      </c>
      <c r="N2978" t="s">
        <v>11202</v>
      </c>
      <c r="O2978" t="s">
        <v>27</v>
      </c>
      <c r="P2978" t="s">
        <v>56</v>
      </c>
      <c r="Q2978" t="s">
        <v>31</v>
      </c>
      <c r="R2978" t="s">
        <v>57</v>
      </c>
      <c r="S2978" t="s">
        <v>28</v>
      </c>
      <c r="T2978" t="s">
        <v>11203</v>
      </c>
      <c r="U2978" t="s">
        <v>11202</v>
      </c>
    </row>
    <row r="2979" spans="1:21" x14ac:dyDescent="0.25">
      <c r="A2979" t="s">
        <v>33</v>
      </c>
      <c r="B2979" t="s">
        <v>34</v>
      </c>
      <c r="C2979">
        <v>200</v>
      </c>
      <c r="D2979">
        <v>1</v>
      </c>
      <c r="E2979">
        <v>0</v>
      </c>
      <c r="F2979" t="s">
        <v>11204</v>
      </c>
      <c r="G2979">
        <v>200</v>
      </c>
      <c r="H2979">
        <v>0</v>
      </c>
      <c r="I2979" t="s">
        <v>445</v>
      </c>
      <c r="J2979" t="s">
        <v>11201</v>
      </c>
      <c r="K2979" t="s">
        <v>273</v>
      </c>
      <c r="L2979" t="s">
        <v>27</v>
      </c>
      <c r="M2979" t="s">
        <v>28</v>
      </c>
      <c r="N2979" t="s">
        <v>11205</v>
      </c>
      <c r="O2979" t="s">
        <v>27</v>
      </c>
      <c r="P2979" t="s">
        <v>39</v>
      </c>
      <c r="Q2979" t="s">
        <v>31</v>
      </c>
      <c r="R2979" t="s">
        <v>32</v>
      </c>
      <c r="S2979" t="s">
        <v>28</v>
      </c>
      <c r="T2979" t="s">
        <v>11206</v>
      </c>
      <c r="U2979" t="s">
        <v>11205</v>
      </c>
    </row>
    <row r="2980" spans="1:21" x14ac:dyDescent="0.25">
      <c r="A2980" t="s">
        <v>76</v>
      </c>
      <c r="B2980" t="s">
        <v>11207</v>
      </c>
      <c r="C2980">
        <v>207.5</v>
      </c>
      <c r="D2980">
        <v>1</v>
      </c>
      <c r="E2980">
        <v>0</v>
      </c>
      <c r="F2980" t="s">
        <v>11208</v>
      </c>
      <c r="G2980">
        <v>504</v>
      </c>
      <c r="H2980">
        <v>89</v>
      </c>
      <c r="I2980" t="s">
        <v>24</v>
      </c>
      <c r="J2980" t="s">
        <v>11209</v>
      </c>
      <c r="K2980" t="s">
        <v>11210</v>
      </c>
      <c r="L2980" t="s">
        <v>3056</v>
      </c>
      <c r="M2980" t="s">
        <v>11211</v>
      </c>
      <c r="N2980" t="s">
        <v>11202</v>
      </c>
      <c r="O2980" t="s">
        <v>27</v>
      </c>
      <c r="P2980" t="s">
        <v>48</v>
      </c>
      <c r="Q2980" t="s">
        <v>49</v>
      </c>
      <c r="R2980" t="s">
        <v>50</v>
      </c>
      <c r="S2980" t="s">
        <v>28</v>
      </c>
      <c r="T2980" t="s">
        <v>11212</v>
      </c>
      <c r="U2980" t="s">
        <v>11205</v>
      </c>
    </row>
    <row r="2981" spans="1:21" x14ac:dyDescent="0.25">
      <c r="A2981" t="s">
        <v>76</v>
      </c>
      <c r="B2981" t="s">
        <v>11207</v>
      </c>
      <c r="C2981">
        <v>207.5</v>
      </c>
      <c r="D2981">
        <v>1</v>
      </c>
      <c r="E2981">
        <v>0</v>
      </c>
      <c r="F2981" t="s">
        <v>11208</v>
      </c>
      <c r="G2981">
        <v>504</v>
      </c>
      <c r="H2981">
        <v>89</v>
      </c>
      <c r="I2981" t="s">
        <v>24</v>
      </c>
      <c r="J2981" t="s">
        <v>11209</v>
      </c>
      <c r="K2981" t="s">
        <v>11210</v>
      </c>
      <c r="L2981" t="s">
        <v>3056</v>
      </c>
      <c r="M2981" t="s">
        <v>11211</v>
      </c>
      <c r="N2981" t="s">
        <v>11202</v>
      </c>
      <c r="O2981" t="s">
        <v>27</v>
      </c>
      <c r="P2981" t="s">
        <v>48</v>
      </c>
      <c r="Q2981" t="s">
        <v>49</v>
      </c>
      <c r="R2981" t="s">
        <v>50</v>
      </c>
      <c r="S2981" t="s">
        <v>28</v>
      </c>
      <c r="T2981" t="s">
        <v>11212</v>
      </c>
      <c r="U2981" t="s">
        <v>11205</v>
      </c>
    </row>
    <row r="2982" spans="1:21" x14ac:dyDescent="0.25">
      <c r="A2982" t="s">
        <v>21</v>
      </c>
      <c r="B2982" t="s">
        <v>22</v>
      </c>
      <c r="C2982">
        <v>100</v>
      </c>
      <c r="D2982">
        <v>1</v>
      </c>
      <c r="E2982">
        <v>0</v>
      </c>
      <c r="F2982" t="s">
        <v>11213</v>
      </c>
      <c r="G2982">
        <v>300</v>
      </c>
      <c r="H2982">
        <v>0</v>
      </c>
      <c r="I2982" t="s">
        <v>140</v>
      </c>
      <c r="J2982" t="s">
        <v>11214</v>
      </c>
      <c r="K2982" t="s">
        <v>834</v>
      </c>
      <c r="L2982" t="s">
        <v>27</v>
      </c>
      <c r="M2982" t="s">
        <v>28</v>
      </c>
      <c r="N2982" t="s">
        <v>11215</v>
      </c>
      <c r="O2982" t="s">
        <v>27</v>
      </c>
      <c r="P2982" t="s">
        <v>369</v>
      </c>
      <c r="Q2982" t="s">
        <v>31</v>
      </c>
      <c r="R2982" t="s">
        <v>57</v>
      </c>
      <c r="S2982" t="s">
        <v>28</v>
      </c>
      <c r="T2982" t="s">
        <v>11216</v>
      </c>
      <c r="U2982" t="s">
        <v>11215</v>
      </c>
    </row>
    <row r="2983" spans="1:21" x14ac:dyDescent="0.25">
      <c r="A2983" t="s">
        <v>134</v>
      </c>
      <c r="B2983" t="s">
        <v>64</v>
      </c>
      <c r="C2983">
        <v>100</v>
      </c>
      <c r="D2983">
        <v>1</v>
      </c>
      <c r="E2983">
        <v>0</v>
      </c>
      <c r="F2983" t="s">
        <v>11213</v>
      </c>
      <c r="G2983">
        <v>300</v>
      </c>
      <c r="H2983">
        <v>0</v>
      </c>
      <c r="I2983" t="s">
        <v>140</v>
      </c>
      <c r="J2983" t="s">
        <v>11214</v>
      </c>
      <c r="K2983" t="s">
        <v>834</v>
      </c>
      <c r="L2983" t="s">
        <v>27</v>
      </c>
      <c r="M2983" t="s">
        <v>28</v>
      </c>
      <c r="N2983" t="s">
        <v>11215</v>
      </c>
      <c r="O2983" t="s">
        <v>27</v>
      </c>
      <c r="P2983" t="s">
        <v>369</v>
      </c>
      <c r="Q2983" t="s">
        <v>31</v>
      </c>
      <c r="R2983" t="s">
        <v>57</v>
      </c>
      <c r="S2983" t="s">
        <v>28</v>
      </c>
      <c r="T2983" t="s">
        <v>11216</v>
      </c>
      <c r="U2983" t="s">
        <v>11215</v>
      </c>
    </row>
    <row r="2984" spans="1:21" x14ac:dyDescent="0.25">
      <c r="A2984" t="s">
        <v>58</v>
      </c>
      <c r="B2984" t="s">
        <v>58</v>
      </c>
      <c r="C2984">
        <v>100</v>
      </c>
      <c r="D2984">
        <v>1</v>
      </c>
      <c r="E2984">
        <v>0</v>
      </c>
      <c r="F2984" t="s">
        <v>11213</v>
      </c>
      <c r="G2984">
        <v>300</v>
      </c>
      <c r="H2984">
        <v>0</v>
      </c>
      <c r="I2984" t="s">
        <v>140</v>
      </c>
      <c r="J2984" t="s">
        <v>11214</v>
      </c>
      <c r="K2984" t="s">
        <v>834</v>
      </c>
      <c r="L2984" t="s">
        <v>27</v>
      </c>
      <c r="M2984" t="s">
        <v>28</v>
      </c>
      <c r="N2984" t="s">
        <v>11215</v>
      </c>
      <c r="O2984" t="s">
        <v>27</v>
      </c>
      <c r="P2984" t="s">
        <v>369</v>
      </c>
      <c r="Q2984" t="s">
        <v>31</v>
      </c>
      <c r="R2984" t="s">
        <v>57</v>
      </c>
      <c r="S2984" t="s">
        <v>28</v>
      </c>
      <c r="T2984" t="s">
        <v>11216</v>
      </c>
      <c r="U2984" t="s">
        <v>11215</v>
      </c>
    </row>
    <row r="2985" spans="1:21" x14ac:dyDescent="0.25">
      <c r="A2985" t="s">
        <v>21</v>
      </c>
      <c r="B2985" t="s">
        <v>22</v>
      </c>
      <c r="C2985">
        <v>100</v>
      </c>
      <c r="D2985">
        <v>1</v>
      </c>
      <c r="E2985">
        <v>0</v>
      </c>
      <c r="F2985" t="s">
        <v>11217</v>
      </c>
      <c r="G2985">
        <v>100</v>
      </c>
      <c r="H2985">
        <v>0</v>
      </c>
      <c r="I2985" t="s">
        <v>445</v>
      </c>
      <c r="J2985" t="s">
        <v>11218</v>
      </c>
      <c r="K2985" t="s">
        <v>342</v>
      </c>
      <c r="L2985" t="s">
        <v>27</v>
      </c>
      <c r="M2985" t="s">
        <v>28</v>
      </c>
      <c r="N2985" t="s">
        <v>11219</v>
      </c>
      <c r="O2985" t="s">
        <v>27</v>
      </c>
      <c r="P2985" t="s">
        <v>39</v>
      </c>
      <c r="Q2985" t="s">
        <v>31</v>
      </c>
      <c r="R2985" t="s">
        <v>32</v>
      </c>
      <c r="S2985" t="s">
        <v>28</v>
      </c>
      <c r="T2985" t="s">
        <v>11220</v>
      </c>
      <c r="U2985" t="s">
        <v>11219</v>
      </c>
    </row>
    <row r="2986" spans="1:21" x14ac:dyDescent="0.25">
      <c r="A2986" t="s">
        <v>21</v>
      </c>
      <c r="B2986" t="s">
        <v>22</v>
      </c>
      <c r="C2986">
        <v>100</v>
      </c>
      <c r="D2986">
        <v>1</v>
      </c>
      <c r="E2986">
        <v>0</v>
      </c>
      <c r="F2986" t="s">
        <v>11221</v>
      </c>
      <c r="G2986">
        <v>150</v>
      </c>
      <c r="H2986">
        <v>0</v>
      </c>
      <c r="I2986" t="s">
        <v>445</v>
      </c>
      <c r="J2986" t="s">
        <v>11222</v>
      </c>
      <c r="K2986" t="s">
        <v>118</v>
      </c>
      <c r="L2986" t="s">
        <v>27</v>
      </c>
      <c r="M2986" t="s">
        <v>28</v>
      </c>
      <c r="N2986" t="s">
        <v>11219</v>
      </c>
      <c r="O2986" t="s">
        <v>27</v>
      </c>
      <c r="P2986" t="s">
        <v>56</v>
      </c>
      <c r="Q2986" t="s">
        <v>31</v>
      </c>
      <c r="R2986" t="s">
        <v>57</v>
      </c>
      <c r="S2986" t="s">
        <v>28</v>
      </c>
      <c r="T2986" t="s">
        <v>11223</v>
      </c>
      <c r="U2986" t="s">
        <v>11219</v>
      </c>
    </row>
    <row r="2987" spans="1:21" x14ac:dyDescent="0.25">
      <c r="A2987" t="s">
        <v>21</v>
      </c>
      <c r="B2987" t="s">
        <v>22</v>
      </c>
      <c r="C2987">
        <v>100</v>
      </c>
      <c r="D2987">
        <v>2</v>
      </c>
      <c r="E2987">
        <v>0</v>
      </c>
      <c r="F2987" t="s">
        <v>11224</v>
      </c>
      <c r="G2987">
        <v>200</v>
      </c>
      <c r="H2987">
        <v>0</v>
      </c>
      <c r="I2987" t="s">
        <v>140</v>
      </c>
      <c r="J2987" t="s">
        <v>9763</v>
      </c>
      <c r="K2987" t="s">
        <v>273</v>
      </c>
      <c r="L2987" t="s">
        <v>27</v>
      </c>
      <c r="M2987" t="s">
        <v>28</v>
      </c>
      <c r="N2987" t="s">
        <v>11225</v>
      </c>
      <c r="O2987" t="s">
        <v>27</v>
      </c>
      <c r="P2987" t="s">
        <v>30</v>
      </c>
      <c r="Q2987" t="s">
        <v>31</v>
      </c>
      <c r="R2987" t="s">
        <v>32</v>
      </c>
      <c r="S2987" t="s">
        <v>28</v>
      </c>
      <c r="T2987" t="s">
        <v>11226</v>
      </c>
      <c r="U2987" t="s">
        <v>11225</v>
      </c>
    </row>
    <row r="2988" spans="1:21" x14ac:dyDescent="0.25">
      <c r="A2988" t="s">
        <v>21</v>
      </c>
      <c r="B2988" t="s">
        <v>22</v>
      </c>
      <c r="C2988">
        <v>100</v>
      </c>
      <c r="D2988">
        <v>1</v>
      </c>
      <c r="E2988">
        <v>0</v>
      </c>
      <c r="F2988" t="s">
        <v>11227</v>
      </c>
      <c r="G2988">
        <v>106</v>
      </c>
      <c r="H2988">
        <v>6</v>
      </c>
      <c r="I2988" t="s">
        <v>445</v>
      </c>
      <c r="J2988" t="s">
        <v>11228</v>
      </c>
      <c r="K2988" t="s">
        <v>346</v>
      </c>
      <c r="L2988" t="s">
        <v>27</v>
      </c>
      <c r="M2988" t="s">
        <v>28</v>
      </c>
      <c r="N2988" t="s">
        <v>11229</v>
      </c>
      <c r="O2988" t="s">
        <v>27</v>
      </c>
      <c r="P2988" t="s">
        <v>39</v>
      </c>
      <c r="Q2988" t="s">
        <v>31</v>
      </c>
      <c r="R2988" t="s">
        <v>32</v>
      </c>
      <c r="S2988" t="s">
        <v>28</v>
      </c>
      <c r="T2988" t="s">
        <v>11230</v>
      </c>
      <c r="U2988" t="s">
        <v>11225</v>
      </c>
    </row>
    <row r="2989" spans="1:21" x14ac:dyDescent="0.25">
      <c r="A2989" t="s">
        <v>63</v>
      </c>
      <c r="B2989" t="s">
        <v>64</v>
      </c>
      <c r="C2989">
        <v>100</v>
      </c>
      <c r="D2989">
        <v>1</v>
      </c>
      <c r="E2989">
        <v>0</v>
      </c>
      <c r="F2989" t="s">
        <v>11231</v>
      </c>
      <c r="G2989">
        <v>200</v>
      </c>
      <c r="H2989">
        <v>0</v>
      </c>
      <c r="I2989" t="s">
        <v>24</v>
      </c>
      <c r="J2989" t="s">
        <v>3939</v>
      </c>
      <c r="K2989" t="s">
        <v>474</v>
      </c>
      <c r="L2989" t="s">
        <v>27</v>
      </c>
      <c r="M2989" t="s">
        <v>28</v>
      </c>
      <c r="N2989" t="s">
        <v>11232</v>
      </c>
      <c r="O2989" t="s">
        <v>27</v>
      </c>
      <c r="P2989" t="s">
        <v>39</v>
      </c>
      <c r="Q2989" t="s">
        <v>31</v>
      </c>
      <c r="R2989" t="s">
        <v>32</v>
      </c>
      <c r="S2989" t="s">
        <v>28</v>
      </c>
      <c r="T2989" t="s">
        <v>11233</v>
      </c>
      <c r="U2989" t="s">
        <v>11234</v>
      </c>
    </row>
    <row r="2990" spans="1:21" x14ac:dyDescent="0.25">
      <c r="A2990" t="s">
        <v>21</v>
      </c>
      <c r="B2990" t="s">
        <v>22</v>
      </c>
      <c r="C2990">
        <v>100</v>
      </c>
      <c r="D2990">
        <v>1</v>
      </c>
      <c r="E2990">
        <v>0</v>
      </c>
      <c r="F2990" t="s">
        <v>11231</v>
      </c>
      <c r="G2990">
        <v>200</v>
      </c>
      <c r="H2990">
        <v>0</v>
      </c>
      <c r="I2990" t="s">
        <v>24</v>
      </c>
      <c r="J2990" t="s">
        <v>3939</v>
      </c>
      <c r="K2990" t="s">
        <v>474</v>
      </c>
      <c r="L2990" t="s">
        <v>27</v>
      </c>
      <c r="M2990" t="s">
        <v>28</v>
      </c>
      <c r="N2990" t="s">
        <v>11232</v>
      </c>
      <c r="O2990" t="s">
        <v>27</v>
      </c>
      <c r="P2990" t="s">
        <v>39</v>
      </c>
      <c r="Q2990" t="s">
        <v>31</v>
      </c>
      <c r="R2990" t="s">
        <v>32</v>
      </c>
      <c r="S2990" t="s">
        <v>28</v>
      </c>
      <c r="T2990" t="s">
        <v>11233</v>
      </c>
      <c r="U2990" t="s">
        <v>11234</v>
      </c>
    </row>
    <row r="2991" spans="1:21" x14ac:dyDescent="0.25">
      <c r="A2991" t="s">
        <v>33</v>
      </c>
      <c r="B2991" t="s">
        <v>34</v>
      </c>
      <c r="C2991">
        <v>200</v>
      </c>
      <c r="D2991">
        <v>1</v>
      </c>
      <c r="E2991">
        <v>0</v>
      </c>
      <c r="F2991" t="s">
        <v>11235</v>
      </c>
      <c r="G2991">
        <v>200</v>
      </c>
      <c r="H2991">
        <v>0</v>
      </c>
      <c r="I2991" t="s">
        <v>24</v>
      </c>
      <c r="J2991" t="s">
        <v>11236</v>
      </c>
      <c r="K2991" t="s">
        <v>331</v>
      </c>
      <c r="L2991" t="s">
        <v>27</v>
      </c>
      <c r="M2991" t="s">
        <v>28</v>
      </c>
      <c r="N2991" t="s">
        <v>11232</v>
      </c>
      <c r="O2991" t="s">
        <v>27</v>
      </c>
      <c r="P2991" t="s">
        <v>56</v>
      </c>
      <c r="Q2991" t="s">
        <v>31</v>
      </c>
      <c r="R2991" t="s">
        <v>57</v>
      </c>
      <c r="S2991" t="s">
        <v>28</v>
      </c>
      <c r="T2991" t="s">
        <v>11237</v>
      </c>
      <c r="U2991" t="s">
        <v>11232</v>
      </c>
    </row>
    <row r="2992" spans="1:21" x14ac:dyDescent="0.25">
      <c r="A2992" t="s">
        <v>134</v>
      </c>
      <c r="B2992" t="s">
        <v>64</v>
      </c>
      <c r="C2992">
        <v>100</v>
      </c>
      <c r="D2992">
        <v>1</v>
      </c>
      <c r="E2992">
        <v>0</v>
      </c>
      <c r="F2992" t="s">
        <v>11238</v>
      </c>
      <c r="G2992">
        <v>200</v>
      </c>
      <c r="H2992">
        <v>0</v>
      </c>
      <c r="I2992" t="s">
        <v>140</v>
      </c>
      <c r="J2992" t="s">
        <v>11239</v>
      </c>
      <c r="K2992" t="s">
        <v>124</v>
      </c>
      <c r="L2992" t="s">
        <v>27</v>
      </c>
      <c r="M2992" t="s">
        <v>28</v>
      </c>
      <c r="N2992" t="s">
        <v>11240</v>
      </c>
      <c r="O2992" t="s">
        <v>27</v>
      </c>
      <c r="P2992" t="s">
        <v>30</v>
      </c>
      <c r="Q2992" t="s">
        <v>31</v>
      </c>
      <c r="R2992" t="s">
        <v>32</v>
      </c>
      <c r="S2992" t="s">
        <v>28</v>
      </c>
      <c r="T2992" t="s">
        <v>11241</v>
      </c>
      <c r="U2992" t="s">
        <v>11240</v>
      </c>
    </row>
    <row r="2993" spans="1:21" x14ac:dyDescent="0.25">
      <c r="A2993" t="s">
        <v>58</v>
      </c>
      <c r="B2993" t="s">
        <v>58</v>
      </c>
      <c r="C2993">
        <v>100</v>
      </c>
      <c r="D2993">
        <v>1</v>
      </c>
      <c r="E2993">
        <v>0</v>
      </c>
      <c r="F2993" t="s">
        <v>11238</v>
      </c>
      <c r="G2993">
        <v>200</v>
      </c>
      <c r="H2993">
        <v>0</v>
      </c>
      <c r="I2993" t="s">
        <v>140</v>
      </c>
      <c r="J2993" t="s">
        <v>11239</v>
      </c>
      <c r="K2993" t="s">
        <v>124</v>
      </c>
      <c r="L2993" t="s">
        <v>27</v>
      </c>
      <c r="M2993" t="s">
        <v>28</v>
      </c>
      <c r="N2993" t="s">
        <v>11240</v>
      </c>
      <c r="O2993" t="s">
        <v>27</v>
      </c>
      <c r="P2993" t="s">
        <v>30</v>
      </c>
      <c r="Q2993" t="s">
        <v>31</v>
      </c>
      <c r="R2993" t="s">
        <v>32</v>
      </c>
      <c r="S2993" t="s">
        <v>28</v>
      </c>
      <c r="T2993" t="s">
        <v>11241</v>
      </c>
      <c r="U2993" t="s">
        <v>11240</v>
      </c>
    </row>
    <row r="2994" spans="1:21" x14ac:dyDescent="0.25">
      <c r="A2994" t="s">
        <v>21</v>
      </c>
      <c r="B2994" t="s">
        <v>22</v>
      </c>
      <c r="C2994">
        <v>100</v>
      </c>
      <c r="D2994">
        <v>1</v>
      </c>
      <c r="E2994">
        <v>0</v>
      </c>
      <c r="F2994" t="s">
        <v>11242</v>
      </c>
      <c r="G2994">
        <v>106</v>
      </c>
      <c r="H2994">
        <v>6</v>
      </c>
      <c r="I2994" t="s">
        <v>24</v>
      </c>
      <c r="J2994" t="s">
        <v>11243</v>
      </c>
      <c r="K2994" t="s">
        <v>250</v>
      </c>
      <c r="L2994" t="s">
        <v>27</v>
      </c>
      <c r="M2994" t="s">
        <v>28</v>
      </c>
      <c r="N2994" t="s">
        <v>11244</v>
      </c>
      <c r="O2994" t="s">
        <v>27</v>
      </c>
      <c r="P2994" t="s">
        <v>56</v>
      </c>
      <c r="Q2994" t="s">
        <v>31</v>
      </c>
      <c r="R2994" t="s">
        <v>57</v>
      </c>
      <c r="S2994" t="s">
        <v>28</v>
      </c>
      <c r="T2994" t="s">
        <v>11245</v>
      </c>
      <c r="U2994" t="s">
        <v>11246</v>
      </c>
    </row>
    <row r="2995" spans="1:21" x14ac:dyDescent="0.25">
      <c r="A2995" t="s">
        <v>21</v>
      </c>
      <c r="B2995" t="s">
        <v>22</v>
      </c>
      <c r="C2995">
        <v>100</v>
      </c>
      <c r="D2995">
        <v>1</v>
      </c>
      <c r="E2995">
        <v>0</v>
      </c>
      <c r="F2995" t="s">
        <v>11247</v>
      </c>
      <c r="G2995">
        <v>399</v>
      </c>
      <c r="H2995">
        <v>0</v>
      </c>
      <c r="I2995" t="s">
        <v>140</v>
      </c>
      <c r="J2995" t="s">
        <v>5045</v>
      </c>
      <c r="K2995" t="s">
        <v>331</v>
      </c>
      <c r="L2995" t="s">
        <v>27</v>
      </c>
      <c r="M2995" t="s">
        <v>28</v>
      </c>
      <c r="N2995" t="s">
        <v>11248</v>
      </c>
      <c r="O2995" t="s">
        <v>27</v>
      </c>
      <c r="P2995" t="s">
        <v>30</v>
      </c>
      <c r="Q2995" t="s">
        <v>31</v>
      </c>
      <c r="R2995" t="s">
        <v>32</v>
      </c>
      <c r="S2995" t="s">
        <v>28</v>
      </c>
      <c r="T2995" t="s">
        <v>11249</v>
      </c>
      <c r="U2995" t="s">
        <v>11248</v>
      </c>
    </row>
    <row r="2996" spans="1:21" x14ac:dyDescent="0.25">
      <c r="A2996" t="s">
        <v>63</v>
      </c>
      <c r="B2996" t="s">
        <v>64</v>
      </c>
      <c r="C2996">
        <v>100</v>
      </c>
      <c r="D2996">
        <v>1</v>
      </c>
      <c r="E2996">
        <v>0</v>
      </c>
      <c r="F2996" t="s">
        <v>11247</v>
      </c>
      <c r="G2996">
        <v>399</v>
      </c>
      <c r="H2996">
        <v>0</v>
      </c>
      <c r="I2996" t="s">
        <v>140</v>
      </c>
      <c r="J2996" t="s">
        <v>5045</v>
      </c>
      <c r="K2996" t="s">
        <v>331</v>
      </c>
      <c r="L2996" t="s">
        <v>27</v>
      </c>
      <c r="M2996" t="s">
        <v>28</v>
      </c>
      <c r="N2996" t="s">
        <v>11248</v>
      </c>
      <c r="O2996" t="s">
        <v>27</v>
      </c>
      <c r="P2996" t="s">
        <v>30</v>
      </c>
      <c r="Q2996" t="s">
        <v>31</v>
      </c>
      <c r="R2996" t="s">
        <v>32</v>
      </c>
      <c r="S2996" t="s">
        <v>28</v>
      </c>
      <c r="T2996" t="s">
        <v>11249</v>
      </c>
      <c r="U2996" t="s">
        <v>11248</v>
      </c>
    </row>
    <row r="2997" spans="1:21" x14ac:dyDescent="0.25">
      <c r="A2997" t="s">
        <v>58</v>
      </c>
      <c r="B2997" t="s">
        <v>58</v>
      </c>
      <c r="C2997">
        <v>100</v>
      </c>
      <c r="D2997">
        <v>1</v>
      </c>
      <c r="E2997">
        <v>0</v>
      </c>
      <c r="F2997" t="s">
        <v>11247</v>
      </c>
      <c r="G2997">
        <v>399</v>
      </c>
      <c r="H2997">
        <v>0</v>
      </c>
      <c r="I2997" t="s">
        <v>140</v>
      </c>
      <c r="J2997" t="s">
        <v>5045</v>
      </c>
      <c r="K2997" t="s">
        <v>331</v>
      </c>
      <c r="L2997" t="s">
        <v>27</v>
      </c>
      <c r="M2997" t="s">
        <v>28</v>
      </c>
      <c r="N2997" t="s">
        <v>11248</v>
      </c>
      <c r="O2997" t="s">
        <v>27</v>
      </c>
      <c r="P2997" t="s">
        <v>30</v>
      </c>
      <c r="Q2997" t="s">
        <v>31</v>
      </c>
      <c r="R2997" t="s">
        <v>32</v>
      </c>
      <c r="S2997" t="s">
        <v>28</v>
      </c>
      <c r="T2997" t="s">
        <v>11249</v>
      </c>
      <c r="U2997" t="s">
        <v>11248</v>
      </c>
    </row>
    <row r="2998" spans="1:21" x14ac:dyDescent="0.25">
      <c r="A2998" t="s">
        <v>134</v>
      </c>
      <c r="B2998" t="s">
        <v>64</v>
      </c>
      <c r="C2998">
        <v>100</v>
      </c>
      <c r="D2998">
        <v>1</v>
      </c>
      <c r="E2998">
        <v>0</v>
      </c>
      <c r="F2998" t="s">
        <v>11250</v>
      </c>
      <c r="G2998">
        <v>106</v>
      </c>
      <c r="H2998">
        <v>6</v>
      </c>
      <c r="I2998" t="s">
        <v>24</v>
      </c>
      <c r="J2998" t="s">
        <v>11251</v>
      </c>
      <c r="K2998" t="s">
        <v>771</v>
      </c>
      <c r="L2998" t="s">
        <v>27</v>
      </c>
      <c r="M2998" t="s">
        <v>28</v>
      </c>
      <c r="N2998" t="s">
        <v>11252</v>
      </c>
      <c r="O2998" t="s">
        <v>27</v>
      </c>
      <c r="P2998" t="s">
        <v>39</v>
      </c>
      <c r="Q2998" t="s">
        <v>31</v>
      </c>
      <c r="R2998" t="s">
        <v>32</v>
      </c>
      <c r="S2998" t="s">
        <v>28</v>
      </c>
      <c r="T2998" t="s">
        <v>11253</v>
      </c>
      <c r="U2998" t="s">
        <v>11252</v>
      </c>
    </row>
    <row r="2999" spans="1:21" x14ac:dyDescent="0.25">
      <c r="A2999" t="s">
        <v>195</v>
      </c>
      <c r="B2999" t="s">
        <v>1003</v>
      </c>
      <c r="C2999">
        <v>173.25</v>
      </c>
      <c r="D2999">
        <v>1</v>
      </c>
      <c r="E2999">
        <v>0</v>
      </c>
      <c r="F2999" t="s">
        <v>11254</v>
      </c>
      <c r="G2999">
        <v>178.25</v>
      </c>
      <c r="H2999">
        <v>5</v>
      </c>
      <c r="I2999" t="s">
        <v>628</v>
      </c>
      <c r="J2999" t="s">
        <v>11255</v>
      </c>
      <c r="K2999" t="s">
        <v>2332</v>
      </c>
      <c r="L2999" t="s">
        <v>2333</v>
      </c>
      <c r="M2999" t="s">
        <v>2334</v>
      </c>
      <c r="N2999" t="s">
        <v>11252</v>
      </c>
      <c r="O2999" t="s">
        <v>27</v>
      </c>
      <c r="P2999" t="s">
        <v>48</v>
      </c>
      <c r="Q2999" t="s">
        <v>49</v>
      </c>
      <c r="R2999" t="s">
        <v>50</v>
      </c>
      <c r="S2999" t="s">
        <v>28</v>
      </c>
      <c r="T2999" t="s">
        <v>11256</v>
      </c>
      <c r="U2999" t="s">
        <v>11252</v>
      </c>
    </row>
    <row r="3000" spans="1:21" x14ac:dyDescent="0.25">
      <c r="A3000" t="s">
        <v>456</v>
      </c>
      <c r="B3000" t="s">
        <v>1178</v>
      </c>
      <c r="C3000">
        <v>173.25</v>
      </c>
      <c r="D3000">
        <v>1</v>
      </c>
      <c r="E3000">
        <v>0</v>
      </c>
      <c r="F3000" t="s">
        <v>11257</v>
      </c>
      <c r="G3000">
        <v>173.25</v>
      </c>
      <c r="H3000">
        <v>0</v>
      </c>
      <c r="I3000" t="s">
        <v>628</v>
      </c>
      <c r="J3000" t="s">
        <v>7237</v>
      </c>
      <c r="K3000" t="s">
        <v>7238</v>
      </c>
      <c r="L3000" t="s">
        <v>1184</v>
      </c>
      <c r="M3000" t="s">
        <v>7239</v>
      </c>
      <c r="N3000" t="s">
        <v>11252</v>
      </c>
      <c r="O3000" t="s">
        <v>27</v>
      </c>
      <c r="P3000" t="s">
        <v>48</v>
      </c>
      <c r="Q3000" t="s">
        <v>49</v>
      </c>
      <c r="R3000" t="s">
        <v>50</v>
      </c>
      <c r="S3000" t="s">
        <v>28</v>
      </c>
      <c r="T3000" t="s">
        <v>11258</v>
      </c>
      <c r="U3000" t="s">
        <v>11259</v>
      </c>
    </row>
    <row r="3001" spans="1:21" x14ac:dyDescent="0.25">
      <c r="A3001" t="s">
        <v>1513</v>
      </c>
      <c r="B3001" t="s">
        <v>1514</v>
      </c>
      <c r="C3001">
        <v>330</v>
      </c>
      <c r="D3001">
        <v>1</v>
      </c>
      <c r="E3001">
        <v>0</v>
      </c>
      <c r="F3001" t="s">
        <v>11260</v>
      </c>
      <c r="G3001">
        <v>330</v>
      </c>
      <c r="H3001">
        <v>0</v>
      </c>
      <c r="I3001" t="s">
        <v>24</v>
      </c>
      <c r="J3001" t="s">
        <v>11261</v>
      </c>
      <c r="K3001" t="s">
        <v>653</v>
      </c>
      <c r="L3001" t="s">
        <v>27</v>
      </c>
      <c r="M3001" t="s">
        <v>28</v>
      </c>
      <c r="N3001" t="s">
        <v>11262</v>
      </c>
      <c r="O3001" t="s">
        <v>27</v>
      </c>
      <c r="P3001" t="s">
        <v>39</v>
      </c>
      <c r="Q3001" t="s">
        <v>31</v>
      </c>
      <c r="R3001" t="s">
        <v>32</v>
      </c>
      <c r="S3001" t="s">
        <v>28</v>
      </c>
      <c r="T3001" t="s">
        <v>11263</v>
      </c>
      <c r="U3001" t="s">
        <v>11262</v>
      </c>
    </row>
    <row r="3002" spans="1:21" x14ac:dyDescent="0.25">
      <c r="A3002" t="s">
        <v>134</v>
      </c>
      <c r="B3002" t="s">
        <v>64</v>
      </c>
      <c r="C3002">
        <v>100</v>
      </c>
      <c r="D3002">
        <v>2</v>
      </c>
      <c r="E3002">
        <v>0</v>
      </c>
      <c r="F3002" t="s">
        <v>11264</v>
      </c>
      <c r="G3002">
        <v>200</v>
      </c>
      <c r="H3002">
        <v>0</v>
      </c>
      <c r="I3002" t="s">
        <v>24</v>
      </c>
      <c r="J3002" t="s">
        <v>11265</v>
      </c>
      <c r="K3002" t="s">
        <v>451</v>
      </c>
      <c r="L3002" t="s">
        <v>27</v>
      </c>
      <c r="M3002" t="s">
        <v>28</v>
      </c>
      <c r="N3002" t="s">
        <v>11266</v>
      </c>
      <c r="O3002" t="s">
        <v>27</v>
      </c>
      <c r="P3002" t="s">
        <v>39</v>
      </c>
      <c r="Q3002" t="s">
        <v>31</v>
      </c>
      <c r="R3002" t="s">
        <v>32</v>
      </c>
      <c r="S3002" t="s">
        <v>28</v>
      </c>
      <c r="T3002" t="s">
        <v>11267</v>
      </c>
      <c r="U3002" t="s">
        <v>11262</v>
      </c>
    </row>
    <row r="3003" spans="1:21" x14ac:dyDescent="0.25">
      <c r="A3003" t="s">
        <v>1513</v>
      </c>
      <c r="B3003" t="s">
        <v>1514</v>
      </c>
      <c r="C3003">
        <v>330</v>
      </c>
      <c r="D3003">
        <v>1</v>
      </c>
      <c r="E3003">
        <v>0</v>
      </c>
      <c r="F3003" t="s">
        <v>11268</v>
      </c>
      <c r="G3003">
        <v>330</v>
      </c>
      <c r="H3003">
        <v>0</v>
      </c>
      <c r="I3003" t="s">
        <v>140</v>
      </c>
      <c r="J3003" t="s">
        <v>11269</v>
      </c>
      <c r="K3003" t="s">
        <v>384</v>
      </c>
      <c r="L3003" t="s">
        <v>27</v>
      </c>
      <c r="M3003" t="s">
        <v>28</v>
      </c>
      <c r="N3003" t="s">
        <v>11266</v>
      </c>
      <c r="O3003" t="s">
        <v>27</v>
      </c>
      <c r="P3003" t="s">
        <v>30</v>
      </c>
      <c r="Q3003" t="s">
        <v>31</v>
      </c>
      <c r="R3003" t="s">
        <v>32</v>
      </c>
      <c r="S3003" t="s">
        <v>28</v>
      </c>
      <c r="T3003" t="s">
        <v>11270</v>
      </c>
      <c r="U3003" t="s">
        <v>11266</v>
      </c>
    </row>
    <row r="3004" spans="1:21" x14ac:dyDescent="0.25">
      <c r="A3004" t="s">
        <v>58</v>
      </c>
      <c r="B3004" t="s">
        <v>58</v>
      </c>
      <c r="C3004">
        <v>100</v>
      </c>
      <c r="D3004">
        <v>3</v>
      </c>
      <c r="E3004">
        <v>0</v>
      </c>
      <c r="F3004" t="s">
        <v>11271</v>
      </c>
      <c r="G3004">
        <v>300</v>
      </c>
      <c r="H3004">
        <v>0</v>
      </c>
      <c r="I3004" t="s">
        <v>140</v>
      </c>
      <c r="J3004" t="s">
        <v>11272</v>
      </c>
      <c r="K3004" t="s">
        <v>677</v>
      </c>
      <c r="L3004" t="s">
        <v>27</v>
      </c>
      <c r="M3004" t="s">
        <v>28</v>
      </c>
      <c r="N3004" t="s">
        <v>11273</v>
      </c>
      <c r="O3004" t="s">
        <v>27</v>
      </c>
      <c r="P3004" t="s">
        <v>369</v>
      </c>
      <c r="Q3004" t="s">
        <v>31</v>
      </c>
      <c r="R3004" t="s">
        <v>57</v>
      </c>
      <c r="S3004" t="s">
        <v>28</v>
      </c>
      <c r="T3004" t="s">
        <v>11274</v>
      </c>
      <c r="U3004" t="s">
        <v>11273</v>
      </c>
    </row>
    <row r="3005" spans="1:21" x14ac:dyDescent="0.25">
      <c r="A3005" t="s">
        <v>58</v>
      </c>
      <c r="B3005" t="s">
        <v>58</v>
      </c>
      <c r="C3005">
        <v>100</v>
      </c>
      <c r="D3005">
        <v>1</v>
      </c>
      <c r="E3005">
        <v>0</v>
      </c>
      <c r="F3005" t="s">
        <v>11275</v>
      </c>
      <c r="G3005">
        <v>106</v>
      </c>
      <c r="H3005">
        <v>6</v>
      </c>
      <c r="I3005" t="s">
        <v>24</v>
      </c>
      <c r="J3005" t="s">
        <v>11276</v>
      </c>
      <c r="K3005" t="s">
        <v>61</v>
      </c>
      <c r="L3005" t="s">
        <v>27</v>
      </c>
      <c r="M3005" t="s">
        <v>28</v>
      </c>
      <c r="N3005" t="s">
        <v>11277</v>
      </c>
      <c r="O3005" t="s">
        <v>27</v>
      </c>
      <c r="P3005" t="s">
        <v>56</v>
      </c>
      <c r="Q3005" t="s">
        <v>31</v>
      </c>
      <c r="R3005" t="s">
        <v>57</v>
      </c>
      <c r="S3005" t="s">
        <v>28</v>
      </c>
      <c r="T3005" t="s">
        <v>11278</v>
      </c>
      <c r="U3005" t="s">
        <v>11277</v>
      </c>
    </row>
    <row r="3006" spans="1:21" x14ac:dyDescent="0.25">
      <c r="A3006" t="s">
        <v>70</v>
      </c>
      <c r="B3006" t="s">
        <v>70</v>
      </c>
      <c r="C3006">
        <v>350</v>
      </c>
      <c r="D3006">
        <v>1</v>
      </c>
      <c r="E3006">
        <v>0</v>
      </c>
      <c r="F3006" t="s">
        <v>11279</v>
      </c>
      <c r="G3006">
        <v>350</v>
      </c>
      <c r="H3006">
        <v>0</v>
      </c>
      <c r="I3006" t="s">
        <v>140</v>
      </c>
      <c r="J3006" t="s">
        <v>11280</v>
      </c>
      <c r="K3006" t="s">
        <v>834</v>
      </c>
      <c r="L3006" t="s">
        <v>27</v>
      </c>
      <c r="M3006" t="s">
        <v>28</v>
      </c>
      <c r="N3006" t="s">
        <v>11281</v>
      </c>
      <c r="O3006" t="s">
        <v>27</v>
      </c>
      <c r="P3006" t="s">
        <v>369</v>
      </c>
      <c r="Q3006" t="s">
        <v>31</v>
      </c>
      <c r="R3006" t="s">
        <v>57</v>
      </c>
      <c r="S3006" t="s">
        <v>28</v>
      </c>
      <c r="T3006" t="s">
        <v>11282</v>
      </c>
      <c r="U3006" t="s">
        <v>11281</v>
      </c>
    </row>
    <row r="3007" spans="1:21" x14ac:dyDescent="0.25">
      <c r="A3007" t="s">
        <v>21</v>
      </c>
      <c r="B3007" t="s">
        <v>22</v>
      </c>
      <c r="C3007">
        <v>100</v>
      </c>
      <c r="D3007">
        <v>2</v>
      </c>
      <c r="E3007">
        <v>0</v>
      </c>
      <c r="F3007" t="s">
        <v>11283</v>
      </c>
      <c r="G3007">
        <v>200</v>
      </c>
      <c r="H3007">
        <v>0</v>
      </c>
      <c r="I3007" t="s">
        <v>24</v>
      </c>
      <c r="J3007" t="s">
        <v>11284</v>
      </c>
      <c r="K3007" t="s">
        <v>672</v>
      </c>
      <c r="L3007" t="s">
        <v>27</v>
      </c>
      <c r="M3007" t="s">
        <v>28</v>
      </c>
      <c r="N3007" t="s">
        <v>11285</v>
      </c>
      <c r="O3007" t="s">
        <v>27</v>
      </c>
      <c r="P3007" t="s">
        <v>39</v>
      </c>
      <c r="Q3007" t="s">
        <v>31</v>
      </c>
      <c r="R3007" t="s">
        <v>32</v>
      </c>
      <c r="S3007" t="s">
        <v>28</v>
      </c>
      <c r="T3007" t="s">
        <v>11286</v>
      </c>
      <c r="U3007" t="s">
        <v>11285</v>
      </c>
    </row>
    <row r="3008" spans="1:21" x14ac:dyDescent="0.25">
      <c r="A3008" t="s">
        <v>63</v>
      </c>
      <c r="B3008" t="s">
        <v>64</v>
      </c>
      <c r="C3008">
        <v>100</v>
      </c>
      <c r="D3008">
        <v>2</v>
      </c>
      <c r="E3008">
        <v>0</v>
      </c>
      <c r="F3008" t="s">
        <v>11287</v>
      </c>
      <c r="G3008">
        <v>200</v>
      </c>
      <c r="H3008">
        <v>0</v>
      </c>
      <c r="I3008" t="s">
        <v>140</v>
      </c>
      <c r="J3008" t="s">
        <v>11288</v>
      </c>
      <c r="K3008" t="s">
        <v>61</v>
      </c>
      <c r="L3008" t="s">
        <v>27</v>
      </c>
      <c r="M3008" t="s">
        <v>28</v>
      </c>
      <c r="N3008" t="s">
        <v>11289</v>
      </c>
      <c r="O3008" t="s">
        <v>27</v>
      </c>
      <c r="P3008" t="s">
        <v>369</v>
      </c>
      <c r="Q3008" t="s">
        <v>31</v>
      </c>
      <c r="R3008" t="s">
        <v>57</v>
      </c>
      <c r="S3008" t="s">
        <v>28</v>
      </c>
      <c r="T3008" t="s">
        <v>11290</v>
      </c>
      <c r="U3008" t="s">
        <v>11289</v>
      </c>
    </row>
    <row r="3009" spans="1:21" x14ac:dyDescent="0.25">
      <c r="A3009" t="s">
        <v>134</v>
      </c>
      <c r="B3009" t="s">
        <v>64</v>
      </c>
      <c r="C3009">
        <v>100</v>
      </c>
      <c r="D3009">
        <v>1</v>
      </c>
      <c r="E3009">
        <v>0</v>
      </c>
      <c r="F3009" t="s">
        <v>11291</v>
      </c>
      <c r="G3009">
        <v>200</v>
      </c>
      <c r="H3009">
        <v>0</v>
      </c>
      <c r="I3009" t="s">
        <v>140</v>
      </c>
      <c r="J3009" t="s">
        <v>11292</v>
      </c>
      <c r="K3009" t="s">
        <v>711</v>
      </c>
      <c r="L3009" t="s">
        <v>27</v>
      </c>
      <c r="M3009" t="s">
        <v>28</v>
      </c>
      <c r="N3009" t="s">
        <v>11293</v>
      </c>
      <c r="O3009" t="s">
        <v>27</v>
      </c>
      <c r="P3009" t="s">
        <v>30</v>
      </c>
      <c r="Q3009" t="s">
        <v>31</v>
      </c>
      <c r="R3009" t="s">
        <v>32</v>
      </c>
      <c r="S3009" t="s">
        <v>28</v>
      </c>
      <c r="T3009" t="s">
        <v>11294</v>
      </c>
      <c r="U3009" t="s">
        <v>11289</v>
      </c>
    </row>
    <row r="3010" spans="1:21" x14ac:dyDescent="0.25">
      <c r="A3010" t="s">
        <v>21</v>
      </c>
      <c r="B3010" t="s">
        <v>22</v>
      </c>
      <c r="C3010">
        <v>100</v>
      </c>
      <c r="D3010">
        <v>1</v>
      </c>
      <c r="E3010">
        <v>0</v>
      </c>
      <c r="F3010" t="s">
        <v>11291</v>
      </c>
      <c r="G3010">
        <v>200</v>
      </c>
      <c r="H3010">
        <v>0</v>
      </c>
      <c r="I3010" t="s">
        <v>140</v>
      </c>
      <c r="J3010" t="s">
        <v>11292</v>
      </c>
      <c r="K3010" t="s">
        <v>711</v>
      </c>
      <c r="L3010" t="s">
        <v>27</v>
      </c>
      <c r="M3010" t="s">
        <v>28</v>
      </c>
      <c r="N3010" t="s">
        <v>11293</v>
      </c>
      <c r="O3010" t="s">
        <v>27</v>
      </c>
      <c r="P3010" t="s">
        <v>30</v>
      </c>
      <c r="Q3010" t="s">
        <v>31</v>
      </c>
      <c r="R3010" t="s">
        <v>32</v>
      </c>
      <c r="S3010" t="s">
        <v>28</v>
      </c>
      <c r="T3010" t="s">
        <v>11294</v>
      </c>
      <c r="U3010" t="s">
        <v>11289</v>
      </c>
    </row>
    <row r="3011" spans="1:21" x14ac:dyDescent="0.25">
      <c r="A3011" t="s">
        <v>33</v>
      </c>
      <c r="B3011" t="s">
        <v>34</v>
      </c>
      <c r="C3011">
        <v>200</v>
      </c>
      <c r="D3011">
        <v>1</v>
      </c>
      <c r="E3011">
        <v>0</v>
      </c>
      <c r="F3011" t="s">
        <v>11295</v>
      </c>
      <c r="G3011">
        <v>200</v>
      </c>
      <c r="H3011">
        <v>0</v>
      </c>
      <c r="I3011" t="s">
        <v>24</v>
      </c>
      <c r="J3011" t="s">
        <v>11296</v>
      </c>
      <c r="K3011" t="s">
        <v>797</v>
      </c>
      <c r="L3011" t="s">
        <v>27</v>
      </c>
      <c r="M3011" t="s">
        <v>28</v>
      </c>
      <c r="N3011" t="s">
        <v>11297</v>
      </c>
      <c r="O3011" t="s">
        <v>27</v>
      </c>
      <c r="P3011" t="s">
        <v>56</v>
      </c>
      <c r="Q3011" t="s">
        <v>31</v>
      </c>
      <c r="R3011" t="s">
        <v>57</v>
      </c>
      <c r="S3011" t="s">
        <v>28</v>
      </c>
      <c r="T3011" t="s">
        <v>11298</v>
      </c>
      <c r="U3011" t="s">
        <v>11297</v>
      </c>
    </row>
    <row r="3012" spans="1:21" x14ac:dyDescent="0.25">
      <c r="A3012" t="s">
        <v>21</v>
      </c>
      <c r="B3012" t="s">
        <v>22</v>
      </c>
      <c r="C3012">
        <v>100</v>
      </c>
      <c r="D3012">
        <v>1</v>
      </c>
      <c r="E3012">
        <v>0</v>
      </c>
      <c r="F3012" t="s">
        <v>11299</v>
      </c>
      <c r="G3012">
        <v>100</v>
      </c>
      <c r="H3012">
        <v>0</v>
      </c>
      <c r="I3012" t="s">
        <v>24</v>
      </c>
      <c r="J3012" t="s">
        <v>11300</v>
      </c>
      <c r="K3012" t="s">
        <v>26</v>
      </c>
      <c r="L3012" t="s">
        <v>27</v>
      </c>
      <c r="M3012" t="s">
        <v>28</v>
      </c>
      <c r="N3012" t="s">
        <v>11301</v>
      </c>
      <c r="O3012" t="s">
        <v>27</v>
      </c>
      <c r="P3012" t="s">
        <v>39</v>
      </c>
      <c r="Q3012" t="s">
        <v>31</v>
      </c>
      <c r="R3012" t="s">
        <v>32</v>
      </c>
      <c r="S3012" t="s">
        <v>28</v>
      </c>
      <c r="T3012" t="s">
        <v>11302</v>
      </c>
      <c r="U3012" t="s">
        <v>11297</v>
      </c>
    </row>
    <row r="3013" spans="1:21" x14ac:dyDescent="0.25">
      <c r="A3013" t="s">
        <v>33</v>
      </c>
      <c r="B3013" t="s">
        <v>34</v>
      </c>
      <c r="C3013">
        <v>200</v>
      </c>
      <c r="D3013">
        <v>1</v>
      </c>
      <c r="E3013">
        <v>0</v>
      </c>
      <c r="F3013" t="s">
        <v>11303</v>
      </c>
      <c r="G3013">
        <v>200</v>
      </c>
      <c r="H3013">
        <v>0</v>
      </c>
      <c r="I3013" t="s">
        <v>24</v>
      </c>
      <c r="J3013" t="s">
        <v>11304</v>
      </c>
      <c r="K3013" t="s">
        <v>237</v>
      </c>
      <c r="L3013" t="s">
        <v>27</v>
      </c>
      <c r="M3013" t="s">
        <v>28</v>
      </c>
      <c r="N3013" t="s">
        <v>11305</v>
      </c>
      <c r="O3013" t="s">
        <v>27</v>
      </c>
      <c r="P3013" t="s">
        <v>56</v>
      </c>
      <c r="Q3013" t="s">
        <v>31</v>
      </c>
      <c r="R3013" t="s">
        <v>57</v>
      </c>
      <c r="S3013" t="s">
        <v>28</v>
      </c>
      <c r="T3013" t="s">
        <v>11306</v>
      </c>
      <c r="U3013" t="s">
        <v>11305</v>
      </c>
    </row>
    <row r="3014" spans="1:21" x14ac:dyDescent="0.25">
      <c r="A3014" t="s">
        <v>33</v>
      </c>
      <c r="B3014" t="s">
        <v>34</v>
      </c>
      <c r="C3014">
        <v>200</v>
      </c>
      <c r="D3014">
        <v>1</v>
      </c>
      <c r="E3014">
        <v>0</v>
      </c>
      <c r="F3014" t="s">
        <v>11307</v>
      </c>
      <c r="G3014">
        <v>200</v>
      </c>
      <c r="H3014">
        <v>0</v>
      </c>
      <c r="I3014" t="s">
        <v>445</v>
      </c>
      <c r="J3014" t="s">
        <v>11308</v>
      </c>
      <c r="K3014" t="s">
        <v>1878</v>
      </c>
      <c r="L3014" t="s">
        <v>27</v>
      </c>
      <c r="M3014" t="s">
        <v>28</v>
      </c>
      <c r="N3014" t="s">
        <v>11309</v>
      </c>
      <c r="O3014" t="s">
        <v>27</v>
      </c>
      <c r="P3014" t="s">
        <v>39</v>
      </c>
      <c r="Q3014" t="s">
        <v>31</v>
      </c>
      <c r="R3014" t="s">
        <v>32</v>
      </c>
      <c r="S3014" t="s">
        <v>28</v>
      </c>
      <c r="T3014" t="s">
        <v>11310</v>
      </c>
      <c r="U3014" t="s">
        <v>11311</v>
      </c>
    </row>
    <row r="3015" spans="1:21" x14ac:dyDescent="0.25">
      <c r="A3015" t="s">
        <v>1513</v>
      </c>
      <c r="B3015" t="s">
        <v>1514</v>
      </c>
      <c r="C3015">
        <v>330</v>
      </c>
      <c r="D3015">
        <v>3</v>
      </c>
      <c r="E3015">
        <v>0</v>
      </c>
      <c r="F3015" t="s">
        <v>11312</v>
      </c>
      <c r="G3015">
        <v>1124</v>
      </c>
      <c r="H3015">
        <v>134</v>
      </c>
      <c r="I3015" t="s">
        <v>24</v>
      </c>
      <c r="J3015" t="s">
        <v>11313</v>
      </c>
      <c r="K3015" t="s">
        <v>594</v>
      </c>
      <c r="L3015" t="s">
        <v>27</v>
      </c>
      <c r="M3015" t="s">
        <v>28</v>
      </c>
      <c r="N3015" t="s">
        <v>11314</v>
      </c>
      <c r="O3015" t="s">
        <v>27</v>
      </c>
      <c r="P3015" t="s">
        <v>39</v>
      </c>
      <c r="Q3015" t="s">
        <v>31</v>
      </c>
      <c r="R3015" t="s">
        <v>32</v>
      </c>
      <c r="S3015" t="s">
        <v>28</v>
      </c>
      <c r="T3015" t="s">
        <v>11315</v>
      </c>
      <c r="U3015" t="s">
        <v>11309</v>
      </c>
    </row>
    <row r="3016" spans="1:21" x14ac:dyDescent="0.25">
      <c r="A3016" t="s">
        <v>2703</v>
      </c>
      <c r="B3016" t="s">
        <v>5909</v>
      </c>
      <c r="C3016">
        <v>420</v>
      </c>
      <c r="D3016">
        <v>1</v>
      </c>
      <c r="E3016">
        <v>0</v>
      </c>
      <c r="F3016" t="s">
        <v>11316</v>
      </c>
      <c r="G3016">
        <v>462</v>
      </c>
      <c r="H3016">
        <v>42</v>
      </c>
      <c r="I3016" t="s">
        <v>24</v>
      </c>
      <c r="J3016" t="s">
        <v>11317</v>
      </c>
      <c r="K3016" t="s">
        <v>11318</v>
      </c>
      <c r="L3016" t="s">
        <v>3264</v>
      </c>
      <c r="M3016" t="s">
        <v>541</v>
      </c>
      <c r="N3016" t="s">
        <v>11309</v>
      </c>
      <c r="O3016" t="s">
        <v>27</v>
      </c>
      <c r="P3016" t="s">
        <v>84</v>
      </c>
      <c r="Q3016" t="s">
        <v>85</v>
      </c>
      <c r="R3016" t="s">
        <v>86</v>
      </c>
      <c r="S3016" t="s">
        <v>28</v>
      </c>
      <c r="T3016" t="s">
        <v>11319</v>
      </c>
      <c r="U3016" t="s">
        <v>11309</v>
      </c>
    </row>
    <row r="3017" spans="1:21" x14ac:dyDescent="0.25">
      <c r="A3017" t="s">
        <v>58</v>
      </c>
      <c r="B3017" t="s">
        <v>58</v>
      </c>
      <c r="C3017">
        <v>100</v>
      </c>
      <c r="D3017">
        <v>8</v>
      </c>
      <c r="E3017">
        <v>0</v>
      </c>
      <c r="F3017" t="s">
        <v>11320</v>
      </c>
      <c r="G3017">
        <v>879</v>
      </c>
      <c r="H3017">
        <v>79</v>
      </c>
      <c r="I3017" t="s">
        <v>445</v>
      </c>
      <c r="J3017" t="s">
        <v>883</v>
      </c>
      <c r="K3017" t="s">
        <v>11321</v>
      </c>
      <c r="L3017" t="s">
        <v>2557</v>
      </c>
      <c r="M3017" t="s">
        <v>6812</v>
      </c>
      <c r="N3017" t="s">
        <v>11314</v>
      </c>
      <c r="O3017" t="s">
        <v>27</v>
      </c>
      <c r="P3017" t="s">
        <v>193</v>
      </c>
      <c r="Q3017" t="s">
        <v>85</v>
      </c>
      <c r="R3017" t="s">
        <v>86</v>
      </c>
      <c r="S3017" t="s">
        <v>28</v>
      </c>
      <c r="T3017" t="s">
        <v>11322</v>
      </c>
      <c r="U3017" t="s">
        <v>11314</v>
      </c>
    </row>
    <row r="3018" spans="1:21" x14ac:dyDescent="0.25">
      <c r="A3018" t="s">
        <v>134</v>
      </c>
      <c r="B3018" t="s">
        <v>64</v>
      </c>
      <c r="C3018">
        <v>100</v>
      </c>
      <c r="D3018">
        <v>1</v>
      </c>
      <c r="E3018">
        <v>0</v>
      </c>
      <c r="F3018" t="s">
        <v>11323</v>
      </c>
      <c r="G3018">
        <v>100</v>
      </c>
      <c r="H3018">
        <v>0</v>
      </c>
      <c r="I3018" t="s">
        <v>140</v>
      </c>
      <c r="J3018" t="s">
        <v>11324</v>
      </c>
      <c r="K3018" t="s">
        <v>653</v>
      </c>
      <c r="L3018" t="s">
        <v>27</v>
      </c>
      <c r="M3018" t="s">
        <v>28</v>
      </c>
      <c r="N3018" t="s">
        <v>11325</v>
      </c>
      <c r="O3018" t="s">
        <v>27</v>
      </c>
      <c r="P3018" t="s">
        <v>30</v>
      </c>
      <c r="Q3018" t="s">
        <v>31</v>
      </c>
      <c r="R3018" t="s">
        <v>32</v>
      </c>
      <c r="S3018" t="s">
        <v>28</v>
      </c>
      <c r="T3018" t="s">
        <v>11326</v>
      </c>
      <c r="U3018" t="s">
        <v>11327</v>
      </c>
    </row>
    <row r="3019" spans="1:21" x14ac:dyDescent="0.25">
      <c r="A3019" t="s">
        <v>21</v>
      </c>
      <c r="B3019" t="s">
        <v>22</v>
      </c>
      <c r="C3019">
        <v>100</v>
      </c>
      <c r="D3019">
        <v>1</v>
      </c>
      <c r="E3019">
        <v>0</v>
      </c>
      <c r="F3019" t="s">
        <v>11328</v>
      </c>
      <c r="G3019">
        <v>106</v>
      </c>
      <c r="H3019">
        <v>6</v>
      </c>
      <c r="I3019" t="s">
        <v>24</v>
      </c>
      <c r="J3019" t="s">
        <v>11329</v>
      </c>
      <c r="K3019" t="s">
        <v>250</v>
      </c>
      <c r="L3019" t="s">
        <v>27</v>
      </c>
      <c r="M3019" t="s">
        <v>28</v>
      </c>
      <c r="N3019" t="s">
        <v>11325</v>
      </c>
      <c r="O3019" t="s">
        <v>27</v>
      </c>
      <c r="P3019" t="s">
        <v>39</v>
      </c>
      <c r="Q3019" t="s">
        <v>31</v>
      </c>
      <c r="R3019" t="s">
        <v>32</v>
      </c>
      <c r="S3019" t="s">
        <v>28</v>
      </c>
      <c r="T3019" t="s">
        <v>11330</v>
      </c>
      <c r="U3019" t="s">
        <v>11325</v>
      </c>
    </row>
    <row r="3020" spans="1:21" x14ac:dyDescent="0.25">
      <c r="A3020" t="s">
        <v>21</v>
      </c>
      <c r="B3020" t="s">
        <v>22</v>
      </c>
      <c r="C3020">
        <v>100</v>
      </c>
      <c r="D3020">
        <v>1</v>
      </c>
      <c r="E3020">
        <v>0</v>
      </c>
      <c r="F3020" t="s">
        <v>11331</v>
      </c>
      <c r="G3020">
        <v>106</v>
      </c>
      <c r="H3020">
        <v>6</v>
      </c>
      <c r="I3020" t="s">
        <v>24</v>
      </c>
      <c r="J3020" t="s">
        <v>10517</v>
      </c>
      <c r="K3020" t="s">
        <v>1989</v>
      </c>
      <c r="L3020" t="s">
        <v>27</v>
      </c>
      <c r="M3020" t="s">
        <v>28</v>
      </c>
      <c r="N3020" t="s">
        <v>11332</v>
      </c>
      <c r="O3020" t="s">
        <v>27</v>
      </c>
      <c r="P3020" t="s">
        <v>39</v>
      </c>
      <c r="Q3020" t="s">
        <v>31</v>
      </c>
      <c r="R3020" t="s">
        <v>32</v>
      </c>
      <c r="S3020" t="s">
        <v>28</v>
      </c>
      <c r="T3020" t="s">
        <v>11333</v>
      </c>
      <c r="U3020" t="s">
        <v>11332</v>
      </c>
    </row>
    <row r="3021" spans="1:21" x14ac:dyDescent="0.25">
      <c r="A3021" t="s">
        <v>456</v>
      </c>
      <c r="B3021" t="s">
        <v>457</v>
      </c>
      <c r="C3021">
        <v>199</v>
      </c>
      <c r="D3021">
        <v>1</v>
      </c>
      <c r="E3021">
        <v>0</v>
      </c>
      <c r="F3021" t="s">
        <v>11334</v>
      </c>
      <c r="G3021">
        <v>199</v>
      </c>
      <c r="H3021">
        <v>0</v>
      </c>
      <c r="I3021" t="s">
        <v>24</v>
      </c>
      <c r="J3021" t="s">
        <v>11335</v>
      </c>
      <c r="K3021" t="s">
        <v>11336</v>
      </c>
      <c r="L3021" t="s">
        <v>666</v>
      </c>
      <c r="M3021" t="s">
        <v>6076</v>
      </c>
      <c r="N3021" t="s">
        <v>11337</v>
      </c>
      <c r="O3021" t="s">
        <v>27</v>
      </c>
      <c r="P3021" t="s">
        <v>193</v>
      </c>
      <c r="Q3021" t="s">
        <v>85</v>
      </c>
      <c r="R3021" t="s">
        <v>86</v>
      </c>
      <c r="S3021" t="s">
        <v>28</v>
      </c>
      <c r="T3021" t="s">
        <v>11338</v>
      </c>
      <c r="U3021" t="s">
        <v>11337</v>
      </c>
    </row>
    <row r="3022" spans="1:21" x14ac:dyDescent="0.25">
      <c r="A3022" t="s">
        <v>33</v>
      </c>
      <c r="B3022" t="s">
        <v>34</v>
      </c>
      <c r="C3022">
        <v>200</v>
      </c>
      <c r="D3022">
        <v>1</v>
      </c>
      <c r="E3022">
        <v>0</v>
      </c>
      <c r="F3022" t="s">
        <v>11339</v>
      </c>
      <c r="G3022">
        <v>200</v>
      </c>
      <c r="H3022">
        <v>0</v>
      </c>
      <c r="I3022" t="s">
        <v>445</v>
      </c>
      <c r="J3022" t="s">
        <v>11340</v>
      </c>
      <c r="K3022" t="s">
        <v>67</v>
      </c>
      <c r="L3022" t="s">
        <v>27</v>
      </c>
      <c r="M3022" t="s">
        <v>28</v>
      </c>
      <c r="N3022" t="s">
        <v>11341</v>
      </c>
      <c r="O3022" t="s">
        <v>27</v>
      </c>
      <c r="P3022" t="s">
        <v>30</v>
      </c>
      <c r="Q3022" t="s">
        <v>31</v>
      </c>
      <c r="R3022" t="s">
        <v>32</v>
      </c>
      <c r="S3022" t="s">
        <v>28</v>
      </c>
      <c r="T3022" t="s">
        <v>11342</v>
      </c>
      <c r="U3022" t="s">
        <v>11341</v>
      </c>
    </row>
    <row r="3023" spans="1:21" x14ac:dyDescent="0.25">
      <c r="A3023" t="s">
        <v>21</v>
      </c>
      <c r="B3023" t="s">
        <v>22</v>
      </c>
      <c r="C3023">
        <v>100</v>
      </c>
      <c r="D3023">
        <v>1</v>
      </c>
      <c r="E3023">
        <v>0</v>
      </c>
      <c r="F3023" t="s">
        <v>11343</v>
      </c>
      <c r="G3023">
        <v>100</v>
      </c>
      <c r="H3023">
        <v>0</v>
      </c>
      <c r="I3023" t="s">
        <v>24</v>
      </c>
      <c r="J3023" t="s">
        <v>11344</v>
      </c>
      <c r="K3023" t="s">
        <v>26</v>
      </c>
      <c r="L3023" t="s">
        <v>27</v>
      </c>
      <c r="M3023" t="s">
        <v>28</v>
      </c>
      <c r="N3023" t="s">
        <v>11345</v>
      </c>
      <c r="O3023" t="s">
        <v>27</v>
      </c>
      <c r="P3023" t="s">
        <v>39</v>
      </c>
      <c r="Q3023" t="s">
        <v>31</v>
      </c>
      <c r="R3023" t="s">
        <v>32</v>
      </c>
      <c r="S3023" t="s">
        <v>28</v>
      </c>
      <c r="T3023" t="s">
        <v>11346</v>
      </c>
      <c r="U3023" t="s">
        <v>11345</v>
      </c>
    </row>
    <row r="3024" spans="1:21" x14ac:dyDescent="0.25">
      <c r="A3024" t="s">
        <v>40</v>
      </c>
      <c r="B3024" t="s">
        <v>41</v>
      </c>
      <c r="C3024">
        <v>96.35</v>
      </c>
      <c r="D3024">
        <v>1</v>
      </c>
      <c r="E3024">
        <v>0</v>
      </c>
      <c r="F3024" t="s">
        <v>11347</v>
      </c>
      <c r="G3024">
        <v>101.35</v>
      </c>
      <c r="H3024">
        <v>5</v>
      </c>
      <c r="I3024" t="s">
        <v>24</v>
      </c>
      <c r="J3024" t="s">
        <v>11348</v>
      </c>
      <c r="K3024" t="s">
        <v>11349</v>
      </c>
      <c r="L3024" t="s">
        <v>885</v>
      </c>
      <c r="M3024" t="s">
        <v>11350</v>
      </c>
      <c r="N3024" t="s">
        <v>11351</v>
      </c>
      <c r="O3024" t="s">
        <v>27</v>
      </c>
      <c r="P3024" t="s">
        <v>48</v>
      </c>
      <c r="Q3024" t="s">
        <v>49</v>
      </c>
      <c r="R3024" t="s">
        <v>50</v>
      </c>
      <c r="S3024" t="s">
        <v>28</v>
      </c>
      <c r="T3024" t="s">
        <v>11352</v>
      </c>
      <c r="U3024" t="s">
        <v>11351</v>
      </c>
    </row>
    <row r="3025" spans="1:21" x14ac:dyDescent="0.25">
      <c r="A3025" t="s">
        <v>261</v>
      </c>
      <c r="B3025" t="s">
        <v>262</v>
      </c>
      <c r="C3025">
        <v>250</v>
      </c>
      <c r="D3025">
        <v>1</v>
      </c>
      <c r="E3025">
        <v>0</v>
      </c>
      <c r="F3025" t="s">
        <v>11353</v>
      </c>
      <c r="G3025">
        <v>250</v>
      </c>
      <c r="H3025">
        <v>0</v>
      </c>
      <c r="I3025" t="s">
        <v>140</v>
      </c>
      <c r="J3025" t="s">
        <v>11354</v>
      </c>
      <c r="K3025" t="s">
        <v>572</v>
      </c>
      <c r="L3025" t="s">
        <v>27</v>
      </c>
      <c r="M3025" t="s">
        <v>28</v>
      </c>
      <c r="N3025" t="s">
        <v>11355</v>
      </c>
      <c r="O3025" t="s">
        <v>27</v>
      </c>
      <c r="P3025" t="s">
        <v>30</v>
      </c>
      <c r="Q3025" t="s">
        <v>31</v>
      </c>
      <c r="R3025" t="s">
        <v>32</v>
      </c>
      <c r="S3025" t="s">
        <v>28</v>
      </c>
      <c r="T3025" t="s">
        <v>11356</v>
      </c>
      <c r="U3025" t="s">
        <v>11355</v>
      </c>
    </row>
    <row r="3026" spans="1:21" x14ac:dyDescent="0.25">
      <c r="A3026" t="s">
        <v>58</v>
      </c>
      <c r="B3026" t="s">
        <v>58</v>
      </c>
      <c r="C3026">
        <v>100</v>
      </c>
      <c r="D3026">
        <v>1</v>
      </c>
      <c r="E3026">
        <v>0</v>
      </c>
      <c r="F3026" t="s">
        <v>11357</v>
      </c>
      <c r="G3026">
        <v>338</v>
      </c>
      <c r="H3026">
        <v>41</v>
      </c>
      <c r="I3026" t="s">
        <v>445</v>
      </c>
      <c r="J3026" t="s">
        <v>11358</v>
      </c>
      <c r="K3026" t="s">
        <v>11359</v>
      </c>
      <c r="L3026" t="s">
        <v>11360</v>
      </c>
      <c r="M3026" t="s">
        <v>11361</v>
      </c>
      <c r="N3026" t="s">
        <v>11305</v>
      </c>
      <c r="O3026" t="s">
        <v>27</v>
      </c>
      <c r="P3026" t="s">
        <v>193</v>
      </c>
      <c r="Q3026" t="s">
        <v>85</v>
      </c>
      <c r="R3026" t="s">
        <v>86</v>
      </c>
      <c r="S3026" t="s">
        <v>28</v>
      </c>
      <c r="T3026" t="s">
        <v>11362</v>
      </c>
      <c r="U3026" t="s">
        <v>11355</v>
      </c>
    </row>
    <row r="3027" spans="1:21" x14ac:dyDescent="0.25">
      <c r="A3027" t="s">
        <v>456</v>
      </c>
      <c r="B3027" t="s">
        <v>457</v>
      </c>
      <c r="C3027">
        <v>197</v>
      </c>
      <c r="D3027">
        <v>1</v>
      </c>
      <c r="E3027">
        <v>0</v>
      </c>
      <c r="F3027" t="s">
        <v>11357</v>
      </c>
      <c r="G3027">
        <v>338</v>
      </c>
      <c r="H3027">
        <v>41</v>
      </c>
      <c r="I3027" t="s">
        <v>445</v>
      </c>
      <c r="J3027" t="s">
        <v>11358</v>
      </c>
      <c r="K3027" t="s">
        <v>11359</v>
      </c>
      <c r="L3027" t="s">
        <v>11360</v>
      </c>
      <c r="M3027" t="s">
        <v>11361</v>
      </c>
      <c r="N3027" t="s">
        <v>11305</v>
      </c>
      <c r="O3027" t="s">
        <v>27</v>
      </c>
      <c r="P3027" t="s">
        <v>193</v>
      </c>
      <c r="Q3027" t="s">
        <v>85</v>
      </c>
      <c r="R3027" t="s">
        <v>86</v>
      </c>
      <c r="S3027" t="s">
        <v>28</v>
      </c>
      <c r="T3027" t="s">
        <v>11362</v>
      </c>
      <c r="U3027" t="s">
        <v>11355</v>
      </c>
    </row>
    <row r="3028" spans="1:21" x14ac:dyDescent="0.25">
      <c r="A3028" t="s">
        <v>21</v>
      </c>
      <c r="B3028" t="s">
        <v>22</v>
      </c>
      <c r="C3028">
        <v>100</v>
      </c>
      <c r="D3028">
        <v>1</v>
      </c>
      <c r="E3028">
        <v>0</v>
      </c>
      <c r="F3028" t="s">
        <v>11363</v>
      </c>
      <c r="G3028">
        <v>106</v>
      </c>
      <c r="H3028">
        <v>6</v>
      </c>
      <c r="I3028" t="s">
        <v>24</v>
      </c>
      <c r="J3028" t="s">
        <v>11364</v>
      </c>
      <c r="K3028" t="s">
        <v>11365</v>
      </c>
      <c r="L3028" t="s">
        <v>27</v>
      </c>
      <c r="M3028" t="s">
        <v>28</v>
      </c>
      <c r="N3028" t="s">
        <v>11355</v>
      </c>
      <c r="O3028" t="s">
        <v>27</v>
      </c>
      <c r="P3028" t="s">
        <v>56</v>
      </c>
      <c r="Q3028" t="s">
        <v>31</v>
      </c>
      <c r="R3028" t="s">
        <v>57</v>
      </c>
      <c r="S3028" t="s">
        <v>28</v>
      </c>
      <c r="T3028" t="s">
        <v>11366</v>
      </c>
      <c r="U3028" t="s">
        <v>11367</v>
      </c>
    </row>
    <row r="3029" spans="1:21" x14ac:dyDescent="0.25">
      <c r="A3029" t="s">
        <v>2990</v>
      </c>
      <c r="B3029" t="s">
        <v>2169</v>
      </c>
      <c r="C3029">
        <v>224.7</v>
      </c>
      <c r="D3029">
        <v>1</v>
      </c>
      <c r="E3029">
        <v>0</v>
      </c>
      <c r="F3029" t="s">
        <v>11368</v>
      </c>
      <c r="G3029">
        <v>229.7</v>
      </c>
      <c r="H3029">
        <v>5</v>
      </c>
      <c r="I3029" t="s">
        <v>24</v>
      </c>
      <c r="J3029" t="s">
        <v>11369</v>
      </c>
      <c r="K3029" t="s">
        <v>11370</v>
      </c>
      <c r="L3029" t="s">
        <v>11371</v>
      </c>
      <c r="M3029" t="s">
        <v>11372</v>
      </c>
      <c r="N3029" t="s">
        <v>11373</v>
      </c>
      <c r="O3029" t="s">
        <v>27</v>
      </c>
      <c r="P3029" t="s">
        <v>48</v>
      </c>
      <c r="Q3029" t="s">
        <v>49</v>
      </c>
      <c r="R3029" t="s">
        <v>50</v>
      </c>
      <c r="S3029" t="s">
        <v>28</v>
      </c>
      <c r="T3029" t="s">
        <v>11374</v>
      </c>
      <c r="U3029" t="s">
        <v>11373</v>
      </c>
    </row>
    <row r="3030" spans="1:21" x14ac:dyDescent="0.25">
      <c r="A3030" t="s">
        <v>33</v>
      </c>
      <c r="B3030" t="s">
        <v>34</v>
      </c>
      <c r="C3030">
        <v>200</v>
      </c>
      <c r="D3030">
        <v>1</v>
      </c>
      <c r="E3030">
        <v>0</v>
      </c>
      <c r="F3030" t="s">
        <v>11375</v>
      </c>
      <c r="G3030">
        <v>206</v>
      </c>
      <c r="H3030">
        <v>6</v>
      </c>
      <c r="I3030" t="s">
        <v>445</v>
      </c>
      <c r="J3030" t="s">
        <v>11376</v>
      </c>
      <c r="K3030" t="s">
        <v>67</v>
      </c>
      <c r="L3030" t="s">
        <v>27</v>
      </c>
      <c r="M3030" t="s">
        <v>28</v>
      </c>
      <c r="N3030" t="s">
        <v>11377</v>
      </c>
      <c r="O3030" t="s">
        <v>27</v>
      </c>
      <c r="P3030" t="s">
        <v>56</v>
      </c>
      <c r="Q3030" t="s">
        <v>31</v>
      </c>
      <c r="R3030" t="s">
        <v>57</v>
      </c>
      <c r="S3030" t="s">
        <v>28</v>
      </c>
      <c r="T3030" t="s">
        <v>11378</v>
      </c>
      <c r="U3030" t="s">
        <v>11379</v>
      </c>
    </row>
    <row r="3031" spans="1:21" x14ac:dyDescent="0.25">
      <c r="A3031" t="s">
        <v>33</v>
      </c>
      <c r="B3031" t="s">
        <v>34</v>
      </c>
      <c r="C3031">
        <v>200</v>
      </c>
      <c r="D3031">
        <v>1</v>
      </c>
      <c r="E3031">
        <v>0</v>
      </c>
      <c r="F3031" t="s">
        <v>11380</v>
      </c>
      <c r="G3031">
        <v>200</v>
      </c>
      <c r="H3031">
        <v>0</v>
      </c>
      <c r="I3031" t="s">
        <v>24</v>
      </c>
      <c r="J3031" t="s">
        <v>11381</v>
      </c>
      <c r="K3031" t="s">
        <v>1602</v>
      </c>
      <c r="L3031" t="s">
        <v>27</v>
      </c>
      <c r="M3031" t="s">
        <v>28</v>
      </c>
      <c r="N3031" t="s">
        <v>11382</v>
      </c>
      <c r="O3031" t="s">
        <v>27</v>
      </c>
      <c r="P3031" t="s">
        <v>56</v>
      </c>
      <c r="Q3031" t="s">
        <v>31</v>
      </c>
      <c r="R3031" t="s">
        <v>57</v>
      </c>
      <c r="S3031" t="s">
        <v>28</v>
      </c>
      <c r="T3031" t="s">
        <v>11383</v>
      </c>
      <c r="U3031" t="s">
        <v>11382</v>
      </c>
    </row>
    <row r="3032" spans="1:21" x14ac:dyDescent="0.25">
      <c r="A3032" t="s">
        <v>40</v>
      </c>
      <c r="B3032" t="s">
        <v>11384</v>
      </c>
      <c r="C3032">
        <v>100</v>
      </c>
      <c r="D3032">
        <v>1</v>
      </c>
      <c r="E3032">
        <v>0</v>
      </c>
      <c r="F3032" t="s">
        <v>11385</v>
      </c>
      <c r="G3032">
        <v>200</v>
      </c>
      <c r="H3032">
        <v>0</v>
      </c>
      <c r="I3032" t="s">
        <v>140</v>
      </c>
      <c r="J3032" t="s">
        <v>11386</v>
      </c>
      <c r="K3032" t="s">
        <v>124</v>
      </c>
      <c r="L3032" t="s">
        <v>27</v>
      </c>
      <c r="M3032" t="s">
        <v>28</v>
      </c>
      <c r="N3032" t="s">
        <v>11387</v>
      </c>
      <c r="O3032" t="s">
        <v>27</v>
      </c>
      <c r="P3032" t="s">
        <v>30</v>
      </c>
      <c r="Q3032" t="s">
        <v>31</v>
      </c>
      <c r="R3032" t="s">
        <v>32</v>
      </c>
      <c r="S3032" t="s">
        <v>28</v>
      </c>
      <c r="T3032" t="s">
        <v>11388</v>
      </c>
      <c r="U3032" t="s">
        <v>11387</v>
      </c>
    </row>
    <row r="3033" spans="1:21" x14ac:dyDescent="0.25">
      <c r="A3033" t="s">
        <v>63</v>
      </c>
      <c r="B3033" t="s">
        <v>64</v>
      </c>
      <c r="C3033">
        <v>100</v>
      </c>
      <c r="D3033">
        <v>1</v>
      </c>
      <c r="E3033">
        <v>0</v>
      </c>
      <c r="F3033" t="s">
        <v>11385</v>
      </c>
      <c r="G3033">
        <v>200</v>
      </c>
      <c r="H3033">
        <v>0</v>
      </c>
      <c r="I3033" t="s">
        <v>140</v>
      </c>
      <c r="J3033" t="s">
        <v>11386</v>
      </c>
      <c r="K3033" t="s">
        <v>124</v>
      </c>
      <c r="L3033" t="s">
        <v>27</v>
      </c>
      <c r="M3033" t="s">
        <v>28</v>
      </c>
      <c r="N3033" t="s">
        <v>11387</v>
      </c>
      <c r="O3033" t="s">
        <v>27</v>
      </c>
      <c r="P3033" t="s">
        <v>30</v>
      </c>
      <c r="Q3033" t="s">
        <v>31</v>
      </c>
      <c r="R3033" t="s">
        <v>32</v>
      </c>
      <c r="S3033" t="s">
        <v>28</v>
      </c>
      <c r="T3033" t="s">
        <v>11388</v>
      </c>
      <c r="U3033" t="s">
        <v>11387</v>
      </c>
    </row>
    <row r="3034" spans="1:21" x14ac:dyDescent="0.25">
      <c r="A3034" t="s">
        <v>40</v>
      </c>
      <c r="B3034" t="s">
        <v>11384</v>
      </c>
      <c r="C3034">
        <v>100</v>
      </c>
      <c r="D3034">
        <v>1</v>
      </c>
      <c r="E3034">
        <v>0</v>
      </c>
      <c r="F3034" t="s">
        <v>11389</v>
      </c>
      <c r="G3034">
        <v>106</v>
      </c>
      <c r="H3034">
        <v>6</v>
      </c>
      <c r="I3034" t="s">
        <v>140</v>
      </c>
      <c r="J3034" t="s">
        <v>11390</v>
      </c>
      <c r="K3034" t="s">
        <v>321</v>
      </c>
      <c r="L3034" t="s">
        <v>27</v>
      </c>
      <c r="M3034" t="s">
        <v>28</v>
      </c>
      <c r="N3034" t="s">
        <v>11391</v>
      </c>
      <c r="O3034" t="s">
        <v>27</v>
      </c>
      <c r="P3034" t="s">
        <v>369</v>
      </c>
      <c r="Q3034" t="s">
        <v>31</v>
      </c>
      <c r="R3034" t="s">
        <v>57</v>
      </c>
      <c r="S3034" t="s">
        <v>28</v>
      </c>
      <c r="T3034" t="s">
        <v>11392</v>
      </c>
      <c r="U3034" t="s">
        <v>11391</v>
      </c>
    </row>
    <row r="3035" spans="1:21" x14ac:dyDescent="0.25">
      <c r="A3035" t="s">
        <v>21</v>
      </c>
      <c r="B3035" t="s">
        <v>22</v>
      </c>
      <c r="C3035">
        <v>100</v>
      </c>
      <c r="D3035">
        <v>2</v>
      </c>
      <c r="E3035">
        <v>0</v>
      </c>
      <c r="F3035" t="s">
        <v>11393</v>
      </c>
      <c r="G3035">
        <v>200</v>
      </c>
      <c r="H3035">
        <v>0</v>
      </c>
      <c r="I3035" t="s">
        <v>24</v>
      </c>
      <c r="J3035" t="s">
        <v>11394</v>
      </c>
      <c r="K3035" t="s">
        <v>311</v>
      </c>
      <c r="L3035" t="s">
        <v>27</v>
      </c>
      <c r="M3035" t="s">
        <v>28</v>
      </c>
      <c r="N3035" t="s">
        <v>11395</v>
      </c>
      <c r="O3035" t="s">
        <v>27</v>
      </c>
      <c r="P3035" t="s">
        <v>39</v>
      </c>
      <c r="Q3035" t="s">
        <v>31</v>
      </c>
      <c r="R3035" t="s">
        <v>32</v>
      </c>
      <c r="S3035" t="s">
        <v>28</v>
      </c>
      <c r="T3035" t="s">
        <v>11396</v>
      </c>
      <c r="U3035" t="s">
        <v>11395</v>
      </c>
    </row>
    <row r="3036" spans="1:21" x14ac:dyDescent="0.25">
      <c r="A3036" t="s">
        <v>2307</v>
      </c>
      <c r="B3036" t="s">
        <v>2308</v>
      </c>
      <c r="C3036">
        <v>330</v>
      </c>
      <c r="D3036">
        <v>1</v>
      </c>
      <c r="E3036">
        <v>0</v>
      </c>
      <c r="F3036" t="s">
        <v>11397</v>
      </c>
      <c r="G3036">
        <v>330</v>
      </c>
      <c r="H3036">
        <v>0</v>
      </c>
      <c r="I3036" t="s">
        <v>140</v>
      </c>
      <c r="J3036" t="s">
        <v>11398</v>
      </c>
      <c r="K3036" t="s">
        <v>936</v>
      </c>
      <c r="L3036" t="s">
        <v>27</v>
      </c>
      <c r="M3036" t="s">
        <v>28</v>
      </c>
      <c r="N3036" t="s">
        <v>11399</v>
      </c>
      <c r="O3036" t="s">
        <v>27</v>
      </c>
      <c r="P3036" t="s">
        <v>30</v>
      </c>
      <c r="Q3036" t="s">
        <v>31</v>
      </c>
      <c r="R3036" t="s">
        <v>32</v>
      </c>
      <c r="S3036" t="s">
        <v>28</v>
      </c>
      <c r="T3036" t="s">
        <v>11400</v>
      </c>
      <c r="U3036" t="s">
        <v>11401</v>
      </c>
    </row>
    <row r="3037" spans="1:21" x14ac:dyDescent="0.25">
      <c r="A3037" t="s">
        <v>21</v>
      </c>
      <c r="B3037" t="s">
        <v>22</v>
      </c>
      <c r="C3037">
        <v>100</v>
      </c>
      <c r="D3037">
        <v>3</v>
      </c>
      <c r="E3037">
        <v>0</v>
      </c>
      <c r="F3037" t="s">
        <v>11402</v>
      </c>
      <c r="G3037">
        <v>300</v>
      </c>
      <c r="H3037">
        <v>0</v>
      </c>
      <c r="I3037" t="s">
        <v>24</v>
      </c>
      <c r="J3037" t="s">
        <v>11403</v>
      </c>
      <c r="K3037" t="s">
        <v>919</v>
      </c>
      <c r="L3037" t="s">
        <v>27</v>
      </c>
      <c r="M3037" t="s">
        <v>28</v>
      </c>
      <c r="N3037" t="s">
        <v>11399</v>
      </c>
      <c r="O3037" t="s">
        <v>27</v>
      </c>
      <c r="P3037" t="s">
        <v>39</v>
      </c>
      <c r="Q3037" t="s">
        <v>31</v>
      </c>
      <c r="R3037" t="s">
        <v>32</v>
      </c>
      <c r="S3037" t="s">
        <v>28</v>
      </c>
      <c r="T3037" t="s">
        <v>11404</v>
      </c>
      <c r="U3037" t="s">
        <v>11401</v>
      </c>
    </row>
    <row r="3038" spans="1:21" x14ac:dyDescent="0.25">
      <c r="A3038" t="s">
        <v>21</v>
      </c>
      <c r="B3038" t="s">
        <v>22</v>
      </c>
      <c r="C3038">
        <v>100</v>
      </c>
      <c r="D3038">
        <v>1</v>
      </c>
      <c r="E3038">
        <v>0</v>
      </c>
      <c r="F3038" t="s">
        <v>11405</v>
      </c>
      <c r="G3038">
        <v>106</v>
      </c>
      <c r="H3038">
        <v>6</v>
      </c>
      <c r="I3038" t="s">
        <v>24</v>
      </c>
      <c r="J3038" t="s">
        <v>9763</v>
      </c>
      <c r="K3038" t="s">
        <v>311</v>
      </c>
      <c r="L3038" t="s">
        <v>27</v>
      </c>
      <c r="M3038" t="s">
        <v>28</v>
      </c>
      <c r="N3038" t="s">
        <v>11399</v>
      </c>
      <c r="O3038" t="s">
        <v>27</v>
      </c>
      <c r="P3038" t="s">
        <v>39</v>
      </c>
      <c r="Q3038" t="s">
        <v>31</v>
      </c>
      <c r="R3038" t="s">
        <v>32</v>
      </c>
      <c r="S3038" t="s">
        <v>28</v>
      </c>
      <c r="T3038" t="s">
        <v>11406</v>
      </c>
      <c r="U3038" t="s">
        <v>11399</v>
      </c>
    </row>
    <row r="3039" spans="1:21" x14ac:dyDescent="0.25">
      <c r="A3039" t="s">
        <v>134</v>
      </c>
      <c r="B3039" t="s">
        <v>64</v>
      </c>
      <c r="C3039">
        <v>100</v>
      </c>
      <c r="D3039">
        <v>1</v>
      </c>
      <c r="E3039">
        <v>0</v>
      </c>
      <c r="F3039" t="s">
        <v>11407</v>
      </c>
      <c r="G3039">
        <v>106</v>
      </c>
      <c r="H3039">
        <v>6</v>
      </c>
      <c r="I3039" t="s">
        <v>140</v>
      </c>
      <c r="J3039" t="s">
        <v>11408</v>
      </c>
      <c r="K3039" t="s">
        <v>285</v>
      </c>
      <c r="L3039" t="s">
        <v>27</v>
      </c>
      <c r="M3039" t="s">
        <v>28</v>
      </c>
      <c r="N3039" t="s">
        <v>11399</v>
      </c>
      <c r="O3039" t="s">
        <v>27</v>
      </c>
      <c r="P3039" t="s">
        <v>30</v>
      </c>
      <c r="Q3039" t="s">
        <v>31</v>
      </c>
      <c r="R3039" t="s">
        <v>32</v>
      </c>
      <c r="S3039" t="s">
        <v>28</v>
      </c>
      <c r="T3039" t="s">
        <v>11409</v>
      </c>
      <c r="U3039" t="s">
        <v>11399</v>
      </c>
    </row>
    <row r="3040" spans="1:21" x14ac:dyDescent="0.25">
      <c r="A3040" t="s">
        <v>134</v>
      </c>
      <c r="B3040" t="s">
        <v>64</v>
      </c>
      <c r="C3040">
        <v>100</v>
      </c>
      <c r="D3040">
        <v>1</v>
      </c>
      <c r="E3040">
        <v>0</v>
      </c>
      <c r="F3040" t="s">
        <v>11410</v>
      </c>
      <c r="G3040">
        <v>106</v>
      </c>
      <c r="H3040">
        <v>6</v>
      </c>
      <c r="I3040" t="s">
        <v>24</v>
      </c>
      <c r="J3040" t="s">
        <v>11411</v>
      </c>
      <c r="K3040" t="s">
        <v>583</v>
      </c>
      <c r="L3040" t="s">
        <v>27</v>
      </c>
      <c r="M3040" t="s">
        <v>28</v>
      </c>
      <c r="N3040" t="s">
        <v>11412</v>
      </c>
      <c r="O3040" t="s">
        <v>27</v>
      </c>
      <c r="P3040" t="s">
        <v>39</v>
      </c>
      <c r="Q3040" t="s">
        <v>31</v>
      </c>
      <c r="R3040" t="s">
        <v>32</v>
      </c>
      <c r="S3040" t="s">
        <v>28</v>
      </c>
      <c r="T3040" t="s">
        <v>11413</v>
      </c>
      <c r="U3040" t="s">
        <v>11412</v>
      </c>
    </row>
    <row r="3041" spans="1:21" x14ac:dyDescent="0.25">
      <c r="A3041" t="s">
        <v>195</v>
      </c>
      <c r="B3041" t="s">
        <v>1003</v>
      </c>
      <c r="C3041">
        <v>173.25</v>
      </c>
      <c r="D3041">
        <v>1</v>
      </c>
      <c r="E3041">
        <v>0</v>
      </c>
      <c r="F3041" t="s">
        <v>11414</v>
      </c>
      <c r="G3041">
        <v>173.25</v>
      </c>
      <c r="H3041">
        <v>0</v>
      </c>
      <c r="I3041" t="s">
        <v>628</v>
      </c>
      <c r="J3041" t="s">
        <v>7237</v>
      </c>
      <c r="K3041" t="s">
        <v>7238</v>
      </c>
      <c r="L3041" t="s">
        <v>1184</v>
      </c>
      <c r="M3041" t="s">
        <v>7239</v>
      </c>
      <c r="N3041" t="s">
        <v>11415</v>
      </c>
      <c r="O3041" t="s">
        <v>27</v>
      </c>
      <c r="P3041" t="s">
        <v>48</v>
      </c>
      <c r="Q3041" t="s">
        <v>49</v>
      </c>
      <c r="R3041" t="s">
        <v>50</v>
      </c>
      <c r="S3041" t="s">
        <v>28</v>
      </c>
      <c r="T3041" t="s">
        <v>11416</v>
      </c>
      <c r="U3041" t="s">
        <v>11417</v>
      </c>
    </row>
    <row r="3042" spans="1:21" x14ac:dyDescent="0.25">
      <c r="A3042" t="s">
        <v>21</v>
      </c>
      <c r="B3042" t="s">
        <v>22</v>
      </c>
      <c r="C3042">
        <v>100</v>
      </c>
      <c r="D3042">
        <v>1</v>
      </c>
      <c r="E3042">
        <v>0</v>
      </c>
      <c r="F3042" t="s">
        <v>11418</v>
      </c>
      <c r="G3042">
        <v>100</v>
      </c>
      <c r="H3042">
        <v>0</v>
      </c>
      <c r="I3042" t="s">
        <v>445</v>
      </c>
      <c r="J3042" t="s">
        <v>11419</v>
      </c>
      <c r="K3042" t="s">
        <v>213</v>
      </c>
      <c r="L3042" t="s">
        <v>27</v>
      </c>
      <c r="M3042" t="s">
        <v>28</v>
      </c>
      <c r="N3042" t="s">
        <v>11420</v>
      </c>
      <c r="O3042" t="s">
        <v>27</v>
      </c>
      <c r="P3042" t="s">
        <v>39</v>
      </c>
      <c r="Q3042" t="s">
        <v>31</v>
      </c>
      <c r="R3042" t="s">
        <v>32</v>
      </c>
      <c r="S3042" t="s">
        <v>28</v>
      </c>
      <c r="T3042" t="s">
        <v>11421</v>
      </c>
      <c r="U3042" t="s">
        <v>11420</v>
      </c>
    </row>
    <row r="3043" spans="1:21" x14ac:dyDescent="0.25">
      <c r="A3043" t="s">
        <v>21</v>
      </c>
      <c r="B3043" t="s">
        <v>22</v>
      </c>
      <c r="C3043">
        <v>100</v>
      </c>
      <c r="D3043">
        <v>1</v>
      </c>
      <c r="E3043">
        <v>0</v>
      </c>
      <c r="F3043" t="s">
        <v>11422</v>
      </c>
      <c r="G3043">
        <v>100</v>
      </c>
      <c r="H3043">
        <v>0</v>
      </c>
      <c r="I3043" t="s">
        <v>24</v>
      </c>
      <c r="J3043" t="s">
        <v>11423</v>
      </c>
      <c r="K3043" t="s">
        <v>960</v>
      </c>
      <c r="L3043" t="s">
        <v>27</v>
      </c>
      <c r="M3043" t="s">
        <v>28</v>
      </c>
      <c r="N3043" t="s">
        <v>11420</v>
      </c>
      <c r="O3043" t="s">
        <v>27</v>
      </c>
      <c r="P3043" t="s">
        <v>39</v>
      </c>
      <c r="Q3043" t="s">
        <v>31</v>
      </c>
      <c r="R3043" t="s">
        <v>32</v>
      </c>
      <c r="S3043" t="s">
        <v>28</v>
      </c>
      <c r="T3043" t="s">
        <v>11424</v>
      </c>
      <c r="U3043" t="s">
        <v>11420</v>
      </c>
    </row>
    <row r="3044" spans="1:21" x14ac:dyDescent="0.25">
      <c r="A3044" t="s">
        <v>21</v>
      </c>
      <c r="B3044" t="s">
        <v>22</v>
      </c>
      <c r="C3044">
        <v>100</v>
      </c>
      <c r="D3044">
        <v>1</v>
      </c>
      <c r="E3044">
        <v>0</v>
      </c>
      <c r="F3044" t="s">
        <v>11425</v>
      </c>
      <c r="G3044">
        <v>106</v>
      </c>
      <c r="H3044">
        <v>6</v>
      </c>
      <c r="I3044" t="s">
        <v>24</v>
      </c>
      <c r="J3044" t="s">
        <v>11426</v>
      </c>
      <c r="K3044" t="s">
        <v>37</v>
      </c>
      <c r="L3044" t="s">
        <v>27</v>
      </c>
      <c r="M3044" t="s">
        <v>28</v>
      </c>
      <c r="N3044" t="s">
        <v>11427</v>
      </c>
      <c r="O3044" t="s">
        <v>27</v>
      </c>
      <c r="P3044" t="s">
        <v>39</v>
      </c>
      <c r="Q3044" t="s">
        <v>31</v>
      </c>
      <c r="R3044" t="s">
        <v>32</v>
      </c>
      <c r="S3044" t="s">
        <v>28</v>
      </c>
      <c r="T3044" t="s">
        <v>11428</v>
      </c>
      <c r="U3044" t="s">
        <v>11427</v>
      </c>
    </row>
    <row r="3045" spans="1:21" x14ac:dyDescent="0.25">
      <c r="A3045" t="s">
        <v>275</v>
      </c>
      <c r="B3045" t="s">
        <v>276</v>
      </c>
      <c r="C3045">
        <v>139.5</v>
      </c>
      <c r="D3045">
        <v>1</v>
      </c>
      <c r="E3045">
        <v>0</v>
      </c>
      <c r="F3045" t="s">
        <v>11429</v>
      </c>
      <c r="G3045">
        <v>184.5</v>
      </c>
      <c r="H3045">
        <v>45</v>
      </c>
      <c r="I3045" t="s">
        <v>24</v>
      </c>
      <c r="J3045" t="s">
        <v>11430</v>
      </c>
      <c r="K3045" t="s">
        <v>11431</v>
      </c>
      <c r="L3045" t="s">
        <v>1234</v>
      </c>
      <c r="M3045" t="s">
        <v>11432</v>
      </c>
      <c r="N3045" t="s">
        <v>11427</v>
      </c>
      <c r="O3045" t="s">
        <v>27</v>
      </c>
      <c r="P3045" t="s">
        <v>48</v>
      </c>
      <c r="Q3045" t="s">
        <v>49</v>
      </c>
      <c r="R3045" t="s">
        <v>50</v>
      </c>
      <c r="S3045" t="s">
        <v>28</v>
      </c>
      <c r="T3045" t="s">
        <v>11433</v>
      </c>
      <c r="U3045" t="s">
        <v>11427</v>
      </c>
    </row>
    <row r="3046" spans="1:21" x14ac:dyDescent="0.25">
      <c r="A3046" t="s">
        <v>33</v>
      </c>
      <c r="B3046" t="s">
        <v>34</v>
      </c>
      <c r="C3046">
        <v>200</v>
      </c>
      <c r="D3046">
        <v>1</v>
      </c>
      <c r="E3046">
        <v>0</v>
      </c>
      <c r="F3046" t="s">
        <v>11434</v>
      </c>
      <c r="G3046">
        <v>200</v>
      </c>
      <c r="H3046">
        <v>0</v>
      </c>
      <c r="I3046" t="s">
        <v>24</v>
      </c>
      <c r="J3046" t="s">
        <v>11435</v>
      </c>
      <c r="K3046" t="s">
        <v>346</v>
      </c>
      <c r="L3046" t="s">
        <v>27</v>
      </c>
      <c r="M3046" t="s">
        <v>28</v>
      </c>
      <c r="N3046" t="s">
        <v>11436</v>
      </c>
      <c r="O3046" t="s">
        <v>27</v>
      </c>
      <c r="P3046" t="s">
        <v>56</v>
      </c>
      <c r="Q3046" t="s">
        <v>31</v>
      </c>
      <c r="R3046" t="s">
        <v>57</v>
      </c>
      <c r="S3046" t="s">
        <v>28</v>
      </c>
      <c r="T3046" t="s">
        <v>11437</v>
      </c>
      <c r="U3046" t="s">
        <v>11436</v>
      </c>
    </row>
    <row r="3047" spans="1:21" x14ac:dyDescent="0.25">
      <c r="A3047" t="s">
        <v>58</v>
      </c>
      <c r="B3047" t="s">
        <v>103</v>
      </c>
      <c r="C3047">
        <v>84</v>
      </c>
      <c r="D3047">
        <v>1</v>
      </c>
      <c r="E3047">
        <v>0</v>
      </c>
      <c r="F3047" t="s">
        <v>11438</v>
      </c>
      <c r="G3047">
        <v>84</v>
      </c>
      <c r="H3047">
        <v>0</v>
      </c>
      <c r="I3047" t="s">
        <v>105</v>
      </c>
      <c r="J3047" t="s">
        <v>4363</v>
      </c>
      <c r="K3047" t="s">
        <v>4364</v>
      </c>
      <c r="L3047" t="s">
        <v>1184</v>
      </c>
      <c r="M3047" t="s">
        <v>4365</v>
      </c>
      <c r="N3047" t="s">
        <v>11436</v>
      </c>
      <c r="O3047" t="s">
        <v>27</v>
      </c>
      <c r="P3047" t="s">
        <v>48</v>
      </c>
      <c r="Q3047" t="s">
        <v>49</v>
      </c>
      <c r="R3047" t="s">
        <v>50</v>
      </c>
      <c r="S3047" t="s">
        <v>28</v>
      </c>
      <c r="T3047" t="s">
        <v>11439</v>
      </c>
      <c r="U3047" t="s">
        <v>11436</v>
      </c>
    </row>
    <row r="3048" spans="1:21" x14ac:dyDescent="0.25">
      <c r="A3048" t="s">
        <v>266</v>
      </c>
      <c r="B3048" t="s">
        <v>267</v>
      </c>
      <c r="C3048">
        <v>800</v>
      </c>
      <c r="D3048">
        <v>1</v>
      </c>
      <c r="E3048">
        <v>0</v>
      </c>
      <c r="F3048" t="s">
        <v>11440</v>
      </c>
      <c r="G3048">
        <v>800</v>
      </c>
      <c r="H3048">
        <v>0</v>
      </c>
      <c r="I3048" t="s">
        <v>140</v>
      </c>
      <c r="J3048" t="s">
        <v>11441</v>
      </c>
      <c r="K3048" t="s">
        <v>273</v>
      </c>
      <c r="L3048" t="s">
        <v>27</v>
      </c>
      <c r="M3048" t="s">
        <v>28</v>
      </c>
      <c r="N3048" t="s">
        <v>11442</v>
      </c>
      <c r="O3048" t="s">
        <v>27</v>
      </c>
      <c r="P3048" t="s">
        <v>30</v>
      </c>
      <c r="Q3048" t="s">
        <v>31</v>
      </c>
      <c r="R3048" t="s">
        <v>32</v>
      </c>
      <c r="S3048" t="s">
        <v>28</v>
      </c>
      <c r="T3048" t="s">
        <v>11443</v>
      </c>
      <c r="U3048" t="s">
        <v>11442</v>
      </c>
    </row>
    <row r="3049" spans="1:21" x14ac:dyDescent="0.25">
      <c r="A3049" t="s">
        <v>58</v>
      </c>
      <c r="B3049" t="s">
        <v>58</v>
      </c>
      <c r="C3049">
        <v>100</v>
      </c>
      <c r="D3049">
        <v>2</v>
      </c>
      <c r="E3049">
        <v>0</v>
      </c>
      <c r="F3049" t="s">
        <v>11444</v>
      </c>
      <c r="G3049">
        <v>200</v>
      </c>
      <c r="H3049">
        <v>0</v>
      </c>
      <c r="I3049" t="s">
        <v>24</v>
      </c>
      <c r="J3049" t="s">
        <v>11445</v>
      </c>
      <c r="K3049" t="s">
        <v>677</v>
      </c>
      <c r="L3049" t="s">
        <v>27</v>
      </c>
      <c r="M3049" t="s">
        <v>28</v>
      </c>
      <c r="N3049" t="s">
        <v>11446</v>
      </c>
      <c r="O3049" t="s">
        <v>27</v>
      </c>
      <c r="P3049" t="s">
        <v>39</v>
      </c>
      <c r="Q3049" t="s">
        <v>31</v>
      </c>
      <c r="R3049" t="s">
        <v>32</v>
      </c>
      <c r="S3049" t="s">
        <v>28</v>
      </c>
      <c r="T3049" t="s">
        <v>11447</v>
      </c>
      <c r="U3049" t="s">
        <v>11446</v>
      </c>
    </row>
    <row r="3050" spans="1:21" x14ac:dyDescent="0.25">
      <c r="A3050" t="s">
        <v>21</v>
      </c>
      <c r="B3050" t="s">
        <v>22</v>
      </c>
      <c r="C3050">
        <v>100</v>
      </c>
      <c r="D3050">
        <v>1</v>
      </c>
      <c r="E3050">
        <v>0</v>
      </c>
      <c r="F3050" t="s">
        <v>11448</v>
      </c>
      <c r="G3050">
        <v>100</v>
      </c>
      <c r="H3050">
        <v>0</v>
      </c>
      <c r="I3050" t="s">
        <v>445</v>
      </c>
      <c r="J3050" t="s">
        <v>11449</v>
      </c>
      <c r="K3050" t="s">
        <v>8487</v>
      </c>
      <c r="L3050" t="s">
        <v>27</v>
      </c>
      <c r="M3050" t="s">
        <v>28</v>
      </c>
      <c r="N3050" t="s">
        <v>11450</v>
      </c>
      <c r="O3050" t="s">
        <v>27</v>
      </c>
      <c r="P3050" t="s">
        <v>39</v>
      </c>
      <c r="Q3050" t="s">
        <v>31</v>
      </c>
      <c r="R3050" t="s">
        <v>32</v>
      </c>
      <c r="S3050" t="s">
        <v>28</v>
      </c>
      <c r="T3050" t="s">
        <v>11451</v>
      </c>
      <c r="U3050" t="s">
        <v>11450</v>
      </c>
    </row>
    <row r="3051" spans="1:21" x14ac:dyDescent="0.25">
      <c r="A3051" t="s">
        <v>134</v>
      </c>
      <c r="B3051" t="s">
        <v>64</v>
      </c>
      <c r="C3051">
        <v>100</v>
      </c>
      <c r="D3051">
        <v>1</v>
      </c>
      <c r="E3051">
        <v>0</v>
      </c>
      <c r="F3051" t="s">
        <v>11452</v>
      </c>
      <c r="G3051">
        <v>200</v>
      </c>
      <c r="H3051">
        <v>0</v>
      </c>
      <c r="I3051" t="s">
        <v>140</v>
      </c>
      <c r="J3051" t="s">
        <v>11453</v>
      </c>
      <c r="K3051" t="s">
        <v>89</v>
      </c>
      <c r="L3051" t="s">
        <v>27</v>
      </c>
      <c r="M3051" t="s">
        <v>28</v>
      </c>
      <c r="N3051" t="s">
        <v>11454</v>
      </c>
      <c r="O3051" t="s">
        <v>27</v>
      </c>
      <c r="P3051" t="s">
        <v>369</v>
      </c>
      <c r="Q3051" t="s">
        <v>31</v>
      </c>
      <c r="R3051" t="s">
        <v>57</v>
      </c>
      <c r="S3051" t="s">
        <v>28</v>
      </c>
      <c r="T3051" t="s">
        <v>11455</v>
      </c>
      <c r="U3051" t="s">
        <v>11456</v>
      </c>
    </row>
    <row r="3052" spans="1:21" x14ac:dyDescent="0.25">
      <c r="A3052" t="s">
        <v>58</v>
      </c>
      <c r="B3052" t="s">
        <v>58</v>
      </c>
      <c r="C3052">
        <v>100</v>
      </c>
      <c r="D3052">
        <v>1</v>
      </c>
      <c r="E3052">
        <v>0</v>
      </c>
      <c r="F3052" t="s">
        <v>11452</v>
      </c>
      <c r="G3052">
        <v>200</v>
      </c>
      <c r="H3052">
        <v>0</v>
      </c>
      <c r="I3052" t="s">
        <v>140</v>
      </c>
      <c r="J3052" t="s">
        <v>11453</v>
      </c>
      <c r="K3052" t="s">
        <v>89</v>
      </c>
      <c r="L3052" t="s">
        <v>27</v>
      </c>
      <c r="M3052" t="s">
        <v>28</v>
      </c>
      <c r="N3052" t="s">
        <v>11454</v>
      </c>
      <c r="O3052" t="s">
        <v>27</v>
      </c>
      <c r="P3052" t="s">
        <v>369</v>
      </c>
      <c r="Q3052" t="s">
        <v>31</v>
      </c>
      <c r="R3052" t="s">
        <v>57</v>
      </c>
      <c r="S3052" t="s">
        <v>28</v>
      </c>
      <c r="T3052" t="s">
        <v>11455</v>
      </c>
      <c r="U3052" t="s">
        <v>11456</v>
      </c>
    </row>
    <row r="3053" spans="1:21" x14ac:dyDescent="0.25">
      <c r="A3053" t="s">
        <v>21</v>
      </c>
      <c r="B3053" t="s">
        <v>22</v>
      </c>
      <c r="C3053">
        <v>100</v>
      </c>
      <c r="D3053">
        <v>1</v>
      </c>
      <c r="E3053">
        <v>0</v>
      </c>
      <c r="F3053" t="s">
        <v>11457</v>
      </c>
      <c r="G3053">
        <v>106</v>
      </c>
      <c r="H3053">
        <v>6</v>
      </c>
      <c r="I3053" t="s">
        <v>140</v>
      </c>
      <c r="J3053" t="s">
        <v>11458</v>
      </c>
      <c r="K3053" t="s">
        <v>241</v>
      </c>
      <c r="L3053" t="s">
        <v>27</v>
      </c>
      <c r="M3053" t="s">
        <v>28</v>
      </c>
      <c r="N3053" t="s">
        <v>11459</v>
      </c>
      <c r="O3053" t="s">
        <v>27</v>
      </c>
      <c r="P3053" t="s">
        <v>369</v>
      </c>
      <c r="Q3053" t="s">
        <v>31</v>
      </c>
      <c r="R3053" t="s">
        <v>57</v>
      </c>
      <c r="S3053" t="s">
        <v>28</v>
      </c>
      <c r="T3053" t="s">
        <v>11460</v>
      </c>
      <c r="U3053" t="s">
        <v>11456</v>
      </c>
    </row>
    <row r="3054" spans="1:21" x14ac:dyDescent="0.25">
      <c r="A3054" t="s">
        <v>134</v>
      </c>
      <c r="B3054" t="s">
        <v>64</v>
      </c>
      <c r="C3054">
        <v>100</v>
      </c>
      <c r="D3054">
        <v>1</v>
      </c>
      <c r="E3054">
        <v>0</v>
      </c>
      <c r="F3054" t="s">
        <v>11461</v>
      </c>
      <c r="G3054">
        <v>106</v>
      </c>
      <c r="H3054">
        <v>6</v>
      </c>
      <c r="I3054" t="s">
        <v>140</v>
      </c>
      <c r="J3054" t="s">
        <v>11462</v>
      </c>
      <c r="K3054" t="s">
        <v>250</v>
      </c>
      <c r="L3054" t="s">
        <v>27</v>
      </c>
      <c r="M3054" t="s">
        <v>28</v>
      </c>
      <c r="N3054" t="s">
        <v>11463</v>
      </c>
      <c r="O3054" t="s">
        <v>27</v>
      </c>
      <c r="P3054" t="s">
        <v>369</v>
      </c>
      <c r="Q3054" t="s">
        <v>31</v>
      </c>
      <c r="R3054" t="s">
        <v>57</v>
      </c>
      <c r="S3054" t="s">
        <v>28</v>
      </c>
      <c r="T3054" t="s">
        <v>11464</v>
      </c>
      <c r="U3054" t="s">
        <v>11463</v>
      </c>
    </row>
    <row r="3055" spans="1:21" x14ac:dyDescent="0.25">
      <c r="A3055" t="s">
        <v>58</v>
      </c>
      <c r="B3055" t="s">
        <v>58</v>
      </c>
      <c r="C3055">
        <v>100</v>
      </c>
      <c r="D3055">
        <v>1</v>
      </c>
      <c r="E3055">
        <v>0</v>
      </c>
      <c r="F3055" t="s">
        <v>11465</v>
      </c>
      <c r="G3055">
        <v>106</v>
      </c>
      <c r="H3055">
        <v>6</v>
      </c>
      <c r="I3055" t="s">
        <v>140</v>
      </c>
      <c r="J3055" t="s">
        <v>1310</v>
      </c>
      <c r="K3055" t="s">
        <v>54</v>
      </c>
      <c r="L3055" t="s">
        <v>27</v>
      </c>
      <c r="M3055" t="s">
        <v>28</v>
      </c>
      <c r="N3055" t="s">
        <v>11466</v>
      </c>
      <c r="O3055" t="s">
        <v>27</v>
      </c>
      <c r="P3055" t="s">
        <v>30</v>
      </c>
      <c r="Q3055" t="s">
        <v>31</v>
      </c>
      <c r="R3055" t="s">
        <v>32</v>
      </c>
      <c r="S3055" t="s">
        <v>28</v>
      </c>
      <c r="T3055" t="s">
        <v>11467</v>
      </c>
      <c r="U3055" t="s">
        <v>11466</v>
      </c>
    </row>
    <row r="3056" spans="1:21" x14ac:dyDescent="0.25">
      <c r="A3056" t="s">
        <v>70</v>
      </c>
      <c r="B3056" t="s">
        <v>70</v>
      </c>
      <c r="C3056">
        <v>330</v>
      </c>
      <c r="D3056">
        <v>2</v>
      </c>
      <c r="E3056">
        <v>0</v>
      </c>
      <c r="F3056" t="s">
        <v>11468</v>
      </c>
      <c r="G3056">
        <v>660</v>
      </c>
      <c r="H3056">
        <v>0</v>
      </c>
      <c r="I3056" t="s">
        <v>445</v>
      </c>
      <c r="J3056" t="s">
        <v>532</v>
      </c>
      <c r="K3056" t="s">
        <v>37</v>
      </c>
      <c r="L3056" t="s">
        <v>27</v>
      </c>
      <c r="M3056" t="s">
        <v>28</v>
      </c>
      <c r="N3056" t="s">
        <v>11469</v>
      </c>
      <c r="O3056" t="s">
        <v>27</v>
      </c>
      <c r="P3056" t="s">
        <v>39</v>
      </c>
      <c r="Q3056" t="s">
        <v>31</v>
      </c>
      <c r="R3056" t="s">
        <v>32</v>
      </c>
      <c r="S3056" t="s">
        <v>28</v>
      </c>
      <c r="T3056" t="s">
        <v>11470</v>
      </c>
      <c r="U3056" t="s">
        <v>11469</v>
      </c>
    </row>
    <row r="3057" spans="1:21" x14ac:dyDescent="0.25">
      <c r="A3057" t="s">
        <v>33</v>
      </c>
      <c r="B3057" t="s">
        <v>34</v>
      </c>
      <c r="C3057">
        <v>200</v>
      </c>
      <c r="D3057">
        <v>1</v>
      </c>
      <c r="E3057">
        <v>0</v>
      </c>
      <c r="F3057" t="s">
        <v>11471</v>
      </c>
      <c r="G3057">
        <v>200</v>
      </c>
      <c r="H3057">
        <v>0</v>
      </c>
      <c r="I3057" t="s">
        <v>24</v>
      </c>
      <c r="J3057" t="s">
        <v>11472</v>
      </c>
      <c r="K3057" t="s">
        <v>26</v>
      </c>
      <c r="L3057" t="s">
        <v>27</v>
      </c>
      <c r="M3057" t="s">
        <v>28</v>
      </c>
      <c r="N3057" t="s">
        <v>11473</v>
      </c>
      <c r="O3057" t="s">
        <v>27</v>
      </c>
      <c r="P3057" t="s">
        <v>56</v>
      </c>
      <c r="Q3057" t="s">
        <v>31</v>
      </c>
      <c r="R3057" t="s">
        <v>57</v>
      </c>
      <c r="S3057" t="s">
        <v>28</v>
      </c>
      <c r="T3057" t="s">
        <v>11474</v>
      </c>
      <c r="U3057" t="s">
        <v>11473</v>
      </c>
    </row>
    <row r="3058" spans="1:21" x14ac:dyDescent="0.25">
      <c r="A3058" t="s">
        <v>33</v>
      </c>
      <c r="B3058" t="s">
        <v>34</v>
      </c>
      <c r="C3058">
        <v>200</v>
      </c>
      <c r="D3058">
        <v>1</v>
      </c>
      <c r="E3058">
        <v>0</v>
      </c>
      <c r="F3058" t="s">
        <v>11475</v>
      </c>
      <c r="G3058">
        <v>200</v>
      </c>
      <c r="H3058">
        <v>0</v>
      </c>
      <c r="I3058" t="s">
        <v>445</v>
      </c>
      <c r="J3058" t="s">
        <v>11476</v>
      </c>
      <c r="K3058" t="s">
        <v>919</v>
      </c>
      <c r="L3058" t="s">
        <v>27</v>
      </c>
      <c r="M3058" t="s">
        <v>28</v>
      </c>
      <c r="N3058" t="s">
        <v>11477</v>
      </c>
      <c r="O3058" t="s">
        <v>27</v>
      </c>
      <c r="P3058" t="s">
        <v>39</v>
      </c>
      <c r="Q3058" t="s">
        <v>31</v>
      </c>
      <c r="R3058" t="s">
        <v>32</v>
      </c>
      <c r="S3058" t="s">
        <v>28</v>
      </c>
      <c r="T3058" t="s">
        <v>11478</v>
      </c>
      <c r="U3058" t="s">
        <v>11477</v>
      </c>
    </row>
    <row r="3059" spans="1:21" x14ac:dyDescent="0.25">
      <c r="A3059" t="s">
        <v>21</v>
      </c>
      <c r="B3059" t="s">
        <v>22</v>
      </c>
      <c r="C3059">
        <v>100</v>
      </c>
      <c r="D3059">
        <v>1</v>
      </c>
      <c r="E3059">
        <v>0</v>
      </c>
      <c r="F3059" t="s">
        <v>11479</v>
      </c>
      <c r="G3059">
        <v>100</v>
      </c>
      <c r="H3059">
        <v>0</v>
      </c>
      <c r="I3059" t="s">
        <v>24</v>
      </c>
      <c r="J3059" t="s">
        <v>11480</v>
      </c>
      <c r="K3059" t="s">
        <v>213</v>
      </c>
      <c r="L3059" t="s">
        <v>27</v>
      </c>
      <c r="M3059" t="s">
        <v>28</v>
      </c>
      <c r="N3059" t="s">
        <v>11481</v>
      </c>
      <c r="O3059" t="s">
        <v>27</v>
      </c>
      <c r="P3059" t="s">
        <v>39</v>
      </c>
      <c r="Q3059" t="s">
        <v>31</v>
      </c>
      <c r="R3059" t="s">
        <v>32</v>
      </c>
      <c r="S3059" t="s">
        <v>28</v>
      </c>
      <c r="T3059" t="s">
        <v>11482</v>
      </c>
      <c r="U3059" t="s">
        <v>11483</v>
      </c>
    </row>
    <row r="3060" spans="1:21" x14ac:dyDescent="0.25">
      <c r="A3060" t="s">
        <v>58</v>
      </c>
      <c r="B3060" t="s">
        <v>58</v>
      </c>
      <c r="C3060">
        <v>100</v>
      </c>
      <c r="D3060">
        <v>1</v>
      </c>
      <c r="E3060">
        <v>0</v>
      </c>
      <c r="F3060" t="s">
        <v>11484</v>
      </c>
      <c r="G3060">
        <v>145</v>
      </c>
      <c r="H3060">
        <v>45</v>
      </c>
      <c r="I3060" t="s">
        <v>24</v>
      </c>
      <c r="J3060" t="s">
        <v>904</v>
      </c>
      <c r="K3060" t="s">
        <v>241</v>
      </c>
      <c r="L3060" t="s">
        <v>27</v>
      </c>
      <c r="M3060" t="s">
        <v>28</v>
      </c>
      <c r="N3060" t="s">
        <v>11485</v>
      </c>
      <c r="O3060" t="s">
        <v>27</v>
      </c>
      <c r="P3060" t="s">
        <v>39</v>
      </c>
      <c r="Q3060" t="s">
        <v>31</v>
      </c>
      <c r="R3060" t="s">
        <v>32</v>
      </c>
      <c r="S3060" t="s">
        <v>28</v>
      </c>
      <c r="T3060" t="s">
        <v>11486</v>
      </c>
      <c r="U3060" t="s">
        <v>11481</v>
      </c>
    </row>
    <row r="3061" spans="1:21" x14ac:dyDescent="0.25">
      <c r="A3061" t="s">
        <v>70</v>
      </c>
      <c r="B3061" t="s">
        <v>70</v>
      </c>
      <c r="C3061">
        <v>330</v>
      </c>
      <c r="D3061">
        <v>1</v>
      </c>
      <c r="E3061">
        <v>0</v>
      </c>
      <c r="F3061" t="s">
        <v>11487</v>
      </c>
      <c r="G3061">
        <v>330</v>
      </c>
      <c r="H3061">
        <v>0</v>
      </c>
      <c r="I3061" t="s">
        <v>445</v>
      </c>
      <c r="J3061" t="s">
        <v>6749</v>
      </c>
      <c r="K3061" t="s">
        <v>936</v>
      </c>
      <c r="L3061" t="s">
        <v>27</v>
      </c>
      <c r="M3061" t="s">
        <v>28</v>
      </c>
      <c r="N3061" t="s">
        <v>11488</v>
      </c>
      <c r="O3061" t="s">
        <v>27</v>
      </c>
      <c r="P3061" t="s">
        <v>39</v>
      </c>
      <c r="Q3061" t="s">
        <v>31</v>
      </c>
      <c r="R3061" t="s">
        <v>32</v>
      </c>
      <c r="S3061" t="s">
        <v>28</v>
      </c>
      <c r="T3061" t="s">
        <v>11489</v>
      </c>
      <c r="U3061" t="s">
        <v>11490</v>
      </c>
    </row>
    <row r="3062" spans="1:21" x14ac:dyDescent="0.25">
      <c r="A3062" t="s">
        <v>33</v>
      </c>
      <c r="B3062" t="s">
        <v>34</v>
      </c>
      <c r="C3062">
        <v>200</v>
      </c>
      <c r="D3062">
        <v>1</v>
      </c>
      <c r="E3062">
        <v>0</v>
      </c>
      <c r="F3062" t="s">
        <v>11491</v>
      </c>
      <c r="G3062">
        <v>200</v>
      </c>
      <c r="H3062">
        <v>0</v>
      </c>
      <c r="I3062" t="s">
        <v>24</v>
      </c>
      <c r="J3062" t="s">
        <v>11492</v>
      </c>
      <c r="K3062" t="s">
        <v>299</v>
      </c>
      <c r="L3062" t="s">
        <v>27</v>
      </c>
      <c r="M3062" t="s">
        <v>28</v>
      </c>
      <c r="N3062" t="s">
        <v>11493</v>
      </c>
      <c r="O3062" t="s">
        <v>27</v>
      </c>
      <c r="P3062" t="s">
        <v>39</v>
      </c>
      <c r="Q3062" t="s">
        <v>31</v>
      </c>
      <c r="R3062" t="s">
        <v>32</v>
      </c>
      <c r="S3062" t="s">
        <v>28</v>
      </c>
      <c r="T3062" t="s">
        <v>11494</v>
      </c>
      <c r="U3062" t="s">
        <v>11495</v>
      </c>
    </row>
    <row r="3063" spans="1:21" x14ac:dyDescent="0.25">
      <c r="A3063" t="s">
        <v>70</v>
      </c>
      <c r="B3063" t="s">
        <v>70</v>
      </c>
      <c r="C3063">
        <v>330</v>
      </c>
      <c r="D3063">
        <v>2</v>
      </c>
      <c r="E3063">
        <v>0</v>
      </c>
      <c r="F3063" t="s">
        <v>11496</v>
      </c>
      <c r="G3063">
        <v>660</v>
      </c>
      <c r="H3063">
        <v>0</v>
      </c>
      <c r="I3063" t="s">
        <v>445</v>
      </c>
      <c r="J3063" t="s">
        <v>532</v>
      </c>
      <c r="K3063" t="s">
        <v>37</v>
      </c>
      <c r="L3063" t="s">
        <v>27</v>
      </c>
      <c r="M3063" t="s">
        <v>28</v>
      </c>
      <c r="N3063" t="s">
        <v>11497</v>
      </c>
      <c r="O3063" t="s">
        <v>27</v>
      </c>
      <c r="P3063" t="s">
        <v>39</v>
      </c>
      <c r="Q3063" t="s">
        <v>31</v>
      </c>
      <c r="R3063" t="s">
        <v>32</v>
      </c>
      <c r="S3063" t="s">
        <v>28</v>
      </c>
      <c r="T3063" t="s">
        <v>11498</v>
      </c>
      <c r="U3063" t="s">
        <v>11497</v>
      </c>
    </row>
    <row r="3064" spans="1:21" x14ac:dyDescent="0.25">
      <c r="A3064" t="s">
        <v>134</v>
      </c>
      <c r="B3064" t="s">
        <v>64</v>
      </c>
      <c r="C3064">
        <v>100</v>
      </c>
      <c r="D3064">
        <v>2</v>
      </c>
      <c r="E3064">
        <v>0</v>
      </c>
      <c r="F3064" t="s">
        <v>11499</v>
      </c>
      <c r="G3064">
        <v>200</v>
      </c>
      <c r="H3064">
        <v>0</v>
      </c>
      <c r="I3064" t="s">
        <v>445</v>
      </c>
      <c r="J3064" t="s">
        <v>11500</v>
      </c>
      <c r="K3064" t="s">
        <v>342</v>
      </c>
      <c r="L3064" t="s">
        <v>27</v>
      </c>
      <c r="M3064" t="s">
        <v>28</v>
      </c>
      <c r="N3064" t="s">
        <v>11501</v>
      </c>
      <c r="O3064" t="s">
        <v>27</v>
      </c>
      <c r="P3064" t="s">
        <v>39</v>
      </c>
      <c r="Q3064" t="s">
        <v>31</v>
      </c>
      <c r="R3064" t="s">
        <v>32</v>
      </c>
      <c r="S3064" t="s">
        <v>28</v>
      </c>
      <c r="T3064" t="s">
        <v>11502</v>
      </c>
      <c r="U3064" t="s">
        <v>11501</v>
      </c>
    </row>
    <row r="3065" spans="1:21" x14ac:dyDescent="0.25">
      <c r="A3065" t="s">
        <v>33</v>
      </c>
      <c r="B3065" t="s">
        <v>34</v>
      </c>
      <c r="C3065">
        <v>200</v>
      </c>
      <c r="D3065">
        <v>1</v>
      </c>
      <c r="E3065">
        <v>0</v>
      </c>
      <c r="F3065" t="s">
        <v>11503</v>
      </c>
      <c r="G3065">
        <v>200</v>
      </c>
      <c r="H3065">
        <v>0</v>
      </c>
      <c r="I3065" t="s">
        <v>24</v>
      </c>
      <c r="J3065" t="s">
        <v>11504</v>
      </c>
      <c r="K3065" t="s">
        <v>37</v>
      </c>
      <c r="L3065" t="s">
        <v>27</v>
      </c>
      <c r="M3065" t="s">
        <v>28</v>
      </c>
      <c r="N3065" t="s">
        <v>11505</v>
      </c>
      <c r="O3065" t="s">
        <v>27</v>
      </c>
      <c r="P3065" t="s">
        <v>56</v>
      </c>
      <c r="Q3065" t="s">
        <v>31</v>
      </c>
      <c r="R3065" t="s">
        <v>57</v>
      </c>
      <c r="S3065" t="s">
        <v>28</v>
      </c>
      <c r="T3065" t="s">
        <v>11506</v>
      </c>
      <c r="U3065" t="s">
        <v>11505</v>
      </c>
    </row>
    <row r="3066" spans="1:21" x14ac:dyDescent="0.25">
      <c r="A3066" t="s">
        <v>58</v>
      </c>
      <c r="B3066" t="s">
        <v>103</v>
      </c>
      <c r="C3066">
        <v>84.18</v>
      </c>
      <c r="D3066">
        <v>1</v>
      </c>
      <c r="E3066">
        <v>0</v>
      </c>
      <c r="F3066" t="s">
        <v>11507</v>
      </c>
      <c r="G3066">
        <v>89.18</v>
      </c>
      <c r="H3066">
        <v>5</v>
      </c>
      <c r="I3066" t="s">
        <v>105</v>
      </c>
      <c r="J3066" t="s">
        <v>11508</v>
      </c>
      <c r="K3066" t="s">
        <v>11509</v>
      </c>
      <c r="L3066" t="s">
        <v>1362</v>
      </c>
      <c r="M3066" t="s">
        <v>11510</v>
      </c>
      <c r="N3066" t="s">
        <v>11511</v>
      </c>
      <c r="O3066" t="s">
        <v>27</v>
      </c>
      <c r="P3066" t="s">
        <v>48</v>
      </c>
      <c r="Q3066" t="s">
        <v>49</v>
      </c>
      <c r="R3066" t="s">
        <v>50</v>
      </c>
      <c r="S3066" t="s">
        <v>28</v>
      </c>
      <c r="T3066" t="s">
        <v>11512</v>
      </c>
      <c r="U3066" t="s">
        <v>11511</v>
      </c>
    </row>
    <row r="3067" spans="1:21" x14ac:dyDescent="0.25">
      <c r="A3067" t="s">
        <v>70</v>
      </c>
      <c r="B3067" t="s">
        <v>70</v>
      </c>
      <c r="C3067">
        <v>330</v>
      </c>
      <c r="D3067">
        <v>1</v>
      </c>
      <c r="E3067">
        <v>0</v>
      </c>
      <c r="F3067" t="s">
        <v>11513</v>
      </c>
      <c r="G3067">
        <v>330</v>
      </c>
      <c r="H3067">
        <v>0</v>
      </c>
      <c r="I3067" t="s">
        <v>445</v>
      </c>
      <c r="J3067" t="s">
        <v>11514</v>
      </c>
      <c r="K3067" t="s">
        <v>5225</v>
      </c>
      <c r="L3067" t="s">
        <v>27</v>
      </c>
      <c r="M3067" t="s">
        <v>28</v>
      </c>
      <c r="N3067" t="s">
        <v>11515</v>
      </c>
      <c r="O3067" t="s">
        <v>27</v>
      </c>
      <c r="P3067" t="s">
        <v>39</v>
      </c>
      <c r="Q3067" t="s">
        <v>31</v>
      </c>
      <c r="R3067" t="s">
        <v>32</v>
      </c>
      <c r="S3067" t="s">
        <v>28</v>
      </c>
      <c r="T3067" t="s">
        <v>11516</v>
      </c>
      <c r="U3067" t="s">
        <v>11515</v>
      </c>
    </row>
    <row r="3068" spans="1:21" x14ac:dyDescent="0.25">
      <c r="A3068" t="s">
        <v>70</v>
      </c>
      <c r="B3068" t="s">
        <v>70</v>
      </c>
      <c r="C3068">
        <v>350</v>
      </c>
      <c r="D3068">
        <v>1</v>
      </c>
      <c r="E3068">
        <v>0</v>
      </c>
      <c r="F3068" t="s">
        <v>11517</v>
      </c>
      <c r="G3068">
        <v>350</v>
      </c>
      <c r="H3068">
        <v>0</v>
      </c>
      <c r="I3068" t="s">
        <v>140</v>
      </c>
      <c r="J3068" t="s">
        <v>11518</v>
      </c>
      <c r="K3068" t="s">
        <v>418</v>
      </c>
      <c r="L3068" t="s">
        <v>27</v>
      </c>
      <c r="M3068" t="s">
        <v>28</v>
      </c>
      <c r="N3068" t="s">
        <v>11519</v>
      </c>
      <c r="O3068" t="s">
        <v>27</v>
      </c>
      <c r="P3068" t="s">
        <v>30</v>
      </c>
      <c r="Q3068" t="s">
        <v>31</v>
      </c>
      <c r="R3068" t="s">
        <v>32</v>
      </c>
      <c r="S3068" t="s">
        <v>28</v>
      </c>
      <c r="T3068" t="s">
        <v>11520</v>
      </c>
      <c r="U3068" t="s">
        <v>11519</v>
      </c>
    </row>
    <row r="3069" spans="1:21" x14ac:dyDescent="0.25">
      <c r="A3069" t="s">
        <v>33</v>
      </c>
      <c r="B3069" t="s">
        <v>34</v>
      </c>
      <c r="C3069">
        <v>200</v>
      </c>
      <c r="D3069">
        <v>1</v>
      </c>
      <c r="E3069">
        <v>0</v>
      </c>
      <c r="F3069" t="s">
        <v>11521</v>
      </c>
      <c r="G3069">
        <v>200</v>
      </c>
      <c r="H3069">
        <v>0</v>
      </c>
      <c r="I3069" t="s">
        <v>24</v>
      </c>
      <c r="J3069" t="s">
        <v>11522</v>
      </c>
      <c r="K3069" t="s">
        <v>250</v>
      </c>
      <c r="L3069" t="s">
        <v>27</v>
      </c>
      <c r="M3069" t="s">
        <v>28</v>
      </c>
      <c r="N3069" t="s">
        <v>11523</v>
      </c>
      <c r="O3069" t="s">
        <v>27</v>
      </c>
      <c r="P3069" t="s">
        <v>39</v>
      </c>
      <c r="Q3069" t="s">
        <v>31</v>
      </c>
      <c r="R3069" t="s">
        <v>32</v>
      </c>
      <c r="S3069" t="s">
        <v>28</v>
      </c>
      <c r="T3069" t="s">
        <v>11524</v>
      </c>
      <c r="U3069" t="s">
        <v>11523</v>
      </c>
    </row>
    <row r="3070" spans="1:21" x14ac:dyDescent="0.25">
      <c r="A3070" t="s">
        <v>635</v>
      </c>
      <c r="B3070" t="s">
        <v>714</v>
      </c>
      <c r="C3070">
        <v>450</v>
      </c>
      <c r="D3070">
        <v>1</v>
      </c>
      <c r="E3070">
        <v>0</v>
      </c>
      <c r="F3070" t="s">
        <v>11525</v>
      </c>
      <c r="G3070">
        <v>474</v>
      </c>
      <c r="H3070">
        <v>24</v>
      </c>
      <c r="I3070" t="s">
        <v>628</v>
      </c>
      <c r="J3070" t="s">
        <v>11526</v>
      </c>
      <c r="K3070" t="s">
        <v>11527</v>
      </c>
      <c r="L3070" t="s">
        <v>11528</v>
      </c>
      <c r="M3070" t="s">
        <v>11529</v>
      </c>
      <c r="N3070" t="s">
        <v>11530</v>
      </c>
      <c r="O3070" t="s">
        <v>27</v>
      </c>
      <c r="P3070" t="s">
        <v>48</v>
      </c>
      <c r="Q3070" t="s">
        <v>49</v>
      </c>
      <c r="R3070" t="s">
        <v>50</v>
      </c>
      <c r="S3070" t="s">
        <v>28</v>
      </c>
      <c r="T3070" t="s">
        <v>11531</v>
      </c>
      <c r="U3070" t="s">
        <v>11530</v>
      </c>
    </row>
    <row r="3071" spans="1:21" x14ac:dyDescent="0.25">
      <c r="A3071" t="s">
        <v>21</v>
      </c>
      <c r="B3071" t="s">
        <v>22</v>
      </c>
      <c r="C3071">
        <v>100</v>
      </c>
      <c r="D3071">
        <v>1</v>
      </c>
      <c r="E3071">
        <v>0</v>
      </c>
      <c r="F3071" t="s">
        <v>11532</v>
      </c>
      <c r="G3071">
        <v>100</v>
      </c>
      <c r="H3071">
        <v>0</v>
      </c>
      <c r="I3071" t="s">
        <v>445</v>
      </c>
      <c r="J3071" t="s">
        <v>11533</v>
      </c>
      <c r="K3071" t="s">
        <v>384</v>
      </c>
      <c r="L3071" t="s">
        <v>27</v>
      </c>
      <c r="M3071" t="s">
        <v>28</v>
      </c>
      <c r="N3071" t="s">
        <v>11534</v>
      </c>
      <c r="O3071" t="s">
        <v>27</v>
      </c>
      <c r="P3071" t="s">
        <v>56</v>
      </c>
      <c r="Q3071" t="s">
        <v>31</v>
      </c>
      <c r="R3071" t="s">
        <v>57</v>
      </c>
      <c r="S3071" t="s">
        <v>28</v>
      </c>
      <c r="T3071" t="s">
        <v>11535</v>
      </c>
      <c r="U3071" t="s">
        <v>11534</v>
      </c>
    </row>
    <row r="3072" spans="1:21" x14ac:dyDescent="0.25">
      <c r="A3072" t="s">
        <v>58</v>
      </c>
      <c r="B3072" t="s">
        <v>58</v>
      </c>
      <c r="C3072">
        <v>100</v>
      </c>
      <c r="D3072">
        <v>3</v>
      </c>
      <c r="E3072">
        <v>0</v>
      </c>
      <c r="F3072" t="s">
        <v>11536</v>
      </c>
      <c r="G3072">
        <v>329</v>
      </c>
      <c r="H3072">
        <v>29</v>
      </c>
      <c r="I3072" t="s">
        <v>445</v>
      </c>
      <c r="J3072" t="s">
        <v>11537</v>
      </c>
      <c r="K3072" t="s">
        <v>11538</v>
      </c>
      <c r="L3072" t="s">
        <v>2557</v>
      </c>
      <c r="M3072" t="s">
        <v>5187</v>
      </c>
      <c r="N3072" t="s">
        <v>11539</v>
      </c>
      <c r="O3072" t="s">
        <v>27</v>
      </c>
      <c r="P3072" t="s">
        <v>193</v>
      </c>
      <c r="Q3072" t="s">
        <v>85</v>
      </c>
      <c r="R3072" t="s">
        <v>86</v>
      </c>
      <c r="S3072" t="s">
        <v>28</v>
      </c>
      <c r="T3072" t="s">
        <v>11540</v>
      </c>
      <c r="U3072" t="s">
        <v>11541</v>
      </c>
    </row>
    <row r="3073" spans="1:21" x14ac:dyDescent="0.25">
      <c r="A3073" t="s">
        <v>134</v>
      </c>
      <c r="B3073" t="s">
        <v>64</v>
      </c>
      <c r="C3073">
        <v>100</v>
      </c>
      <c r="D3073">
        <v>1</v>
      </c>
      <c r="E3073">
        <v>0</v>
      </c>
      <c r="F3073" t="s">
        <v>11542</v>
      </c>
      <c r="G3073">
        <v>106</v>
      </c>
      <c r="H3073">
        <v>6</v>
      </c>
      <c r="I3073" t="s">
        <v>24</v>
      </c>
      <c r="J3073" t="s">
        <v>11543</v>
      </c>
      <c r="K3073" t="s">
        <v>1602</v>
      </c>
      <c r="L3073" t="s">
        <v>27</v>
      </c>
      <c r="M3073" t="s">
        <v>28</v>
      </c>
      <c r="N3073" t="s">
        <v>11544</v>
      </c>
      <c r="O3073" t="s">
        <v>27</v>
      </c>
      <c r="P3073" t="s">
        <v>56</v>
      </c>
      <c r="Q3073" t="s">
        <v>31</v>
      </c>
      <c r="R3073" t="s">
        <v>57</v>
      </c>
      <c r="S3073" t="s">
        <v>28</v>
      </c>
      <c r="T3073" t="s">
        <v>11545</v>
      </c>
      <c r="U3073" t="s">
        <v>11544</v>
      </c>
    </row>
    <row r="3074" spans="1:21" x14ac:dyDescent="0.25">
      <c r="A3074" t="s">
        <v>33</v>
      </c>
      <c r="B3074" t="s">
        <v>34</v>
      </c>
      <c r="C3074">
        <v>200</v>
      </c>
      <c r="D3074">
        <v>1</v>
      </c>
      <c r="E3074">
        <v>0</v>
      </c>
      <c r="F3074" t="s">
        <v>11546</v>
      </c>
      <c r="G3074">
        <v>200</v>
      </c>
      <c r="H3074">
        <v>0</v>
      </c>
      <c r="I3074" t="s">
        <v>24</v>
      </c>
      <c r="J3074" t="s">
        <v>11547</v>
      </c>
      <c r="K3074" t="s">
        <v>372</v>
      </c>
      <c r="L3074" t="s">
        <v>27</v>
      </c>
      <c r="M3074" t="s">
        <v>28</v>
      </c>
      <c r="N3074" t="s">
        <v>11548</v>
      </c>
      <c r="O3074" t="s">
        <v>27</v>
      </c>
      <c r="P3074" t="s">
        <v>39</v>
      </c>
      <c r="Q3074" t="s">
        <v>31</v>
      </c>
      <c r="R3074" t="s">
        <v>32</v>
      </c>
      <c r="S3074" t="s">
        <v>28</v>
      </c>
      <c r="T3074" t="s">
        <v>11549</v>
      </c>
      <c r="U3074" t="s">
        <v>11550</v>
      </c>
    </row>
    <row r="3075" spans="1:21" x14ac:dyDescent="0.25">
      <c r="A3075" t="s">
        <v>456</v>
      </c>
      <c r="B3075" t="s">
        <v>457</v>
      </c>
      <c r="C3075">
        <v>199</v>
      </c>
      <c r="D3075">
        <v>2</v>
      </c>
      <c r="E3075">
        <v>0</v>
      </c>
      <c r="F3075" t="s">
        <v>11551</v>
      </c>
      <c r="G3075">
        <v>398</v>
      </c>
      <c r="H3075">
        <v>0</v>
      </c>
      <c r="I3075" t="s">
        <v>24</v>
      </c>
      <c r="J3075" t="s">
        <v>5955</v>
      </c>
      <c r="K3075" t="s">
        <v>10918</v>
      </c>
      <c r="L3075" t="s">
        <v>1868</v>
      </c>
      <c r="M3075" t="s">
        <v>10919</v>
      </c>
      <c r="N3075" t="s">
        <v>11548</v>
      </c>
      <c r="O3075" t="s">
        <v>27</v>
      </c>
      <c r="P3075" t="s">
        <v>193</v>
      </c>
      <c r="Q3075" t="s">
        <v>85</v>
      </c>
      <c r="R3075" t="s">
        <v>86</v>
      </c>
      <c r="S3075" t="s">
        <v>28</v>
      </c>
      <c r="T3075" t="s">
        <v>11552</v>
      </c>
      <c r="U3075" t="s">
        <v>11553</v>
      </c>
    </row>
    <row r="3076" spans="1:21" x14ac:dyDescent="0.25">
      <c r="A3076" t="s">
        <v>58</v>
      </c>
      <c r="B3076" t="s">
        <v>58</v>
      </c>
      <c r="C3076">
        <v>150</v>
      </c>
      <c r="D3076">
        <v>1</v>
      </c>
      <c r="E3076">
        <v>0</v>
      </c>
      <c r="F3076" t="s">
        <v>11554</v>
      </c>
      <c r="G3076">
        <v>195</v>
      </c>
      <c r="H3076">
        <v>45</v>
      </c>
      <c r="I3076" t="s">
        <v>24</v>
      </c>
      <c r="J3076" t="s">
        <v>11555</v>
      </c>
      <c r="K3076" t="s">
        <v>11556</v>
      </c>
      <c r="L3076" t="s">
        <v>7445</v>
      </c>
      <c r="M3076" t="s">
        <v>11557</v>
      </c>
      <c r="N3076" t="s">
        <v>11558</v>
      </c>
      <c r="O3076" t="s">
        <v>27</v>
      </c>
      <c r="P3076" t="s">
        <v>48</v>
      </c>
      <c r="Q3076" t="s">
        <v>49</v>
      </c>
      <c r="R3076" t="s">
        <v>50</v>
      </c>
      <c r="S3076" t="s">
        <v>28</v>
      </c>
      <c r="T3076" t="s">
        <v>11559</v>
      </c>
      <c r="U3076" t="s">
        <v>11558</v>
      </c>
    </row>
    <row r="3077" spans="1:21" x14ac:dyDescent="0.25">
      <c r="A3077" t="s">
        <v>21</v>
      </c>
      <c r="B3077" t="s">
        <v>22</v>
      </c>
      <c r="C3077">
        <v>100</v>
      </c>
      <c r="D3077">
        <v>1</v>
      </c>
      <c r="E3077">
        <v>0</v>
      </c>
      <c r="F3077" t="s">
        <v>11560</v>
      </c>
      <c r="G3077">
        <v>145</v>
      </c>
      <c r="H3077">
        <v>45</v>
      </c>
      <c r="I3077" t="s">
        <v>445</v>
      </c>
      <c r="J3077" t="s">
        <v>11561</v>
      </c>
      <c r="K3077" t="s">
        <v>1772</v>
      </c>
      <c r="L3077" t="s">
        <v>27</v>
      </c>
      <c r="M3077" t="s">
        <v>28</v>
      </c>
      <c r="N3077" t="s">
        <v>11562</v>
      </c>
      <c r="O3077" t="s">
        <v>27</v>
      </c>
      <c r="P3077" t="s">
        <v>39</v>
      </c>
      <c r="Q3077" t="s">
        <v>31</v>
      </c>
      <c r="R3077" t="s">
        <v>32</v>
      </c>
      <c r="S3077" t="s">
        <v>28</v>
      </c>
      <c r="T3077" t="s">
        <v>11563</v>
      </c>
      <c r="U3077" t="s">
        <v>11562</v>
      </c>
    </row>
    <row r="3078" spans="1:21" x14ac:dyDescent="0.25">
      <c r="A3078" t="s">
        <v>456</v>
      </c>
      <c r="B3078" t="s">
        <v>457</v>
      </c>
      <c r="C3078">
        <v>199</v>
      </c>
      <c r="D3078">
        <v>1</v>
      </c>
      <c r="E3078">
        <v>0</v>
      </c>
      <c r="F3078" t="s">
        <v>11564</v>
      </c>
      <c r="G3078">
        <v>199</v>
      </c>
      <c r="H3078">
        <v>0</v>
      </c>
      <c r="I3078" t="s">
        <v>24</v>
      </c>
      <c r="J3078" t="s">
        <v>7050</v>
      </c>
      <c r="K3078" t="s">
        <v>7051</v>
      </c>
      <c r="L3078" t="s">
        <v>4459</v>
      </c>
      <c r="M3078" t="s">
        <v>3413</v>
      </c>
      <c r="N3078" t="s">
        <v>11565</v>
      </c>
      <c r="O3078" t="s">
        <v>27</v>
      </c>
      <c r="P3078" t="s">
        <v>193</v>
      </c>
      <c r="Q3078" t="s">
        <v>85</v>
      </c>
      <c r="R3078" t="s">
        <v>86</v>
      </c>
      <c r="S3078" t="s">
        <v>28</v>
      </c>
      <c r="T3078" t="s">
        <v>11566</v>
      </c>
      <c r="U3078" t="s">
        <v>11567</v>
      </c>
    </row>
    <row r="3079" spans="1:21" x14ac:dyDescent="0.25">
      <c r="A3079" t="s">
        <v>456</v>
      </c>
      <c r="B3079" t="s">
        <v>457</v>
      </c>
      <c r="C3079">
        <v>199</v>
      </c>
      <c r="D3079">
        <v>1</v>
      </c>
      <c r="E3079">
        <v>0</v>
      </c>
      <c r="F3079" t="s">
        <v>11568</v>
      </c>
      <c r="G3079">
        <v>199</v>
      </c>
      <c r="H3079">
        <v>0</v>
      </c>
      <c r="I3079" t="s">
        <v>24</v>
      </c>
      <c r="J3079" t="s">
        <v>7050</v>
      </c>
      <c r="K3079" t="s">
        <v>7051</v>
      </c>
      <c r="L3079" t="s">
        <v>4459</v>
      </c>
      <c r="M3079" t="s">
        <v>3413</v>
      </c>
      <c r="N3079" t="s">
        <v>11569</v>
      </c>
      <c r="O3079" t="s">
        <v>27</v>
      </c>
      <c r="P3079" t="s">
        <v>193</v>
      </c>
      <c r="Q3079" t="s">
        <v>85</v>
      </c>
      <c r="R3079" t="s">
        <v>86</v>
      </c>
      <c r="S3079" t="s">
        <v>28</v>
      </c>
      <c r="T3079" t="s">
        <v>11570</v>
      </c>
      <c r="U3079" t="s">
        <v>11571</v>
      </c>
    </row>
    <row r="3080" spans="1:21" x14ac:dyDescent="0.25">
      <c r="A3080" t="s">
        <v>456</v>
      </c>
      <c r="B3080" t="s">
        <v>457</v>
      </c>
      <c r="C3080">
        <v>199</v>
      </c>
      <c r="D3080">
        <v>1</v>
      </c>
      <c r="E3080">
        <v>0</v>
      </c>
      <c r="F3080" t="s">
        <v>11572</v>
      </c>
      <c r="G3080">
        <v>199</v>
      </c>
      <c r="H3080">
        <v>0</v>
      </c>
      <c r="I3080" t="s">
        <v>24</v>
      </c>
      <c r="J3080" t="s">
        <v>7050</v>
      </c>
      <c r="K3080" t="s">
        <v>7051</v>
      </c>
      <c r="L3080" t="s">
        <v>4459</v>
      </c>
      <c r="M3080" t="s">
        <v>3413</v>
      </c>
      <c r="N3080" t="s">
        <v>11573</v>
      </c>
      <c r="O3080" t="s">
        <v>27</v>
      </c>
      <c r="P3080" t="s">
        <v>193</v>
      </c>
      <c r="Q3080" t="s">
        <v>85</v>
      </c>
      <c r="R3080" t="s">
        <v>86</v>
      </c>
      <c r="S3080" t="s">
        <v>28</v>
      </c>
      <c r="T3080" t="s">
        <v>11574</v>
      </c>
      <c r="U3080" t="s">
        <v>11575</v>
      </c>
    </row>
    <row r="3081" spans="1:21" x14ac:dyDescent="0.25">
      <c r="A3081" t="s">
        <v>456</v>
      </c>
      <c r="B3081" t="s">
        <v>457</v>
      </c>
      <c r="C3081">
        <v>199</v>
      </c>
      <c r="D3081">
        <v>1</v>
      </c>
      <c r="E3081">
        <v>0</v>
      </c>
      <c r="F3081" t="s">
        <v>11576</v>
      </c>
      <c r="G3081">
        <v>199</v>
      </c>
      <c r="H3081">
        <v>0</v>
      </c>
      <c r="I3081" t="s">
        <v>24</v>
      </c>
      <c r="J3081" t="s">
        <v>7050</v>
      </c>
      <c r="K3081" t="s">
        <v>7051</v>
      </c>
      <c r="L3081" t="s">
        <v>4459</v>
      </c>
      <c r="M3081" t="s">
        <v>3413</v>
      </c>
      <c r="N3081" t="s">
        <v>11544</v>
      </c>
      <c r="O3081" t="s">
        <v>27</v>
      </c>
      <c r="P3081" t="s">
        <v>193</v>
      </c>
      <c r="Q3081" t="s">
        <v>85</v>
      </c>
      <c r="R3081" t="s">
        <v>86</v>
      </c>
      <c r="S3081" t="s">
        <v>28</v>
      </c>
      <c r="T3081" t="s">
        <v>11577</v>
      </c>
      <c r="U3081" t="s">
        <v>11578</v>
      </c>
    </row>
    <row r="3082" spans="1:21" x14ac:dyDescent="0.25">
      <c r="A3082" t="s">
        <v>456</v>
      </c>
      <c r="B3082" t="s">
        <v>457</v>
      </c>
      <c r="C3082">
        <v>199</v>
      </c>
      <c r="D3082">
        <v>1</v>
      </c>
      <c r="E3082">
        <v>0</v>
      </c>
      <c r="F3082" t="s">
        <v>11579</v>
      </c>
      <c r="G3082">
        <v>199</v>
      </c>
      <c r="H3082">
        <v>0</v>
      </c>
      <c r="I3082" t="s">
        <v>24</v>
      </c>
      <c r="J3082" t="s">
        <v>7050</v>
      </c>
      <c r="K3082" t="s">
        <v>7051</v>
      </c>
      <c r="L3082" t="s">
        <v>4459</v>
      </c>
      <c r="M3082" t="s">
        <v>3413</v>
      </c>
      <c r="N3082" t="s">
        <v>11580</v>
      </c>
      <c r="O3082" t="s">
        <v>27</v>
      </c>
      <c r="P3082" t="s">
        <v>193</v>
      </c>
      <c r="Q3082" t="s">
        <v>85</v>
      </c>
      <c r="R3082" t="s">
        <v>86</v>
      </c>
      <c r="S3082" t="s">
        <v>28</v>
      </c>
      <c r="T3082" t="s">
        <v>11581</v>
      </c>
      <c r="U3082" t="s">
        <v>11578</v>
      </c>
    </row>
    <row r="3083" spans="1:21" x14ac:dyDescent="0.25">
      <c r="A3083" t="s">
        <v>33</v>
      </c>
      <c r="B3083" t="s">
        <v>34</v>
      </c>
      <c r="C3083">
        <v>200</v>
      </c>
      <c r="D3083">
        <v>1</v>
      </c>
      <c r="E3083">
        <v>0</v>
      </c>
      <c r="F3083" t="s">
        <v>11582</v>
      </c>
      <c r="G3083">
        <v>200</v>
      </c>
      <c r="H3083">
        <v>0</v>
      </c>
      <c r="I3083" t="s">
        <v>24</v>
      </c>
      <c r="J3083" t="s">
        <v>11583</v>
      </c>
      <c r="K3083" t="s">
        <v>9195</v>
      </c>
      <c r="L3083" t="s">
        <v>27</v>
      </c>
      <c r="M3083" t="s">
        <v>28</v>
      </c>
      <c r="N3083" t="s">
        <v>11584</v>
      </c>
      <c r="O3083" t="s">
        <v>27</v>
      </c>
      <c r="P3083" t="s">
        <v>39</v>
      </c>
      <c r="Q3083" t="s">
        <v>31</v>
      </c>
      <c r="R3083" t="s">
        <v>32</v>
      </c>
      <c r="S3083" t="s">
        <v>28</v>
      </c>
      <c r="T3083" t="s">
        <v>11585</v>
      </c>
      <c r="U3083" t="s">
        <v>11584</v>
      </c>
    </row>
    <row r="3084" spans="1:21" x14ac:dyDescent="0.25">
      <c r="A3084" t="s">
        <v>143</v>
      </c>
      <c r="B3084" t="s">
        <v>144</v>
      </c>
      <c r="C3084">
        <v>200</v>
      </c>
      <c r="D3084">
        <v>1</v>
      </c>
      <c r="E3084">
        <v>0</v>
      </c>
      <c r="F3084" t="s">
        <v>11586</v>
      </c>
      <c r="G3084">
        <v>200</v>
      </c>
      <c r="H3084">
        <v>0</v>
      </c>
      <c r="I3084" t="s">
        <v>140</v>
      </c>
      <c r="J3084" t="s">
        <v>11587</v>
      </c>
      <c r="K3084" t="s">
        <v>1772</v>
      </c>
      <c r="L3084" t="s">
        <v>27</v>
      </c>
      <c r="M3084" t="s">
        <v>28</v>
      </c>
      <c r="N3084" t="s">
        <v>11588</v>
      </c>
      <c r="O3084" t="s">
        <v>27</v>
      </c>
      <c r="P3084" t="s">
        <v>30</v>
      </c>
      <c r="Q3084" t="s">
        <v>31</v>
      </c>
      <c r="R3084" t="s">
        <v>32</v>
      </c>
      <c r="S3084" t="s">
        <v>28</v>
      </c>
      <c r="T3084" t="s">
        <v>11589</v>
      </c>
      <c r="U3084" t="s">
        <v>11588</v>
      </c>
    </row>
    <row r="3085" spans="1:21" x14ac:dyDescent="0.25">
      <c r="A3085" t="s">
        <v>143</v>
      </c>
      <c r="B3085" t="s">
        <v>144</v>
      </c>
      <c r="C3085">
        <v>200</v>
      </c>
      <c r="D3085">
        <v>1</v>
      </c>
      <c r="E3085">
        <v>0</v>
      </c>
      <c r="F3085" t="s">
        <v>11590</v>
      </c>
      <c r="G3085">
        <v>200</v>
      </c>
      <c r="H3085">
        <v>0</v>
      </c>
      <c r="I3085" t="s">
        <v>24</v>
      </c>
      <c r="J3085" t="s">
        <v>11591</v>
      </c>
      <c r="K3085" t="s">
        <v>237</v>
      </c>
      <c r="L3085" t="s">
        <v>27</v>
      </c>
      <c r="M3085" t="s">
        <v>28</v>
      </c>
      <c r="N3085" t="s">
        <v>11592</v>
      </c>
      <c r="O3085" t="s">
        <v>27</v>
      </c>
      <c r="P3085" t="s">
        <v>39</v>
      </c>
      <c r="Q3085" t="s">
        <v>31</v>
      </c>
      <c r="R3085" t="s">
        <v>32</v>
      </c>
      <c r="S3085" t="s">
        <v>28</v>
      </c>
      <c r="T3085" t="s">
        <v>11593</v>
      </c>
      <c r="U3085" t="s">
        <v>11592</v>
      </c>
    </row>
    <row r="3086" spans="1:21" x14ac:dyDescent="0.25">
      <c r="A3086" t="s">
        <v>58</v>
      </c>
      <c r="B3086" t="s">
        <v>58</v>
      </c>
      <c r="C3086">
        <v>138</v>
      </c>
      <c r="D3086">
        <v>1</v>
      </c>
      <c r="E3086">
        <v>0</v>
      </c>
      <c r="F3086" t="s">
        <v>11594</v>
      </c>
      <c r="G3086">
        <v>143</v>
      </c>
      <c r="H3086">
        <v>5</v>
      </c>
      <c r="I3086" t="s">
        <v>24</v>
      </c>
      <c r="J3086" t="s">
        <v>11595</v>
      </c>
      <c r="K3086" t="s">
        <v>11596</v>
      </c>
      <c r="L3086" t="s">
        <v>4212</v>
      </c>
      <c r="M3086" t="s">
        <v>11597</v>
      </c>
      <c r="N3086" t="s">
        <v>11598</v>
      </c>
      <c r="O3086" t="s">
        <v>27</v>
      </c>
      <c r="P3086" t="s">
        <v>48</v>
      </c>
      <c r="Q3086" t="s">
        <v>49</v>
      </c>
      <c r="R3086" t="s">
        <v>50</v>
      </c>
      <c r="S3086" t="s">
        <v>28</v>
      </c>
      <c r="T3086" t="s">
        <v>11599</v>
      </c>
      <c r="U3086" t="s">
        <v>11598</v>
      </c>
    </row>
    <row r="3087" spans="1:21" x14ac:dyDescent="0.25">
      <c r="A3087" t="s">
        <v>21</v>
      </c>
      <c r="B3087" t="s">
        <v>22</v>
      </c>
      <c r="C3087">
        <v>100</v>
      </c>
      <c r="D3087">
        <v>2</v>
      </c>
      <c r="E3087">
        <v>0</v>
      </c>
      <c r="F3087" t="s">
        <v>11600</v>
      </c>
      <c r="G3087">
        <v>200</v>
      </c>
      <c r="H3087">
        <v>0</v>
      </c>
      <c r="I3087" t="s">
        <v>24</v>
      </c>
      <c r="J3087" t="s">
        <v>11601</v>
      </c>
      <c r="K3087" t="s">
        <v>26</v>
      </c>
      <c r="L3087" t="s">
        <v>27</v>
      </c>
      <c r="M3087" t="s">
        <v>28</v>
      </c>
      <c r="N3087" t="s">
        <v>11602</v>
      </c>
      <c r="O3087" t="s">
        <v>27</v>
      </c>
      <c r="P3087" t="s">
        <v>39</v>
      </c>
      <c r="Q3087" t="s">
        <v>31</v>
      </c>
      <c r="R3087" t="s">
        <v>32</v>
      </c>
      <c r="S3087" t="s">
        <v>28</v>
      </c>
      <c r="T3087" t="s">
        <v>11603</v>
      </c>
      <c r="U3087" t="s">
        <v>11604</v>
      </c>
    </row>
    <row r="3088" spans="1:21" x14ac:dyDescent="0.25">
      <c r="A3088" t="s">
        <v>21</v>
      </c>
      <c r="B3088" t="s">
        <v>22</v>
      </c>
      <c r="C3088">
        <v>100</v>
      </c>
      <c r="D3088">
        <v>1</v>
      </c>
      <c r="E3088">
        <v>0</v>
      </c>
      <c r="F3088" t="s">
        <v>11605</v>
      </c>
      <c r="G3088">
        <v>106</v>
      </c>
      <c r="H3088">
        <v>6</v>
      </c>
      <c r="I3088" t="s">
        <v>445</v>
      </c>
      <c r="J3088" t="s">
        <v>11606</v>
      </c>
      <c r="K3088" t="s">
        <v>250</v>
      </c>
      <c r="L3088" t="s">
        <v>27</v>
      </c>
      <c r="M3088" t="s">
        <v>28</v>
      </c>
      <c r="N3088" t="s">
        <v>11607</v>
      </c>
      <c r="O3088" t="s">
        <v>27</v>
      </c>
      <c r="P3088" t="s">
        <v>56</v>
      </c>
      <c r="Q3088" t="s">
        <v>31</v>
      </c>
      <c r="R3088" t="s">
        <v>57</v>
      </c>
      <c r="S3088" t="s">
        <v>28</v>
      </c>
      <c r="T3088" t="s">
        <v>11608</v>
      </c>
      <c r="U3088" t="s">
        <v>11609</v>
      </c>
    </row>
    <row r="3089" spans="1:21" x14ac:dyDescent="0.25">
      <c r="A3089" t="s">
        <v>21</v>
      </c>
      <c r="B3089" t="s">
        <v>22</v>
      </c>
      <c r="C3089">
        <v>100</v>
      </c>
      <c r="D3089">
        <v>2</v>
      </c>
      <c r="E3089">
        <v>0</v>
      </c>
      <c r="F3089" t="s">
        <v>11610</v>
      </c>
      <c r="G3089">
        <v>200</v>
      </c>
      <c r="H3089">
        <v>0</v>
      </c>
      <c r="I3089" t="s">
        <v>24</v>
      </c>
      <c r="J3089" t="s">
        <v>11611</v>
      </c>
      <c r="K3089" t="s">
        <v>418</v>
      </c>
      <c r="L3089" t="s">
        <v>27</v>
      </c>
      <c r="M3089" t="s">
        <v>28</v>
      </c>
      <c r="N3089" t="s">
        <v>11612</v>
      </c>
      <c r="O3089" t="s">
        <v>27</v>
      </c>
      <c r="P3089" t="s">
        <v>39</v>
      </c>
      <c r="Q3089" t="s">
        <v>31</v>
      </c>
      <c r="R3089" t="s">
        <v>32</v>
      </c>
      <c r="S3089" t="s">
        <v>28</v>
      </c>
      <c r="T3089" t="s">
        <v>11613</v>
      </c>
      <c r="U3089" t="s">
        <v>11612</v>
      </c>
    </row>
    <row r="3090" spans="1:21" x14ac:dyDescent="0.25">
      <c r="A3090" t="s">
        <v>94</v>
      </c>
      <c r="B3090" t="s">
        <v>95</v>
      </c>
      <c r="C3090">
        <v>20</v>
      </c>
      <c r="D3090">
        <v>1</v>
      </c>
      <c r="E3090">
        <v>0</v>
      </c>
      <c r="F3090" t="s">
        <v>11614</v>
      </c>
      <c r="G3090">
        <v>20</v>
      </c>
      <c r="H3090">
        <v>0</v>
      </c>
      <c r="I3090" t="s">
        <v>24</v>
      </c>
      <c r="J3090" t="s">
        <v>514</v>
      </c>
      <c r="K3090" t="s">
        <v>11615</v>
      </c>
      <c r="L3090" t="s">
        <v>516</v>
      </c>
      <c r="M3090" t="s">
        <v>11616</v>
      </c>
      <c r="N3090" t="s">
        <v>11617</v>
      </c>
      <c r="O3090" t="s">
        <v>27</v>
      </c>
      <c r="P3090" t="s">
        <v>48</v>
      </c>
      <c r="Q3090" t="s">
        <v>49</v>
      </c>
      <c r="R3090" t="s">
        <v>50</v>
      </c>
      <c r="S3090" t="s">
        <v>28</v>
      </c>
      <c r="T3090" t="s">
        <v>11618</v>
      </c>
      <c r="U3090" t="s">
        <v>11619</v>
      </c>
    </row>
    <row r="3091" spans="1:21" x14ac:dyDescent="0.25">
      <c r="A3091" t="s">
        <v>94</v>
      </c>
      <c r="B3091" t="s">
        <v>95</v>
      </c>
      <c r="C3091">
        <v>0.95</v>
      </c>
      <c r="D3091">
        <v>1</v>
      </c>
      <c r="E3091">
        <v>0</v>
      </c>
      <c r="F3091" t="s">
        <v>11620</v>
      </c>
      <c r="G3091">
        <v>0.95</v>
      </c>
      <c r="H3091">
        <v>0</v>
      </c>
      <c r="I3091" t="s">
        <v>24</v>
      </c>
      <c r="J3091" t="s">
        <v>514</v>
      </c>
      <c r="K3091" t="s">
        <v>11615</v>
      </c>
      <c r="L3091" t="s">
        <v>516</v>
      </c>
      <c r="M3091" t="s">
        <v>11621</v>
      </c>
      <c r="N3091" t="s">
        <v>11622</v>
      </c>
      <c r="O3091" t="s">
        <v>27</v>
      </c>
      <c r="P3091" t="s">
        <v>48</v>
      </c>
      <c r="Q3091" t="s">
        <v>49</v>
      </c>
      <c r="R3091" t="s">
        <v>50</v>
      </c>
      <c r="S3091" t="s">
        <v>28</v>
      </c>
      <c r="T3091" t="s">
        <v>11623</v>
      </c>
      <c r="U3091" t="s">
        <v>11622</v>
      </c>
    </row>
    <row r="3092" spans="1:21" x14ac:dyDescent="0.25">
      <c r="A3092" t="s">
        <v>195</v>
      </c>
      <c r="B3092" t="s">
        <v>1003</v>
      </c>
      <c r="C3092">
        <v>213.75</v>
      </c>
      <c r="D3092">
        <v>1</v>
      </c>
      <c r="E3092">
        <v>0</v>
      </c>
      <c r="F3092" t="s">
        <v>11624</v>
      </c>
      <c r="G3092">
        <v>451.5</v>
      </c>
      <c r="H3092">
        <v>24</v>
      </c>
      <c r="I3092" t="s">
        <v>628</v>
      </c>
      <c r="J3092" t="s">
        <v>11625</v>
      </c>
      <c r="K3092" t="s">
        <v>11626</v>
      </c>
      <c r="L3092" t="s">
        <v>11627</v>
      </c>
      <c r="M3092" t="s">
        <v>11628</v>
      </c>
      <c r="N3092" t="s">
        <v>11629</v>
      </c>
      <c r="O3092" t="s">
        <v>27</v>
      </c>
      <c r="P3092" t="s">
        <v>48</v>
      </c>
      <c r="Q3092" t="s">
        <v>49</v>
      </c>
      <c r="R3092" t="s">
        <v>50</v>
      </c>
      <c r="S3092" t="s">
        <v>28</v>
      </c>
      <c r="T3092" t="s">
        <v>11630</v>
      </c>
      <c r="U3092" t="s">
        <v>11629</v>
      </c>
    </row>
    <row r="3093" spans="1:21" x14ac:dyDescent="0.25">
      <c r="A3093" t="s">
        <v>195</v>
      </c>
      <c r="B3093" t="s">
        <v>1003</v>
      </c>
      <c r="C3093">
        <v>213.75</v>
      </c>
      <c r="D3093">
        <v>1</v>
      </c>
      <c r="E3093">
        <v>0</v>
      </c>
      <c r="F3093" t="s">
        <v>11624</v>
      </c>
      <c r="G3093">
        <v>451.5</v>
      </c>
      <c r="H3093">
        <v>24</v>
      </c>
      <c r="I3093" t="s">
        <v>628</v>
      </c>
      <c r="J3093" t="s">
        <v>11625</v>
      </c>
      <c r="K3093" t="s">
        <v>11626</v>
      </c>
      <c r="L3093" t="s">
        <v>11627</v>
      </c>
      <c r="M3093" t="s">
        <v>11628</v>
      </c>
      <c r="N3093" t="s">
        <v>11629</v>
      </c>
      <c r="O3093" t="s">
        <v>27</v>
      </c>
      <c r="P3093" t="s">
        <v>48</v>
      </c>
      <c r="Q3093" t="s">
        <v>49</v>
      </c>
      <c r="R3093" t="s">
        <v>50</v>
      </c>
      <c r="S3093" t="s">
        <v>28</v>
      </c>
      <c r="T3093" t="s">
        <v>11630</v>
      </c>
      <c r="U3093" t="s">
        <v>11629</v>
      </c>
    </row>
    <row r="3094" spans="1:21" x14ac:dyDescent="0.25">
      <c r="A3094" t="s">
        <v>58</v>
      </c>
      <c r="B3094" t="s">
        <v>58</v>
      </c>
      <c r="C3094">
        <v>100</v>
      </c>
      <c r="D3094">
        <v>1</v>
      </c>
      <c r="E3094">
        <v>0</v>
      </c>
      <c r="F3094" t="s">
        <v>11631</v>
      </c>
      <c r="G3094">
        <v>103</v>
      </c>
      <c r="H3094">
        <v>3</v>
      </c>
      <c r="I3094" t="s">
        <v>445</v>
      </c>
      <c r="J3094" t="s">
        <v>11632</v>
      </c>
      <c r="K3094" t="s">
        <v>11633</v>
      </c>
      <c r="L3094" t="s">
        <v>11634</v>
      </c>
      <c r="M3094" t="s">
        <v>9038</v>
      </c>
      <c r="N3094" t="s">
        <v>11629</v>
      </c>
      <c r="O3094" t="s">
        <v>27</v>
      </c>
      <c r="P3094" t="s">
        <v>84</v>
      </c>
      <c r="Q3094" t="s">
        <v>85</v>
      </c>
      <c r="R3094" t="s">
        <v>86</v>
      </c>
      <c r="S3094" t="s">
        <v>28</v>
      </c>
      <c r="T3094" t="s">
        <v>11635</v>
      </c>
      <c r="U3094" t="s">
        <v>11636</v>
      </c>
    </row>
    <row r="3095" spans="1:21" x14ac:dyDescent="0.25">
      <c r="A3095" t="s">
        <v>21</v>
      </c>
      <c r="B3095" t="s">
        <v>22</v>
      </c>
      <c r="C3095">
        <v>150</v>
      </c>
      <c r="D3095">
        <v>2</v>
      </c>
      <c r="E3095">
        <v>0</v>
      </c>
      <c r="F3095" t="s">
        <v>11637</v>
      </c>
      <c r="G3095">
        <v>370</v>
      </c>
      <c r="H3095">
        <v>0</v>
      </c>
      <c r="I3095" t="s">
        <v>445</v>
      </c>
      <c r="J3095" t="s">
        <v>8499</v>
      </c>
      <c r="K3095" t="s">
        <v>11638</v>
      </c>
      <c r="L3095" t="s">
        <v>1737</v>
      </c>
      <c r="M3095" t="s">
        <v>2286</v>
      </c>
      <c r="N3095" t="s">
        <v>11639</v>
      </c>
      <c r="O3095" t="s">
        <v>27</v>
      </c>
      <c r="P3095" t="s">
        <v>193</v>
      </c>
      <c r="Q3095" t="s">
        <v>85</v>
      </c>
      <c r="R3095" t="s">
        <v>86</v>
      </c>
      <c r="S3095" t="s">
        <v>28</v>
      </c>
      <c r="T3095" t="s">
        <v>11640</v>
      </c>
      <c r="U3095" t="s">
        <v>11639</v>
      </c>
    </row>
    <row r="3096" spans="1:21" x14ac:dyDescent="0.25">
      <c r="A3096" t="s">
        <v>21</v>
      </c>
      <c r="B3096" t="s">
        <v>22</v>
      </c>
      <c r="C3096">
        <v>100</v>
      </c>
      <c r="D3096">
        <v>1</v>
      </c>
      <c r="E3096">
        <v>0</v>
      </c>
      <c r="F3096" t="s">
        <v>11641</v>
      </c>
      <c r="G3096">
        <v>106</v>
      </c>
      <c r="H3096">
        <v>6</v>
      </c>
      <c r="I3096" t="s">
        <v>24</v>
      </c>
      <c r="J3096" t="s">
        <v>11642</v>
      </c>
      <c r="K3096" t="s">
        <v>250</v>
      </c>
      <c r="L3096" t="s">
        <v>27</v>
      </c>
      <c r="M3096" t="s">
        <v>28</v>
      </c>
      <c r="N3096" t="s">
        <v>11643</v>
      </c>
      <c r="O3096" t="s">
        <v>27</v>
      </c>
      <c r="P3096" t="s">
        <v>56</v>
      </c>
      <c r="Q3096" t="s">
        <v>31</v>
      </c>
      <c r="R3096" t="s">
        <v>57</v>
      </c>
      <c r="S3096" t="s">
        <v>28</v>
      </c>
      <c r="T3096" t="s">
        <v>11644</v>
      </c>
      <c r="U3096" t="s">
        <v>11639</v>
      </c>
    </row>
    <row r="3097" spans="1:21" x14ac:dyDescent="0.25">
      <c r="A3097" t="s">
        <v>76</v>
      </c>
      <c r="B3097" t="s">
        <v>77</v>
      </c>
      <c r="C3097">
        <v>199</v>
      </c>
      <c r="D3097">
        <v>1</v>
      </c>
      <c r="E3097">
        <v>0</v>
      </c>
      <c r="F3097" t="s">
        <v>11645</v>
      </c>
      <c r="G3097">
        <v>247</v>
      </c>
      <c r="H3097">
        <v>48</v>
      </c>
      <c r="I3097" t="s">
        <v>24</v>
      </c>
      <c r="J3097" t="s">
        <v>11646</v>
      </c>
      <c r="K3097" t="s">
        <v>11647</v>
      </c>
      <c r="L3097" t="s">
        <v>1146</v>
      </c>
      <c r="M3097" t="s">
        <v>11648</v>
      </c>
      <c r="N3097" t="s">
        <v>11649</v>
      </c>
      <c r="O3097" t="s">
        <v>27</v>
      </c>
      <c r="P3097" t="s">
        <v>193</v>
      </c>
      <c r="Q3097" t="s">
        <v>85</v>
      </c>
      <c r="R3097" t="s">
        <v>86</v>
      </c>
      <c r="S3097" t="s">
        <v>28</v>
      </c>
      <c r="T3097" t="s">
        <v>11650</v>
      </c>
      <c r="U3097" t="s">
        <v>11651</v>
      </c>
    </row>
    <row r="3098" spans="1:21" x14ac:dyDescent="0.25">
      <c r="A3098" t="s">
        <v>94</v>
      </c>
      <c r="B3098" t="s">
        <v>95</v>
      </c>
      <c r="C3098">
        <v>74.400000000000006</v>
      </c>
      <c r="D3098">
        <v>1</v>
      </c>
      <c r="E3098">
        <v>0</v>
      </c>
      <c r="F3098" t="s">
        <v>11652</v>
      </c>
      <c r="G3098">
        <v>153.80000000000001</v>
      </c>
      <c r="H3098">
        <v>5</v>
      </c>
      <c r="I3098" t="s">
        <v>24</v>
      </c>
      <c r="J3098" t="s">
        <v>6196</v>
      </c>
      <c r="K3098" t="s">
        <v>6197</v>
      </c>
      <c r="L3098" t="s">
        <v>1146</v>
      </c>
      <c r="M3098" t="s">
        <v>6198</v>
      </c>
      <c r="N3098" t="s">
        <v>11653</v>
      </c>
      <c r="O3098" t="s">
        <v>27</v>
      </c>
      <c r="P3098" t="s">
        <v>48</v>
      </c>
      <c r="Q3098" t="s">
        <v>49</v>
      </c>
      <c r="R3098" t="s">
        <v>50</v>
      </c>
      <c r="S3098" t="s">
        <v>28</v>
      </c>
      <c r="T3098" t="s">
        <v>11654</v>
      </c>
      <c r="U3098" t="s">
        <v>11653</v>
      </c>
    </row>
    <row r="3099" spans="1:21" x14ac:dyDescent="0.25">
      <c r="A3099" t="s">
        <v>94</v>
      </c>
      <c r="B3099" t="s">
        <v>95</v>
      </c>
      <c r="C3099">
        <v>74.400000000000006</v>
      </c>
      <c r="D3099">
        <v>1</v>
      </c>
      <c r="E3099">
        <v>0</v>
      </c>
      <c r="F3099" t="s">
        <v>11652</v>
      </c>
      <c r="G3099">
        <v>153.80000000000001</v>
      </c>
      <c r="H3099">
        <v>5</v>
      </c>
      <c r="I3099" t="s">
        <v>24</v>
      </c>
      <c r="J3099" t="s">
        <v>6196</v>
      </c>
      <c r="K3099" t="s">
        <v>6197</v>
      </c>
      <c r="L3099" t="s">
        <v>1146</v>
      </c>
      <c r="M3099" t="s">
        <v>6198</v>
      </c>
      <c r="N3099" t="s">
        <v>11653</v>
      </c>
      <c r="O3099" t="s">
        <v>27</v>
      </c>
      <c r="P3099" t="s">
        <v>48</v>
      </c>
      <c r="Q3099" t="s">
        <v>49</v>
      </c>
      <c r="R3099" t="s">
        <v>50</v>
      </c>
      <c r="S3099" t="s">
        <v>28</v>
      </c>
      <c r="T3099" t="s">
        <v>11654</v>
      </c>
      <c r="U3099" t="s">
        <v>11653</v>
      </c>
    </row>
    <row r="3100" spans="1:21" x14ac:dyDescent="0.25">
      <c r="A3100" t="s">
        <v>58</v>
      </c>
      <c r="B3100" t="s">
        <v>58</v>
      </c>
      <c r="C3100">
        <v>100</v>
      </c>
      <c r="D3100">
        <v>2</v>
      </c>
      <c r="E3100">
        <v>0</v>
      </c>
      <c r="F3100" t="s">
        <v>11655</v>
      </c>
      <c r="G3100">
        <v>697</v>
      </c>
      <c r="H3100">
        <v>0</v>
      </c>
      <c r="I3100" t="s">
        <v>445</v>
      </c>
      <c r="J3100" t="s">
        <v>11656</v>
      </c>
      <c r="K3100" t="s">
        <v>11657</v>
      </c>
      <c r="L3100" t="s">
        <v>99</v>
      </c>
      <c r="M3100" t="s">
        <v>11658</v>
      </c>
      <c r="N3100" t="s">
        <v>11659</v>
      </c>
      <c r="O3100" t="s">
        <v>27</v>
      </c>
      <c r="P3100" t="s">
        <v>193</v>
      </c>
      <c r="Q3100" t="s">
        <v>85</v>
      </c>
      <c r="R3100" t="s">
        <v>86</v>
      </c>
      <c r="S3100" t="s">
        <v>28</v>
      </c>
      <c r="T3100" t="s">
        <v>11660</v>
      </c>
      <c r="U3100" t="s">
        <v>11659</v>
      </c>
    </row>
    <row r="3101" spans="1:21" x14ac:dyDescent="0.25">
      <c r="A3101" t="s">
        <v>134</v>
      </c>
      <c r="B3101" t="s">
        <v>64</v>
      </c>
      <c r="C3101">
        <v>150</v>
      </c>
      <c r="D3101">
        <v>2</v>
      </c>
      <c r="E3101">
        <v>0</v>
      </c>
      <c r="F3101" t="s">
        <v>11655</v>
      </c>
      <c r="G3101">
        <v>697</v>
      </c>
      <c r="H3101">
        <v>0</v>
      </c>
      <c r="I3101" t="s">
        <v>445</v>
      </c>
      <c r="J3101" t="s">
        <v>11656</v>
      </c>
      <c r="K3101" t="s">
        <v>11657</v>
      </c>
      <c r="L3101" t="s">
        <v>99</v>
      </c>
      <c r="M3101" t="s">
        <v>11658</v>
      </c>
      <c r="N3101" t="s">
        <v>11659</v>
      </c>
      <c r="O3101" t="s">
        <v>27</v>
      </c>
      <c r="P3101" t="s">
        <v>193</v>
      </c>
      <c r="Q3101" t="s">
        <v>85</v>
      </c>
      <c r="R3101" t="s">
        <v>86</v>
      </c>
      <c r="S3101" t="s">
        <v>28</v>
      </c>
      <c r="T3101" t="s">
        <v>11660</v>
      </c>
      <c r="U3101" t="s">
        <v>11659</v>
      </c>
    </row>
    <row r="3102" spans="1:21" x14ac:dyDescent="0.25">
      <c r="A3102" t="s">
        <v>456</v>
      </c>
      <c r="B3102" t="s">
        <v>457</v>
      </c>
      <c r="C3102">
        <v>197</v>
      </c>
      <c r="D3102">
        <v>1</v>
      </c>
      <c r="E3102">
        <v>0</v>
      </c>
      <c r="F3102" t="s">
        <v>11655</v>
      </c>
      <c r="G3102">
        <v>697</v>
      </c>
      <c r="H3102">
        <v>0</v>
      </c>
      <c r="I3102" t="s">
        <v>445</v>
      </c>
      <c r="J3102" t="s">
        <v>11656</v>
      </c>
      <c r="K3102" t="s">
        <v>11657</v>
      </c>
      <c r="L3102" t="s">
        <v>99</v>
      </c>
      <c r="M3102" t="s">
        <v>11658</v>
      </c>
      <c r="N3102" t="s">
        <v>11659</v>
      </c>
      <c r="O3102" t="s">
        <v>27</v>
      </c>
      <c r="P3102" t="s">
        <v>193</v>
      </c>
      <c r="Q3102" t="s">
        <v>85</v>
      </c>
      <c r="R3102" t="s">
        <v>86</v>
      </c>
      <c r="S3102" t="s">
        <v>28</v>
      </c>
      <c r="T3102" t="s">
        <v>11660</v>
      </c>
      <c r="U3102" t="s">
        <v>11659</v>
      </c>
    </row>
    <row r="3103" spans="1:21" x14ac:dyDescent="0.25">
      <c r="A3103" t="s">
        <v>58</v>
      </c>
      <c r="B3103" t="s">
        <v>58</v>
      </c>
      <c r="C3103">
        <v>100</v>
      </c>
      <c r="D3103">
        <v>1</v>
      </c>
      <c r="E3103">
        <v>0</v>
      </c>
      <c r="F3103" t="s">
        <v>11661</v>
      </c>
      <c r="G3103">
        <v>510</v>
      </c>
      <c r="H3103">
        <v>0</v>
      </c>
      <c r="I3103" t="s">
        <v>445</v>
      </c>
      <c r="J3103" t="s">
        <v>8499</v>
      </c>
      <c r="K3103" t="s">
        <v>11638</v>
      </c>
      <c r="L3103" t="s">
        <v>1737</v>
      </c>
      <c r="M3103" t="s">
        <v>2286</v>
      </c>
      <c r="N3103" t="s">
        <v>11659</v>
      </c>
      <c r="O3103" t="s">
        <v>27</v>
      </c>
      <c r="P3103" t="s">
        <v>193</v>
      </c>
      <c r="Q3103" t="s">
        <v>85</v>
      </c>
      <c r="R3103" t="s">
        <v>86</v>
      </c>
      <c r="S3103" t="s">
        <v>28</v>
      </c>
      <c r="T3103" t="s">
        <v>11662</v>
      </c>
      <c r="U3103" t="s">
        <v>11659</v>
      </c>
    </row>
    <row r="3104" spans="1:21" x14ac:dyDescent="0.25">
      <c r="A3104" t="s">
        <v>21</v>
      </c>
      <c r="B3104" t="s">
        <v>22</v>
      </c>
      <c r="C3104">
        <v>100</v>
      </c>
      <c r="D3104">
        <v>1</v>
      </c>
      <c r="E3104">
        <v>0</v>
      </c>
      <c r="F3104" t="s">
        <v>11663</v>
      </c>
      <c r="G3104">
        <v>106</v>
      </c>
      <c r="H3104">
        <v>6</v>
      </c>
      <c r="I3104" t="s">
        <v>24</v>
      </c>
      <c r="J3104" t="s">
        <v>11664</v>
      </c>
      <c r="K3104" t="s">
        <v>37</v>
      </c>
      <c r="L3104" t="s">
        <v>27</v>
      </c>
      <c r="M3104" t="s">
        <v>28</v>
      </c>
      <c r="N3104" t="s">
        <v>11665</v>
      </c>
      <c r="O3104" t="s">
        <v>27</v>
      </c>
      <c r="P3104" t="s">
        <v>39</v>
      </c>
      <c r="Q3104" t="s">
        <v>31</v>
      </c>
      <c r="R3104" t="s">
        <v>32</v>
      </c>
      <c r="S3104" t="s">
        <v>28</v>
      </c>
      <c r="T3104" t="s">
        <v>11666</v>
      </c>
      <c r="U3104" t="s">
        <v>11667</v>
      </c>
    </row>
    <row r="3105" spans="1:21" x14ac:dyDescent="0.25">
      <c r="A3105" t="s">
        <v>33</v>
      </c>
      <c r="B3105" t="s">
        <v>34</v>
      </c>
      <c r="C3105">
        <v>200</v>
      </c>
      <c r="D3105">
        <v>1</v>
      </c>
      <c r="E3105">
        <v>0</v>
      </c>
      <c r="F3105" t="s">
        <v>11668</v>
      </c>
      <c r="G3105">
        <v>200</v>
      </c>
      <c r="H3105">
        <v>0</v>
      </c>
      <c r="I3105" t="s">
        <v>24</v>
      </c>
      <c r="J3105" t="s">
        <v>11669</v>
      </c>
      <c r="K3105" t="s">
        <v>213</v>
      </c>
      <c r="L3105" t="s">
        <v>27</v>
      </c>
      <c r="M3105" t="s">
        <v>28</v>
      </c>
      <c r="N3105" t="s">
        <v>11665</v>
      </c>
      <c r="O3105" t="s">
        <v>27</v>
      </c>
      <c r="P3105" t="s">
        <v>39</v>
      </c>
      <c r="Q3105" t="s">
        <v>31</v>
      </c>
      <c r="R3105" t="s">
        <v>32</v>
      </c>
      <c r="S3105" t="s">
        <v>28</v>
      </c>
      <c r="T3105" t="s">
        <v>11670</v>
      </c>
      <c r="U3105" t="s">
        <v>11667</v>
      </c>
    </row>
    <row r="3106" spans="1:21" x14ac:dyDescent="0.25">
      <c r="A3106" t="s">
        <v>21</v>
      </c>
      <c r="B3106" t="s">
        <v>22</v>
      </c>
      <c r="C3106">
        <v>100</v>
      </c>
      <c r="D3106">
        <v>1</v>
      </c>
      <c r="E3106">
        <v>0</v>
      </c>
      <c r="F3106" t="s">
        <v>11671</v>
      </c>
      <c r="G3106">
        <v>106</v>
      </c>
      <c r="H3106">
        <v>6</v>
      </c>
      <c r="I3106" t="s">
        <v>24</v>
      </c>
      <c r="J3106" t="s">
        <v>11672</v>
      </c>
      <c r="K3106" t="s">
        <v>61</v>
      </c>
      <c r="L3106" t="s">
        <v>27</v>
      </c>
      <c r="M3106" t="s">
        <v>28</v>
      </c>
      <c r="N3106" t="s">
        <v>11673</v>
      </c>
      <c r="O3106" t="s">
        <v>27</v>
      </c>
      <c r="P3106" t="s">
        <v>39</v>
      </c>
      <c r="Q3106" t="s">
        <v>31</v>
      </c>
      <c r="R3106" t="s">
        <v>32</v>
      </c>
      <c r="S3106" t="s">
        <v>28</v>
      </c>
      <c r="T3106" t="s">
        <v>11674</v>
      </c>
      <c r="U3106" t="s">
        <v>11667</v>
      </c>
    </row>
    <row r="3107" spans="1:21" x14ac:dyDescent="0.25">
      <c r="A3107" t="s">
        <v>21</v>
      </c>
      <c r="B3107" t="s">
        <v>22</v>
      </c>
      <c r="C3107">
        <v>100</v>
      </c>
      <c r="D3107">
        <v>1</v>
      </c>
      <c r="E3107">
        <v>0</v>
      </c>
      <c r="F3107" t="s">
        <v>11675</v>
      </c>
      <c r="G3107">
        <v>100</v>
      </c>
      <c r="H3107">
        <v>0</v>
      </c>
      <c r="I3107" t="s">
        <v>24</v>
      </c>
      <c r="J3107" t="s">
        <v>1219</v>
      </c>
      <c r="K3107" t="s">
        <v>474</v>
      </c>
      <c r="L3107" t="s">
        <v>27</v>
      </c>
      <c r="M3107" t="s">
        <v>28</v>
      </c>
      <c r="N3107" t="s">
        <v>11676</v>
      </c>
      <c r="O3107" t="s">
        <v>27</v>
      </c>
      <c r="P3107" t="s">
        <v>39</v>
      </c>
      <c r="Q3107" t="s">
        <v>31</v>
      </c>
      <c r="R3107" t="s">
        <v>32</v>
      </c>
      <c r="S3107" t="s">
        <v>28</v>
      </c>
      <c r="T3107" t="s">
        <v>11677</v>
      </c>
      <c r="U3107" t="s">
        <v>11667</v>
      </c>
    </row>
    <row r="3108" spans="1:21" x14ac:dyDescent="0.25">
      <c r="A3108" t="s">
        <v>33</v>
      </c>
      <c r="B3108" t="s">
        <v>34</v>
      </c>
      <c r="C3108">
        <v>200</v>
      </c>
      <c r="D3108">
        <v>1</v>
      </c>
      <c r="E3108">
        <v>0</v>
      </c>
      <c r="F3108" t="s">
        <v>11678</v>
      </c>
      <c r="G3108">
        <v>200</v>
      </c>
      <c r="H3108">
        <v>0</v>
      </c>
      <c r="I3108" t="s">
        <v>24</v>
      </c>
      <c r="J3108" t="s">
        <v>53</v>
      </c>
      <c r="K3108" t="s">
        <v>89</v>
      </c>
      <c r="L3108" t="s">
        <v>27</v>
      </c>
      <c r="M3108" t="s">
        <v>28</v>
      </c>
      <c r="N3108" t="s">
        <v>11679</v>
      </c>
      <c r="O3108" t="s">
        <v>27</v>
      </c>
      <c r="P3108" t="s">
        <v>56</v>
      </c>
      <c r="Q3108" t="s">
        <v>31</v>
      </c>
      <c r="R3108" t="s">
        <v>57</v>
      </c>
      <c r="S3108" t="s">
        <v>28</v>
      </c>
      <c r="T3108" t="s">
        <v>11680</v>
      </c>
      <c r="U3108" t="s">
        <v>11681</v>
      </c>
    </row>
    <row r="3109" spans="1:21" x14ac:dyDescent="0.25">
      <c r="A3109" t="s">
        <v>195</v>
      </c>
      <c r="B3109" t="s">
        <v>1003</v>
      </c>
      <c r="C3109">
        <v>150.66999999999999</v>
      </c>
      <c r="D3109">
        <v>1</v>
      </c>
      <c r="E3109">
        <v>0</v>
      </c>
      <c r="F3109" t="s">
        <v>11682</v>
      </c>
      <c r="G3109">
        <v>491</v>
      </c>
      <c r="H3109">
        <v>39</v>
      </c>
      <c r="I3109" t="s">
        <v>628</v>
      </c>
      <c r="J3109" t="s">
        <v>5017</v>
      </c>
      <c r="K3109" t="s">
        <v>5018</v>
      </c>
      <c r="L3109" t="s">
        <v>258</v>
      </c>
      <c r="M3109" t="s">
        <v>5019</v>
      </c>
      <c r="N3109" t="s">
        <v>11683</v>
      </c>
      <c r="O3109" t="s">
        <v>27</v>
      </c>
      <c r="P3109" t="s">
        <v>48</v>
      </c>
      <c r="Q3109" t="s">
        <v>49</v>
      </c>
      <c r="R3109" t="s">
        <v>50</v>
      </c>
      <c r="S3109" t="s">
        <v>28</v>
      </c>
      <c r="T3109" t="s">
        <v>11684</v>
      </c>
      <c r="U3109" t="s">
        <v>11685</v>
      </c>
    </row>
    <row r="3110" spans="1:21" x14ac:dyDescent="0.25">
      <c r="A3110" t="s">
        <v>195</v>
      </c>
      <c r="B3110" t="s">
        <v>1003</v>
      </c>
      <c r="C3110">
        <v>150.66</v>
      </c>
      <c r="D3110">
        <v>1</v>
      </c>
      <c r="E3110">
        <v>0</v>
      </c>
      <c r="F3110" t="s">
        <v>11682</v>
      </c>
      <c r="G3110">
        <v>491</v>
      </c>
      <c r="H3110">
        <v>39</v>
      </c>
      <c r="I3110" t="s">
        <v>628</v>
      </c>
      <c r="J3110" t="s">
        <v>5017</v>
      </c>
      <c r="K3110" t="s">
        <v>5018</v>
      </c>
      <c r="L3110" t="s">
        <v>258</v>
      </c>
      <c r="M3110" t="s">
        <v>5019</v>
      </c>
      <c r="N3110" t="s">
        <v>11683</v>
      </c>
      <c r="O3110" t="s">
        <v>27</v>
      </c>
      <c r="P3110" t="s">
        <v>48</v>
      </c>
      <c r="Q3110" t="s">
        <v>49</v>
      </c>
      <c r="R3110" t="s">
        <v>50</v>
      </c>
      <c r="S3110" t="s">
        <v>28</v>
      </c>
      <c r="T3110" t="s">
        <v>11684</v>
      </c>
      <c r="U3110" t="s">
        <v>11685</v>
      </c>
    </row>
    <row r="3111" spans="1:21" x14ac:dyDescent="0.25">
      <c r="A3111" t="s">
        <v>195</v>
      </c>
      <c r="B3111" t="s">
        <v>1003</v>
      </c>
      <c r="C3111">
        <v>150.66999999999999</v>
      </c>
      <c r="D3111">
        <v>1</v>
      </c>
      <c r="E3111">
        <v>0</v>
      </c>
      <c r="F3111" t="s">
        <v>11682</v>
      </c>
      <c r="G3111">
        <v>491</v>
      </c>
      <c r="H3111">
        <v>39</v>
      </c>
      <c r="I3111" t="s">
        <v>628</v>
      </c>
      <c r="J3111" t="s">
        <v>5017</v>
      </c>
      <c r="K3111" t="s">
        <v>5018</v>
      </c>
      <c r="L3111" t="s">
        <v>258</v>
      </c>
      <c r="M3111" t="s">
        <v>5019</v>
      </c>
      <c r="N3111" t="s">
        <v>11683</v>
      </c>
      <c r="O3111" t="s">
        <v>27</v>
      </c>
      <c r="P3111" t="s">
        <v>48</v>
      </c>
      <c r="Q3111" t="s">
        <v>49</v>
      </c>
      <c r="R3111" t="s">
        <v>50</v>
      </c>
      <c r="S3111" t="s">
        <v>28</v>
      </c>
      <c r="T3111" t="s">
        <v>11684</v>
      </c>
      <c r="U3111" t="s">
        <v>11685</v>
      </c>
    </row>
    <row r="3112" spans="1:21" x14ac:dyDescent="0.25">
      <c r="A3112" t="s">
        <v>21</v>
      </c>
      <c r="B3112" t="s">
        <v>22</v>
      </c>
      <c r="C3112">
        <v>100</v>
      </c>
      <c r="D3112">
        <v>1</v>
      </c>
      <c r="E3112">
        <v>0</v>
      </c>
      <c r="F3112" t="s">
        <v>11686</v>
      </c>
      <c r="G3112">
        <v>100</v>
      </c>
      <c r="H3112">
        <v>0</v>
      </c>
      <c r="I3112" t="s">
        <v>24</v>
      </c>
      <c r="J3112" t="s">
        <v>11687</v>
      </c>
      <c r="K3112" t="s">
        <v>384</v>
      </c>
      <c r="L3112" t="s">
        <v>27</v>
      </c>
      <c r="M3112" t="s">
        <v>28</v>
      </c>
      <c r="N3112" t="s">
        <v>11688</v>
      </c>
      <c r="O3112" t="s">
        <v>27</v>
      </c>
      <c r="P3112" t="s">
        <v>56</v>
      </c>
      <c r="Q3112" t="s">
        <v>31</v>
      </c>
      <c r="R3112" t="s">
        <v>57</v>
      </c>
      <c r="S3112" t="s">
        <v>28</v>
      </c>
      <c r="T3112" t="s">
        <v>11689</v>
      </c>
      <c r="U3112" t="s">
        <v>11690</v>
      </c>
    </row>
    <row r="3113" spans="1:21" x14ac:dyDescent="0.25">
      <c r="A3113" t="s">
        <v>21</v>
      </c>
      <c r="B3113" t="s">
        <v>22</v>
      </c>
      <c r="C3113">
        <v>100</v>
      </c>
      <c r="D3113">
        <v>1</v>
      </c>
      <c r="E3113">
        <v>0</v>
      </c>
      <c r="F3113" t="s">
        <v>11691</v>
      </c>
      <c r="G3113">
        <v>106</v>
      </c>
      <c r="H3113">
        <v>6</v>
      </c>
      <c r="I3113" t="s">
        <v>24</v>
      </c>
      <c r="J3113" t="s">
        <v>11692</v>
      </c>
      <c r="K3113" t="s">
        <v>11693</v>
      </c>
      <c r="L3113" t="s">
        <v>27</v>
      </c>
      <c r="M3113" t="s">
        <v>28</v>
      </c>
      <c r="N3113" t="s">
        <v>11694</v>
      </c>
      <c r="O3113" t="s">
        <v>27</v>
      </c>
      <c r="P3113" t="s">
        <v>39</v>
      </c>
      <c r="Q3113" t="s">
        <v>31</v>
      </c>
      <c r="R3113" t="s">
        <v>32</v>
      </c>
      <c r="S3113" t="s">
        <v>28</v>
      </c>
      <c r="T3113" t="s">
        <v>11695</v>
      </c>
      <c r="U3113" t="s">
        <v>11690</v>
      </c>
    </row>
    <row r="3114" spans="1:21" x14ac:dyDescent="0.25">
      <c r="A3114" t="s">
        <v>21</v>
      </c>
      <c r="B3114" t="s">
        <v>22</v>
      </c>
      <c r="C3114">
        <v>100</v>
      </c>
      <c r="D3114">
        <v>1</v>
      </c>
      <c r="E3114">
        <v>0</v>
      </c>
      <c r="F3114" t="s">
        <v>11696</v>
      </c>
      <c r="G3114">
        <v>100</v>
      </c>
      <c r="H3114">
        <v>0</v>
      </c>
      <c r="I3114" t="s">
        <v>445</v>
      </c>
      <c r="J3114" t="s">
        <v>11697</v>
      </c>
      <c r="K3114" t="s">
        <v>342</v>
      </c>
      <c r="L3114" t="s">
        <v>27</v>
      </c>
      <c r="M3114" t="s">
        <v>28</v>
      </c>
      <c r="N3114" t="s">
        <v>11698</v>
      </c>
      <c r="O3114" t="s">
        <v>27</v>
      </c>
      <c r="P3114" t="s">
        <v>39</v>
      </c>
      <c r="Q3114" t="s">
        <v>31</v>
      </c>
      <c r="R3114" t="s">
        <v>32</v>
      </c>
      <c r="S3114" t="s">
        <v>28</v>
      </c>
      <c r="T3114" t="s">
        <v>11699</v>
      </c>
      <c r="U3114" t="s">
        <v>11688</v>
      </c>
    </row>
    <row r="3115" spans="1:21" x14ac:dyDescent="0.25">
      <c r="A3115" t="s">
        <v>635</v>
      </c>
      <c r="B3115" t="s">
        <v>714</v>
      </c>
      <c r="C3115">
        <v>521.5</v>
      </c>
      <c r="D3115">
        <v>1</v>
      </c>
      <c r="E3115">
        <v>0</v>
      </c>
      <c r="F3115" t="s">
        <v>11700</v>
      </c>
      <c r="G3115">
        <v>545.5</v>
      </c>
      <c r="H3115">
        <v>24</v>
      </c>
      <c r="I3115" t="s">
        <v>628</v>
      </c>
      <c r="J3115" t="s">
        <v>2446</v>
      </c>
      <c r="K3115" t="s">
        <v>2447</v>
      </c>
      <c r="L3115" t="s">
        <v>1809</v>
      </c>
      <c r="M3115" t="s">
        <v>2448</v>
      </c>
      <c r="N3115" t="s">
        <v>11694</v>
      </c>
      <c r="O3115" t="s">
        <v>27</v>
      </c>
      <c r="P3115" t="s">
        <v>48</v>
      </c>
      <c r="Q3115" t="s">
        <v>49</v>
      </c>
      <c r="R3115" t="s">
        <v>50</v>
      </c>
      <c r="S3115" t="s">
        <v>28</v>
      </c>
      <c r="T3115" t="s">
        <v>11701</v>
      </c>
      <c r="U3115" t="s">
        <v>11694</v>
      </c>
    </row>
    <row r="3116" spans="1:21" x14ac:dyDescent="0.25">
      <c r="A3116" t="s">
        <v>456</v>
      </c>
      <c r="B3116" t="s">
        <v>457</v>
      </c>
      <c r="C3116">
        <v>199</v>
      </c>
      <c r="D3116">
        <v>1</v>
      </c>
      <c r="E3116">
        <v>0</v>
      </c>
      <c r="F3116" t="s">
        <v>11702</v>
      </c>
      <c r="G3116">
        <v>228</v>
      </c>
      <c r="H3116">
        <v>29</v>
      </c>
      <c r="I3116" t="s">
        <v>24</v>
      </c>
      <c r="J3116" t="s">
        <v>2653</v>
      </c>
      <c r="K3116" t="s">
        <v>11703</v>
      </c>
      <c r="L3116" t="s">
        <v>11704</v>
      </c>
      <c r="M3116" t="s">
        <v>7514</v>
      </c>
      <c r="N3116" t="s">
        <v>11705</v>
      </c>
      <c r="O3116" t="s">
        <v>27</v>
      </c>
      <c r="P3116" t="s">
        <v>193</v>
      </c>
      <c r="Q3116" t="s">
        <v>85</v>
      </c>
      <c r="R3116" t="s">
        <v>86</v>
      </c>
      <c r="S3116" t="s">
        <v>28</v>
      </c>
      <c r="T3116" t="s">
        <v>11706</v>
      </c>
      <c r="U3116" t="s">
        <v>11707</v>
      </c>
    </row>
    <row r="3117" spans="1:21" x14ac:dyDescent="0.25">
      <c r="A3117" t="s">
        <v>58</v>
      </c>
      <c r="B3117" t="s">
        <v>103</v>
      </c>
      <c r="C3117">
        <v>84</v>
      </c>
      <c r="D3117">
        <v>1</v>
      </c>
      <c r="E3117">
        <v>0</v>
      </c>
      <c r="F3117" t="s">
        <v>11708</v>
      </c>
      <c r="G3117">
        <v>168</v>
      </c>
      <c r="H3117">
        <v>0</v>
      </c>
      <c r="I3117" t="s">
        <v>105</v>
      </c>
      <c r="J3117" t="s">
        <v>565</v>
      </c>
      <c r="K3117" t="s">
        <v>566</v>
      </c>
      <c r="L3117" t="s">
        <v>567</v>
      </c>
      <c r="M3117" t="s">
        <v>568</v>
      </c>
      <c r="N3117" t="s">
        <v>11698</v>
      </c>
      <c r="O3117" t="s">
        <v>27</v>
      </c>
      <c r="P3117" t="s">
        <v>48</v>
      </c>
      <c r="Q3117" t="s">
        <v>49</v>
      </c>
      <c r="R3117" t="s">
        <v>50</v>
      </c>
      <c r="S3117" t="s">
        <v>28</v>
      </c>
      <c r="T3117" t="s">
        <v>11709</v>
      </c>
      <c r="U3117" t="s">
        <v>11698</v>
      </c>
    </row>
    <row r="3118" spans="1:21" x14ac:dyDescent="0.25">
      <c r="A3118" t="s">
        <v>58</v>
      </c>
      <c r="B3118" t="s">
        <v>103</v>
      </c>
      <c r="C3118">
        <v>84</v>
      </c>
      <c r="D3118">
        <v>1</v>
      </c>
      <c r="E3118">
        <v>0</v>
      </c>
      <c r="F3118" t="s">
        <v>11708</v>
      </c>
      <c r="G3118">
        <v>168</v>
      </c>
      <c r="H3118">
        <v>0</v>
      </c>
      <c r="I3118" t="s">
        <v>105</v>
      </c>
      <c r="J3118" t="s">
        <v>565</v>
      </c>
      <c r="K3118" t="s">
        <v>566</v>
      </c>
      <c r="L3118" t="s">
        <v>567</v>
      </c>
      <c r="M3118" t="s">
        <v>568</v>
      </c>
      <c r="N3118" t="s">
        <v>11698</v>
      </c>
      <c r="O3118" t="s">
        <v>27</v>
      </c>
      <c r="P3118" t="s">
        <v>48</v>
      </c>
      <c r="Q3118" t="s">
        <v>49</v>
      </c>
      <c r="R3118" t="s">
        <v>50</v>
      </c>
      <c r="S3118" t="s">
        <v>28</v>
      </c>
      <c r="T3118" t="s">
        <v>11709</v>
      </c>
      <c r="U3118" t="s">
        <v>11698</v>
      </c>
    </row>
    <row r="3119" spans="1:21" x14ac:dyDescent="0.25">
      <c r="A3119" t="s">
        <v>58</v>
      </c>
      <c r="B3119" t="s">
        <v>58</v>
      </c>
      <c r="C3119">
        <v>150</v>
      </c>
      <c r="D3119">
        <v>2</v>
      </c>
      <c r="E3119">
        <v>0</v>
      </c>
      <c r="F3119" t="s">
        <v>11710</v>
      </c>
      <c r="G3119">
        <v>563</v>
      </c>
      <c r="H3119">
        <v>64</v>
      </c>
      <c r="I3119" t="s">
        <v>24</v>
      </c>
      <c r="J3119" t="s">
        <v>1232</v>
      </c>
      <c r="K3119" t="s">
        <v>11711</v>
      </c>
      <c r="L3119" t="s">
        <v>11712</v>
      </c>
      <c r="M3119" t="s">
        <v>11713</v>
      </c>
      <c r="N3119" t="s">
        <v>11714</v>
      </c>
      <c r="O3119" t="s">
        <v>27</v>
      </c>
      <c r="P3119" t="s">
        <v>193</v>
      </c>
      <c r="Q3119" t="s">
        <v>85</v>
      </c>
      <c r="R3119" t="s">
        <v>86</v>
      </c>
      <c r="S3119" t="s">
        <v>28</v>
      </c>
      <c r="T3119" t="s">
        <v>11715</v>
      </c>
      <c r="U3119" t="s">
        <v>11714</v>
      </c>
    </row>
    <row r="3120" spans="1:21" x14ac:dyDescent="0.25">
      <c r="A3120" t="s">
        <v>456</v>
      </c>
      <c r="B3120" t="s">
        <v>457</v>
      </c>
      <c r="C3120">
        <v>199</v>
      </c>
      <c r="D3120">
        <v>1</v>
      </c>
      <c r="E3120">
        <v>0</v>
      </c>
      <c r="F3120" t="s">
        <v>11710</v>
      </c>
      <c r="G3120">
        <v>563</v>
      </c>
      <c r="H3120">
        <v>64</v>
      </c>
      <c r="I3120" t="s">
        <v>24</v>
      </c>
      <c r="J3120" t="s">
        <v>1232</v>
      </c>
      <c r="K3120" t="s">
        <v>11711</v>
      </c>
      <c r="L3120" t="s">
        <v>11712</v>
      </c>
      <c r="M3120" t="s">
        <v>11713</v>
      </c>
      <c r="N3120" t="s">
        <v>11714</v>
      </c>
      <c r="O3120" t="s">
        <v>27</v>
      </c>
      <c r="P3120" t="s">
        <v>193</v>
      </c>
      <c r="Q3120" t="s">
        <v>85</v>
      </c>
      <c r="R3120" t="s">
        <v>86</v>
      </c>
      <c r="S3120" t="s">
        <v>28</v>
      </c>
      <c r="T3120" t="s">
        <v>11715</v>
      </c>
      <c r="U3120" t="s">
        <v>11714</v>
      </c>
    </row>
    <row r="3121" spans="1:21" x14ac:dyDescent="0.25">
      <c r="A3121" t="s">
        <v>456</v>
      </c>
      <c r="B3121" t="s">
        <v>457</v>
      </c>
      <c r="C3121">
        <v>197</v>
      </c>
      <c r="D3121">
        <v>1</v>
      </c>
      <c r="E3121">
        <v>0</v>
      </c>
      <c r="F3121" t="s">
        <v>11716</v>
      </c>
      <c r="G3121">
        <v>242</v>
      </c>
      <c r="H3121">
        <v>45</v>
      </c>
      <c r="I3121" t="s">
        <v>445</v>
      </c>
      <c r="J3121" t="s">
        <v>8499</v>
      </c>
      <c r="K3121" t="s">
        <v>11717</v>
      </c>
      <c r="L3121" t="s">
        <v>3844</v>
      </c>
      <c r="M3121" t="s">
        <v>6076</v>
      </c>
      <c r="N3121" t="s">
        <v>11718</v>
      </c>
      <c r="O3121" t="s">
        <v>27</v>
      </c>
      <c r="P3121" t="s">
        <v>193</v>
      </c>
      <c r="Q3121" t="s">
        <v>85</v>
      </c>
      <c r="R3121" t="s">
        <v>86</v>
      </c>
      <c r="S3121" t="s">
        <v>28</v>
      </c>
      <c r="T3121" t="s">
        <v>11719</v>
      </c>
      <c r="U3121" t="s">
        <v>11718</v>
      </c>
    </row>
    <row r="3122" spans="1:21" x14ac:dyDescent="0.25">
      <c r="A3122" t="s">
        <v>456</v>
      </c>
      <c r="B3122" t="s">
        <v>457</v>
      </c>
      <c r="C3122">
        <v>197</v>
      </c>
      <c r="D3122">
        <v>1</v>
      </c>
      <c r="E3122">
        <v>0</v>
      </c>
      <c r="F3122" t="s">
        <v>11720</v>
      </c>
      <c r="G3122">
        <v>242</v>
      </c>
      <c r="H3122">
        <v>45</v>
      </c>
      <c r="I3122" t="s">
        <v>445</v>
      </c>
      <c r="J3122" t="s">
        <v>11721</v>
      </c>
      <c r="K3122" t="s">
        <v>11722</v>
      </c>
      <c r="L3122" t="s">
        <v>3844</v>
      </c>
      <c r="M3122" t="s">
        <v>9257</v>
      </c>
      <c r="N3122" t="s">
        <v>11718</v>
      </c>
      <c r="O3122" t="s">
        <v>27</v>
      </c>
      <c r="P3122" t="s">
        <v>193</v>
      </c>
      <c r="Q3122" t="s">
        <v>85</v>
      </c>
      <c r="R3122" t="s">
        <v>86</v>
      </c>
      <c r="S3122" t="s">
        <v>28</v>
      </c>
      <c r="T3122" t="s">
        <v>11723</v>
      </c>
      <c r="U3122" t="s">
        <v>11718</v>
      </c>
    </row>
    <row r="3123" spans="1:21" x14ac:dyDescent="0.25">
      <c r="A3123" t="s">
        <v>456</v>
      </c>
      <c r="B3123" t="s">
        <v>457</v>
      </c>
      <c r="C3123">
        <v>230</v>
      </c>
      <c r="D3123">
        <v>2</v>
      </c>
      <c r="E3123">
        <v>0</v>
      </c>
      <c r="F3123" t="s">
        <v>11724</v>
      </c>
      <c r="G3123">
        <v>489</v>
      </c>
      <c r="H3123">
        <v>29</v>
      </c>
      <c r="I3123" t="s">
        <v>445</v>
      </c>
      <c r="J3123" t="s">
        <v>866</v>
      </c>
      <c r="K3123" t="s">
        <v>11725</v>
      </c>
      <c r="L3123" t="s">
        <v>11726</v>
      </c>
      <c r="M3123" t="s">
        <v>7874</v>
      </c>
      <c r="N3123" t="s">
        <v>11718</v>
      </c>
      <c r="O3123" t="s">
        <v>27</v>
      </c>
      <c r="P3123" t="s">
        <v>193</v>
      </c>
      <c r="Q3123" t="s">
        <v>85</v>
      </c>
      <c r="R3123" t="s">
        <v>86</v>
      </c>
      <c r="S3123" t="s">
        <v>28</v>
      </c>
      <c r="T3123" t="s">
        <v>11727</v>
      </c>
      <c r="U3123" t="s">
        <v>11718</v>
      </c>
    </row>
    <row r="3124" spans="1:21" x14ac:dyDescent="0.25">
      <c r="A3124" t="s">
        <v>21</v>
      </c>
      <c r="B3124" t="s">
        <v>22</v>
      </c>
      <c r="C3124">
        <v>100</v>
      </c>
      <c r="D3124">
        <v>1</v>
      </c>
      <c r="E3124">
        <v>0</v>
      </c>
      <c r="F3124" t="s">
        <v>11728</v>
      </c>
      <c r="G3124">
        <v>106</v>
      </c>
      <c r="H3124">
        <v>6</v>
      </c>
      <c r="I3124" t="s">
        <v>24</v>
      </c>
      <c r="J3124" t="s">
        <v>11729</v>
      </c>
      <c r="K3124" t="s">
        <v>250</v>
      </c>
      <c r="L3124" t="s">
        <v>27</v>
      </c>
      <c r="M3124" t="s">
        <v>28</v>
      </c>
      <c r="N3124" t="s">
        <v>11730</v>
      </c>
      <c r="O3124" t="s">
        <v>27</v>
      </c>
      <c r="P3124" t="s">
        <v>39</v>
      </c>
      <c r="Q3124" t="s">
        <v>31</v>
      </c>
      <c r="R3124" t="s">
        <v>32</v>
      </c>
      <c r="S3124" t="s">
        <v>28</v>
      </c>
      <c r="T3124" t="s">
        <v>11731</v>
      </c>
      <c r="U3124" t="s">
        <v>11718</v>
      </c>
    </row>
    <row r="3125" spans="1:21" x14ac:dyDescent="0.25">
      <c r="A3125" t="s">
        <v>21</v>
      </c>
      <c r="B3125" t="s">
        <v>22</v>
      </c>
      <c r="C3125">
        <v>100</v>
      </c>
      <c r="D3125">
        <v>1</v>
      </c>
      <c r="E3125">
        <v>0</v>
      </c>
      <c r="F3125" t="s">
        <v>11732</v>
      </c>
      <c r="G3125">
        <v>145</v>
      </c>
      <c r="H3125">
        <v>0</v>
      </c>
      <c r="I3125" t="s">
        <v>24</v>
      </c>
      <c r="J3125" t="s">
        <v>11733</v>
      </c>
      <c r="K3125" t="s">
        <v>384</v>
      </c>
      <c r="L3125" t="s">
        <v>27</v>
      </c>
      <c r="M3125" t="s">
        <v>28</v>
      </c>
      <c r="N3125" t="s">
        <v>11734</v>
      </c>
      <c r="O3125" t="s">
        <v>27</v>
      </c>
      <c r="P3125" t="s">
        <v>56</v>
      </c>
      <c r="Q3125" t="s">
        <v>31</v>
      </c>
      <c r="R3125" t="s">
        <v>57</v>
      </c>
      <c r="S3125" t="s">
        <v>28</v>
      </c>
      <c r="T3125" t="s">
        <v>11735</v>
      </c>
      <c r="U3125" t="s">
        <v>11736</v>
      </c>
    </row>
    <row r="3126" spans="1:21" x14ac:dyDescent="0.25">
      <c r="A3126" t="s">
        <v>33</v>
      </c>
      <c r="B3126" t="s">
        <v>34</v>
      </c>
      <c r="C3126">
        <v>200</v>
      </c>
      <c r="D3126">
        <v>1</v>
      </c>
      <c r="E3126">
        <v>0</v>
      </c>
      <c r="F3126" t="s">
        <v>11737</v>
      </c>
      <c r="G3126">
        <v>200</v>
      </c>
      <c r="H3126">
        <v>0</v>
      </c>
      <c r="I3126" t="s">
        <v>24</v>
      </c>
      <c r="J3126" t="s">
        <v>11738</v>
      </c>
      <c r="K3126" t="s">
        <v>61</v>
      </c>
      <c r="L3126" t="s">
        <v>27</v>
      </c>
      <c r="M3126" t="s">
        <v>28</v>
      </c>
      <c r="N3126" t="s">
        <v>11734</v>
      </c>
      <c r="O3126" t="s">
        <v>27</v>
      </c>
      <c r="P3126" t="s">
        <v>39</v>
      </c>
      <c r="Q3126" t="s">
        <v>31</v>
      </c>
      <c r="R3126" t="s">
        <v>32</v>
      </c>
      <c r="S3126" t="s">
        <v>28</v>
      </c>
      <c r="T3126" t="s">
        <v>11739</v>
      </c>
      <c r="U3126" t="s">
        <v>11736</v>
      </c>
    </row>
    <row r="3127" spans="1:21" x14ac:dyDescent="0.25">
      <c r="A3127" t="s">
        <v>21</v>
      </c>
      <c r="B3127" t="s">
        <v>22</v>
      </c>
      <c r="C3127">
        <v>100</v>
      </c>
      <c r="D3127">
        <v>1</v>
      </c>
      <c r="E3127">
        <v>0</v>
      </c>
      <c r="F3127" t="s">
        <v>11740</v>
      </c>
      <c r="G3127">
        <v>106</v>
      </c>
      <c r="H3127">
        <v>6</v>
      </c>
      <c r="I3127" t="s">
        <v>24</v>
      </c>
      <c r="J3127" t="s">
        <v>11741</v>
      </c>
      <c r="K3127" t="s">
        <v>250</v>
      </c>
      <c r="L3127" t="s">
        <v>27</v>
      </c>
      <c r="M3127" t="s">
        <v>28</v>
      </c>
      <c r="N3127" t="s">
        <v>11742</v>
      </c>
      <c r="O3127" t="s">
        <v>27</v>
      </c>
      <c r="P3127" t="s">
        <v>39</v>
      </c>
      <c r="Q3127" t="s">
        <v>31</v>
      </c>
      <c r="R3127" t="s">
        <v>32</v>
      </c>
      <c r="S3127" t="s">
        <v>28</v>
      </c>
      <c r="T3127" t="s">
        <v>11743</v>
      </c>
      <c r="U3127" t="s">
        <v>11736</v>
      </c>
    </row>
    <row r="3128" spans="1:21" x14ac:dyDescent="0.25">
      <c r="A3128" t="s">
        <v>21</v>
      </c>
      <c r="B3128" t="s">
        <v>22</v>
      </c>
      <c r="C3128">
        <v>100</v>
      </c>
      <c r="D3128">
        <v>1</v>
      </c>
      <c r="E3128">
        <v>0</v>
      </c>
      <c r="F3128" t="s">
        <v>11744</v>
      </c>
      <c r="G3128">
        <v>145</v>
      </c>
      <c r="H3128">
        <v>45</v>
      </c>
      <c r="I3128" t="s">
        <v>24</v>
      </c>
      <c r="J3128" t="s">
        <v>11745</v>
      </c>
      <c r="K3128" t="s">
        <v>89</v>
      </c>
      <c r="L3128" t="s">
        <v>27</v>
      </c>
      <c r="M3128" t="s">
        <v>28</v>
      </c>
      <c r="N3128" t="s">
        <v>11746</v>
      </c>
      <c r="O3128" t="s">
        <v>27</v>
      </c>
      <c r="P3128" t="s">
        <v>39</v>
      </c>
      <c r="Q3128" t="s">
        <v>31</v>
      </c>
      <c r="R3128" t="s">
        <v>32</v>
      </c>
      <c r="S3128" t="s">
        <v>28</v>
      </c>
      <c r="T3128" t="s">
        <v>11747</v>
      </c>
      <c r="U3128" t="s">
        <v>11736</v>
      </c>
    </row>
    <row r="3129" spans="1:21" x14ac:dyDescent="0.25">
      <c r="A3129" t="s">
        <v>33</v>
      </c>
      <c r="B3129" t="s">
        <v>34</v>
      </c>
      <c r="C3129">
        <v>200</v>
      </c>
      <c r="D3129">
        <v>1</v>
      </c>
      <c r="E3129">
        <v>0</v>
      </c>
      <c r="F3129" t="s">
        <v>11748</v>
      </c>
      <c r="G3129">
        <v>200</v>
      </c>
      <c r="H3129">
        <v>0</v>
      </c>
      <c r="I3129" t="s">
        <v>24</v>
      </c>
      <c r="J3129" t="s">
        <v>11749</v>
      </c>
      <c r="K3129" t="s">
        <v>250</v>
      </c>
      <c r="L3129" t="s">
        <v>27</v>
      </c>
      <c r="M3129" t="s">
        <v>28</v>
      </c>
      <c r="N3129" t="s">
        <v>11750</v>
      </c>
      <c r="O3129" t="s">
        <v>27</v>
      </c>
      <c r="P3129" t="s">
        <v>39</v>
      </c>
      <c r="Q3129" t="s">
        <v>31</v>
      </c>
      <c r="R3129" t="s">
        <v>32</v>
      </c>
      <c r="S3129" t="s">
        <v>28</v>
      </c>
      <c r="T3129" t="s">
        <v>11751</v>
      </c>
      <c r="U3129" t="s">
        <v>11736</v>
      </c>
    </row>
    <row r="3130" spans="1:21" x14ac:dyDescent="0.25">
      <c r="A3130" t="s">
        <v>21</v>
      </c>
      <c r="B3130" t="s">
        <v>22</v>
      </c>
      <c r="C3130">
        <v>100</v>
      </c>
      <c r="D3130">
        <v>1</v>
      </c>
      <c r="E3130">
        <v>0</v>
      </c>
      <c r="F3130" t="s">
        <v>11752</v>
      </c>
      <c r="G3130">
        <v>106</v>
      </c>
      <c r="H3130">
        <v>6</v>
      </c>
      <c r="I3130" t="s">
        <v>24</v>
      </c>
      <c r="J3130" t="s">
        <v>11753</v>
      </c>
      <c r="K3130" t="s">
        <v>2865</v>
      </c>
      <c r="L3130" t="s">
        <v>27</v>
      </c>
      <c r="M3130" t="s">
        <v>28</v>
      </c>
      <c r="N3130" t="s">
        <v>11754</v>
      </c>
      <c r="O3130" t="s">
        <v>27</v>
      </c>
      <c r="P3130" t="s">
        <v>56</v>
      </c>
      <c r="Q3130" t="s">
        <v>31</v>
      </c>
      <c r="R3130" t="s">
        <v>57</v>
      </c>
      <c r="S3130" t="s">
        <v>28</v>
      </c>
      <c r="T3130" t="s">
        <v>11755</v>
      </c>
      <c r="U3130" t="s">
        <v>11736</v>
      </c>
    </row>
    <row r="3131" spans="1:21" x14ac:dyDescent="0.25">
      <c r="A3131" t="s">
        <v>21</v>
      </c>
      <c r="B3131" t="s">
        <v>22</v>
      </c>
      <c r="C3131">
        <v>100</v>
      </c>
      <c r="D3131">
        <v>1</v>
      </c>
      <c r="E3131">
        <v>0</v>
      </c>
      <c r="F3131" t="s">
        <v>11756</v>
      </c>
      <c r="G3131">
        <v>106</v>
      </c>
      <c r="H3131">
        <v>6</v>
      </c>
      <c r="I3131" t="s">
        <v>24</v>
      </c>
      <c r="J3131" t="s">
        <v>11757</v>
      </c>
      <c r="K3131" t="s">
        <v>89</v>
      </c>
      <c r="L3131" t="s">
        <v>27</v>
      </c>
      <c r="M3131" t="s">
        <v>28</v>
      </c>
      <c r="N3131" t="s">
        <v>11758</v>
      </c>
      <c r="O3131" t="s">
        <v>27</v>
      </c>
      <c r="P3131" t="s">
        <v>39</v>
      </c>
      <c r="Q3131" t="s">
        <v>31</v>
      </c>
      <c r="R3131" t="s">
        <v>32</v>
      </c>
      <c r="S3131" t="s">
        <v>28</v>
      </c>
      <c r="T3131" t="s">
        <v>11759</v>
      </c>
      <c r="U3131" t="s">
        <v>11736</v>
      </c>
    </row>
    <row r="3132" spans="1:21" x14ac:dyDescent="0.25">
      <c r="A3132" t="s">
        <v>33</v>
      </c>
      <c r="B3132" t="s">
        <v>34</v>
      </c>
      <c r="C3132">
        <v>200</v>
      </c>
      <c r="D3132">
        <v>1</v>
      </c>
      <c r="E3132">
        <v>0</v>
      </c>
      <c r="F3132" t="s">
        <v>11760</v>
      </c>
      <c r="G3132">
        <v>200</v>
      </c>
      <c r="H3132">
        <v>0</v>
      </c>
      <c r="I3132" t="s">
        <v>24</v>
      </c>
      <c r="J3132" t="s">
        <v>11761</v>
      </c>
      <c r="K3132" t="s">
        <v>384</v>
      </c>
      <c r="L3132" t="s">
        <v>27</v>
      </c>
      <c r="M3132" t="s">
        <v>28</v>
      </c>
      <c r="N3132" t="s">
        <v>11762</v>
      </c>
      <c r="O3132" t="s">
        <v>27</v>
      </c>
      <c r="P3132" t="s">
        <v>39</v>
      </c>
      <c r="Q3132" t="s">
        <v>31</v>
      </c>
      <c r="R3132" t="s">
        <v>32</v>
      </c>
      <c r="S3132" t="s">
        <v>28</v>
      </c>
      <c r="T3132" t="s">
        <v>11763</v>
      </c>
      <c r="U3132" t="s">
        <v>11736</v>
      </c>
    </row>
    <row r="3133" spans="1:21" x14ac:dyDescent="0.25">
      <c r="A3133" t="s">
        <v>21</v>
      </c>
      <c r="B3133" t="s">
        <v>22</v>
      </c>
      <c r="C3133">
        <v>100</v>
      </c>
      <c r="D3133">
        <v>1</v>
      </c>
      <c r="E3133">
        <v>0</v>
      </c>
      <c r="F3133" t="s">
        <v>11764</v>
      </c>
      <c r="G3133">
        <v>106</v>
      </c>
      <c r="H3133">
        <v>6</v>
      </c>
      <c r="I3133" t="s">
        <v>24</v>
      </c>
      <c r="J3133" t="s">
        <v>11765</v>
      </c>
      <c r="K3133" t="s">
        <v>5225</v>
      </c>
      <c r="L3133" t="s">
        <v>27</v>
      </c>
      <c r="M3133" t="s">
        <v>28</v>
      </c>
      <c r="N3133" t="s">
        <v>11766</v>
      </c>
      <c r="O3133" t="s">
        <v>27</v>
      </c>
      <c r="P3133" t="s">
        <v>39</v>
      </c>
      <c r="Q3133" t="s">
        <v>31</v>
      </c>
      <c r="R3133" t="s">
        <v>32</v>
      </c>
      <c r="S3133" t="s">
        <v>28</v>
      </c>
      <c r="T3133" t="s">
        <v>11767</v>
      </c>
      <c r="U3133" t="s">
        <v>11736</v>
      </c>
    </row>
    <row r="3134" spans="1:21" x14ac:dyDescent="0.25">
      <c r="A3134" t="s">
        <v>2307</v>
      </c>
      <c r="B3134" t="s">
        <v>2308</v>
      </c>
      <c r="C3134">
        <v>330</v>
      </c>
      <c r="D3134">
        <v>1</v>
      </c>
      <c r="E3134">
        <v>0</v>
      </c>
      <c r="F3134" t="s">
        <v>11768</v>
      </c>
      <c r="G3134">
        <v>330</v>
      </c>
      <c r="H3134">
        <v>0</v>
      </c>
      <c r="I3134" t="s">
        <v>140</v>
      </c>
      <c r="J3134" t="s">
        <v>11769</v>
      </c>
      <c r="K3134" t="s">
        <v>89</v>
      </c>
      <c r="L3134" t="s">
        <v>27</v>
      </c>
      <c r="M3134" t="s">
        <v>28</v>
      </c>
      <c r="N3134" t="s">
        <v>11770</v>
      </c>
      <c r="O3134" t="s">
        <v>27</v>
      </c>
      <c r="P3134" t="s">
        <v>369</v>
      </c>
      <c r="Q3134" t="s">
        <v>31</v>
      </c>
      <c r="R3134" t="s">
        <v>57</v>
      </c>
      <c r="S3134" t="s">
        <v>28</v>
      </c>
      <c r="T3134" t="s">
        <v>11771</v>
      </c>
      <c r="U3134" t="s">
        <v>11730</v>
      </c>
    </row>
    <row r="3135" spans="1:21" x14ac:dyDescent="0.25">
      <c r="A3135" t="s">
        <v>21</v>
      </c>
      <c r="B3135" t="s">
        <v>22</v>
      </c>
      <c r="C3135">
        <v>100</v>
      </c>
      <c r="D3135">
        <v>1</v>
      </c>
      <c r="E3135">
        <v>0</v>
      </c>
      <c r="F3135" t="s">
        <v>11772</v>
      </c>
      <c r="G3135">
        <v>100</v>
      </c>
      <c r="H3135">
        <v>0</v>
      </c>
      <c r="I3135" t="s">
        <v>445</v>
      </c>
      <c r="J3135" t="s">
        <v>11773</v>
      </c>
      <c r="K3135" t="s">
        <v>342</v>
      </c>
      <c r="L3135" t="s">
        <v>27</v>
      </c>
      <c r="M3135" t="s">
        <v>28</v>
      </c>
      <c r="N3135" t="s">
        <v>11774</v>
      </c>
      <c r="O3135" t="s">
        <v>27</v>
      </c>
      <c r="P3135" t="s">
        <v>39</v>
      </c>
      <c r="Q3135" t="s">
        <v>31</v>
      </c>
      <c r="R3135" t="s">
        <v>32</v>
      </c>
      <c r="S3135" t="s">
        <v>28</v>
      </c>
      <c r="T3135" t="s">
        <v>11775</v>
      </c>
      <c r="U3135" t="s">
        <v>11776</v>
      </c>
    </row>
    <row r="3136" spans="1:21" x14ac:dyDescent="0.25">
      <c r="A3136" t="s">
        <v>21</v>
      </c>
      <c r="B3136" t="s">
        <v>22</v>
      </c>
      <c r="C3136">
        <v>100</v>
      </c>
      <c r="D3136">
        <v>1</v>
      </c>
      <c r="E3136">
        <v>0</v>
      </c>
      <c r="F3136" t="s">
        <v>11777</v>
      </c>
      <c r="G3136">
        <v>100</v>
      </c>
      <c r="H3136">
        <v>0</v>
      </c>
      <c r="I3136" t="s">
        <v>445</v>
      </c>
      <c r="J3136" t="s">
        <v>11778</v>
      </c>
      <c r="K3136" t="s">
        <v>384</v>
      </c>
      <c r="L3136" t="s">
        <v>27</v>
      </c>
      <c r="M3136" t="s">
        <v>28</v>
      </c>
      <c r="N3136" t="s">
        <v>11779</v>
      </c>
      <c r="O3136" t="s">
        <v>27</v>
      </c>
      <c r="P3136" t="s">
        <v>39</v>
      </c>
      <c r="Q3136" t="s">
        <v>31</v>
      </c>
      <c r="R3136" t="s">
        <v>32</v>
      </c>
      <c r="S3136" t="s">
        <v>28</v>
      </c>
      <c r="T3136" t="s">
        <v>11780</v>
      </c>
      <c r="U3136" t="s">
        <v>11781</v>
      </c>
    </row>
    <row r="3137" spans="1:21" x14ac:dyDescent="0.25">
      <c r="A3137" t="s">
        <v>58</v>
      </c>
      <c r="B3137" t="s">
        <v>58</v>
      </c>
      <c r="C3137">
        <v>100</v>
      </c>
      <c r="D3137">
        <v>2</v>
      </c>
      <c r="E3137">
        <v>0</v>
      </c>
      <c r="F3137" t="s">
        <v>11782</v>
      </c>
      <c r="G3137">
        <v>245</v>
      </c>
      <c r="H3137">
        <v>45</v>
      </c>
      <c r="I3137" t="s">
        <v>445</v>
      </c>
      <c r="J3137" t="s">
        <v>11783</v>
      </c>
      <c r="K3137" t="s">
        <v>11784</v>
      </c>
      <c r="L3137" t="s">
        <v>640</v>
      </c>
      <c r="M3137" t="s">
        <v>4870</v>
      </c>
      <c r="N3137" t="s">
        <v>11785</v>
      </c>
      <c r="O3137" t="s">
        <v>27</v>
      </c>
      <c r="P3137" t="s">
        <v>193</v>
      </c>
      <c r="Q3137" t="s">
        <v>85</v>
      </c>
      <c r="R3137" t="s">
        <v>86</v>
      </c>
      <c r="S3137" t="s">
        <v>28</v>
      </c>
      <c r="T3137" t="s">
        <v>11786</v>
      </c>
      <c r="U3137" t="s">
        <v>11785</v>
      </c>
    </row>
    <row r="3138" spans="1:21" x14ac:dyDescent="0.25">
      <c r="A3138" t="s">
        <v>21</v>
      </c>
      <c r="B3138" t="s">
        <v>22</v>
      </c>
      <c r="C3138">
        <v>100</v>
      </c>
      <c r="D3138">
        <v>1</v>
      </c>
      <c r="E3138">
        <v>0</v>
      </c>
      <c r="F3138" t="s">
        <v>11787</v>
      </c>
      <c r="G3138">
        <v>106</v>
      </c>
      <c r="H3138">
        <v>6</v>
      </c>
      <c r="I3138" t="s">
        <v>445</v>
      </c>
      <c r="J3138" t="s">
        <v>11788</v>
      </c>
      <c r="K3138" t="s">
        <v>325</v>
      </c>
      <c r="L3138" t="s">
        <v>27</v>
      </c>
      <c r="M3138" t="s">
        <v>28</v>
      </c>
      <c r="N3138" t="s">
        <v>11789</v>
      </c>
      <c r="O3138" t="s">
        <v>27</v>
      </c>
      <c r="P3138" t="s">
        <v>39</v>
      </c>
      <c r="Q3138" t="s">
        <v>31</v>
      </c>
      <c r="R3138" t="s">
        <v>32</v>
      </c>
      <c r="S3138" t="s">
        <v>28</v>
      </c>
      <c r="T3138" t="s">
        <v>11790</v>
      </c>
      <c r="U3138" t="s">
        <v>11791</v>
      </c>
    </row>
    <row r="3139" spans="1:21" x14ac:dyDescent="0.25">
      <c r="A3139" t="s">
        <v>21</v>
      </c>
      <c r="B3139" t="s">
        <v>22</v>
      </c>
      <c r="C3139">
        <v>100</v>
      </c>
      <c r="D3139">
        <v>1</v>
      </c>
      <c r="E3139">
        <v>0</v>
      </c>
      <c r="F3139" t="s">
        <v>11792</v>
      </c>
      <c r="G3139">
        <v>106</v>
      </c>
      <c r="H3139">
        <v>6</v>
      </c>
      <c r="I3139" t="s">
        <v>24</v>
      </c>
      <c r="J3139" t="s">
        <v>11793</v>
      </c>
      <c r="K3139" t="s">
        <v>237</v>
      </c>
      <c r="L3139" t="s">
        <v>27</v>
      </c>
      <c r="M3139" t="s">
        <v>28</v>
      </c>
      <c r="N3139" t="s">
        <v>11794</v>
      </c>
      <c r="O3139" t="s">
        <v>27</v>
      </c>
      <c r="P3139" t="s">
        <v>39</v>
      </c>
      <c r="Q3139" t="s">
        <v>31</v>
      </c>
      <c r="R3139" t="s">
        <v>32</v>
      </c>
      <c r="S3139" t="s">
        <v>28</v>
      </c>
      <c r="T3139" t="s">
        <v>11795</v>
      </c>
      <c r="U3139" t="s">
        <v>11794</v>
      </c>
    </row>
    <row r="3140" spans="1:21" x14ac:dyDescent="0.25">
      <c r="A3140" t="s">
        <v>21</v>
      </c>
      <c r="B3140" t="s">
        <v>22</v>
      </c>
      <c r="C3140">
        <v>100</v>
      </c>
      <c r="D3140">
        <v>1</v>
      </c>
      <c r="E3140">
        <v>0</v>
      </c>
      <c r="F3140" t="s">
        <v>11796</v>
      </c>
      <c r="G3140">
        <v>106</v>
      </c>
      <c r="H3140">
        <v>6</v>
      </c>
      <c r="I3140" t="s">
        <v>24</v>
      </c>
      <c r="J3140" t="s">
        <v>11797</v>
      </c>
      <c r="K3140" t="s">
        <v>118</v>
      </c>
      <c r="L3140" t="s">
        <v>27</v>
      </c>
      <c r="M3140" t="s">
        <v>28</v>
      </c>
      <c r="N3140" t="s">
        <v>11794</v>
      </c>
      <c r="O3140" t="s">
        <v>27</v>
      </c>
      <c r="P3140" t="s">
        <v>39</v>
      </c>
      <c r="Q3140" t="s">
        <v>31</v>
      </c>
      <c r="R3140" t="s">
        <v>32</v>
      </c>
      <c r="S3140" t="s">
        <v>28</v>
      </c>
      <c r="T3140" t="s">
        <v>11798</v>
      </c>
      <c r="U3140" t="s">
        <v>11794</v>
      </c>
    </row>
    <row r="3141" spans="1:21" x14ac:dyDescent="0.25">
      <c r="A3141" t="s">
        <v>33</v>
      </c>
      <c r="B3141" t="s">
        <v>34</v>
      </c>
      <c r="C3141">
        <v>200</v>
      </c>
      <c r="D3141">
        <v>1</v>
      </c>
      <c r="E3141">
        <v>0</v>
      </c>
      <c r="F3141" t="s">
        <v>11799</v>
      </c>
      <c r="G3141">
        <v>200</v>
      </c>
      <c r="H3141">
        <v>0</v>
      </c>
      <c r="I3141" t="s">
        <v>24</v>
      </c>
      <c r="J3141" t="s">
        <v>10824</v>
      </c>
      <c r="K3141" t="s">
        <v>771</v>
      </c>
      <c r="L3141" t="s">
        <v>27</v>
      </c>
      <c r="M3141" t="s">
        <v>28</v>
      </c>
      <c r="N3141" t="s">
        <v>11800</v>
      </c>
      <c r="O3141" t="s">
        <v>27</v>
      </c>
      <c r="P3141" t="s">
        <v>39</v>
      </c>
      <c r="Q3141" t="s">
        <v>31</v>
      </c>
      <c r="R3141" t="s">
        <v>32</v>
      </c>
      <c r="S3141" t="s">
        <v>28</v>
      </c>
      <c r="T3141" t="s">
        <v>11801</v>
      </c>
      <c r="U3141" t="s">
        <v>11800</v>
      </c>
    </row>
    <row r="3142" spans="1:21" x14ac:dyDescent="0.25">
      <c r="A3142" t="s">
        <v>21</v>
      </c>
      <c r="B3142" t="s">
        <v>22</v>
      </c>
      <c r="C3142">
        <v>100</v>
      </c>
      <c r="D3142">
        <v>1</v>
      </c>
      <c r="E3142">
        <v>0</v>
      </c>
      <c r="F3142" t="s">
        <v>11802</v>
      </c>
      <c r="G3142">
        <v>106</v>
      </c>
      <c r="H3142">
        <v>6</v>
      </c>
      <c r="I3142" t="s">
        <v>24</v>
      </c>
      <c r="J3142" t="s">
        <v>11803</v>
      </c>
      <c r="K3142" t="s">
        <v>451</v>
      </c>
      <c r="L3142" t="s">
        <v>27</v>
      </c>
      <c r="M3142" t="s">
        <v>28</v>
      </c>
      <c r="N3142" t="s">
        <v>11804</v>
      </c>
      <c r="O3142" t="s">
        <v>27</v>
      </c>
      <c r="P3142" t="s">
        <v>39</v>
      </c>
      <c r="Q3142" t="s">
        <v>31</v>
      </c>
      <c r="R3142" t="s">
        <v>32</v>
      </c>
      <c r="S3142" t="s">
        <v>28</v>
      </c>
      <c r="T3142" t="s">
        <v>11805</v>
      </c>
      <c r="U3142" t="s">
        <v>11806</v>
      </c>
    </row>
    <row r="3143" spans="1:21" x14ac:dyDescent="0.25">
      <c r="A3143" t="s">
        <v>21</v>
      </c>
      <c r="B3143" t="s">
        <v>22</v>
      </c>
      <c r="C3143">
        <v>100</v>
      </c>
      <c r="D3143">
        <v>5</v>
      </c>
      <c r="E3143">
        <v>0</v>
      </c>
      <c r="F3143" t="s">
        <v>11807</v>
      </c>
      <c r="G3143">
        <v>500</v>
      </c>
      <c r="H3143">
        <v>0</v>
      </c>
      <c r="I3143" t="s">
        <v>445</v>
      </c>
      <c r="J3143" t="s">
        <v>11808</v>
      </c>
      <c r="K3143" t="s">
        <v>89</v>
      </c>
      <c r="L3143" t="s">
        <v>27</v>
      </c>
      <c r="M3143" t="s">
        <v>28</v>
      </c>
      <c r="N3143" t="s">
        <v>11809</v>
      </c>
      <c r="O3143" t="s">
        <v>27</v>
      </c>
      <c r="P3143" t="s">
        <v>39</v>
      </c>
      <c r="Q3143" t="s">
        <v>31</v>
      </c>
      <c r="R3143" t="s">
        <v>32</v>
      </c>
      <c r="S3143" t="s">
        <v>28</v>
      </c>
      <c r="T3143" t="s">
        <v>11810</v>
      </c>
      <c r="U3143" t="s">
        <v>11809</v>
      </c>
    </row>
    <row r="3144" spans="1:21" x14ac:dyDescent="0.25">
      <c r="A3144" t="s">
        <v>21</v>
      </c>
      <c r="B3144" t="s">
        <v>22</v>
      </c>
      <c r="C3144">
        <v>100</v>
      </c>
      <c r="D3144">
        <v>1</v>
      </c>
      <c r="E3144">
        <v>0</v>
      </c>
      <c r="F3144" t="s">
        <v>11811</v>
      </c>
      <c r="G3144">
        <v>106</v>
      </c>
      <c r="H3144">
        <v>6</v>
      </c>
      <c r="I3144" t="s">
        <v>445</v>
      </c>
      <c r="J3144" t="s">
        <v>11812</v>
      </c>
      <c r="K3144" t="s">
        <v>834</v>
      </c>
      <c r="L3144" t="s">
        <v>27</v>
      </c>
      <c r="M3144" t="s">
        <v>28</v>
      </c>
      <c r="N3144" t="s">
        <v>11813</v>
      </c>
      <c r="O3144" t="s">
        <v>27</v>
      </c>
      <c r="P3144" t="s">
        <v>39</v>
      </c>
      <c r="Q3144" t="s">
        <v>31</v>
      </c>
      <c r="R3144" t="s">
        <v>32</v>
      </c>
      <c r="S3144" t="s">
        <v>28</v>
      </c>
      <c r="T3144" t="s">
        <v>11814</v>
      </c>
      <c r="U3144" t="s">
        <v>11813</v>
      </c>
    </row>
    <row r="3145" spans="1:21" x14ac:dyDescent="0.25">
      <c r="A3145" t="s">
        <v>58</v>
      </c>
      <c r="B3145" t="s">
        <v>103</v>
      </c>
      <c r="C3145">
        <v>105</v>
      </c>
      <c r="D3145">
        <v>1</v>
      </c>
      <c r="E3145">
        <v>0</v>
      </c>
      <c r="F3145" t="s">
        <v>11815</v>
      </c>
      <c r="G3145">
        <v>155</v>
      </c>
      <c r="H3145">
        <v>5</v>
      </c>
      <c r="I3145" t="s">
        <v>105</v>
      </c>
      <c r="J3145" t="s">
        <v>11816</v>
      </c>
      <c r="K3145" t="s">
        <v>11817</v>
      </c>
      <c r="L3145" t="s">
        <v>11818</v>
      </c>
      <c r="M3145" t="s">
        <v>11819</v>
      </c>
      <c r="N3145" t="s">
        <v>11820</v>
      </c>
      <c r="O3145" t="s">
        <v>27</v>
      </c>
      <c r="P3145" t="s">
        <v>48</v>
      </c>
      <c r="Q3145" t="s">
        <v>49</v>
      </c>
      <c r="R3145" t="s">
        <v>50</v>
      </c>
      <c r="S3145" t="s">
        <v>28</v>
      </c>
      <c r="T3145" t="s">
        <v>11821</v>
      </c>
      <c r="U3145" t="s">
        <v>11820</v>
      </c>
    </row>
    <row r="3146" spans="1:21" x14ac:dyDescent="0.25">
      <c r="A3146" t="s">
        <v>21</v>
      </c>
      <c r="B3146" t="s">
        <v>22</v>
      </c>
      <c r="C3146">
        <v>100</v>
      </c>
      <c r="D3146">
        <v>1</v>
      </c>
      <c r="E3146">
        <v>0</v>
      </c>
      <c r="F3146" t="s">
        <v>11822</v>
      </c>
      <c r="G3146">
        <v>100</v>
      </c>
      <c r="H3146">
        <v>0</v>
      </c>
      <c r="I3146" t="s">
        <v>24</v>
      </c>
      <c r="J3146" t="s">
        <v>11823</v>
      </c>
      <c r="K3146" t="s">
        <v>672</v>
      </c>
      <c r="L3146" t="s">
        <v>27</v>
      </c>
      <c r="M3146" t="s">
        <v>28</v>
      </c>
      <c r="N3146" t="s">
        <v>11824</v>
      </c>
      <c r="O3146" t="s">
        <v>27</v>
      </c>
      <c r="P3146" t="s">
        <v>39</v>
      </c>
      <c r="Q3146" t="s">
        <v>31</v>
      </c>
      <c r="R3146" t="s">
        <v>32</v>
      </c>
      <c r="S3146" t="s">
        <v>28</v>
      </c>
      <c r="T3146" t="s">
        <v>11825</v>
      </c>
      <c r="U3146" t="s">
        <v>11824</v>
      </c>
    </row>
    <row r="3147" spans="1:21" x14ac:dyDescent="0.25">
      <c r="A3147" t="s">
        <v>21</v>
      </c>
      <c r="B3147" t="s">
        <v>22</v>
      </c>
      <c r="C3147">
        <v>100</v>
      </c>
      <c r="D3147">
        <v>1</v>
      </c>
      <c r="E3147">
        <v>0</v>
      </c>
      <c r="F3147" t="s">
        <v>11826</v>
      </c>
      <c r="G3147">
        <v>106</v>
      </c>
      <c r="H3147">
        <v>6</v>
      </c>
      <c r="I3147" t="s">
        <v>445</v>
      </c>
      <c r="J3147" t="s">
        <v>6472</v>
      </c>
      <c r="K3147" t="s">
        <v>250</v>
      </c>
      <c r="L3147" t="s">
        <v>27</v>
      </c>
      <c r="M3147" t="s">
        <v>28</v>
      </c>
      <c r="N3147" t="s">
        <v>11827</v>
      </c>
      <c r="O3147" t="s">
        <v>27</v>
      </c>
      <c r="P3147" t="s">
        <v>39</v>
      </c>
      <c r="Q3147" t="s">
        <v>31</v>
      </c>
      <c r="R3147" t="s">
        <v>32</v>
      </c>
      <c r="S3147" t="s">
        <v>28</v>
      </c>
      <c r="T3147" t="s">
        <v>11828</v>
      </c>
      <c r="U3147" t="s">
        <v>11827</v>
      </c>
    </row>
    <row r="3148" spans="1:21" x14ac:dyDescent="0.25">
      <c r="A3148" t="s">
        <v>70</v>
      </c>
      <c r="B3148" t="s">
        <v>70</v>
      </c>
      <c r="C3148">
        <v>330</v>
      </c>
      <c r="D3148">
        <v>1</v>
      </c>
      <c r="E3148">
        <v>0</v>
      </c>
      <c r="F3148" t="s">
        <v>11829</v>
      </c>
      <c r="G3148">
        <v>330</v>
      </c>
      <c r="H3148">
        <v>0</v>
      </c>
      <c r="I3148" t="s">
        <v>24</v>
      </c>
      <c r="J3148" t="s">
        <v>11830</v>
      </c>
      <c r="K3148" t="s">
        <v>834</v>
      </c>
      <c r="L3148" t="s">
        <v>27</v>
      </c>
      <c r="M3148" t="s">
        <v>28</v>
      </c>
      <c r="N3148" t="s">
        <v>11831</v>
      </c>
      <c r="O3148" t="s">
        <v>27</v>
      </c>
      <c r="P3148" t="s">
        <v>39</v>
      </c>
      <c r="Q3148" t="s">
        <v>31</v>
      </c>
      <c r="R3148" t="s">
        <v>32</v>
      </c>
      <c r="S3148" t="s">
        <v>28</v>
      </c>
      <c r="T3148" t="s">
        <v>11832</v>
      </c>
      <c r="U3148" t="s">
        <v>11831</v>
      </c>
    </row>
    <row r="3149" spans="1:21" x14ac:dyDescent="0.25">
      <c r="A3149" t="s">
        <v>21</v>
      </c>
      <c r="B3149" t="s">
        <v>22</v>
      </c>
      <c r="C3149">
        <v>100</v>
      </c>
      <c r="D3149">
        <v>2</v>
      </c>
      <c r="E3149">
        <v>0</v>
      </c>
      <c r="F3149" t="s">
        <v>11833</v>
      </c>
      <c r="G3149">
        <v>206</v>
      </c>
      <c r="H3149">
        <v>6</v>
      </c>
      <c r="I3149" t="s">
        <v>24</v>
      </c>
      <c r="J3149" t="s">
        <v>11834</v>
      </c>
      <c r="K3149" t="s">
        <v>250</v>
      </c>
      <c r="L3149" t="s">
        <v>27</v>
      </c>
      <c r="M3149" t="s">
        <v>28</v>
      </c>
      <c r="N3149" t="s">
        <v>11835</v>
      </c>
      <c r="O3149" t="s">
        <v>27</v>
      </c>
      <c r="P3149" t="s">
        <v>56</v>
      </c>
      <c r="Q3149" t="s">
        <v>31</v>
      </c>
      <c r="R3149" t="s">
        <v>57</v>
      </c>
      <c r="S3149" t="s">
        <v>28</v>
      </c>
      <c r="T3149" t="s">
        <v>11836</v>
      </c>
      <c r="U3149" t="s">
        <v>11835</v>
      </c>
    </row>
    <row r="3150" spans="1:21" x14ac:dyDescent="0.25">
      <c r="A3150" t="s">
        <v>58</v>
      </c>
      <c r="B3150" t="s">
        <v>58</v>
      </c>
      <c r="C3150">
        <v>100</v>
      </c>
      <c r="D3150">
        <v>1</v>
      </c>
      <c r="E3150">
        <v>0</v>
      </c>
      <c r="F3150" t="s">
        <v>11837</v>
      </c>
      <c r="G3150">
        <v>100</v>
      </c>
      <c r="H3150">
        <v>0</v>
      </c>
      <c r="I3150" t="s">
        <v>445</v>
      </c>
      <c r="J3150" t="s">
        <v>859</v>
      </c>
      <c r="K3150" t="s">
        <v>11838</v>
      </c>
      <c r="L3150" t="s">
        <v>11839</v>
      </c>
      <c r="M3150" t="s">
        <v>316</v>
      </c>
      <c r="N3150" t="s">
        <v>11840</v>
      </c>
      <c r="O3150" t="s">
        <v>27</v>
      </c>
      <c r="P3150" t="s">
        <v>193</v>
      </c>
      <c r="Q3150" t="s">
        <v>85</v>
      </c>
      <c r="R3150" t="s">
        <v>86</v>
      </c>
      <c r="S3150" t="s">
        <v>28</v>
      </c>
      <c r="T3150" t="s">
        <v>11841</v>
      </c>
      <c r="U3150" t="s">
        <v>11842</v>
      </c>
    </row>
    <row r="3151" spans="1:21" x14ac:dyDescent="0.25">
      <c r="A3151" t="s">
        <v>21</v>
      </c>
      <c r="B3151" t="s">
        <v>22</v>
      </c>
      <c r="C3151">
        <v>100</v>
      </c>
      <c r="D3151">
        <v>2</v>
      </c>
      <c r="E3151">
        <v>0</v>
      </c>
      <c r="F3151" t="s">
        <v>11843</v>
      </c>
      <c r="G3151">
        <v>200</v>
      </c>
      <c r="H3151">
        <v>0</v>
      </c>
      <c r="I3151" t="s">
        <v>445</v>
      </c>
      <c r="J3151" t="s">
        <v>11844</v>
      </c>
      <c r="K3151" t="s">
        <v>474</v>
      </c>
      <c r="L3151" t="s">
        <v>27</v>
      </c>
      <c r="M3151" t="s">
        <v>28</v>
      </c>
      <c r="N3151" t="s">
        <v>11842</v>
      </c>
      <c r="O3151" t="s">
        <v>27</v>
      </c>
      <c r="P3151" t="s">
        <v>39</v>
      </c>
      <c r="Q3151" t="s">
        <v>31</v>
      </c>
      <c r="R3151" t="s">
        <v>32</v>
      </c>
      <c r="S3151" t="s">
        <v>28</v>
      </c>
      <c r="T3151" t="s">
        <v>11845</v>
      </c>
      <c r="U3151" t="s">
        <v>11842</v>
      </c>
    </row>
    <row r="3152" spans="1:21" x14ac:dyDescent="0.25">
      <c r="A3152" t="s">
        <v>21</v>
      </c>
      <c r="B3152" t="s">
        <v>22</v>
      </c>
      <c r="C3152">
        <v>100</v>
      </c>
      <c r="D3152">
        <v>1</v>
      </c>
      <c r="E3152">
        <v>0</v>
      </c>
      <c r="F3152" t="s">
        <v>11846</v>
      </c>
      <c r="G3152">
        <v>106</v>
      </c>
      <c r="H3152">
        <v>6</v>
      </c>
      <c r="I3152" t="s">
        <v>24</v>
      </c>
      <c r="J3152" t="s">
        <v>11847</v>
      </c>
      <c r="K3152" t="s">
        <v>572</v>
      </c>
      <c r="L3152" t="s">
        <v>27</v>
      </c>
      <c r="M3152" t="s">
        <v>28</v>
      </c>
      <c r="N3152" t="s">
        <v>11848</v>
      </c>
      <c r="O3152" t="s">
        <v>27</v>
      </c>
      <c r="P3152" t="s">
        <v>39</v>
      </c>
      <c r="Q3152" t="s">
        <v>31</v>
      </c>
      <c r="R3152" t="s">
        <v>32</v>
      </c>
      <c r="S3152" t="s">
        <v>28</v>
      </c>
      <c r="T3152" t="s">
        <v>11849</v>
      </c>
      <c r="U3152" t="s">
        <v>11848</v>
      </c>
    </row>
    <row r="3153" spans="1:21" x14ac:dyDescent="0.25">
      <c r="A3153" t="s">
        <v>21</v>
      </c>
      <c r="B3153" t="s">
        <v>22</v>
      </c>
      <c r="C3153">
        <v>100</v>
      </c>
      <c r="D3153">
        <v>2</v>
      </c>
      <c r="E3153">
        <v>0</v>
      </c>
      <c r="F3153" t="s">
        <v>11850</v>
      </c>
      <c r="G3153">
        <v>200</v>
      </c>
      <c r="H3153">
        <v>0</v>
      </c>
      <c r="I3153" t="s">
        <v>445</v>
      </c>
      <c r="J3153" t="s">
        <v>11851</v>
      </c>
      <c r="K3153" t="s">
        <v>960</v>
      </c>
      <c r="L3153" t="s">
        <v>27</v>
      </c>
      <c r="M3153" t="s">
        <v>28</v>
      </c>
      <c r="N3153" t="s">
        <v>11852</v>
      </c>
      <c r="O3153" t="s">
        <v>27</v>
      </c>
      <c r="P3153" t="s">
        <v>39</v>
      </c>
      <c r="Q3153" t="s">
        <v>31</v>
      </c>
      <c r="R3153" t="s">
        <v>32</v>
      </c>
      <c r="S3153" t="s">
        <v>28</v>
      </c>
      <c r="T3153" t="s">
        <v>11853</v>
      </c>
      <c r="U3153" t="s">
        <v>11848</v>
      </c>
    </row>
    <row r="3154" spans="1:21" x14ac:dyDescent="0.25">
      <c r="A3154" t="s">
        <v>134</v>
      </c>
      <c r="B3154" t="s">
        <v>64</v>
      </c>
      <c r="C3154">
        <v>100</v>
      </c>
      <c r="D3154">
        <v>3</v>
      </c>
      <c r="E3154">
        <v>0</v>
      </c>
      <c r="F3154" t="s">
        <v>11854</v>
      </c>
      <c r="G3154">
        <v>300</v>
      </c>
      <c r="H3154">
        <v>0</v>
      </c>
      <c r="I3154" t="s">
        <v>445</v>
      </c>
      <c r="J3154" t="s">
        <v>11855</v>
      </c>
      <c r="K3154" t="s">
        <v>241</v>
      </c>
      <c r="L3154" t="s">
        <v>27</v>
      </c>
      <c r="M3154" t="s">
        <v>28</v>
      </c>
      <c r="N3154" t="s">
        <v>11852</v>
      </c>
      <c r="O3154" t="s">
        <v>27</v>
      </c>
      <c r="P3154" t="s">
        <v>39</v>
      </c>
      <c r="Q3154" t="s">
        <v>31</v>
      </c>
      <c r="R3154" t="s">
        <v>32</v>
      </c>
      <c r="S3154" t="s">
        <v>28</v>
      </c>
      <c r="T3154" t="s">
        <v>11856</v>
      </c>
      <c r="U3154" t="s">
        <v>11848</v>
      </c>
    </row>
    <row r="3155" spans="1:21" x14ac:dyDescent="0.25">
      <c r="A3155" t="s">
        <v>70</v>
      </c>
      <c r="B3155" t="s">
        <v>70</v>
      </c>
      <c r="C3155">
        <v>330</v>
      </c>
      <c r="D3155">
        <v>1</v>
      </c>
      <c r="E3155">
        <v>0</v>
      </c>
      <c r="F3155" t="s">
        <v>11857</v>
      </c>
      <c r="G3155">
        <v>330</v>
      </c>
      <c r="H3155">
        <v>0</v>
      </c>
      <c r="I3155" t="s">
        <v>24</v>
      </c>
      <c r="J3155" t="s">
        <v>11858</v>
      </c>
      <c r="K3155" t="s">
        <v>325</v>
      </c>
      <c r="L3155" t="s">
        <v>27</v>
      </c>
      <c r="M3155" t="s">
        <v>28</v>
      </c>
      <c r="N3155" t="s">
        <v>11859</v>
      </c>
      <c r="O3155" t="s">
        <v>27</v>
      </c>
      <c r="P3155" t="s">
        <v>39</v>
      </c>
      <c r="Q3155" t="s">
        <v>31</v>
      </c>
      <c r="R3155" t="s">
        <v>32</v>
      </c>
      <c r="S3155" t="s">
        <v>28</v>
      </c>
      <c r="T3155" t="s">
        <v>11860</v>
      </c>
      <c r="U3155" t="s">
        <v>11859</v>
      </c>
    </row>
    <row r="3156" spans="1:21" x14ac:dyDescent="0.25">
      <c r="A3156" t="s">
        <v>21</v>
      </c>
      <c r="B3156" t="s">
        <v>22</v>
      </c>
      <c r="C3156">
        <v>100</v>
      </c>
      <c r="D3156">
        <v>2</v>
      </c>
      <c r="E3156">
        <v>0</v>
      </c>
      <c r="F3156" t="s">
        <v>11861</v>
      </c>
      <c r="G3156">
        <v>200</v>
      </c>
      <c r="H3156">
        <v>0</v>
      </c>
      <c r="I3156" t="s">
        <v>24</v>
      </c>
      <c r="J3156" t="s">
        <v>11862</v>
      </c>
      <c r="K3156" t="s">
        <v>388</v>
      </c>
      <c r="L3156" t="s">
        <v>27</v>
      </c>
      <c r="M3156" t="s">
        <v>28</v>
      </c>
      <c r="N3156" t="s">
        <v>11863</v>
      </c>
      <c r="O3156" t="s">
        <v>27</v>
      </c>
      <c r="P3156" t="s">
        <v>39</v>
      </c>
      <c r="Q3156" t="s">
        <v>31</v>
      </c>
      <c r="R3156" t="s">
        <v>32</v>
      </c>
      <c r="S3156" t="s">
        <v>28</v>
      </c>
      <c r="T3156" t="s">
        <v>11864</v>
      </c>
      <c r="U3156" t="s">
        <v>11863</v>
      </c>
    </row>
    <row r="3157" spans="1:21" x14ac:dyDescent="0.25">
      <c r="A3157" t="s">
        <v>21</v>
      </c>
      <c r="B3157" t="s">
        <v>22</v>
      </c>
      <c r="C3157">
        <v>100</v>
      </c>
      <c r="D3157">
        <v>2</v>
      </c>
      <c r="E3157">
        <v>0</v>
      </c>
      <c r="F3157" t="s">
        <v>11865</v>
      </c>
      <c r="G3157">
        <v>200</v>
      </c>
      <c r="H3157">
        <v>0</v>
      </c>
      <c r="I3157" t="s">
        <v>445</v>
      </c>
      <c r="J3157" t="s">
        <v>11866</v>
      </c>
      <c r="K3157" t="s">
        <v>247</v>
      </c>
      <c r="L3157" t="s">
        <v>27</v>
      </c>
      <c r="M3157" t="s">
        <v>28</v>
      </c>
      <c r="N3157" t="s">
        <v>11863</v>
      </c>
      <c r="O3157" t="s">
        <v>27</v>
      </c>
      <c r="P3157" t="s">
        <v>39</v>
      </c>
      <c r="Q3157" t="s">
        <v>31</v>
      </c>
      <c r="R3157" t="s">
        <v>32</v>
      </c>
      <c r="S3157" t="s">
        <v>28</v>
      </c>
      <c r="T3157" t="s">
        <v>11867</v>
      </c>
      <c r="U3157" t="s">
        <v>11863</v>
      </c>
    </row>
    <row r="3158" spans="1:21" x14ac:dyDescent="0.25">
      <c r="A3158" t="s">
        <v>21</v>
      </c>
      <c r="B3158" t="s">
        <v>22</v>
      </c>
      <c r="C3158">
        <v>100</v>
      </c>
      <c r="D3158">
        <v>1</v>
      </c>
      <c r="E3158">
        <v>0</v>
      </c>
      <c r="F3158" t="s">
        <v>11868</v>
      </c>
      <c r="G3158">
        <v>106</v>
      </c>
      <c r="H3158">
        <v>6</v>
      </c>
      <c r="I3158" t="s">
        <v>24</v>
      </c>
      <c r="J3158" t="s">
        <v>11869</v>
      </c>
      <c r="K3158" t="s">
        <v>67</v>
      </c>
      <c r="L3158" t="s">
        <v>27</v>
      </c>
      <c r="M3158" t="s">
        <v>28</v>
      </c>
      <c r="N3158" t="s">
        <v>11870</v>
      </c>
      <c r="O3158" t="s">
        <v>27</v>
      </c>
      <c r="P3158" t="s">
        <v>39</v>
      </c>
      <c r="Q3158" t="s">
        <v>31</v>
      </c>
      <c r="R3158" t="s">
        <v>32</v>
      </c>
      <c r="S3158" t="s">
        <v>28</v>
      </c>
      <c r="T3158" t="s">
        <v>11871</v>
      </c>
      <c r="U3158" t="s">
        <v>11870</v>
      </c>
    </row>
    <row r="3159" spans="1:21" x14ac:dyDescent="0.25">
      <c r="A3159" t="s">
        <v>21</v>
      </c>
      <c r="B3159" t="s">
        <v>22</v>
      </c>
      <c r="C3159">
        <v>100</v>
      </c>
      <c r="D3159">
        <v>1</v>
      </c>
      <c r="E3159">
        <v>0</v>
      </c>
      <c r="F3159" t="s">
        <v>11872</v>
      </c>
      <c r="G3159">
        <v>106</v>
      </c>
      <c r="H3159">
        <v>6</v>
      </c>
      <c r="I3159" t="s">
        <v>24</v>
      </c>
      <c r="J3159" t="s">
        <v>483</v>
      </c>
      <c r="K3159" t="s">
        <v>89</v>
      </c>
      <c r="L3159" t="s">
        <v>27</v>
      </c>
      <c r="M3159" t="s">
        <v>28</v>
      </c>
      <c r="N3159" t="s">
        <v>11870</v>
      </c>
      <c r="O3159" t="s">
        <v>27</v>
      </c>
      <c r="P3159" t="s">
        <v>39</v>
      </c>
      <c r="Q3159" t="s">
        <v>31</v>
      </c>
      <c r="R3159" t="s">
        <v>32</v>
      </c>
      <c r="S3159" t="s">
        <v>28</v>
      </c>
      <c r="T3159" t="s">
        <v>11873</v>
      </c>
      <c r="U3159" t="s">
        <v>11870</v>
      </c>
    </row>
    <row r="3160" spans="1:21" x14ac:dyDescent="0.25">
      <c r="A3160" t="s">
        <v>33</v>
      </c>
      <c r="B3160" t="s">
        <v>34</v>
      </c>
      <c r="C3160">
        <v>200</v>
      </c>
      <c r="D3160">
        <v>1</v>
      </c>
      <c r="E3160">
        <v>0</v>
      </c>
      <c r="F3160" t="s">
        <v>11874</v>
      </c>
      <c r="G3160">
        <v>200</v>
      </c>
      <c r="H3160">
        <v>0</v>
      </c>
      <c r="I3160" t="s">
        <v>24</v>
      </c>
      <c r="J3160" t="s">
        <v>11875</v>
      </c>
      <c r="K3160" t="s">
        <v>241</v>
      </c>
      <c r="L3160" t="s">
        <v>27</v>
      </c>
      <c r="M3160" t="s">
        <v>28</v>
      </c>
      <c r="N3160" t="s">
        <v>11876</v>
      </c>
      <c r="O3160" t="s">
        <v>27</v>
      </c>
      <c r="P3160" t="s">
        <v>56</v>
      </c>
      <c r="Q3160" t="s">
        <v>31</v>
      </c>
      <c r="R3160" t="s">
        <v>57</v>
      </c>
      <c r="S3160" t="s">
        <v>28</v>
      </c>
      <c r="T3160" t="s">
        <v>11877</v>
      </c>
      <c r="U3160" t="s">
        <v>11878</v>
      </c>
    </row>
    <row r="3161" spans="1:21" x14ac:dyDescent="0.25">
      <c r="A3161" t="s">
        <v>134</v>
      </c>
      <c r="B3161" t="s">
        <v>64</v>
      </c>
      <c r="C3161">
        <v>100</v>
      </c>
      <c r="D3161">
        <v>1</v>
      </c>
      <c r="E3161">
        <v>0</v>
      </c>
      <c r="F3161" t="s">
        <v>11879</v>
      </c>
      <c r="G3161">
        <v>106</v>
      </c>
      <c r="H3161">
        <v>6</v>
      </c>
      <c r="I3161" t="s">
        <v>24</v>
      </c>
      <c r="J3161" t="s">
        <v>11880</v>
      </c>
      <c r="K3161" t="s">
        <v>321</v>
      </c>
      <c r="L3161" t="s">
        <v>27</v>
      </c>
      <c r="M3161" t="s">
        <v>28</v>
      </c>
      <c r="N3161" t="s">
        <v>11876</v>
      </c>
      <c r="O3161" t="s">
        <v>27</v>
      </c>
      <c r="P3161" t="s">
        <v>39</v>
      </c>
      <c r="Q3161" t="s">
        <v>31</v>
      </c>
      <c r="R3161" t="s">
        <v>32</v>
      </c>
      <c r="S3161" t="s">
        <v>28</v>
      </c>
      <c r="T3161" t="s">
        <v>11881</v>
      </c>
      <c r="U3161" t="s">
        <v>11876</v>
      </c>
    </row>
    <row r="3162" spans="1:21" x14ac:dyDescent="0.25">
      <c r="A3162" t="s">
        <v>21</v>
      </c>
      <c r="B3162" t="s">
        <v>22</v>
      </c>
      <c r="C3162">
        <v>100</v>
      </c>
      <c r="D3162">
        <v>1</v>
      </c>
      <c r="E3162">
        <v>0</v>
      </c>
      <c r="F3162" t="s">
        <v>11882</v>
      </c>
      <c r="G3162">
        <v>106</v>
      </c>
      <c r="H3162">
        <v>6</v>
      </c>
      <c r="I3162" t="s">
        <v>24</v>
      </c>
      <c r="J3162" t="s">
        <v>11883</v>
      </c>
      <c r="K3162" t="s">
        <v>919</v>
      </c>
      <c r="L3162" t="s">
        <v>27</v>
      </c>
      <c r="M3162" t="s">
        <v>28</v>
      </c>
      <c r="N3162" t="s">
        <v>11884</v>
      </c>
      <c r="O3162" t="s">
        <v>27</v>
      </c>
      <c r="P3162" t="s">
        <v>39</v>
      </c>
      <c r="Q3162" t="s">
        <v>31</v>
      </c>
      <c r="R3162" t="s">
        <v>32</v>
      </c>
      <c r="S3162" t="s">
        <v>28</v>
      </c>
      <c r="T3162" t="s">
        <v>11885</v>
      </c>
      <c r="U3162" t="s">
        <v>11884</v>
      </c>
    </row>
    <row r="3163" spans="1:21" x14ac:dyDescent="0.25">
      <c r="A3163" t="s">
        <v>70</v>
      </c>
      <c r="B3163" t="s">
        <v>70</v>
      </c>
      <c r="C3163">
        <v>330</v>
      </c>
      <c r="D3163">
        <v>1</v>
      </c>
      <c r="E3163">
        <v>0</v>
      </c>
      <c r="F3163" t="s">
        <v>11886</v>
      </c>
      <c r="G3163">
        <v>330</v>
      </c>
      <c r="H3163">
        <v>0</v>
      </c>
      <c r="I3163" t="s">
        <v>445</v>
      </c>
      <c r="J3163" t="s">
        <v>11887</v>
      </c>
      <c r="K3163" t="s">
        <v>1602</v>
      </c>
      <c r="L3163" t="s">
        <v>27</v>
      </c>
      <c r="M3163" t="s">
        <v>28</v>
      </c>
      <c r="N3163" t="s">
        <v>11888</v>
      </c>
      <c r="O3163" t="s">
        <v>27</v>
      </c>
      <c r="P3163" t="s">
        <v>56</v>
      </c>
      <c r="Q3163" t="s">
        <v>31</v>
      </c>
      <c r="R3163" t="s">
        <v>57</v>
      </c>
      <c r="S3163" t="s">
        <v>28</v>
      </c>
      <c r="T3163" t="s">
        <v>11889</v>
      </c>
      <c r="U3163" t="s">
        <v>11888</v>
      </c>
    </row>
    <row r="3164" spans="1:21" x14ac:dyDescent="0.25">
      <c r="A3164" t="s">
        <v>21</v>
      </c>
      <c r="B3164" t="s">
        <v>22</v>
      </c>
      <c r="C3164">
        <v>100</v>
      </c>
      <c r="D3164">
        <v>1</v>
      </c>
      <c r="E3164">
        <v>0</v>
      </c>
      <c r="F3164" t="s">
        <v>11890</v>
      </c>
      <c r="G3164">
        <v>100</v>
      </c>
      <c r="H3164">
        <v>0</v>
      </c>
      <c r="I3164" t="s">
        <v>445</v>
      </c>
      <c r="J3164" t="s">
        <v>11891</v>
      </c>
      <c r="K3164" t="s">
        <v>26</v>
      </c>
      <c r="L3164" t="s">
        <v>27</v>
      </c>
      <c r="M3164" t="s">
        <v>28</v>
      </c>
      <c r="N3164" t="s">
        <v>11888</v>
      </c>
      <c r="O3164" t="s">
        <v>27</v>
      </c>
      <c r="P3164" t="s">
        <v>39</v>
      </c>
      <c r="Q3164" t="s">
        <v>31</v>
      </c>
      <c r="R3164" t="s">
        <v>32</v>
      </c>
      <c r="S3164" t="s">
        <v>28</v>
      </c>
      <c r="T3164" t="s">
        <v>11892</v>
      </c>
      <c r="U3164" t="s">
        <v>11888</v>
      </c>
    </row>
    <row r="3165" spans="1:21" x14ac:dyDescent="0.25">
      <c r="A3165" t="s">
        <v>33</v>
      </c>
      <c r="B3165" t="s">
        <v>34</v>
      </c>
      <c r="C3165">
        <v>200</v>
      </c>
      <c r="D3165">
        <v>1</v>
      </c>
      <c r="E3165">
        <v>0</v>
      </c>
      <c r="F3165" t="s">
        <v>11893</v>
      </c>
      <c r="G3165">
        <v>200</v>
      </c>
      <c r="H3165">
        <v>0</v>
      </c>
      <c r="I3165" t="s">
        <v>24</v>
      </c>
      <c r="J3165" t="s">
        <v>11894</v>
      </c>
      <c r="K3165" t="s">
        <v>37</v>
      </c>
      <c r="L3165" t="s">
        <v>27</v>
      </c>
      <c r="M3165" t="s">
        <v>28</v>
      </c>
      <c r="N3165" t="s">
        <v>11895</v>
      </c>
      <c r="O3165" t="s">
        <v>27</v>
      </c>
      <c r="P3165" t="s">
        <v>39</v>
      </c>
      <c r="Q3165" t="s">
        <v>31</v>
      </c>
      <c r="R3165" t="s">
        <v>32</v>
      </c>
      <c r="S3165" t="s">
        <v>28</v>
      </c>
      <c r="T3165" t="s">
        <v>11896</v>
      </c>
      <c r="U3165" t="s">
        <v>11895</v>
      </c>
    </row>
    <row r="3166" spans="1:21" x14ac:dyDescent="0.25">
      <c r="A3166" t="s">
        <v>21</v>
      </c>
      <c r="B3166" t="s">
        <v>22</v>
      </c>
      <c r="C3166">
        <v>100</v>
      </c>
      <c r="D3166">
        <v>1</v>
      </c>
      <c r="E3166">
        <v>0</v>
      </c>
      <c r="F3166" t="s">
        <v>11897</v>
      </c>
      <c r="G3166">
        <v>106</v>
      </c>
      <c r="H3166">
        <v>6</v>
      </c>
      <c r="I3166" t="s">
        <v>24</v>
      </c>
      <c r="J3166" t="s">
        <v>11898</v>
      </c>
      <c r="K3166" t="s">
        <v>250</v>
      </c>
      <c r="L3166" t="s">
        <v>27</v>
      </c>
      <c r="M3166" t="s">
        <v>28</v>
      </c>
      <c r="N3166" t="s">
        <v>11895</v>
      </c>
      <c r="O3166" t="s">
        <v>27</v>
      </c>
      <c r="P3166" t="s">
        <v>39</v>
      </c>
      <c r="Q3166" t="s">
        <v>31</v>
      </c>
      <c r="R3166" t="s">
        <v>32</v>
      </c>
      <c r="S3166" t="s">
        <v>28</v>
      </c>
      <c r="T3166" t="s">
        <v>11899</v>
      </c>
      <c r="U3166" t="s">
        <v>11895</v>
      </c>
    </row>
    <row r="3167" spans="1:21" x14ac:dyDescent="0.25">
      <c r="A3167" t="s">
        <v>21</v>
      </c>
      <c r="B3167" t="s">
        <v>22</v>
      </c>
      <c r="C3167">
        <v>100</v>
      </c>
      <c r="D3167">
        <v>2</v>
      </c>
      <c r="E3167">
        <v>0</v>
      </c>
      <c r="F3167" t="s">
        <v>11900</v>
      </c>
      <c r="G3167">
        <v>200</v>
      </c>
      <c r="H3167">
        <v>0</v>
      </c>
      <c r="I3167" t="s">
        <v>24</v>
      </c>
      <c r="J3167" t="s">
        <v>11901</v>
      </c>
      <c r="K3167" t="s">
        <v>4146</v>
      </c>
      <c r="L3167" t="s">
        <v>27</v>
      </c>
      <c r="M3167" t="s">
        <v>28</v>
      </c>
      <c r="N3167" t="s">
        <v>11902</v>
      </c>
      <c r="O3167" t="s">
        <v>27</v>
      </c>
      <c r="P3167" t="s">
        <v>39</v>
      </c>
      <c r="Q3167" t="s">
        <v>31</v>
      </c>
      <c r="R3167" t="s">
        <v>32</v>
      </c>
      <c r="S3167" t="s">
        <v>28</v>
      </c>
      <c r="T3167" t="s">
        <v>11903</v>
      </c>
      <c r="U3167" t="s">
        <v>11904</v>
      </c>
    </row>
    <row r="3168" spans="1:21" x14ac:dyDescent="0.25">
      <c r="A3168" t="s">
        <v>58</v>
      </c>
      <c r="B3168" t="s">
        <v>58</v>
      </c>
      <c r="C3168">
        <v>100</v>
      </c>
      <c r="D3168">
        <v>1</v>
      </c>
      <c r="E3168">
        <v>0</v>
      </c>
      <c r="F3168" t="s">
        <v>11905</v>
      </c>
      <c r="G3168">
        <v>600</v>
      </c>
      <c r="H3168">
        <v>0</v>
      </c>
      <c r="I3168" t="s">
        <v>445</v>
      </c>
      <c r="J3168" t="s">
        <v>11906</v>
      </c>
      <c r="K3168" t="s">
        <v>273</v>
      </c>
      <c r="L3168" t="s">
        <v>27</v>
      </c>
      <c r="M3168" t="s">
        <v>28</v>
      </c>
      <c r="N3168" t="s">
        <v>11902</v>
      </c>
      <c r="O3168" t="s">
        <v>27</v>
      </c>
      <c r="P3168" t="s">
        <v>56</v>
      </c>
      <c r="Q3168" t="s">
        <v>31</v>
      </c>
      <c r="R3168" t="s">
        <v>57</v>
      </c>
      <c r="S3168" t="s">
        <v>28</v>
      </c>
      <c r="T3168" t="s">
        <v>11907</v>
      </c>
      <c r="U3168" t="s">
        <v>11902</v>
      </c>
    </row>
    <row r="3169" spans="1:21" x14ac:dyDescent="0.25">
      <c r="A3169" t="s">
        <v>11908</v>
      </c>
      <c r="B3169" t="s">
        <v>168</v>
      </c>
      <c r="C3169">
        <v>250</v>
      </c>
      <c r="D3169">
        <v>2</v>
      </c>
      <c r="E3169">
        <v>0</v>
      </c>
      <c r="F3169" t="s">
        <v>11905</v>
      </c>
      <c r="G3169">
        <v>600</v>
      </c>
      <c r="H3169">
        <v>0</v>
      </c>
      <c r="I3169" t="s">
        <v>445</v>
      </c>
      <c r="J3169" t="s">
        <v>11906</v>
      </c>
      <c r="K3169" t="s">
        <v>273</v>
      </c>
      <c r="L3169" t="s">
        <v>27</v>
      </c>
      <c r="M3169" t="s">
        <v>28</v>
      </c>
      <c r="N3169" t="s">
        <v>11902</v>
      </c>
      <c r="O3169" t="s">
        <v>27</v>
      </c>
      <c r="P3169" t="s">
        <v>56</v>
      </c>
      <c r="Q3169" t="s">
        <v>31</v>
      </c>
      <c r="R3169" t="s">
        <v>57</v>
      </c>
      <c r="S3169" t="s">
        <v>28</v>
      </c>
      <c r="T3169" t="s">
        <v>11907</v>
      </c>
      <c r="U3169" t="s">
        <v>11902</v>
      </c>
    </row>
    <row r="3170" spans="1:21" x14ac:dyDescent="0.25">
      <c r="A3170" t="s">
        <v>21</v>
      </c>
      <c r="B3170" t="s">
        <v>22</v>
      </c>
      <c r="C3170">
        <v>100</v>
      </c>
      <c r="D3170">
        <v>1</v>
      </c>
      <c r="E3170">
        <v>0</v>
      </c>
      <c r="F3170" t="s">
        <v>11909</v>
      </c>
      <c r="G3170">
        <v>106</v>
      </c>
      <c r="H3170">
        <v>6</v>
      </c>
      <c r="I3170" t="s">
        <v>24</v>
      </c>
      <c r="J3170" t="s">
        <v>11910</v>
      </c>
      <c r="K3170" t="s">
        <v>250</v>
      </c>
      <c r="L3170" t="s">
        <v>27</v>
      </c>
      <c r="M3170" t="s">
        <v>28</v>
      </c>
      <c r="N3170" t="s">
        <v>11911</v>
      </c>
      <c r="O3170" t="s">
        <v>27</v>
      </c>
      <c r="P3170" t="s">
        <v>39</v>
      </c>
      <c r="Q3170" t="s">
        <v>31</v>
      </c>
      <c r="R3170" t="s">
        <v>32</v>
      </c>
      <c r="S3170" t="s">
        <v>28</v>
      </c>
      <c r="T3170" t="s">
        <v>11912</v>
      </c>
      <c r="U3170" t="s">
        <v>11911</v>
      </c>
    </row>
    <row r="3171" spans="1:21" x14ac:dyDescent="0.25">
      <c r="A3171" t="s">
        <v>21</v>
      </c>
      <c r="B3171" t="s">
        <v>22</v>
      </c>
      <c r="C3171">
        <v>100</v>
      </c>
      <c r="D3171">
        <v>2</v>
      </c>
      <c r="E3171">
        <v>0</v>
      </c>
      <c r="F3171" t="s">
        <v>11913</v>
      </c>
      <c r="G3171">
        <v>200</v>
      </c>
      <c r="H3171">
        <v>0</v>
      </c>
      <c r="I3171" t="s">
        <v>24</v>
      </c>
      <c r="J3171" t="s">
        <v>11914</v>
      </c>
      <c r="K3171" t="s">
        <v>388</v>
      </c>
      <c r="L3171" t="s">
        <v>27</v>
      </c>
      <c r="M3171" t="s">
        <v>28</v>
      </c>
      <c r="N3171" t="s">
        <v>11915</v>
      </c>
      <c r="O3171" t="s">
        <v>27</v>
      </c>
      <c r="P3171" t="s">
        <v>56</v>
      </c>
      <c r="Q3171" t="s">
        <v>31</v>
      </c>
      <c r="R3171" t="s">
        <v>57</v>
      </c>
      <c r="S3171" t="s">
        <v>28</v>
      </c>
      <c r="T3171" t="s">
        <v>11916</v>
      </c>
      <c r="U3171" t="s">
        <v>11915</v>
      </c>
    </row>
    <row r="3172" spans="1:21" x14ac:dyDescent="0.25">
      <c r="A3172" t="s">
        <v>21</v>
      </c>
      <c r="B3172" t="s">
        <v>22</v>
      </c>
      <c r="C3172">
        <v>100</v>
      </c>
      <c r="D3172">
        <v>1</v>
      </c>
      <c r="E3172">
        <v>0</v>
      </c>
      <c r="F3172" t="s">
        <v>11917</v>
      </c>
      <c r="G3172">
        <v>106</v>
      </c>
      <c r="H3172">
        <v>6</v>
      </c>
      <c r="I3172" t="s">
        <v>24</v>
      </c>
      <c r="J3172" t="s">
        <v>11918</v>
      </c>
      <c r="K3172" t="s">
        <v>250</v>
      </c>
      <c r="L3172" t="s">
        <v>27</v>
      </c>
      <c r="M3172" t="s">
        <v>28</v>
      </c>
      <c r="N3172" t="s">
        <v>11919</v>
      </c>
      <c r="O3172" t="s">
        <v>27</v>
      </c>
      <c r="P3172" t="s">
        <v>39</v>
      </c>
      <c r="Q3172" t="s">
        <v>31</v>
      </c>
      <c r="R3172" t="s">
        <v>32</v>
      </c>
      <c r="S3172" t="s">
        <v>28</v>
      </c>
      <c r="T3172" t="s">
        <v>11920</v>
      </c>
      <c r="U3172" t="s">
        <v>11919</v>
      </c>
    </row>
    <row r="3173" spans="1:21" x14ac:dyDescent="0.25">
      <c r="A3173" t="s">
        <v>21</v>
      </c>
      <c r="B3173" t="s">
        <v>22</v>
      </c>
      <c r="C3173">
        <v>100</v>
      </c>
      <c r="D3173">
        <v>2</v>
      </c>
      <c r="E3173">
        <v>0</v>
      </c>
      <c r="F3173" t="s">
        <v>11921</v>
      </c>
      <c r="G3173">
        <v>200</v>
      </c>
      <c r="H3173">
        <v>0</v>
      </c>
      <c r="I3173" t="s">
        <v>445</v>
      </c>
      <c r="J3173" t="s">
        <v>6213</v>
      </c>
      <c r="K3173" t="s">
        <v>350</v>
      </c>
      <c r="L3173" t="s">
        <v>27</v>
      </c>
      <c r="M3173" t="s">
        <v>28</v>
      </c>
      <c r="N3173" t="s">
        <v>11919</v>
      </c>
      <c r="O3173" t="s">
        <v>27</v>
      </c>
      <c r="P3173" t="s">
        <v>39</v>
      </c>
      <c r="Q3173" t="s">
        <v>31</v>
      </c>
      <c r="R3173" t="s">
        <v>32</v>
      </c>
      <c r="S3173" t="s">
        <v>28</v>
      </c>
      <c r="T3173" t="s">
        <v>11922</v>
      </c>
      <c r="U3173" t="s">
        <v>11919</v>
      </c>
    </row>
    <row r="3174" spans="1:21" x14ac:dyDescent="0.25">
      <c r="A3174" t="s">
        <v>21</v>
      </c>
      <c r="B3174" t="s">
        <v>22</v>
      </c>
      <c r="C3174">
        <v>100</v>
      </c>
      <c r="D3174">
        <v>1</v>
      </c>
      <c r="E3174">
        <v>0</v>
      </c>
      <c r="F3174" t="s">
        <v>11923</v>
      </c>
      <c r="G3174">
        <v>100</v>
      </c>
      <c r="H3174">
        <v>0</v>
      </c>
      <c r="I3174" t="s">
        <v>24</v>
      </c>
      <c r="J3174" t="s">
        <v>11924</v>
      </c>
      <c r="K3174" t="s">
        <v>213</v>
      </c>
      <c r="L3174" t="s">
        <v>27</v>
      </c>
      <c r="M3174" t="s">
        <v>28</v>
      </c>
      <c r="N3174" t="s">
        <v>11925</v>
      </c>
      <c r="O3174" t="s">
        <v>27</v>
      </c>
      <c r="P3174" t="s">
        <v>56</v>
      </c>
      <c r="Q3174" t="s">
        <v>31</v>
      </c>
      <c r="R3174" t="s">
        <v>57</v>
      </c>
      <c r="S3174" t="s">
        <v>28</v>
      </c>
      <c r="T3174" t="s">
        <v>11926</v>
      </c>
      <c r="U3174" t="s">
        <v>11925</v>
      </c>
    </row>
    <row r="3175" spans="1:21" x14ac:dyDescent="0.25">
      <c r="A3175" t="s">
        <v>21</v>
      </c>
      <c r="B3175" t="s">
        <v>22</v>
      </c>
      <c r="C3175">
        <v>100</v>
      </c>
      <c r="D3175">
        <v>1</v>
      </c>
      <c r="E3175">
        <v>0</v>
      </c>
      <c r="F3175" t="s">
        <v>11927</v>
      </c>
      <c r="G3175">
        <v>106</v>
      </c>
      <c r="H3175">
        <v>6</v>
      </c>
      <c r="I3175" t="s">
        <v>140</v>
      </c>
      <c r="J3175" t="s">
        <v>11928</v>
      </c>
      <c r="K3175" t="s">
        <v>466</v>
      </c>
      <c r="L3175" t="s">
        <v>27</v>
      </c>
      <c r="M3175" t="s">
        <v>28</v>
      </c>
      <c r="N3175" t="s">
        <v>11925</v>
      </c>
      <c r="O3175" t="s">
        <v>27</v>
      </c>
      <c r="P3175" t="s">
        <v>30</v>
      </c>
      <c r="Q3175" t="s">
        <v>31</v>
      </c>
      <c r="R3175" t="s">
        <v>32</v>
      </c>
      <c r="S3175" t="s">
        <v>28</v>
      </c>
      <c r="T3175" t="s">
        <v>11929</v>
      </c>
      <c r="U3175" t="s">
        <v>11925</v>
      </c>
    </row>
    <row r="3176" spans="1:21" x14ac:dyDescent="0.25">
      <c r="A3176" t="s">
        <v>21</v>
      </c>
      <c r="B3176" t="s">
        <v>22</v>
      </c>
      <c r="C3176">
        <v>100</v>
      </c>
      <c r="D3176">
        <v>1</v>
      </c>
      <c r="E3176">
        <v>0</v>
      </c>
      <c r="F3176" t="s">
        <v>11930</v>
      </c>
      <c r="G3176">
        <v>106</v>
      </c>
      <c r="H3176">
        <v>6</v>
      </c>
      <c r="I3176" t="s">
        <v>445</v>
      </c>
      <c r="J3176" t="s">
        <v>11931</v>
      </c>
      <c r="K3176" t="s">
        <v>451</v>
      </c>
      <c r="L3176" t="s">
        <v>27</v>
      </c>
      <c r="M3176" t="s">
        <v>28</v>
      </c>
      <c r="N3176" t="s">
        <v>11932</v>
      </c>
      <c r="O3176" t="s">
        <v>27</v>
      </c>
      <c r="P3176" t="s">
        <v>39</v>
      </c>
      <c r="Q3176" t="s">
        <v>31</v>
      </c>
      <c r="R3176" t="s">
        <v>32</v>
      </c>
      <c r="S3176" t="s">
        <v>28</v>
      </c>
      <c r="T3176" t="s">
        <v>11933</v>
      </c>
      <c r="U3176" t="s">
        <v>11934</v>
      </c>
    </row>
    <row r="3177" spans="1:21" x14ac:dyDescent="0.25">
      <c r="A3177" t="s">
        <v>21</v>
      </c>
      <c r="B3177" t="s">
        <v>22</v>
      </c>
      <c r="C3177">
        <v>100</v>
      </c>
      <c r="D3177">
        <v>5</v>
      </c>
      <c r="E3177">
        <v>0</v>
      </c>
      <c r="F3177" t="s">
        <v>11935</v>
      </c>
      <c r="G3177">
        <v>500</v>
      </c>
      <c r="H3177">
        <v>0</v>
      </c>
      <c r="I3177" t="s">
        <v>140</v>
      </c>
      <c r="J3177" t="s">
        <v>1894</v>
      </c>
      <c r="K3177" t="s">
        <v>1878</v>
      </c>
      <c r="L3177" t="s">
        <v>27</v>
      </c>
      <c r="M3177" t="s">
        <v>28</v>
      </c>
      <c r="N3177" t="s">
        <v>11936</v>
      </c>
      <c r="O3177" t="s">
        <v>27</v>
      </c>
      <c r="P3177" t="s">
        <v>30</v>
      </c>
      <c r="Q3177" t="s">
        <v>31</v>
      </c>
      <c r="R3177" t="s">
        <v>32</v>
      </c>
      <c r="S3177" t="s">
        <v>28</v>
      </c>
      <c r="T3177" t="s">
        <v>11937</v>
      </c>
      <c r="U3177" t="s">
        <v>11936</v>
      </c>
    </row>
    <row r="3178" spans="1:21" x14ac:dyDescent="0.25">
      <c r="A3178" t="s">
        <v>21</v>
      </c>
      <c r="B3178" t="s">
        <v>22</v>
      </c>
      <c r="C3178">
        <v>100</v>
      </c>
      <c r="D3178">
        <v>1</v>
      </c>
      <c r="E3178">
        <v>0</v>
      </c>
      <c r="F3178" t="s">
        <v>11938</v>
      </c>
      <c r="G3178">
        <v>106</v>
      </c>
      <c r="H3178">
        <v>6</v>
      </c>
      <c r="I3178" t="s">
        <v>24</v>
      </c>
      <c r="J3178" t="s">
        <v>11939</v>
      </c>
      <c r="K3178" t="s">
        <v>73</v>
      </c>
      <c r="L3178" t="s">
        <v>27</v>
      </c>
      <c r="M3178" t="s">
        <v>28</v>
      </c>
      <c r="N3178" t="s">
        <v>11940</v>
      </c>
      <c r="O3178" t="s">
        <v>27</v>
      </c>
      <c r="P3178" t="s">
        <v>39</v>
      </c>
      <c r="Q3178" t="s">
        <v>31</v>
      </c>
      <c r="R3178" t="s">
        <v>32</v>
      </c>
      <c r="S3178" t="s">
        <v>28</v>
      </c>
      <c r="T3178" t="s">
        <v>11941</v>
      </c>
      <c r="U3178" t="s">
        <v>11940</v>
      </c>
    </row>
    <row r="3179" spans="1:21" x14ac:dyDescent="0.25">
      <c r="A3179" t="s">
        <v>21</v>
      </c>
      <c r="B3179" t="s">
        <v>22</v>
      </c>
      <c r="C3179">
        <v>100</v>
      </c>
      <c r="D3179">
        <v>1</v>
      </c>
      <c r="E3179">
        <v>0</v>
      </c>
      <c r="F3179" t="s">
        <v>11942</v>
      </c>
      <c r="G3179">
        <v>106</v>
      </c>
      <c r="H3179">
        <v>6</v>
      </c>
      <c r="I3179" t="s">
        <v>24</v>
      </c>
      <c r="J3179" t="s">
        <v>11943</v>
      </c>
      <c r="K3179" t="s">
        <v>273</v>
      </c>
      <c r="L3179" t="s">
        <v>27</v>
      </c>
      <c r="M3179" t="s">
        <v>28</v>
      </c>
      <c r="N3179" t="s">
        <v>11944</v>
      </c>
      <c r="O3179" t="s">
        <v>27</v>
      </c>
      <c r="P3179" t="s">
        <v>39</v>
      </c>
      <c r="Q3179" t="s">
        <v>31</v>
      </c>
      <c r="R3179" t="s">
        <v>32</v>
      </c>
      <c r="S3179" t="s">
        <v>28</v>
      </c>
      <c r="T3179" t="s">
        <v>11945</v>
      </c>
      <c r="U3179" t="s">
        <v>11944</v>
      </c>
    </row>
    <row r="3180" spans="1:21" x14ac:dyDescent="0.25">
      <c r="A3180" t="s">
        <v>33</v>
      </c>
      <c r="B3180" t="s">
        <v>34</v>
      </c>
      <c r="C3180">
        <v>200</v>
      </c>
      <c r="D3180">
        <v>1</v>
      </c>
      <c r="E3180">
        <v>0</v>
      </c>
      <c r="F3180" t="s">
        <v>11946</v>
      </c>
      <c r="G3180">
        <v>200</v>
      </c>
      <c r="H3180">
        <v>0</v>
      </c>
      <c r="I3180" t="s">
        <v>24</v>
      </c>
      <c r="J3180" t="s">
        <v>11947</v>
      </c>
      <c r="K3180" t="s">
        <v>438</v>
      </c>
      <c r="L3180" t="s">
        <v>27</v>
      </c>
      <c r="M3180" t="s">
        <v>28</v>
      </c>
      <c r="N3180" t="s">
        <v>11944</v>
      </c>
      <c r="O3180" t="s">
        <v>27</v>
      </c>
      <c r="P3180" t="s">
        <v>39</v>
      </c>
      <c r="Q3180" t="s">
        <v>31</v>
      </c>
      <c r="R3180" t="s">
        <v>32</v>
      </c>
      <c r="S3180" t="s">
        <v>28</v>
      </c>
      <c r="T3180" t="s">
        <v>11948</v>
      </c>
      <c r="U3180" t="s">
        <v>11944</v>
      </c>
    </row>
    <row r="3181" spans="1:21" x14ac:dyDescent="0.25">
      <c r="A3181" t="s">
        <v>2307</v>
      </c>
      <c r="B3181" t="s">
        <v>2308</v>
      </c>
      <c r="C3181">
        <v>330</v>
      </c>
      <c r="D3181">
        <v>1</v>
      </c>
      <c r="E3181">
        <v>0</v>
      </c>
      <c r="F3181" t="s">
        <v>11949</v>
      </c>
      <c r="G3181">
        <v>330</v>
      </c>
      <c r="H3181">
        <v>0</v>
      </c>
      <c r="I3181" t="s">
        <v>24</v>
      </c>
      <c r="J3181" t="s">
        <v>11950</v>
      </c>
      <c r="K3181" t="s">
        <v>67</v>
      </c>
      <c r="L3181" t="s">
        <v>27</v>
      </c>
      <c r="M3181" t="s">
        <v>28</v>
      </c>
      <c r="N3181" t="s">
        <v>11951</v>
      </c>
      <c r="O3181" t="s">
        <v>27</v>
      </c>
      <c r="P3181" t="s">
        <v>56</v>
      </c>
      <c r="Q3181" t="s">
        <v>31</v>
      </c>
      <c r="R3181" t="s">
        <v>57</v>
      </c>
      <c r="S3181" t="s">
        <v>28</v>
      </c>
      <c r="T3181" t="s">
        <v>11952</v>
      </c>
      <c r="U3181" t="s">
        <v>11951</v>
      </c>
    </row>
    <row r="3182" spans="1:21" x14ac:dyDescent="0.25">
      <c r="A3182" t="s">
        <v>70</v>
      </c>
      <c r="B3182" t="s">
        <v>70</v>
      </c>
      <c r="C3182">
        <v>350</v>
      </c>
      <c r="D3182">
        <v>1</v>
      </c>
      <c r="E3182">
        <v>0</v>
      </c>
      <c r="F3182" t="s">
        <v>11953</v>
      </c>
      <c r="G3182">
        <v>350</v>
      </c>
      <c r="H3182">
        <v>0</v>
      </c>
      <c r="I3182" t="s">
        <v>140</v>
      </c>
      <c r="J3182" t="s">
        <v>11950</v>
      </c>
      <c r="K3182" t="s">
        <v>67</v>
      </c>
      <c r="L3182" t="s">
        <v>27</v>
      </c>
      <c r="M3182" t="s">
        <v>28</v>
      </c>
      <c r="N3182" t="s">
        <v>11951</v>
      </c>
      <c r="O3182" t="s">
        <v>27</v>
      </c>
      <c r="P3182" t="s">
        <v>369</v>
      </c>
      <c r="Q3182" t="s">
        <v>31</v>
      </c>
      <c r="R3182" t="s">
        <v>57</v>
      </c>
      <c r="S3182" t="s">
        <v>28</v>
      </c>
      <c r="T3182" t="s">
        <v>11954</v>
      </c>
      <c r="U3182" t="s">
        <v>11951</v>
      </c>
    </row>
    <row r="3183" spans="1:21" x14ac:dyDescent="0.25">
      <c r="A3183" t="s">
        <v>21</v>
      </c>
      <c r="B3183" t="s">
        <v>22</v>
      </c>
      <c r="C3183">
        <v>100</v>
      </c>
      <c r="D3183">
        <v>1</v>
      </c>
      <c r="E3183">
        <v>0</v>
      </c>
      <c r="F3183" t="s">
        <v>11955</v>
      </c>
      <c r="G3183">
        <v>100</v>
      </c>
      <c r="H3183">
        <v>0</v>
      </c>
      <c r="I3183" t="s">
        <v>24</v>
      </c>
      <c r="J3183" t="s">
        <v>11956</v>
      </c>
      <c r="K3183" t="s">
        <v>758</v>
      </c>
      <c r="L3183" t="s">
        <v>27</v>
      </c>
      <c r="M3183" t="s">
        <v>28</v>
      </c>
      <c r="N3183" t="s">
        <v>11951</v>
      </c>
      <c r="O3183" t="s">
        <v>27</v>
      </c>
      <c r="P3183" t="s">
        <v>39</v>
      </c>
      <c r="Q3183" t="s">
        <v>31</v>
      </c>
      <c r="R3183" t="s">
        <v>32</v>
      </c>
      <c r="S3183" t="s">
        <v>28</v>
      </c>
      <c r="T3183" t="s">
        <v>11957</v>
      </c>
      <c r="U3183" t="s">
        <v>11951</v>
      </c>
    </row>
    <row r="3184" spans="1:21" x14ac:dyDescent="0.25">
      <c r="A3184" t="s">
        <v>21</v>
      </c>
      <c r="B3184" t="s">
        <v>22</v>
      </c>
      <c r="C3184">
        <v>100</v>
      </c>
      <c r="D3184">
        <v>1</v>
      </c>
      <c r="E3184">
        <v>0</v>
      </c>
      <c r="F3184" t="s">
        <v>11958</v>
      </c>
      <c r="G3184">
        <v>106</v>
      </c>
      <c r="H3184">
        <v>6</v>
      </c>
      <c r="I3184" t="s">
        <v>445</v>
      </c>
      <c r="J3184" t="s">
        <v>11959</v>
      </c>
      <c r="K3184" t="s">
        <v>438</v>
      </c>
      <c r="L3184" t="s">
        <v>27</v>
      </c>
      <c r="M3184" t="s">
        <v>28</v>
      </c>
      <c r="N3184" t="s">
        <v>11960</v>
      </c>
      <c r="O3184" t="s">
        <v>27</v>
      </c>
      <c r="P3184" t="s">
        <v>39</v>
      </c>
      <c r="Q3184" t="s">
        <v>31</v>
      </c>
      <c r="R3184" t="s">
        <v>32</v>
      </c>
      <c r="S3184" t="s">
        <v>28</v>
      </c>
      <c r="T3184" t="s">
        <v>11961</v>
      </c>
      <c r="U3184" t="s">
        <v>11960</v>
      </c>
    </row>
    <row r="3185" spans="1:21" x14ac:dyDescent="0.25">
      <c r="A3185" t="s">
        <v>21</v>
      </c>
      <c r="B3185" t="s">
        <v>22</v>
      </c>
      <c r="C3185">
        <v>100</v>
      </c>
      <c r="D3185">
        <v>1</v>
      </c>
      <c r="E3185">
        <v>0</v>
      </c>
      <c r="F3185" t="s">
        <v>11962</v>
      </c>
      <c r="G3185">
        <v>106</v>
      </c>
      <c r="H3185">
        <v>6</v>
      </c>
      <c r="I3185" t="s">
        <v>445</v>
      </c>
      <c r="J3185" t="s">
        <v>11963</v>
      </c>
      <c r="K3185" t="s">
        <v>5225</v>
      </c>
      <c r="L3185" t="s">
        <v>27</v>
      </c>
      <c r="M3185" t="s">
        <v>28</v>
      </c>
      <c r="N3185" t="s">
        <v>11964</v>
      </c>
      <c r="O3185" t="s">
        <v>27</v>
      </c>
      <c r="P3185" t="s">
        <v>39</v>
      </c>
      <c r="Q3185" t="s">
        <v>31</v>
      </c>
      <c r="R3185" t="s">
        <v>32</v>
      </c>
      <c r="S3185" t="s">
        <v>28</v>
      </c>
      <c r="T3185" t="s">
        <v>11965</v>
      </c>
      <c r="U3185" t="s">
        <v>11964</v>
      </c>
    </row>
    <row r="3186" spans="1:21" x14ac:dyDescent="0.25">
      <c r="A3186" t="s">
        <v>21</v>
      </c>
      <c r="B3186" t="s">
        <v>22</v>
      </c>
      <c r="C3186">
        <v>100</v>
      </c>
      <c r="D3186">
        <v>1</v>
      </c>
      <c r="E3186">
        <v>0</v>
      </c>
      <c r="F3186" t="s">
        <v>11966</v>
      </c>
      <c r="G3186">
        <v>100</v>
      </c>
      <c r="H3186">
        <v>0</v>
      </c>
      <c r="I3186" t="s">
        <v>24</v>
      </c>
      <c r="J3186" t="s">
        <v>11967</v>
      </c>
      <c r="K3186" t="s">
        <v>124</v>
      </c>
      <c r="L3186" t="s">
        <v>27</v>
      </c>
      <c r="M3186" t="s">
        <v>28</v>
      </c>
      <c r="N3186" t="s">
        <v>11960</v>
      </c>
      <c r="O3186" t="s">
        <v>27</v>
      </c>
      <c r="P3186" t="s">
        <v>56</v>
      </c>
      <c r="Q3186" t="s">
        <v>31</v>
      </c>
      <c r="R3186" t="s">
        <v>57</v>
      </c>
      <c r="S3186" t="s">
        <v>28</v>
      </c>
      <c r="T3186" t="s">
        <v>11968</v>
      </c>
      <c r="U3186" t="s">
        <v>11964</v>
      </c>
    </row>
    <row r="3187" spans="1:21" x14ac:dyDescent="0.25">
      <c r="A3187" t="s">
        <v>21</v>
      </c>
      <c r="B3187" t="s">
        <v>22</v>
      </c>
      <c r="C3187">
        <v>100</v>
      </c>
      <c r="D3187">
        <v>1</v>
      </c>
      <c r="E3187">
        <v>0</v>
      </c>
      <c r="F3187" t="s">
        <v>11969</v>
      </c>
      <c r="G3187">
        <v>200</v>
      </c>
      <c r="H3187">
        <v>0</v>
      </c>
      <c r="I3187" t="s">
        <v>24</v>
      </c>
      <c r="J3187" t="s">
        <v>11970</v>
      </c>
      <c r="K3187" t="s">
        <v>237</v>
      </c>
      <c r="L3187" t="s">
        <v>27</v>
      </c>
      <c r="M3187" t="s">
        <v>28</v>
      </c>
      <c r="N3187" t="s">
        <v>11964</v>
      </c>
      <c r="O3187" t="s">
        <v>27</v>
      </c>
      <c r="P3187" t="s">
        <v>56</v>
      </c>
      <c r="Q3187" t="s">
        <v>31</v>
      </c>
      <c r="R3187" t="s">
        <v>57</v>
      </c>
      <c r="S3187" t="s">
        <v>28</v>
      </c>
      <c r="T3187" t="s">
        <v>11971</v>
      </c>
      <c r="U3187" t="s">
        <v>11972</v>
      </c>
    </row>
    <row r="3188" spans="1:21" x14ac:dyDescent="0.25">
      <c r="A3188" t="s">
        <v>134</v>
      </c>
      <c r="B3188" t="s">
        <v>64</v>
      </c>
      <c r="C3188">
        <v>100</v>
      </c>
      <c r="D3188">
        <v>1</v>
      </c>
      <c r="E3188">
        <v>0</v>
      </c>
      <c r="F3188" t="s">
        <v>11969</v>
      </c>
      <c r="G3188">
        <v>200</v>
      </c>
      <c r="H3188">
        <v>0</v>
      </c>
      <c r="I3188" t="s">
        <v>24</v>
      </c>
      <c r="J3188" t="s">
        <v>11970</v>
      </c>
      <c r="K3188" t="s">
        <v>237</v>
      </c>
      <c r="L3188" t="s">
        <v>27</v>
      </c>
      <c r="M3188" t="s">
        <v>28</v>
      </c>
      <c r="N3188" t="s">
        <v>11964</v>
      </c>
      <c r="O3188" t="s">
        <v>27</v>
      </c>
      <c r="P3188" t="s">
        <v>56</v>
      </c>
      <c r="Q3188" t="s">
        <v>31</v>
      </c>
      <c r="R3188" t="s">
        <v>57</v>
      </c>
      <c r="S3188" t="s">
        <v>28</v>
      </c>
      <c r="T3188" t="s">
        <v>11971</v>
      </c>
      <c r="U3188" t="s">
        <v>11972</v>
      </c>
    </row>
    <row r="3189" spans="1:21" x14ac:dyDescent="0.25">
      <c r="A3189" t="s">
        <v>21</v>
      </c>
      <c r="B3189" t="s">
        <v>22</v>
      </c>
      <c r="C3189">
        <v>100</v>
      </c>
      <c r="D3189">
        <v>1</v>
      </c>
      <c r="E3189">
        <v>0</v>
      </c>
      <c r="F3189" t="s">
        <v>11973</v>
      </c>
      <c r="G3189">
        <v>106</v>
      </c>
      <c r="H3189">
        <v>6</v>
      </c>
      <c r="I3189" t="s">
        <v>445</v>
      </c>
      <c r="J3189" t="s">
        <v>11974</v>
      </c>
      <c r="K3189" t="s">
        <v>73</v>
      </c>
      <c r="L3189" t="s">
        <v>27</v>
      </c>
      <c r="M3189" t="s">
        <v>28</v>
      </c>
      <c r="N3189" t="s">
        <v>11972</v>
      </c>
      <c r="O3189" t="s">
        <v>27</v>
      </c>
      <c r="P3189" t="s">
        <v>39</v>
      </c>
      <c r="Q3189" t="s">
        <v>31</v>
      </c>
      <c r="R3189" t="s">
        <v>32</v>
      </c>
      <c r="S3189" t="s">
        <v>28</v>
      </c>
      <c r="T3189" t="s">
        <v>11975</v>
      </c>
      <c r="U3189" t="s">
        <v>11972</v>
      </c>
    </row>
    <row r="3190" spans="1:21" x14ac:dyDescent="0.25">
      <c r="A3190" t="s">
        <v>58</v>
      </c>
      <c r="B3190" t="s">
        <v>58</v>
      </c>
      <c r="C3190">
        <v>100</v>
      </c>
      <c r="D3190">
        <v>2</v>
      </c>
      <c r="E3190">
        <v>0</v>
      </c>
      <c r="F3190" t="s">
        <v>11976</v>
      </c>
      <c r="G3190">
        <v>235</v>
      </c>
      <c r="H3190">
        <v>35</v>
      </c>
      <c r="I3190" t="s">
        <v>445</v>
      </c>
      <c r="J3190" t="s">
        <v>11977</v>
      </c>
      <c r="K3190" t="s">
        <v>11978</v>
      </c>
      <c r="L3190" t="s">
        <v>2530</v>
      </c>
      <c r="M3190" t="s">
        <v>7874</v>
      </c>
      <c r="N3190" t="s">
        <v>11876</v>
      </c>
      <c r="O3190" t="s">
        <v>27</v>
      </c>
      <c r="P3190" t="s">
        <v>84</v>
      </c>
      <c r="Q3190" t="s">
        <v>85</v>
      </c>
      <c r="R3190" t="s">
        <v>86</v>
      </c>
      <c r="S3190" t="s">
        <v>28</v>
      </c>
      <c r="T3190" t="s">
        <v>11979</v>
      </c>
      <c r="U3190" t="s">
        <v>11980</v>
      </c>
    </row>
    <row r="3191" spans="1:21" x14ac:dyDescent="0.25">
      <c r="A3191" t="s">
        <v>21</v>
      </c>
      <c r="B3191" t="s">
        <v>22</v>
      </c>
      <c r="C3191">
        <v>100</v>
      </c>
      <c r="D3191">
        <v>1</v>
      </c>
      <c r="E3191">
        <v>0</v>
      </c>
      <c r="F3191" t="s">
        <v>11981</v>
      </c>
      <c r="G3191">
        <v>100</v>
      </c>
      <c r="H3191">
        <v>0</v>
      </c>
      <c r="I3191" t="s">
        <v>24</v>
      </c>
      <c r="J3191" t="s">
        <v>11982</v>
      </c>
      <c r="K3191" t="s">
        <v>758</v>
      </c>
      <c r="L3191" t="s">
        <v>27</v>
      </c>
      <c r="M3191" t="s">
        <v>28</v>
      </c>
      <c r="N3191" t="s">
        <v>11983</v>
      </c>
      <c r="O3191" t="s">
        <v>27</v>
      </c>
      <c r="P3191" t="s">
        <v>56</v>
      </c>
      <c r="Q3191" t="s">
        <v>31</v>
      </c>
      <c r="R3191" t="s">
        <v>57</v>
      </c>
      <c r="S3191" t="s">
        <v>28</v>
      </c>
      <c r="T3191" t="s">
        <v>11984</v>
      </c>
      <c r="U3191" t="s">
        <v>11983</v>
      </c>
    </row>
    <row r="3192" spans="1:21" x14ac:dyDescent="0.25">
      <c r="A3192" t="s">
        <v>21</v>
      </c>
      <c r="B3192" t="s">
        <v>22</v>
      </c>
      <c r="C3192">
        <v>100</v>
      </c>
      <c r="D3192">
        <v>1</v>
      </c>
      <c r="E3192">
        <v>0</v>
      </c>
      <c r="F3192" t="s">
        <v>11985</v>
      </c>
      <c r="G3192">
        <v>106</v>
      </c>
      <c r="H3192">
        <v>6</v>
      </c>
      <c r="I3192" t="s">
        <v>445</v>
      </c>
      <c r="J3192" t="s">
        <v>11986</v>
      </c>
      <c r="K3192" t="s">
        <v>89</v>
      </c>
      <c r="L3192" t="s">
        <v>27</v>
      </c>
      <c r="M3192" t="s">
        <v>28</v>
      </c>
      <c r="N3192" t="s">
        <v>11987</v>
      </c>
      <c r="O3192" t="s">
        <v>27</v>
      </c>
      <c r="P3192" t="s">
        <v>39</v>
      </c>
      <c r="Q3192" t="s">
        <v>31</v>
      </c>
      <c r="R3192" t="s">
        <v>32</v>
      </c>
      <c r="S3192" t="s">
        <v>28</v>
      </c>
      <c r="T3192" t="s">
        <v>11988</v>
      </c>
      <c r="U3192" t="s">
        <v>11989</v>
      </c>
    </row>
    <row r="3193" spans="1:21" x14ac:dyDescent="0.25">
      <c r="A3193" t="s">
        <v>33</v>
      </c>
      <c r="B3193" t="s">
        <v>34</v>
      </c>
      <c r="C3193">
        <v>200</v>
      </c>
      <c r="D3193">
        <v>1</v>
      </c>
      <c r="E3193">
        <v>0</v>
      </c>
      <c r="F3193" t="s">
        <v>11990</v>
      </c>
      <c r="G3193">
        <v>200</v>
      </c>
      <c r="H3193">
        <v>0</v>
      </c>
      <c r="I3193" t="s">
        <v>445</v>
      </c>
      <c r="J3193" t="s">
        <v>11991</v>
      </c>
      <c r="K3193" t="s">
        <v>342</v>
      </c>
      <c r="L3193" t="s">
        <v>27</v>
      </c>
      <c r="M3193" t="s">
        <v>28</v>
      </c>
      <c r="N3193" t="s">
        <v>11992</v>
      </c>
      <c r="O3193" t="s">
        <v>27</v>
      </c>
      <c r="P3193" t="s">
        <v>39</v>
      </c>
      <c r="Q3193" t="s">
        <v>31</v>
      </c>
      <c r="R3193" t="s">
        <v>32</v>
      </c>
      <c r="S3193" t="s">
        <v>28</v>
      </c>
      <c r="T3193" t="s">
        <v>11993</v>
      </c>
      <c r="U3193" t="s">
        <v>11992</v>
      </c>
    </row>
    <row r="3194" spans="1:21" x14ac:dyDescent="0.25">
      <c r="A3194" t="s">
        <v>21</v>
      </c>
      <c r="B3194" t="s">
        <v>22</v>
      </c>
      <c r="C3194">
        <v>100</v>
      </c>
      <c r="D3194">
        <v>2</v>
      </c>
      <c r="E3194">
        <v>0</v>
      </c>
      <c r="F3194" t="s">
        <v>11994</v>
      </c>
      <c r="G3194">
        <v>200</v>
      </c>
      <c r="H3194">
        <v>0</v>
      </c>
      <c r="I3194" t="s">
        <v>24</v>
      </c>
      <c r="J3194" t="s">
        <v>11995</v>
      </c>
      <c r="K3194" t="s">
        <v>1772</v>
      </c>
      <c r="L3194" t="s">
        <v>27</v>
      </c>
      <c r="M3194" t="s">
        <v>28</v>
      </c>
      <c r="N3194" t="s">
        <v>11996</v>
      </c>
      <c r="O3194" t="s">
        <v>27</v>
      </c>
      <c r="P3194" t="s">
        <v>39</v>
      </c>
      <c r="Q3194" t="s">
        <v>31</v>
      </c>
      <c r="R3194" t="s">
        <v>32</v>
      </c>
      <c r="S3194" t="s">
        <v>28</v>
      </c>
      <c r="T3194" t="s">
        <v>11997</v>
      </c>
      <c r="U3194" t="s">
        <v>11996</v>
      </c>
    </row>
    <row r="3195" spans="1:21" x14ac:dyDescent="0.25">
      <c r="A3195" t="s">
        <v>21</v>
      </c>
      <c r="B3195" t="s">
        <v>22</v>
      </c>
      <c r="C3195">
        <v>100</v>
      </c>
      <c r="D3195">
        <v>1</v>
      </c>
      <c r="E3195">
        <v>0</v>
      </c>
      <c r="F3195" t="s">
        <v>11998</v>
      </c>
      <c r="G3195">
        <v>106</v>
      </c>
      <c r="H3195">
        <v>6</v>
      </c>
      <c r="I3195" t="s">
        <v>445</v>
      </c>
      <c r="J3195" t="s">
        <v>11999</v>
      </c>
      <c r="K3195" t="s">
        <v>3150</v>
      </c>
      <c r="L3195" t="s">
        <v>27</v>
      </c>
      <c r="M3195" t="s">
        <v>28</v>
      </c>
      <c r="N3195" t="s">
        <v>12000</v>
      </c>
      <c r="O3195" t="s">
        <v>27</v>
      </c>
      <c r="P3195" t="s">
        <v>39</v>
      </c>
      <c r="Q3195" t="s">
        <v>31</v>
      </c>
      <c r="R3195" t="s">
        <v>32</v>
      </c>
      <c r="S3195" t="s">
        <v>28</v>
      </c>
      <c r="T3195" t="s">
        <v>12001</v>
      </c>
      <c r="U3195" t="s">
        <v>12000</v>
      </c>
    </row>
    <row r="3196" spans="1:21" x14ac:dyDescent="0.25">
      <c r="A3196" t="s">
        <v>21</v>
      </c>
      <c r="B3196" t="s">
        <v>22</v>
      </c>
      <c r="C3196">
        <v>100</v>
      </c>
      <c r="D3196">
        <v>1</v>
      </c>
      <c r="E3196">
        <v>0</v>
      </c>
      <c r="F3196" t="s">
        <v>12002</v>
      </c>
      <c r="G3196">
        <v>106</v>
      </c>
      <c r="H3196">
        <v>6</v>
      </c>
      <c r="I3196" t="s">
        <v>24</v>
      </c>
      <c r="J3196" t="s">
        <v>12003</v>
      </c>
      <c r="K3196" t="s">
        <v>237</v>
      </c>
      <c r="L3196" t="s">
        <v>27</v>
      </c>
      <c r="M3196" t="s">
        <v>28</v>
      </c>
      <c r="N3196" t="s">
        <v>12004</v>
      </c>
      <c r="O3196" t="s">
        <v>27</v>
      </c>
      <c r="P3196" t="s">
        <v>56</v>
      </c>
      <c r="Q3196" t="s">
        <v>31</v>
      </c>
      <c r="R3196" t="s">
        <v>57</v>
      </c>
      <c r="S3196" t="s">
        <v>28</v>
      </c>
      <c r="T3196" t="s">
        <v>12005</v>
      </c>
      <c r="U3196" t="s">
        <v>12004</v>
      </c>
    </row>
    <row r="3197" spans="1:21" x14ac:dyDescent="0.25">
      <c r="A3197" t="s">
        <v>21</v>
      </c>
      <c r="B3197" t="s">
        <v>22</v>
      </c>
      <c r="C3197">
        <v>100</v>
      </c>
      <c r="D3197">
        <v>1</v>
      </c>
      <c r="E3197">
        <v>0</v>
      </c>
      <c r="F3197" t="s">
        <v>12006</v>
      </c>
      <c r="G3197">
        <v>145</v>
      </c>
      <c r="H3197">
        <v>45</v>
      </c>
      <c r="I3197" t="s">
        <v>24</v>
      </c>
      <c r="J3197" t="s">
        <v>12007</v>
      </c>
      <c r="K3197" t="s">
        <v>250</v>
      </c>
      <c r="L3197" t="s">
        <v>27</v>
      </c>
      <c r="M3197" t="s">
        <v>28</v>
      </c>
      <c r="N3197" t="s">
        <v>12008</v>
      </c>
      <c r="O3197" t="s">
        <v>27</v>
      </c>
      <c r="P3197" t="s">
        <v>39</v>
      </c>
      <c r="Q3197" t="s">
        <v>31</v>
      </c>
      <c r="R3197" t="s">
        <v>32</v>
      </c>
      <c r="S3197" t="s">
        <v>28</v>
      </c>
      <c r="T3197" t="s">
        <v>12009</v>
      </c>
      <c r="U3197" t="s">
        <v>12008</v>
      </c>
    </row>
    <row r="3198" spans="1:21" x14ac:dyDescent="0.25">
      <c r="A3198" t="s">
        <v>456</v>
      </c>
      <c r="B3198" t="s">
        <v>718</v>
      </c>
      <c r="C3198">
        <v>220</v>
      </c>
      <c r="D3198">
        <v>1</v>
      </c>
      <c r="E3198">
        <v>0</v>
      </c>
      <c r="F3198" t="s">
        <v>12010</v>
      </c>
      <c r="G3198">
        <v>220</v>
      </c>
      <c r="H3198">
        <v>0</v>
      </c>
      <c r="I3198" t="s">
        <v>720</v>
      </c>
      <c r="J3198" t="s">
        <v>1905</v>
      </c>
      <c r="K3198" t="s">
        <v>1906</v>
      </c>
      <c r="L3198" t="s">
        <v>1907</v>
      </c>
      <c r="M3198" t="s">
        <v>1908</v>
      </c>
      <c r="N3198" t="s">
        <v>12011</v>
      </c>
      <c r="O3198" t="s">
        <v>27</v>
      </c>
      <c r="P3198" t="s">
        <v>48</v>
      </c>
      <c r="Q3198" t="s">
        <v>49</v>
      </c>
      <c r="R3198" t="s">
        <v>50</v>
      </c>
      <c r="S3198" t="s">
        <v>28</v>
      </c>
      <c r="T3198" t="s">
        <v>12012</v>
      </c>
      <c r="U3198" t="s">
        <v>12011</v>
      </c>
    </row>
    <row r="3199" spans="1:21" x14ac:dyDescent="0.25">
      <c r="A3199" t="s">
        <v>21</v>
      </c>
      <c r="B3199" t="s">
        <v>22</v>
      </c>
      <c r="C3199">
        <v>100</v>
      </c>
      <c r="D3199">
        <v>1</v>
      </c>
      <c r="E3199">
        <v>0</v>
      </c>
      <c r="F3199" t="s">
        <v>12013</v>
      </c>
      <c r="G3199">
        <v>106</v>
      </c>
      <c r="H3199">
        <v>6</v>
      </c>
      <c r="I3199" t="s">
        <v>24</v>
      </c>
      <c r="J3199" t="s">
        <v>5096</v>
      </c>
      <c r="K3199" t="s">
        <v>113</v>
      </c>
      <c r="L3199" t="s">
        <v>27</v>
      </c>
      <c r="M3199" t="s">
        <v>28</v>
      </c>
      <c r="N3199" t="s">
        <v>12014</v>
      </c>
      <c r="O3199" t="s">
        <v>27</v>
      </c>
      <c r="P3199" t="s">
        <v>39</v>
      </c>
      <c r="Q3199" t="s">
        <v>31</v>
      </c>
      <c r="R3199" t="s">
        <v>32</v>
      </c>
      <c r="S3199" t="s">
        <v>28</v>
      </c>
      <c r="T3199" t="s">
        <v>12015</v>
      </c>
      <c r="U3199" t="s">
        <v>12014</v>
      </c>
    </row>
    <row r="3200" spans="1:21" x14ac:dyDescent="0.25">
      <c r="A3200" t="s">
        <v>58</v>
      </c>
      <c r="B3200" t="s">
        <v>58</v>
      </c>
      <c r="C3200">
        <v>100</v>
      </c>
      <c r="D3200">
        <v>1</v>
      </c>
      <c r="E3200">
        <v>0</v>
      </c>
      <c r="F3200" t="s">
        <v>12016</v>
      </c>
      <c r="G3200">
        <v>103</v>
      </c>
      <c r="H3200">
        <v>3</v>
      </c>
      <c r="I3200" t="s">
        <v>445</v>
      </c>
      <c r="J3200" t="s">
        <v>866</v>
      </c>
      <c r="K3200" t="s">
        <v>12017</v>
      </c>
      <c r="L3200" t="s">
        <v>6626</v>
      </c>
      <c r="M3200" t="s">
        <v>10015</v>
      </c>
      <c r="N3200" t="s">
        <v>12018</v>
      </c>
      <c r="O3200" t="s">
        <v>27</v>
      </c>
      <c r="P3200" t="s">
        <v>84</v>
      </c>
      <c r="Q3200" t="s">
        <v>85</v>
      </c>
      <c r="R3200" t="s">
        <v>86</v>
      </c>
      <c r="S3200" t="s">
        <v>28</v>
      </c>
      <c r="T3200" t="s">
        <v>12019</v>
      </c>
      <c r="U3200" t="s">
        <v>12014</v>
      </c>
    </row>
    <row r="3201" spans="1:21" x14ac:dyDescent="0.25">
      <c r="A3201" t="s">
        <v>456</v>
      </c>
      <c r="B3201" t="s">
        <v>457</v>
      </c>
      <c r="C3201">
        <v>199</v>
      </c>
      <c r="D3201">
        <v>1</v>
      </c>
      <c r="E3201">
        <v>0</v>
      </c>
      <c r="F3201" t="s">
        <v>12020</v>
      </c>
      <c r="G3201">
        <v>244</v>
      </c>
      <c r="H3201">
        <v>45</v>
      </c>
      <c r="I3201" t="s">
        <v>24</v>
      </c>
      <c r="J3201" t="s">
        <v>6696</v>
      </c>
      <c r="K3201" t="s">
        <v>12021</v>
      </c>
      <c r="L3201" t="s">
        <v>6068</v>
      </c>
      <c r="M3201" t="s">
        <v>9367</v>
      </c>
      <c r="N3201" t="s">
        <v>12022</v>
      </c>
      <c r="O3201" t="s">
        <v>27</v>
      </c>
      <c r="P3201" t="s">
        <v>84</v>
      </c>
      <c r="Q3201" t="s">
        <v>85</v>
      </c>
      <c r="R3201" t="s">
        <v>86</v>
      </c>
      <c r="S3201" t="s">
        <v>28</v>
      </c>
      <c r="T3201" t="s">
        <v>12023</v>
      </c>
      <c r="U3201" t="s">
        <v>12022</v>
      </c>
    </row>
    <row r="3202" spans="1:21" x14ac:dyDescent="0.25">
      <c r="A3202" t="s">
        <v>21</v>
      </c>
      <c r="B3202" t="s">
        <v>22</v>
      </c>
      <c r="C3202">
        <v>100</v>
      </c>
      <c r="D3202">
        <v>1</v>
      </c>
      <c r="E3202">
        <v>0</v>
      </c>
      <c r="F3202" t="s">
        <v>12024</v>
      </c>
      <c r="G3202">
        <v>106</v>
      </c>
      <c r="H3202">
        <v>6</v>
      </c>
      <c r="I3202" t="s">
        <v>24</v>
      </c>
      <c r="J3202" t="s">
        <v>12025</v>
      </c>
      <c r="K3202" t="s">
        <v>250</v>
      </c>
      <c r="L3202" t="s">
        <v>27</v>
      </c>
      <c r="M3202" t="s">
        <v>28</v>
      </c>
      <c r="N3202" t="s">
        <v>12026</v>
      </c>
      <c r="O3202" t="s">
        <v>27</v>
      </c>
      <c r="P3202" t="s">
        <v>39</v>
      </c>
      <c r="Q3202" t="s">
        <v>31</v>
      </c>
      <c r="R3202" t="s">
        <v>32</v>
      </c>
      <c r="S3202" t="s">
        <v>28</v>
      </c>
      <c r="T3202" t="s">
        <v>12027</v>
      </c>
      <c r="U3202" t="s">
        <v>12026</v>
      </c>
    </row>
    <row r="3203" spans="1:21" x14ac:dyDescent="0.25">
      <c r="A3203" t="s">
        <v>134</v>
      </c>
      <c r="B3203" t="s">
        <v>64</v>
      </c>
      <c r="C3203">
        <v>100</v>
      </c>
      <c r="D3203">
        <v>3</v>
      </c>
      <c r="E3203">
        <v>0</v>
      </c>
      <c r="F3203" t="s">
        <v>12028</v>
      </c>
      <c r="G3203">
        <v>300</v>
      </c>
      <c r="H3203">
        <v>0</v>
      </c>
      <c r="I3203" t="s">
        <v>24</v>
      </c>
      <c r="J3203" t="s">
        <v>12029</v>
      </c>
      <c r="K3203" t="s">
        <v>37</v>
      </c>
      <c r="L3203" t="s">
        <v>27</v>
      </c>
      <c r="M3203" t="s">
        <v>28</v>
      </c>
      <c r="N3203" t="s">
        <v>12030</v>
      </c>
      <c r="O3203" t="s">
        <v>27</v>
      </c>
      <c r="P3203" t="s">
        <v>39</v>
      </c>
      <c r="Q3203" t="s">
        <v>31</v>
      </c>
      <c r="R3203" t="s">
        <v>32</v>
      </c>
      <c r="S3203" t="s">
        <v>28</v>
      </c>
      <c r="T3203" t="s">
        <v>12031</v>
      </c>
      <c r="U3203" t="s">
        <v>12030</v>
      </c>
    </row>
    <row r="3204" spans="1:21" x14ac:dyDescent="0.25">
      <c r="A3204" t="s">
        <v>33</v>
      </c>
      <c r="B3204" t="s">
        <v>34</v>
      </c>
      <c r="C3204">
        <v>200</v>
      </c>
      <c r="D3204">
        <v>1</v>
      </c>
      <c r="E3204">
        <v>0</v>
      </c>
      <c r="F3204" t="s">
        <v>12032</v>
      </c>
      <c r="G3204">
        <v>200</v>
      </c>
      <c r="H3204">
        <v>0</v>
      </c>
      <c r="I3204" t="s">
        <v>24</v>
      </c>
      <c r="J3204" t="s">
        <v>12033</v>
      </c>
      <c r="K3204" t="s">
        <v>250</v>
      </c>
      <c r="L3204" t="s">
        <v>27</v>
      </c>
      <c r="M3204" t="s">
        <v>28</v>
      </c>
      <c r="N3204" t="s">
        <v>12034</v>
      </c>
      <c r="O3204" t="s">
        <v>27</v>
      </c>
      <c r="P3204" t="s">
        <v>39</v>
      </c>
      <c r="Q3204" t="s">
        <v>31</v>
      </c>
      <c r="R3204" t="s">
        <v>32</v>
      </c>
      <c r="S3204" t="s">
        <v>28</v>
      </c>
      <c r="T3204" t="s">
        <v>12035</v>
      </c>
      <c r="U3204" t="s">
        <v>12034</v>
      </c>
    </row>
    <row r="3205" spans="1:21" x14ac:dyDescent="0.25">
      <c r="A3205" t="s">
        <v>134</v>
      </c>
      <c r="B3205" t="s">
        <v>64</v>
      </c>
      <c r="C3205">
        <v>100</v>
      </c>
      <c r="D3205">
        <v>2</v>
      </c>
      <c r="E3205">
        <v>0</v>
      </c>
      <c r="F3205" t="s">
        <v>12036</v>
      </c>
      <c r="G3205">
        <v>206</v>
      </c>
      <c r="H3205">
        <v>6</v>
      </c>
      <c r="I3205" t="s">
        <v>24</v>
      </c>
      <c r="J3205" t="s">
        <v>12037</v>
      </c>
      <c r="K3205" t="s">
        <v>438</v>
      </c>
      <c r="L3205" t="s">
        <v>27</v>
      </c>
      <c r="M3205" t="s">
        <v>28</v>
      </c>
      <c r="N3205" t="s">
        <v>12038</v>
      </c>
      <c r="O3205" t="s">
        <v>27</v>
      </c>
      <c r="P3205" t="s">
        <v>56</v>
      </c>
      <c r="Q3205" t="s">
        <v>31</v>
      </c>
      <c r="R3205" t="s">
        <v>57</v>
      </c>
      <c r="S3205" t="s">
        <v>28</v>
      </c>
      <c r="T3205" t="s">
        <v>12039</v>
      </c>
      <c r="U3205" t="s">
        <v>12038</v>
      </c>
    </row>
    <row r="3206" spans="1:21" x14ac:dyDescent="0.25">
      <c r="A3206" t="s">
        <v>134</v>
      </c>
      <c r="B3206" t="s">
        <v>64</v>
      </c>
      <c r="C3206">
        <v>100</v>
      </c>
      <c r="D3206">
        <v>1</v>
      </c>
      <c r="E3206">
        <v>0</v>
      </c>
      <c r="F3206" t="s">
        <v>12040</v>
      </c>
      <c r="G3206">
        <v>195</v>
      </c>
      <c r="H3206">
        <v>0</v>
      </c>
      <c r="I3206" t="s">
        <v>24</v>
      </c>
      <c r="J3206" t="s">
        <v>12041</v>
      </c>
      <c r="K3206" t="s">
        <v>3150</v>
      </c>
      <c r="L3206" t="s">
        <v>27</v>
      </c>
      <c r="M3206" t="s">
        <v>28</v>
      </c>
      <c r="N3206" t="s">
        <v>12038</v>
      </c>
      <c r="O3206" t="s">
        <v>27</v>
      </c>
      <c r="P3206" t="s">
        <v>39</v>
      </c>
      <c r="Q3206" t="s">
        <v>31</v>
      </c>
      <c r="R3206" t="s">
        <v>32</v>
      </c>
      <c r="S3206" t="s">
        <v>28</v>
      </c>
      <c r="T3206" t="s">
        <v>12042</v>
      </c>
      <c r="U3206" t="s">
        <v>12038</v>
      </c>
    </row>
    <row r="3207" spans="1:21" x14ac:dyDescent="0.25">
      <c r="A3207" t="s">
        <v>21</v>
      </c>
      <c r="B3207" t="s">
        <v>22</v>
      </c>
      <c r="C3207">
        <v>100</v>
      </c>
      <c r="D3207">
        <v>1</v>
      </c>
      <c r="E3207">
        <v>0</v>
      </c>
      <c r="F3207" t="s">
        <v>12043</v>
      </c>
      <c r="G3207">
        <v>100</v>
      </c>
      <c r="H3207">
        <v>0</v>
      </c>
      <c r="I3207" t="s">
        <v>24</v>
      </c>
      <c r="J3207" t="s">
        <v>12044</v>
      </c>
      <c r="K3207" t="s">
        <v>124</v>
      </c>
      <c r="L3207" t="s">
        <v>27</v>
      </c>
      <c r="M3207" t="s">
        <v>28</v>
      </c>
      <c r="N3207" t="s">
        <v>12045</v>
      </c>
      <c r="O3207" t="s">
        <v>27</v>
      </c>
      <c r="P3207" t="s">
        <v>39</v>
      </c>
      <c r="Q3207" t="s">
        <v>31</v>
      </c>
      <c r="R3207" t="s">
        <v>32</v>
      </c>
      <c r="S3207" t="s">
        <v>28</v>
      </c>
      <c r="T3207" t="s">
        <v>12046</v>
      </c>
      <c r="U3207" t="s">
        <v>12045</v>
      </c>
    </row>
    <row r="3208" spans="1:21" x14ac:dyDescent="0.25">
      <c r="A3208" t="s">
        <v>21</v>
      </c>
      <c r="B3208" t="s">
        <v>22</v>
      </c>
      <c r="C3208">
        <v>100</v>
      </c>
      <c r="D3208">
        <v>1</v>
      </c>
      <c r="E3208">
        <v>0</v>
      </c>
      <c r="F3208" t="s">
        <v>12047</v>
      </c>
      <c r="G3208">
        <v>106</v>
      </c>
      <c r="H3208">
        <v>6</v>
      </c>
      <c r="I3208" t="s">
        <v>445</v>
      </c>
      <c r="J3208" t="s">
        <v>12048</v>
      </c>
      <c r="K3208" t="s">
        <v>4596</v>
      </c>
      <c r="L3208" t="s">
        <v>27</v>
      </c>
      <c r="M3208" t="s">
        <v>28</v>
      </c>
      <c r="N3208" t="s">
        <v>12049</v>
      </c>
      <c r="O3208" t="s">
        <v>27</v>
      </c>
      <c r="P3208" t="s">
        <v>39</v>
      </c>
      <c r="Q3208" t="s">
        <v>31</v>
      </c>
      <c r="R3208" t="s">
        <v>32</v>
      </c>
      <c r="S3208" t="s">
        <v>28</v>
      </c>
      <c r="T3208" t="s">
        <v>12050</v>
      </c>
      <c r="U3208" t="s">
        <v>12049</v>
      </c>
    </row>
    <row r="3209" spans="1:21" x14ac:dyDescent="0.25">
      <c r="A3209" t="s">
        <v>21</v>
      </c>
      <c r="B3209" t="s">
        <v>22</v>
      </c>
      <c r="C3209">
        <v>100</v>
      </c>
      <c r="D3209">
        <v>1</v>
      </c>
      <c r="E3209">
        <v>0</v>
      </c>
      <c r="F3209" t="s">
        <v>12051</v>
      </c>
      <c r="G3209">
        <v>106</v>
      </c>
      <c r="H3209">
        <v>6</v>
      </c>
      <c r="I3209" t="s">
        <v>445</v>
      </c>
      <c r="J3209" t="s">
        <v>12052</v>
      </c>
      <c r="K3209" t="s">
        <v>579</v>
      </c>
      <c r="L3209" t="s">
        <v>27</v>
      </c>
      <c r="M3209" t="s">
        <v>28</v>
      </c>
      <c r="N3209" t="s">
        <v>12053</v>
      </c>
      <c r="O3209" t="s">
        <v>27</v>
      </c>
      <c r="P3209" t="s">
        <v>39</v>
      </c>
      <c r="Q3209" t="s">
        <v>31</v>
      </c>
      <c r="R3209" t="s">
        <v>32</v>
      </c>
      <c r="S3209" t="s">
        <v>28</v>
      </c>
      <c r="T3209" t="s">
        <v>12054</v>
      </c>
      <c r="U3209" t="s">
        <v>12053</v>
      </c>
    </row>
    <row r="3210" spans="1:21" x14ac:dyDescent="0.25">
      <c r="A3210" t="s">
        <v>33</v>
      </c>
      <c r="B3210" t="s">
        <v>34</v>
      </c>
      <c r="C3210">
        <v>200</v>
      </c>
      <c r="D3210">
        <v>1</v>
      </c>
      <c r="E3210">
        <v>0</v>
      </c>
      <c r="F3210" t="s">
        <v>12055</v>
      </c>
      <c r="G3210">
        <v>200</v>
      </c>
      <c r="H3210">
        <v>0</v>
      </c>
      <c r="I3210" t="s">
        <v>24</v>
      </c>
      <c r="J3210" t="s">
        <v>3162</v>
      </c>
      <c r="K3210" t="s">
        <v>118</v>
      </c>
      <c r="L3210" t="s">
        <v>27</v>
      </c>
      <c r="M3210" t="s">
        <v>28</v>
      </c>
      <c r="N3210" t="s">
        <v>12053</v>
      </c>
      <c r="O3210" t="s">
        <v>27</v>
      </c>
      <c r="P3210" t="s">
        <v>39</v>
      </c>
      <c r="Q3210" t="s">
        <v>31</v>
      </c>
      <c r="R3210" t="s">
        <v>32</v>
      </c>
      <c r="S3210" t="s">
        <v>28</v>
      </c>
      <c r="T3210" t="s">
        <v>12056</v>
      </c>
      <c r="U3210" t="s">
        <v>12053</v>
      </c>
    </row>
    <row r="3211" spans="1:21" x14ac:dyDescent="0.25">
      <c r="A3211" t="s">
        <v>21</v>
      </c>
      <c r="B3211" t="s">
        <v>22</v>
      </c>
      <c r="C3211">
        <v>100</v>
      </c>
      <c r="D3211">
        <v>2</v>
      </c>
      <c r="E3211">
        <v>0</v>
      </c>
      <c r="F3211" t="s">
        <v>12057</v>
      </c>
      <c r="G3211">
        <v>206</v>
      </c>
      <c r="H3211">
        <v>6</v>
      </c>
      <c r="I3211" t="s">
        <v>24</v>
      </c>
      <c r="J3211" t="s">
        <v>12058</v>
      </c>
      <c r="K3211" t="s">
        <v>273</v>
      </c>
      <c r="L3211" t="s">
        <v>27</v>
      </c>
      <c r="M3211" t="s">
        <v>28</v>
      </c>
      <c r="N3211" t="s">
        <v>12059</v>
      </c>
      <c r="O3211" t="s">
        <v>27</v>
      </c>
      <c r="P3211" t="s">
        <v>56</v>
      </c>
      <c r="Q3211" t="s">
        <v>31</v>
      </c>
      <c r="R3211" t="s">
        <v>57</v>
      </c>
      <c r="S3211" t="s">
        <v>28</v>
      </c>
      <c r="T3211" t="s">
        <v>12060</v>
      </c>
      <c r="U3211" t="s">
        <v>12059</v>
      </c>
    </row>
    <row r="3212" spans="1:21" x14ac:dyDescent="0.25">
      <c r="A3212" t="s">
        <v>58</v>
      </c>
      <c r="B3212" t="s">
        <v>58</v>
      </c>
      <c r="C3212">
        <v>100</v>
      </c>
      <c r="D3212">
        <v>1</v>
      </c>
      <c r="E3212">
        <v>0</v>
      </c>
      <c r="F3212" t="s">
        <v>12061</v>
      </c>
      <c r="G3212">
        <v>129</v>
      </c>
      <c r="H3212">
        <v>29</v>
      </c>
      <c r="I3212" t="s">
        <v>140</v>
      </c>
      <c r="J3212" t="s">
        <v>12062</v>
      </c>
      <c r="K3212" t="s">
        <v>2243</v>
      </c>
      <c r="L3212" t="s">
        <v>27</v>
      </c>
      <c r="M3212" t="s">
        <v>28</v>
      </c>
      <c r="N3212" t="s">
        <v>12063</v>
      </c>
      <c r="O3212" t="s">
        <v>27</v>
      </c>
      <c r="P3212" t="s">
        <v>30</v>
      </c>
      <c r="Q3212" t="s">
        <v>31</v>
      </c>
      <c r="R3212" t="s">
        <v>32</v>
      </c>
      <c r="S3212" t="s">
        <v>12064</v>
      </c>
      <c r="T3212" t="s">
        <v>12065</v>
      </c>
      <c r="U3212" t="s">
        <v>12063</v>
      </c>
    </row>
    <row r="3213" spans="1:21" x14ac:dyDescent="0.25">
      <c r="A3213" t="s">
        <v>21</v>
      </c>
      <c r="B3213" t="s">
        <v>22</v>
      </c>
      <c r="C3213">
        <v>100</v>
      </c>
      <c r="D3213">
        <v>2</v>
      </c>
      <c r="E3213">
        <v>0</v>
      </c>
      <c r="F3213" t="s">
        <v>12066</v>
      </c>
      <c r="G3213">
        <v>200</v>
      </c>
      <c r="H3213">
        <v>0</v>
      </c>
      <c r="I3213" t="s">
        <v>24</v>
      </c>
      <c r="J3213" t="s">
        <v>12067</v>
      </c>
      <c r="K3213" t="s">
        <v>54</v>
      </c>
      <c r="L3213" t="s">
        <v>27</v>
      </c>
      <c r="M3213" t="s">
        <v>28</v>
      </c>
      <c r="N3213" t="s">
        <v>12068</v>
      </c>
      <c r="O3213" t="s">
        <v>27</v>
      </c>
      <c r="P3213" t="s">
        <v>39</v>
      </c>
      <c r="Q3213" t="s">
        <v>31</v>
      </c>
      <c r="R3213" t="s">
        <v>32</v>
      </c>
      <c r="S3213" t="s">
        <v>28</v>
      </c>
      <c r="T3213" t="s">
        <v>12069</v>
      </c>
      <c r="U3213" t="s">
        <v>12068</v>
      </c>
    </row>
    <row r="3214" spans="1:21" x14ac:dyDescent="0.25">
      <c r="A3214" t="s">
        <v>143</v>
      </c>
      <c r="B3214" t="s">
        <v>144</v>
      </c>
      <c r="C3214">
        <v>200</v>
      </c>
      <c r="D3214">
        <v>3</v>
      </c>
      <c r="E3214">
        <v>0</v>
      </c>
      <c r="F3214" t="s">
        <v>12070</v>
      </c>
      <c r="G3214">
        <v>600</v>
      </c>
      <c r="H3214">
        <v>0</v>
      </c>
      <c r="I3214" t="s">
        <v>24</v>
      </c>
      <c r="J3214" t="s">
        <v>11855</v>
      </c>
      <c r="K3214" t="s">
        <v>241</v>
      </c>
      <c r="L3214" t="s">
        <v>27</v>
      </c>
      <c r="M3214" t="s">
        <v>28</v>
      </c>
      <c r="N3214" t="s">
        <v>12071</v>
      </c>
      <c r="O3214" t="s">
        <v>27</v>
      </c>
      <c r="P3214" t="s">
        <v>39</v>
      </c>
      <c r="Q3214" t="s">
        <v>31</v>
      </c>
      <c r="R3214" t="s">
        <v>32</v>
      </c>
      <c r="S3214" t="s">
        <v>28</v>
      </c>
      <c r="T3214" t="s">
        <v>12072</v>
      </c>
      <c r="U3214" t="s">
        <v>12073</v>
      </c>
    </row>
    <row r="3215" spans="1:21" x14ac:dyDescent="0.25">
      <c r="A3215" t="s">
        <v>21</v>
      </c>
      <c r="B3215" t="s">
        <v>22</v>
      </c>
      <c r="C3215">
        <v>100</v>
      </c>
      <c r="D3215">
        <v>2</v>
      </c>
      <c r="E3215">
        <v>0</v>
      </c>
      <c r="F3215" t="s">
        <v>12074</v>
      </c>
      <c r="G3215">
        <v>206</v>
      </c>
      <c r="H3215">
        <v>6</v>
      </c>
      <c r="I3215" t="s">
        <v>24</v>
      </c>
      <c r="J3215" t="s">
        <v>12075</v>
      </c>
      <c r="K3215" t="s">
        <v>1198</v>
      </c>
      <c r="L3215" t="s">
        <v>27</v>
      </c>
      <c r="M3215" t="s">
        <v>28</v>
      </c>
      <c r="N3215" t="s">
        <v>12076</v>
      </c>
      <c r="O3215" t="s">
        <v>27</v>
      </c>
      <c r="P3215" t="s">
        <v>56</v>
      </c>
      <c r="Q3215" t="s">
        <v>31</v>
      </c>
      <c r="R3215" t="s">
        <v>57</v>
      </c>
      <c r="S3215" t="s">
        <v>28</v>
      </c>
      <c r="T3215" t="s">
        <v>12077</v>
      </c>
      <c r="U3215" t="s">
        <v>12076</v>
      </c>
    </row>
    <row r="3216" spans="1:21" x14ac:dyDescent="0.25">
      <c r="A3216" t="s">
        <v>33</v>
      </c>
      <c r="B3216" t="s">
        <v>34</v>
      </c>
      <c r="C3216">
        <v>200</v>
      </c>
      <c r="D3216">
        <v>1</v>
      </c>
      <c r="E3216">
        <v>0</v>
      </c>
      <c r="F3216" t="s">
        <v>12078</v>
      </c>
      <c r="G3216">
        <v>200</v>
      </c>
      <c r="H3216">
        <v>0</v>
      </c>
      <c r="I3216" t="s">
        <v>445</v>
      </c>
      <c r="J3216" t="s">
        <v>12079</v>
      </c>
      <c r="K3216" t="s">
        <v>273</v>
      </c>
      <c r="L3216" t="s">
        <v>27</v>
      </c>
      <c r="M3216" t="s">
        <v>28</v>
      </c>
      <c r="N3216" t="s">
        <v>12080</v>
      </c>
      <c r="O3216" t="s">
        <v>27</v>
      </c>
      <c r="P3216" t="s">
        <v>39</v>
      </c>
      <c r="Q3216" t="s">
        <v>31</v>
      </c>
      <c r="R3216" t="s">
        <v>32</v>
      </c>
      <c r="S3216" t="s">
        <v>28</v>
      </c>
      <c r="T3216" t="s">
        <v>12081</v>
      </c>
      <c r="U3216" t="s">
        <v>12082</v>
      </c>
    </row>
    <row r="3217" spans="1:21" x14ac:dyDescent="0.25">
      <c r="A3217" t="s">
        <v>21</v>
      </c>
      <c r="B3217" t="s">
        <v>22</v>
      </c>
      <c r="C3217">
        <v>100</v>
      </c>
      <c r="D3217">
        <v>1</v>
      </c>
      <c r="E3217">
        <v>0</v>
      </c>
      <c r="F3217" t="s">
        <v>12083</v>
      </c>
      <c r="G3217">
        <v>100</v>
      </c>
      <c r="H3217">
        <v>0</v>
      </c>
      <c r="I3217" t="s">
        <v>24</v>
      </c>
      <c r="J3217" t="s">
        <v>12084</v>
      </c>
      <c r="K3217" t="s">
        <v>384</v>
      </c>
      <c r="L3217" t="s">
        <v>27</v>
      </c>
      <c r="M3217" t="s">
        <v>28</v>
      </c>
      <c r="N3217" t="s">
        <v>12085</v>
      </c>
      <c r="O3217" t="s">
        <v>27</v>
      </c>
      <c r="P3217" t="s">
        <v>39</v>
      </c>
      <c r="Q3217" t="s">
        <v>31</v>
      </c>
      <c r="R3217" t="s">
        <v>32</v>
      </c>
      <c r="S3217" t="s">
        <v>28</v>
      </c>
      <c r="T3217" t="s">
        <v>12086</v>
      </c>
      <c r="U3217" t="s">
        <v>12085</v>
      </c>
    </row>
    <row r="3218" spans="1:21" x14ac:dyDescent="0.25">
      <c r="A3218" t="s">
        <v>21</v>
      </c>
      <c r="B3218" t="s">
        <v>22</v>
      </c>
      <c r="C3218">
        <v>100</v>
      </c>
      <c r="D3218">
        <v>2</v>
      </c>
      <c r="E3218">
        <v>0</v>
      </c>
      <c r="F3218" t="s">
        <v>12087</v>
      </c>
      <c r="G3218">
        <v>200</v>
      </c>
      <c r="H3218">
        <v>0</v>
      </c>
      <c r="I3218" t="s">
        <v>445</v>
      </c>
      <c r="J3218" t="s">
        <v>12088</v>
      </c>
      <c r="K3218" t="s">
        <v>2191</v>
      </c>
      <c r="L3218" t="s">
        <v>27</v>
      </c>
      <c r="M3218" t="s">
        <v>28</v>
      </c>
      <c r="N3218" t="s">
        <v>12089</v>
      </c>
      <c r="O3218" t="s">
        <v>27</v>
      </c>
      <c r="P3218" t="s">
        <v>39</v>
      </c>
      <c r="Q3218" t="s">
        <v>31</v>
      </c>
      <c r="R3218" t="s">
        <v>32</v>
      </c>
      <c r="S3218" t="s">
        <v>28</v>
      </c>
      <c r="T3218" t="s">
        <v>12090</v>
      </c>
      <c r="U3218" t="s">
        <v>12085</v>
      </c>
    </row>
    <row r="3219" spans="1:21" x14ac:dyDescent="0.25">
      <c r="A3219" t="s">
        <v>33</v>
      </c>
      <c r="B3219" t="s">
        <v>34</v>
      </c>
      <c r="C3219">
        <v>200</v>
      </c>
      <c r="D3219">
        <v>1</v>
      </c>
      <c r="E3219">
        <v>0</v>
      </c>
      <c r="F3219" t="s">
        <v>12091</v>
      </c>
      <c r="G3219">
        <v>200</v>
      </c>
      <c r="H3219">
        <v>0</v>
      </c>
      <c r="I3219" t="s">
        <v>24</v>
      </c>
      <c r="J3219" t="s">
        <v>12092</v>
      </c>
      <c r="K3219" t="s">
        <v>118</v>
      </c>
      <c r="L3219" t="s">
        <v>27</v>
      </c>
      <c r="M3219" t="s">
        <v>28</v>
      </c>
      <c r="N3219" t="s">
        <v>12085</v>
      </c>
      <c r="O3219" t="s">
        <v>27</v>
      </c>
      <c r="P3219" t="s">
        <v>56</v>
      </c>
      <c r="Q3219" t="s">
        <v>31</v>
      </c>
      <c r="R3219" t="s">
        <v>57</v>
      </c>
      <c r="S3219" t="s">
        <v>28</v>
      </c>
      <c r="T3219" t="s">
        <v>12093</v>
      </c>
      <c r="U3219" t="s">
        <v>12094</v>
      </c>
    </row>
    <row r="3220" spans="1:21" x14ac:dyDescent="0.25">
      <c r="A3220" t="s">
        <v>21</v>
      </c>
      <c r="B3220" t="s">
        <v>22</v>
      </c>
      <c r="C3220">
        <v>100</v>
      </c>
      <c r="D3220">
        <v>3</v>
      </c>
      <c r="E3220">
        <v>0</v>
      </c>
      <c r="F3220" t="s">
        <v>12095</v>
      </c>
      <c r="G3220">
        <v>300</v>
      </c>
      <c r="H3220">
        <v>0</v>
      </c>
      <c r="I3220" t="s">
        <v>24</v>
      </c>
      <c r="J3220" t="s">
        <v>12096</v>
      </c>
      <c r="K3220" t="s">
        <v>67</v>
      </c>
      <c r="L3220" t="s">
        <v>27</v>
      </c>
      <c r="M3220" t="s">
        <v>28</v>
      </c>
      <c r="N3220" t="s">
        <v>12097</v>
      </c>
      <c r="O3220" t="s">
        <v>27</v>
      </c>
      <c r="P3220" t="s">
        <v>39</v>
      </c>
      <c r="Q3220" t="s">
        <v>31</v>
      </c>
      <c r="R3220" t="s">
        <v>32</v>
      </c>
      <c r="S3220" t="s">
        <v>28</v>
      </c>
      <c r="T3220" t="s">
        <v>12098</v>
      </c>
      <c r="U3220" t="s">
        <v>12097</v>
      </c>
    </row>
    <row r="3221" spans="1:21" x14ac:dyDescent="0.25">
      <c r="A3221" t="s">
        <v>21</v>
      </c>
      <c r="B3221" t="s">
        <v>22</v>
      </c>
      <c r="C3221">
        <v>100</v>
      </c>
      <c r="D3221">
        <v>1</v>
      </c>
      <c r="E3221">
        <v>0</v>
      </c>
      <c r="F3221" t="s">
        <v>12099</v>
      </c>
      <c r="G3221">
        <v>106</v>
      </c>
      <c r="H3221">
        <v>6</v>
      </c>
      <c r="I3221" t="s">
        <v>445</v>
      </c>
      <c r="J3221" t="s">
        <v>12100</v>
      </c>
      <c r="K3221" t="s">
        <v>54</v>
      </c>
      <c r="L3221" t="s">
        <v>27</v>
      </c>
      <c r="M3221" t="s">
        <v>28</v>
      </c>
      <c r="N3221" t="s">
        <v>12101</v>
      </c>
      <c r="O3221" t="s">
        <v>27</v>
      </c>
      <c r="P3221" t="s">
        <v>39</v>
      </c>
      <c r="Q3221" t="s">
        <v>31</v>
      </c>
      <c r="R3221" t="s">
        <v>32</v>
      </c>
      <c r="S3221" t="s">
        <v>28</v>
      </c>
      <c r="T3221" t="s">
        <v>12102</v>
      </c>
      <c r="U3221" t="s">
        <v>12101</v>
      </c>
    </row>
    <row r="3222" spans="1:21" x14ac:dyDescent="0.25">
      <c r="A3222" t="s">
        <v>21</v>
      </c>
      <c r="B3222" t="s">
        <v>22</v>
      </c>
      <c r="C3222">
        <v>100</v>
      </c>
      <c r="D3222">
        <v>2</v>
      </c>
      <c r="E3222">
        <v>0</v>
      </c>
      <c r="F3222" t="s">
        <v>12103</v>
      </c>
      <c r="G3222">
        <v>200</v>
      </c>
      <c r="H3222">
        <v>0</v>
      </c>
      <c r="I3222" t="s">
        <v>445</v>
      </c>
      <c r="J3222" t="s">
        <v>10576</v>
      </c>
      <c r="K3222" t="s">
        <v>1772</v>
      </c>
      <c r="L3222" t="s">
        <v>27</v>
      </c>
      <c r="M3222" t="s">
        <v>28</v>
      </c>
      <c r="N3222" t="s">
        <v>12104</v>
      </c>
      <c r="O3222" t="s">
        <v>27</v>
      </c>
      <c r="P3222" t="s">
        <v>39</v>
      </c>
      <c r="Q3222" t="s">
        <v>31</v>
      </c>
      <c r="R3222" t="s">
        <v>32</v>
      </c>
      <c r="S3222" t="s">
        <v>28</v>
      </c>
      <c r="T3222" t="s">
        <v>12105</v>
      </c>
      <c r="U3222" t="s">
        <v>12104</v>
      </c>
    </row>
    <row r="3223" spans="1:21" x14ac:dyDescent="0.25">
      <c r="A3223" t="s">
        <v>21</v>
      </c>
      <c r="B3223" t="s">
        <v>22</v>
      </c>
      <c r="C3223">
        <v>100</v>
      </c>
      <c r="D3223">
        <v>1</v>
      </c>
      <c r="E3223">
        <v>0</v>
      </c>
      <c r="F3223" t="s">
        <v>12106</v>
      </c>
      <c r="G3223">
        <v>150</v>
      </c>
      <c r="H3223">
        <v>0</v>
      </c>
      <c r="I3223" t="s">
        <v>445</v>
      </c>
      <c r="J3223" t="s">
        <v>12107</v>
      </c>
      <c r="K3223" t="s">
        <v>2243</v>
      </c>
      <c r="L3223" t="s">
        <v>27</v>
      </c>
      <c r="M3223" t="s">
        <v>28</v>
      </c>
      <c r="N3223" t="s">
        <v>12108</v>
      </c>
      <c r="O3223" t="s">
        <v>27</v>
      </c>
      <c r="P3223" t="s">
        <v>39</v>
      </c>
      <c r="Q3223" t="s">
        <v>31</v>
      </c>
      <c r="R3223" t="s">
        <v>32</v>
      </c>
      <c r="S3223" t="s">
        <v>28</v>
      </c>
      <c r="T3223" t="s">
        <v>12109</v>
      </c>
      <c r="U3223" t="s">
        <v>12108</v>
      </c>
    </row>
    <row r="3224" spans="1:21" x14ac:dyDescent="0.25">
      <c r="A3224" t="s">
        <v>33</v>
      </c>
      <c r="B3224" t="s">
        <v>34</v>
      </c>
      <c r="C3224">
        <v>200</v>
      </c>
      <c r="D3224">
        <v>1</v>
      </c>
      <c r="E3224">
        <v>0</v>
      </c>
      <c r="F3224" t="s">
        <v>12110</v>
      </c>
      <c r="G3224">
        <v>200</v>
      </c>
      <c r="H3224">
        <v>0</v>
      </c>
      <c r="I3224" t="s">
        <v>445</v>
      </c>
      <c r="J3224" t="s">
        <v>12111</v>
      </c>
      <c r="K3224" t="s">
        <v>250</v>
      </c>
      <c r="L3224" t="s">
        <v>27</v>
      </c>
      <c r="M3224" t="s">
        <v>28</v>
      </c>
      <c r="N3224" t="s">
        <v>12112</v>
      </c>
      <c r="O3224" t="s">
        <v>27</v>
      </c>
      <c r="P3224" t="s">
        <v>30</v>
      </c>
      <c r="Q3224" t="s">
        <v>31</v>
      </c>
      <c r="R3224" t="s">
        <v>32</v>
      </c>
      <c r="S3224" t="s">
        <v>28</v>
      </c>
      <c r="T3224" t="s">
        <v>12113</v>
      </c>
      <c r="U3224" t="s">
        <v>12112</v>
      </c>
    </row>
    <row r="3225" spans="1:21" x14ac:dyDescent="0.25">
      <c r="A3225" t="s">
        <v>70</v>
      </c>
      <c r="B3225" t="s">
        <v>70</v>
      </c>
      <c r="C3225">
        <v>350</v>
      </c>
      <c r="D3225">
        <v>1</v>
      </c>
      <c r="E3225">
        <v>0</v>
      </c>
      <c r="F3225" t="s">
        <v>12114</v>
      </c>
      <c r="G3225">
        <v>350</v>
      </c>
      <c r="H3225">
        <v>0</v>
      </c>
      <c r="I3225" t="s">
        <v>140</v>
      </c>
      <c r="J3225" t="s">
        <v>12115</v>
      </c>
      <c r="K3225" t="s">
        <v>1629</v>
      </c>
      <c r="L3225" t="s">
        <v>27</v>
      </c>
      <c r="M3225" t="s">
        <v>28</v>
      </c>
      <c r="N3225" t="s">
        <v>12116</v>
      </c>
      <c r="O3225" t="s">
        <v>27</v>
      </c>
      <c r="P3225" t="s">
        <v>30</v>
      </c>
      <c r="Q3225" t="s">
        <v>31</v>
      </c>
      <c r="R3225" t="s">
        <v>32</v>
      </c>
      <c r="S3225" t="s">
        <v>28</v>
      </c>
      <c r="T3225" t="s">
        <v>12117</v>
      </c>
      <c r="U3225" t="s">
        <v>12116</v>
      </c>
    </row>
    <row r="3226" spans="1:21" x14ac:dyDescent="0.25">
      <c r="A3226" t="s">
        <v>21</v>
      </c>
      <c r="B3226" t="s">
        <v>22</v>
      </c>
      <c r="C3226">
        <v>100</v>
      </c>
      <c r="D3226">
        <v>1</v>
      </c>
      <c r="E3226">
        <v>0</v>
      </c>
      <c r="F3226" t="s">
        <v>12118</v>
      </c>
      <c r="G3226">
        <v>106</v>
      </c>
      <c r="H3226">
        <v>6</v>
      </c>
      <c r="I3226" t="s">
        <v>24</v>
      </c>
      <c r="J3226" t="s">
        <v>12119</v>
      </c>
      <c r="K3226" t="s">
        <v>4146</v>
      </c>
      <c r="L3226" t="s">
        <v>27</v>
      </c>
      <c r="M3226" t="s">
        <v>28</v>
      </c>
      <c r="N3226" t="s">
        <v>12120</v>
      </c>
      <c r="O3226" t="s">
        <v>27</v>
      </c>
      <c r="P3226" t="s">
        <v>39</v>
      </c>
      <c r="Q3226" t="s">
        <v>31</v>
      </c>
      <c r="R3226" t="s">
        <v>32</v>
      </c>
      <c r="S3226" t="s">
        <v>28</v>
      </c>
      <c r="T3226" t="s">
        <v>12121</v>
      </c>
      <c r="U3226" t="s">
        <v>12120</v>
      </c>
    </row>
    <row r="3227" spans="1:21" x14ac:dyDescent="0.25">
      <c r="A3227" t="s">
        <v>21</v>
      </c>
      <c r="B3227" t="s">
        <v>22</v>
      </c>
      <c r="C3227">
        <v>100</v>
      </c>
      <c r="D3227">
        <v>1</v>
      </c>
      <c r="E3227">
        <v>0</v>
      </c>
      <c r="F3227" t="s">
        <v>12122</v>
      </c>
      <c r="G3227">
        <v>106</v>
      </c>
      <c r="H3227">
        <v>6</v>
      </c>
      <c r="I3227" t="s">
        <v>24</v>
      </c>
      <c r="J3227" t="s">
        <v>12123</v>
      </c>
      <c r="K3227" t="s">
        <v>5225</v>
      </c>
      <c r="L3227" t="s">
        <v>27</v>
      </c>
      <c r="M3227" t="s">
        <v>28</v>
      </c>
      <c r="N3227" t="s">
        <v>12124</v>
      </c>
      <c r="O3227" t="s">
        <v>27</v>
      </c>
      <c r="P3227" t="s">
        <v>39</v>
      </c>
      <c r="Q3227" t="s">
        <v>31</v>
      </c>
      <c r="R3227" t="s">
        <v>32</v>
      </c>
      <c r="S3227" t="s">
        <v>28</v>
      </c>
      <c r="T3227" t="s">
        <v>12125</v>
      </c>
      <c r="U3227" t="s">
        <v>12124</v>
      </c>
    </row>
    <row r="3228" spans="1:21" x14ac:dyDescent="0.25">
      <c r="A3228" t="s">
        <v>143</v>
      </c>
      <c r="B3228" t="s">
        <v>144</v>
      </c>
      <c r="C3228">
        <v>200</v>
      </c>
      <c r="D3228">
        <v>1</v>
      </c>
      <c r="E3228">
        <v>0</v>
      </c>
      <c r="F3228" t="s">
        <v>12126</v>
      </c>
      <c r="G3228">
        <v>200</v>
      </c>
      <c r="H3228">
        <v>0</v>
      </c>
      <c r="I3228" t="s">
        <v>140</v>
      </c>
      <c r="J3228" t="s">
        <v>12127</v>
      </c>
      <c r="K3228" t="s">
        <v>491</v>
      </c>
      <c r="L3228" t="s">
        <v>27</v>
      </c>
      <c r="M3228" t="s">
        <v>28</v>
      </c>
      <c r="N3228" t="s">
        <v>12128</v>
      </c>
      <c r="O3228" t="s">
        <v>27</v>
      </c>
      <c r="P3228" t="s">
        <v>369</v>
      </c>
      <c r="Q3228" t="s">
        <v>31</v>
      </c>
      <c r="R3228" t="s">
        <v>57</v>
      </c>
      <c r="S3228" t="s">
        <v>28</v>
      </c>
      <c r="T3228" t="s">
        <v>12129</v>
      </c>
      <c r="U3228" t="s">
        <v>12130</v>
      </c>
    </row>
    <row r="3229" spans="1:21" x14ac:dyDescent="0.25">
      <c r="A3229" t="s">
        <v>70</v>
      </c>
      <c r="B3229" t="s">
        <v>70</v>
      </c>
      <c r="C3229">
        <v>330</v>
      </c>
      <c r="D3229">
        <v>1</v>
      </c>
      <c r="E3229">
        <v>0</v>
      </c>
      <c r="F3229" t="s">
        <v>12131</v>
      </c>
      <c r="G3229">
        <v>330</v>
      </c>
      <c r="H3229">
        <v>0</v>
      </c>
      <c r="I3229" t="s">
        <v>445</v>
      </c>
      <c r="J3229" t="s">
        <v>12132</v>
      </c>
      <c r="K3229" t="s">
        <v>1602</v>
      </c>
      <c r="L3229" t="s">
        <v>27</v>
      </c>
      <c r="M3229" t="s">
        <v>28</v>
      </c>
      <c r="N3229" t="s">
        <v>12133</v>
      </c>
      <c r="O3229" t="s">
        <v>27</v>
      </c>
      <c r="P3229" t="s">
        <v>39</v>
      </c>
      <c r="Q3229" t="s">
        <v>31</v>
      </c>
      <c r="R3229" t="s">
        <v>32</v>
      </c>
      <c r="S3229" t="s">
        <v>28</v>
      </c>
      <c r="T3229" t="s">
        <v>12134</v>
      </c>
      <c r="U3229" t="s">
        <v>12133</v>
      </c>
    </row>
    <row r="3230" spans="1:21" x14ac:dyDescent="0.25">
      <c r="A3230" t="s">
        <v>21</v>
      </c>
      <c r="B3230" t="s">
        <v>22</v>
      </c>
      <c r="C3230">
        <v>100</v>
      </c>
      <c r="D3230">
        <v>1</v>
      </c>
      <c r="E3230">
        <v>0</v>
      </c>
      <c r="F3230" t="s">
        <v>12135</v>
      </c>
      <c r="G3230">
        <v>106</v>
      </c>
      <c r="H3230">
        <v>6</v>
      </c>
      <c r="I3230" t="s">
        <v>24</v>
      </c>
      <c r="J3230" t="s">
        <v>12136</v>
      </c>
      <c r="K3230" t="s">
        <v>54</v>
      </c>
      <c r="L3230" t="s">
        <v>27</v>
      </c>
      <c r="M3230" t="s">
        <v>28</v>
      </c>
      <c r="N3230" t="s">
        <v>12137</v>
      </c>
      <c r="O3230" t="s">
        <v>27</v>
      </c>
      <c r="P3230" t="s">
        <v>39</v>
      </c>
      <c r="Q3230" t="s">
        <v>31</v>
      </c>
      <c r="R3230" t="s">
        <v>32</v>
      </c>
      <c r="S3230" t="s">
        <v>28</v>
      </c>
      <c r="T3230" t="s">
        <v>12138</v>
      </c>
      <c r="U3230" t="s">
        <v>12137</v>
      </c>
    </row>
    <row r="3231" spans="1:21" x14ac:dyDescent="0.25">
      <c r="A3231" t="s">
        <v>21</v>
      </c>
      <c r="B3231" t="s">
        <v>22</v>
      </c>
      <c r="C3231">
        <v>100</v>
      </c>
      <c r="D3231">
        <v>1</v>
      </c>
      <c r="E3231">
        <v>0</v>
      </c>
      <c r="F3231" t="s">
        <v>12139</v>
      </c>
      <c r="G3231">
        <v>100</v>
      </c>
      <c r="H3231">
        <v>0</v>
      </c>
      <c r="I3231" t="s">
        <v>24</v>
      </c>
      <c r="J3231" t="s">
        <v>12140</v>
      </c>
      <c r="K3231" t="s">
        <v>299</v>
      </c>
      <c r="L3231" t="s">
        <v>27</v>
      </c>
      <c r="M3231" t="s">
        <v>28</v>
      </c>
      <c r="N3231" t="s">
        <v>12141</v>
      </c>
      <c r="O3231" t="s">
        <v>27</v>
      </c>
      <c r="P3231" t="s">
        <v>39</v>
      </c>
      <c r="Q3231" t="s">
        <v>31</v>
      </c>
      <c r="R3231" t="s">
        <v>32</v>
      </c>
      <c r="S3231" t="s">
        <v>28</v>
      </c>
      <c r="T3231" t="s">
        <v>12142</v>
      </c>
      <c r="U3231" t="s">
        <v>12141</v>
      </c>
    </row>
    <row r="3232" spans="1:21" x14ac:dyDescent="0.25">
      <c r="A3232" t="s">
        <v>21</v>
      </c>
      <c r="B3232" t="s">
        <v>22</v>
      </c>
      <c r="C3232">
        <v>100</v>
      </c>
      <c r="D3232">
        <v>1</v>
      </c>
      <c r="E3232">
        <v>0</v>
      </c>
      <c r="F3232" t="s">
        <v>12143</v>
      </c>
      <c r="G3232">
        <v>106</v>
      </c>
      <c r="H3232">
        <v>6</v>
      </c>
      <c r="I3232" t="s">
        <v>24</v>
      </c>
      <c r="J3232" t="s">
        <v>12144</v>
      </c>
      <c r="K3232" t="s">
        <v>677</v>
      </c>
      <c r="L3232" t="s">
        <v>27</v>
      </c>
      <c r="M3232" t="s">
        <v>28</v>
      </c>
      <c r="N3232" t="s">
        <v>12141</v>
      </c>
      <c r="O3232" t="s">
        <v>27</v>
      </c>
      <c r="P3232" t="s">
        <v>56</v>
      </c>
      <c r="Q3232" t="s">
        <v>31</v>
      </c>
      <c r="R3232" t="s">
        <v>57</v>
      </c>
      <c r="S3232" t="s">
        <v>28</v>
      </c>
      <c r="T3232" t="s">
        <v>12145</v>
      </c>
      <c r="U3232" t="s">
        <v>12141</v>
      </c>
    </row>
    <row r="3233" spans="1:21" x14ac:dyDescent="0.25">
      <c r="A3233" t="s">
        <v>58</v>
      </c>
      <c r="B3233" t="s">
        <v>103</v>
      </c>
      <c r="C3233">
        <v>100.4</v>
      </c>
      <c r="D3233">
        <v>1</v>
      </c>
      <c r="E3233">
        <v>0</v>
      </c>
      <c r="F3233" t="s">
        <v>12146</v>
      </c>
      <c r="G3233">
        <v>205.8</v>
      </c>
      <c r="H3233">
        <v>5</v>
      </c>
      <c r="I3233" t="s">
        <v>105</v>
      </c>
      <c r="J3233" t="s">
        <v>12147</v>
      </c>
      <c r="K3233" t="s">
        <v>12148</v>
      </c>
      <c r="L3233" t="s">
        <v>99</v>
      </c>
      <c r="M3233" t="s">
        <v>12149</v>
      </c>
      <c r="N3233" t="s">
        <v>12150</v>
      </c>
      <c r="O3233" t="s">
        <v>27</v>
      </c>
      <c r="P3233" t="s">
        <v>48</v>
      </c>
      <c r="Q3233" t="s">
        <v>49</v>
      </c>
      <c r="R3233" t="s">
        <v>50</v>
      </c>
      <c r="S3233" t="s">
        <v>28</v>
      </c>
      <c r="T3233" t="s">
        <v>12151</v>
      </c>
      <c r="U3233" t="s">
        <v>12150</v>
      </c>
    </row>
    <row r="3234" spans="1:21" x14ac:dyDescent="0.25">
      <c r="A3234" t="s">
        <v>58</v>
      </c>
      <c r="B3234" t="s">
        <v>103</v>
      </c>
      <c r="C3234">
        <v>100.4</v>
      </c>
      <c r="D3234">
        <v>1</v>
      </c>
      <c r="E3234">
        <v>0</v>
      </c>
      <c r="F3234" t="s">
        <v>12146</v>
      </c>
      <c r="G3234">
        <v>205.8</v>
      </c>
      <c r="H3234">
        <v>5</v>
      </c>
      <c r="I3234" t="s">
        <v>105</v>
      </c>
      <c r="J3234" t="s">
        <v>12147</v>
      </c>
      <c r="K3234" t="s">
        <v>12148</v>
      </c>
      <c r="L3234" t="s">
        <v>99</v>
      </c>
      <c r="M3234" t="s">
        <v>12149</v>
      </c>
      <c r="N3234" t="s">
        <v>12150</v>
      </c>
      <c r="O3234" t="s">
        <v>27</v>
      </c>
      <c r="P3234" t="s">
        <v>48</v>
      </c>
      <c r="Q3234" t="s">
        <v>49</v>
      </c>
      <c r="R3234" t="s">
        <v>50</v>
      </c>
      <c r="S3234" t="s">
        <v>28</v>
      </c>
      <c r="T3234" t="s">
        <v>12151</v>
      </c>
      <c r="U3234" t="s">
        <v>12150</v>
      </c>
    </row>
    <row r="3235" spans="1:21" x14ac:dyDescent="0.25">
      <c r="A3235" t="s">
        <v>195</v>
      </c>
      <c r="B3235" t="s">
        <v>4787</v>
      </c>
      <c r="C3235">
        <v>225</v>
      </c>
      <c r="D3235">
        <v>1</v>
      </c>
      <c r="E3235">
        <v>0</v>
      </c>
      <c r="F3235" t="s">
        <v>12152</v>
      </c>
      <c r="G3235">
        <v>230</v>
      </c>
      <c r="H3235">
        <v>5</v>
      </c>
      <c r="I3235" t="s">
        <v>105</v>
      </c>
      <c r="J3235" t="s">
        <v>5715</v>
      </c>
      <c r="K3235" t="s">
        <v>5716</v>
      </c>
      <c r="L3235" t="s">
        <v>2885</v>
      </c>
      <c r="M3235" t="s">
        <v>5717</v>
      </c>
      <c r="N3235" t="s">
        <v>12153</v>
      </c>
      <c r="O3235" t="s">
        <v>27</v>
      </c>
      <c r="P3235" t="s">
        <v>48</v>
      </c>
      <c r="Q3235" t="s">
        <v>49</v>
      </c>
      <c r="R3235" t="s">
        <v>50</v>
      </c>
      <c r="S3235" t="s">
        <v>28</v>
      </c>
      <c r="T3235" t="s">
        <v>12154</v>
      </c>
      <c r="U3235" t="s">
        <v>12153</v>
      </c>
    </row>
    <row r="3236" spans="1:21" x14ac:dyDescent="0.25">
      <c r="A3236" t="s">
        <v>21</v>
      </c>
      <c r="B3236" t="s">
        <v>22</v>
      </c>
      <c r="C3236">
        <v>100</v>
      </c>
      <c r="D3236">
        <v>1</v>
      </c>
      <c r="E3236">
        <v>0</v>
      </c>
      <c r="F3236" t="s">
        <v>12155</v>
      </c>
      <c r="G3236">
        <v>106</v>
      </c>
      <c r="H3236">
        <v>6</v>
      </c>
      <c r="I3236" t="s">
        <v>445</v>
      </c>
      <c r="J3236" t="s">
        <v>12156</v>
      </c>
      <c r="K3236" t="s">
        <v>346</v>
      </c>
      <c r="L3236" t="s">
        <v>27</v>
      </c>
      <c r="M3236" t="s">
        <v>28</v>
      </c>
      <c r="N3236" t="s">
        <v>12157</v>
      </c>
      <c r="O3236" t="s">
        <v>27</v>
      </c>
      <c r="P3236" t="s">
        <v>39</v>
      </c>
      <c r="Q3236" t="s">
        <v>31</v>
      </c>
      <c r="R3236" t="s">
        <v>32</v>
      </c>
      <c r="S3236" t="s">
        <v>28</v>
      </c>
      <c r="T3236" t="s">
        <v>12158</v>
      </c>
      <c r="U3236" t="s">
        <v>12153</v>
      </c>
    </row>
    <row r="3237" spans="1:21" x14ac:dyDescent="0.25">
      <c r="A3237" t="s">
        <v>58</v>
      </c>
      <c r="B3237" t="s">
        <v>58</v>
      </c>
      <c r="C3237">
        <v>100</v>
      </c>
      <c r="D3237">
        <v>1</v>
      </c>
      <c r="E3237">
        <v>0</v>
      </c>
      <c r="F3237" t="s">
        <v>12159</v>
      </c>
      <c r="G3237">
        <v>103</v>
      </c>
      <c r="H3237">
        <v>3</v>
      </c>
      <c r="I3237" t="s">
        <v>445</v>
      </c>
      <c r="J3237" t="s">
        <v>12160</v>
      </c>
      <c r="K3237" t="s">
        <v>12161</v>
      </c>
      <c r="L3237" t="s">
        <v>9387</v>
      </c>
      <c r="M3237" t="s">
        <v>7874</v>
      </c>
      <c r="N3237" t="s">
        <v>12162</v>
      </c>
      <c r="O3237" t="s">
        <v>27</v>
      </c>
      <c r="P3237" t="s">
        <v>84</v>
      </c>
      <c r="Q3237" t="s">
        <v>85</v>
      </c>
      <c r="R3237" t="s">
        <v>86</v>
      </c>
      <c r="S3237" t="s">
        <v>28</v>
      </c>
      <c r="T3237" t="s">
        <v>12163</v>
      </c>
      <c r="U3237" t="s">
        <v>12157</v>
      </c>
    </row>
    <row r="3238" spans="1:21" x14ac:dyDescent="0.25">
      <c r="A3238" t="s">
        <v>21</v>
      </c>
      <c r="B3238" t="s">
        <v>22</v>
      </c>
      <c r="C3238">
        <v>100</v>
      </c>
      <c r="D3238">
        <v>1</v>
      </c>
      <c r="E3238">
        <v>0</v>
      </c>
      <c r="F3238" t="s">
        <v>12164</v>
      </c>
      <c r="G3238">
        <v>106</v>
      </c>
      <c r="H3238">
        <v>6</v>
      </c>
      <c r="I3238" t="s">
        <v>140</v>
      </c>
      <c r="J3238" t="s">
        <v>12165</v>
      </c>
      <c r="K3238" t="s">
        <v>1616</v>
      </c>
      <c r="L3238" t="s">
        <v>27</v>
      </c>
      <c r="M3238" t="s">
        <v>28</v>
      </c>
      <c r="N3238" t="s">
        <v>12166</v>
      </c>
      <c r="O3238" t="s">
        <v>27</v>
      </c>
      <c r="P3238" t="s">
        <v>30</v>
      </c>
      <c r="Q3238" t="s">
        <v>31</v>
      </c>
      <c r="R3238" t="s">
        <v>32</v>
      </c>
      <c r="S3238" t="s">
        <v>28</v>
      </c>
      <c r="T3238" t="s">
        <v>12167</v>
      </c>
      <c r="U3238" t="s">
        <v>12168</v>
      </c>
    </row>
    <row r="3239" spans="1:21" x14ac:dyDescent="0.25">
      <c r="A3239" t="s">
        <v>21</v>
      </c>
      <c r="B3239" t="s">
        <v>22</v>
      </c>
      <c r="C3239">
        <v>100</v>
      </c>
      <c r="D3239">
        <v>1</v>
      </c>
      <c r="E3239">
        <v>0</v>
      </c>
      <c r="F3239" t="s">
        <v>12169</v>
      </c>
      <c r="G3239">
        <v>106</v>
      </c>
      <c r="H3239">
        <v>6</v>
      </c>
      <c r="I3239" t="s">
        <v>24</v>
      </c>
      <c r="J3239" t="s">
        <v>12170</v>
      </c>
      <c r="K3239" t="s">
        <v>797</v>
      </c>
      <c r="L3239" t="s">
        <v>27</v>
      </c>
      <c r="M3239" t="s">
        <v>28</v>
      </c>
      <c r="N3239" t="s">
        <v>12171</v>
      </c>
      <c r="O3239" t="s">
        <v>27</v>
      </c>
      <c r="P3239" t="s">
        <v>39</v>
      </c>
      <c r="Q3239" t="s">
        <v>31</v>
      </c>
      <c r="R3239" t="s">
        <v>32</v>
      </c>
      <c r="S3239" t="s">
        <v>28</v>
      </c>
      <c r="T3239" t="s">
        <v>12172</v>
      </c>
      <c r="U3239" t="s">
        <v>12171</v>
      </c>
    </row>
    <row r="3240" spans="1:21" x14ac:dyDescent="0.25">
      <c r="A3240" t="s">
        <v>33</v>
      </c>
      <c r="B3240" t="s">
        <v>34</v>
      </c>
      <c r="C3240">
        <v>200</v>
      </c>
      <c r="D3240">
        <v>1</v>
      </c>
      <c r="E3240">
        <v>0</v>
      </c>
      <c r="F3240" t="s">
        <v>12173</v>
      </c>
      <c r="G3240">
        <v>200</v>
      </c>
      <c r="H3240">
        <v>0</v>
      </c>
      <c r="I3240" t="s">
        <v>445</v>
      </c>
      <c r="J3240" t="s">
        <v>12174</v>
      </c>
      <c r="K3240" t="s">
        <v>342</v>
      </c>
      <c r="L3240" t="s">
        <v>27</v>
      </c>
      <c r="M3240" t="s">
        <v>28</v>
      </c>
      <c r="N3240" t="s">
        <v>12175</v>
      </c>
      <c r="O3240" t="s">
        <v>27</v>
      </c>
      <c r="P3240" t="s">
        <v>39</v>
      </c>
      <c r="Q3240" t="s">
        <v>31</v>
      </c>
      <c r="R3240" t="s">
        <v>32</v>
      </c>
      <c r="S3240" t="s">
        <v>28</v>
      </c>
      <c r="T3240" t="s">
        <v>12176</v>
      </c>
      <c r="U3240" t="s">
        <v>12175</v>
      </c>
    </row>
    <row r="3241" spans="1:21" x14ac:dyDescent="0.25">
      <c r="A3241" t="s">
        <v>21</v>
      </c>
      <c r="B3241" t="s">
        <v>22</v>
      </c>
      <c r="C3241">
        <v>100</v>
      </c>
      <c r="D3241">
        <v>1</v>
      </c>
      <c r="E3241">
        <v>0</v>
      </c>
      <c r="F3241" t="s">
        <v>12177</v>
      </c>
      <c r="G3241">
        <v>106</v>
      </c>
      <c r="H3241">
        <v>6</v>
      </c>
      <c r="I3241" t="s">
        <v>24</v>
      </c>
      <c r="J3241" t="s">
        <v>12178</v>
      </c>
      <c r="K3241" t="s">
        <v>791</v>
      </c>
      <c r="L3241" t="s">
        <v>27</v>
      </c>
      <c r="M3241" t="s">
        <v>28</v>
      </c>
      <c r="N3241" t="s">
        <v>12175</v>
      </c>
      <c r="O3241" t="s">
        <v>27</v>
      </c>
      <c r="P3241" t="s">
        <v>39</v>
      </c>
      <c r="Q3241" t="s">
        <v>31</v>
      </c>
      <c r="R3241" t="s">
        <v>32</v>
      </c>
      <c r="S3241" t="s">
        <v>28</v>
      </c>
      <c r="T3241" t="s">
        <v>12179</v>
      </c>
      <c r="U3241" t="s">
        <v>12175</v>
      </c>
    </row>
    <row r="3242" spans="1:21" x14ac:dyDescent="0.25">
      <c r="A3242" t="s">
        <v>21</v>
      </c>
      <c r="B3242" t="s">
        <v>22</v>
      </c>
      <c r="C3242">
        <v>100</v>
      </c>
      <c r="D3242">
        <v>1</v>
      </c>
      <c r="E3242">
        <v>0</v>
      </c>
      <c r="F3242" t="s">
        <v>12180</v>
      </c>
      <c r="G3242">
        <v>100</v>
      </c>
      <c r="H3242">
        <v>0</v>
      </c>
      <c r="I3242" t="s">
        <v>445</v>
      </c>
      <c r="J3242" t="s">
        <v>12181</v>
      </c>
      <c r="K3242" t="s">
        <v>384</v>
      </c>
      <c r="L3242" t="s">
        <v>27</v>
      </c>
      <c r="M3242" t="s">
        <v>28</v>
      </c>
      <c r="N3242" t="s">
        <v>12175</v>
      </c>
      <c r="O3242" t="s">
        <v>27</v>
      </c>
      <c r="P3242" t="s">
        <v>39</v>
      </c>
      <c r="Q3242" t="s">
        <v>31</v>
      </c>
      <c r="R3242" t="s">
        <v>32</v>
      </c>
      <c r="S3242" t="s">
        <v>28</v>
      </c>
      <c r="T3242" t="s">
        <v>12182</v>
      </c>
      <c r="U3242" t="s">
        <v>12175</v>
      </c>
    </row>
    <row r="3243" spans="1:21" x14ac:dyDescent="0.25">
      <c r="A3243" t="s">
        <v>21</v>
      </c>
      <c r="B3243" t="s">
        <v>22</v>
      </c>
      <c r="C3243">
        <v>100</v>
      </c>
      <c r="D3243">
        <v>1</v>
      </c>
      <c r="E3243">
        <v>0</v>
      </c>
      <c r="F3243" t="s">
        <v>12183</v>
      </c>
      <c r="G3243">
        <v>106</v>
      </c>
      <c r="H3243">
        <v>6</v>
      </c>
      <c r="I3243" t="s">
        <v>445</v>
      </c>
      <c r="J3243" t="s">
        <v>12184</v>
      </c>
      <c r="K3243" t="s">
        <v>834</v>
      </c>
      <c r="L3243" t="s">
        <v>27</v>
      </c>
      <c r="M3243" t="s">
        <v>28</v>
      </c>
      <c r="N3243" t="s">
        <v>12175</v>
      </c>
      <c r="O3243" t="s">
        <v>27</v>
      </c>
      <c r="P3243" t="s">
        <v>39</v>
      </c>
      <c r="Q3243" t="s">
        <v>31</v>
      </c>
      <c r="R3243" t="s">
        <v>32</v>
      </c>
      <c r="S3243" t="s">
        <v>28</v>
      </c>
      <c r="T3243" t="s">
        <v>12185</v>
      </c>
      <c r="U3243" t="s">
        <v>12175</v>
      </c>
    </row>
    <row r="3244" spans="1:21" x14ac:dyDescent="0.25">
      <c r="A3244" t="s">
        <v>21</v>
      </c>
      <c r="B3244" t="s">
        <v>22</v>
      </c>
      <c r="C3244">
        <v>100</v>
      </c>
      <c r="D3244">
        <v>1</v>
      </c>
      <c r="E3244">
        <v>0</v>
      </c>
      <c r="F3244" t="s">
        <v>12186</v>
      </c>
      <c r="G3244">
        <v>106</v>
      </c>
      <c r="H3244">
        <v>6</v>
      </c>
      <c r="I3244" t="s">
        <v>24</v>
      </c>
      <c r="J3244" t="s">
        <v>2208</v>
      </c>
      <c r="K3244" t="s">
        <v>346</v>
      </c>
      <c r="L3244" t="s">
        <v>27</v>
      </c>
      <c r="M3244" t="s">
        <v>28</v>
      </c>
      <c r="N3244" t="s">
        <v>12187</v>
      </c>
      <c r="O3244" t="s">
        <v>27</v>
      </c>
      <c r="P3244" t="s">
        <v>39</v>
      </c>
      <c r="Q3244" t="s">
        <v>31</v>
      </c>
      <c r="R3244" t="s">
        <v>32</v>
      </c>
      <c r="S3244" t="s">
        <v>28</v>
      </c>
      <c r="T3244" t="s">
        <v>12188</v>
      </c>
      <c r="U3244" t="s">
        <v>12187</v>
      </c>
    </row>
    <row r="3245" spans="1:21" x14ac:dyDescent="0.25">
      <c r="A3245" t="s">
        <v>21</v>
      </c>
      <c r="B3245" t="s">
        <v>22</v>
      </c>
      <c r="C3245">
        <v>100</v>
      </c>
      <c r="D3245">
        <v>1</v>
      </c>
      <c r="E3245">
        <v>0</v>
      </c>
      <c r="F3245" t="s">
        <v>12189</v>
      </c>
      <c r="G3245">
        <v>100</v>
      </c>
      <c r="H3245">
        <v>0</v>
      </c>
      <c r="I3245" t="s">
        <v>445</v>
      </c>
      <c r="J3245" t="s">
        <v>12190</v>
      </c>
      <c r="K3245" t="s">
        <v>653</v>
      </c>
      <c r="L3245" t="s">
        <v>27</v>
      </c>
      <c r="M3245" t="s">
        <v>28</v>
      </c>
      <c r="N3245" t="s">
        <v>12191</v>
      </c>
      <c r="O3245" t="s">
        <v>27</v>
      </c>
      <c r="P3245" t="s">
        <v>39</v>
      </c>
      <c r="Q3245" t="s">
        <v>31</v>
      </c>
      <c r="R3245" t="s">
        <v>32</v>
      </c>
      <c r="S3245" t="s">
        <v>28</v>
      </c>
      <c r="T3245" t="s">
        <v>12192</v>
      </c>
      <c r="U3245" t="s">
        <v>12187</v>
      </c>
    </row>
    <row r="3246" spans="1:21" x14ac:dyDescent="0.25">
      <c r="A3246" t="s">
        <v>143</v>
      </c>
      <c r="B3246" t="s">
        <v>144</v>
      </c>
      <c r="C3246">
        <v>200</v>
      </c>
      <c r="D3246">
        <v>1</v>
      </c>
      <c r="E3246">
        <v>0</v>
      </c>
      <c r="F3246" t="s">
        <v>12193</v>
      </c>
      <c r="G3246">
        <v>200</v>
      </c>
      <c r="H3246">
        <v>0</v>
      </c>
      <c r="I3246" t="s">
        <v>24</v>
      </c>
      <c r="J3246" t="s">
        <v>12194</v>
      </c>
      <c r="K3246" t="s">
        <v>37</v>
      </c>
      <c r="L3246" t="s">
        <v>27</v>
      </c>
      <c r="M3246" t="s">
        <v>28</v>
      </c>
      <c r="N3246" t="s">
        <v>12195</v>
      </c>
      <c r="O3246" t="s">
        <v>27</v>
      </c>
      <c r="P3246" t="s">
        <v>39</v>
      </c>
      <c r="Q3246" t="s">
        <v>31</v>
      </c>
      <c r="R3246" t="s">
        <v>32</v>
      </c>
      <c r="S3246" t="s">
        <v>28</v>
      </c>
      <c r="T3246" t="s">
        <v>12196</v>
      </c>
      <c r="U3246" t="s">
        <v>12191</v>
      </c>
    </row>
    <row r="3247" spans="1:21" x14ac:dyDescent="0.25">
      <c r="A3247" t="s">
        <v>21</v>
      </c>
      <c r="B3247" t="s">
        <v>22</v>
      </c>
      <c r="C3247">
        <v>100</v>
      </c>
      <c r="D3247">
        <v>1</v>
      </c>
      <c r="E3247">
        <v>0</v>
      </c>
      <c r="F3247" t="s">
        <v>12197</v>
      </c>
      <c r="G3247">
        <v>106</v>
      </c>
      <c r="H3247">
        <v>6</v>
      </c>
      <c r="I3247" t="s">
        <v>24</v>
      </c>
      <c r="J3247" t="s">
        <v>12198</v>
      </c>
      <c r="K3247" t="s">
        <v>67</v>
      </c>
      <c r="L3247" t="s">
        <v>27</v>
      </c>
      <c r="M3247" t="s">
        <v>28</v>
      </c>
      <c r="N3247" t="s">
        <v>12195</v>
      </c>
      <c r="O3247" t="s">
        <v>27</v>
      </c>
      <c r="P3247" t="s">
        <v>56</v>
      </c>
      <c r="Q3247" t="s">
        <v>31</v>
      </c>
      <c r="R3247" t="s">
        <v>57</v>
      </c>
      <c r="S3247" t="s">
        <v>28</v>
      </c>
      <c r="T3247" t="s">
        <v>12199</v>
      </c>
      <c r="U3247" t="s">
        <v>12191</v>
      </c>
    </row>
    <row r="3248" spans="1:21" x14ac:dyDescent="0.25">
      <c r="A3248" t="s">
        <v>21</v>
      </c>
      <c r="B3248" t="s">
        <v>22</v>
      </c>
      <c r="C3248">
        <v>100</v>
      </c>
      <c r="D3248">
        <v>2</v>
      </c>
      <c r="E3248">
        <v>0</v>
      </c>
      <c r="F3248" t="s">
        <v>12200</v>
      </c>
      <c r="G3248">
        <v>200</v>
      </c>
      <c r="H3248">
        <v>0</v>
      </c>
      <c r="I3248" t="s">
        <v>445</v>
      </c>
      <c r="J3248" t="s">
        <v>12201</v>
      </c>
      <c r="K3248" t="s">
        <v>273</v>
      </c>
      <c r="L3248" t="s">
        <v>27</v>
      </c>
      <c r="M3248" t="s">
        <v>28</v>
      </c>
      <c r="N3248" t="s">
        <v>12202</v>
      </c>
      <c r="O3248" t="s">
        <v>27</v>
      </c>
      <c r="P3248" t="s">
        <v>39</v>
      </c>
      <c r="Q3248" t="s">
        <v>31</v>
      </c>
      <c r="R3248" t="s">
        <v>32</v>
      </c>
      <c r="S3248" t="s">
        <v>28</v>
      </c>
      <c r="T3248" t="s">
        <v>12203</v>
      </c>
      <c r="U3248" t="s">
        <v>12204</v>
      </c>
    </row>
    <row r="3249" spans="1:21" x14ac:dyDescent="0.25">
      <c r="A3249" t="s">
        <v>134</v>
      </c>
      <c r="B3249" t="s">
        <v>64</v>
      </c>
      <c r="C3249">
        <v>100</v>
      </c>
      <c r="D3249">
        <v>1</v>
      </c>
      <c r="E3249">
        <v>0</v>
      </c>
      <c r="F3249" t="s">
        <v>12205</v>
      </c>
      <c r="G3249">
        <v>106</v>
      </c>
      <c r="H3249">
        <v>6</v>
      </c>
      <c r="I3249" t="s">
        <v>445</v>
      </c>
      <c r="J3249" t="s">
        <v>12206</v>
      </c>
      <c r="K3249" t="s">
        <v>12207</v>
      </c>
      <c r="L3249" t="s">
        <v>27</v>
      </c>
      <c r="M3249" t="s">
        <v>28</v>
      </c>
      <c r="N3249" t="s">
        <v>12202</v>
      </c>
      <c r="O3249" t="s">
        <v>27</v>
      </c>
      <c r="P3249" t="s">
        <v>39</v>
      </c>
      <c r="Q3249" t="s">
        <v>31</v>
      </c>
      <c r="R3249" t="s">
        <v>32</v>
      </c>
      <c r="S3249" t="s">
        <v>28</v>
      </c>
      <c r="T3249" t="s">
        <v>12208</v>
      </c>
      <c r="U3249" t="s">
        <v>12204</v>
      </c>
    </row>
    <row r="3250" spans="1:21" x14ac:dyDescent="0.25">
      <c r="A3250" t="s">
        <v>21</v>
      </c>
      <c r="B3250" t="s">
        <v>22</v>
      </c>
      <c r="C3250">
        <v>100</v>
      </c>
      <c r="D3250">
        <v>1</v>
      </c>
      <c r="E3250">
        <v>0</v>
      </c>
      <c r="F3250" t="s">
        <v>12209</v>
      </c>
      <c r="G3250">
        <v>106</v>
      </c>
      <c r="H3250">
        <v>6</v>
      </c>
      <c r="I3250" t="s">
        <v>445</v>
      </c>
      <c r="J3250" t="s">
        <v>12210</v>
      </c>
      <c r="K3250" t="s">
        <v>250</v>
      </c>
      <c r="L3250" t="s">
        <v>27</v>
      </c>
      <c r="M3250" t="s">
        <v>28</v>
      </c>
      <c r="N3250" t="s">
        <v>12211</v>
      </c>
      <c r="O3250" t="s">
        <v>27</v>
      </c>
      <c r="P3250" t="s">
        <v>39</v>
      </c>
      <c r="Q3250" t="s">
        <v>31</v>
      </c>
      <c r="R3250" t="s">
        <v>32</v>
      </c>
      <c r="S3250" t="s">
        <v>28</v>
      </c>
      <c r="T3250" t="s">
        <v>12212</v>
      </c>
      <c r="U3250" t="s">
        <v>12204</v>
      </c>
    </row>
    <row r="3251" spans="1:21" x14ac:dyDescent="0.25">
      <c r="A3251" t="s">
        <v>21</v>
      </c>
      <c r="B3251" t="s">
        <v>22</v>
      </c>
      <c r="C3251">
        <v>100</v>
      </c>
      <c r="D3251">
        <v>1</v>
      </c>
      <c r="E3251">
        <v>0</v>
      </c>
      <c r="F3251" t="s">
        <v>12213</v>
      </c>
      <c r="G3251">
        <v>100</v>
      </c>
      <c r="H3251">
        <v>0</v>
      </c>
      <c r="I3251" t="s">
        <v>445</v>
      </c>
      <c r="J3251" t="s">
        <v>12214</v>
      </c>
      <c r="K3251" t="s">
        <v>653</v>
      </c>
      <c r="L3251" t="s">
        <v>27</v>
      </c>
      <c r="M3251" t="s">
        <v>28</v>
      </c>
      <c r="N3251" t="s">
        <v>12215</v>
      </c>
      <c r="O3251" t="s">
        <v>27</v>
      </c>
      <c r="P3251" t="s">
        <v>56</v>
      </c>
      <c r="Q3251" t="s">
        <v>31</v>
      </c>
      <c r="R3251" t="s">
        <v>57</v>
      </c>
      <c r="S3251" t="s">
        <v>28</v>
      </c>
      <c r="T3251" t="s">
        <v>12216</v>
      </c>
      <c r="U3251" t="s">
        <v>12204</v>
      </c>
    </row>
    <row r="3252" spans="1:21" x14ac:dyDescent="0.25">
      <c r="A3252" t="s">
        <v>63</v>
      </c>
      <c r="B3252" t="s">
        <v>64</v>
      </c>
      <c r="C3252">
        <v>100</v>
      </c>
      <c r="D3252">
        <v>5</v>
      </c>
      <c r="E3252">
        <v>0</v>
      </c>
      <c r="F3252" t="s">
        <v>12217</v>
      </c>
      <c r="G3252">
        <v>500</v>
      </c>
      <c r="H3252">
        <v>0</v>
      </c>
      <c r="I3252" t="s">
        <v>24</v>
      </c>
      <c r="J3252" t="s">
        <v>1620</v>
      </c>
      <c r="K3252" t="s">
        <v>285</v>
      </c>
      <c r="L3252" t="s">
        <v>27</v>
      </c>
      <c r="M3252" t="s">
        <v>28</v>
      </c>
      <c r="N3252" t="s">
        <v>12218</v>
      </c>
      <c r="O3252" t="s">
        <v>27</v>
      </c>
      <c r="P3252" t="s">
        <v>39</v>
      </c>
      <c r="Q3252" t="s">
        <v>31</v>
      </c>
      <c r="R3252" t="s">
        <v>32</v>
      </c>
      <c r="S3252" t="s">
        <v>28</v>
      </c>
      <c r="T3252" t="s">
        <v>12219</v>
      </c>
      <c r="U3252" t="s">
        <v>12204</v>
      </c>
    </row>
    <row r="3253" spans="1:21" x14ac:dyDescent="0.25">
      <c r="A3253" t="s">
        <v>21</v>
      </c>
      <c r="B3253" t="s">
        <v>22</v>
      </c>
      <c r="C3253">
        <v>100</v>
      </c>
      <c r="D3253">
        <v>2</v>
      </c>
      <c r="E3253">
        <v>0</v>
      </c>
      <c r="F3253" t="s">
        <v>12220</v>
      </c>
      <c r="G3253">
        <v>200</v>
      </c>
      <c r="H3253">
        <v>0</v>
      </c>
      <c r="I3253" t="s">
        <v>445</v>
      </c>
      <c r="J3253" t="s">
        <v>12221</v>
      </c>
      <c r="K3253" t="s">
        <v>711</v>
      </c>
      <c r="L3253" t="s">
        <v>27</v>
      </c>
      <c r="M3253" t="s">
        <v>28</v>
      </c>
      <c r="N3253" t="s">
        <v>12215</v>
      </c>
      <c r="O3253" t="s">
        <v>27</v>
      </c>
      <c r="P3253" t="s">
        <v>39</v>
      </c>
      <c r="Q3253" t="s">
        <v>31</v>
      </c>
      <c r="R3253" t="s">
        <v>32</v>
      </c>
      <c r="S3253" t="s">
        <v>28</v>
      </c>
      <c r="T3253" t="s">
        <v>12222</v>
      </c>
      <c r="U3253" t="s">
        <v>12204</v>
      </c>
    </row>
    <row r="3254" spans="1:21" x14ac:dyDescent="0.25">
      <c r="A3254" t="s">
        <v>63</v>
      </c>
      <c r="B3254" t="s">
        <v>64</v>
      </c>
      <c r="C3254">
        <v>100</v>
      </c>
      <c r="D3254">
        <v>1</v>
      </c>
      <c r="E3254">
        <v>0</v>
      </c>
      <c r="F3254" t="s">
        <v>12223</v>
      </c>
      <c r="G3254">
        <v>106</v>
      </c>
      <c r="H3254">
        <v>6</v>
      </c>
      <c r="I3254" t="s">
        <v>445</v>
      </c>
      <c r="J3254" t="s">
        <v>12224</v>
      </c>
      <c r="K3254" t="s">
        <v>89</v>
      </c>
      <c r="L3254" t="s">
        <v>27</v>
      </c>
      <c r="M3254" t="s">
        <v>28</v>
      </c>
      <c r="N3254" t="s">
        <v>12225</v>
      </c>
      <c r="O3254" t="s">
        <v>27</v>
      </c>
      <c r="P3254" t="s">
        <v>39</v>
      </c>
      <c r="Q3254" t="s">
        <v>31</v>
      </c>
      <c r="R3254" t="s">
        <v>32</v>
      </c>
      <c r="S3254" t="s">
        <v>28</v>
      </c>
      <c r="T3254" t="s">
        <v>12226</v>
      </c>
      <c r="U3254" t="s">
        <v>12204</v>
      </c>
    </row>
    <row r="3255" spans="1:21" x14ac:dyDescent="0.25">
      <c r="A3255" t="s">
        <v>21</v>
      </c>
      <c r="B3255" t="s">
        <v>22</v>
      </c>
      <c r="C3255">
        <v>100</v>
      </c>
      <c r="D3255">
        <v>1</v>
      </c>
      <c r="E3255">
        <v>0</v>
      </c>
      <c r="F3255" t="s">
        <v>12227</v>
      </c>
      <c r="G3255">
        <v>100</v>
      </c>
      <c r="H3255">
        <v>0</v>
      </c>
      <c r="I3255" t="s">
        <v>445</v>
      </c>
      <c r="J3255" t="s">
        <v>12228</v>
      </c>
      <c r="K3255" t="s">
        <v>183</v>
      </c>
      <c r="L3255" t="s">
        <v>27</v>
      </c>
      <c r="M3255" t="s">
        <v>28</v>
      </c>
      <c r="N3255" t="s">
        <v>12229</v>
      </c>
      <c r="O3255" t="s">
        <v>27</v>
      </c>
      <c r="P3255" t="s">
        <v>39</v>
      </c>
      <c r="Q3255" t="s">
        <v>31</v>
      </c>
      <c r="R3255" t="s">
        <v>32</v>
      </c>
      <c r="S3255" t="s">
        <v>28</v>
      </c>
      <c r="T3255" t="s">
        <v>12230</v>
      </c>
      <c r="U3255" t="s">
        <v>12204</v>
      </c>
    </row>
    <row r="3256" spans="1:21" x14ac:dyDescent="0.25">
      <c r="A3256" t="s">
        <v>21</v>
      </c>
      <c r="B3256" t="s">
        <v>22</v>
      </c>
      <c r="C3256">
        <v>100</v>
      </c>
      <c r="D3256">
        <v>1</v>
      </c>
      <c r="E3256">
        <v>0</v>
      </c>
      <c r="F3256" t="s">
        <v>12231</v>
      </c>
      <c r="G3256">
        <v>100</v>
      </c>
      <c r="H3256">
        <v>0</v>
      </c>
      <c r="I3256" t="s">
        <v>445</v>
      </c>
      <c r="J3256" t="s">
        <v>829</v>
      </c>
      <c r="K3256" t="s">
        <v>342</v>
      </c>
      <c r="L3256" t="s">
        <v>27</v>
      </c>
      <c r="M3256" t="s">
        <v>28</v>
      </c>
      <c r="N3256" t="s">
        <v>12229</v>
      </c>
      <c r="O3256" t="s">
        <v>27</v>
      </c>
      <c r="P3256" t="s">
        <v>39</v>
      </c>
      <c r="Q3256" t="s">
        <v>31</v>
      </c>
      <c r="R3256" t="s">
        <v>32</v>
      </c>
      <c r="S3256" t="s">
        <v>28</v>
      </c>
      <c r="T3256" t="s">
        <v>12232</v>
      </c>
      <c r="U3256" t="s">
        <v>12204</v>
      </c>
    </row>
    <row r="3257" spans="1:21" x14ac:dyDescent="0.25">
      <c r="A3257" t="s">
        <v>58</v>
      </c>
      <c r="B3257" t="s">
        <v>58</v>
      </c>
      <c r="C3257">
        <v>100</v>
      </c>
      <c r="D3257">
        <v>2</v>
      </c>
      <c r="E3257">
        <v>0</v>
      </c>
      <c r="F3257" t="s">
        <v>12233</v>
      </c>
      <c r="G3257">
        <v>229</v>
      </c>
      <c r="H3257">
        <v>29</v>
      </c>
      <c r="I3257" t="s">
        <v>445</v>
      </c>
      <c r="J3257" t="s">
        <v>1395</v>
      </c>
      <c r="K3257" t="s">
        <v>12234</v>
      </c>
      <c r="L3257" t="s">
        <v>567</v>
      </c>
      <c r="M3257" t="s">
        <v>1404</v>
      </c>
      <c r="N3257" t="s">
        <v>12235</v>
      </c>
      <c r="O3257" t="s">
        <v>27</v>
      </c>
      <c r="P3257" t="s">
        <v>84</v>
      </c>
      <c r="Q3257" t="s">
        <v>85</v>
      </c>
      <c r="R3257" t="s">
        <v>86</v>
      </c>
      <c r="S3257" t="s">
        <v>28</v>
      </c>
      <c r="T3257" t="s">
        <v>12236</v>
      </c>
      <c r="U3257" t="s">
        <v>12204</v>
      </c>
    </row>
    <row r="3258" spans="1:21" x14ac:dyDescent="0.25">
      <c r="A3258" t="s">
        <v>21</v>
      </c>
      <c r="B3258" t="s">
        <v>22</v>
      </c>
      <c r="C3258">
        <v>100</v>
      </c>
      <c r="D3258">
        <v>1</v>
      </c>
      <c r="E3258">
        <v>0</v>
      </c>
      <c r="F3258" t="s">
        <v>12237</v>
      </c>
      <c r="G3258">
        <v>100</v>
      </c>
      <c r="H3258">
        <v>0</v>
      </c>
      <c r="I3258" t="s">
        <v>24</v>
      </c>
      <c r="J3258" t="s">
        <v>12238</v>
      </c>
      <c r="K3258" t="s">
        <v>653</v>
      </c>
      <c r="L3258" t="s">
        <v>27</v>
      </c>
      <c r="M3258" t="s">
        <v>28</v>
      </c>
      <c r="N3258" t="s">
        <v>12239</v>
      </c>
      <c r="O3258" t="s">
        <v>27</v>
      </c>
      <c r="P3258" t="s">
        <v>39</v>
      </c>
      <c r="Q3258" t="s">
        <v>31</v>
      </c>
      <c r="R3258" t="s">
        <v>32</v>
      </c>
      <c r="S3258" t="s">
        <v>28</v>
      </c>
      <c r="T3258" t="s">
        <v>12240</v>
      </c>
      <c r="U3258" t="s">
        <v>12218</v>
      </c>
    </row>
    <row r="3259" spans="1:21" x14ac:dyDescent="0.25">
      <c r="A3259" t="s">
        <v>21</v>
      </c>
      <c r="B3259" t="s">
        <v>22</v>
      </c>
      <c r="C3259">
        <v>100</v>
      </c>
      <c r="D3259">
        <v>1</v>
      </c>
      <c r="E3259">
        <v>0</v>
      </c>
      <c r="F3259" t="s">
        <v>12241</v>
      </c>
      <c r="G3259">
        <v>106</v>
      </c>
      <c r="H3259">
        <v>6</v>
      </c>
      <c r="I3259" t="s">
        <v>24</v>
      </c>
      <c r="J3259" t="s">
        <v>12242</v>
      </c>
      <c r="K3259" t="s">
        <v>1029</v>
      </c>
      <c r="L3259" t="s">
        <v>27</v>
      </c>
      <c r="M3259" t="s">
        <v>28</v>
      </c>
      <c r="N3259" t="s">
        <v>12239</v>
      </c>
      <c r="O3259" t="s">
        <v>27</v>
      </c>
      <c r="P3259" t="s">
        <v>39</v>
      </c>
      <c r="Q3259" t="s">
        <v>31</v>
      </c>
      <c r="R3259" t="s">
        <v>32</v>
      </c>
      <c r="S3259" t="s">
        <v>28</v>
      </c>
      <c r="T3259" t="s">
        <v>12243</v>
      </c>
      <c r="U3259" t="s">
        <v>12218</v>
      </c>
    </row>
    <row r="3260" spans="1:21" x14ac:dyDescent="0.25">
      <c r="A3260" t="s">
        <v>21</v>
      </c>
      <c r="B3260" t="s">
        <v>22</v>
      </c>
      <c r="C3260">
        <v>100</v>
      </c>
      <c r="D3260">
        <v>2</v>
      </c>
      <c r="E3260">
        <v>0</v>
      </c>
      <c r="F3260" t="s">
        <v>12244</v>
      </c>
      <c r="G3260">
        <v>200</v>
      </c>
      <c r="H3260">
        <v>0</v>
      </c>
      <c r="I3260" t="s">
        <v>445</v>
      </c>
      <c r="J3260" t="s">
        <v>12245</v>
      </c>
      <c r="K3260" t="s">
        <v>350</v>
      </c>
      <c r="L3260" t="s">
        <v>27</v>
      </c>
      <c r="M3260" t="s">
        <v>28</v>
      </c>
      <c r="N3260" t="s">
        <v>12246</v>
      </c>
      <c r="O3260" t="s">
        <v>27</v>
      </c>
      <c r="P3260" t="s">
        <v>39</v>
      </c>
      <c r="Q3260" t="s">
        <v>31</v>
      </c>
      <c r="R3260" t="s">
        <v>32</v>
      </c>
      <c r="S3260" t="s">
        <v>28</v>
      </c>
      <c r="T3260" t="s">
        <v>12247</v>
      </c>
      <c r="U3260" t="s">
        <v>12248</v>
      </c>
    </row>
    <row r="3261" spans="1:21" x14ac:dyDescent="0.25">
      <c r="A3261" t="s">
        <v>143</v>
      </c>
      <c r="B3261" t="s">
        <v>144</v>
      </c>
      <c r="C3261">
        <v>200</v>
      </c>
      <c r="D3261">
        <v>2</v>
      </c>
      <c r="E3261">
        <v>0</v>
      </c>
      <c r="F3261" t="s">
        <v>12249</v>
      </c>
      <c r="G3261">
        <v>400</v>
      </c>
      <c r="H3261">
        <v>0</v>
      </c>
      <c r="I3261" t="s">
        <v>445</v>
      </c>
      <c r="J3261" t="s">
        <v>12250</v>
      </c>
      <c r="K3261" t="s">
        <v>2243</v>
      </c>
      <c r="L3261" t="s">
        <v>27</v>
      </c>
      <c r="M3261" t="s">
        <v>28</v>
      </c>
      <c r="N3261" t="s">
        <v>12246</v>
      </c>
      <c r="O3261" t="s">
        <v>27</v>
      </c>
      <c r="P3261" t="s">
        <v>39</v>
      </c>
      <c r="Q3261" t="s">
        <v>31</v>
      </c>
      <c r="R3261" t="s">
        <v>32</v>
      </c>
      <c r="S3261" t="s">
        <v>28</v>
      </c>
      <c r="T3261" t="s">
        <v>12251</v>
      </c>
      <c r="U3261" t="s">
        <v>12248</v>
      </c>
    </row>
    <row r="3262" spans="1:21" x14ac:dyDescent="0.25">
      <c r="A3262" t="s">
        <v>21</v>
      </c>
      <c r="B3262" t="s">
        <v>22</v>
      </c>
      <c r="C3262">
        <v>100</v>
      </c>
      <c r="D3262">
        <v>1</v>
      </c>
      <c r="E3262">
        <v>0</v>
      </c>
      <c r="F3262" t="s">
        <v>12252</v>
      </c>
      <c r="G3262">
        <v>100</v>
      </c>
      <c r="H3262">
        <v>0</v>
      </c>
      <c r="I3262" t="s">
        <v>445</v>
      </c>
      <c r="J3262" t="s">
        <v>12253</v>
      </c>
      <c r="K3262" t="s">
        <v>124</v>
      </c>
      <c r="L3262" t="s">
        <v>27</v>
      </c>
      <c r="M3262" t="s">
        <v>28</v>
      </c>
      <c r="N3262" t="s">
        <v>12246</v>
      </c>
      <c r="O3262" t="s">
        <v>27</v>
      </c>
      <c r="P3262" t="s">
        <v>39</v>
      </c>
      <c r="Q3262" t="s">
        <v>31</v>
      </c>
      <c r="R3262" t="s">
        <v>32</v>
      </c>
      <c r="S3262" t="s">
        <v>28</v>
      </c>
      <c r="T3262" t="s">
        <v>12254</v>
      </c>
      <c r="U3262" t="s">
        <v>12248</v>
      </c>
    </row>
    <row r="3263" spans="1:21" x14ac:dyDescent="0.25">
      <c r="A3263" t="s">
        <v>143</v>
      </c>
      <c r="B3263" t="s">
        <v>144</v>
      </c>
      <c r="C3263">
        <v>200</v>
      </c>
      <c r="D3263">
        <v>1</v>
      </c>
      <c r="E3263">
        <v>0</v>
      </c>
      <c r="F3263" t="s">
        <v>12255</v>
      </c>
      <c r="G3263">
        <v>200</v>
      </c>
      <c r="H3263">
        <v>0</v>
      </c>
      <c r="I3263" t="s">
        <v>24</v>
      </c>
      <c r="J3263" t="s">
        <v>12256</v>
      </c>
      <c r="K3263" t="s">
        <v>61</v>
      </c>
      <c r="L3263" t="s">
        <v>27</v>
      </c>
      <c r="M3263" t="s">
        <v>28</v>
      </c>
      <c r="N3263" t="s">
        <v>12257</v>
      </c>
      <c r="O3263" t="s">
        <v>27</v>
      </c>
      <c r="P3263" t="s">
        <v>39</v>
      </c>
      <c r="Q3263" t="s">
        <v>31</v>
      </c>
      <c r="R3263" t="s">
        <v>32</v>
      </c>
      <c r="S3263" t="s">
        <v>28</v>
      </c>
      <c r="T3263" t="s">
        <v>12258</v>
      </c>
      <c r="U3263" t="s">
        <v>12259</v>
      </c>
    </row>
    <row r="3264" spans="1:21" x14ac:dyDescent="0.25">
      <c r="A3264" t="s">
        <v>33</v>
      </c>
      <c r="B3264" t="s">
        <v>34</v>
      </c>
      <c r="C3264">
        <v>200</v>
      </c>
      <c r="D3264">
        <v>1</v>
      </c>
      <c r="E3264">
        <v>0</v>
      </c>
      <c r="F3264" t="s">
        <v>12260</v>
      </c>
      <c r="G3264">
        <v>200</v>
      </c>
      <c r="H3264">
        <v>0</v>
      </c>
      <c r="I3264" t="s">
        <v>24</v>
      </c>
      <c r="J3264" t="s">
        <v>12261</v>
      </c>
      <c r="K3264" t="s">
        <v>1602</v>
      </c>
      <c r="L3264" t="s">
        <v>27</v>
      </c>
      <c r="M3264" t="s">
        <v>28</v>
      </c>
      <c r="N3264" t="s">
        <v>12262</v>
      </c>
      <c r="O3264" t="s">
        <v>27</v>
      </c>
      <c r="P3264" t="s">
        <v>39</v>
      </c>
      <c r="Q3264" t="s">
        <v>31</v>
      </c>
      <c r="R3264" t="s">
        <v>32</v>
      </c>
      <c r="S3264" t="s">
        <v>28</v>
      </c>
      <c r="T3264" t="s">
        <v>12263</v>
      </c>
      <c r="U3264" t="s">
        <v>12262</v>
      </c>
    </row>
    <row r="3265" spans="1:21" x14ac:dyDescent="0.25">
      <c r="A3265" t="s">
        <v>21</v>
      </c>
      <c r="B3265" t="s">
        <v>22</v>
      </c>
      <c r="C3265">
        <v>100</v>
      </c>
      <c r="D3265">
        <v>1</v>
      </c>
      <c r="E3265">
        <v>0</v>
      </c>
      <c r="F3265" t="s">
        <v>12264</v>
      </c>
      <c r="G3265">
        <v>106</v>
      </c>
      <c r="H3265">
        <v>6</v>
      </c>
      <c r="I3265" t="s">
        <v>24</v>
      </c>
      <c r="J3265" t="s">
        <v>12265</v>
      </c>
      <c r="K3265" t="s">
        <v>118</v>
      </c>
      <c r="L3265" t="s">
        <v>27</v>
      </c>
      <c r="M3265" t="s">
        <v>28</v>
      </c>
      <c r="N3265" t="s">
        <v>12266</v>
      </c>
      <c r="O3265" t="s">
        <v>27</v>
      </c>
      <c r="P3265" t="s">
        <v>39</v>
      </c>
      <c r="Q3265" t="s">
        <v>31</v>
      </c>
      <c r="R3265" t="s">
        <v>32</v>
      </c>
      <c r="S3265" t="s">
        <v>28</v>
      </c>
      <c r="T3265" t="s">
        <v>12267</v>
      </c>
      <c r="U3265" t="s">
        <v>12266</v>
      </c>
    </row>
    <row r="3266" spans="1:21" x14ac:dyDescent="0.25">
      <c r="A3266" t="s">
        <v>21</v>
      </c>
      <c r="B3266" t="s">
        <v>22</v>
      </c>
      <c r="C3266">
        <v>100</v>
      </c>
      <c r="D3266">
        <v>1</v>
      </c>
      <c r="E3266">
        <v>0</v>
      </c>
      <c r="F3266" t="s">
        <v>12268</v>
      </c>
      <c r="G3266">
        <v>100</v>
      </c>
      <c r="H3266">
        <v>0</v>
      </c>
      <c r="I3266" t="s">
        <v>24</v>
      </c>
      <c r="J3266" t="s">
        <v>12269</v>
      </c>
      <c r="K3266" t="s">
        <v>388</v>
      </c>
      <c r="L3266" t="s">
        <v>27</v>
      </c>
      <c r="M3266" t="s">
        <v>28</v>
      </c>
      <c r="N3266" t="s">
        <v>12270</v>
      </c>
      <c r="O3266" t="s">
        <v>27</v>
      </c>
      <c r="P3266" t="s">
        <v>39</v>
      </c>
      <c r="Q3266" t="s">
        <v>31</v>
      </c>
      <c r="R3266" t="s">
        <v>32</v>
      </c>
      <c r="S3266" t="s">
        <v>28</v>
      </c>
      <c r="T3266" t="s">
        <v>12271</v>
      </c>
      <c r="U3266" t="s">
        <v>12272</v>
      </c>
    </row>
    <row r="3267" spans="1:21" x14ac:dyDescent="0.25">
      <c r="A3267" t="s">
        <v>21</v>
      </c>
      <c r="B3267" t="s">
        <v>22</v>
      </c>
      <c r="C3267">
        <v>100</v>
      </c>
      <c r="D3267">
        <v>1</v>
      </c>
      <c r="E3267">
        <v>0</v>
      </c>
      <c r="F3267" t="s">
        <v>12273</v>
      </c>
      <c r="G3267">
        <v>106</v>
      </c>
      <c r="H3267">
        <v>6</v>
      </c>
      <c r="I3267" t="s">
        <v>445</v>
      </c>
      <c r="J3267" t="s">
        <v>12274</v>
      </c>
      <c r="K3267" t="s">
        <v>118</v>
      </c>
      <c r="L3267" t="s">
        <v>27</v>
      </c>
      <c r="M3267" t="s">
        <v>28</v>
      </c>
      <c r="N3267" t="s">
        <v>12275</v>
      </c>
      <c r="O3267" t="s">
        <v>27</v>
      </c>
      <c r="P3267" t="s">
        <v>39</v>
      </c>
      <c r="Q3267" t="s">
        <v>31</v>
      </c>
      <c r="R3267" t="s">
        <v>32</v>
      </c>
      <c r="S3267" t="s">
        <v>28</v>
      </c>
      <c r="T3267" t="s">
        <v>12276</v>
      </c>
      <c r="U3267" t="s">
        <v>12275</v>
      </c>
    </row>
    <row r="3268" spans="1:21" x14ac:dyDescent="0.25">
      <c r="A3268" t="s">
        <v>21</v>
      </c>
      <c r="B3268" t="s">
        <v>22</v>
      </c>
      <c r="C3268">
        <v>100</v>
      </c>
      <c r="D3268">
        <v>1</v>
      </c>
      <c r="E3268">
        <v>0</v>
      </c>
      <c r="F3268" t="s">
        <v>12277</v>
      </c>
      <c r="G3268">
        <v>106</v>
      </c>
      <c r="H3268">
        <v>6</v>
      </c>
      <c r="I3268" t="s">
        <v>24</v>
      </c>
      <c r="J3268" t="s">
        <v>12278</v>
      </c>
      <c r="K3268" t="s">
        <v>137</v>
      </c>
      <c r="L3268" t="s">
        <v>27</v>
      </c>
      <c r="M3268" t="s">
        <v>28</v>
      </c>
      <c r="N3268" t="s">
        <v>12279</v>
      </c>
      <c r="O3268" t="s">
        <v>27</v>
      </c>
      <c r="P3268" t="s">
        <v>39</v>
      </c>
      <c r="Q3268" t="s">
        <v>31</v>
      </c>
      <c r="R3268" t="s">
        <v>32</v>
      </c>
      <c r="S3268" t="s">
        <v>28</v>
      </c>
      <c r="T3268" t="s">
        <v>12280</v>
      </c>
      <c r="U3268" t="s">
        <v>12279</v>
      </c>
    </row>
    <row r="3269" spans="1:21" x14ac:dyDescent="0.25">
      <c r="A3269" t="s">
        <v>21</v>
      </c>
      <c r="B3269" t="s">
        <v>22</v>
      </c>
      <c r="C3269">
        <v>100</v>
      </c>
      <c r="D3269">
        <v>1</v>
      </c>
      <c r="E3269">
        <v>0</v>
      </c>
      <c r="F3269" t="s">
        <v>12281</v>
      </c>
      <c r="G3269">
        <v>106</v>
      </c>
      <c r="H3269">
        <v>6</v>
      </c>
      <c r="I3269" t="s">
        <v>24</v>
      </c>
      <c r="J3269" t="s">
        <v>12282</v>
      </c>
      <c r="K3269" t="s">
        <v>151</v>
      </c>
      <c r="L3269" t="s">
        <v>27</v>
      </c>
      <c r="M3269" t="s">
        <v>28</v>
      </c>
      <c r="N3269" t="s">
        <v>12283</v>
      </c>
      <c r="O3269" t="s">
        <v>27</v>
      </c>
      <c r="P3269" t="s">
        <v>39</v>
      </c>
      <c r="Q3269" t="s">
        <v>31</v>
      </c>
      <c r="R3269" t="s">
        <v>32</v>
      </c>
      <c r="S3269" t="s">
        <v>28</v>
      </c>
      <c r="T3269" t="s">
        <v>12284</v>
      </c>
      <c r="U3269" t="s">
        <v>12283</v>
      </c>
    </row>
    <row r="3270" spans="1:21" x14ac:dyDescent="0.25">
      <c r="A3270" t="s">
        <v>40</v>
      </c>
      <c r="B3270" t="s">
        <v>41</v>
      </c>
      <c r="C3270">
        <v>111.6</v>
      </c>
      <c r="D3270">
        <v>1</v>
      </c>
      <c r="E3270">
        <v>0</v>
      </c>
      <c r="F3270" t="s">
        <v>12285</v>
      </c>
      <c r="G3270">
        <v>223.2</v>
      </c>
      <c r="H3270">
        <v>0</v>
      </c>
      <c r="I3270" t="s">
        <v>24</v>
      </c>
      <c r="J3270" t="s">
        <v>12286</v>
      </c>
      <c r="K3270" t="s">
        <v>12287</v>
      </c>
      <c r="L3270" t="s">
        <v>12288</v>
      </c>
      <c r="M3270" t="s">
        <v>12289</v>
      </c>
      <c r="N3270" t="s">
        <v>12290</v>
      </c>
      <c r="O3270" t="s">
        <v>27</v>
      </c>
      <c r="P3270" t="s">
        <v>48</v>
      </c>
      <c r="Q3270" t="s">
        <v>49</v>
      </c>
      <c r="R3270" t="s">
        <v>50</v>
      </c>
      <c r="S3270" t="s">
        <v>28</v>
      </c>
      <c r="T3270" t="s">
        <v>12291</v>
      </c>
      <c r="U3270" t="s">
        <v>12290</v>
      </c>
    </row>
    <row r="3271" spans="1:21" x14ac:dyDescent="0.25">
      <c r="A3271" t="s">
        <v>40</v>
      </c>
      <c r="B3271" t="s">
        <v>41</v>
      </c>
      <c r="C3271">
        <v>111.6</v>
      </c>
      <c r="D3271">
        <v>1</v>
      </c>
      <c r="E3271">
        <v>0</v>
      </c>
      <c r="F3271" t="s">
        <v>12285</v>
      </c>
      <c r="G3271">
        <v>223.2</v>
      </c>
      <c r="H3271">
        <v>0</v>
      </c>
      <c r="I3271" t="s">
        <v>24</v>
      </c>
      <c r="J3271" t="s">
        <v>12286</v>
      </c>
      <c r="K3271" t="s">
        <v>12287</v>
      </c>
      <c r="L3271" t="s">
        <v>12288</v>
      </c>
      <c r="M3271" t="s">
        <v>12289</v>
      </c>
      <c r="N3271" t="s">
        <v>12290</v>
      </c>
      <c r="O3271" t="s">
        <v>27</v>
      </c>
      <c r="P3271" t="s">
        <v>48</v>
      </c>
      <c r="Q3271" t="s">
        <v>49</v>
      </c>
      <c r="R3271" t="s">
        <v>50</v>
      </c>
      <c r="S3271" t="s">
        <v>28</v>
      </c>
      <c r="T3271" t="s">
        <v>12291</v>
      </c>
      <c r="U3271" t="s">
        <v>12290</v>
      </c>
    </row>
    <row r="3272" spans="1:21" x14ac:dyDescent="0.25">
      <c r="A3272" t="s">
        <v>143</v>
      </c>
      <c r="B3272" t="s">
        <v>144</v>
      </c>
      <c r="C3272">
        <v>200</v>
      </c>
      <c r="D3272">
        <v>1</v>
      </c>
      <c r="E3272">
        <v>0</v>
      </c>
      <c r="F3272" t="s">
        <v>12292</v>
      </c>
      <c r="G3272">
        <v>290</v>
      </c>
      <c r="H3272">
        <v>0</v>
      </c>
      <c r="I3272" t="s">
        <v>24</v>
      </c>
      <c r="J3272" t="s">
        <v>12293</v>
      </c>
      <c r="K3272" t="s">
        <v>89</v>
      </c>
      <c r="L3272" t="s">
        <v>27</v>
      </c>
      <c r="M3272" t="s">
        <v>28</v>
      </c>
      <c r="N3272" t="s">
        <v>12294</v>
      </c>
      <c r="O3272" t="s">
        <v>27</v>
      </c>
      <c r="P3272" t="s">
        <v>56</v>
      </c>
      <c r="Q3272" t="s">
        <v>31</v>
      </c>
      <c r="R3272" t="s">
        <v>57</v>
      </c>
      <c r="S3272" t="s">
        <v>28</v>
      </c>
      <c r="T3272" t="s">
        <v>12295</v>
      </c>
      <c r="U3272" t="s">
        <v>12296</v>
      </c>
    </row>
    <row r="3273" spans="1:21" x14ac:dyDescent="0.25">
      <c r="A3273" t="s">
        <v>21</v>
      </c>
      <c r="B3273" t="s">
        <v>22</v>
      </c>
      <c r="C3273">
        <v>100</v>
      </c>
      <c r="D3273">
        <v>1</v>
      </c>
      <c r="E3273">
        <v>0</v>
      </c>
      <c r="F3273" t="s">
        <v>12297</v>
      </c>
      <c r="G3273">
        <v>295</v>
      </c>
      <c r="H3273">
        <v>0</v>
      </c>
      <c r="I3273" t="s">
        <v>445</v>
      </c>
      <c r="J3273" t="s">
        <v>12298</v>
      </c>
      <c r="K3273" t="s">
        <v>474</v>
      </c>
      <c r="L3273" t="s">
        <v>27</v>
      </c>
      <c r="M3273" t="s">
        <v>28</v>
      </c>
      <c r="N3273" t="s">
        <v>12296</v>
      </c>
      <c r="O3273" t="s">
        <v>27</v>
      </c>
      <c r="P3273" t="s">
        <v>39</v>
      </c>
      <c r="Q3273" t="s">
        <v>31</v>
      </c>
      <c r="R3273" t="s">
        <v>32</v>
      </c>
      <c r="S3273" t="s">
        <v>28</v>
      </c>
      <c r="T3273" t="s">
        <v>12299</v>
      </c>
      <c r="U3273" t="s">
        <v>12296</v>
      </c>
    </row>
    <row r="3274" spans="1:21" x14ac:dyDescent="0.25">
      <c r="A3274" t="s">
        <v>58</v>
      </c>
      <c r="B3274" t="s">
        <v>58</v>
      </c>
      <c r="C3274">
        <v>100</v>
      </c>
      <c r="D3274">
        <v>1</v>
      </c>
      <c r="E3274">
        <v>0</v>
      </c>
      <c r="F3274" t="s">
        <v>12297</v>
      </c>
      <c r="G3274">
        <v>295</v>
      </c>
      <c r="H3274">
        <v>0</v>
      </c>
      <c r="I3274" t="s">
        <v>445</v>
      </c>
      <c r="J3274" t="s">
        <v>12298</v>
      </c>
      <c r="K3274" t="s">
        <v>474</v>
      </c>
      <c r="L3274" t="s">
        <v>27</v>
      </c>
      <c r="M3274" t="s">
        <v>28</v>
      </c>
      <c r="N3274" t="s">
        <v>12296</v>
      </c>
      <c r="O3274" t="s">
        <v>27</v>
      </c>
      <c r="P3274" t="s">
        <v>39</v>
      </c>
      <c r="Q3274" t="s">
        <v>31</v>
      </c>
      <c r="R3274" t="s">
        <v>32</v>
      </c>
      <c r="S3274" t="s">
        <v>28</v>
      </c>
      <c r="T3274" t="s">
        <v>12299</v>
      </c>
      <c r="U3274" t="s">
        <v>12296</v>
      </c>
    </row>
    <row r="3275" spans="1:21" x14ac:dyDescent="0.25">
      <c r="A3275" t="s">
        <v>21</v>
      </c>
      <c r="B3275" t="s">
        <v>22</v>
      </c>
      <c r="C3275">
        <v>100</v>
      </c>
      <c r="D3275">
        <v>1</v>
      </c>
      <c r="E3275">
        <v>0</v>
      </c>
      <c r="F3275" t="s">
        <v>12300</v>
      </c>
      <c r="G3275">
        <v>106</v>
      </c>
      <c r="H3275">
        <v>6</v>
      </c>
      <c r="I3275" t="s">
        <v>24</v>
      </c>
      <c r="J3275" t="s">
        <v>12301</v>
      </c>
      <c r="K3275" t="s">
        <v>89</v>
      </c>
      <c r="L3275" t="s">
        <v>27</v>
      </c>
      <c r="M3275" t="s">
        <v>28</v>
      </c>
      <c r="N3275" t="s">
        <v>12296</v>
      </c>
      <c r="O3275" t="s">
        <v>27</v>
      </c>
      <c r="P3275" t="s">
        <v>56</v>
      </c>
      <c r="Q3275" t="s">
        <v>31</v>
      </c>
      <c r="R3275" t="s">
        <v>57</v>
      </c>
      <c r="S3275" t="s">
        <v>28</v>
      </c>
      <c r="T3275" t="s">
        <v>12302</v>
      </c>
      <c r="U3275" t="s">
        <v>12303</v>
      </c>
    </row>
    <row r="3276" spans="1:21" x14ac:dyDescent="0.25">
      <c r="A3276" t="s">
        <v>21</v>
      </c>
      <c r="B3276" t="s">
        <v>22</v>
      </c>
      <c r="C3276">
        <v>100</v>
      </c>
      <c r="D3276">
        <v>1</v>
      </c>
      <c r="E3276">
        <v>0</v>
      </c>
      <c r="F3276" t="s">
        <v>12304</v>
      </c>
      <c r="G3276">
        <v>100</v>
      </c>
      <c r="H3276">
        <v>0</v>
      </c>
      <c r="I3276" t="s">
        <v>24</v>
      </c>
      <c r="J3276" t="s">
        <v>12305</v>
      </c>
      <c r="K3276" t="s">
        <v>960</v>
      </c>
      <c r="L3276" t="s">
        <v>27</v>
      </c>
      <c r="M3276" t="s">
        <v>28</v>
      </c>
      <c r="N3276" t="s">
        <v>12306</v>
      </c>
      <c r="O3276" t="s">
        <v>27</v>
      </c>
      <c r="P3276" t="s">
        <v>39</v>
      </c>
      <c r="Q3276" t="s">
        <v>31</v>
      </c>
      <c r="R3276" t="s">
        <v>32</v>
      </c>
      <c r="S3276" t="s">
        <v>28</v>
      </c>
      <c r="T3276" t="s">
        <v>12307</v>
      </c>
      <c r="U3276" t="s">
        <v>12306</v>
      </c>
    </row>
    <row r="3277" spans="1:21" x14ac:dyDescent="0.25">
      <c r="A3277" t="s">
        <v>33</v>
      </c>
      <c r="B3277" t="s">
        <v>34</v>
      </c>
      <c r="C3277">
        <v>200</v>
      </c>
      <c r="D3277">
        <v>1</v>
      </c>
      <c r="E3277">
        <v>0</v>
      </c>
      <c r="F3277" t="s">
        <v>12308</v>
      </c>
      <c r="G3277">
        <v>200</v>
      </c>
      <c r="H3277">
        <v>0</v>
      </c>
      <c r="I3277" t="s">
        <v>24</v>
      </c>
      <c r="J3277" t="s">
        <v>12309</v>
      </c>
      <c r="K3277" t="s">
        <v>26</v>
      </c>
      <c r="L3277" t="s">
        <v>27</v>
      </c>
      <c r="M3277" t="s">
        <v>28</v>
      </c>
      <c r="N3277" t="s">
        <v>12310</v>
      </c>
      <c r="O3277" t="s">
        <v>27</v>
      </c>
      <c r="P3277" t="s">
        <v>56</v>
      </c>
      <c r="Q3277" t="s">
        <v>31</v>
      </c>
      <c r="R3277" t="s">
        <v>57</v>
      </c>
      <c r="S3277" t="s">
        <v>28</v>
      </c>
      <c r="T3277" t="s">
        <v>12311</v>
      </c>
      <c r="U3277" t="s">
        <v>12306</v>
      </c>
    </row>
    <row r="3278" spans="1:21" x14ac:dyDescent="0.25">
      <c r="A3278" t="s">
        <v>21</v>
      </c>
      <c r="B3278" t="s">
        <v>22</v>
      </c>
      <c r="C3278">
        <v>100</v>
      </c>
      <c r="D3278">
        <v>1</v>
      </c>
      <c r="E3278">
        <v>0</v>
      </c>
      <c r="F3278" t="s">
        <v>12312</v>
      </c>
      <c r="G3278">
        <v>350</v>
      </c>
      <c r="H3278">
        <v>0</v>
      </c>
      <c r="I3278" t="s">
        <v>24</v>
      </c>
      <c r="J3278" t="s">
        <v>12313</v>
      </c>
      <c r="K3278" t="s">
        <v>5378</v>
      </c>
      <c r="L3278" t="s">
        <v>27</v>
      </c>
      <c r="M3278" t="s">
        <v>28</v>
      </c>
      <c r="N3278" t="s">
        <v>12314</v>
      </c>
      <c r="O3278" t="s">
        <v>27</v>
      </c>
      <c r="P3278" t="s">
        <v>56</v>
      </c>
      <c r="Q3278" t="s">
        <v>31</v>
      </c>
      <c r="R3278" t="s">
        <v>57</v>
      </c>
      <c r="S3278" t="s">
        <v>28</v>
      </c>
      <c r="T3278" t="s">
        <v>12315</v>
      </c>
      <c r="U3278" t="s">
        <v>12314</v>
      </c>
    </row>
    <row r="3279" spans="1:21" x14ac:dyDescent="0.25">
      <c r="A3279" t="s">
        <v>9709</v>
      </c>
      <c r="B3279" t="s">
        <v>168</v>
      </c>
      <c r="C3279">
        <v>250</v>
      </c>
      <c r="D3279">
        <v>1</v>
      </c>
      <c r="E3279">
        <v>0</v>
      </c>
      <c r="F3279" t="s">
        <v>12312</v>
      </c>
      <c r="G3279">
        <v>350</v>
      </c>
      <c r="H3279">
        <v>0</v>
      </c>
      <c r="I3279" t="s">
        <v>24</v>
      </c>
      <c r="J3279" t="s">
        <v>12313</v>
      </c>
      <c r="K3279" t="s">
        <v>5378</v>
      </c>
      <c r="L3279" t="s">
        <v>27</v>
      </c>
      <c r="M3279" t="s">
        <v>28</v>
      </c>
      <c r="N3279" t="s">
        <v>12314</v>
      </c>
      <c r="O3279" t="s">
        <v>27</v>
      </c>
      <c r="P3279" t="s">
        <v>56</v>
      </c>
      <c r="Q3279" t="s">
        <v>31</v>
      </c>
      <c r="R3279" t="s">
        <v>57</v>
      </c>
      <c r="S3279" t="s">
        <v>28</v>
      </c>
      <c r="T3279" t="s">
        <v>12315</v>
      </c>
      <c r="U3279" t="s">
        <v>12314</v>
      </c>
    </row>
    <row r="3280" spans="1:21" x14ac:dyDescent="0.25">
      <c r="A3280" t="s">
        <v>33</v>
      </c>
      <c r="B3280" t="s">
        <v>34</v>
      </c>
      <c r="C3280">
        <v>200</v>
      </c>
      <c r="D3280">
        <v>1</v>
      </c>
      <c r="E3280">
        <v>0</v>
      </c>
      <c r="F3280" t="s">
        <v>12316</v>
      </c>
      <c r="G3280">
        <v>200</v>
      </c>
      <c r="H3280">
        <v>0</v>
      </c>
      <c r="I3280" t="s">
        <v>24</v>
      </c>
      <c r="J3280" t="s">
        <v>12317</v>
      </c>
      <c r="K3280" t="s">
        <v>653</v>
      </c>
      <c r="L3280" t="s">
        <v>27</v>
      </c>
      <c r="M3280" t="s">
        <v>28</v>
      </c>
      <c r="N3280" t="s">
        <v>12318</v>
      </c>
      <c r="O3280" t="s">
        <v>27</v>
      </c>
      <c r="P3280" t="s">
        <v>56</v>
      </c>
      <c r="Q3280" t="s">
        <v>31</v>
      </c>
      <c r="R3280" t="s">
        <v>57</v>
      </c>
      <c r="S3280" t="s">
        <v>28</v>
      </c>
      <c r="T3280" t="s">
        <v>12319</v>
      </c>
      <c r="U3280" t="s">
        <v>12318</v>
      </c>
    </row>
    <row r="3281" spans="1:21" x14ac:dyDescent="0.25">
      <c r="A3281" t="s">
        <v>21</v>
      </c>
      <c r="B3281" t="s">
        <v>22</v>
      </c>
      <c r="C3281">
        <v>100</v>
      </c>
      <c r="D3281">
        <v>1</v>
      </c>
      <c r="E3281">
        <v>0</v>
      </c>
      <c r="F3281" t="s">
        <v>12320</v>
      </c>
      <c r="G3281">
        <v>106</v>
      </c>
      <c r="H3281">
        <v>6</v>
      </c>
      <c r="I3281" t="s">
        <v>445</v>
      </c>
      <c r="J3281" t="s">
        <v>12321</v>
      </c>
      <c r="K3281" t="s">
        <v>67</v>
      </c>
      <c r="L3281" t="s">
        <v>27</v>
      </c>
      <c r="M3281" t="s">
        <v>28</v>
      </c>
      <c r="N3281" t="s">
        <v>12322</v>
      </c>
      <c r="O3281" t="s">
        <v>27</v>
      </c>
      <c r="P3281" t="s">
        <v>56</v>
      </c>
      <c r="Q3281" t="s">
        <v>31</v>
      </c>
      <c r="R3281" t="s">
        <v>57</v>
      </c>
      <c r="S3281" t="s">
        <v>28</v>
      </c>
      <c r="T3281" t="s">
        <v>12323</v>
      </c>
      <c r="U3281" t="s">
        <v>12322</v>
      </c>
    </row>
    <row r="3282" spans="1:21" x14ac:dyDescent="0.25">
      <c r="A3282" t="s">
        <v>33</v>
      </c>
      <c r="B3282" t="s">
        <v>34</v>
      </c>
      <c r="C3282">
        <v>200</v>
      </c>
      <c r="D3282">
        <v>1</v>
      </c>
      <c r="E3282">
        <v>0</v>
      </c>
      <c r="F3282" t="s">
        <v>12324</v>
      </c>
      <c r="G3282">
        <v>200</v>
      </c>
      <c r="H3282">
        <v>0</v>
      </c>
      <c r="I3282" t="s">
        <v>445</v>
      </c>
      <c r="J3282" t="s">
        <v>12325</v>
      </c>
      <c r="K3282" t="s">
        <v>1315</v>
      </c>
      <c r="L3282" t="s">
        <v>27</v>
      </c>
      <c r="M3282" t="s">
        <v>28</v>
      </c>
      <c r="N3282" t="s">
        <v>12326</v>
      </c>
      <c r="O3282" t="s">
        <v>27</v>
      </c>
      <c r="P3282" t="s">
        <v>39</v>
      </c>
      <c r="Q3282" t="s">
        <v>31</v>
      </c>
      <c r="R3282" t="s">
        <v>32</v>
      </c>
      <c r="S3282" t="s">
        <v>28</v>
      </c>
      <c r="T3282" t="s">
        <v>12327</v>
      </c>
      <c r="U3282" t="s">
        <v>12326</v>
      </c>
    </row>
    <row r="3283" spans="1:21" x14ac:dyDescent="0.25">
      <c r="A3283" t="s">
        <v>243</v>
      </c>
      <c r="B3283" t="s">
        <v>244</v>
      </c>
      <c r="C3283">
        <v>200</v>
      </c>
      <c r="D3283">
        <v>1</v>
      </c>
      <c r="E3283">
        <v>0</v>
      </c>
      <c r="F3283" t="s">
        <v>12328</v>
      </c>
      <c r="G3283">
        <v>200</v>
      </c>
      <c r="H3283">
        <v>0</v>
      </c>
      <c r="I3283" t="s">
        <v>24</v>
      </c>
      <c r="J3283" t="s">
        <v>12329</v>
      </c>
      <c r="K3283" t="s">
        <v>67</v>
      </c>
      <c r="L3283" t="s">
        <v>27</v>
      </c>
      <c r="M3283" t="s">
        <v>28</v>
      </c>
      <c r="N3283" t="s">
        <v>12330</v>
      </c>
      <c r="O3283" t="s">
        <v>27</v>
      </c>
      <c r="P3283" t="s">
        <v>39</v>
      </c>
      <c r="Q3283" t="s">
        <v>31</v>
      </c>
      <c r="R3283" t="s">
        <v>32</v>
      </c>
      <c r="S3283" t="s">
        <v>28</v>
      </c>
      <c r="T3283" t="s">
        <v>12331</v>
      </c>
      <c r="U3283" t="s">
        <v>12332</v>
      </c>
    </row>
    <row r="3284" spans="1:21" x14ac:dyDescent="0.25">
      <c r="A3284" t="s">
        <v>63</v>
      </c>
      <c r="B3284" t="s">
        <v>64</v>
      </c>
      <c r="C3284">
        <v>100</v>
      </c>
      <c r="D3284">
        <v>1</v>
      </c>
      <c r="E3284">
        <v>0</v>
      </c>
      <c r="F3284" t="s">
        <v>12333</v>
      </c>
      <c r="G3284">
        <v>106</v>
      </c>
      <c r="H3284">
        <v>6</v>
      </c>
      <c r="I3284" t="s">
        <v>24</v>
      </c>
      <c r="J3284" t="s">
        <v>12334</v>
      </c>
      <c r="K3284" t="s">
        <v>171</v>
      </c>
      <c r="L3284" t="s">
        <v>27</v>
      </c>
      <c r="M3284" t="s">
        <v>28</v>
      </c>
      <c r="N3284" t="s">
        <v>12330</v>
      </c>
      <c r="O3284" t="s">
        <v>27</v>
      </c>
      <c r="P3284" t="s">
        <v>39</v>
      </c>
      <c r="Q3284" t="s">
        <v>31</v>
      </c>
      <c r="R3284" t="s">
        <v>32</v>
      </c>
      <c r="S3284" t="s">
        <v>28</v>
      </c>
      <c r="T3284" t="s">
        <v>12335</v>
      </c>
      <c r="U3284" t="s">
        <v>12330</v>
      </c>
    </row>
    <row r="3285" spans="1:21" x14ac:dyDescent="0.25">
      <c r="A3285" t="s">
        <v>21</v>
      </c>
      <c r="B3285" t="s">
        <v>22</v>
      </c>
      <c r="C3285">
        <v>100</v>
      </c>
      <c r="D3285">
        <v>1</v>
      </c>
      <c r="E3285">
        <v>0</v>
      </c>
      <c r="F3285" t="s">
        <v>12336</v>
      </c>
      <c r="G3285">
        <v>106</v>
      </c>
      <c r="H3285">
        <v>6</v>
      </c>
      <c r="I3285" t="s">
        <v>24</v>
      </c>
      <c r="J3285" t="s">
        <v>12337</v>
      </c>
      <c r="K3285" t="s">
        <v>1107</v>
      </c>
      <c r="L3285" t="s">
        <v>27</v>
      </c>
      <c r="M3285" t="s">
        <v>28</v>
      </c>
      <c r="N3285" t="s">
        <v>12330</v>
      </c>
      <c r="O3285" t="s">
        <v>27</v>
      </c>
      <c r="P3285" t="s">
        <v>39</v>
      </c>
      <c r="Q3285" t="s">
        <v>31</v>
      </c>
      <c r="R3285" t="s">
        <v>32</v>
      </c>
      <c r="S3285" t="s">
        <v>28</v>
      </c>
      <c r="T3285" t="s">
        <v>12338</v>
      </c>
      <c r="U3285" t="s">
        <v>12330</v>
      </c>
    </row>
    <row r="3286" spans="1:21" x14ac:dyDescent="0.25">
      <c r="A3286" t="s">
        <v>21</v>
      </c>
      <c r="B3286" t="s">
        <v>22</v>
      </c>
      <c r="C3286">
        <v>100</v>
      </c>
      <c r="D3286">
        <v>1</v>
      </c>
      <c r="E3286">
        <v>0</v>
      </c>
      <c r="F3286" t="s">
        <v>12339</v>
      </c>
      <c r="G3286">
        <v>100</v>
      </c>
      <c r="H3286">
        <v>0</v>
      </c>
      <c r="I3286" t="s">
        <v>24</v>
      </c>
      <c r="J3286" t="s">
        <v>12340</v>
      </c>
      <c r="K3286" t="s">
        <v>299</v>
      </c>
      <c r="L3286" t="s">
        <v>27</v>
      </c>
      <c r="M3286" t="s">
        <v>28</v>
      </c>
      <c r="N3286" t="s">
        <v>12330</v>
      </c>
      <c r="O3286" t="s">
        <v>27</v>
      </c>
      <c r="P3286" t="s">
        <v>39</v>
      </c>
      <c r="Q3286" t="s">
        <v>31</v>
      </c>
      <c r="R3286" t="s">
        <v>32</v>
      </c>
      <c r="S3286" t="s">
        <v>28</v>
      </c>
      <c r="T3286" t="s">
        <v>12341</v>
      </c>
      <c r="U3286" t="s">
        <v>12330</v>
      </c>
    </row>
    <row r="3287" spans="1:21" x14ac:dyDescent="0.25">
      <c r="A3287" t="s">
        <v>21</v>
      </c>
      <c r="B3287" t="s">
        <v>22</v>
      </c>
      <c r="C3287">
        <v>100</v>
      </c>
      <c r="D3287">
        <v>1</v>
      </c>
      <c r="E3287">
        <v>0</v>
      </c>
      <c r="F3287" t="s">
        <v>12342</v>
      </c>
      <c r="G3287">
        <v>106</v>
      </c>
      <c r="H3287">
        <v>6</v>
      </c>
      <c r="I3287" t="s">
        <v>445</v>
      </c>
      <c r="J3287" t="s">
        <v>12343</v>
      </c>
      <c r="K3287" t="s">
        <v>73</v>
      </c>
      <c r="L3287" t="s">
        <v>27</v>
      </c>
      <c r="M3287" t="s">
        <v>28</v>
      </c>
      <c r="N3287" t="s">
        <v>12330</v>
      </c>
      <c r="O3287" t="s">
        <v>27</v>
      </c>
      <c r="P3287" t="s">
        <v>56</v>
      </c>
      <c r="Q3287" t="s">
        <v>31</v>
      </c>
      <c r="R3287" t="s">
        <v>57</v>
      </c>
      <c r="S3287" t="s">
        <v>28</v>
      </c>
      <c r="T3287" t="s">
        <v>12344</v>
      </c>
      <c r="U3287" t="s">
        <v>12345</v>
      </c>
    </row>
    <row r="3288" spans="1:21" x14ac:dyDescent="0.25">
      <c r="A3288" t="s">
        <v>33</v>
      </c>
      <c r="B3288" t="s">
        <v>34</v>
      </c>
      <c r="C3288">
        <v>200</v>
      </c>
      <c r="D3288">
        <v>1</v>
      </c>
      <c r="E3288">
        <v>0</v>
      </c>
      <c r="F3288" t="s">
        <v>12346</v>
      </c>
      <c r="G3288">
        <v>200</v>
      </c>
      <c r="H3288">
        <v>0</v>
      </c>
      <c r="I3288" t="s">
        <v>24</v>
      </c>
      <c r="J3288" t="s">
        <v>12347</v>
      </c>
      <c r="K3288" t="s">
        <v>89</v>
      </c>
      <c r="L3288" t="s">
        <v>27</v>
      </c>
      <c r="M3288" t="s">
        <v>28</v>
      </c>
      <c r="N3288" t="s">
        <v>12348</v>
      </c>
      <c r="O3288" t="s">
        <v>27</v>
      </c>
      <c r="P3288" t="s">
        <v>39</v>
      </c>
      <c r="Q3288" t="s">
        <v>31</v>
      </c>
      <c r="R3288" t="s">
        <v>32</v>
      </c>
      <c r="S3288" t="s">
        <v>28</v>
      </c>
      <c r="T3288" t="s">
        <v>12349</v>
      </c>
      <c r="U3288" t="s">
        <v>12348</v>
      </c>
    </row>
    <row r="3289" spans="1:21" x14ac:dyDescent="0.25">
      <c r="A3289" t="s">
        <v>70</v>
      </c>
      <c r="B3289" t="s">
        <v>70</v>
      </c>
      <c r="C3289">
        <v>350</v>
      </c>
      <c r="D3289">
        <v>1</v>
      </c>
      <c r="E3289">
        <v>0</v>
      </c>
      <c r="F3289" t="s">
        <v>12350</v>
      </c>
      <c r="G3289">
        <v>350</v>
      </c>
      <c r="H3289">
        <v>0</v>
      </c>
      <c r="I3289" t="s">
        <v>140</v>
      </c>
      <c r="J3289" t="s">
        <v>12351</v>
      </c>
      <c r="K3289" t="s">
        <v>491</v>
      </c>
      <c r="L3289" t="s">
        <v>27</v>
      </c>
      <c r="M3289" t="s">
        <v>28</v>
      </c>
      <c r="N3289" t="s">
        <v>12348</v>
      </c>
      <c r="O3289" t="s">
        <v>27</v>
      </c>
      <c r="P3289" t="s">
        <v>30</v>
      </c>
      <c r="Q3289" t="s">
        <v>31</v>
      </c>
      <c r="R3289" t="s">
        <v>32</v>
      </c>
      <c r="S3289" t="s">
        <v>28</v>
      </c>
      <c r="T3289" t="s">
        <v>12352</v>
      </c>
      <c r="U3289" t="s">
        <v>12348</v>
      </c>
    </row>
    <row r="3290" spans="1:21" x14ac:dyDescent="0.25">
      <c r="A3290" t="s">
        <v>134</v>
      </c>
      <c r="B3290" t="s">
        <v>64</v>
      </c>
      <c r="C3290">
        <v>100</v>
      </c>
      <c r="D3290">
        <v>2</v>
      </c>
      <c r="E3290">
        <v>0</v>
      </c>
      <c r="F3290" t="s">
        <v>12353</v>
      </c>
      <c r="G3290">
        <v>200</v>
      </c>
      <c r="H3290">
        <v>0</v>
      </c>
      <c r="I3290" t="s">
        <v>24</v>
      </c>
      <c r="J3290" t="s">
        <v>12354</v>
      </c>
      <c r="K3290" t="s">
        <v>54</v>
      </c>
      <c r="L3290" t="s">
        <v>27</v>
      </c>
      <c r="M3290" t="s">
        <v>28</v>
      </c>
      <c r="N3290" t="s">
        <v>12355</v>
      </c>
      <c r="O3290" t="s">
        <v>27</v>
      </c>
      <c r="P3290" t="s">
        <v>39</v>
      </c>
      <c r="Q3290" t="s">
        <v>31</v>
      </c>
      <c r="R3290" t="s">
        <v>32</v>
      </c>
      <c r="S3290" t="s">
        <v>28</v>
      </c>
      <c r="T3290" t="s">
        <v>12356</v>
      </c>
      <c r="U3290" t="s">
        <v>12357</v>
      </c>
    </row>
    <row r="3291" spans="1:21" x14ac:dyDescent="0.25">
      <c r="A3291" t="s">
        <v>21</v>
      </c>
      <c r="B3291" t="s">
        <v>22</v>
      </c>
      <c r="C3291">
        <v>100</v>
      </c>
      <c r="D3291">
        <v>2</v>
      </c>
      <c r="E3291">
        <v>0</v>
      </c>
      <c r="F3291" t="s">
        <v>12358</v>
      </c>
      <c r="G3291">
        <v>200</v>
      </c>
      <c r="H3291">
        <v>0</v>
      </c>
      <c r="I3291" t="s">
        <v>445</v>
      </c>
      <c r="J3291" t="s">
        <v>12359</v>
      </c>
      <c r="K3291" t="s">
        <v>250</v>
      </c>
      <c r="L3291" t="s">
        <v>27</v>
      </c>
      <c r="M3291" t="s">
        <v>28</v>
      </c>
      <c r="N3291" t="s">
        <v>12355</v>
      </c>
      <c r="O3291" t="s">
        <v>27</v>
      </c>
      <c r="P3291" t="s">
        <v>56</v>
      </c>
      <c r="Q3291" t="s">
        <v>31</v>
      </c>
      <c r="R3291" t="s">
        <v>57</v>
      </c>
      <c r="S3291" t="s">
        <v>28</v>
      </c>
      <c r="T3291" t="s">
        <v>12360</v>
      </c>
      <c r="U3291" t="s">
        <v>12355</v>
      </c>
    </row>
    <row r="3292" spans="1:21" x14ac:dyDescent="0.25">
      <c r="A3292" t="s">
        <v>143</v>
      </c>
      <c r="B3292" t="s">
        <v>144</v>
      </c>
      <c r="C3292">
        <v>200</v>
      </c>
      <c r="D3292">
        <v>1</v>
      </c>
      <c r="E3292">
        <v>0</v>
      </c>
      <c r="F3292" t="s">
        <v>12361</v>
      </c>
      <c r="G3292">
        <v>200</v>
      </c>
      <c r="H3292">
        <v>0</v>
      </c>
      <c r="I3292" t="s">
        <v>445</v>
      </c>
      <c r="J3292" t="s">
        <v>7247</v>
      </c>
      <c r="K3292" t="s">
        <v>350</v>
      </c>
      <c r="L3292" t="s">
        <v>27</v>
      </c>
      <c r="M3292" t="s">
        <v>28</v>
      </c>
      <c r="N3292" t="s">
        <v>12362</v>
      </c>
      <c r="O3292" t="s">
        <v>27</v>
      </c>
      <c r="P3292" t="s">
        <v>39</v>
      </c>
      <c r="Q3292" t="s">
        <v>31</v>
      </c>
      <c r="R3292" t="s">
        <v>32</v>
      </c>
      <c r="S3292" t="s">
        <v>28</v>
      </c>
      <c r="T3292" t="s">
        <v>12363</v>
      </c>
      <c r="U3292" t="s">
        <v>12362</v>
      </c>
    </row>
    <row r="3293" spans="1:21" x14ac:dyDescent="0.25">
      <c r="A3293" t="s">
        <v>33</v>
      </c>
      <c r="B3293" t="s">
        <v>34</v>
      </c>
      <c r="C3293">
        <v>200</v>
      </c>
      <c r="D3293">
        <v>1</v>
      </c>
      <c r="E3293">
        <v>0</v>
      </c>
      <c r="F3293" t="s">
        <v>12364</v>
      </c>
      <c r="G3293">
        <v>200</v>
      </c>
      <c r="H3293">
        <v>0</v>
      </c>
      <c r="I3293" t="s">
        <v>24</v>
      </c>
      <c r="J3293" t="s">
        <v>12365</v>
      </c>
      <c r="K3293" t="s">
        <v>9195</v>
      </c>
      <c r="L3293" t="s">
        <v>27</v>
      </c>
      <c r="M3293" t="s">
        <v>28</v>
      </c>
      <c r="N3293" t="s">
        <v>12362</v>
      </c>
      <c r="O3293" t="s">
        <v>27</v>
      </c>
      <c r="P3293" t="s">
        <v>39</v>
      </c>
      <c r="Q3293" t="s">
        <v>31</v>
      </c>
      <c r="R3293" t="s">
        <v>32</v>
      </c>
      <c r="S3293" t="s">
        <v>28</v>
      </c>
      <c r="T3293" t="s">
        <v>12366</v>
      </c>
      <c r="U3293" t="s">
        <v>12362</v>
      </c>
    </row>
    <row r="3294" spans="1:21" x14ac:dyDescent="0.25">
      <c r="A3294" t="s">
        <v>21</v>
      </c>
      <c r="B3294" t="s">
        <v>22</v>
      </c>
      <c r="C3294">
        <v>100</v>
      </c>
      <c r="D3294">
        <v>2</v>
      </c>
      <c r="E3294">
        <v>0</v>
      </c>
      <c r="F3294" t="s">
        <v>12367</v>
      </c>
      <c r="G3294">
        <v>200</v>
      </c>
      <c r="H3294">
        <v>0</v>
      </c>
      <c r="I3294" t="s">
        <v>24</v>
      </c>
      <c r="J3294" t="s">
        <v>12368</v>
      </c>
      <c r="K3294" t="s">
        <v>61</v>
      </c>
      <c r="L3294" t="s">
        <v>27</v>
      </c>
      <c r="M3294" t="s">
        <v>28</v>
      </c>
      <c r="N3294" t="s">
        <v>12369</v>
      </c>
      <c r="O3294" t="s">
        <v>27</v>
      </c>
      <c r="P3294" t="s">
        <v>39</v>
      </c>
      <c r="Q3294" t="s">
        <v>31</v>
      </c>
      <c r="R3294" t="s">
        <v>32</v>
      </c>
      <c r="S3294" t="s">
        <v>28</v>
      </c>
      <c r="T3294" t="s">
        <v>12370</v>
      </c>
      <c r="U3294" t="s">
        <v>12369</v>
      </c>
    </row>
    <row r="3295" spans="1:21" x14ac:dyDescent="0.25">
      <c r="A3295" t="s">
        <v>63</v>
      </c>
      <c r="B3295" t="s">
        <v>64</v>
      </c>
      <c r="C3295">
        <v>100</v>
      </c>
      <c r="D3295">
        <v>2</v>
      </c>
      <c r="E3295">
        <v>0</v>
      </c>
      <c r="F3295" t="s">
        <v>12371</v>
      </c>
      <c r="G3295">
        <v>200</v>
      </c>
      <c r="H3295">
        <v>0</v>
      </c>
      <c r="I3295" t="s">
        <v>24</v>
      </c>
      <c r="J3295" t="s">
        <v>12372</v>
      </c>
      <c r="K3295" t="s">
        <v>273</v>
      </c>
      <c r="L3295" t="s">
        <v>27</v>
      </c>
      <c r="M3295" t="s">
        <v>28</v>
      </c>
      <c r="N3295" t="s">
        <v>12373</v>
      </c>
      <c r="O3295" t="s">
        <v>27</v>
      </c>
      <c r="P3295" t="s">
        <v>39</v>
      </c>
      <c r="Q3295" t="s">
        <v>31</v>
      </c>
      <c r="R3295" t="s">
        <v>32</v>
      </c>
      <c r="S3295" t="s">
        <v>28</v>
      </c>
      <c r="T3295" t="s">
        <v>12374</v>
      </c>
      <c r="U3295" t="s">
        <v>12373</v>
      </c>
    </row>
    <row r="3296" spans="1:21" x14ac:dyDescent="0.25">
      <c r="A3296" t="s">
        <v>143</v>
      </c>
      <c r="B3296" t="s">
        <v>144</v>
      </c>
      <c r="C3296">
        <v>200</v>
      </c>
      <c r="D3296">
        <v>1</v>
      </c>
      <c r="E3296">
        <v>0</v>
      </c>
      <c r="F3296" t="s">
        <v>12375</v>
      </c>
      <c r="G3296">
        <v>200</v>
      </c>
      <c r="H3296">
        <v>0</v>
      </c>
      <c r="I3296" t="s">
        <v>445</v>
      </c>
      <c r="J3296" t="s">
        <v>12376</v>
      </c>
      <c r="K3296" t="s">
        <v>451</v>
      </c>
      <c r="L3296" t="s">
        <v>27</v>
      </c>
      <c r="M3296" t="s">
        <v>28</v>
      </c>
      <c r="N3296" t="s">
        <v>12373</v>
      </c>
      <c r="O3296" t="s">
        <v>27</v>
      </c>
      <c r="P3296" t="s">
        <v>56</v>
      </c>
      <c r="Q3296" t="s">
        <v>31</v>
      </c>
      <c r="R3296" t="s">
        <v>57</v>
      </c>
      <c r="S3296" t="s">
        <v>28</v>
      </c>
      <c r="T3296" t="s">
        <v>12377</v>
      </c>
      <c r="U3296" t="s">
        <v>12373</v>
      </c>
    </row>
    <row r="3297" spans="1:21" x14ac:dyDescent="0.25">
      <c r="A3297" t="s">
        <v>58</v>
      </c>
      <c r="B3297" t="s">
        <v>58</v>
      </c>
      <c r="C3297">
        <v>100</v>
      </c>
      <c r="D3297">
        <v>2</v>
      </c>
      <c r="E3297">
        <v>0</v>
      </c>
      <c r="F3297" t="s">
        <v>12378</v>
      </c>
      <c r="G3297">
        <v>200</v>
      </c>
      <c r="H3297">
        <v>0</v>
      </c>
      <c r="I3297" t="s">
        <v>445</v>
      </c>
      <c r="J3297" t="s">
        <v>12379</v>
      </c>
      <c r="K3297" t="s">
        <v>12380</v>
      </c>
      <c r="L3297" t="s">
        <v>1868</v>
      </c>
      <c r="M3297" t="s">
        <v>749</v>
      </c>
      <c r="N3297" t="s">
        <v>12294</v>
      </c>
      <c r="O3297" t="s">
        <v>27</v>
      </c>
      <c r="P3297" t="s">
        <v>84</v>
      </c>
      <c r="Q3297" t="s">
        <v>85</v>
      </c>
      <c r="R3297" t="s">
        <v>86</v>
      </c>
      <c r="S3297" t="s">
        <v>28</v>
      </c>
      <c r="T3297" t="s">
        <v>12381</v>
      </c>
      <c r="U3297" t="s">
        <v>12373</v>
      </c>
    </row>
    <row r="3298" spans="1:21" x14ac:dyDescent="0.25">
      <c r="A3298" t="s">
        <v>21</v>
      </c>
      <c r="B3298" t="s">
        <v>22</v>
      </c>
      <c r="C3298">
        <v>100</v>
      </c>
      <c r="D3298">
        <v>1</v>
      </c>
      <c r="E3298">
        <v>0</v>
      </c>
      <c r="F3298" t="s">
        <v>12382</v>
      </c>
      <c r="G3298">
        <v>106</v>
      </c>
      <c r="H3298">
        <v>6</v>
      </c>
      <c r="I3298" t="s">
        <v>24</v>
      </c>
      <c r="J3298" t="s">
        <v>12383</v>
      </c>
      <c r="K3298" t="s">
        <v>137</v>
      </c>
      <c r="L3298" t="s">
        <v>27</v>
      </c>
      <c r="M3298" t="s">
        <v>28</v>
      </c>
      <c r="N3298" t="s">
        <v>12384</v>
      </c>
      <c r="O3298" t="s">
        <v>27</v>
      </c>
      <c r="P3298" t="s">
        <v>39</v>
      </c>
      <c r="Q3298" t="s">
        <v>31</v>
      </c>
      <c r="R3298" t="s">
        <v>32</v>
      </c>
      <c r="S3298" t="s">
        <v>28</v>
      </c>
      <c r="T3298" t="s">
        <v>12385</v>
      </c>
      <c r="U3298" t="s">
        <v>12384</v>
      </c>
    </row>
    <row r="3299" spans="1:21" x14ac:dyDescent="0.25">
      <c r="A3299" t="s">
        <v>33</v>
      </c>
      <c r="B3299" t="s">
        <v>34</v>
      </c>
      <c r="C3299">
        <v>200</v>
      </c>
      <c r="D3299">
        <v>1</v>
      </c>
      <c r="E3299">
        <v>0</v>
      </c>
      <c r="F3299" t="s">
        <v>12386</v>
      </c>
      <c r="G3299">
        <v>200</v>
      </c>
      <c r="H3299">
        <v>0</v>
      </c>
      <c r="I3299" t="s">
        <v>24</v>
      </c>
      <c r="J3299" t="s">
        <v>12387</v>
      </c>
      <c r="K3299" t="s">
        <v>26</v>
      </c>
      <c r="L3299" t="s">
        <v>27</v>
      </c>
      <c r="M3299" t="s">
        <v>28</v>
      </c>
      <c r="N3299" t="s">
        <v>12388</v>
      </c>
      <c r="O3299" t="s">
        <v>27</v>
      </c>
      <c r="P3299" t="s">
        <v>39</v>
      </c>
      <c r="Q3299" t="s">
        <v>31</v>
      </c>
      <c r="R3299" t="s">
        <v>32</v>
      </c>
      <c r="S3299" t="s">
        <v>28</v>
      </c>
      <c r="T3299" t="s">
        <v>12389</v>
      </c>
      <c r="U3299" t="s">
        <v>12388</v>
      </c>
    </row>
    <row r="3300" spans="1:21" x14ac:dyDescent="0.25">
      <c r="A3300" t="s">
        <v>33</v>
      </c>
      <c r="B3300" t="s">
        <v>34</v>
      </c>
      <c r="C3300">
        <v>200</v>
      </c>
      <c r="D3300">
        <v>1</v>
      </c>
      <c r="E3300">
        <v>0</v>
      </c>
      <c r="F3300" t="s">
        <v>12390</v>
      </c>
      <c r="G3300">
        <v>200</v>
      </c>
      <c r="H3300">
        <v>0</v>
      </c>
      <c r="I3300" t="s">
        <v>445</v>
      </c>
      <c r="J3300" t="s">
        <v>12391</v>
      </c>
      <c r="K3300" t="s">
        <v>1989</v>
      </c>
      <c r="L3300" t="s">
        <v>27</v>
      </c>
      <c r="M3300" t="s">
        <v>28</v>
      </c>
      <c r="N3300" t="s">
        <v>12392</v>
      </c>
      <c r="O3300" t="s">
        <v>27</v>
      </c>
      <c r="P3300" t="s">
        <v>30</v>
      </c>
      <c r="Q3300" t="s">
        <v>31</v>
      </c>
      <c r="R3300" t="s">
        <v>32</v>
      </c>
      <c r="S3300" t="s">
        <v>28</v>
      </c>
      <c r="T3300" t="s">
        <v>12393</v>
      </c>
      <c r="U3300" t="s">
        <v>12392</v>
      </c>
    </row>
    <row r="3301" spans="1:21" x14ac:dyDescent="0.25">
      <c r="A3301" t="s">
        <v>456</v>
      </c>
      <c r="B3301" t="s">
        <v>457</v>
      </c>
      <c r="C3301">
        <v>199</v>
      </c>
      <c r="D3301">
        <v>1</v>
      </c>
      <c r="E3301">
        <v>0</v>
      </c>
      <c r="F3301" t="s">
        <v>12394</v>
      </c>
      <c r="G3301">
        <v>199</v>
      </c>
      <c r="H3301">
        <v>0</v>
      </c>
      <c r="I3301" t="s">
        <v>24</v>
      </c>
      <c r="J3301" t="s">
        <v>12395</v>
      </c>
      <c r="K3301" t="s">
        <v>12396</v>
      </c>
      <c r="L3301" t="s">
        <v>12397</v>
      </c>
      <c r="M3301" t="s">
        <v>12398</v>
      </c>
      <c r="N3301" t="s">
        <v>12392</v>
      </c>
      <c r="O3301" t="s">
        <v>27</v>
      </c>
      <c r="P3301" t="s">
        <v>193</v>
      </c>
      <c r="Q3301" t="s">
        <v>85</v>
      </c>
      <c r="R3301" t="s">
        <v>86</v>
      </c>
      <c r="S3301" t="s">
        <v>28</v>
      </c>
      <c r="T3301" t="s">
        <v>12399</v>
      </c>
      <c r="U3301" t="s">
        <v>12392</v>
      </c>
    </row>
    <row r="3302" spans="1:21" x14ac:dyDescent="0.25">
      <c r="A3302" t="s">
        <v>21</v>
      </c>
      <c r="B3302" t="s">
        <v>22</v>
      </c>
      <c r="C3302">
        <v>100</v>
      </c>
      <c r="D3302">
        <v>1</v>
      </c>
      <c r="E3302">
        <v>0</v>
      </c>
      <c r="F3302" t="s">
        <v>12400</v>
      </c>
      <c r="G3302">
        <v>106</v>
      </c>
      <c r="H3302">
        <v>6</v>
      </c>
      <c r="I3302" t="s">
        <v>24</v>
      </c>
      <c r="J3302" t="s">
        <v>12401</v>
      </c>
      <c r="K3302" t="s">
        <v>325</v>
      </c>
      <c r="L3302" t="s">
        <v>27</v>
      </c>
      <c r="M3302" t="s">
        <v>28</v>
      </c>
      <c r="N3302" t="s">
        <v>12402</v>
      </c>
      <c r="O3302" t="s">
        <v>27</v>
      </c>
      <c r="P3302" t="s">
        <v>39</v>
      </c>
      <c r="Q3302" t="s">
        <v>31</v>
      </c>
      <c r="R3302" t="s">
        <v>32</v>
      </c>
      <c r="S3302" t="s">
        <v>28</v>
      </c>
      <c r="T3302" t="s">
        <v>12403</v>
      </c>
      <c r="U3302" t="s">
        <v>12402</v>
      </c>
    </row>
    <row r="3303" spans="1:21" x14ac:dyDescent="0.25">
      <c r="A3303" t="s">
        <v>33</v>
      </c>
      <c r="B3303" t="s">
        <v>34</v>
      </c>
      <c r="C3303">
        <v>200</v>
      </c>
      <c r="D3303">
        <v>1</v>
      </c>
      <c r="E3303">
        <v>0</v>
      </c>
      <c r="F3303" t="s">
        <v>12404</v>
      </c>
      <c r="G3303">
        <v>200</v>
      </c>
      <c r="H3303">
        <v>0</v>
      </c>
      <c r="I3303" t="s">
        <v>24</v>
      </c>
      <c r="J3303" t="s">
        <v>3939</v>
      </c>
      <c r="K3303" t="s">
        <v>384</v>
      </c>
      <c r="L3303" t="s">
        <v>27</v>
      </c>
      <c r="M3303" t="s">
        <v>28</v>
      </c>
      <c r="N3303" t="s">
        <v>12402</v>
      </c>
      <c r="O3303" t="s">
        <v>27</v>
      </c>
      <c r="P3303" t="s">
        <v>369</v>
      </c>
      <c r="Q3303" t="s">
        <v>31</v>
      </c>
      <c r="R3303" t="s">
        <v>57</v>
      </c>
      <c r="S3303" t="s">
        <v>28</v>
      </c>
      <c r="T3303" t="s">
        <v>12405</v>
      </c>
      <c r="U3303" t="s">
        <v>12402</v>
      </c>
    </row>
    <row r="3304" spans="1:21" x14ac:dyDescent="0.25">
      <c r="A3304" t="s">
        <v>70</v>
      </c>
      <c r="B3304" t="s">
        <v>70</v>
      </c>
      <c r="C3304">
        <v>330</v>
      </c>
      <c r="D3304">
        <v>1</v>
      </c>
      <c r="E3304">
        <v>0</v>
      </c>
      <c r="F3304" t="s">
        <v>12406</v>
      </c>
      <c r="G3304">
        <v>330</v>
      </c>
      <c r="H3304">
        <v>0</v>
      </c>
      <c r="I3304" t="s">
        <v>24</v>
      </c>
      <c r="J3304" t="s">
        <v>12407</v>
      </c>
      <c r="K3304" t="s">
        <v>89</v>
      </c>
      <c r="L3304" t="s">
        <v>27</v>
      </c>
      <c r="M3304" t="s">
        <v>28</v>
      </c>
      <c r="N3304" t="s">
        <v>12408</v>
      </c>
      <c r="O3304" t="s">
        <v>27</v>
      </c>
      <c r="P3304" t="s">
        <v>39</v>
      </c>
      <c r="Q3304" t="s">
        <v>31</v>
      </c>
      <c r="R3304" t="s">
        <v>32</v>
      </c>
      <c r="S3304" t="s">
        <v>28</v>
      </c>
      <c r="T3304" t="s">
        <v>12409</v>
      </c>
      <c r="U3304" t="s">
        <v>12408</v>
      </c>
    </row>
    <row r="3305" spans="1:21" x14ac:dyDescent="0.25">
      <c r="A3305" t="s">
        <v>33</v>
      </c>
      <c r="B3305" t="s">
        <v>34</v>
      </c>
      <c r="C3305">
        <v>200</v>
      </c>
      <c r="D3305">
        <v>1</v>
      </c>
      <c r="E3305">
        <v>0</v>
      </c>
      <c r="F3305" t="s">
        <v>12410</v>
      </c>
      <c r="G3305">
        <v>200</v>
      </c>
      <c r="H3305">
        <v>0</v>
      </c>
      <c r="I3305" t="s">
        <v>24</v>
      </c>
      <c r="J3305" t="s">
        <v>12411</v>
      </c>
      <c r="K3305" t="s">
        <v>12412</v>
      </c>
      <c r="L3305" t="s">
        <v>27</v>
      </c>
      <c r="M3305" t="s">
        <v>28</v>
      </c>
      <c r="N3305" t="s">
        <v>12413</v>
      </c>
      <c r="O3305" t="s">
        <v>27</v>
      </c>
      <c r="P3305" t="s">
        <v>39</v>
      </c>
      <c r="Q3305" t="s">
        <v>31</v>
      </c>
      <c r="R3305" t="s">
        <v>32</v>
      </c>
      <c r="S3305" t="s">
        <v>28</v>
      </c>
      <c r="T3305" t="s">
        <v>12414</v>
      </c>
      <c r="U3305" t="s">
        <v>12413</v>
      </c>
    </row>
    <row r="3306" spans="1:21" x14ac:dyDescent="0.25">
      <c r="A3306" t="s">
        <v>21</v>
      </c>
      <c r="B3306" t="s">
        <v>22</v>
      </c>
      <c r="C3306">
        <v>100</v>
      </c>
      <c r="D3306">
        <v>1</v>
      </c>
      <c r="E3306">
        <v>0</v>
      </c>
      <c r="F3306" t="s">
        <v>12415</v>
      </c>
      <c r="G3306">
        <v>129</v>
      </c>
      <c r="H3306">
        <v>29</v>
      </c>
      <c r="I3306" t="s">
        <v>140</v>
      </c>
      <c r="J3306" t="s">
        <v>12416</v>
      </c>
      <c r="K3306" t="s">
        <v>247</v>
      </c>
      <c r="L3306" t="s">
        <v>27</v>
      </c>
      <c r="M3306" t="s">
        <v>28</v>
      </c>
      <c r="N3306" t="s">
        <v>12417</v>
      </c>
      <c r="O3306" t="s">
        <v>27</v>
      </c>
      <c r="P3306" t="s">
        <v>369</v>
      </c>
      <c r="Q3306" t="s">
        <v>31</v>
      </c>
      <c r="R3306" t="s">
        <v>57</v>
      </c>
      <c r="S3306" t="s">
        <v>28</v>
      </c>
      <c r="T3306" t="s">
        <v>12418</v>
      </c>
      <c r="U3306" t="s">
        <v>12419</v>
      </c>
    </row>
    <row r="3307" spans="1:21" x14ac:dyDescent="0.25">
      <c r="A3307" t="s">
        <v>21</v>
      </c>
      <c r="B3307" t="s">
        <v>22</v>
      </c>
      <c r="C3307">
        <v>100</v>
      </c>
      <c r="D3307">
        <v>1</v>
      </c>
      <c r="E3307">
        <v>0</v>
      </c>
      <c r="F3307" t="s">
        <v>12420</v>
      </c>
      <c r="G3307">
        <v>106</v>
      </c>
      <c r="H3307">
        <v>6</v>
      </c>
      <c r="I3307" t="s">
        <v>24</v>
      </c>
      <c r="J3307" t="s">
        <v>12421</v>
      </c>
      <c r="K3307" t="s">
        <v>325</v>
      </c>
      <c r="L3307" t="s">
        <v>27</v>
      </c>
      <c r="M3307" t="s">
        <v>28</v>
      </c>
      <c r="N3307" t="s">
        <v>12419</v>
      </c>
      <c r="O3307" t="s">
        <v>27</v>
      </c>
      <c r="P3307" t="s">
        <v>39</v>
      </c>
      <c r="Q3307" t="s">
        <v>31</v>
      </c>
      <c r="R3307" t="s">
        <v>32</v>
      </c>
      <c r="S3307" t="s">
        <v>28</v>
      </c>
      <c r="T3307" t="s">
        <v>12422</v>
      </c>
      <c r="U3307" t="s">
        <v>12419</v>
      </c>
    </row>
    <row r="3308" spans="1:21" x14ac:dyDescent="0.25">
      <c r="A3308" t="s">
        <v>2990</v>
      </c>
      <c r="B3308" t="s">
        <v>2169</v>
      </c>
      <c r="C3308">
        <v>198.2</v>
      </c>
      <c r="D3308">
        <v>1</v>
      </c>
      <c r="E3308">
        <v>0</v>
      </c>
      <c r="F3308" t="s">
        <v>12423</v>
      </c>
      <c r="G3308">
        <v>203.2</v>
      </c>
      <c r="H3308">
        <v>5</v>
      </c>
      <c r="I3308" t="s">
        <v>24</v>
      </c>
      <c r="J3308" t="s">
        <v>12424</v>
      </c>
      <c r="K3308" t="s">
        <v>12425</v>
      </c>
      <c r="L3308" t="s">
        <v>2968</v>
      </c>
      <c r="M3308" t="s">
        <v>12426</v>
      </c>
      <c r="N3308" t="s">
        <v>12419</v>
      </c>
      <c r="O3308" t="s">
        <v>27</v>
      </c>
      <c r="P3308" t="s">
        <v>48</v>
      </c>
      <c r="Q3308" t="s">
        <v>49</v>
      </c>
      <c r="R3308" t="s">
        <v>50</v>
      </c>
      <c r="S3308" t="s">
        <v>28</v>
      </c>
      <c r="T3308" t="s">
        <v>12427</v>
      </c>
      <c r="U3308" t="s">
        <v>12419</v>
      </c>
    </row>
    <row r="3309" spans="1:21" x14ac:dyDescent="0.25">
      <c r="A3309" t="s">
        <v>70</v>
      </c>
      <c r="B3309" t="s">
        <v>70</v>
      </c>
      <c r="C3309">
        <v>330</v>
      </c>
      <c r="D3309">
        <v>1</v>
      </c>
      <c r="E3309">
        <v>0</v>
      </c>
      <c r="F3309" t="s">
        <v>12428</v>
      </c>
      <c r="G3309">
        <v>330</v>
      </c>
      <c r="H3309">
        <v>0</v>
      </c>
      <c r="I3309" t="s">
        <v>24</v>
      </c>
      <c r="J3309" t="s">
        <v>12429</v>
      </c>
      <c r="K3309" t="s">
        <v>285</v>
      </c>
      <c r="L3309" t="s">
        <v>27</v>
      </c>
      <c r="M3309" t="s">
        <v>28</v>
      </c>
      <c r="N3309" t="s">
        <v>12430</v>
      </c>
      <c r="O3309" t="s">
        <v>27</v>
      </c>
      <c r="P3309" t="s">
        <v>39</v>
      </c>
      <c r="Q3309" t="s">
        <v>31</v>
      </c>
      <c r="R3309" t="s">
        <v>32</v>
      </c>
      <c r="S3309" t="s">
        <v>28</v>
      </c>
      <c r="T3309" t="s">
        <v>12431</v>
      </c>
      <c r="U3309" t="s">
        <v>12430</v>
      </c>
    </row>
    <row r="3310" spans="1:21" x14ac:dyDescent="0.25">
      <c r="A3310" t="s">
        <v>70</v>
      </c>
      <c r="B3310" t="s">
        <v>70</v>
      </c>
      <c r="C3310">
        <v>330</v>
      </c>
      <c r="D3310">
        <v>1</v>
      </c>
      <c r="E3310">
        <v>0</v>
      </c>
      <c r="F3310" t="s">
        <v>12432</v>
      </c>
      <c r="G3310">
        <v>330</v>
      </c>
      <c r="H3310">
        <v>0</v>
      </c>
      <c r="I3310" t="s">
        <v>24</v>
      </c>
      <c r="J3310" t="s">
        <v>7247</v>
      </c>
      <c r="K3310" t="s">
        <v>350</v>
      </c>
      <c r="L3310" t="s">
        <v>27</v>
      </c>
      <c r="M3310" t="s">
        <v>28</v>
      </c>
      <c r="N3310" t="s">
        <v>12430</v>
      </c>
      <c r="O3310" t="s">
        <v>27</v>
      </c>
      <c r="P3310" t="s">
        <v>39</v>
      </c>
      <c r="Q3310" t="s">
        <v>31</v>
      </c>
      <c r="R3310" t="s">
        <v>32</v>
      </c>
      <c r="S3310" t="s">
        <v>28</v>
      </c>
      <c r="T3310" t="s">
        <v>12433</v>
      </c>
      <c r="U3310" t="s">
        <v>12430</v>
      </c>
    </row>
    <row r="3311" spans="1:21" x14ac:dyDescent="0.25">
      <c r="A3311" t="s">
        <v>21</v>
      </c>
      <c r="B3311" t="s">
        <v>22</v>
      </c>
      <c r="C3311">
        <v>100</v>
      </c>
      <c r="D3311">
        <v>1</v>
      </c>
      <c r="E3311">
        <v>0</v>
      </c>
      <c r="F3311" t="s">
        <v>12434</v>
      </c>
      <c r="G3311">
        <v>106</v>
      </c>
      <c r="H3311">
        <v>6</v>
      </c>
      <c r="I3311" t="s">
        <v>24</v>
      </c>
      <c r="J3311" t="s">
        <v>12435</v>
      </c>
      <c r="K3311" t="s">
        <v>118</v>
      </c>
      <c r="L3311" t="s">
        <v>27</v>
      </c>
      <c r="M3311" t="s">
        <v>28</v>
      </c>
      <c r="N3311" t="s">
        <v>12436</v>
      </c>
      <c r="O3311" t="s">
        <v>27</v>
      </c>
      <c r="P3311" t="s">
        <v>39</v>
      </c>
      <c r="Q3311" t="s">
        <v>31</v>
      </c>
      <c r="R3311" t="s">
        <v>32</v>
      </c>
      <c r="S3311" t="s">
        <v>28</v>
      </c>
      <c r="T3311" t="s">
        <v>12437</v>
      </c>
      <c r="U3311" t="s">
        <v>12430</v>
      </c>
    </row>
    <row r="3312" spans="1:21" x14ac:dyDescent="0.25">
      <c r="A3312" t="s">
        <v>143</v>
      </c>
      <c r="B3312" t="s">
        <v>144</v>
      </c>
      <c r="C3312">
        <v>200</v>
      </c>
      <c r="D3312">
        <v>1</v>
      </c>
      <c r="E3312">
        <v>0</v>
      </c>
      <c r="F3312" t="s">
        <v>12438</v>
      </c>
      <c r="G3312">
        <v>200</v>
      </c>
      <c r="H3312">
        <v>0</v>
      </c>
      <c r="I3312" t="s">
        <v>445</v>
      </c>
      <c r="J3312" t="s">
        <v>12439</v>
      </c>
      <c r="K3312" t="s">
        <v>118</v>
      </c>
      <c r="L3312" t="s">
        <v>27</v>
      </c>
      <c r="M3312" t="s">
        <v>28</v>
      </c>
      <c r="N3312" t="s">
        <v>12436</v>
      </c>
      <c r="O3312" t="s">
        <v>27</v>
      </c>
      <c r="P3312" t="s">
        <v>39</v>
      </c>
      <c r="Q3312" t="s">
        <v>31</v>
      </c>
      <c r="R3312" t="s">
        <v>32</v>
      </c>
      <c r="S3312" t="s">
        <v>28</v>
      </c>
      <c r="T3312" t="s">
        <v>12440</v>
      </c>
      <c r="U3312" t="s">
        <v>12436</v>
      </c>
    </row>
    <row r="3313" spans="1:21" x14ac:dyDescent="0.25">
      <c r="A3313" t="s">
        <v>33</v>
      </c>
      <c r="B3313" t="s">
        <v>34</v>
      </c>
      <c r="C3313">
        <v>200</v>
      </c>
      <c r="D3313">
        <v>1</v>
      </c>
      <c r="E3313">
        <v>0</v>
      </c>
      <c r="F3313" t="s">
        <v>12441</v>
      </c>
      <c r="G3313">
        <v>200</v>
      </c>
      <c r="H3313">
        <v>0</v>
      </c>
      <c r="I3313" t="s">
        <v>445</v>
      </c>
      <c r="J3313" t="s">
        <v>12442</v>
      </c>
      <c r="K3313" t="s">
        <v>325</v>
      </c>
      <c r="L3313" t="s">
        <v>27</v>
      </c>
      <c r="M3313" t="s">
        <v>28</v>
      </c>
      <c r="N3313" t="s">
        <v>12443</v>
      </c>
      <c r="O3313" t="s">
        <v>27</v>
      </c>
      <c r="P3313" t="s">
        <v>56</v>
      </c>
      <c r="Q3313" t="s">
        <v>31</v>
      </c>
      <c r="R3313" t="s">
        <v>57</v>
      </c>
      <c r="S3313" t="s">
        <v>28</v>
      </c>
      <c r="T3313" t="s">
        <v>12444</v>
      </c>
      <c r="U3313" t="s">
        <v>12443</v>
      </c>
    </row>
    <row r="3314" spans="1:21" x14ac:dyDescent="0.25">
      <c r="A3314" t="s">
        <v>70</v>
      </c>
      <c r="B3314" t="s">
        <v>70</v>
      </c>
      <c r="C3314">
        <v>350</v>
      </c>
      <c r="D3314">
        <v>1</v>
      </c>
      <c r="E3314">
        <v>0</v>
      </c>
      <c r="F3314" t="s">
        <v>12445</v>
      </c>
      <c r="G3314">
        <v>350</v>
      </c>
      <c r="H3314">
        <v>0</v>
      </c>
      <c r="I3314" t="s">
        <v>140</v>
      </c>
      <c r="J3314" t="s">
        <v>12446</v>
      </c>
      <c r="K3314" t="s">
        <v>9195</v>
      </c>
      <c r="L3314" t="s">
        <v>27</v>
      </c>
      <c r="M3314" t="s">
        <v>28</v>
      </c>
      <c r="N3314" t="s">
        <v>12447</v>
      </c>
      <c r="O3314" t="s">
        <v>27</v>
      </c>
      <c r="P3314" t="s">
        <v>369</v>
      </c>
      <c r="Q3314" t="s">
        <v>31</v>
      </c>
      <c r="R3314" t="s">
        <v>57</v>
      </c>
      <c r="S3314" t="s">
        <v>28</v>
      </c>
      <c r="T3314" t="s">
        <v>12448</v>
      </c>
      <c r="U3314" t="s">
        <v>12447</v>
      </c>
    </row>
    <row r="3315" spans="1:21" x14ac:dyDescent="0.25">
      <c r="A3315" t="s">
        <v>63</v>
      </c>
      <c r="B3315" t="s">
        <v>64</v>
      </c>
      <c r="C3315">
        <v>150</v>
      </c>
      <c r="D3315">
        <v>1</v>
      </c>
      <c r="E3315">
        <v>0</v>
      </c>
      <c r="F3315" t="s">
        <v>12449</v>
      </c>
      <c r="G3315">
        <v>150</v>
      </c>
      <c r="H3315">
        <v>0</v>
      </c>
      <c r="I3315" t="s">
        <v>445</v>
      </c>
      <c r="J3315" t="s">
        <v>12450</v>
      </c>
      <c r="K3315" t="s">
        <v>12451</v>
      </c>
      <c r="L3315" t="s">
        <v>3825</v>
      </c>
      <c r="M3315" t="s">
        <v>11658</v>
      </c>
      <c r="N3315" t="s">
        <v>12452</v>
      </c>
      <c r="O3315" t="s">
        <v>27</v>
      </c>
      <c r="P3315" t="s">
        <v>84</v>
      </c>
      <c r="Q3315" t="s">
        <v>85</v>
      </c>
      <c r="R3315" t="s">
        <v>86</v>
      </c>
      <c r="S3315" t="s">
        <v>28</v>
      </c>
      <c r="T3315" t="s">
        <v>12453</v>
      </c>
      <c r="U3315" t="s">
        <v>12447</v>
      </c>
    </row>
    <row r="3316" spans="1:21" x14ac:dyDescent="0.25">
      <c r="A3316" t="s">
        <v>21</v>
      </c>
      <c r="B3316" t="s">
        <v>22</v>
      </c>
      <c r="C3316">
        <v>100</v>
      </c>
      <c r="D3316">
        <v>2</v>
      </c>
      <c r="E3316">
        <v>0</v>
      </c>
      <c r="F3316" t="s">
        <v>12454</v>
      </c>
      <c r="G3316">
        <v>200</v>
      </c>
      <c r="H3316">
        <v>0</v>
      </c>
      <c r="I3316" t="s">
        <v>24</v>
      </c>
      <c r="J3316" t="s">
        <v>12455</v>
      </c>
      <c r="K3316" t="s">
        <v>118</v>
      </c>
      <c r="L3316" t="s">
        <v>27</v>
      </c>
      <c r="M3316" t="s">
        <v>28</v>
      </c>
      <c r="N3316" t="s">
        <v>12456</v>
      </c>
      <c r="O3316" t="s">
        <v>27</v>
      </c>
      <c r="P3316" t="s">
        <v>39</v>
      </c>
      <c r="Q3316" t="s">
        <v>31</v>
      </c>
      <c r="R3316" t="s">
        <v>32</v>
      </c>
      <c r="S3316" t="s">
        <v>28</v>
      </c>
      <c r="T3316" t="s">
        <v>12457</v>
      </c>
      <c r="U3316" t="s">
        <v>12456</v>
      </c>
    </row>
    <row r="3317" spans="1:21" x14ac:dyDescent="0.25">
      <c r="A3317" t="s">
        <v>1513</v>
      </c>
      <c r="B3317" t="s">
        <v>1514</v>
      </c>
      <c r="C3317">
        <v>330</v>
      </c>
      <c r="D3317">
        <v>1</v>
      </c>
      <c r="E3317">
        <v>0</v>
      </c>
      <c r="F3317" t="s">
        <v>12458</v>
      </c>
      <c r="G3317">
        <v>330</v>
      </c>
      <c r="H3317">
        <v>0</v>
      </c>
      <c r="I3317" t="s">
        <v>24</v>
      </c>
      <c r="J3317" t="s">
        <v>12459</v>
      </c>
      <c r="K3317" t="s">
        <v>73</v>
      </c>
      <c r="L3317" t="s">
        <v>27</v>
      </c>
      <c r="M3317" t="s">
        <v>28</v>
      </c>
      <c r="N3317" t="s">
        <v>12456</v>
      </c>
      <c r="O3317" t="s">
        <v>27</v>
      </c>
      <c r="P3317" t="s">
        <v>39</v>
      </c>
      <c r="Q3317" t="s">
        <v>31</v>
      </c>
      <c r="R3317" t="s">
        <v>32</v>
      </c>
      <c r="S3317" t="s">
        <v>28</v>
      </c>
      <c r="T3317" t="s">
        <v>12460</v>
      </c>
      <c r="U3317" t="s">
        <v>12456</v>
      </c>
    </row>
    <row r="3318" spans="1:21" x14ac:dyDescent="0.25">
      <c r="A3318" t="s">
        <v>2307</v>
      </c>
      <c r="B3318" t="s">
        <v>2308</v>
      </c>
      <c r="C3318">
        <v>330</v>
      </c>
      <c r="D3318">
        <v>1</v>
      </c>
      <c r="E3318">
        <v>0</v>
      </c>
      <c r="F3318" t="s">
        <v>12461</v>
      </c>
      <c r="G3318">
        <v>330</v>
      </c>
      <c r="H3318">
        <v>0</v>
      </c>
      <c r="I3318" t="s">
        <v>24</v>
      </c>
      <c r="J3318" t="s">
        <v>12459</v>
      </c>
      <c r="K3318" t="s">
        <v>73</v>
      </c>
      <c r="L3318" t="s">
        <v>27</v>
      </c>
      <c r="M3318" t="s">
        <v>28</v>
      </c>
      <c r="N3318" t="s">
        <v>12462</v>
      </c>
      <c r="O3318" t="s">
        <v>27</v>
      </c>
      <c r="P3318" t="s">
        <v>39</v>
      </c>
      <c r="Q3318" t="s">
        <v>31</v>
      </c>
      <c r="R3318" t="s">
        <v>32</v>
      </c>
      <c r="S3318" t="s">
        <v>28</v>
      </c>
      <c r="T3318" t="s">
        <v>12463</v>
      </c>
      <c r="U3318" t="s">
        <v>12462</v>
      </c>
    </row>
    <row r="3319" spans="1:21" x14ac:dyDescent="0.25">
      <c r="A3319" t="s">
        <v>70</v>
      </c>
      <c r="B3319" t="s">
        <v>70</v>
      </c>
      <c r="C3319">
        <v>350</v>
      </c>
      <c r="D3319">
        <v>1</v>
      </c>
      <c r="E3319">
        <v>0</v>
      </c>
      <c r="F3319" t="s">
        <v>12464</v>
      </c>
      <c r="G3319">
        <v>350</v>
      </c>
      <c r="H3319">
        <v>0</v>
      </c>
      <c r="I3319" t="s">
        <v>140</v>
      </c>
      <c r="J3319" t="s">
        <v>12459</v>
      </c>
      <c r="K3319" t="s">
        <v>73</v>
      </c>
      <c r="L3319" t="s">
        <v>27</v>
      </c>
      <c r="M3319" t="s">
        <v>28</v>
      </c>
      <c r="N3319" t="s">
        <v>12465</v>
      </c>
      <c r="O3319" t="s">
        <v>27</v>
      </c>
      <c r="P3319" t="s">
        <v>30</v>
      </c>
      <c r="Q3319" t="s">
        <v>31</v>
      </c>
      <c r="R3319" t="s">
        <v>32</v>
      </c>
      <c r="S3319" t="s">
        <v>28</v>
      </c>
      <c r="T3319" t="s">
        <v>12466</v>
      </c>
      <c r="U3319" t="s">
        <v>12465</v>
      </c>
    </row>
    <row r="3320" spans="1:21" x14ac:dyDescent="0.25">
      <c r="A3320" t="s">
        <v>456</v>
      </c>
      <c r="B3320" t="s">
        <v>457</v>
      </c>
      <c r="C3320">
        <v>199</v>
      </c>
      <c r="D3320">
        <v>1</v>
      </c>
      <c r="E3320">
        <v>0</v>
      </c>
      <c r="F3320" t="s">
        <v>12467</v>
      </c>
      <c r="G3320">
        <v>199</v>
      </c>
      <c r="H3320">
        <v>0</v>
      </c>
      <c r="I3320" t="s">
        <v>24</v>
      </c>
      <c r="J3320" t="s">
        <v>12468</v>
      </c>
      <c r="K3320" t="s">
        <v>12469</v>
      </c>
      <c r="L3320" t="s">
        <v>885</v>
      </c>
      <c r="M3320" t="s">
        <v>886</v>
      </c>
      <c r="N3320" t="s">
        <v>12470</v>
      </c>
      <c r="O3320" t="s">
        <v>27</v>
      </c>
      <c r="P3320" t="s">
        <v>84</v>
      </c>
      <c r="Q3320" t="s">
        <v>85</v>
      </c>
      <c r="R3320" t="s">
        <v>86</v>
      </c>
      <c r="S3320" t="s">
        <v>28</v>
      </c>
      <c r="T3320" t="s">
        <v>12471</v>
      </c>
      <c r="U3320" t="s">
        <v>12472</v>
      </c>
    </row>
    <row r="3321" spans="1:21" x14ac:dyDescent="0.25">
      <c r="A3321" t="s">
        <v>21</v>
      </c>
      <c r="B3321" t="s">
        <v>22</v>
      </c>
      <c r="C3321">
        <v>100</v>
      </c>
      <c r="D3321">
        <v>1</v>
      </c>
      <c r="E3321">
        <v>0</v>
      </c>
      <c r="F3321" t="s">
        <v>12473</v>
      </c>
      <c r="G3321">
        <v>106</v>
      </c>
      <c r="H3321">
        <v>6</v>
      </c>
      <c r="I3321" t="s">
        <v>24</v>
      </c>
      <c r="J3321" t="s">
        <v>12474</v>
      </c>
      <c r="K3321" t="s">
        <v>9195</v>
      </c>
      <c r="L3321" t="s">
        <v>27</v>
      </c>
      <c r="M3321" t="s">
        <v>28</v>
      </c>
      <c r="N3321" t="s">
        <v>12475</v>
      </c>
      <c r="O3321" t="s">
        <v>27</v>
      </c>
      <c r="P3321" t="s">
        <v>39</v>
      </c>
      <c r="Q3321" t="s">
        <v>31</v>
      </c>
      <c r="R3321" t="s">
        <v>32</v>
      </c>
      <c r="S3321" t="s">
        <v>28</v>
      </c>
      <c r="T3321" t="s">
        <v>12476</v>
      </c>
      <c r="U3321" t="s">
        <v>12472</v>
      </c>
    </row>
    <row r="3322" spans="1:21" x14ac:dyDescent="0.25">
      <c r="A3322" t="s">
        <v>21</v>
      </c>
      <c r="B3322" t="s">
        <v>22</v>
      </c>
      <c r="C3322">
        <v>100</v>
      </c>
      <c r="D3322">
        <v>1</v>
      </c>
      <c r="E3322">
        <v>0</v>
      </c>
      <c r="F3322" t="s">
        <v>12477</v>
      </c>
      <c r="G3322">
        <v>106</v>
      </c>
      <c r="H3322">
        <v>6</v>
      </c>
      <c r="I3322" t="s">
        <v>445</v>
      </c>
      <c r="J3322" t="s">
        <v>12478</v>
      </c>
      <c r="K3322" t="s">
        <v>346</v>
      </c>
      <c r="L3322" t="s">
        <v>27</v>
      </c>
      <c r="M3322" t="s">
        <v>28</v>
      </c>
      <c r="N3322" t="s">
        <v>12475</v>
      </c>
      <c r="O3322" t="s">
        <v>27</v>
      </c>
      <c r="P3322" t="s">
        <v>39</v>
      </c>
      <c r="Q3322" t="s">
        <v>31</v>
      </c>
      <c r="R3322" t="s">
        <v>32</v>
      </c>
      <c r="S3322" t="s">
        <v>28</v>
      </c>
      <c r="T3322" t="s">
        <v>12479</v>
      </c>
      <c r="U3322" t="s">
        <v>12475</v>
      </c>
    </row>
    <row r="3323" spans="1:21" x14ac:dyDescent="0.25">
      <c r="A3323" t="s">
        <v>63</v>
      </c>
      <c r="B3323" t="s">
        <v>64</v>
      </c>
      <c r="C3323">
        <v>100</v>
      </c>
      <c r="D3323">
        <v>1</v>
      </c>
      <c r="E3323">
        <v>0</v>
      </c>
      <c r="F3323" t="s">
        <v>12480</v>
      </c>
      <c r="G3323">
        <v>106</v>
      </c>
      <c r="H3323">
        <v>6</v>
      </c>
      <c r="I3323" t="s">
        <v>445</v>
      </c>
      <c r="J3323" t="s">
        <v>12481</v>
      </c>
      <c r="K3323" t="s">
        <v>273</v>
      </c>
      <c r="L3323" t="s">
        <v>27</v>
      </c>
      <c r="M3323" t="s">
        <v>28</v>
      </c>
      <c r="N3323" t="s">
        <v>12475</v>
      </c>
      <c r="O3323" t="s">
        <v>27</v>
      </c>
      <c r="P3323" t="s">
        <v>56</v>
      </c>
      <c r="Q3323" t="s">
        <v>31</v>
      </c>
      <c r="R3323" t="s">
        <v>57</v>
      </c>
      <c r="S3323" t="s">
        <v>28</v>
      </c>
      <c r="T3323" t="s">
        <v>12482</v>
      </c>
      <c r="U3323" t="s">
        <v>12475</v>
      </c>
    </row>
    <row r="3324" spans="1:21" x14ac:dyDescent="0.25">
      <c r="A3324" t="s">
        <v>58</v>
      </c>
      <c r="B3324" t="s">
        <v>58</v>
      </c>
      <c r="C3324">
        <v>139.80000000000001</v>
      </c>
      <c r="D3324">
        <v>1</v>
      </c>
      <c r="E3324">
        <v>0</v>
      </c>
      <c r="F3324" t="s">
        <v>12483</v>
      </c>
      <c r="G3324">
        <v>139.80000000000001</v>
      </c>
      <c r="H3324">
        <v>0</v>
      </c>
      <c r="I3324" t="s">
        <v>24</v>
      </c>
      <c r="J3324" t="s">
        <v>12484</v>
      </c>
      <c r="K3324" t="s">
        <v>12485</v>
      </c>
      <c r="L3324" t="s">
        <v>4433</v>
      </c>
      <c r="M3324" t="s">
        <v>12486</v>
      </c>
      <c r="N3324" t="s">
        <v>12472</v>
      </c>
      <c r="O3324" t="s">
        <v>27</v>
      </c>
      <c r="P3324" t="s">
        <v>48</v>
      </c>
      <c r="Q3324" t="s">
        <v>49</v>
      </c>
      <c r="R3324" t="s">
        <v>50</v>
      </c>
      <c r="S3324" t="s">
        <v>28</v>
      </c>
      <c r="T3324" t="s">
        <v>12487</v>
      </c>
      <c r="U3324" t="s">
        <v>12488</v>
      </c>
    </row>
    <row r="3325" spans="1:21" x14ac:dyDescent="0.25">
      <c r="A3325" t="s">
        <v>70</v>
      </c>
      <c r="B3325" t="s">
        <v>70</v>
      </c>
      <c r="C3325">
        <v>350</v>
      </c>
      <c r="D3325">
        <v>1</v>
      </c>
      <c r="E3325">
        <v>0</v>
      </c>
      <c r="F3325" t="s">
        <v>12489</v>
      </c>
      <c r="G3325">
        <v>350</v>
      </c>
      <c r="H3325">
        <v>0</v>
      </c>
      <c r="I3325" t="s">
        <v>140</v>
      </c>
      <c r="J3325" t="s">
        <v>12490</v>
      </c>
      <c r="K3325" t="s">
        <v>358</v>
      </c>
      <c r="L3325" t="s">
        <v>27</v>
      </c>
      <c r="M3325" t="s">
        <v>28</v>
      </c>
      <c r="N3325" t="s">
        <v>12491</v>
      </c>
      <c r="O3325" t="s">
        <v>27</v>
      </c>
      <c r="P3325" t="s">
        <v>369</v>
      </c>
      <c r="Q3325" t="s">
        <v>31</v>
      </c>
      <c r="R3325" t="s">
        <v>57</v>
      </c>
      <c r="S3325" t="s">
        <v>28</v>
      </c>
      <c r="T3325" t="s">
        <v>12492</v>
      </c>
      <c r="U3325" t="s">
        <v>12491</v>
      </c>
    </row>
    <row r="3326" spans="1:21" x14ac:dyDescent="0.25">
      <c r="A3326" t="s">
        <v>134</v>
      </c>
      <c r="B3326" t="s">
        <v>64</v>
      </c>
      <c r="C3326">
        <v>100</v>
      </c>
      <c r="D3326">
        <v>1</v>
      </c>
      <c r="E3326">
        <v>0</v>
      </c>
      <c r="F3326" t="s">
        <v>12493</v>
      </c>
      <c r="G3326">
        <v>106</v>
      </c>
      <c r="H3326">
        <v>6</v>
      </c>
      <c r="I3326" t="s">
        <v>140</v>
      </c>
      <c r="J3326" t="s">
        <v>12494</v>
      </c>
      <c r="K3326" t="s">
        <v>54</v>
      </c>
      <c r="L3326" t="s">
        <v>27</v>
      </c>
      <c r="M3326" t="s">
        <v>28</v>
      </c>
      <c r="N3326" t="s">
        <v>12495</v>
      </c>
      <c r="O3326" t="s">
        <v>27</v>
      </c>
      <c r="P3326" t="s">
        <v>369</v>
      </c>
      <c r="Q3326" t="s">
        <v>31</v>
      </c>
      <c r="R3326" t="s">
        <v>57</v>
      </c>
      <c r="S3326" t="s">
        <v>28</v>
      </c>
      <c r="T3326" t="s">
        <v>12496</v>
      </c>
      <c r="U3326" t="s">
        <v>12495</v>
      </c>
    </row>
    <row r="3327" spans="1:21" x14ac:dyDescent="0.25">
      <c r="A3327" t="s">
        <v>58</v>
      </c>
      <c r="B3327" t="s">
        <v>103</v>
      </c>
      <c r="C3327">
        <v>84</v>
      </c>
      <c r="D3327">
        <v>1</v>
      </c>
      <c r="E3327">
        <v>0</v>
      </c>
      <c r="F3327" t="s">
        <v>12497</v>
      </c>
      <c r="G3327">
        <v>89</v>
      </c>
      <c r="H3327">
        <v>5</v>
      </c>
      <c r="I3327" t="s">
        <v>105</v>
      </c>
      <c r="J3327" t="s">
        <v>12498</v>
      </c>
      <c r="K3327" t="s">
        <v>12499</v>
      </c>
      <c r="L3327" t="s">
        <v>3515</v>
      </c>
      <c r="M3327" t="s">
        <v>12500</v>
      </c>
      <c r="N3327" t="s">
        <v>12501</v>
      </c>
      <c r="O3327" t="s">
        <v>27</v>
      </c>
      <c r="P3327" t="s">
        <v>48</v>
      </c>
      <c r="Q3327" t="s">
        <v>49</v>
      </c>
      <c r="R3327" t="s">
        <v>50</v>
      </c>
      <c r="S3327" t="s">
        <v>28</v>
      </c>
      <c r="T3327" t="s">
        <v>12502</v>
      </c>
      <c r="U3327" t="s">
        <v>12501</v>
      </c>
    </row>
    <row r="3328" spans="1:21" x14ac:dyDescent="0.25">
      <c r="A3328" t="s">
        <v>63</v>
      </c>
      <c r="B3328" t="s">
        <v>64</v>
      </c>
      <c r="C3328">
        <v>100</v>
      </c>
      <c r="D3328">
        <v>1</v>
      </c>
      <c r="E3328">
        <v>0</v>
      </c>
      <c r="F3328" t="s">
        <v>12503</v>
      </c>
      <c r="G3328">
        <v>106</v>
      </c>
      <c r="H3328">
        <v>6</v>
      </c>
      <c r="I3328" t="s">
        <v>140</v>
      </c>
      <c r="J3328" t="s">
        <v>12504</v>
      </c>
      <c r="K3328" t="s">
        <v>325</v>
      </c>
      <c r="L3328" t="s">
        <v>27</v>
      </c>
      <c r="M3328" t="s">
        <v>28</v>
      </c>
      <c r="N3328" t="s">
        <v>12505</v>
      </c>
      <c r="O3328" t="s">
        <v>27</v>
      </c>
      <c r="P3328" t="s">
        <v>30</v>
      </c>
      <c r="Q3328" t="s">
        <v>31</v>
      </c>
      <c r="R3328" t="s">
        <v>32</v>
      </c>
      <c r="S3328" t="s">
        <v>28</v>
      </c>
      <c r="T3328" t="s">
        <v>12506</v>
      </c>
      <c r="U3328" t="s">
        <v>12505</v>
      </c>
    </row>
    <row r="3329" spans="1:21" x14ac:dyDescent="0.25">
      <c r="A3329" t="s">
        <v>33</v>
      </c>
      <c r="B3329" t="s">
        <v>34</v>
      </c>
      <c r="C3329">
        <v>200</v>
      </c>
      <c r="D3329">
        <v>1</v>
      </c>
      <c r="E3329">
        <v>0</v>
      </c>
      <c r="F3329" t="s">
        <v>12507</v>
      </c>
      <c r="G3329">
        <v>200</v>
      </c>
      <c r="H3329">
        <v>0</v>
      </c>
      <c r="I3329" t="s">
        <v>445</v>
      </c>
      <c r="J3329" t="s">
        <v>12508</v>
      </c>
      <c r="K3329" t="s">
        <v>331</v>
      </c>
      <c r="L3329" t="s">
        <v>27</v>
      </c>
      <c r="M3329" t="s">
        <v>28</v>
      </c>
      <c r="N3329" t="s">
        <v>12505</v>
      </c>
      <c r="O3329" t="s">
        <v>27</v>
      </c>
      <c r="P3329" t="s">
        <v>39</v>
      </c>
      <c r="Q3329" t="s">
        <v>31</v>
      </c>
      <c r="R3329" t="s">
        <v>32</v>
      </c>
      <c r="S3329" t="s">
        <v>28</v>
      </c>
      <c r="T3329" t="s">
        <v>12509</v>
      </c>
      <c r="U3329" t="s">
        <v>12505</v>
      </c>
    </row>
    <row r="3330" spans="1:21" x14ac:dyDescent="0.25">
      <c r="A3330" t="s">
        <v>63</v>
      </c>
      <c r="B3330" t="s">
        <v>64</v>
      </c>
      <c r="C3330">
        <v>100</v>
      </c>
      <c r="D3330">
        <v>1</v>
      </c>
      <c r="E3330">
        <v>0</v>
      </c>
      <c r="F3330" t="s">
        <v>12510</v>
      </c>
      <c r="G3330">
        <v>200</v>
      </c>
      <c r="H3330">
        <v>0</v>
      </c>
      <c r="I3330" t="s">
        <v>445</v>
      </c>
      <c r="J3330" t="s">
        <v>12511</v>
      </c>
      <c r="K3330" t="s">
        <v>711</v>
      </c>
      <c r="L3330" t="s">
        <v>27</v>
      </c>
      <c r="M3330" t="s">
        <v>28</v>
      </c>
      <c r="N3330" t="s">
        <v>12512</v>
      </c>
      <c r="O3330" t="s">
        <v>27</v>
      </c>
      <c r="P3330" t="s">
        <v>39</v>
      </c>
      <c r="Q3330" t="s">
        <v>31</v>
      </c>
      <c r="R3330" t="s">
        <v>32</v>
      </c>
      <c r="S3330" t="s">
        <v>28</v>
      </c>
      <c r="T3330" t="s">
        <v>12513</v>
      </c>
      <c r="U3330" t="s">
        <v>12512</v>
      </c>
    </row>
    <row r="3331" spans="1:21" x14ac:dyDescent="0.25">
      <c r="A3331" t="s">
        <v>21</v>
      </c>
      <c r="B3331" t="s">
        <v>22</v>
      </c>
      <c r="C3331">
        <v>100</v>
      </c>
      <c r="D3331">
        <v>1</v>
      </c>
      <c r="E3331">
        <v>0</v>
      </c>
      <c r="F3331" t="s">
        <v>12510</v>
      </c>
      <c r="G3331">
        <v>200</v>
      </c>
      <c r="H3331">
        <v>0</v>
      </c>
      <c r="I3331" t="s">
        <v>445</v>
      </c>
      <c r="J3331" t="s">
        <v>12511</v>
      </c>
      <c r="K3331" t="s">
        <v>711</v>
      </c>
      <c r="L3331" t="s">
        <v>27</v>
      </c>
      <c r="M3331" t="s">
        <v>28</v>
      </c>
      <c r="N3331" t="s">
        <v>12512</v>
      </c>
      <c r="O3331" t="s">
        <v>27</v>
      </c>
      <c r="P3331" t="s">
        <v>39</v>
      </c>
      <c r="Q3331" t="s">
        <v>31</v>
      </c>
      <c r="R3331" t="s">
        <v>32</v>
      </c>
      <c r="S3331" t="s">
        <v>28</v>
      </c>
      <c r="T3331" t="s">
        <v>12513</v>
      </c>
      <c r="U3331" t="s">
        <v>12512</v>
      </c>
    </row>
    <row r="3332" spans="1:21" x14ac:dyDescent="0.25">
      <c r="A3332" t="s">
        <v>143</v>
      </c>
      <c r="B3332" t="s">
        <v>144</v>
      </c>
      <c r="C3332">
        <v>200</v>
      </c>
      <c r="D3332">
        <v>1</v>
      </c>
      <c r="E3332">
        <v>0</v>
      </c>
      <c r="F3332" t="s">
        <v>12514</v>
      </c>
      <c r="G3332">
        <v>200</v>
      </c>
      <c r="H3332">
        <v>0</v>
      </c>
      <c r="I3332" t="s">
        <v>24</v>
      </c>
      <c r="J3332" t="s">
        <v>12515</v>
      </c>
      <c r="K3332" t="s">
        <v>1029</v>
      </c>
      <c r="L3332" t="s">
        <v>27</v>
      </c>
      <c r="M3332" t="s">
        <v>28</v>
      </c>
      <c r="N3332" t="s">
        <v>12516</v>
      </c>
      <c r="O3332" t="s">
        <v>27</v>
      </c>
      <c r="P3332" t="s">
        <v>39</v>
      </c>
      <c r="Q3332" t="s">
        <v>31</v>
      </c>
      <c r="R3332" t="s">
        <v>32</v>
      </c>
      <c r="S3332" t="s">
        <v>28</v>
      </c>
      <c r="T3332" t="s">
        <v>12517</v>
      </c>
      <c r="U3332" t="s">
        <v>12516</v>
      </c>
    </row>
    <row r="3333" spans="1:21" x14ac:dyDescent="0.25">
      <c r="A3333" t="s">
        <v>63</v>
      </c>
      <c r="B3333" t="s">
        <v>64</v>
      </c>
      <c r="C3333">
        <v>100</v>
      </c>
      <c r="D3333">
        <v>1</v>
      </c>
      <c r="E3333">
        <v>0</v>
      </c>
      <c r="F3333" t="s">
        <v>12518</v>
      </c>
      <c r="G3333">
        <v>106</v>
      </c>
      <c r="H3333">
        <v>6</v>
      </c>
      <c r="I3333" t="s">
        <v>24</v>
      </c>
      <c r="J3333" t="s">
        <v>12519</v>
      </c>
      <c r="K3333" t="s">
        <v>1602</v>
      </c>
      <c r="L3333" t="s">
        <v>27</v>
      </c>
      <c r="M3333" t="s">
        <v>28</v>
      </c>
      <c r="N3333" t="s">
        <v>12520</v>
      </c>
      <c r="O3333" t="s">
        <v>27</v>
      </c>
      <c r="P3333" t="s">
        <v>39</v>
      </c>
      <c r="Q3333" t="s">
        <v>31</v>
      </c>
      <c r="R3333" t="s">
        <v>32</v>
      </c>
      <c r="S3333" t="s">
        <v>28</v>
      </c>
      <c r="T3333" t="s">
        <v>12521</v>
      </c>
      <c r="U3333" t="s">
        <v>12520</v>
      </c>
    </row>
    <row r="3334" spans="1:21" x14ac:dyDescent="0.25">
      <c r="A3334" t="s">
        <v>70</v>
      </c>
      <c r="B3334" t="s">
        <v>70</v>
      </c>
      <c r="C3334">
        <v>350</v>
      </c>
      <c r="D3334">
        <v>1</v>
      </c>
      <c r="E3334">
        <v>0</v>
      </c>
      <c r="F3334" t="s">
        <v>12522</v>
      </c>
      <c r="G3334">
        <v>350</v>
      </c>
      <c r="H3334">
        <v>0</v>
      </c>
      <c r="I3334" t="s">
        <v>140</v>
      </c>
      <c r="J3334" t="s">
        <v>12523</v>
      </c>
      <c r="K3334" t="s">
        <v>418</v>
      </c>
      <c r="L3334" t="s">
        <v>27</v>
      </c>
      <c r="M3334" t="s">
        <v>28</v>
      </c>
      <c r="N3334" t="s">
        <v>12524</v>
      </c>
      <c r="O3334" t="s">
        <v>27</v>
      </c>
      <c r="P3334" t="s">
        <v>30</v>
      </c>
      <c r="Q3334" t="s">
        <v>31</v>
      </c>
      <c r="R3334" t="s">
        <v>32</v>
      </c>
      <c r="S3334" t="s">
        <v>28</v>
      </c>
      <c r="T3334" t="s">
        <v>12525</v>
      </c>
      <c r="U3334" t="s">
        <v>12524</v>
      </c>
    </row>
    <row r="3335" spans="1:21" x14ac:dyDescent="0.25">
      <c r="A3335" t="s">
        <v>21</v>
      </c>
      <c r="B3335" t="s">
        <v>22</v>
      </c>
      <c r="C3335">
        <v>100</v>
      </c>
      <c r="D3335">
        <v>1</v>
      </c>
      <c r="E3335">
        <v>0</v>
      </c>
      <c r="F3335" t="s">
        <v>12526</v>
      </c>
      <c r="G3335">
        <v>106</v>
      </c>
      <c r="H3335">
        <v>6</v>
      </c>
      <c r="I3335" t="s">
        <v>24</v>
      </c>
      <c r="J3335" t="s">
        <v>12527</v>
      </c>
      <c r="K3335" t="s">
        <v>1878</v>
      </c>
      <c r="L3335" t="s">
        <v>27</v>
      </c>
      <c r="M3335" t="s">
        <v>28</v>
      </c>
      <c r="N3335" t="s">
        <v>12524</v>
      </c>
      <c r="O3335" t="s">
        <v>27</v>
      </c>
      <c r="P3335" t="s">
        <v>39</v>
      </c>
      <c r="Q3335" t="s">
        <v>31</v>
      </c>
      <c r="R3335" t="s">
        <v>32</v>
      </c>
      <c r="S3335" t="s">
        <v>28</v>
      </c>
      <c r="T3335" t="s">
        <v>12528</v>
      </c>
      <c r="U3335" t="s">
        <v>12524</v>
      </c>
    </row>
    <row r="3336" spans="1:21" x14ac:dyDescent="0.25">
      <c r="A3336" t="s">
        <v>33</v>
      </c>
      <c r="B3336" t="s">
        <v>34</v>
      </c>
      <c r="C3336">
        <v>200</v>
      </c>
      <c r="D3336">
        <v>1</v>
      </c>
      <c r="E3336">
        <v>0</v>
      </c>
      <c r="F3336" t="s">
        <v>12529</v>
      </c>
      <c r="G3336">
        <v>200</v>
      </c>
      <c r="H3336">
        <v>0</v>
      </c>
      <c r="I3336" t="s">
        <v>24</v>
      </c>
      <c r="J3336" t="s">
        <v>12530</v>
      </c>
      <c r="K3336" t="s">
        <v>54</v>
      </c>
      <c r="L3336" t="s">
        <v>27</v>
      </c>
      <c r="M3336" t="s">
        <v>28</v>
      </c>
      <c r="N3336" t="s">
        <v>12524</v>
      </c>
      <c r="O3336" t="s">
        <v>27</v>
      </c>
      <c r="P3336" t="s">
        <v>39</v>
      </c>
      <c r="Q3336" t="s">
        <v>31</v>
      </c>
      <c r="R3336" t="s">
        <v>32</v>
      </c>
      <c r="S3336" t="s">
        <v>28</v>
      </c>
      <c r="T3336" t="s">
        <v>12531</v>
      </c>
      <c r="U3336" t="s">
        <v>12524</v>
      </c>
    </row>
    <row r="3337" spans="1:21" x14ac:dyDescent="0.25">
      <c r="A3337" t="s">
        <v>21</v>
      </c>
      <c r="B3337" t="s">
        <v>22</v>
      </c>
      <c r="C3337">
        <v>100</v>
      </c>
      <c r="D3337">
        <v>1</v>
      </c>
      <c r="E3337">
        <v>0</v>
      </c>
      <c r="F3337" t="s">
        <v>12532</v>
      </c>
      <c r="G3337">
        <v>100</v>
      </c>
      <c r="H3337">
        <v>0</v>
      </c>
      <c r="I3337" t="s">
        <v>445</v>
      </c>
      <c r="J3337" t="s">
        <v>12533</v>
      </c>
      <c r="K3337" t="s">
        <v>8487</v>
      </c>
      <c r="L3337" t="s">
        <v>27</v>
      </c>
      <c r="M3337" t="s">
        <v>28</v>
      </c>
      <c r="N3337" t="s">
        <v>12534</v>
      </c>
      <c r="O3337" t="s">
        <v>27</v>
      </c>
      <c r="P3337" t="s">
        <v>39</v>
      </c>
      <c r="Q3337" t="s">
        <v>31</v>
      </c>
      <c r="R3337" t="s">
        <v>32</v>
      </c>
      <c r="S3337" t="s">
        <v>28</v>
      </c>
      <c r="T3337" t="s">
        <v>12535</v>
      </c>
      <c r="U3337" t="s">
        <v>12534</v>
      </c>
    </row>
    <row r="3338" spans="1:21" x14ac:dyDescent="0.25">
      <c r="A3338" t="s">
        <v>143</v>
      </c>
      <c r="B3338" t="s">
        <v>144</v>
      </c>
      <c r="C3338">
        <v>200</v>
      </c>
      <c r="D3338">
        <v>1</v>
      </c>
      <c r="E3338">
        <v>0</v>
      </c>
      <c r="F3338" t="s">
        <v>12536</v>
      </c>
      <c r="G3338">
        <v>200</v>
      </c>
      <c r="H3338">
        <v>0</v>
      </c>
      <c r="I3338" t="s">
        <v>140</v>
      </c>
      <c r="J3338" t="s">
        <v>12347</v>
      </c>
      <c r="K3338" t="s">
        <v>89</v>
      </c>
      <c r="L3338" t="s">
        <v>27</v>
      </c>
      <c r="M3338" t="s">
        <v>28</v>
      </c>
      <c r="N3338" t="s">
        <v>12537</v>
      </c>
      <c r="O3338" t="s">
        <v>27</v>
      </c>
      <c r="P3338" t="s">
        <v>30</v>
      </c>
      <c r="Q3338" t="s">
        <v>31</v>
      </c>
      <c r="R3338" t="s">
        <v>32</v>
      </c>
      <c r="S3338" t="s">
        <v>28</v>
      </c>
      <c r="T3338" t="s">
        <v>12538</v>
      </c>
      <c r="U3338" t="s">
        <v>12537</v>
      </c>
    </row>
    <row r="3339" spans="1:21" x14ac:dyDescent="0.25">
      <c r="A3339" t="s">
        <v>143</v>
      </c>
      <c r="B3339" t="s">
        <v>144</v>
      </c>
      <c r="C3339">
        <v>200</v>
      </c>
      <c r="D3339">
        <v>1</v>
      </c>
      <c r="E3339">
        <v>0</v>
      </c>
      <c r="F3339" t="s">
        <v>12539</v>
      </c>
      <c r="G3339">
        <v>200</v>
      </c>
      <c r="H3339">
        <v>0</v>
      </c>
      <c r="I3339" t="s">
        <v>445</v>
      </c>
      <c r="J3339" t="s">
        <v>12540</v>
      </c>
      <c r="K3339" t="s">
        <v>572</v>
      </c>
      <c r="L3339" t="s">
        <v>27</v>
      </c>
      <c r="M3339" t="s">
        <v>28</v>
      </c>
      <c r="N3339" t="s">
        <v>12541</v>
      </c>
      <c r="O3339" t="s">
        <v>27</v>
      </c>
      <c r="P3339" t="s">
        <v>39</v>
      </c>
      <c r="Q3339" t="s">
        <v>31</v>
      </c>
      <c r="R3339" t="s">
        <v>32</v>
      </c>
      <c r="S3339" t="s">
        <v>28</v>
      </c>
      <c r="T3339" t="s">
        <v>12542</v>
      </c>
      <c r="U3339" t="s">
        <v>12543</v>
      </c>
    </row>
    <row r="3340" spans="1:21" x14ac:dyDescent="0.25">
      <c r="A3340" t="s">
        <v>143</v>
      </c>
      <c r="B3340" t="s">
        <v>144</v>
      </c>
      <c r="C3340">
        <v>200</v>
      </c>
      <c r="D3340">
        <v>1</v>
      </c>
      <c r="E3340">
        <v>0</v>
      </c>
      <c r="F3340" t="s">
        <v>12544</v>
      </c>
      <c r="G3340">
        <v>200</v>
      </c>
      <c r="H3340">
        <v>0</v>
      </c>
      <c r="I3340" t="s">
        <v>445</v>
      </c>
      <c r="J3340" t="s">
        <v>12545</v>
      </c>
      <c r="K3340" t="s">
        <v>61</v>
      </c>
      <c r="L3340" t="s">
        <v>27</v>
      </c>
      <c r="M3340" t="s">
        <v>28</v>
      </c>
      <c r="N3340" t="s">
        <v>12546</v>
      </c>
      <c r="O3340" t="s">
        <v>27</v>
      </c>
      <c r="P3340" t="s">
        <v>56</v>
      </c>
      <c r="Q3340" t="s">
        <v>31</v>
      </c>
      <c r="R3340" t="s">
        <v>57</v>
      </c>
      <c r="S3340" t="s">
        <v>28</v>
      </c>
      <c r="T3340" t="s">
        <v>12547</v>
      </c>
      <c r="U3340" t="s">
        <v>12548</v>
      </c>
    </row>
    <row r="3341" spans="1:21" x14ac:dyDescent="0.25">
      <c r="A3341" t="s">
        <v>33</v>
      </c>
      <c r="B3341" t="s">
        <v>34</v>
      </c>
      <c r="C3341">
        <v>200</v>
      </c>
      <c r="D3341">
        <v>5</v>
      </c>
      <c r="E3341">
        <v>0</v>
      </c>
      <c r="F3341" t="s">
        <v>12549</v>
      </c>
      <c r="G3341">
        <v>1000</v>
      </c>
      <c r="H3341">
        <v>0</v>
      </c>
      <c r="I3341" t="s">
        <v>445</v>
      </c>
      <c r="J3341" t="s">
        <v>10646</v>
      </c>
      <c r="K3341" t="s">
        <v>54</v>
      </c>
      <c r="L3341" t="s">
        <v>27</v>
      </c>
      <c r="M3341" t="s">
        <v>28</v>
      </c>
      <c r="N3341" t="s">
        <v>12550</v>
      </c>
      <c r="O3341" t="s">
        <v>27</v>
      </c>
      <c r="P3341" t="s">
        <v>39</v>
      </c>
      <c r="Q3341" t="s">
        <v>31</v>
      </c>
      <c r="R3341" t="s">
        <v>32</v>
      </c>
      <c r="S3341" t="s">
        <v>28</v>
      </c>
      <c r="T3341" t="s">
        <v>12551</v>
      </c>
      <c r="U3341" t="s">
        <v>12552</v>
      </c>
    </row>
    <row r="3342" spans="1:21" x14ac:dyDescent="0.25">
      <c r="A3342" t="s">
        <v>21</v>
      </c>
      <c r="B3342" t="s">
        <v>22</v>
      </c>
      <c r="C3342">
        <v>100</v>
      </c>
      <c r="D3342">
        <v>1</v>
      </c>
      <c r="E3342">
        <v>0</v>
      </c>
      <c r="F3342" t="s">
        <v>12553</v>
      </c>
      <c r="G3342">
        <v>106</v>
      </c>
      <c r="H3342">
        <v>6</v>
      </c>
      <c r="I3342" t="s">
        <v>24</v>
      </c>
      <c r="J3342" t="s">
        <v>12554</v>
      </c>
      <c r="K3342" t="s">
        <v>346</v>
      </c>
      <c r="L3342" t="s">
        <v>27</v>
      </c>
      <c r="M3342" t="s">
        <v>28</v>
      </c>
      <c r="N3342" t="s">
        <v>12550</v>
      </c>
      <c r="O3342" t="s">
        <v>27</v>
      </c>
      <c r="P3342" t="s">
        <v>39</v>
      </c>
      <c r="Q3342" t="s">
        <v>31</v>
      </c>
      <c r="R3342" t="s">
        <v>32</v>
      </c>
      <c r="S3342" t="s">
        <v>28</v>
      </c>
      <c r="T3342" t="s">
        <v>12555</v>
      </c>
      <c r="U3342" t="s">
        <v>12552</v>
      </c>
    </row>
    <row r="3343" spans="1:21" x14ac:dyDescent="0.25">
      <c r="A3343" t="s">
        <v>21</v>
      </c>
      <c r="B3343" t="s">
        <v>22</v>
      </c>
      <c r="C3343">
        <v>100</v>
      </c>
      <c r="D3343">
        <v>1</v>
      </c>
      <c r="E3343">
        <v>0</v>
      </c>
      <c r="F3343" t="s">
        <v>12556</v>
      </c>
      <c r="G3343">
        <v>100</v>
      </c>
      <c r="H3343">
        <v>0</v>
      </c>
      <c r="I3343" t="s">
        <v>24</v>
      </c>
      <c r="J3343" t="s">
        <v>12557</v>
      </c>
      <c r="K3343" t="s">
        <v>342</v>
      </c>
      <c r="L3343" t="s">
        <v>27</v>
      </c>
      <c r="M3343" t="s">
        <v>28</v>
      </c>
      <c r="N3343" t="s">
        <v>12550</v>
      </c>
      <c r="O3343" t="s">
        <v>27</v>
      </c>
      <c r="P3343" t="s">
        <v>39</v>
      </c>
      <c r="Q3343" t="s">
        <v>31</v>
      </c>
      <c r="R3343" t="s">
        <v>32</v>
      </c>
      <c r="S3343" t="s">
        <v>28</v>
      </c>
      <c r="T3343" t="s">
        <v>12558</v>
      </c>
      <c r="U3343" t="s">
        <v>12550</v>
      </c>
    </row>
    <row r="3344" spans="1:21" x14ac:dyDescent="0.25">
      <c r="A3344" t="s">
        <v>70</v>
      </c>
      <c r="B3344" t="s">
        <v>70</v>
      </c>
      <c r="C3344">
        <v>350</v>
      </c>
      <c r="D3344">
        <v>1</v>
      </c>
      <c r="E3344">
        <v>0</v>
      </c>
      <c r="F3344" t="s">
        <v>12559</v>
      </c>
      <c r="G3344">
        <v>350</v>
      </c>
      <c r="H3344">
        <v>0</v>
      </c>
      <c r="I3344" t="s">
        <v>140</v>
      </c>
      <c r="J3344" t="s">
        <v>3533</v>
      </c>
      <c r="K3344" t="s">
        <v>89</v>
      </c>
      <c r="L3344" t="s">
        <v>27</v>
      </c>
      <c r="M3344" t="s">
        <v>28</v>
      </c>
      <c r="N3344" t="s">
        <v>12550</v>
      </c>
      <c r="O3344" t="s">
        <v>27</v>
      </c>
      <c r="P3344" t="s">
        <v>30</v>
      </c>
      <c r="Q3344" t="s">
        <v>31</v>
      </c>
      <c r="R3344" t="s">
        <v>32</v>
      </c>
      <c r="S3344" t="s">
        <v>28</v>
      </c>
      <c r="T3344" t="s">
        <v>12560</v>
      </c>
      <c r="U3344" t="s">
        <v>12550</v>
      </c>
    </row>
    <row r="3345" spans="1:21" x14ac:dyDescent="0.25">
      <c r="A3345" t="s">
        <v>21</v>
      </c>
      <c r="B3345" t="s">
        <v>22</v>
      </c>
      <c r="C3345">
        <v>100</v>
      </c>
      <c r="D3345">
        <v>1</v>
      </c>
      <c r="E3345">
        <v>0</v>
      </c>
      <c r="F3345" t="s">
        <v>12561</v>
      </c>
      <c r="G3345">
        <v>106</v>
      </c>
      <c r="H3345">
        <v>6</v>
      </c>
      <c r="I3345" t="s">
        <v>24</v>
      </c>
      <c r="J3345" t="s">
        <v>12562</v>
      </c>
      <c r="K3345" t="s">
        <v>5378</v>
      </c>
      <c r="L3345" t="s">
        <v>27</v>
      </c>
      <c r="M3345" t="s">
        <v>28</v>
      </c>
      <c r="N3345" t="s">
        <v>12563</v>
      </c>
      <c r="O3345" t="s">
        <v>27</v>
      </c>
      <c r="P3345" t="s">
        <v>39</v>
      </c>
      <c r="Q3345" t="s">
        <v>31</v>
      </c>
      <c r="R3345" t="s">
        <v>32</v>
      </c>
      <c r="S3345" t="s">
        <v>28</v>
      </c>
      <c r="T3345" t="s">
        <v>12564</v>
      </c>
      <c r="U3345" t="s">
        <v>12565</v>
      </c>
    </row>
    <row r="3346" spans="1:21" x14ac:dyDescent="0.25">
      <c r="A3346" t="s">
        <v>33</v>
      </c>
      <c r="B3346" t="s">
        <v>34</v>
      </c>
      <c r="C3346">
        <v>200</v>
      </c>
      <c r="D3346">
        <v>1</v>
      </c>
      <c r="E3346">
        <v>0</v>
      </c>
      <c r="F3346" t="s">
        <v>12566</v>
      </c>
      <c r="G3346">
        <v>200</v>
      </c>
      <c r="H3346">
        <v>0</v>
      </c>
      <c r="I3346" t="s">
        <v>24</v>
      </c>
      <c r="J3346" t="s">
        <v>12567</v>
      </c>
      <c r="K3346" t="s">
        <v>241</v>
      </c>
      <c r="L3346" t="s">
        <v>27</v>
      </c>
      <c r="M3346" t="s">
        <v>28</v>
      </c>
      <c r="N3346" t="s">
        <v>12568</v>
      </c>
      <c r="O3346" t="s">
        <v>27</v>
      </c>
      <c r="P3346" t="s">
        <v>56</v>
      </c>
      <c r="Q3346" t="s">
        <v>31</v>
      </c>
      <c r="R3346" t="s">
        <v>57</v>
      </c>
      <c r="S3346" t="s">
        <v>28</v>
      </c>
      <c r="T3346" t="s">
        <v>12569</v>
      </c>
      <c r="U3346" t="s">
        <v>12568</v>
      </c>
    </row>
    <row r="3347" spans="1:21" x14ac:dyDescent="0.25">
      <c r="A3347" t="s">
        <v>2307</v>
      </c>
      <c r="B3347" t="s">
        <v>2308</v>
      </c>
      <c r="C3347">
        <v>330</v>
      </c>
      <c r="D3347">
        <v>2</v>
      </c>
      <c r="E3347">
        <v>0</v>
      </c>
      <c r="F3347" t="s">
        <v>12570</v>
      </c>
      <c r="G3347">
        <v>1320</v>
      </c>
      <c r="H3347">
        <v>0</v>
      </c>
      <c r="I3347" t="s">
        <v>140</v>
      </c>
      <c r="J3347" t="s">
        <v>12571</v>
      </c>
      <c r="K3347" t="s">
        <v>273</v>
      </c>
      <c r="L3347" t="s">
        <v>27</v>
      </c>
      <c r="M3347" t="s">
        <v>28</v>
      </c>
      <c r="N3347" t="s">
        <v>12572</v>
      </c>
      <c r="O3347" t="s">
        <v>27</v>
      </c>
      <c r="P3347" t="s">
        <v>30</v>
      </c>
      <c r="Q3347" t="s">
        <v>31</v>
      </c>
      <c r="R3347" t="s">
        <v>32</v>
      </c>
      <c r="S3347" t="s">
        <v>28</v>
      </c>
      <c r="T3347" t="s">
        <v>12573</v>
      </c>
      <c r="U3347" t="s">
        <v>12568</v>
      </c>
    </row>
    <row r="3348" spans="1:21" x14ac:dyDescent="0.25">
      <c r="A3348" t="s">
        <v>1513</v>
      </c>
      <c r="B3348" t="s">
        <v>1514</v>
      </c>
      <c r="C3348">
        <v>330</v>
      </c>
      <c r="D3348">
        <v>2</v>
      </c>
      <c r="E3348">
        <v>0</v>
      </c>
      <c r="F3348" t="s">
        <v>12570</v>
      </c>
      <c r="G3348">
        <v>1320</v>
      </c>
      <c r="H3348">
        <v>0</v>
      </c>
      <c r="I3348" t="s">
        <v>140</v>
      </c>
      <c r="J3348" t="s">
        <v>12571</v>
      </c>
      <c r="K3348" t="s">
        <v>273</v>
      </c>
      <c r="L3348" t="s">
        <v>27</v>
      </c>
      <c r="M3348" t="s">
        <v>28</v>
      </c>
      <c r="N3348" t="s">
        <v>12572</v>
      </c>
      <c r="O3348" t="s">
        <v>27</v>
      </c>
      <c r="P3348" t="s">
        <v>30</v>
      </c>
      <c r="Q3348" t="s">
        <v>31</v>
      </c>
      <c r="R3348" t="s">
        <v>32</v>
      </c>
      <c r="S3348" t="s">
        <v>28</v>
      </c>
      <c r="T3348" t="s">
        <v>12573</v>
      </c>
      <c r="U3348" t="s">
        <v>12568</v>
      </c>
    </row>
    <row r="3349" spans="1:21" x14ac:dyDescent="0.25">
      <c r="A3349" t="s">
        <v>21</v>
      </c>
      <c r="B3349" t="s">
        <v>22</v>
      </c>
      <c r="C3349">
        <v>100</v>
      </c>
      <c r="D3349">
        <v>3</v>
      </c>
      <c r="E3349">
        <v>0</v>
      </c>
      <c r="F3349" t="s">
        <v>12574</v>
      </c>
      <c r="G3349">
        <v>300</v>
      </c>
      <c r="H3349">
        <v>0</v>
      </c>
      <c r="I3349" t="s">
        <v>24</v>
      </c>
      <c r="J3349" t="s">
        <v>12575</v>
      </c>
      <c r="K3349" t="s">
        <v>209</v>
      </c>
      <c r="L3349" t="s">
        <v>27</v>
      </c>
      <c r="M3349" t="s">
        <v>28</v>
      </c>
      <c r="N3349" t="s">
        <v>12572</v>
      </c>
      <c r="O3349" t="s">
        <v>27</v>
      </c>
      <c r="P3349" t="s">
        <v>39</v>
      </c>
      <c r="Q3349" t="s">
        <v>31</v>
      </c>
      <c r="R3349" t="s">
        <v>32</v>
      </c>
      <c r="S3349" t="s">
        <v>28</v>
      </c>
      <c r="T3349" t="s">
        <v>12576</v>
      </c>
      <c r="U3349" t="s">
        <v>12572</v>
      </c>
    </row>
    <row r="3350" spans="1:21" x14ac:dyDescent="0.25">
      <c r="A3350" t="s">
        <v>21</v>
      </c>
      <c r="B3350" t="s">
        <v>22</v>
      </c>
      <c r="C3350">
        <v>100</v>
      </c>
      <c r="D3350">
        <v>1</v>
      </c>
      <c r="E3350">
        <v>0</v>
      </c>
      <c r="F3350" t="s">
        <v>12577</v>
      </c>
      <c r="G3350">
        <v>106</v>
      </c>
      <c r="H3350">
        <v>6</v>
      </c>
      <c r="I3350" t="s">
        <v>24</v>
      </c>
      <c r="J3350" t="s">
        <v>12578</v>
      </c>
      <c r="K3350" t="s">
        <v>147</v>
      </c>
      <c r="L3350" t="s">
        <v>27</v>
      </c>
      <c r="M3350" t="s">
        <v>28</v>
      </c>
      <c r="N3350" t="s">
        <v>12579</v>
      </c>
      <c r="O3350" t="s">
        <v>27</v>
      </c>
      <c r="P3350" t="s">
        <v>39</v>
      </c>
      <c r="Q3350" t="s">
        <v>31</v>
      </c>
      <c r="R3350" t="s">
        <v>32</v>
      </c>
      <c r="S3350" t="s">
        <v>28</v>
      </c>
      <c r="T3350" t="s">
        <v>12580</v>
      </c>
      <c r="U3350" t="s">
        <v>12579</v>
      </c>
    </row>
    <row r="3351" spans="1:21" x14ac:dyDescent="0.25">
      <c r="A3351" t="s">
        <v>70</v>
      </c>
      <c r="B3351" t="s">
        <v>70</v>
      </c>
      <c r="C3351">
        <v>350</v>
      </c>
      <c r="D3351">
        <v>1</v>
      </c>
      <c r="E3351">
        <v>0</v>
      </c>
      <c r="F3351" t="s">
        <v>12581</v>
      </c>
      <c r="G3351">
        <v>395</v>
      </c>
      <c r="H3351">
        <v>45</v>
      </c>
      <c r="I3351" t="s">
        <v>140</v>
      </c>
      <c r="J3351" t="s">
        <v>3234</v>
      </c>
      <c r="K3351" t="s">
        <v>89</v>
      </c>
      <c r="L3351" t="s">
        <v>27</v>
      </c>
      <c r="M3351" t="s">
        <v>28</v>
      </c>
      <c r="N3351" t="s">
        <v>12582</v>
      </c>
      <c r="O3351" t="s">
        <v>27</v>
      </c>
      <c r="P3351" t="s">
        <v>369</v>
      </c>
      <c r="Q3351" t="s">
        <v>31</v>
      </c>
      <c r="R3351" t="s">
        <v>57</v>
      </c>
      <c r="S3351" t="s">
        <v>28</v>
      </c>
      <c r="T3351" t="s">
        <v>12583</v>
      </c>
      <c r="U3351" t="s">
        <v>12584</v>
      </c>
    </row>
    <row r="3352" spans="1:21" x14ac:dyDescent="0.25">
      <c r="A3352" t="s">
        <v>21</v>
      </c>
      <c r="B3352" t="s">
        <v>22</v>
      </c>
      <c r="C3352">
        <v>100</v>
      </c>
      <c r="D3352">
        <v>1</v>
      </c>
      <c r="E3352">
        <v>0</v>
      </c>
      <c r="F3352" t="s">
        <v>12585</v>
      </c>
      <c r="G3352">
        <v>106</v>
      </c>
      <c r="H3352">
        <v>6</v>
      </c>
      <c r="I3352" t="s">
        <v>445</v>
      </c>
      <c r="J3352" t="s">
        <v>12586</v>
      </c>
      <c r="K3352" t="s">
        <v>677</v>
      </c>
      <c r="L3352" t="s">
        <v>27</v>
      </c>
      <c r="M3352" t="s">
        <v>28</v>
      </c>
      <c r="N3352" t="s">
        <v>12587</v>
      </c>
      <c r="O3352" t="s">
        <v>27</v>
      </c>
      <c r="P3352" t="s">
        <v>39</v>
      </c>
      <c r="Q3352" t="s">
        <v>31</v>
      </c>
      <c r="R3352" t="s">
        <v>32</v>
      </c>
      <c r="S3352" t="s">
        <v>28</v>
      </c>
      <c r="T3352" t="s">
        <v>12588</v>
      </c>
      <c r="U3352" t="s">
        <v>12587</v>
      </c>
    </row>
    <row r="3353" spans="1:21" x14ac:dyDescent="0.25">
      <c r="A3353" t="s">
        <v>21</v>
      </c>
      <c r="B3353" t="s">
        <v>22</v>
      </c>
      <c r="C3353">
        <v>100</v>
      </c>
      <c r="D3353">
        <v>1</v>
      </c>
      <c r="E3353">
        <v>0</v>
      </c>
      <c r="F3353" t="s">
        <v>12589</v>
      </c>
      <c r="G3353">
        <v>145</v>
      </c>
      <c r="H3353">
        <v>45</v>
      </c>
      <c r="I3353" t="s">
        <v>24</v>
      </c>
      <c r="J3353" t="s">
        <v>12590</v>
      </c>
      <c r="K3353" t="s">
        <v>350</v>
      </c>
      <c r="L3353" t="s">
        <v>27</v>
      </c>
      <c r="M3353" t="s">
        <v>28</v>
      </c>
      <c r="N3353" t="s">
        <v>12587</v>
      </c>
      <c r="O3353" t="s">
        <v>27</v>
      </c>
      <c r="P3353" t="s">
        <v>39</v>
      </c>
      <c r="Q3353" t="s">
        <v>31</v>
      </c>
      <c r="R3353" t="s">
        <v>32</v>
      </c>
      <c r="S3353" t="s">
        <v>28</v>
      </c>
      <c r="T3353" t="s">
        <v>12591</v>
      </c>
      <c r="U3353" t="s">
        <v>12587</v>
      </c>
    </row>
    <row r="3354" spans="1:21" x14ac:dyDescent="0.25">
      <c r="A3354" t="s">
        <v>21</v>
      </c>
      <c r="B3354" t="s">
        <v>22</v>
      </c>
      <c r="C3354">
        <v>100</v>
      </c>
      <c r="D3354">
        <v>1</v>
      </c>
      <c r="E3354">
        <v>0</v>
      </c>
      <c r="F3354" t="s">
        <v>12592</v>
      </c>
      <c r="G3354">
        <v>106</v>
      </c>
      <c r="H3354">
        <v>6</v>
      </c>
      <c r="I3354" t="s">
        <v>445</v>
      </c>
      <c r="J3354" t="s">
        <v>12593</v>
      </c>
      <c r="K3354" t="s">
        <v>285</v>
      </c>
      <c r="L3354" t="s">
        <v>27</v>
      </c>
      <c r="M3354" t="s">
        <v>28</v>
      </c>
      <c r="N3354" t="s">
        <v>12594</v>
      </c>
      <c r="O3354" t="s">
        <v>27</v>
      </c>
      <c r="P3354" t="s">
        <v>39</v>
      </c>
      <c r="Q3354" t="s">
        <v>31</v>
      </c>
      <c r="R3354" t="s">
        <v>32</v>
      </c>
      <c r="S3354" t="s">
        <v>28</v>
      </c>
      <c r="T3354" t="s">
        <v>12595</v>
      </c>
      <c r="U3354" t="s">
        <v>12594</v>
      </c>
    </row>
    <row r="3355" spans="1:21" x14ac:dyDescent="0.25">
      <c r="A3355" t="s">
        <v>21</v>
      </c>
      <c r="B3355" t="s">
        <v>22</v>
      </c>
      <c r="C3355">
        <v>100</v>
      </c>
      <c r="D3355">
        <v>1</v>
      </c>
      <c r="E3355">
        <v>0</v>
      </c>
      <c r="F3355" t="s">
        <v>12596</v>
      </c>
      <c r="G3355">
        <v>106</v>
      </c>
      <c r="H3355">
        <v>6</v>
      </c>
      <c r="I3355" t="s">
        <v>24</v>
      </c>
      <c r="J3355" t="s">
        <v>12597</v>
      </c>
      <c r="K3355" t="s">
        <v>1038</v>
      </c>
      <c r="L3355" t="s">
        <v>27</v>
      </c>
      <c r="M3355" t="s">
        <v>28</v>
      </c>
      <c r="N3355" t="s">
        <v>12594</v>
      </c>
      <c r="O3355" t="s">
        <v>27</v>
      </c>
      <c r="P3355" t="s">
        <v>39</v>
      </c>
      <c r="Q3355" t="s">
        <v>31</v>
      </c>
      <c r="R3355" t="s">
        <v>32</v>
      </c>
      <c r="S3355" t="s">
        <v>28</v>
      </c>
      <c r="T3355" t="s">
        <v>12598</v>
      </c>
      <c r="U3355" t="s">
        <v>12594</v>
      </c>
    </row>
    <row r="3356" spans="1:21" x14ac:dyDescent="0.25">
      <c r="A3356" t="s">
        <v>58</v>
      </c>
      <c r="B3356" t="s">
        <v>58</v>
      </c>
      <c r="C3356">
        <v>100</v>
      </c>
      <c r="D3356">
        <v>2</v>
      </c>
      <c r="E3356">
        <v>0</v>
      </c>
      <c r="F3356" t="s">
        <v>12599</v>
      </c>
      <c r="G3356">
        <v>245</v>
      </c>
      <c r="H3356">
        <v>45</v>
      </c>
      <c r="I3356" t="s">
        <v>445</v>
      </c>
      <c r="J3356" t="s">
        <v>12600</v>
      </c>
      <c r="K3356" t="s">
        <v>12601</v>
      </c>
      <c r="L3356" t="s">
        <v>160</v>
      </c>
      <c r="M3356" t="s">
        <v>8254</v>
      </c>
      <c r="N3356" t="s">
        <v>12594</v>
      </c>
      <c r="O3356" t="s">
        <v>27</v>
      </c>
      <c r="P3356" t="s">
        <v>84</v>
      </c>
      <c r="Q3356" t="s">
        <v>85</v>
      </c>
      <c r="R3356" t="s">
        <v>86</v>
      </c>
      <c r="S3356" t="s">
        <v>28</v>
      </c>
      <c r="T3356" t="s">
        <v>12602</v>
      </c>
      <c r="U3356" t="s">
        <v>12594</v>
      </c>
    </row>
    <row r="3357" spans="1:21" x14ac:dyDescent="0.25">
      <c r="A3357" t="s">
        <v>70</v>
      </c>
      <c r="B3357" t="s">
        <v>70</v>
      </c>
      <c r="C3357">
        <v>350</v>
      </c>
      <c r="D3357">
        <v>2</v>
      </c>
      <c r="E3357">
        <v>0</v>
      </c>
      <c r="F3357" t="s">
        <v>12603</v>
      </c>
      <c r="G3357">
        <v>700</v>
      </c>
      <c r="H3357">
        <v>0</v>
      </c>
      <c r="I3357" t="s">
        <v>140</v>
      </c>
      <c r="J3357" t="s">
        <v>440</v>
      </c>
      <c r="K3357" t="s">
        <v>61</v>
      </c>
      <c r="L3357" t="s">
        <v>27</v>
      </c>
      <c r="M3357" t="s">
        <v>28</v>
      </c>
      <c r="N3357" t="s">
        <v>12604</v>
      </c>
      <c r="O3357" t="s">
        <v>27</v>
      </c>
      <c r="P3357" t="s">
        <v>30</v>
      </c>
      <c r="Q3357" t="s">
        <v>31</v>
      </c>
      <c r="R3357" t="s">
        <v>32</v>
      </c>
      <c r="S3357" t="s">
        <v>28</v>
      </c>
      <c r="T3357" t="s">
        <v>12605</v>
      </c>
      <c r="U3357" t="s">
        <v>12594</v>
      </c>
    </row>
    <row r="3358" spans="1:21" x14ac:dyDescent="0.25">
      <c r="A3358" t="s">
        <v>70</v>
      </c>
      <c r="B3358" t="s">
        <v>70</v>
      </c>
      <c r="C3358">
        <v>350</v>
      </c>
      <c r="D3358">
        <v>1</v>
      </c>
      <c r="E3358">
        <v>0</v>
      </c>
      <c r="F3358" t="s">
        <v>12606</v>
      </c>
      <c r="G3358">
        <v>350</v>
      </c>
      <c r="H3358">
        <v>0</v>
      </c>
      <c r="I3358" t="s">
        <v>140</v>
      </c>
      <c r="J3358" t="s">
        <v>440</v>
      </c>
      <c r="K3358" t="s">
        <v>61</v>
      </c>
      <c r="L3358" t="s">
        <v>27</v>
      </c>
      <c r="M3358" t="s">
        <v>28</v>
      </c>
      <c r="N3358" t="s">
        <v>12604</v>
      </c>
      <c r="O3358" t="s">
        <v>27</v>
      </c>
      <c r="P3358" t="s">
        <v>30</v>
      </c>
      <c r="Q3358" t="s">
        <v>31</v>
      </c>
      <c r="R3358" t="s">
        <v>32</v>
      </c>
      <c r="S3358" t="s">
        <v>28</v>
      </c>
      <c r="T3358" t="s">
        <v>12607</v>
      </c>
      <c r="U3358" t="s">
        <v>12604</v>
      </c>
    </row>
    <row r="3359" spans="1:21" x14ac:dyDescent="0.25">
      <c r="A3359" t="s">
        <v>70</v>
      </c>
      <c r="B3359" t="s">
        <v>70</v>
      </c>
      <c r="C3359">
        <v>350</v>
      </c>
      <c r="D3359">
        <v>1</v>
      </c>
      <c r="E3359">
        <v>0</v>
      </c>
      <c r="F3359" t="s">
        <v>12608</v>
      </c>
      <c r="G3359">
        <v>350</v>
      </c>
      <c r="H3359">
        <v>0</v>
      </c>
      <c r="I3359" t="s">
        <v>140</v>
      </c>
      <c r="J3359" t="s">
        <v>440</v>
      </c>
      <c r="K3359" t="s">
        <v>61</v>
      </c>
      <c r="L3359" t="s">
        <v>27</v>
      </c>
      <c r="M3359" t="s">
        <v>28</v>
      </c>
      <c r="N3359" t="s">
        <v>12604</v>
      </c>
      <c r="O3359" t="s">
        <v>27</v>
      </c>
      <c r="P3359" t="s">
        <v>30</v>
      </c>
      <c r="Q3359" t="s">
        <v>31</v>
      </c>
      <c r="R3359" t="s">
        <v>32</v>
      </c>
      <c r="S3359" t="s">
        <v>28</v>
      </c>
      <c r="T3359" t="s">
        <v>12609</v>
      </c>
      <c r="U3359" t="s">
        <v>12604</v>
      </c>
    </row>
    <row r="3360" spans="1:21" x14ac:dyDescent="0.25">
      <c r="A3360" t="s">
        <v>63</v>
      </c>
      <c r="B3360" t="s">
        <v>64</v>
      </c>
      <c r="C3360">
        <v>100</v>
      </c>
      <c r="D3360">
        <v>1</v>
      </c>
      <c r="E3360">
        <v>0</v>
      </c>
      <c r="F3360" t="s">
        <v>12610</v>
      </c>
      <c r="G3360">
        <v>106</v>
      </c>
      <c r="H3360">
        <v>6</v>
      </c>
      <c r="I3360" t="s">
        <v>24</v>
      </c>
      <c r="J3360" t="s">
        <v>12611</v>
      </c>
      <c r="K3360" t="s">
        <v>797</v>
      </c>
      <c r="L3360" t="s">
        <v>27</v>
      </c>
      <c r="M3360" t="s">
        <v>28</v>
      </c>
      <c r="N3360" t="s">
        <v>12612</v>
      </c>
      <c r="O3360" t="s">
        <v>27</v>
      </c>
      <c r="P3360" t="s">
        <v>39</v>
      </c>
      <c r="Q3360" t="s">
        <v>31</v>
      </c>
      <c r="R3360" t="s">
        <v>32</v>
      </c>
      <c r="S3360" t="s">
        <v>28</v>
      </c>
      <c r="T3360" t="s">
        <v>12613</v>
      </c>
      <c r="U3360" t="s">
        <v>12612</v>
      </c>
    </row>
    <row r="3361" spans="1:21" x14ac:dyDescent="0.25">
      <c r="A3361" t="s">
        <v>63</v>
      </c>
      <c r="B3361" t="s">
        <v>64</v>
      </c>
      <c r="C3361">
        <v>100</v>
      </c>
      <c r="D3361">
        <v>1</v>
      </c>
      <c r="E3361">
        <v>0</v>
      </c>
      <c r="F3361" t="s">
        <v>12614</v>
      </c>
      <c r="G3361">
        <v>106</v>
      </c>
      <c r="H3361">
        <v>6</v>
      </c>
      <c r="I3361" t="s">
        <v>24</v>
      </c>
      <c r="J3361" t="s">
        <v>12615</v>
      </c>
      <c r="K3361" t="s">
        <v>797</v>
      </c>
      <c r="L3361" t="s">
        <v>27</v>
      </c>
      <c r="M3361" t="s">
        <v>28</v>
      </c>
      <c r="N3361" t="s">
        <v>12552</v>
      </c>
      <c r="O3361" t="s">
        <v>27</v>
      </c>
      <c r="P3361" t="s">
        <v>56</v>
      </c>
      <c r="Q3361" t="s">
        <v>31</v>
      </c>
      <c r="R3361" t="s">
        <v>57</v>
      </c>
      <c r="S3361" t="s">
        <v>28</v>
      </c>
      <c r="T3361" t="s">
        <v>12616</v>
      </c>
      <c r="U3361" t="s">
        <v>12617</v>
      </c>
    </row>
    <row r="3362" spans="1:21" x14ac:dyDescent="0.25">
      <c r="A3362" t="s">
        <v>2307</v>
      </c>
      <c r="B3362" t="s">
        <v>2308</v>
      </c>
      <c r="C3362">
        <v>330</v>
      </c>
      <c r="D3362">
        <v>3</v>
      </c>
      <c r="E3362">
        <v>0</v>
      </c>
      <c r="F3362" t="s">
        <v>12618</v>
      </c>
      <c r="G3362">
        <v>990</v>
      </c>
      <c r="H3362">
        <v>0</v>
      </c>
      <c r="I3362" t="s">
        <v>24</v>
      </c>
      <c r="J3362" t="s">
        <v>8832</v>
      </c>
      <c r="K3362" t="s">
        <v>89</v>
      </c>
      <c r="L3362" t="s">
        <v>27</v>
      </c>
      <c r="M3362" t="s">
        <v>28</v>
      </c>
      <c r="N3362" t="s">
        <v>12619</v>
      </c>
      <c r="O3362" t="s">
        <v>27</v>
      </c>
      <c r="P3362" t="s">
        <v>39</v>
      </c>
      <c r="Q3362" t="s">
        <v>31</v>
      </c>
      <c r="R3362" t="s">
        <v>32</v>
      </c>
      <c r="S3362" t="s">
        <v>28</v>
      </c>
      <c r="T3362" t="s">
        <v>12620</v>
      </c>
      <c r="U3362" t="s">
        <v>12619</v>
      </c>
    </row>
    <row r="3363" spans="1:21" x14ac:dyDescent="0.25">
      <c r="A3363" t="s">
        <v>58</v>
      </c>
      <c r="B3363" t="s">
        <v>58</v>
      </c>
      <c r="C3363">
        <v>100</v>
      </c>
      <c r="D3363">
        <v>1</v>
      </c>
      <c r="E3363">
        <v>0</v>
      </c>
      <c r="F3363" t="s">
        <v>12621</v>
      </c>
      <c r="G3363">
        <v>100</v>
      </c>
      <c r="H3363">
        <v>0</v>
      </c>
      <c r="I3363" t="s">
        <v>140</v>
      </c>
      <c r="J3363" t="s">
        <v>12622</v>
      </c>
      <c r="K3363" t="s">
        <v>388</v>
      </c>
      <c r="L3363" t="s">
        <v>27</v>
      </c>
      <c r="M3363" t="s">
        <v>28</v>
      </c>
      <c r="N3363" t="s">
        <v>12623</v>
      </c>
      <c r="O3363" t="s">
        <v>27</v>
      </c>
      <c r="P3363" t="s">
        <v>30</v>
      </c>
      <c r="Q3363" t="s">
        <v>31</v>
      </c>
      <c r="R3363" t="s">
        <v>32</v>
      </c>
      <c r="S3363" t="s">
        <v>28</v>
      </c>
      <c r="T3363" t="s">
        <v>12624</v>
      </c>
      <c r="U3363" t="s">
        <v>12623</v>
      </c>
    </row>
    <row r="3364" spans="1:21" x14ac:dyDescent="0.25">
      <c r="A3364" t="s">
        <v>21</v>
      </c>
      <c r="B3364" t="s">
        <v>22</v>
      </c>
      <c r="C3364">
        <v>100</v>
      </c>
      <c r="D3364">
        <v>1</v>
      </c>
      <c r="E3364">
        <v>0</v>
      </c>
      <c r="F3364" t="s">
        <v>12625</v>
      </c>
      <c r="G3364">
        <v>100</v>
      </c>
      <c r="H3364">
        <v>0</v>
      </c>
      <c r="I3364" t="s">
        <v>445</v>
      </c>
      <c r="J3364" t="s">
        <v>12626</v>
      </c>
      <c r="K3364" t="s">
        <v>8487</v>
      </c>
      <c r="L3364" t="s">
        <v>27</v>
      </c>
      <c r="M3364" t="s">
        <v>28</v>
      </c>
      <c r="N3364" t="s">
        <v>12623</v>
      </c>
      <c r="O3364" t="s">
        <v>27</v>
      </c>
      <c r="P3364" t="s">
        <v>56</v>
      </c>
      <c r="Q3364" t="s">
        <v>31</v>
      </c>
      <c r="R3364" t="s">
        <v>57</v>
      </c>
      <c r="S3364" t="s">
        <v>28</v>
      </c>
      <c r="T3364" t="s">
        <v>12627</v>
      </c>
      <c r="U3364" t="s">
        <v>12628</v>
      </c>
    </row>
    <row r="3365" spans="1:21" x14ac:dyDescent="0.25">
      <c r="A3365" t="s">
        <v>134</v>
      </c>
      <c r="B3365" t="s">
        <v>64</v>
      </c>
      <c r="C3365">
        <v>100</v>
      </c>
      <c r="D3365">
        <v>1</v>
      </c>
      <c r="E3365">
        <v>0</v>
      </c>
      <c r="F3365" t="s">
        <v>12629</v>
      </c>
      <c r="G3365">
        <v>200</v>
      </c>
      <c r="H3365">
        <v>0</v>
      </c>
      <c r="I3365" t="s">
        <v>24</v>
      </c>
      <c r="J3365" t="s">
        <v>12630</v>
      </c>
      <c r="K3365" t="s">
        <v>711</v>
      </c>
      <c r="L3365" t="s">
        <v>27</v>
      </c>
      <c r="M3365" t="s">
        <v>28</v>
      </c>
      <c r="N3365" t="s">
        <v>12631</v>
      </c>
      <c r="O3365" t="s">
        <v>27</v>
      </c>
      <c r="P3365" t="s">
        <v>39</v>
      </c>
      <c r="Q3365" t="s">
        <v>31</v>
      </c>
      <c r="R3365" t="s">
        <v>32</v>
      </c>
      <c r="S3365" t="s">
        <v>28</v>
      </c>
      <c r="T3365" t="s">
        <v>12632</v>
      </c>
      <c r="U3365" t="s">
        <v>12631</v>
      </c>
    </row>
    <row r="3366" spans="1:21" x14ac:dyDescent="0.25">
      <c r="A3366" t="s">
        <v>63</v>
      </c>
      <c r="B3366" t="s">
        <v>64</v>
      </c>
      <c r="C3366">
        <v>100</v>
      </c>
      <c r="D3366">
        <v>1</v>
      </c>
      <c r="E3366">
        <v>0</v>
      </c>
      <c r="F3366" t="s">
        <v>12629</v>
      </c>
      <c r="G3366">
        <v>200</v>
      </c>
      <c r="H3366">
        <v>0</v>
      </c>
      <c r="I3366" t="s">
        <v>24</v>
      </c>
      <c r="J3366" t="s">
        <v>12630</v>
      </c>
      <c r="K3366" t="s">
        <v>711</v>
      </c>
      <c r="L3366" t="s">
        <v>27</v>
      </c>
      <c r="M3366" t="s">
        <v>28</v>
      </c>
      <c r="N3366" t="s">
        <v>12631</v>
      </c>
      <c r="O3366" t="s">
        <v>27</v>
      </c>
      <c r="P3366" t="s">
        <v>39</v>
      </c>
      <c r="Q3366" t="s">
        <v>31</v>
      </c>
      <c r="R3366" t="s">
        <v>32</v>
      </c>
      <c r="S3366" t="s">
        <v>28</v>
      </c>
      <c r="T3366" t="s">
        <v>12632</v>
      </c>
      <c r="U3366" t="s">
        <v>12631</v>
      </c>
    </row>
    <row r="3367" spans="1:21" x14ac:dyDescent="0.25">
      <c r="A3367" t="s">
        <v>21</v>
      </c>
      <c r="B3367" t="s">
        <v>22</v>
      </c>
      <c r="C3367">
        <v>100</v>
      </c>
      <c r="D3367">
        <v>1</v>
      </c>
      <c r="E3367">
        <v>0</v>
      </c>
      <c r="F3367" t="s">
        <v>12633</v>
      </c>
      <c r="G3367">
        <v>100</v>
      </c>
      <c r="H3367">
        <v>0</v>
      </c>
      <c r="I3367" t="s">
        <v>140</v>
      </c>
      <c r="J3367" t="s">
        <v>12634</v>
      </c>
      <c r="K3367" t="s">
        <v>384</v>
      </c>
      <c r="L3367" t="s">
        <v>27</v>
      </c>
      <c r="M3367" t="s">
        <v>28</v>
      </c>
      <c r="N3367" t="s">
        <v>12631</v>
      </c>
      <c r="O3367" t="s">
        <v>27</v>
      </c>
      <c r="P3367" t="s">
        <v>30</v>
      </c>
      <c r="Q3367" t="s">
        <v>31</v>
      </c>
      <c r="R3367" t="s">
        <v>32</v>
      </c>
      <c r="S3367" t="s">
        <v>12635</v>
      </c>
      <c r="T3367" t="s">
        <v>12636</v>
      </c>
      <c r="U3367" t="s">
        <v>12631</v>
      </c>
    </row>
    <row r="3368" spans="1:21" x14ac:dyDescent="0.25">
      <c r="A3368" t="s">
        <v>76</v>
      </c>
      <c r="B3368" t="s">
        <v>77</v>
      </c>
      <c r="C3368">
        <v>250</v>
      </c>
      <c r="D3368">
        <v>1</v>
      </c>
      <c r="E3368">
        <v>0</v>
      </c>
      <c r="F3368" t="s">
        <v>12637</v>
      </c>
      <c r="G3368">
        <v>250</v>
      </c>
      <c r="H3368">
        <v>0</v>
      </c>
      <c r="I3368" t="s">
        <v>24</v>
      </c>
      <c r="J3368" t="s">
        <v>2354</v>
      </c>
      <c r="K3368" t="s">
        <v>26</v>
      </c>
      <c r="L3368" t="s">
        <v>27</v>
      </c>
      <c r="M3368" t="s">
        <v>28</v>
      </c>
      <c r="N3368" t="s">
        <v>12631</v>
      </c>
      <c r="O3368" t="s">
        <v>27</v>
      </c>
      <c r="P3368" t="s">
        <v>56</v>
      </c>
      <c r="Q3368" t="s">
        <v>31</v>
      </c>
      <c r="R3368" t="s">
        <v>57</v>
      </c>
      <c r="S3368" t="s">
        <v>28</v>
      </c>
      <c r="T3368" t="s">
        <v>12638</v>
      </c>
      <c r="U3368" t="s">
        <v>12631</v>
      </c>
    </row>
    <row r="3369" spans="1:21" x14ac:dyDescent="0.25">
      <c r="A3369" t="s">
        <v>33</v>
      </c>
      <c r="B3369" t="s">
        <v>34</v>
      </c>
      <c r="C3369">
        <v>200</v>
      </c>
      <c r="D3369">
        <v>1</v>
      </c>
      <c r="E3369">
        <v>0</v>
      </c>
      <c r="F3369" t="s">
        <v>12639</v>
      </c>
      <c r="G3369">
        <v>200</v>
      </c>
      <c r="H3369">
        <v>0</v>
      </c>
      <c r="I3369" t="s">
        <v>24</v>
      </c>
      <c r="J3369" t="s">
        <v>12640</v>
      </c>
      <c r="K3369" t="s">
        <v>67</v>
      </c>
      <c r="L3369" t="s">
        <v>27</v>
      </c>
      <c r="M3369" t="s">
        <v>28</v>
      </c>
      <c r="N3369" t="s">
        <v>12641</v>
      </c>
      <c r="O3369" t="s">
        <v>27</v>
      </c>
      <c r="P3369" t="s">
        <v>39</v>
      </c>
      <c r="Q3369" t="s">
        <v>31</v>
      </c>
      <c r="R3369" t="s">
        <v>32</v>
      </c>
      <c r="S3369" t="s">
        <v>28</v>
      </c>
      <c r="T3369" t="s">
        <v>12642</v>
      </c>
      <c r="U3369" t="s">
        <v>12641</v>
      </c>
    </row>
    <row r="3370" spans="1:21" x14ac:dyDescent="0.25">
      <c r="A3370" t="s">
        <v>21</v>
      </c>
      <c r="B3370" t="s">
        <v>22</v>
      </c>
      <c r="C3370">
        <v>100</v>
      </c>
      <c r="D3370">
        <v>1</v>
      </c>
      <c r="E3370">
        <v>0</v>
      </c>
      <c r="F3370" t="s">
        <v>12643</v>
      </c>
      <c r="G3370">
        <v>106</v>
      </c>
      <c r="H3370">
        <v>6</v>
      </c>
      <c r="I3370" t="s">
        <v>24</v>
      </c>
      <c r="J3370" t="s">
        <v>12644</v>
      </c>
      <c r="K3370" t="s">
        <v>418</v>
      </c>
      <c r="L3370" t="s">
        <v>27</v>
      </c>
      <c r="M3370" t="s">
        <v>28</v>
      </c>
      <c r="N3370" t="s">
        <v>12645</v>
      </c>
      <c r="O3370" t="s">
        <v>27</v>
      </c>
      <c r="P3370" t="s">
        <v>56</v>
      </c>
      <c r="Q3370" t="s">
        <v>31</v>
      </c>
      <c r="R3370" t="s">
        <v>57</v>
      </c>
      <c r="S3370" t="s">
        <v>28</v>
      </c>
      <c r="T3370" t="s">
        <v>12646</v>
      </c>
      <c r="U3370" t="s">
        <v>12645</v>
      </c>
    </row>
    <row r="3371" spans="1:21" x14ac:dyDescent="0.25">
      <c r="A3371" t="s">
        <v>2307</v>
      </c>
      <c r="B3371" t="s">
        <v>2308</v>
      </c>
      <c r="C3371">
        <v>330</v>
      </c>
      <c r="D3371">
        <v>1</v>
      </c>
      <c r="E3371">
        <v>0</v>
      </c>
      <c r="F3371" t="s">
        <v>12647</v>
      </c>
      <c r="G3371">
        <v>330</v>
      </c>
      <c r="H3371">
        <v>0</v>
      </c>
      <c r="I3371" t="s">
        <v>140</v>
      </c>
      <c r="J3371" t="s">
        <v>8774</v>
      </c>
      <c r="K3371" t="s">
        <v>711</v>
      </c>
      <c r="L3371" t="s">
        <v>27</v>
      </c>
      <c r="M3371" t="s">
        <v>28</v>
      </c>
      <c r="N3371" t="s">
        <v>12648</v>
      </c>
      <c r="O3371" t="s">
        <v>27</v>
      </c>
      <c r="P3371" t="s">
        <v>30</v>
      </c>
      <c r="Q3371" t="s">
        <v>31</v>
      </c>
      <c r="R3371" t="s">
        <v>32</v>
      </c>
      <c r="S3371" t="s">
        <v>28</v>
      </c>
      <c r="T3371" t="s">
        <v>12649</v>
      </c>
      <c r="U3371" t="s">
        <v>12650</v>
      </c>
    </row>
    <row r="3372" spans="1:21" x14ac:dyDescent="0.25">
      <c r="A3372" t="s">
        <v>40</v>
      </c>
      <c r="B3372" t="s">
        <v>11384</v>
      </c>
      <c r="C3372">
        <v>100</v>
      </c>
      <c r="D3372">
        <v>1</v>
      </c>
      <c r="E3372">
        <v>0</v>
      </c>
      <c r="F3372" t="s">
        <v>12651</v>
      </c>
      <c r="G3372">
        <v>100</v>
      </c>
      <c r="H3372">
        <v>0</v>
      </c>
      <c r="I3372" t="s">
        <v>140</v>
      </c>
      <c r="J3372" t="s">
        <v>2811</v>
      </c>
      <c r="K3372" t="s">
        <v>474</v>
      </c>
      <c r="L3372" t="s">
        <v>27</v>
      </c>
      <c r="M3372" t="s">
        <v>28</v>
      </c>
      <c r="N3372" t="s">
        <v>12652</v>
      </c>
      <c r="O3372" t="s">
        <v>27</v>
      </c>
      <c r="P3372" t="s">
        <v>30</v>
      </c>
      <c r="Q3372" t="s">
        <v>31</v>
      </c>
      <c r="R3372" t="s">
        <v>32</v>
      </c>
      <c r="S3372" t="s">
        <v>28</v>
      </c>
      <c r="T3372" t="s">
        <v>12653</v>
      </c>
      <c r="U3372" t="s">
        <v>12652</v>
      </c>
    </row>
    <row r="3373" spans="1:21" x14ac:dyDescent="0.25">
      <c r="A3373" t="s">
        <v>63</v>
      </c>
      <c r="B3373" t="s">
        <v>64</v>
      </c>
      <c r="C3373">
        <v>100</v>
      </c>
      <c r="D3373">
        <v>1</v>
      </c>
      <c r="E3373">
        <v>0</v>
      </c>
      <c r="F3373" t="s">
        <v>12654</v>
      </c>
      <c r="G3373">
        <v>106</v>
      </c>
      <c r="H3373">
        <v>6</v>
      </c>
      <c r="I3373" t="s">
        <v>24</v>
      </c>
      <c r="J3373" t="s">
        <v>12655</v>
      </c>
      <c r="K3373" t="s">
        <v>250</v>
      </c>
      <c r="L3373" t="s">
        <v>27</v>
      </c>
      <c r="M3373" t="s">
        <v>28</v>
      </c>
      <c r="N3373" t="s">
        <v>12656</v>
      </c>
      <c r="O3373" t="s">
        <v>27</v>
      </c>
      <c r="P3373" t="s">
        <v>39</v>
      </c>
      <c r="Q3373" t="s">
        <v>31</v>
      </c>
      <c r="R3373" t="s">
        <v>32</v>
      </c>
      <c r="S3373" t="s">
        <v>28</v>
      </c>
      <c r="T3373" t="s">
        <v>12657</v>
      </c>
      <c r="U3373" t="s">
        <v>12656</v>
      </c>
    </row>
    <row r="3374" spans="1:21" x14ac:dyDescent="0.25">
      <c r="A3374" t="s">
        <v>33</v>
      </c>
      <c r="B3374" t="s">
        <v>34</v>
      </c>
      <c r="C3374">
        <v>200</v>
      </c>
      <c r="D3374">
        <v>1</v>
      </c>
      <c r="E3374">
        <v>0</v>
      </c>
      <c r="F3374" t="s">
        <v>12658</v>
      </c>
      <c r="G3374">
        <v>200</v>
      </c>
      <c r="H3374">
        <v>0</v>
      </c>
      <c r="I3374" t="s">
        <v>445</v>
      </c>
      <c r="J3374" t="s">
        <v>12659</v>
      </c>
      <c r="K3374" t="s">
        <v>797</v>
      </c>
      <c r="L3374" t="s">
        <v>27</v>
      </c>
      <c r="M3374" t="s">
        <v>28</v>
      </c>
      <c r="N3374" t="s">
        <v>12656</v>
      </c>
      <c r="O3374" t="s">
        <v>27</v>
      </c>
      <c r="P3374" t="s">
        <v>56</v>
      </c>
      <c r="Q3374" t="s">
        <v>31</v>
      </c>
      <c r="R3374" t="s">
        <v>57</v>
      </c>
      <c r="S3374" t="s">
        <v>28</v>
      </c>
      <c r="T3374" t="s">
        <v>12660</v>
      </c>
      <c r="U3374" t="s">
        <v>12656</v>
      </c>
    </row>
    <row r="3375" spans="1:21" x14ac:dyDescent="0.25">
      <c r="A3375" t="s">
        <v>70</v>
      </c>
      <c r="B3375" t="s">
        <v>70</v>
      </c>
      <c r="C3375">
        <v>350</v>
      </c>
      <c r="D3375">
        <v>1</v>
      </c>
      <c r="E3375">
        <v>0</v>
      </c>
      <c r="F3375" t="s">
        <v>12661</v>
      </c>
      <c r="G3375">
        <v>350</v>
      </c>
      <c r="H3375">
        <v>0</v>
      </c>
      <c r="I3375" t="s">
        <v>140</v>
      </c>
      <c r="J3375" t="s">
        <v>12662</v>
      </c>
      <c r="K3375" t="s">
        <v>273</v>
      </c>
      <c r="L3375" t="s">
        <v>27</v>
      </c>
      <c r="M3375" t="s">
        <v>28</v>
      </c>
      <c r="N3375" t="s">
        <v>12656</v>
      </c>
      <c r="O3375" t="s">
        <v>27</v>
      </c>
      <c r="P3375" t="s">
        <v>30</v>
      </c>
      <c r="Q3375" t="s">
        <v>31</v>
      </c>
      <c r="R3375" t="s">
        <v>32</v>
      </c>
      <c r="S3375" t="s">
        <v>28</v>
      </c>
      <c r="T3375" t="s">
        <v>12663</v>
      </c>
      <c r="U3375" t="s">
        <v>12656</v>
      </c>
    </row>
    <row r="3376" spans="1:21" x14ac:dyDescent="0.25">
      <c r="A3376" t="s">
        <v>33</v>
      </c>
      <c r="B3376" t="s">
        <v>34</v>
      </c>
      <c r="C3376">
        <v>200</v>
      </c>
      <c r="D3376">
        <v>1</v>
      </c>
      <c r="E3376">
        <v>0</v>
      </c>
      <c r="F3376" t="s">
        <v>12664</v>
      </c>
      <c r="G3376">
        <v>200</v>
      </c>
      <c r="H3376">
        <v>0</v>
      </c>
      <c r="I3376" t="s">
        <v>24</v>
      </c>
      <c r="J3376" t="s">
        <v>12665</v>
      </c>
      <c r="K3376" t="s">
        <v>342</v>
      </c>
      <c r="L3376" t="s">
        <v>27</v>
      </c>
      <c r="M3376" t="s">
        <v>28</v>
      </c>
      <c r="N3376" t="s">
        <v>12656</v>
      </c>
      <c r="O3376" t="s">
        <v>27</v>
      </c>
      <c r="P3376" t="s">
        <v>39</v>
      </c>
      <c r="Q3376" t="s">
        <v>31</v>
      </c>
      <c r="R3376" t="s">
        <v>32</v>
      </c>
      <c r="S3376" t="s">
        <v>28</v>
      </c>
      <c r="T3376" t="s">
        <v>12666</v>
      </c>
      <c r="U3376" t="s">
        <v>12656</v>
      </c>
    </row>
    <row r="3377" spans="1:21" x14ac:dyDescent="0.25">
      <c r="A3377" t="s">
        <v>21</v>
      </c>
      <c r="B3377" t="s">
        <v>22</v>
      </c>
      <c r="C3377">
        <v>100</v>
      </c>
      <c r="D3377">
        <v>1</v>
      </c>
      <c r="E3377">
        <v>0</v>
      </c>
      <c r="F3377" t="s">
        <v>12667</v>
      </c>
      <c r="G3377">
        <v>100</v>
      </c>
      <c r="H3377">
        <v>0</v>
      </c>
      <c r="I3377" t="s">
        <v>24</v>
      </c>
      <c r="J3377" t="s">
        <v>12668</v>
      </c>
      <c r="K3377" t="s">
        <v>247</v>
      </c>
      <c r="L3377" t="s">
        <v>27</v>
      </c>
      <c r="M3377" t="s">
        <v>28</v>
      </c>
      <c r="N3377" t="s">
        <v>12669</v>
      </c>
      <c r="O3377" t="s">
        <v>27</v>
      </c>
      <c r="P3377" t="s">
        <v>39</v>
      </c>
      <c r="Q3377" t="s">
        <v>31</v>
      </c>
      <c r="R3377" t="s">
        <v>32</v>
      </c>
      <c r="S3377" t="s">
        <v>28</v>
      </c>
      <c r="T3377" t="s">
        <v>12670</v>
      </c>
      <c r="U3377" t="s">
        <v>12669</v>
      </c>
    </row>
    <row r="3378" spans="1:21" x14ac:dyDescent="0.25">
      <c r="A3378" t="s">
        <v>21</v>
      </c>
      <c r="B3378" t="s">
        <v>22</v>
      </c>
      <c r="C3378">
        <v>100</v>
      </c>
      <c r="D3378">
        <v>1</v>
      </c>
      <c r="E3378">
        <v>0</v>
      </c>
      <c r="F3378" t="s">
        <v>12671</v>
      </c>
      <c r="G3378">
        <v>106</v>
      </c>
      <c r="H3378">
        <v>6</v>
      </c>
      <c r="I3378" t="s">
        <v>24</v>
      </c>
      <c r="J3378" t="s">
        <v>12672</v>
      </c>
      <c r="K3378" t="s">
        <v>1878</v>
      </c>
      <c r="L3378" t="s">
        <v>27</v>
      </c>
      <c r="M3378" t="s">
        <v>28</v>
      </c>
      <c r="N3378" t="s">
        <v>12673</v>
      </c>
      <c r="O3378" t="s">
        <v>27</v>
      </c>
      <c r="P3378" t="s">
        <v>39</v>
      </c>
      <c r="Q3378" t="s">
        <v>31</v>
      </c>
      <c r="R3378" t="s">
        <v>32</v>
      </c>
      <c r="S3378" t="s">
        <v>28</v>
      </c>
      <c r="T3378" t="s">
        <v>12674</v>
      </c>
      <c r="U3378" t="s">
        <v>12673</v>
      </c>
    </row>
    <row r="3379" spans="1:21" x14ac:dyDescent="0.25">
      <c r="A3379" t="s">
        <v>143</v>
      </c>
      <c r="B3379" t="s">
        <v>144</v>
      </c>
      <c r="C3379">
        <v>200</v>
      </c>
      <c r="D3379">
        <v>1</v>
      </c>
      <c r="E3379">
        <v>0</v>
      </c>
      <c r="F3379" t="s">
        <v>12675</v>
      </c>
      <c r="G3379">
        <v>200</v>
      </c>
      <c r="H3379">
        <v>0</v>
      </c>
      <c r="I3379" t="s">
        <v>445</v>
      </c>
      <c r="J3379" t="s">
        <v>12676</v>
      </c>
      <c r="K3379" t="s">
        <v>384</v>
      </c>
      <c r="L3379" t="s">
        <v>27</v>
      </c>
      <c r="M3379" t="s">
        <v>28</v>
      </c>
      <c r="N3379" t="s">
        <v>12677</v>
      </c>
      <c r="O3379" t="s">
        <v>27</v>
      </c>
      <c r="P3379" t="s">
        <v>56</v>
      </c>
      <c r="Q3379" t="s">
        <v>31</v>
      </c>
      <c r="R3379" t="s">
        <v>57</v>
      </c>
      <c r="S3379" t="s">
        <v>28</v>
      </c>
      <c r="T3379" t="s">
        <v>12678</v>
      </c>
      <c r="U3379" t="s">
        <v>12677</v>
      </c>
    </row>
    <row r="3380" spans="1:21" x14ac:dyDescent="0.25">
      <c r="A3380" t="s">
        <v>33</v>
      </c>
      <c r="B3380" t="s">
        <v>34</v>
      </c>
      <c r="C3380">
        <v>200</v>
      </c>
      <c r="D3380">
        <v>1</v>
      </c>
      <c r="E3380">
        <v>0</v>
      </c>
      <c r="F3380" t="s">
        <v>12679</v>
      </c>
      <c r="G3380">
        <v>200</v>
      </c>
      <c r="H3380">
        <v>0</v>
      </c>
      <c r="I3380" t="s">
        <v>24</v>
      </c>
      <c r="J3380" t="s">
        <v>12680</v>
      </c>
      <c r="K3380" t="s">
        <v>89</v>
      </c>
      <c r="L3380" t="s">
        <v>27</v>
      </c>
      <c r="M3380" t="s">
        <v>28</v>
      </c>
      <c r="N3380" t="s">
        <v>12677</v>
      </c>
      <c r="O3380" t="s">
        <v>27</v>
      </c>
      <c r="P3380" t="s">
        <v>56</v>
      </c>
      <c r="Q3380" t="s">
        <v>31</v>
      </c>
      <c r="R3380" t="s">
        <v>57</v>
      </c>
      <c r="S3380" t="s">
        <v>28</v>
      </c>
      <c r="T3380" t="s">
        <v>12681</v>
      </c>
      <c r="U3380" t="s">
        <v>12677</v>
      </c>
    </row>
    <row r="3381" spans="1:21" x14ac:dyDescent="0.25">
      <c r="A3381" t="s">
        <v>21</v>
      </c>
      <c r="B3381" t="s">
        <v>22</v>
      </c>
      <c r="C3381">
        <v>100</v>
      </c>
      <c r="D3381">
        <v>2</v>
      </c>
      <c r="E3381">
        <v>0</v>
      </c>
      <c r="F3381" t="s">
        <v>12682</v>
      </c>
      <c r="G3381">
        <v>206</v>
      </c>
      <c r="H3381">
        <v>6</v>
      </c>
      <c r="I3381" t="s">
        <v>24</v>
      </c>
      <c r="J3381" t="s">
        <v>12683</v>
      </c>
      <c r="K3381" t="s">
        <v>1989</v>
      </c>
      <c r="L3381" t="s">
        <v>27</v>
      </c>
      <c r="M3381" t="s">
        <v>28</v>
      </c>
      <c r="N3381" t="s">
        <v>12684</v>
      </c>
      <c r="O3381" t="s">
        <v>27</v>
      </c>
      <c r="P3381" t="s">
        <v>39</v>
      </c>
      <c r="Q3381" t="s">
        <v>31</v>
      </c>
      <c r="R3381" t="s">
        <v>32</v>
      </c>
      <c r="S3381" t="s">
        <v>28</v>
      </c>
      <c r="T3381" t="s">
        <v>12685</v>
      </c>
      <c r="U3381" t="s">
        <v>12684</v>
      </c>
    </row>
    <row r="3382" spans="1:21" x14ac:dyDescent="0.25">
      <c r="A3382" t="s">
        <v>21</v>
      </c>
      <c r="B3382" t="s">
        <v>22</v>
      </c>
      <c r="C3382">
        <v>100</v>
      </c>
      <c r="D3382">
        <v>1</v>
      </c>
      <c r="E3382">
        <v>0</v>
      </c>
      <c r="F3382" t="s">
        <v>12686</v>
      </c>
      <c r="G3382">
        <v>106</v>
      </c>
      <c r="H3382">
        <v>6</v>
      </c>
      <c r="I3382" t="s">
        <v>24</v>
      </c>
      <c r="J3382" t="s">
        <v>12687</v>
      </c>
      <c r="K3382" t="s">
        <v>73</v>
      </c>
      <c r="L3382" t="s">
        <v>27</v>
      </c>
      <c r="M3382" t="s">
        <v>28</v>
      </c>
      <c r="N3382" t="s">
        <v>12688</v>
      </c>
      <c r="O3382" t="s">
        <v>27</v>
      </c>
      <c r="P3382" t="s">
        <v>39</v>
      </c>
      <c r="Q3382" t="s">
        <v>31</v>
      </c>
      <c r="R3382" t="s">
        <v>32</v>
      </c>
      <c r="S3382" t="s">
        <v>28</v>
      </c>
      <c r="T3382" t="s">
        <v>12689</v>
      </c>
      <c r="U3382" t="s">
        <v>12688</v>
      </c>
    </row>
    <row r="3383" spans="1:21" x14ac:dyDescent="0.25">
      <c r="A3383" t="s">
        <v>456</v>
      </c>
      <c r="B3383" t="s">
        <v>457</v>
      </c>
      <c r="C3383">
        <v>197</v>
      </c>
      <c r="D3383">
        <v>1</v>
      </c>
      <c r="E3383">
        <v>0</v>
      </c>
      <c r="F3383" t="s">
        <v>12690</v>
      </c>
      <c r="G3383">
        <v>226</v>
      </c>
      <c r="H3383">
        <v>29</v>
      </c>
      <c r="I3383" t="s">
        <v>445</v>
      </c>
      <c r="J3383" t="s">
        <v>6686</v>
      </c>
      <c r="K3383" t="s">
        <v>6680</v>
      </c>
      <c r="L3383" t="s">
        <v>3264</v>
      </c>
      <c r="M3383" t="s">
        <v>6687</v>
      </c>
      <c r="N3383" t="s">
        <v>12688</v>
      </c>
      <c r="O3383" t="s">
        <v>27</v>
      </c>
      <c r="P3383" t="s">
        <v>84</v>
      </c>
      <c r="Q3383" t="s">
        <v>85</v>
      </c>
      <c r="R3383" t="s">
        <v>86</v>
      </c>
      <c r="S3383" t="s">
        <v>28</v>
      </c>
      <c r="T3383" t="s">
        <v>12691</v>
      </c>
      <c r="U3383" t="s">
        <v>12688</v>
      </c>
    </row>
    <row r="3384" spans="1:21" x14ac:dyDescent="0.25">
      <c r="A3384" t="s">
        <v>70</v>
      </c>
      <c r="B3384" t="s">
        <v>70</v>
      </c>
      <c r="C3384">
        <v>330</v>
      </c>
      <c r="D3384">
        <v>1</v>
      </c>
      <c r="E3384">
        <v>0</v>
      </c>
      <c r="F3384" t="s">
        <v>12692</v>
      </c>
      <c r="G3384">
        <v>330</v>
      </c>
      <c r="H3384">
        <v>0</v>
      </c>
      <c r="I3384" t="s">
        <v>24</v>
      </c>
      <c r="J3384" t="s">
        <v>12693</v>
      </c>
      <c r="K3384" t="s">
        <v>321</v>
      </c>
      <c r="L3384" t="s">
        <v>27</v>
      </c>
      <c r="M3384" t="s">
        <v>28</v>
      </c>
      <c r="N3384" t="s">
        <v>12694</v>
      </c>
      <c r="O3384" t="s">
        <v>27</v>
      </c>
      <c r="P3384" t="s">
        <v>39</v>
      </c>
      <c r="Q3384" t="s">
        <v>31</v>
      </c>
      <c r="R3384" t="s">
        <v>32</v>
      </c>
      <c r="S3384" t="s">
        <v>12695</v>
      </c>
      <c r="T3384" t="s">
        <v>12696</v>
      </c>
      <c r="U3384" t="s">
        <v>12688</v>
      </c>
    </row>
    <row r="3385" spans="1:21" x14ac:dyDescent="0.25">
      <c r="A3385" t="s">
        <v>21</v>
      </c>
      <c r="B3385" t="s">
        <v>22</v>
      </c>
      <c r="C3385">
        <v>100</v>
      </c>
      <c r="D3385">
        <v>1</v>
      </c>
      <c r="E3385">
        <v>0</v>
      </c>
      <c r="F3385" t="s">
        <v>12697</v>
      </c>
      <c r="G3385">
        <v>106</v>
      </c>
      <c r="H3385">
        <v>6</v>
      </c>
      <c r="I3385" t="s">
        <v>24</v>
      </c>
      <c r="J3385" t="s">
        <v>12698</v>
      </c>
      <c r="K3385" t="s">
        <v>73</v>
      </c>
      <c r="L3385" t="s">
        <v>27</v>
      </c>
      <c r="M3385" t="s">
        <v>28</v>
      </c>
      <c r="N3385" t="s">
        <v>12694</v>
      </c>
      <c r="O3385" t="s">
        <v>27</v>
      </c>
      <c r="P3385" t="s">
        <v>39</v>
      </c>
      <c r="Q3385" t="s">
        <v>31</v>
      </c>
      <c r="R3385" t="s">
        <v>32</v>
      </c>
      <c r="S3385" t="s">
        <v>28</v>
      </c>
      <c r="T3385" t="s">
        <v>12699</v>
      </c>
      <c r="U3385" t="s">
        <v>12694</v>
      </c>
    </row>
    <row r="3386" spans="1:21" x14ac:dyDescent="0.25">
      <c r="A3386" t="s">
        <v>456</v>
      </c>
      <c r="B3386" t="s">
        <v>457</v>
      </c>
      <c r="C3386">
        <v>197</v>
      </c>
      <c r="D3386">
        <v>1</v>
      </c>
      <c r="E3386">
        <v>0</v>
      </c>
      <c r="F3386" t="s">
        <v>12700</v>
      </c>
      <c r="G3386">
        <v>226</v>
      </c>
      <c r="H3386">
        <v>29</v>
      </c>
      <c r="I3386" t="s">
        <v>445</v>
      </c>
      <c r="J3386" t="s">
        <v>502</v>
      </c>
      <c r="K3386" t="s">
        <v>6680</v>
      </c>
      <c r="L3386" t="s">
        <v>3264</v>
      </c>
      <c r="M3386" t="s">
        <v>6681</v>
      </c>
      <c r="N3386" t="s">
        <v>12694</v>
      </c>
      <c r="O3386" t="s">
        <v>27</v>
      </c>
      <c r="P3386" t="s">
        <v>84</v>
      </c>
      <c r="Q3386" t="s">
        <v>85</v>
      </c>
      <c r="R3386" t="s">
        <v>86</v>
      </c>
      <c r="S3386" t="s">
        <v>28</v>
      </c>
      <c r="T3386" t="s">
        <v>12701</v>
      </c>
      <c r="U3386" t="s">
        <v>12694</v>
      </c>
    </row>
    <row r="3387" spans="1:21" x14ac:dyDescent="0.25">
      <c r="A3387" t="s">
        <v>134</v>
      </c>
      <c r="B3387" t="s">
        <v>64</v>
      </c>
      <c r="C3387">
        <v>100</v>
      </c>
      <c r="D3387">
        <v>2</v>
      </c>
      <c r="E3387">
        <v>0</v>
      </c>
      <c r="F3387" t="s">
        <v>12702</v>
      </c>
      <c r="G3387">
        <v>206</v>
      </c>
      <c r="H3387">
        <v>6</v>
      </c>
      <c r="I3387" t="s">
        <v>24</v>
      </c>
      <c r="J3387" t="s">
        <v>12703</v>
      </c>
      <c r="K3387" t="s">
        <v>137</v>
      </c>
      <c r="L3387" t="s">
        <v>27</v>
      </c>
      <c r="M3387" t="s">
        <v>28</v>
      </c>
      <c r="N3387" t="s">
        <v>12694</v>
      </c>
      <c r="O3387" t="s">
        <v>27</v>
      </c>
      <c r="P3387" t="s">
        <v>39</v>
      </c>
      <c r="Q3387" t="s">
        <v>31</v>
      </c>
      <c r="R3387" t="s">
        <v>32</v>
      </c>
      <c r="S3387" t="s">
        <v>28</v>
      </c>
      <c r="T3387" t="s">
        <v>12704</v>
      </c>
      <c r="U3387" t="s">
        <v>12694</v>
      </c>
    </row>
    <row r="3388" spans="1:21" x14ac:dyDescent="0.25">
      <c r="A3388" t="s">
        <v>21</v>
      </c>
      <c r="B3388" t="s">
        <v>22</v>
      </c>
      <c r="C3388">
        <v>100</v>
      </c>
      <c r="D3388">
        <v>2</v>
      </c>
      <c r="E3388">
        <v>0</v>
      </c>
      <c r="F3388" t="s">
        <v>12705</v>
      </c>
      <c r="G3388">
        <v>300</v>
      </c>
      <c r="H3388">
        <v>0</v>
      </c>
      <c r="I3388" t="s">
        <v>445</v>
      </c>
      <c r="J3388" t="s">
        <v>12706</v>
      </c>
      <c r="K3388" t="s">
        <v>653</v>
      </c>
      <c r="L3388" t="s">
        <v>27</v>
      </c>
      <c r="M3388" t="s">
        <v>28</v>
      </c>
      <c r="N3388" t="s">
        <v>12707</v>
      </c>
      <c r="O3388" t="s">
        <v>27</v>
      </c>
      <c r="P3388" t="s">
        <v>39</v>
      </c>
      <c r="Q3388" t="s">
        <v>31</v>
      </c>
      <c r="R3388" t="s">
        <v>32</v>
      </c>
      <c r="S3388" t="s">
        <v>28</v>
      </c>
      <c r="T3388" t="s">
        <v>12708</v>
      </c>
      <c r="U3388" t="s">
        <v>12694</v>
      </c>
    </row>
    <row r="3389" spans="1:21" x14ac:dyDescent="0.25">
      <c r="A3389" t="s">
        <v>63</v>
      </c>
      <c r="B3389" t="s">
        <v>64</v>
      </c>
      <c r="C3389">
        <v>100</v>
      </c>
      <c r="D3389">
        <v>1</v>
      </c>
      <c r="E3389">
        <v>0</v>
      </c>
      <c r="F3389" t="s">
        <v>12705</v>
      </c>
      <c r="G3389">
        <v>300</v>
      </c>
      <c r="H3389">
        <v>0</v>
      </c>
      <c r="I3389" t="s">
        <v>445</v>
      </c>
      <c r="J3389" t="s">
        <v>12706</v>
      </c>
      <c r="K3389" t="s">
        <v>653</v>
      </c>
      <c r="L3389" t="s">
        <v>27</v>
      </c>
      <c r="M3389" t="s">
        <v>28</v>
      </c>
      <c r="N3389" t="s">
        <v>12707</v>
      </c>
      <c r="O3389" t="s">
        <v>27</v>
      </c>
      <c r="P3389" t="s">
        <v>39</v>
      </c>
      <c r="Q3389" t="s">
        <v>31</v>
      </c>
      <c r="R3389" t="s">
        <v>32</v>
      </c>
      <c r="S3389" t="s">
        <v>28</v>
      </c>
      <c r="T3389" t="s">
        <v>12708</v>
      </c>
      <c r="U3389" t="s">
        <v>12694</v>
      </c>
    </row>
    <row r="3390" spans="1:21" x14ac:dyDescent="0.25">
      <c r="A3390" t="s">
        <v>21</v>
      </c>
      <c r="B3390" t="s">
        <v>22</v>
      </c>
      <c r="C3390">
        <v>100</v>
      </c>
      <c r="D3390">
        <v>3</v>
      </c>
      <c r="E3390">
        <v>0</v>
      </c>
      <c r="F3390" t="s">
        <v>12709</v>
      </c>
      <c r="G3390">
        <v>300</v>
      </c>
      <c r="H3390">
        <v>0</v>
      </c>
      <c r="I3390" t="s">
        <v>445</v>
      </c>
      <c r="J3390" t="s">
        <v>3950</v>
      </c>
      <c r="K3390" t="s">
        <v>474</v>
      </c>
      <c r="L3390" t="s">
        <v>27</v>
      </c>
      <c r="M3390" t="s">
        <v>28</v>
      </c>
      <c r="N3390" t="s">
        <v>12707</v>
      </c>
      <c r="O3390" t="s">
        <v>27</v>
      </c>
      <c r="P3390" t="s">
        <v>39</v>
      </c>
      <c r="Q3390" t="s">
        <v>31</v>
      </c>
      <c r="R3390" t="s">
        <v>32</v>
      </c>
      <c r="S3390" t="s">
        <v>28</v>
      </c>
      <c r="T3390" t="s">
        <v>12710</v>
      </c>
      <c r="U3390" t="s">
        <v>12707</v>
      </c>
    </row>
    <row r="3391" spans="1:21" x14ac:dyDescent="0.25">
      <c r="A3391" t="s">
        <v>33</v>
      </c>
      <c r="B3391" t="s">
        <v>34</v>
      </c>
      <c r="C3391">
        <v>200</v>
      </c>
      <c r="D3391">
        <v>1</v>
      </c>
      <c r="E3391">
        <v>0</v>
      </c>
      <c r="F3391" t="s">
        <v>12711</v>
      </c>
      <c r="G3391">
        <v>200</v>
      </c>
      <c r="H3391">
        <v>0</v>
      </c>
      <c r="I3391" t="s">
        <v>445</v>
      </c>
      <c r="J3391" t="s">
        <v>12712</v>
      </c>
      <c r="K3391" t="s">
        <v>250</v>
      </c>
      <c r="L3391" t="s">
        <v>27</v>
      </c>
      <c r="M3391" t="s">
        <v>28</v>
      </c>
      <c r="N3391" t="s">
        <v>12707</v>
      </c>
      <c r="O3391" t="s">
        <v>27</v>
      </c>
      <c r="P3391" t="s">
        <v>39</v>
      </c>
      <c r="Q3391" t="s">
        <v>31</v>
      </c>
      <c r="R3391" t="s">
        <v>32</v>
      </c>
      <c r="S3391" t="s">
        <v>28</v>
      </c>
      <c r="T3391" t="s">
        <v>12713</v>
      </c>
      <c r="U3391" t="s">
        <v>12707</v>
      </c>
    </row>
    <row r="3392" spans="1:21" x14ac:dyDescent="0.25">
      <c r="A3392" t="s">
        <v>21</v>
      </c>
      <c r="B3392" t="s">
        <v>22</v>
      </c>
      <c r="C3392">
        <v>100</v>
      </c>
      <c r="D3392">
        <v>1</v>
      </c>
      <c r="E3392">
        <v>0</v>
      </c>
      <c r="F3392" t="s">
        <v>12714</v>
      </c>
      <c r="G3392">
        <v>100</v>
      </c>
      <c r="H3392">
        <v>0</v>
      </c>
      <c r="I3392" t="s">
        <v>140</v>
      </c>
      <c r="J3392" t="s">
        <v>3234</v>
      </c>
      <c r="K3392" t="s">
        <v>247</v>
      </c>
      <c r="L3392" t="s">
        <v>27</v>
      </c>
      <c r="M3392" t="s">
        <v>28</v>
      </c>
      <c r="N3392" t="s">
        <v>12707</v>
      </c>
      <c r="O3392" t="s">
        <v>27</v>
      </c>
      <c r="P3392" t="s">
        <v>30</v>
      </c>
      <c r="Q3392" t="s">
        <v>31</v>
      </c>
      <c r="R3392" t="s">
        <v>32</v>
      </c>
      <c r="S3392" t="s">
        <v>28</v>
      </c>
      <c r="T3392" t="s">
        <v>12715</v>
      </c>
      <c r="U3392" t="s">
        <v>12707</v>
      </c>
    </row>
    <row r="3393" spans="1:21" x14ac:dyDescent="0.25">
      <c r="A3393" t="s">
        <v>134</v>
      </c>
      <c r="B3393" t="s">
        <v>64</v>
      </c>
      <c r="C3393">
        <v>100</v>
      </c>
      <c r="D3393">
        <v>1</v>
      </c>
      <c r="E3393">
        <v>0</v>
      </c>
      <c r="F3393" t="s">
        <v>12716</v>
      </c>
      <c r="G3393">
        <v>200</v>
      </c>
      <c r="H3393">
        <v>0</v>
      </c>
      <c r="I3393" t="s">
        <v>445</v>
      </c>
      <c r="J3393" t="s">
        <v>12717</v>
      </c>
      <c r="K3393" t="s">
        <v>350</v>
      </c>
      <c r="L3393" t="s">
        <v>27</v>
      </c>
      <c r="M3393" t="s">
        <v>28</v>
      </c>
      <c r="N3393" t="s">
        <v>12718</v>
      </c>
      <c r="O3393" t="s">
        <v>27</v>
      </c>
      <c r="P3393" t="s">
        <v>56</v>
      </c>
      <c r="Q3393" t="s">
        <v>31</v>
      </c>
      <c r="R3393" t="s">
        <v>57</v>
      </c>
      <c r="S3393" t="s">
        <v>28</v>
      </c>
      <c r="T3393" t="s">
        <v>12719</v>
      </c>
      <c r="U3393" t="s">
        <v>12720</v>
      </c>
    </row>
    <row r="3394" spans="1:21" x14ac:dyDescent="0.25">
      <c r="A3394" t="s">
        <v>63</v>
      </c>
      <c r="B3394" t="s">
        <v>64</v>
      </c>
      <c r="C3394">
        <v>100</v>
      </c>
      <c r="D3394">
        <v>1</v>
      </c>
      <c r="E3394">
        <v>0</v>
      </c>
      <c r="F3394" t="s">
        <v>12716</v>
      </c>
      <c r="G3394">
        <v>200</v>
      </c>
      <c r="H3394">
        <v>0</v>
      </c>
      <c r="I3394" t="s">
        <v>445</v>
      </c>
      <c r="J3394" t="s">
        <v>12717</v>
      </c>
      <c r="K3394" t="s">
        <v>350</v>
      </c>
      <c r="L3394" t="s">
        <v>27</v>
      </c>
      <c r="M3394" t="s">
        <v>28</v>
      </c>
      <c r="N3394" t="s">
        <v>12718</v>
      </c>
      <c r="O3394" t="s">
        <v>27</v>
      </c>
      <c r="P3394" t="s">
        <v>56</v>
      </c>
      <c r="Q3394" t="s">
        <v>31</v>
      </c>
      <c r="R3394" t="s">
        <v>57</v>
      </c>
      <c r="S3394" t="s">
        <v>28</v>
      </c>
      <c r="T3394" t="s">
        <v>12719</v>
      </c>
      <c r="U3394" t="s">
        <v>12720</v>
      </c>
    </row>
    <row r="3395" spans="1:21" x14ac:dyDescent="0.25">
      <c r="A3395" t="s">
        <v>33</v>
      </c>
      <c r="B3395" t="s">
        <v>34</v>
      </c>
      <c r="C3395">
        <v>200</v>
      </c>
      <c r="D3395">
        <v>1</v>
      </c>
      <c r="E3395">
        <v>0</v>
      </c>
      <c r="F3395" t="s">
        <v>12721</v>
      </c>
      <c r="G3395">
        <v>300</v>
      </c>
      <c r="H3395">
        <v>0</v>
      </c>
      <c r="I3395" t="s">
        <v>24</v>
      </c>
      <c r="J3395" t="s">
        <v>12722</v>
      </c>
      <c r="K3395" t="s">
        <v>61</v>
      </c>
      <c r="L3395" t="s">
        <v>27</v>
      </c>
      <c r="M3395" t="s">
        <v>28</v>
      </c>
      <c r="N3395" t="s">
        <v>12723</v>
      </c>
      <c r="O3395" t="s">
        <v>27</v>
      </c>
      <c r="P3395" t="s">
        <v>56</v>
      </c>
      <c r="Q3395" t="s">
        <v>31</v>
      </c>
      <c r="R3395" t="s">
        <v>57</v>
      </c>
      <c r="S3395" t="s">
        <v>28</v>
      </c>
      <c r="T3395" t="s">
        <v>12724</v>
      </c>
      <c r="U3395" t="s">
        <v>12723</v>
      </c>
    </row>
    <row r="3396" spans="1:21" x14ac:dyDescent="0.25">
      <c r="A3396" t="s">
        <v>63</v>
      </c>
      <c r="B3396" t="s">
        <v>64</v>
      </c>
      <c r="C3396">
        <v>100</v>
      </c>
      <c r="D3396">
        <v>1</v>
      </c>
      <c r="E3396">
        <v>0</v>
      </c>
      <c r="F3396" t="s">
        <v>12721</v>
      </c>
      <c r="G3396">
        <v>300</v>
      </c>
      <c r="H3396">
        <v>0</v>
      </c>
      <c r="I3396" t="s">
        <v>24</v>
      </c>
      <c r="J3396" t="s">
        <v>12722</v>
      </c>
      <c r="K3396" t="s">
        <v>61</v>
      </c>
      <c r="L3396" t="s">
        <v>27</v>
      </c>
      <c r="M3396" t="s">
        <v>28</v>
      </c>
      <c r="N3396" t="s">
        <v>12723</v>
      </c>
      <c r="O3396" t="s">
        <v>27</v>
      </c>
      <c r="P3396" t="s">
        <v>56</v>
      </c>
      <c r="Q3396" t="s">
        <v>31</v>
      </c>
      <c r="R3396" t="s">
        <v>57</v>
      </c>
      <c r="S3396" t="s">
        <v>28</v>
      </c>
      <c r="T3396" t="s">
        <v>12724</v>
      </c>
      <c r="U3396" t="s">
        <v>12723</v>
      </c>
    </row>
    <row r="3397" spans="1:21" x14ac:dyDescent="0.25">
      <c r="A3397" t="s">
        <v>63</v>
      </c>
      <c r="B3397" t="s">
        <v>64</v>
      </c>
      <c r="C3397">
        <v>100</v>
      </c>
      <c r="D3397">
        <v>1</v>
      </c>
      <c r="E3397">
        <v>0</v>
      </c>
      <c r="F3397" t="s">
        <v>12725</v>
      </c>
      <c r="G3397">
        <v>106</v>
      </c>
      <c r="H3397">
        <v>6</v>
      </c>
      <c r="I3397" t="s">
        <v>445</v>
      </c>
      <c r="J3397" t="s">
        <v>12726</v>
      </c>
      <c r="K3397" t="s">
        <v>67</v>
      </c>
      <c r="L3397" t="s">
        <v>27</v>
      </c>
      <c r="M3397" t="s">
        <v>28</v>
      </c>
      <c r="N3397" t="s">
        <v>12727</v>
      </c>
      <c r="O3397" t="s">
        <v>27</v>
      </c>
      <c r="P3397" t="s">
        <v>56</v>
      </c>
      <c r="Q3397" t="s">
        <v>31</v>
      </c>
      <c r="R3397" t="s">
        <v>57</v>
      </c>
      <c r="S3397" t="s">
        <v>28</v>
      </c>
      <c r="T3397" t="s">
        <v>12728</v>
      </c>
      <c r="U3397" t="s">
        <v>12729</v>
      </c>
    </row>
    <row r="3398" spans="1:21" x14ac:dyDescent="0.25">
      <c r="A3398" t="s">
        <v>70</v>
      </c>
      <c r="B3398" t="s">
        <v>70</v>
      </c>
      <c r="C3398">
        <v>330</v>
      </c>
      <c r="D3398">
        <v>1</v>
      </c>
      <c r="E3398">
        <v>0</v>
      </c>
      <c r="F3398" t="s">
        <v>12730</v>
      </c>
      <c r="G3398">
        <v>330</v>
      </c>
      <c r="H3398">
        <v>0</v>
      </c>
      <c r="I3398" t="s">
        <v>24</v>
      </c>
      <c r="J3398" t="s">
        <v>12731</v>
      </c>
      <c r="K3398" t="s">
        <v>209</v>
      </c>
      <c r="L3398" t="s">
        <v>27</v>
      </c>
      <c r="M3398" t="s">
        <v>28</v>
      </c>
      <c r="N3398" t="s">
        <v>12729</v>
      </c>
      <c r="O3398" t="s">
        <v>27</v>
      </c>
      <c r="P3398" t="s">
        <v>56</v>
      </c>
      <c r="Q3398" t="s">
        <v>31</v>
      </c>
      <c r="R3398" t="s">
        <v>57</v>
      </c>
      <c r="S3398" t="s">
        <v>28</v>
      </c>
      <c r="T3398" t="s">
        <v>12732</v>
      </c>
      <c r="U3398" t="s">
        <v>12733</v>
      </c>
    </row>
    <row r="3399" spans="1:21" x14ac:dyDescent="0.25">
      <c r="A3399" t="s">
        <v>21</v>
      </c>
      <c r="B3399" t="s">
        <v>22</v>
      </c>
      <c r="C3399">
        <v>100</v>
      </c>
      <c r="D3399">
        <v>1</v>
      </c>
      <c r="E3399">
        <v>0</v>
      </c>
      <c r="F3399" t="s">
        <v>12734</v>
      </c>
      <c r="G3399">
        <v>106</v>
      </c>
      <c r="H3399">
        <v>6</v>
      </c>
      <c r="I3399" t="s">
        <v>445</v>
      </c>
      <c r="J3399" t="s">
        <v>12735</v>
      </c>
      <c r="K3399" t="s">
        <v>834</v>
      </c>
      <c r="L3399" t="s">
        <v>27</v>
      </c>
      <c r="M3399" t="s">
        <v>28</v>
      </c>
      <c r="N3399" t="s">
        <v>12733</v>
      </c>
      <c r="O3399" t="s">
        <v>27</v>
      </c>
      <c r="P3399" t="s">
        <v>39</v>
      </c>
      <c r="Q3399" t="s">
        <v>31</v>
      </c>
      <c r="R3399" t="s">
        <v>32</v>
      </c>
      <c r="S3399" t="s">
        <v>28</v>
      </c>
      <c r="T3399" t="s">
        <v>12736</v>
      </c>
      <c r="U3399" t="s">
        <v>12733</v>
      </c>
    </row>
    <row r="3400" spans="1:21" x14ac:dyDescent="0.25">
      <c r="A3400" t="s">
        <v>58</v>
      </c>
      <c r="B3400" t="s">
        <v>58</v>
      </c>
      <c r="C3400">
        <v>100</v>
      </c>
      <c r="D3400">
        <v>1</v>
      </c>
      <c r="E3400">
        <v>0</v>
      </c>
      <c r="F3400" t="s">
        <v>12737</v>
      </c>
      <c r="G3400">
        <v>100</v>
      </c>
      <c r="H3400">
        <v>0</v>
      </c>
      <c r="I3400" t="s">
        <v>140</v>
      </c>
      <c r="J3400" t="s">
        <v>12738</v>
      </c>
      <c r="K3400" t="s">
        <v>124</v>
      </c>
      <c r="L3400" t="s">
        <v>27</v>
      </c>
      <c r="M3400" t="s">
        <v>28</v>
      </c>
      <c r="N3400" t="s">
        <v>12733</v>
      </c>
      <c r="O3400" t="s">
        <v>27</v>
      </c>
      <c r="P3400" t="s">
        <v>30</v>
      </c>
      <c r="Q3400" t="s">
        <v>31</v>
      </c>
      <c r="R3400" t="s">
        <v>32</v>
      </c>
      <c r="S3400" t="s">
        <v>28</v>
      </c>
      <c r="T3400" t="s">
        <v>12739</v>
      </c>
      <c r="U3400" t="s">
        <v>12733</v>
      </c>
    </row>
    <row r="3401" spans="1:21" x14ac:dyDescent="0.25">
      <c r="A3401" t="s">
        <v>21</v>
      </c>
      <c r="B3401" t="s">
        <v>22</v>
      </c>
      <c r="C3401">
        <v>100</v>
      </c>
      <c r="D3401">
        <v>1</v>
      </c>
      <c r="E3401">
        <v>0</v>
      </c>
      <c r="F3401" t="s">
        <v>12740</v>
      </c>
      <c r="G3401">
        <v>106</v>
      </c>
      <c r="H3401">
        <v>6</v>
      </c>
      <c r="I3401" t="s">
        <v>445</v>
      </c>
      <c r="J3401" t="s">
        <v>12741</v>
      </c>
      <c r="K3401" t="s">
        <v>311</v>
      </c>
      <c r="L3401" t="s">
        <v>27</v>
      </c>
      <c r="M3401" t="s">
        <v>28</v>
      </c>
      <c r="N3401" t="s">
        <v>12742</v>
      </c>
      <c r="O3401" t="s">
        <v>27</v>
      </c>
      <c r="P3401" t="s">
        <v>56</v>
      </c>
      <c r="Q3401" t="s">
        <v>31</v>
      </c>
      <c r="R3401" t="s">
        <v>57</v>
      </c>
      <c r="S3401" t="s">
        <v>28</v>
      </c>
      <c r="T3401" t="s">
        <v>12743</v>
      </c>
      <c r="U3401" t="s">
        <v>12742</v>
      </c>
    </row>
    <row r="3402" spans="1:21" x14ac:dyDescent="0.25">
      <c r="A3402" t="s">
        <v>21</v>
      </c>
      <c r="B3402" t="s">
        <v>22</v>
      </c>
      <c r="C3402">
        <v>100</v>
      </c>
      <c r="D3402">
        <v>1</v>
      </c>
      <c r="E3402">
        <v>0</v>
      </c>
      <c r="F3402" t="s">
        <v>12744</v>
      </c>
      <c r="G3402">
        <v>106</v>
      </c>
      <c r="H3402">
        <v>6</v>
      </c>
      <c r="I3402" t="s">
        <v>24</v>
      </c>
      <c r="J3402" t="s">
        <v>12745</v>
      </c>
      <c r="K3402" t="s">
        <v>273</v>
      </c>
      <c r="L3402" t="s">
        <v>27</v>
      </c>
      <c r="M3402" t="s">
        <v>28</v>
      </c>
      <c r="N3402" t="s">
        <v>12746</v>
      </c>
      <c r="O3402" t="s">
        <v>27</v>
      </c>
      <c r="P3402" t="s">
        <v>39</v>
      </c>
      <c r="Q3402" t="s">
        <v>31</v>
      </c>
      <c r="R3402" t="s">
        <v>32</v>
      </c>
      <c r="S3402" t="s">
        <v>28</v>
      </c>
      <c r="T3402" t="s">
        <v>12747</v>
      </c>
      <c r="U3402" t="s">
        <v>12748</v>
      </c>
    </row>
    <row r="3403" spans="1:21" x14ac:dyDescent="0.25">
      <c r="A3403" t="s">
        <v>21</v>
      </c>
      <c r="B3403" t="s">
        <v>22</v>
      </c>
      <c r="C3403">
        <v>100</v>
      </c>
      <c r="D3403">
        <v>2</v>
      </c>
      <c r="E3403">
        <v>0</v>
      </c>
      <c r="F3403" t="s">
        <v>12749</v>
      </c>
      <c r="G3403">
        <v>200</v>
      </c>
      <c r="H3403">
        <v>0</v>
      </c>
      <c r="I3403" t="s">
        <v>24</v>
      </c>
      <c r="J3403" t="s">
        <v>12750</v>
      </c>
      <c r="K3403" t="s">
        <v>758</v>
      </c>
      <c r="L3403" t="s">
        <v>27</v>
      </c>
      <c r="M3403" t="s">
        <v>28</v>
      </c>
      <c r="N3403" t="s">
        <v>12751</v>
      </c>
      <c r="O3403" t="s">
        <v>27</v>
      </c>
      <c r="P3403" t="s">
        <v>39</v>
      </c>
      <c r="Q3403" t="s">
        <v>31</v>
      </c>
      <c r="R3403" t="s">
        <v>32</v>
      </c>
      <c r="S3403" t="s">
        <v>28</v>
      </c>
      <c r="T3403" t="s">
        <v>12752</v>
      </c>
      <c r="U3403" t="s">
        <v>12753</v>
      </c>
    </row>
    <row r="3404" spans="1:21" x14ac:dyDescent="0.25">
      <c r="A3404" t="s">
        <v>76</v>
      </c>
      <c r="B3404" t="s">
        <v>77</v>
      </c>
      <c r="C3404">
        <v>199</v>
      </c>
      <c r="D3404">
        <v>1</v>
      </c>
      <c r="E3404">
        <v>0</v>
      </c>
      <c r="F3404" t="s">
        <v>12754</v>
      </c>
      <c r="G3404">
        <v>199</v>
      </c>
      <c r="H3404">
        <v>0</v>
      </c>
      <c r="I3404" t="s">
        <v>24</v>
      </c>
      <c r="J3404" t="s">
        <v>12755</v>
      </c>
      <c r="K3404" t="s">
        <v>12756</v>
      </c>
      <c r="L3404" t="s">
        <v>12757</v>
      </c>
      <c r="M3404" t="s">
        <v>481</v>
      </c>
      <c r="N3404" t="s">
        <v>12673</v>
      </c>
      <c r="O3404" t="s">
        <v>27</v>
      </c>
      <c r="P3404" t="s">
        <v>193</v>
      </c>
      <c r="Q3404" t="s">
        <v>85</v>
      </c>
      <c r="R3404" t="s">
        <v>86</v>
      </c>
      <c r="S3404" t="s">
        <v>28</v>
      </c>
      <c r="T3404" t="s">
        <v>12758</v>
      </c>
      <c r="U3404" t="s">
        <v>12751</v>
      </c>
    </row>
    <row r="3405" spans="1:21" x14ac:dyDescent="0.25">
      <c r="A3405" t="s">
        <v>58</v>
      </c>
      <c r="B3405" t="s">
        <v>103</v>
      </c>
      <c r="C3405">
        <v>99.75</v>
      </c>
      <c r="D3405">
        <v>1</v>
      </c>
      <c r="E3405">
        <v>0</v>
      </c>
      <c r="F3405" t="s">
        <v>12759</v>
      </c>
      <c r="G3405">
        <v>304.25</v>
      </c>
      <c r="H3405">
        <v>5</v>
      </c>
      <c r="I3405" t="s">
        <v>105</v>
      </c>
      <c r="J3405" t="s">
        <v>12760</v>
      </c>
      <c r="K3405" t="s">
        <v>12761</v>
      </c>
      <c r="L3405" t="s">
        <v>2042</v>
      </c>
      <c r="M3405" t="s">
        <v>12762</v>
      </c>
      <c r="N3405" t="s">
        <v>12763</v>
      </c>
      <c r="O3405" t="s">
        <v>27</v>
      </c>
      <c r="P3405" t="s">
        <v>48</v>
      </c>
      <c r="Q3405" t="s">
        <v>49</v>
      </c>
      <c r="R3405" t="s">
        <v>50</v>
      </c>
      <c r="S3405" t="s">
        <v>28</v>
      </c>
      <c r="T3405" t="s">
        <v>12764</v>
      </c>
      <c r="U3405" t="s">
        <v>12765</v>
      </c>
    </row>
    <row r="3406" spans="1:21" x14ac:dyDescent="0.25">
      <c r="A3406" t="s">
        <v>58</v>
      </c>
      <c r="B3406" t="s">
        <v>103</v>
      </c>
      <c r="C3406">
        <v>99.75</v>
      </c>
      <c r="D3406">
        <v>1</v>
      </c>
      <c r="E3406">
        <v>0</v>
      </c>
      <c r="F3406" t="s">
        <v>12759</v>
      </c>
      <c r="G3406">
        <v>304.25</v>
      </c>
      <c r="H3406">
        <v>5</v>
      </c>
      <c r="I3406" t="s">
        <v>105</v>
      </c>
      <c r="J3406" t="s">
        <v>12760</v>
      </c>
      <c r="K3406" t="s">
        <v>12761</v>
      </c>
      <c r="L3406" t="s">
        <v>2042</v>
      </c>
      <c r="M3406" t="s">
        <v>12762</v>
      </c>
      <c r="N3406" t="s">
        <v>12763</v>
      </c>
      <c r="O3406" t="s">
        <v>27</v>
      </c>
      <c r="P3406" t="s">
        <v>48</v>
      </c>
      <c r="Q3406" t="s">
        <v>49</v>
      </c>
      <c r="R3406" t="s">
        <v>50</v>
      </c>
      <c r="S3406" t="s">
        <v>28</v>
      </c>
      <c r="T3406" t="s">
        <v>12764</v>
      </c>
      <c r="U3406" t="s">
        <v>12765</v>
      </c>
    </row>
    <row r="3407" spans="1:21" x14ac:dyDescent="0.25">
      <c r="A3407" t="s">
        <v>58</v>
      </c>
      <c r="B3407" t="s">
        <v>103</v>
      </c>
      <c r="C3407">
        <v>99.75</v>
      </c>
      <c r="D3407">
        <v>1</v>
      </c>
      <c r="E3407">
        <v>0</v>
      </c>
      <c r="F3407" t="s">
        <v>12759</v>
      </c>
      <c r="G3407">
        <v>304.25</v>
      </c>
      <c r="H3407">
        <v>5</v>
      </c>
      <c r="I3407" t="s">
        <v>105</v>
      </c>
      <c r="J3407" t="s">
        <v>12760</v>
      </c>
      <c r="K3407" t="s">
        <v>12761</v>
      </c>
      <c r="L3407" t="s">
        <v>2042</v>
      </c>
      <c r="M3407" t="s">
        <v>12762</v>
      </c>
      <c r="N3407" t="s">
        <v>12763</v>
      </c>
      <c r="O3407" t="s">
        <v>27</v>
      </c>
      <c r="P3407" t="s">
        <v>48</v>
      </c>
      <c r="Q3407" t="s">
        <v>49</v>
      </c>
      <c r="R3407" t="s">
        <v>50</v>
      </c>
      <c r="S3407" t="s">
        <v>28</v>
      </c>
      <c r="T3407" t="s">
        <v>12764</v>
      </c>
      <c r="U3407" t="s">
        <v>12765</v>
      </c>
    </row>
    <row r="3408" spans="1:21" x14ac:dyDescent="0.25">
      <c r="A3408" t="s">
        <v>21</v>
      </c>
      <c r="B3408" t="s">
        <v>22</v>
      </c>
      <c r="C3408">
        <v>100</v>
      </c>
      <c r="D3408">
        <v>1</v>
      </c>
      <c r="E3408">
        <v>0</v>
      </c>
      <c r="F3408" t="s">
        <v>12766</v>
      </c>
      <c r="G3408">
        <v>106</v>
      </c>
      <c r="H3408">
        <v>6</v>
      </c>
      <c r="I3408" t="s">
        <v>24</v>
      </c>
      <c r="J3408" t="s">
        <v>11855</v>
      </c>
      <c r="K3408" t="s">
        <v>73</v>
      </c>
      <c r="L3408" t="s">
        <v>27</v>
      </c>
      <c r="M3408" t="s">
        <v>28</v>
      </c>
      <c r="N3408" t="s">
        <v>12767</v>
      </c>
      <c r="O3408" t="s">
        <v>27</v>
      </c>
      <c r="P3408" t="s">
        <v>39</v>
      </c>
      <c r="Q3408" t="s">
        <v>31</v>
      </c>
      <c r="R3408" t="s">
        <v>32</v>
      </c>
      <c r="S3408" t="s">
        <v>28</v>
      </c>
      <c r="T3408" t="s">
        <v>12768</v>
      </c>
      <c r="U3408" t="s">
        <v>12765</v>
      </c>
    </row>
    <row r="3409" spans="1:21" x14ac:dyDescent="0.25">
      <c r="A3409" t="s">
        <v>21</v>
      </c>
      <c r="B3409" t="s">
        <v>22</v>
      </c>
      <c r="C3409">
        <v>100</v>
      </c>
      <c r="D3409">
        <v>1</v>
      </c>
      <c r="E3409">
        <v>0</v>
      </c>
      <c r="F3409" t="s">
        <v>12769</v>
      </c>
      <c r="G3409">
        <v>100</v>
      </c>
      <c r="H3409">
        <v>0</v>
      </c>
      <c r="I3409" t="s">
        <v>24</v>
      </c>
      <c r="J3409" t="s">
        <v>12770</v>
      </c>
      <c r="K3409" t="s">
        <v>26</v>
      </c>
      <c r="L3409" t="s">
        <v>27</v>
      </c>
      <c r="M3409" t="s">
        <v>28</v>
      </c>
      <c r="N3409" t="s">
        <v>12771</v>
      </c>
      <c r="O3409" t="s">
        <v>27</v>
      </c>
      <c r="P3409" t="s">
        <v>39</v>
      </c>
      <c r="Q3409" t="s">
        <v>31</v>
      </c>
      <c r="R3409" t="s">
        <v>32</v>
      </c>
      <c r="S3409" t="s">
        <v>28</v>
      </c>
      <c r="T3409" t="s">
        <v>12772</v>
      </c>
      <c r="U3409" t="s">
        <v>12773</v>
      </c>
    </row>
    <row r="3410" spans="1:21" x14ac:dyDescent="0.25">
      <c r="A3410" t="s">
        <v>21</v>
      </c>
      <c r="B3410" t="s">
        <v>22</v>
      </c>
      <c r="C3410">
        <v>100</v>
      </c>
      <c r="D3410">
        <v>1</v>
      </c>
      <c r="E3410">
        <v>0</v>
      </c>
      <c r="F3410" t="s">
        <v>12774</v>
      </c>
      <c r="G3410">
        <v>100</v>
      </c>
      <c r="H3410">
        <v>0</v>
      </c>
      <c r="I3410" t="s">
        <v>445</v>
      </c>
      <c r="J3410" t="s">
        <v>12775</v>
      </c>
      <c r="K3410" t="s">
        <v>299</v>
      </c>
      <c r="L3410" t="s">
        <v>27</v>
      </c>
      <c r="M3410" t="s">
        <v>28</v>
      </c>
      <c r="N3410" t="s">
        <v>12776</v>
      </c>
      <c r="O3410" t="s">
        <v>27</v>
      </c>
      <c r="P3410" t="s">
        <v>39</v>
      </c>
      <c r="Q3410" t="s">
        <v>31</v>
      </c>
      <c r="R3410" t="s">
        <v>32</v>
      </c>
      <c r="S3410" t="s">
        <v>28</v>
      </c>
      <c r="T3410" t="s">
        <v>12777</v>
      </c>
      <c r="U3410" t="s">
        <v>12776</v>
      </c>
    </row>
    <row r="3411" spans="1:21" x14ac:dyDescent="0.25">
      <c r="A3411" t="s">
        <v>21</v>
      </c>
      <c r="B3411" t="s">
        <v>22</v>
      </c>
      <c r="C3411">
        <v>100</v>
      </c>
      <c r="D3411">
        <v>1</v>
      </c>
      <c r="E3411">
        <v>0</v>
      </c>
      <c r="F3411" t="s">
        <v>12778</v>
      </c>
      <c r="G3411">
        <v>106</v>
      </c>
      <c r="H3411">
        <v>6</v>
      </c>
      <c r="I3411" t="s">
        <v>24</v>
      </c>
      <c r="J3411" t="s">
        <v>12779</v>
      </c>
      <c r="K3411" t="s">
        <v>89</v>
      </c>
      <c r="L3411" t="s">
        <v>27</v>
      </c>
      <c r="M3411" t="s">
        <v>28</v>
      </c>
      <c r="N3411" t="s">
        <v>12776</v>
      </c>
      <c r="O3411" t="s">
        <v>27</v>
      </c>
      <c r="P3411" t="s">
        <v>39</v>
      </c>
      <c r="Q3411" t="s">
        <v>31</v>
      </c>
      <c r="R3411" t="s">
        <v>32</v>
      </c>
      <c r="S3411" t="s">
        <v>28</v>
      </c>
      <c r="T3411" t="s">
        <v>12780</v>
      </c>
      <c r="U3411" t="s">
        <v>12776</v>
      </c>
    </row>
    <row r="3412" spans="1:21" x14ac:dyDescent="0.25">
      <c r="A3412" t="s">
        <v>143</v>
      </c>
      <c r="B3412" t="s">
        <v>144</v>
      </c>
      <c r="C3412">
        <v>200</v>
      </c>
      <c r="D3412">
        <v>1</v>
      </c>
      <c r="E3412">
        <v>0</v>
      </c>
      <c r="F3412" t="s">
        <v>12781</v>
      </c>
      <c r="G3412">
        <v>200</v>
      </c>
      <c r="H3412">
        <v>0</v>
      </c>
      <c r="I3412" t="s">
        <v>140</v>
      </c>
      <c r="J3412" t="s">
        <v>12782</v>
      </c>
      <c r="K3412" t="s">
        <v>1772</v>
      </c>
      <c r="L3412" t="s">
        <v>27</v>
      </c>
      <c r="M3412" t="s">
        <v>28</v>
      </c>
      <c r="N3412" t="s">
        <v>12783</v>
      </c>
      <c r="O3412" t="s">
        <v>27</v>
      </c>
      <c r="P3412" t="s">
        <v>369</v>
      </c>
      <c r="Q3412" t="s">
        <v>31</v>
      </c>
      <c r="R3412" t="s">
        <v>57</v>
      </c>
      <c r="S3412" t="s">
        <v>28</v>
      </c>
      <c r="T3412" t="s">
        <v>12784</v>
      </c>
      <c r="U3412" t="s">
        <v>12785</v>
      </c>
    </row>
    <row r="3413" spans="1:21" x14ac:dyDescent="0.25">
      <c r="A3413" t="s">
        <v>2307</v>
      </c>
      <c r="B3413" t="s">
        <v>2308</v>
      </c>
      <c r="C3413">
        <v>330</v>
      </c>
      <c r="D3413">
        <v>1</v>
      </c>
      <c r="E3413">
        <v>0</v>
      </c>
      <c r="F3413" t="s">
        <v>12786</v>
      </c>
      <c r="G3413">
        <v>330</v>
      </c>
      <c r="H3413">
        <v>0</v>
      </c>
      <c r="I3413" t="s">
        <v>445</v>
      </c>
      <c r="J3413" t="s">
        <v>12787</v>
      </c>
      <c r="K3413" t="s">
        <v>758</v>
      </c>
      <c r="L3413" t="s">
        <v>27</v>
      </c>
      <c r="M3413" t="s">
        <v>28</v>
      </c>
      <c r="N3413" t="s">
        <v>12788</v>
      </c>
      <c r="O3413" t="s">
        <v>27</v>
      </c>
      <c r="P3413" t="s">
        <v>39</v>
      </c>
      <c r="Q3413" t="s">
        <v>31</v>
      </c>
      <c r="R3413" t="s">
        <v>32</v>
      </c>
      <c r="S3413" t="s">
        <v>28</v>
      </c>
      <c r="T3413" t="s">
        <v>12789</v>
      </c>
      <c r="U3413" t="s">
        <v>12788</v>
      </c>
    </row>
    <row r="3414" spans="1:21" x14ac:dyDescent="0.25">
      <c r="A3414" t="s">
        <v>21</v>
      </c>
      <c r="B3414" t="s">
        <v>22</v>
      </c>
      <c r="C3414">
        <v>100</v>
      </c>
      <c r="D3414">
        <v>1</v>
      </c>
      <c r="E3414">
        <v>0</v>
      </c>
      <c r="F3414" t="s">
        <v>12790</v>
      </c>
      <c r="G3414">
        <v>106</v>
      </c>
      <c r="H3414">
        <v>6</v>
      </c>
      <c r="I3414" t="s">
        <v>445</v>
      </c>
      <c r="J3414" t="s">
        <v>12791</v>
      </c>
      <c r="K3414" t="s">
        <v>466</v>
      </c>
      <c r="L3414" t="s">
        <v>27</v>
      </c>
      <c r="M3414" t="s">
        <v>28</v>
      </c>
      <c r="N3414" t="s">
        <v>12788</v>
      </c>
      <c r="O3414" t="s">
        <v>27</v>
      </c>
      <c r="P3414" t="s">
        <v>39</v>
      </c>
      <c r="Q3414" t="s">
        <v>31</v>
      </c>
      <c r="R3414" t="s">
        <v>32</v>
      </c>
      <c r="S3414" t="s">
        <v>28</v>
      </c>
      <c r="T3414" t="s">
        <v>12792</v>
      </c>
      <c r="U3414" t="s">
        <v>12788</v>
      </c>
    </row>
    <row r="3415" spans="1:21" x14ac:dyDescent="0.25">
      <c r="A3415" t="s">
        <v>21</v>
      </c>
      <c r="B3415" t="s">
        <v>22</v>
      </c>
      <c r="C3415">
        <v>100</v>
      </c>
      <c r="D3415">
        <v>1</v>
      </c>
      <c r="E3415">
        <v>0</v>
      </c>
      <c r="F3415" t="s">
        <v>12793</v>
      </c>
      <c r="G3415">
        <v>106</v>
      </c>
      <c r="H3415">
        <v>6</v>
      </c>
      <c r="I3415" t="s">
        <v>445</v>
      </c>
      <c r="J3415" t="s">
        <v>4558</v>
      </c>
      <c r="K3415" t="s">
        <v>89</v>
      </c>
      <c r="L3415" t="s">
        <v>27</v>
      </c>
      <c r="M3415" t="s">
        <v>28</v>
      </c>
      <c r="N3415" t="s">
        <v>12794</v>
      </c>
      <c r="O3415" t="s">
        <v>27</v>
      </c>
      <c r="P3415" t="s">
        <v>39</v>
      </c>
      <c r="Q3415" t="s">
        <v>31</v>
      </c>
      <c r="R3415" t="s">
        <v>32</v>
      </c>
      <c r="S3415" t="s">
        <v>28</v>
      </c>
      <c r="T3415" t="s">
        <v>12795</v>
      </c>
      <c r="U3415" t="s">
        <v>12788</v>
      </c>
    </row>
    <row r="3416" spans="1:21" x14ac:dyDescent="0.25">
      <c r="A3416" t="s">
        <v>21</v>
      </c>
      <c r="B3416" t="s">
        <v>22</v>
      </c>
      <c r="C3416">
        <v>100</v>
      </c>
      <c r="D3416">
        <v>1</v>
      </c>
      <c r="E3416">
        <v>0</v>
      </c>
      <c r="F3416" t="s">
        <v>12796</v>
      </c>
      <c r="G3416">
        <v>106</v>
      </c>
      <c r="H3416">
        <v>6</v>
      </c>
      <c r="I3416" t="s">
        <v>445</v>
      </c>
      <c r="J3416" t="s">
        <v>12797</v>
      </c>
      <c r="K3416" t="s">
        <v>611</v>
      </c>
      <c r="L3416" t="s">
        <v>27</v>
      </c>
      <c r="M3416" t="s">
        <v>28</v>
      </c>
      <c r="N3416" t="s">
        <v>12798</v>
      </c>
      <c r="O3416" t="s">
        <v>27</v>
      </c>
      <c r="P3416" t="s">
        <v>39</v>
      </c>
      <c r="Q3416" t="s">
        <v>31</v>
      </c>
      <c r="R3416" t="s">
        <v>32</v>
      </c>
      <c r="S3416" t="s">
        <v>28</v>
      </c>
      <c r="T3416" t="s">
        <v>12799</v>
      </c>
      <c r="U3416" t="s">
        <v>12798</v>
      </c>
    </row>
    <row r="3417" spans="1:21" x14ac:dyDescent="0.25">
      <c r="A3417" t="s">
        <v>21</v>
      </c>
      <c r="B3417" t="s">
        <v>22</v>
      </c>
      <c r="C3417">
        <v>100</v>
      </c>
      <c r="D3417">
        <v>1</v>
      </c>
      <c r="E3417">
        <v>0</v>
      </c>
      <c r="F3417" t="s">
        <v>12800</v>
      </c>
      <c r="G3417">
        <v>106</v>
      </c>
      <c r="H3417">
        <v>6</v>
      </c>
      <c r="I3417" t="s">
        <v>140</v>
      </c>
      <c r="J3417" t="s">
        <v>12801</v>
      </c>
      <c r="K3417" t="s">
        <v>61</v>
      </c>
      <c r="L3417" t="s">
        <v>27</v>
      </c>
      <c r="M3417" t="s">
        <v>28</v>
      </c>
      <c r="N3417" t="s">
        <v>12802</v>
      </c>
      <c r="O3417" t="s">
        <v>27</v>
      </c>
      <c r="P3417" t="s">
        <v>30</v>
      </c>
      <c r="Q3417" t="s">
        <v>31</v>
      </c>
      <c r="R3417" t="s">
        <v>32</v>
      </c>
      <c r="S3417" t="s">
        <v>28</v>
      </c>
      <c r="T3417" t="s">
        <v>12803</v>
      </c>
      <c r="U3417" t="s">
        <v>12802</v>
      </c>
    </row>
    <row r="3418" spans="1:21" x14ac:dyDescent="0.25">
      <c r="A3418" t="s">
        <v>21</v>
      </c>
      <c r="B3418" t="s">
        <v>22</v>
      </c>
      <c r="C3418">
        <v>100</v>
      </c>
      <c r="D3418">
        <v>1</v>
      </c>
      <c r="E3418">
        <v>0</v>
      </c>
      <c r="F3418" t="s">
        <v>12804</v>
      </c>
      <c r="G3418">
        <v>100</v>
      </c>
      <c r="H3418">
        <v>0</v>
      </c>
      <c r="I3418" t="s">
        <v>24</v>
      </c>
      <c r="J3418" t="s">
        <v>12805</v>
      </c>
      <c r="K3418" t="s">
        <v>124</v>
      </c>
      <c r="L3418" t="s">
        <v>27</v>
      </c>
      <c r="M3418" t="s">
        <v>28</v>
      </c>
      <c r="N3418" t="s">
        <v>12806</v>
      </c>
      <c r="O3418" t="s">
        <v>27</v>
      </c>
      <c r="P3418" t="s">
        <v>39</v>
      </c>
      <c r="Q3418" t="s">
        <v>31</v>
      </c>
      <c r="R3418" t="s">
        <v>32</v>
      </c>
      <c r="S3418" t="s">
        <v>28</v>
      </c>
      <c r="T3418" t="s">
        <v>12807</v>
      </c>
      <c r="U3418" t="s">
        <v>12806</v>
      </c>
    </row>
    <row r="3419" spans="1:21" x14ac:dyDescent="0.25">
      <c r="A3419" t="s">
        <v>70</v>
      </c>
      <c r="B3419" t="s">
        <v>70</v>
      </c>
      <c r="C3419">
        <v>350</v>
      </c>
      <c r="D3419">
        <v>1</v>
      </c>
      <c r="E3419">
        <v>0</v>
      </c>
      <c r="F3419" t="s">
        <v>12808</v>
      </c>
      <c r="G3419">
        <v>350</v>
      </c>
      <c r="H3419">
        <v>0</v>
      </c>
      <c r="I3419" t="s">
        <v>140</v>
      </c>
      <c r="J3419" t="s">
        <v>12809</v>
      </c>
      <c r="K3419" t="s">
        <v>346</v>
      </c>
      <c r="L3419" t="s">
        <v>27</v>
      </c>
      <c r="M3419" t="s">
        <v>28</v>
      </c>
      <c r="N3419" t="s">
        <v>12806</v>
      </c>
      <c r="O3419" t="s">
        <v>27</v>
      </c>
      <c r="P3419" t="s">
        <v>369</v>
      </c>
      <c r="Q3419" t="s">
        <v>31</v>
      </c>
      <c r="R3419" t="s">
        <v>57</v>
      </c>
      <c r="S3419" t="s">
        <v>28</v>
      </c>
      <c r="T3419" t="s">
        <v>12810</v>
      </c>
      <c r="U3419" t="s">
        <v>12806</v>
      </c>
    </row>
    <row r="3420" spans="1:21" x14ac:dyDescent="0.25">
      <c r="A3420" t="s">
        <v>456</v>
      </c>
      <c r="B3420" t="s">
        <v>457</v>
      </c>
      <c r="C3420">
        <v>199</v>
      </c>
      <c r="D3420">
        <v>1</v>
      </c>
      <c r="E3420">
        <v>0</v>
      </c>
      <c r="F3420" t="s">
        <v>12811</v>
      </c>
      <c r="G3420">
        <v>234</v>
      </c>
      <c r="H3420">
        <v>35</v>
      </c>
      <c r="I3420" t="s">
        <v>24</v>
      </c>
      <c r="J3420" t="s">
        <v>8499</v>
      </c>
      <c r="K3420" t="s">
        <v>12812</v>
      </c>
      <c r="L3420" t="s">
        <v>190</v>
      </c>
      <c r="M3420" t="s">
        <v>1404</v>
      </c>
      <c r="N3420" t="s">
        <v>12746</v>
      </c>
      <c r="O3420" t="s">
        <v>27</v>
      </c>
      <c r="P3420" t="s">
        <v>193</v>
      </c>
      <c r="Q3420" t="s">
        <v>85</v>
      </c>
      <c r="R3420" t="s">
        <v>86</v>
      </c>
      <c r="S3420" t="s">
        <v>28</v>
      </c>
      <c r="T3420" t="s">
        <v>12813</v>
      </c>
      <c r="U3420" t="s">
        <v>12806</v>
      </c>
    </row>
    <row r="3421" spans="1:21" x14ac:dyDescent="0.25">
      <c r="A3421" t="s">
        <v>21</v>
      </c>
      <c r="B3421" t="s">
        <v>22</v>
      </c>
      <c r="C3421">
        <v>100</v>
      </c>
      <c r="D3421">
        <v>1</v>
      </c>
      <c r="E3421">
        <v>0</v>
      </c>
      <c r="F3421" t="s">
        <v>12814</v>
      </c>
      <c r="G3421">
        <v>106</v>
      </c>
      <c r="H3421">
        <v>6</v>
      </c>
      <c r="I3421" t="s">
        <v>445</v>
      </c>
      <c r="J3421" t="s">
        <v>12815</v>
      </c>
      <c r="K3421" t="s">
        <v>331</v>
      </c>
      <c r="L3421" t="s">
        <v>27</v>
      </c>
      <c r="M3421" t="s">
        <v>28</v>
      </c>
      <c r="N3421" t="s">
        <v>12816</v>
      </c>
      <c r="O3421" t="s">
        <v>27</v>
      </c>
      <c r="P3421" t="s">
        <v>39</v>
      </c>
      <c r="Q3421" t="s">
        <v>31</v>
      </c>
      <c r="R3421" t="s">
        <v>32</v>
      </c>
      <c r="S3421" t="s">
        <v>28</v>
      </c>
      <c r="T3421" t="s">
        <v>12817</v>
      </c>
      <c r="U3421" t="s">
        <v>12816</v>
      </c>
    </row>
    <row r="3422" spans="1:21" x14ac:dyDescent="0.25">
      <c r="A3422" t="s">
        <v>70</v>
      </c>
      <c r="B3422" t="s">
        <v>70</v>
      </c>
      <c r="C3422">
        <v>350</v>
      </c>
      <c r="D3422">
        <v>2</v>
      </c>
      <c r="E3422">
        <v>0</v>
      </c>
      <c r="F3422" t="s">
        <v>12818</v>
      </c>
      <c r="G3422">
        <v>700</v>
      </c>
      <c r="H3422">
        <v>0</v>
      </c>
      <c r="I3422" t="s">
        <v>140</v>
      </c>
      <c r="J3422" t="s">
        <v>12819</v>
      </c>
      <c r="K3422" t="s">
        <v>26</v>
      </c>
      <c r="L3422" t="s">
        <v>27</v>
      </c>
      <c r="M3422" t="s">
        <v>28</v>
      </c>
      <c r="N3422" t="s">
        <v>12820</v>
      </c>
      <c r="O3422" t="s">
        <v>27</v>
      </c>
      <c r="P3422" t="s">
        <v>30</v>
      </c>
      <c r="Q3422" t="s">
        <v>31</v>
      </c>
      <c r="R3422" t="s">
        <v>32</v>
      </c>
      <c r="S3422" t="s">
        <v>28</v>
      </c>
      <c r="T3422" t="s">
        <v>12821</v>
      </c>
      <c r="U3422" t="s">
        <v>12816</v>
      </c>
    </row>
    <row r="3423" spans="1:21" x14ac:dyDescent="0.25">
      <c r="A3423" t="s">
        <v>63</v>
      </c>
      <c r="B3423" t="s">
        <v>64</v>
      </c>
      <c r="C3423">
        <v>100</v>
      </c>
      <c r="D3423">
        <v>1</v>
      </c>
      <c r="E3423">
        <v>0</v>
      </c>
      <c r="F3423" t="s">
        <v>12822</v>
      </c>
      <c r="G3423">
        <v>200</v>
      </c>
      <c r="H3423">
        <v>0</v>
      </c>
      <c r="I3423" t="s">
        <v>24</v>
      </c>
      <c r="J3423" t="s">
        <v>12823</v>
      </c>
      <c r="K3423" t="s">
        <v>753</v>
      </c>
      <c r="L3423" t="s">
        <v>27</v>
      </c>
      <c r="M3423" t="s">
        <v>28</v>
      </c>
      <c r="N3423" t="s">
        <v>12824</v>
      </c>
      <c r="O3423" t="s">
        <v>27</v>
      </c>
      <c r="P3423" t="s">
        <v>39</v>
      </c>
      <c r="Q3423" t="s">
        <v>31</v>
      </c>
      <c r="R3423" t="s">
        <v>32</v>
      </c>
      <c r="S3423" t="s">
        <v>28</v>
      </c>
      <c r="T3423" t="s">
        <v>12825</v>
      </c>
      <c r="U3423" t="s">
        <v>12824</v>
      </c>
    </row>
    <row r="3424" spans="1:21" x14ac:dyDescent="0.25">
      <c r="A3424" t="s">
        <v>134</v>
      </c>
      <c r="B3424" t="s">
        <v>64</v>
      </c>
      <c r="C3424">
        <v>100</v>
      </c>
      <c r="D3424">
        <v>1</v>
      </c>
      <c r="E3424">
        <v>0</v>
      </c>
      <c r="F3424" t="s">
        <v>12822</v>
      </c>
      <c r="G3424">
        <v>200</v>
      </c>
      <c r="H3424">
        <v>0</v>
      </c>
      <c r="I3424" t="s">
        <v>24</v>
      </c>
      <c r="J3424" t="s">
        <v>12823</v>
      </c>
      <c r="K3424" t="s">
        <v>753</v>
      </c>
      <c r="L3424" t="s">
        <v>27</v>
      </c>
      <c r="M3424" t="s">
        <v>28</v>
      </c>
      <c r="N3424" t="s">
        <v>12824</v>
      </c>
      <c r="O3424" t="s">
        <v>27</v>
      </c>
      <c r="P3424" t="s">
        <v>39</v>
      </c>
      <c r="Q3424" t="s">
        <v>31</v>
      </c>
      <c r="R3424" t="s">
        <v>32</v>
      </c>
      <c r="S3424" t="s">
        <v>28</v>
      </c>
      <c r="T3424" t="s">
        <v>12825</v>
      </c>
      <c r="U3424" t="s">
        <v>12824</v>
      </c>
    </row>
    <row r="3425" spans="1:21" x14ac:dyDescent="0.25">
      <c r="A3425" t="s">
        <v>21</v>
      </c>
      <c r="B3425" t="s">
        <v>22</v>
      </c>
      <c r="C3425">
        <v>100</v>
      </c>
      <c r="D3425">
        <v>1</v>
      </c>
      <c r="E3425">
        <v>0</v>
      </c>
      <c r="F3425" t="s">
        <v>12826</v>
      </c>
      <c r="G3425">
        <v>106</v>
      </c>
      <c r="H3425">
        <v>6</v>
      </c>
      <c r="I3425" t="s">
        <v>24</v>
      </c>
      <c r="J3425" t="s">
        <v>12827</v>
      </c>
      <c r="K3425" t="s">
        <v>89</v>
      </c>
      <c r="L3425" t="s">
        <v>27</v>
      </c>
      <c r="M3425" t="s">
        <v>28</v>
      </c>
      <c r="N3425" t="s">
        <v>12828</v>
      </c>
      <c r="O3425" t="s">
        <v>27</v>
      </c>
      <c r="P3425" t="s">
        <v>39</v>
      </c>
      <c r="Q3425" t="s">
        <v>31</v>
      </c>
      <c r="R3425" t="s">
        <v>32</v>
      </c>
      <c r="S3425" t="s">
        <v>28</v>
      </c>
      <c r="T3425" t="s">
        <v>12829</v>
      </c>
      <c r="U3425" t="s">
        <v>12828</v>
      </c>
    </row>
    <row r="3426" spans="1:21" x14ac:dyDescent="0.25">
      <c r="A3426" t="s">
        <v>21</v>
      </c>
      <c r="B3426" t="s">
        <v>22</v>
      </c>
      <c r="C3426">
        <v>100</v>
      </c>
      <c r="D3426">
        <v>2</v>
      </c>
      <c r="E3426">
        <v>0</v>
      </c>
      <c r="F3426" t="s">
        <v>12830</v>
      </c>
      <c r="G3426">
        <v>206</v>
      </c>
      <c r="H3426">
        <v>6</v>
      </c>
      <c r="I3426" t="s">
        <v>24</v>
      </c>
      <c r="J3426" t="s">
        <v>1824</v>
      </c>
      <c r="K3426" t="s">
        <v>451</v>
      </c>
      <c r="L3426" t="s">
        <v>27</v>
      </c>
      <c r="M3426" t="s">
        <v>28</v>
      </c>
      <c r="N3426" t="s">
        <v>12828</v>
      </c>
      <c r="O3426" t="s">
        <v>27</v>
      </c>
      <c r="P3426" t="s">
        <v>56</v>
      </c>
      <c r="Q3426" t="s">
        <v>31</v>
      </c>
      <c r="R3426" t="s">
        <v>57</v>
      </c>
      <c r="S3426" t="s">
        <v>28</v>
      </c>
      <c r="T3426" t="s">
        <v>12831</v>
      </c>
      <c r="U3426" t="s">
        <v>12828</v>
      </c>
    </row>
    <row r="3427" spans="1:21" x14ac:dyDescent="0.25">
      <c r="A3427" t="s">
        <v>456</v>
      </c>
      <c r="B3427" t="s">
        <v>12832</v>
      </c>
      <c r="C3427">
        <v>187.5</v>
      </c>
      <c r="D3427">
        <v>1</v>
      </c>
      <c r="E3427">
        <v>0</v>
      </c>
      <c r="F3427" t="s">
        <v>12833</v>
      </c>
      <c r="G3427">
        <v>211.5</v>
      </c>
      <c r="H3427">
        <v>24</v>
      </c>
      <c r="I3427" t="s">
        <v>24</v>
      </c>
      <c r="J3427" t="s">
        <v>12834</v>
      </c>
      <c r="K3427" t="s">
        <v>12835</v>
      </c>
      <c r="L3427" t="s">
        <v>1184</v>
      </c>
      <c r="M3427" t="s">
        <v>12836</v>
      </c>
      <c r="N3427" t="s">
        <v>12837</v>
      </c>
      <c r="O3427" t="s">
        <v>27</v>
      </c>
      <c r="P3427" t="s">
        <v>48</v>
      </c>
      <c r="Q3427" t="s">
        <v>49</v>
      </c>
      <c r="R3427" t="s">
        <v>50</v>
      </c>
      <c r="S3427" t="s">
        <v>28</v>
      </c>
      <c r="T3427" t="s">
        <v>12838</v>
      </c>
      <c r="U3427" t="s">
        <v>12837</v>
      </c>
    </row>
    <row r="3428" spans="1:21" x14ac:dyDescent="0.25">
      <c r="A3428" t="s">
        <v>21</v>
      </c>
      <c r="B3428" t="s">
        <v>22</v>
      </c>
      <c r="C3428">
        <v>100</v>
      </c>
      <c r="D3428">
        <v>1</v>
      </c>
      <c r="E3428">
        <v>0</v>
      </c>
      <c r="F3428" t="s">
        <v>12839</v>
      </c>
      <c r="G3428">
        <v>106</v>
      </c>
      <c r="H3428">
        <v>6</v>
      </c>
      <c r="I3428" t="s">
        <v>24</v>
      </c>
      <c r="J3428" t="s">
        <v>12840</v>
      </c>
      <c r="K3428" t="s">
        <v>89</v>
      </c>
      <c r="L3428" t="s">
        <v>27</v>
      </c>
      <c r="M3428" t="s">
        <v>28</v>
      </c>
      <c r="N3428" t="s">
        <v>12841</v>
      </c>
      <c r="O3428" t="s">
        <v>27</v>
      </c>
      <c r="P3428" t="s">
        <v>39</v>
      </c>
      <c r="Q3428" t="s">
        <v>31</v>
      </c>
      <c r="R3428" t="s">
        <v>32</v>
      </c>
      <c r="S3428" t="s">
        <v>28</v>
      </c>
      <c r="T3428" t="s">
        <v>12842</v>
      </c>
      <c r="U3428" t="s">
        <v>12841</v>
      </c>
    </row>
    <row r="3429" spans="1:21" x14ac:dyDescent="0.25">
      <c r="A3429" t="s">
        <v>58</v>
      </c>
      <c r="B3429" t="s">
        <v>103</v>
      </c>
      <c r="C3429">
        <v>83</v>
      </c>
      <c r="D3429">
        <v>1</v>
      </c>
      <c r="E3429">
        <v>0</v>
      </c>
      <c r="F3429" t="s">
        <v>12843</v>
      </c>
      <c r="G3429">
        <v>83</v>
      </c>
      <c r="H3429">
        <v>0</v>
      </c>
      <c r="I3429" t="s">
        <v>105</v>
      </c>
      <c r="J3429" t="s">
        <v>8735</v>
      </c>
      <c r="K3429" t="s">
        <v>8736</v>
      </c>
      <c r="L3429" t="s">
        <v>5906</v>
      </c>
      <c r="M3429" t="s">
        <v>8737</v>
      </c>
      <c r="N3429" t="s">
        <v>12844</v>
      </c>
      <c r="O3429" t="s">
        <v>27</v>
      </c>
      <c r="P3429" t="s">
        <v>48</v>
      </c>
      <c r="Q3429" t="s">
        <v>49</v>
      </c>
      <c r="R3429" t="s">
        <v>50</v>
      </c>
      <c r="S3429" t="s">
        <v>28</v>
      </c>
      <c r="T3429" t="s">
        <v>12845</v>
      </c>
      <c r="U3429" t="s">
        <v>12844</v>
      </c>
    </row>
    <row r="3430" spans="1:21" x14ac:dyDescent="0.25">
      <c r="A3430" t="s">
        <v>21</v>
      </c>
      <c r="B3430" t="s">
        <v>22</v>
      </c>
      <c r="C3430">
        <v>100</v>
      </c>
      <c r="D3430">
        <v>1</v>
      </c>
      <c r="E3430">
        <v>0</v>
      </c>
      <c r="F3430" t="s">
        <v>12846</v>
      </c>
      <c r="G3430">
        <v>106</v>
      </c>
      <c r="H3430">
        <v>6</v>
      </c>
      <c r="I3430" t="s">
        <v>445</v>
      </c>
      <c r="J3430" t="s">
        <v>12847</v>
      </c>
      <c r="K3430" t="s">
        <v>1878</v>
      </c>
      <c r="L3430" t="s">
        <v>27</v>
      </c>
      <c r="M3430" t="s">
        <v>28</v>
      </c>
      <c r="N3430" t="s">
        <v>12844</v>
      </c>
      <c r="O3430" t="s">
        <v>27</v>
      </c>
      <c r="P3430" t="s">
        <v>39</v>
      </c>
      <c r="Q3430" t="s">
        <v>31</v>
      </c>
      <c r="R3430" t="s">
        <v>32</v>
      </c>
      <c r="S3430" t="s">
        <v>28</v>
      </c>
      <c r="T3430" t="s">
        <v>12848</v>
      </c>
      <c r="U3430" t="s">
        <v>12844</v>
      </c>
    </row>
    <row r="3431" spans="1:21" x14ac:dyDescent="0.25">
      <c r="A3431" t="s">
        <v>21</v>
      </c>
      <c r="B3431" t="s">
        <v>22</v>
      </c>
      <c r="C3431">
        <v>100</v>
      </c>
      <c r="D3431">
        <v>2</v>
      </c>
      <c r="E3431">
        <v>0</v>
      </c>
      <c r="F3431" t="s">
        <v>12849</v>
      </c>
      <c r="G3431">
        <v>200</v>
      </c>
      <c r="H3431">
        <v>0</v>
      </c>
      <c r="I3431" t="s">
        <v>140</v>
      </c>
      <c r="J3431" t="s">
        <v>12850</v>
      </c>
      <c r="K3431" t="s">
        <v>2243</v>
      </c>
      <c r="L3431" t="s">
        <v>27</v>
      </c>
      <c r="M3431" t="s">
        <v>28</v>
      </c>
      <c r="N3431" t="s">
        <v>12851</v>
      </c>
      <c r="O3431" t="s">
        <v>27</v>
      </c>
      <c r="P3431" t="s">
        <v>369</v>
      </c>
      <c r="Q3431" t="s">
        <v>31</v>
      </c>
      <c r="R3431" t="s">
        <v>57</v>
      </c>
      <c r="S3431" t="s">
        <v>28</v>
      </c>
      <c r="T3431" t="s">
        <v>12852</v>
      </c>
      <c r="U3431" t="s">
        <v>12853</v>
      </c>
    </row>
    <row r="3432" spans="1:21" x14ac:dyDescent="0.25">
      <c r="A3432" t="s">
        <v>143</v>
      </c>
      <c r="B3432" t="s">
        <v>144</v>
      </c>
      <c r="C3432">
        <v>200</v>
      </c>
      <c r="D3432">
        <v>1</v>
      </c>
      <c r="E3432">
        <v>0</v>
      </c>
      <c r="F3432" t="s">
        <v>12854</v>
      </c>
      <c r="G3432">
        <v>200</v>
      </c>
      <c r="H3432">
        <v>0</v>
      </c>
      <c r="I3432" t="s">
        <v>140</v>
      </c>
      <c r="J3432" t="s">
        <v>5836</v>
      </c>
      <c r="K3432" t="s">
        <v>213</v>
      </c>
      <c r="L3432" t="s">
        <v>27</v>
      </c>
      <c r="M3432" t="s">
        <v>28</v>
      </c>
      <c r="N3432" t="s">
        <v>12855</v>
      </c>
      <c r="O3432" t="s">
        <v>27</v>
      </c>
      <c r="P3432" t="s">
        <v>30</v>
      </c>
      <c r="Q3432" t="s">
        <v>31</v>
      </c>
      <c r="R3432" t="s">
        <v>32</v>
      </c>
      <c r="S3432" t="s">
        <v>28</v>
      </c>
      <c r="T3432" t="s">
        <v>12856</v>
      </c>
      <c r="U3432" t="s">
        <v>12855</v>
      </c>
    </row>
    <row r="3433" spans="1:21" x14ac:dyDescent="0.25">
      <c r="A3433" t="s">
        <v>33</v>
      </c>
      <c r="B3433" t="s">
        <v>34</v>
      </c>
      <c r="C3433">
        <v>200</v>
      </c>
      <c r="D3433">
        <v>1</v>
      </c>
      <c r="E3433">
        <v>0</v>
      </c>
      <c r="F3433" t="s">
        <v>12857</v>
      </c>
      <c r="G3433">
        <v>200</v>
      </c>
      <c r="H3433">
        <v>0</v>
      </c>
      <c r="I3433" t="s">
        <v>24</v>
      </c>
      <c r="J3433" t="s">
        <v>12858</v>
      </c>
      <c r="K3433" t="s">
        <v>1772</v>
      </c>
      <c r="L3433" t="s">
        <v>27</v>
      </c>
      <c r="M3433" t="s">
        <v>28</v>
      </c>
      <c r="N3433" t="s">
        <v>12859</v>
      </c>
      <c r="O3433" t="s">
        <v>27</v>
      </c>
      <c r="P3433" t="s">
        <v>39</v>
      </c>
      <c r="Q3433" t="s">
        <v>31</v>
      </c>
      <c r="R3433" t="s">
        <v>32</v>
      </c>
      <c r="S3433" t="s">
        <v>28</v>
      </c>
      <c r="T3433" t="s">
        <v>12860</v>
      </c>
      <c r="U3433" t="s">
        <v>12859</v>
      </c>
    </row>
    <row r="3434" spans="1:21" x14ac:dyDescent="0.25">
      <c r="A3434" t="s">
        <v>21</v>
      </c>
      <c r="B3434" t="s">
        <v>22</v>
      </c>
      <c r="C3434">
        <v>100</v>
      </c>
      <c r="D3434">
        <v>1</v>
      </c>
      <c r="E3434">
        <v>0</v>
      </c>
      <c r="F3434" t="s">
        <v>12861</v>
      </c>
      <c r="G3434">
        <v>106</v>
      </c>
      <c r="H3434">
        <v>6</v>
      </c>
      <c r="I3434" t="s">
        <v>24</v>
      </c>
      <c r="J3434" t="s">
        <v>12862</v>
      </c>
      <c r="K3434" t="s">
        <v>37</v>
      </c>
      <c r="L3434" t="s">
        <v>27</v>
      </c>
      <c r="M3434" t="s">
        <v>28</v>
      </c>
      <c r="N3434" t="s">
        <v>12863</v>
      </c>
      <c r="O3434" t="s">
        <v>27</v>
      </c>
      <c r="P3434" t="s">
        <v>39</v>
      </c>
      <c r="Q3434" t="s">
        <v>31</v>
      </c>
      <c r="R3434" t="s">
        <v>32</v>
      </c>
      <c r="S3434" t="s">
        <v>28</v>
      </c>
      <c r="T3434" t="s">
        <v>12864</v>
      </c>
      <c r="U3434" t="s">
        <v>12863</v>
      </c>
    </row>
    <row r="3435" spans="1:21" x14ac:dyDescent="0.25">
      <c r="A3435" t="s">
        <v>58</v>
      </c>
      <c r="B3435" t="s">
        <v>58</v>
      </c>
      <c r="C3435">
        <v>100</v>
      </c>
      <c r="D3435">
        <v>1</v>
      </c>
      <c r="E3435">
        <v>0</v>
      </c>
      <c r="F3435" t="s">
        <v>12865</v>
      </c>
      <c r="G3435">
        <v>106</v>
      </c>
      <c r="H3435">
        <v>6</v>
      </c>
      <c r="I3435" t="s">
        <v>445</v>
      </c>
      <c r="J3435" t="s">
        <v>12866</v>
      </c>
      <c r="K3435" t="s">
        <v>89</v>
      </c>
      <c r="L3435" t="s">
        <v>27</v>
      </c>
      <c r="M3435" t="s">
        <v>28</v>
      </c>
      <c r="N3435" t="s">
        <v>12867</v>
      </c>
      <c r="O3435" t="s">
        <v>27</v>
      </c>
      <c r="P3435" t="s">
        <v>56</v>
      </c>
      <c r="Q3435" t="s">
        <v>31</v>
      </c>
      <c r="R3435" t="s">
        <v>57</v>
      </c>
      <c r="S3435" t="s">
        <v>28</v>
      </c>
      <c r="T3435" t="s">
        <v>12868</v>
      </c>
      <c r="U3435" t="s">
        <v>12869</v>
      </c>
    </row>
    <row r="3436" spans="1:21" x14ac:dyDescent="0.25">
      <c r="A3436" t="s">
        <v>21</v>
      </c>
      <c r="B3436" t="s">
        <v>22</v>
      </c>
      <c r="C3436">
        <v>100</v>
      </c>
      <c r="D3436">
        <v>1</v>
      </c>
      <c r="E3436">
        <v>0</v>
      </c>
      <c r="F3436" t="s">
        <v>12870</v>
      </c>
      <c r="G3436">
        <v>100</v>
      </c>
      <c r="H3436">
        <v>0</v>
      </c>
      <c r="I3436" t="s">
        <v>445</v>
      </c>
      <c r="J3436" t="s">
        <v>12871</v>
      </c>
      <c r="K3436" t="s">
        <v>653</v>
      </c>
      <c r="L3436" t="s">
        <v>27</v>
      </c>
      <c r="M3436" t="s">
        <v>28</v>
      </c>
      <c r="N3436" t="s">
        <v>12872</v>
      </c>
      <c r="O3436" t="s">
        <v>27</v>
      </c>
      <c r="P3436" t="s">
        <v>39</v>
      </c>
      <c r="Q3436" t="s">
        <v>31</v>
      </c>
      <c r="R3436" t="s">
        <v>32</v>
      </c>
      <c r="S3436" t="s">
        <v>28</v>
      </c>
      <c r="T3436" t="s">
        <v>12873</v>
      </c>
      <c r="U3436" t="s">
        <v>12872</v>
      </c>
    </row>
    <row r="3437" spans="1:21" x14ac:dyDescent="0.25">
      <c r="A3437" t="s">
        <v>21</v>
      </c>
      <c r="B3437" t="s">
        <v>22</v>
      </c>
      <c r="C3437">
        <v>100</v>
      </c>
      <c r="D3437">
        <v>4</v>
      </c>
      <c r="E3437">
        <v>0</v>
      </c>
      <c r="F3437" t="s">
        <v>12874</v>
      </c>
      <c r="G3437">
        <v>400</v>
      </c>
      <c r="H3437">
        <v>0</v>
      </c>
      <c r="I3437" t="s">
        <v>140</v>
      </c>
      <c r="J3437" t="s">
        <v>12875</v>
      </c>
      <c r="K3437" t="s">
        <v>311</v>
      </c>
      <c r="L3437" t="s">
        <v>27</v>
      </c>
      <c r="M3437" t="s">
        <v>28</v>
      </c>
      <c r="N3437" t="s">
        <v>12876</v>
      </c>
      <c r="O3437" t="s">
        <v>27</v>
      </c>
      <c r="P3437" t="s">
        <v>30</v>
      </c>
      <c r="Q3437" t="s">
        <v>31</v>
      </c>
      <c r="R3437" t="s">
        <v>32</v>
      </c>
      <c r="S3437" t="s">
        <v>28</v>
      </c>
      <c r="T3437" t="s">
        <v>12877</v>
      </c>
      <c r="U3437" t="s">
        <v>12878</v>
      </c>
    </row>
    <row r="3438" spans="1:21" x14ac:dyDescent="0.25">
      <c r="A3438" t="s">
        <v>33</v>
      </c>
      <c r="B3438" t="s">
        <v>34</v>
      </c>
      <c r="C3438">
        <v>200</v>
      </c>
      <c r="D3438">
        <v>1</v>
      </c>
      <c r="E3438">
        <v>0</v>
      </c>
      <c r="F3438" t="s">
        <v>12879</v>
      </c>
      <c r="G3438">
        <v>200</v>
      </c>
      <c r="H3438">
        <v>0</v>
      </c>
      <c r="I3438" t="s">
        <v>445</v>
      </c>
      <c r="J3438" t="s">
        <v>12880</v>
      </c>
      <c r="K3438" t="s">
        <v>247</v>
      </c>
      <c r="L3438" t="s">
        <v>27</v>
      </c>
      <c r="M3438" t="s">
        <v>28</v>
      </c>
      <c r="N3438" t="s">
        <v>12878</v>
      </c>
      <c r="O3438" t="s">
        <v>27</v>
      </c>
      <c r="P3438" t="s">
        <v>56</v>
      </c>
      <c r="Q3438" t="s">
        <v>31</v>
      </c>
      <c r="R3438" t="s">
        <v>57</v>
      </c>
      <c r="S3438" t="s">
        <v>28</v>
      </c>
      <c r="T3438" t="s">
        <v>12881</v>
      </c>
      <c r="U3438" t="s">
        <v>12878</v>
      </c>
    </row>
    <row r="3439" spans="1:21" x14ac:dyDescent="0.25">
      <c r="A3439" t="s">
        <v>21</v>
      </c>
      <c r="B3439" t="s">
        <v>22</v>
      </c>
      <c r="C3439">
        <v>100</v>
      </c>
      <c r="D3439">
        <v>2</v>
      </c>
      <c r="E3439">
        <v>0</v>
      </c>
      <c r="F3439" t="s">
        <v>12882</v>
      </c>
      <c r="G3439">
        <v>200</v>
      </c>
      <c r="H3439">
        <v>0</v>
      </c>
      <c r="I3439" t="s">
        <v>140</v>
      </c>
      <c r="J3439" t="s">
        <v>12883</v>
      </c>
      <c r="K3439" t="s">
        <v>1029</v>
      </c>
      <c r="L3439" t="s">
        <v>27</v>
      </c>
      <c r="M3439" t="s">
        <v>28</v>
      </c>
      <c r="N3439" t="s">
        <v>12884</v>
      </c>
      <c r="O3439" t="s">
        <v>27</v>
      </c>
      <c r="P3439" t="s">
        <v>30</v>
      </c>
      <c r="Q3439" t="s">
        <v>31</v>
      </c>
      <c r="R3439" t="s">
        <v>32</v>
      </c>
      <c r="S3439" t="s">
        <v>28</v>
      </c>
      <c r="T3439" t="s">
        <v>12885</v>
      </c>
      <c r="U3439" t="s">
        <v>12884</v>
      </c>
    </row>
    <row r="3440" spans="1:21" x14ac:dyDescent="0.25">
      <c r="A3440" t="s">
        <v>195</v>
      </c>
      <c r="B3440" t="s">
        <v>196</v>
      </c>
      <c r="C3440">
        <v>230</v>
      </c>
      <c r="D3440">
        <v>1</v>
      </c>
      <c r="E3440">
        <v>0</v>
      </c>
      <c r="F3440" t="s">
        <v>12886</v>
      </c>
      <c r="G3440">
        <v>259</v>
      </c>
      <c r="H3440">
        <v>29</v>
      </c>
      <c r="I3440" t="s">
        <v>445</v>
      </c>
      <c r="J3440" t="s">
        <v>8236</v>
      </c>
      <c r="K3440" t="s">
        <v>12887</v>
      </c>
      <c r="L3440" t="s">
        <v>777</v>
      </c>
      <c r="M3440" t="s">
        <v>1836</v>
      </c>
      <c r="N3440" t="s">
        <v>12888</v>
      </c>
      <c r="O3440" t="s">
        <v>27</v>
      </c>
      <c r="P3440" t="s">
        <v>84</v>
      </c>
      <c r="Q3440" t="s">
        <v>85</v>
      </c>
      <c r="R3440" t="s">
        <v>86</v>
      </c>
      <c r="S3440" t="s">
        <v>28</v>
      </c>
      <c r="T3440" t="s">
        <v>12889</v>
      </c>
      <c r="U3440" t="s">
        <v>12890</v>
      </c>
    </row>
    <row r="3441" spans="1:21" x14ac:dyDescent="0.25">
      <c r="A3441" t="s">
        <v>21</v>
      </c>
      <c r="B3441" t="s">
        <v>22</v>
      </c>
      <c r="C3441">
        <v>100</v>
      </c>
      <c r="D3441">
        <v>1</v>
      </c>
      <c r="E3441">
        <v>0</v>
      </c>
      <c r="F3441" t="s">
        <v>12891</v>
      </c>
      <c r="G3441">
        <v>106</v>
      </c>
      <c r="H3441">
        <v>6</v>
      </c>
      <c r="I3441" t="s">
        <v>24</v>
      </c>
      <c r="J3441" t="s">
        <v>12892</v>
      </c>
      <c r="K3441" t="s">
        <v>294</v>
      </c>
      <c r="L3441" t="s">
        <v>27</v>
      </c>
      <c r="M3441" t="s">
        <v>28</v>
      </c>
      <c r="N3441" t="s">
        <v>12890</v>
      </c>
      <c r="O3441" t="s">
        <v>27</v>
      </c>
      <c r="P3441" t="s">
        <v>39</v>
      </c>
      <c r="Q3441" t="s">
        <v>31</v>
      </c>
      <c r="R3441" t="s">
        <v>32</v>
      </c>
      <c r="S3441" t="s">
        <v>28</v>
      </c>
      <c r="T3441" t="s">
        <v>12893</v>
      </c>
      <c r="U3441" t="s">
        <v>12890</v>
      </c>
    </row>
    <row r="3442" spans="1:21" x14ac:dyDescent="0.25">
      <c r="A3442" t="s">
        <v>21</v>
      </c>
      <c r="B3442" t="s">
        <v>22</v>
      </c>
      <c r="C3442">
        <v>100</v>
      </c>
      <c r="D3442">
        <v>1</v>
      </c>
      <c r="E3442">
        <v>0</v>
      </c>
      <c r="F3442" t="s">
        <v>12894</v>
      </c>
      <c r="G3442">
        <v>129</v>
      </c>
      <c r="H3442">
        <v>29</v>
      </c>
      <c r="I3442" t="s">
        <v>24</v>
      </c>
      <c r="J3442" t="s">
        <v>12895</v>
      </c>
      <c r="K3442" t="s">
        <v>653</v>
      </c>
      <c r="L3442" t="s">
        <v>27</v>
      </c>
      <c r="M3442" t="s">
        <v>28</v>
      </c>
      <c r="N3442" t="s">
        <v>12896</v>
      </c>
      <c r="O3442" t="s">
        <v>27</v>
      </c>
      <c r="P3442" t="s">
        <v>39</v>
      </c>
      <c r="Q3442" t="s">
        <v>31</v>
      </c>
      <c r="R3442" t="s">
        <v>32</v>
      </c>
      <c r="S3442" t="s">
        <v>28</v>
      </c>
      <c r="T3442" t="s">
        <v>12897</v>
      </c>
      <c r="U3442" t="s">
        <v>12896</v>
      </c>
    </row>
    <row r="3443" spans="1:21" x14ac:dyDescent="0.25">
      <c r="A3443" t="s">
        <v>456</v>
      </c>
      <c r="B3443" t="s">
        <v>457</v>
      </c>
      <c r="C3443">
        <v>199</v>
      </c>
      <c r="D3443">
        <v>1</v>
      </c>
      <c r="E3443">
        <v>0</v>
      </c>
      <c r="F3443" t="s">
        <v>12898</v>
      </c>
      <c r="G3443">
        <v>199</v>
      </c>
      <c r="H3443">
        <v>0</v>
      </c>
      <c r="I3443" t="s">
        <v>24</v>
      </c>
      <c r="J3443" t="s">
        <v>8934</v>
      </c>
      <c r="K3443" t="s">
        <v>12899</v>
      </c>
      <c r="L3443" t="s">
        <v>12900</v>
      </c>
      <c r="M3443" t="s">
        <v>2886</v>
      </c>
      <c r="N3443" t="s">
        <v>12844</v>
      </c>
      <c r="O3443" t="s">
        <v>27</v>
      </c>
      <c r="P3443" t="s">
        <v>193</v>
      </c>
      <c r="Q3443" t="s">
        <v>85</v>
      </c>
      <c r="R3443" t="s">
        <v>86</v>
      </c>
      <c r="S3443" t="s">
        <v>28</v>
      </c>
      <c r="T3443" t="s">
        <v>12901</v>
      </c>
      <c r="U3443" t="s">
        <v>12902</v>
      </c>
    </row>
    <row r="3444" spans="1:21" x14ac:dyDescent="0.25">
      <c r="A3444" t="s">
        <v>456</v>
      </c>
      <c r="B3444" t="s">
        <v>457</v>
      </c>
      <c r="C3444">
        <v>199</v>
      </c>
      <c r="D3444">
        <v>1</v>
      </c>
      <c r="E3444">
        <v>0</v>
      </c>
      <c r="F3444" t="s">
        <v>12903</v>
      </c>
      <c r="G3444">
        <v>199</v>
      </c>
      <c r="H3444">
        <v>0</v>
      </c>
      <c r="I3444" t="s">
        <v>24</v>
      </c>
      <c r="J3444" t="s">
        <v>8934</v>
      </c>
      <c r="K3444" t="s">
        <v>12899</v>
      </c>
      <c r="L3444" t="s">
        <v>12900</v>
      </c>
      <c r="M3444" t="s">
        <v>2886</v>
      </c>
      <c r="N3444" t="s">
        <v>12904</v>
      </c>
      <c r="O3444" t="s">
        <v>27</v>
      </c>
      <c r="P3444" t="s">
        <v>193</v>
      </c>
      <c r="Q3444" t="s">
        <v>85</v>
      </c>
      <c r="R3444" t="s">
        <v>86</v>
      </c>
      <c r="S3444" t="s">
        <v>28</v>
      </c>
      <c r="T3444" t="s">
        <v>12905</v>
      </c>
      <c r="U3444" t="s">
        <v>12906</v>
      </c>
    </row>
    <row r="3445" spans="1:21" x14ac:dyDescent="0.25">
      <c r="A3445" t="s">
        <v>58</v>
      </c>
      <c r="B3445" t="s">
        <v>58</v>
      </c>
      <c r="C3445">
        <v>100</v>
      </c>
      <c r="D3445">
        <v>1</v>
      </c>
      <c r="E3445">
        <v>0</v>
      </c>
      <c r="F3445" t="s">
        <v>12907</v>
      </c>
      <c r="G3445">
        <v>327</v>
      </c>
      <c r="H3445">
        <v>35</v>
      </c>
      <c r="I3445" t="s">
        <v>445</v>
      </c>
      <c r="J3445" t="s">
        <v>9859</v>
      </c>
      <c r="K3445" t="s">
        <v>12908</v>
      </c>
      <c r="L3445" t="s">
        <v>7252</v>
      </c>
      <c r="M3445" t="s">
        <v>11012</v>
      </c>
      <c r="N3445" t="s">
        <v>12904</v>
      </c>
      <c r="O3445" t="s">
        <v>27</v>
      </c>
      <c r="P3445" t="s">
        <v>84</v>
      </c>
      <c r="Q3445" t="s">
        <v>85</v>
      </c>
      <c r="R3445" t="s">
        <v>86</v>
      </c>
      <c r="S3445" t="s">
        <v>28</v>
      </c>
      <c r="T3445" t="s">
        <v>12909</v>
      </c>
      <c r="U3445" t="s">
        <v>12906</v>
      </c>
    </row>
    <row r="3446" spans="1:21" x14ac:dyDescent="0.25">
      <c r="A3446" t="s">
        <v>456</v>
      </c>
      <c r="B3446" t="s">
        <v>457</v>
      </c>
      <c r="C3446">
        <v>197</v>
      </c>
      <c r="D3446">
        <v>1</v>
      </c>
      <c r="E3446">
        <v>0</v>
      </c>
      <c r="F3446" t="s">
        <v>12907</v>
      </c>
      <c r="G3446">
        <v>327</v>
      </c>
      <c r="H3446">
        <v>35</v>
      </c>
      <c r="I3446" t="s">
        <v>445</v>
      </c>
      <c r="J3446" t="s">
        <v>9859</v>
      </c>
      <c r="K3446" t="s">
        <v>12908</v>
      </c>
      <c r="L3446" t="s">
        <v>7252</v>
      </c>
      <c r="M3446" t="s">
        <v>11012</v>
      </c>
      <c r="N3446" t="s">
        <v>12904</v>
      </c>
      <c r="O3446" t="s">
        <v>27</v>
      </c>
      <c r="P3446" t="s">
        <v>84</v>
      </c>
      <c r="Q3446" t="s">
        <v>85</v>
      </c>
      <c r="R3446" t="s">
        <v>86</v>
      </c>
      <c r="S3446" t="s">
        <v>28</v>
      </c>
      <c r="T3446" t="s">
        <v>12909</v>
      </c>
      <c r="U3446" t="s">
        <v>12906</v>
      </c>
    </row>
    <row r="3447" spans="1:21" x14ac:dyDescent="0.25">
      <c r="A3447" t="s">
        <v>33</v>
      </c>
      <c r="B3447" t="s">
        <v>34</v>
      </c>
      <c r="C3447">
        <v>200</v>
      </c>
      <c r="D3447">
        <v>1</v>
      </c>
      <c r="E3447">
        <v>0</v>
      </c>
      <c r="F3447" t="s">
        <v>12910</v>
      </c>
      <c r="G3447">
        <v>200</v>
      </c>
      <c r="H3447">
        <v>0</v>
      </c>
      <c r="I3447" t="s">
        <v>24</v>
      </c>
      <c r="J3447" t="s">
        <v>12911</v>
      </c>
      <c r="K3447" t="s">
        <v>89</v>
      </c>
      <c r="L3447" t="s">
        <v>27</v>
      </c>
      <c r="M3447" t="s">
        <v>28</v>
      </c>
      <c r="N3447" t="s">
        <v>12906</v>
      </c>
      <c r="O3447" t="s">
        <v>27</v>
      </c>
      <c r="P3447" t="s">
        <v>56</v>
      </c>
      <c r="Q3447" t="s">
        <v>31</v>
      </c>
      <c r="R3447" t="s">
        <v>57</v>
      </c>
      <c r="S3447" t="s">
        <v>28</v>
      </c>
      <c r="T3447" t="s">
        <v>12912</v>
      </c>
      <c r="U3447" t="s">
        <v>12913</v>
      </c>
    </row>
    <row r="3448" spans="1:21" x14ac:dyDescent="0.25">
      <c r="A3448" t="s">
        <v>21</v>
      </c>
      <c r="B3448" t="s">
        <v>22</v>
      </c>
      <c r="C3448">
        <v>100</v>
      </c>
      <c r="D3448">
        <v>1</v>
      </c>
      <c r="E3448">
        <v>0</v>
      </c>
      <c r="F3448" t="s">
        <v>12914</v>
      </c>
      <c r="G3448">
        <v>106</v>
      </c>
      <c r="H3448">
        <v>6</v>
      </c>
      <c r="I3448" t="s">
        <v>24</v>
      </c>
      <c r="J3448" t="s">
        <v>12915</v>
      </c>
      <c r="K3448" t="s">
        <v>358</v>
      </c>
      <c r="L3448" t="s">
        <v>27</v>
      </c>
      <c r="M3448" t="s">
        <v>28</v>
      </c>
      <c r="N3448" t="s">
        <v>12916</v>
      </c>
      <c r="O3448" t="s">
        <v>27</v>
      </c>
      <c r="P3448" t="s">
        <v>39</v>
      </c>
      <c r="Q3448" t="s">
        <v>31</v>
      </c>
      <c r="R3448" t="s">
        <v>32</v>
      </c>
      <c r="S3448" t="s">
        <v>28</v>
      </c>
      <c r="T3448" t="s">
        <v>12917</v>
      </c>
      <c r="U3448" t="s">
        <v>12916</v>
      </c>
    </row>
    <row r="3449" spans="1:21" x14ac:dyDescent="0.25">
      <c r="A3449" t="s">
        <v>456</v>
      </c>
      <c r="B3449" t="s">
        <v>457</v>
      </c>
      <c r="C3449">
        <v>199</v>
      </c>
      <c r="D3449">
        <v>1</v>
      </c>
      <c r="E3449">
        <v>0</v>
      </c>
      <c r="F3449" t="s">
        <v>12918</v>
      </c>
      <c r="G3449">
        <v>244</v>
      </c>
      <c r="H3449">
        <v>45</v>
      </c>
      <c r="I3449" t="s">
        <v>24</v>
      </c>
      <c r="J3449" t="s">
        <v>8934</v>
      </c>
      <c r="K3449" t="s">
        <v>12899</v>
      </c>
      <c r="L3449" t="s">
        <v>12900</v>
      </c>
      <c r="M3449" t="s">
        <v>2886</v>
      </c>
      <c r="N3449" t="s">
        <v>12919</v>
      </c>
      <c r="O3449" t="s">
        <v>27</v>
      </c>
      <c r="P3449" t="s">
        <v>193</v>
      </c>
      <c r="Q3449" t="s">
        <v>85</v>
      </c>
      <c r="R3449" t="s">
        <v>86</v>
      </c>
      <c r="S3449" t="s">
        <v>28</v>
      </c>
      <c r="T3449" t="s">
        <v>12920</v>
      </c>
      <c r="U3449" t="s">
        <v>12916</v>
      </c>
    </row>
    <row r="3450" spans="1:21" x14ac:dyDescent="0.25">
      <c r="A3450" t="s">
        <v>21</v>
      </c>
      <c r="B3450" t="s">
        <v>22</v>
      </c>
      <c r="C3450">
        <v>100</v>
      </c>
      <c r="D3450">
        <v>1</v>
      </c>
      <c r="E3450">
        <v>0</v>
      </c>
      <c r="F3450" t="s">
        <v>12921</v>
      </c>
      <c r="G3450">
        <v>106</v>
      </c>
      <c r="H3450">
        <v>6</v>
      </c>
      <c r="I3450" t="s">
        <v>445</v>
      </c>
      <c r="J3450" t="s">
        <v>1894</v>
      </c>
      <c r="K3450" t="s">
        <v>37</v>
      </c>
      <c r="L3450" t="s">
        <v>27</v>
      </c>
      <c r="M3450" t="s">
        <v>28</v>
      </c>
      <c r="N3450" t="s">
        <v>12922</v>
      </c>
      <c r="O3450" t="s">
        <v>27</v>
      </c>
      <c r="P3450" t="s">
        <v>39</v>
      </c>
      <c r="Q3450" t="s">
        <v>31</v>
      </c>
      <c r="R3450" t="s">
        <v>32</v>
      </c>
      <c r="S3450" t="s">
        <v>28</v>
      </c>
      <c r="T3450" t="s">
        <v>12923</v>
      </c>
      <c r="U3450" t="s">
        <v>12922</v>
      </c>
    </row>
    <row r="3451" spans="1:21" x14ac:dyDescent="0.25">
      <c r="A3451" t="s">
        <v>33</v>
      </c>
      <c r="B3451" t="s">
        <v>34</v>
      </c>
      <c r="C3451">
        <v>200</v>
      </c>
      <c r="D3451">
        <v>1</v>
      </c>
      <c r="E3451">
        <v>0</v>
      </c>
      <c r="F3451" t="s">
        <v>12924</v>
      </c>
      <c r="G3451">
        <v>200</v>
      </c>
      <c r="H3451">
        <v>0</v>
      </c>
      <c r="I3451" t="s">
        <v>24</v>
      </c>
      <c r="J3451" t="s">
        <v>12925</v>
      </c>
      <c r="K3451" t="s">
        <v>89</v>
      </c>
      <c r="L3451" t="s">
        <v>27</v>
      </c>
      <c r="M3451" t="s">
        <v>28</v>
      </c>
      <c r="N3451" t="s">
        <v>12926</v>
      </c>
      <c r="O3451" t="s">
        <v>27</v>
      </c>
      <c r="P3451" t="s">
        <v>39</v>
      </c>
      <c r="Q3451" t="s">
        <v>31</v>
      </c>
      <c r="R3451" t="s">
        <v>32</v>
      </c>
      <c r="S3451" t="s">
        <v>28</v>
      </c>
      <c r="T3451" t="s">
        <v>12927</v>
      </c>
      <c r="U3451" t="s">
        <v>12926</v>
      </c>
    </row>
    <row r="3452" spans="1:21" x14ac:dyDescent="0.25">
      <c r="A3452" t="s">
        <v>143</v>
      </c>
      <c r="B3452" t="s">
        <v>144</v>
      </c>
      <c r="C3452">
        <v>200</v>
      </c>
      <c r="D3452">
        <v>1</v>
      </c>
      <c r="E3452">
        <v>0</v>
      </c>
      <c r="F3452" t="s">
        <v>12928</v>
      </c>
      <c r="G3452">
        <v>200</v>
      </c>
      <c r="H3452">
        <v>0</v>
      </c>
      <c r="I3452" t="s">
        <v>24</v>
      </c>
      <c r="J3452" t="s">
        <v>12929</v>
      </c>
      <c r="K3452" t="s">
        <v>67</v>
      </c>
      <c r="L3452" t="s">
        <v>27</v>
      </c>
      <c r="M3452" t="s">
        <v>28</v>
      </c>
      <c r="N3452" t="s">
        <v>12926</v>
      </c>
      <c r="O3452" t="s">
        <v>27</v>
      </c>
      <c r="P3452" t="s">
        <v>30</v>
      </c>
      <c r="Q3452" t="s">
        <v>31</v>
      </c>
      <c r="R3452" t="s">
        <v>32</v>
      </c>
      <c r="S3452" t="s">
        <v>28</v>
      </c>
      <c r="T3452" t="s">
        <v>12930</v>
      </c>
      <c r="U3452" t="s">
        <v>12926</v>
      </c>
    </row>
    <row r="3453" spans="1:21" x14ac:dyDescent="0.25">
      <c r="A3453" t="s">
        <v>21</v>
      </c>
      <c r="B3453" t="s">
        <v>22</v>
      </c>
      <c r="C3453">
        <v>100</v>
      </c>
      <c r="D3453">
        <v>1</v>
      </c>
      <c r="E3453">
        <v>0</v>
      </c>
      <c r="F3453" t="s">
        <v>12931</v>
      </c>
      <c r="G3453">
        <v>106</v>
      </c>
      <c r="H3453">
        <v>6</v>
      </c>
      <c r="I3453" t="s">
        <v>445</v>
      </c>
      <c r="J3453" t="s">
        <v>12932</v>
      </c>
      <c r="K3453" t="s">
        <v>797</v>
      </c>
      <c r="L3453" t="s">
        <v>27</v>
      </c>
      <c r="M3453" t="s">
        <v>28</v>
      </c>
      <c r="N3453" t="s">
        <v>12926</v>
      </c>
      <c r="O3453" t="s">
        <v>27</v>
      </c>
      <c r="P3453" t="s">
        <v>56</v>
      </c>
      <c r="Q3453" t="s">
        <v>31</v>
      </c>
      <c r="R3453" t="s">
        <v>57</v>
      </c>
      <c r="S3453" t="s">
        <v>28</v>
      </c>
      <c r="T3453" t="s">
        <v>12933</v>
      </c>
      <c r="U3453" t="s">
        <v>12934</v>
      </c>
    </row>
    <row r="3454" spans="1:21" x14ac:dyDescent="0.25">
      <c r="A3454" t="s">
        <v>21</v>
      </c>
      <c r="B3454" t="s">
        <v>22</v>
      </c>
      <c r="C3454">
        <v>100</v>
      </c>
      <c r="D3454">
        <v>1</v>
      </c>
      <c r="E3454">
        <v>0</v>
      </c>
      <c r="F3454" t="s">
        <v>12935</v>
      </c>
      <c r="G3454">
        <v>100</v>
      </c>
      <c r="H3454">
        <v>0</v>
      </c>
      <c r="I3454" t="s">
        <v>24</v>
      </c>
      <c r="J3454" t="s">
        <v>12936</v>
      </c>
      <c r="K3454" t="s">
        <v>124</v>
      </c>
      <c r="L3454" t="s">
        <v>27</v>
      </c>
      <c r="M3454" t="s">
        <v>28</v>
      </c>
      <c r="N3454" t="s">
        <v>12937</v>
      </c>
      <c r="O3454" t="s">
        <v>27</v>
      </c>
      <c r="P3454" t="s">
        <v>39</v>
      </c>
      <c r="Q3454" t="s">
        <v>31</v>
      </c>
      <c r="R3454" t="s">
        <v>32</v>
      </c>
      <c r="S3454" t="s">
        <v>28</v>
      </c>
      <c r="T3454" t="s">
        <v>12938</v>
      </c>
      <c r="U3454" t="s">
        <v>12937</v>
      </c>
    </row>
    <row r="3455" spans="1:21" x14ac:dyDescent="0.25">
      <c r="A3455" t="s">
        <v>21</v>
      </c>
      <c r="B3455" t="s">
        <v>22</v>
      </c>
      <c r="C3455">
        <v>100</v>
      </c>
      <c r="D3455">
        <v>1</v>
      </c>
      <c r="E3455">
        <v>0</v>
      </c>
      <c r="F3455" t="s">
        <v>12939</v>
      </c>
      <c r="G3455">
        <v>200</v>
      </c>
      <c r="H3455">
        <v>0</v>
      </c>
      <c r="I3455" t="s">
        <v>140</v>
      </c>
      <c r="J3455" t="s">
        <v>12940</v>
      </c>
      <c r="K3455" t="s">
        <v>250</v>
      </c>
      <c r="L3455" t="s">
        <v>27</v>
      </c>
      <c r="M3455" t="s">
        <v>28</v>
      </c>
      <c r="N3455" t="s">
        <v>12937</v>
      </c>
      <c r="O3455" t="s">
        <v>27</v>
      </c>
      <c r="P3455" t="s">
        <v>369</v>
      </c>
      <c r="Q3455" t="s">
        <v>31</v>
      </c>
      <c r="R3455" t="s">
        <v>57</v>
      </c>
      <c r="S3455" t="s">
        <v>28</v>
      </c>
      <c r="T3455" t="s">
        <v>12941</v>
      </c>
      <c r="U3455" t="s">
        <v>12942</v>
      </c>
    </row>
    <row r="3456" spans="1:21" x14ac:dyDescent="0.25">
      <c r="A3456" t="s">
        <v>58</v>
      </c>
      <c r="B3456" t="s">
        <v>58</v>
      </c>
      <c r="C3456">
        <v>100</v>
      </c>
      <c r="D3456">
        <v>1</v>
      </c>
      <c r="E3456">
        <v>0</v>
      </c>
      <c r="F3456" t="s">
        <v>12939</v>
      </c>
      <c r="G3456">
        <v>200</v>
      </c>
      <c r="H3456">
        <v>0</v>
      </c>
      <c r="I3456" t="s">
        <v>140</v>
      </c>
      <c r="J3456" t="s">
        <v>12940</v>
      </c>
      <c r="K3456" t="s">
        <v>250</v>
      </c>
      <c r="L3456" t="s">
        <v>27</v>
      </c>
      <c r="M3456" t="s">
        <v>28</v>
      </c>
      <c r="N3456" t="s">
        <v>12937</v>
      </c>
      <c r="O3456" t="s">
        <v>27</v>
      </c>
      <c r="P3456" t="s">
        <v>369</v>
      </c>
      <c r="Q3456" t="s">
        <v>31</v>
      </c>
      <c r="R3456" t="s">
        <v>57</v>
      </c>
      <c r="S3456" t="s">
        <v>28</v>
      </c>
      <c r="T3456" t="s">
        <v>12941</v>
      </c>
      <c r="U3456" t="s">
        <v>12942</v>
      </c>
    </row>
    <row r="3457" spans="1:21" x14ac:dyDescent="0.25">
      <c r="A3457" t="s">
        <v>33</v>
      </c>
      <c r="B3457" t="s">
        <v>34</v>
      </c>
      <c r="C3457">
        <v>200</v>
      </c>
      <c r="D3457">
        <v>1</v>
      </c>
      <c r="E3457">
        <v>0</v>
      </c>
      <c r="F3457" t="s">
        <v>12943</v>
      </c>
      <c r="G3457">
        <v>200</v>
      </c>
      <c r="H3457">
        <v>0</v>
      </c>
      <c r="I3457" t="s">
        <v>24</v>
      </c>
      <c r="J3457" t="s">
        <v>12944</v>
      </c>
      <c r="K3457" t="s">
        <v>1190</v>
      </c>
      <c r="L3457" t="s">
        <v>27</v>
      </c>
      <c r="M3457" t="s">
        <v>28</v>
      </c>
      <c r="N3457" t="s">
        <v>12945</v>
      </c>
      <c r="O3457" t="s">
        <v>27</v>
      </c>
      <c r="P3457" t="s">
        <v>39</v>
      </c>
      <c r="Q3457" t="s">
        <v>31</v>
      </c>
      <c r="R3457" t="s">
        <v>32</v>
      </c>
      <c r="S3457" t="s">
        <v>28</v>
      </c>
      <c r="T3457" t="s">
        <v>12946</v>
      </c>
      <c r="U3457" t="s">
        <v>12945</v>
      </c>
    </row>
    <row r="3458" spans="1:21" x14ac:dyDescent="0.25">
      <c r="A3458" t="s">
        <v>33</v>
      </c>
      <c r="B3458" t="s">
        <v>34</v>
      </c>
      <c r="C3458">
        <v>200</v>
      </c>
      <c r="D3458">
        <v>1</v>
      </c>
      <c r="E3458">
        <v>0</v>
      </c>
      <c r="F3458" t="s">
        <v>12947</v>
      </c>
      <c r="G3458">
        <v>200</v>
      </c>
      <c r="H3458">
        <v>0</v>
      </c>
      <c r="I3458" t="s">
        <v>445</v>
      </c>
      <c r="J3458" t="s">
        <v>12948</v>
      </c>
      <c r="K3458" t="s">
        <v>797</v>
      </c>
      <c r="L3458" t="s">
        <v>27</v>
      </c>
      <c r="M3458" t="s">
        <v>28</v>
      </c>
      <c r="N3458" t="s">
        <v>12945</v>
      </c>
      <c r="O3458" t="s">
        <v>27</v>
      </c>
      <c r="P3458" t="s">
        <v>56</v>
      </c>
      <c r="Q3458" t="s">
        <v>31</v>
      </c>
      <c r="R3458" t="s">
        <v>57</v>
      </c>
      <c r="S3458" t="s">
        <v>28</v>
      </c>
      <c r="T3458" t="s">
        <v>12949</v>
      </c>
      <c r="U3458" t="s">
        <v>12950</v>
      </c>
    </row>
    <row r="3459" spans="1:21" x14ac:dyDescent="0.25">
      <c r="A3459" t="s">
        <v>143</v>
      </c>
      <c r="B3459" t="s">
        <v>144</v>
      </c>
      <c r="C3459">
        <v>200</v>
      </c>
      <c r="D3459">
        <v>1</v>
      </c>
      <c r="E3459">
        <v>0</v>
      </c>
      <c r="F3459" t="s">
        <v>12951</v>
      </c>
      <c r="G3459">
        <v>200</v>
      </c>
      <c r="H3459">
        <v>0</v>
      </c>
      <c r="I3459" t="s">
        <v>140</v>
      </c>
      <c r="J3459" t="s">
        <v>5078</v>
      </c>
      <c r="K3459" t="s">
        <v>342</v>
      </c>
      <c r="L3459" t="s">
        <v>27</v>
      </c>
      <c r="M3459" t="s">
        <v>28</v>
      </c>
      <c r="N3459" t="s">
        <v>12950</v>
      </c>
      <c r="O3459" t="s">
        <v>27</v>
      </c>
      <c r="P3459" t="s">
        <v>30</v>
      </c>
      <c r="Q3459" t="s">
        <v>31</v>
      </c>
      <c r="R3459" t="s">
        <v>32</v>
      </c>
      <c r="S3459" t="s">
        <v>28</v>
      </c>
      <c r="T3459" t="s">
        <v>12952</v>
      </c>
      <c r="U3459" t="s">
        <v>12950</v>
      </c>
    </row>
    <row r="3460" spans="1:21" x14ac:dyDescent="0.25">
      <c r="A3460" t="s">
        <v>70</v>
      </c>
      <c r="B3460" t="s">
        <v>70</v>
      </c>
      <c r="C3460">
        <v>330</v>
      </c>
      <c r="D3460">
        <v>1</v>
      </c>
      <c r="E3460">
        <v>0</v>
      </c>
      <c r="F3460" t="s">
        <v>12953</v>
      </c>
      <c r="G3460">
        <v>330</v>
      </c>
      <c r="H3460">
        <v>0</v>
      </c>
      <c r="I3460" t="s">
        <v>445</v>
      </c>
      <c r="J3460" t="s">
        <v>12954</v>
      </c>
      <c r="K3460" t="s">
        <v>325</v>
      </c>
      <c r="L3460" t="s">
        <v>27</v>
      </c>
      <c r="M3460" t="s">
        <v>28</v>
      </c>
      <c r="N3460" t="s">
        <v>12955</v>
      </c>
      <c r="O3460" t="s">
        <v>27</v>
      </c>
      <c r="P3460" t="s">
        <v>39</v>
      </c>
      <c r="Q3460" t="s">
        <v>31</v>
      </c>
      <c r="R3460" t="s">
        <v>32</v>
      </c>
      <c r="S3460" t="s">
        <v>28</v>
      </c>
      <c r="T3460" t="s">
        <v>12956</v>
      </c>
      <c r="U3460" t="s">
        <v>12955</v>
      </c>
    </row>
    <row r="3461" spans="1:21" x14ac:dyDescent="0.25">
      <c r="A3461" t="s">
        <v>21</v>
      </c>
      <c r="B3461" t="s">
        <v>22</v>
      </c>
      <c r="C3461">
        <v>100</v>
      </c>
      <c r="D3461">
        <v>1</v>
      </c>
      <c r="E3461">
        <v>0</v>
      </c>
      <c r="F3461" t="s">
        <v>12957</v>
      </c>
      <c r="G3461">
        <v>106</v>
      </c>
      <c r="H3461">
        <v>6</v>
      </c>
      <c r="I3461" t="s">
        <v>24</v>
      </c>
      <c r="J3461" t="s">
        <v>12958</v>
      </c>
      <c r="K3461" t="s">
        <v>273</v>
      </c>
      <c r="L3461" t="s">
        <v>27</v>
      </c>
      <c r="M3461" t="s">
        <v>28</v>
      </c>
      <c r="N3461" t="s">
        <v>12955</v>
      </c>
      <c r="O3461" t="s">
        <v>27</v>
      </c>
      <c r="P3461" t="s">
        <v>39</v>
      </c>
      <c r="Q3461" t="s">
        <v>31</v>
      </c>
      <c r="R3461" t="s">
        <v>32</v>
      </c>
      <c r="S3461" t="s">
        <v>28</v>
      </c>
      <c r="T3461" t="s">
        <v>12959</v>
      </c>
      <c r="U3461" t="s">
        <v>12955</v>
      </c>
    </row>
    <row r="3462" spans="1:21" x14ac:dyDescent="0.25">
      <c r="A3462" t="s">
        <v>33</v>
      </c>
      <c r="B3462" t="s">
        <v>34</v>
      </c>
      <c r="C3462">
        <v>200</v>
      </c>
      <c r="D3462">
        <v>1</v>
      </c>
      <c r="E3462">
        <v>0</v>
      </c>
      <c r="F3462" t="s">
        <v>12960</v>
      </c>
      <c r="G3462">
        <v>200</v>
      </c>
      <c r="H3462">
        <v>0</v>
      </c>
      <c r="I3462" t="s">
        <v>24</v>
      </c>
      <c r="J3462" t="s">
        <v>5836</v>
      </c>
      <c r="K3462" t="s">
        <v>213</v>
      </c>
      <c r="L3462" t="s">
        <v>27</v>
      </c>
      <c r="M3462" t="s">
        <v>28</v>
      </c>
      <c r="N3462" t="s">
        <v>12961</v>
      </c>
      <c r="O3462" t="s">
        <v>27</v>
      </c>
      <c r="P3462" t="s">
        <v>39</v>
      </c>
      <c r="Q3462" t="s">
        <v>31</v>
      </c>
      <c r="R3462" t="s">
        <v>32</v>
      </c>
      <c r="S3462" t="s">
        <v>28</v>
      </c>
      <c r="T3462" t="s">
        <v>12962</v>
      </c>
      <c r="U3462" t="s">
        <v>12961</v>
      </c>
    </row>
    <row r="3463" spans="1:21" x14ac:dyDescent="0.25">
      <c r="A3463" t="s">
        <v>63</v>
      </c>
      <c r="B3463" t="s">
        <v>64</v>
      </c>
      <c r="C3463">
        <v>100</v>
      </c>
      <c r="D3463">
        <v>1</v>
      </c>
      <c r="E3463">
        <v>0</v>
      </c>
      <c r="F3463" t="s">
        <v>12963</v>
      </c>
      <c r="G3463">
        <v>100</v>
      </c>
      <c r="H3463">
        <v>0</v>
      </c>
      <c r="I3463" t="s">
        <v>24</v>
      </c>
      <c r="J3463" t="s">
        <v>12964</v>
      </c>
      <c r="K3463" t="s">
        <v>384</v>
      </c>
      <c r="L3463" t="s">
        <v>27</v>
      </c>
      <c r="M3463" t="s">
        <v>28</v>
      </c>
      <c r="N3463" t="s">
        <v>12965</v>
      </c>
      <c r="O3463" t="s">
        <v>27</v>
      </c>
      <c r="P3463" t="s">
        <v>39</v>
      </c>
      <c r="Q3463" t="s">
        <v>31</v>
      </c>
      <c r="R3463" t="s">
        <v>32</v>
      </c>
      <c r="S3463" t="s">
        <v>28</v>
      </c>
      <c r="T3463" t="s">
        <v>12966</v>
      </c>
      <c r="U3463" t="s">
        <v>12965</v>
      </c>
    </row>
    <row r="3464" spans="1:21" x14ac:dyDescent="0.25">
      <c r="A3464" t="s">
        <v>143</v>
      </c>
      <c r="B3464" t="s">
        <v>144</v>
      </c>
      <c r="C3464">
        <v>200</v>
      </c>
      <c r="D3464">
        <v>1</v>
      </c>
      <c r="E3464">
        <v>0</v>
      </c>
      <c r="F3464" t="s">
        <v>12967</v>
      </c>
      <c r="G3464">
        <v>200</v>
      </c>
      <c r="H3464">
        <v>0</v>
      </c>
      <c r="I3464" t="s">
        <v>24</v>
      </c>
      <c r="J3464" t="s">
        <v>12968</v>
      </c>
      <c r="K3464" t="s">
        <v>418</v>
      </c>
      <c r="L3464" t="s">
        <v>27</v>
      </c>
      <c r="M3464" t="s">
        <v>28</v>
      </c>
      <c r="N3464" t="s">
        <v>12969</v>
      </c>
      <c r="O3464" t="s">
        <v>27</v>
      </c>
      <c r="P3464" t="s">
        <v>39</v>
      </c>
      <c r="Q3464" t="s">
        <v>31</v>
      </c>
      <c r="R3464" t="s">
        <v>32</v>
      </c>
      <c r="S3464" t="s">
        <v>28</v>
      </c>
      <c r="T3464" t="s">
        <v>12970</v>
      </c>
      <c r="U3464" t="s">
        <v>12969</v>
      </c>
    </row>
    <row r="3465" spans="1:21" x14ac:dyDescent="0.25">
      <c r="A3465" t="s">
        <v>456</v>
      </c>
      <c r="B3465" t="s">
        <v>457</v>
      </c>
      <c r="C3465">
        <v>197</v>
      </c>
      <c r="D3465">
        <v>1</v>
      </c>
      <c r="E3465">
        <v>0</v>
      </c>
      <c r="F3465" t="s">
        <v>12971</v>
      </c>
      <c r="G3465">
        <v>197</v>
      </c>
      <c r="H3465">
        <v>0</v>
      </c>
      <c r="I3465" t="s">
        <v>445</v>
      </c>
      <c r="J3465" t="s">
        <v>12972</v>
      </c>
      <c r="K3465" t="s">
        <v>12973</v>
      </c>
      <c r="L3465" t="s">
        <v>3981</v>
      </c>
      <c r="M3465" t="s">
        <v>481</v>
      </c>
      <c r="N3465" t="s">
        <v>12969</v>
      </c>
      <c r="O3465" t="s">
        <v>27</v>
      </c>
      <c r="P3465" t="s">
        <v>193</v>
      </c>
      <c r="Q3465" t="s">
        <v>85</v>
      </c>
      <c r="R3465" t="s">
        <v>86</v>
      </c>
      <c r="S3465" t="s">
        <v>28</v>
      </c>
      <c r="T3465" t="s">
        <v>12974</v>
      </c>
      <c r="U3465" t="s">
        <v>12975</v>
      </c>
    </row>
    <row r="3466" spans="1:21" x14ac:dyDescent="0.25">
      <c r="A3466" t="s">
        <v>456</v>
      </c>
      <c r="B3466" t="s">
        <v>457</v>
      </c>
      <c r="C3466">
        <v>197</v>
      </c>
      <c r="D3466">
        <v>1</v>
      </c>
      <c r="E3466">
        <v>0</v>
      </c>
      <c r="F3466" t="s">
        <v>12976</v>
      </c>
      <c r="G3466">
        <v>322</v>
      </c>
      <c r="H3466">
        <v>35</v>
      </c>
      <c r="I3466" t="s">
        <v>445</v>
      </c>
      <c r="J3466" t="s">
        <v>11656</v>
      </c>
      <c r="K3466" t="s">
        <v>12977</v>
      </c>
      <c r="L3466" t="s">
        <v>2530</v>
      </c>
      <c r="M3466" t="s">
        <v>12978</v>
      </c>
      <c r="N3466" t="s">
        <v>12979</v>
      </c>
      <c r="O3466" t="s">
        <v>27</v>
      </c>
      <c r="P3466" t="s">
        <v>84</v>
      </c>
      <c r="Q3466" t="s">
        <v>85</v>
      </c>
      <c r="R3466" t="s">
        <v>86</v>
      </c>
      <c r="S3466" t="s">
        <v>28</v>
      </c>
      <c r="T3466" t="s">
        <v>12980</v>
      </c>
      <c r="U3466" t="s">
        <v>12979</v>
      </c>
    </row>
    <row r="3467" spans="1:21" x14ac:dyDescent="0.25">
      <c r="A3467" t="s">
        <v>58</v>
      </c>
      <c r="B3467" t="s">
        <v>103</v>
      </c>
      <c r="C3467">
        <v>102.07</v>
      </c>
      <c r="D3467">
        <v>1</v>
      </c>
      <c r="E3467">
        <v>0</v>
      </c>
      <c r="F3467" t="s">
        <v>12981</v>
      </c>
      <c r="G3467">
        <v>306.2</v>
      </c>
      <c r="H3467">
        <v>0</v>
      </c>
      <c r="I3467" t="s">
        <v>105</v>
      </c>
      <c r="J3467" t="s">
        <v>3155</v>
      </c>
      <c r="K3467" t="s">
        <v>3156</v>
      </c>
      <c r="L3467" t="s">
        <v>3157</v>
      </c>
      <c r="M3467" t="s">
        <v>3158</v>
      </c>
      <c r="N3467" t="s">
        <v>12982</v>
      </c>
      <c r="O3467" t="s">
        <v>27</v>
      </c>
      <c r="P3467" t="s">
        <v>48</v>
      </c>
      <c r="Q3467" t="s">
        <v>49</v>
      </c>
      <c r="R3467" t="s">
        <v>50</v>
      </c>
      <c r="S3467" t="s">
        <v>28</v>
      </c>
      <c r="T3467" t="s">
        <v>12983</v>
      </c>
      <c r="U3467" t="s">
        <v>12982</v>
      </c>
    </row>
    <row r="3468" spans="1:21" x14ac:dyDescent="0.25">
      <c r="A3468" t="s">
        <v>58</v>
      </c>
      <c r="B3468" t="s">
        <v>103</v>
      </c>
      <c r="C3468">
        <v>102.06</v>
      </c>
      <c r="D3468">
        <v>1</v>
      </c>
      <c r="E3468">
        <v>0</v>
      </c>
      <c r="F3468" t="s">
        <v>12981</v>
      </c>
      <c r="G3468">
        <v>306.2</v>
      </c>
      <c r="H3468">
        <v>0</v>
      </c>
      <c r="I3468" t="s">
        <v>105</v>
      </c>
      <c r="J3468" t="s">
        <v>3155</v>
      </c>
      <c r="K3468" t="s">
        <v>3156</v>
      </c>
      <c r="L3468" t="s">
        <v>3157</v>
      </c>
      <c r="M3468" t="s">
        <v>3158</v>
      </c>
      <c r="N3468" t="s">
        <v>12982</v>
      </c>
      <c r="O3468" t="s">
        <v>27</v>
      </c>
      <c r="P3468" t="s">
        <v>48</v>
      </c>
      <c r="Q3468" t="s">
        <v>49</v>
      </c>
      <c r="R3468" t="s">
        <v>50</v>
      </c>
      <c r="S3468" t="s">
        <v>28</v>
      </c>
      <c r="T3468" t="s">
        <v>12983</v>
      </c>
      <c r="U3468" t="s">
        <v>12982</v>
      </c>
    </row>
    <row r="3469" spans="1:21" x14ac:dyDescent="0.25">
      <c r="A3469" t="s">
        <v>58</v>
      </c>
      <c r="B3469" t="s">
        <v>103</v>
      </c>
      <c r="C3469">
        <v>102.07</v>
      </c>
      <c r="D3469">
        <v>1</v>
      </c>
      <c r="E3469">
        <v>0</v>
      </c>
      <c r="F3469" t="s">
        <v>12981</v>
      </c>
      <c r="G3469">
        <v>306.2</v>
      </c>
      <c r="H3469">
        <v>0</v>
      </c>
      <c r="I3469" t="s">
        <v>105</v>
      </c>
      <c r="J3469" t="s">
        <v>3155</v>
      </c>
      <c r="K3469" t="s">
        <v>3156</v>
      </c>
      <c r="L3469" t="s">
        <v>3157</v>
      </c>
      <c r="M3469" t="s">
        <v>3158</v>
      </c>
      <c r="N3469" t="s">
        <v>12982</v>
      </c>
      <c r="O3469" t="s">
        <v>27</v>
      </c>
      <c r="P3469" t="s">
        <v>48</v>
      </c>
      <c r="Q3469" t="s">
        <v>49</v>
      </c>
      <c r="R3469" t="s">
        <v>50</v>
      </c>
      <c r="S3469" t="s">
        <v>28</v>
      </c>
      <c r="T3469" t="s">
        <v>12983</v>
      </c>
      <c r="U3469" t="s">
        <v>12982</v>
      </c>
    </row>
    <row r="3470" spans="1:21" x14ac:dyDescent="0.25">
      <c r="A3470" t="s">
        <v>33</v>
      </c>
      <c r="B3470" t="s">
        <v>34</v>
      </c>
      <c r="C3470">
        <v>200</v>
      </c>
      <c r="D3470">
        <v>1</v>
      </c>
      <c r="E3470">
        <v>0</v>
      </c>
      <c r="F3470" t="s">
        <v>12984</v>
      </c>
      <c r="G3470">
        <v>200</v>
      </c>
      <c r="H3470">
        <v>0</v>
      </c>
      <c r="I3470" t="s">
        <v>445</v>
      </c>
      <c r="J3470" t="s">
        <v>12985</v>
      </c>
      <c r="K3470" t="s">
        <v>37</v>
      </c>
      <c r="L3470" t="s">
        <v>27</v>
      </c>
      <c r="M3470" t="s">
        <v>28</v>
      </c>
      <c r="N3470" t="s">
        <v>12986</v>
      </c>
      <c r="O3470" t="s">
        <v>27</v>
      </c>
      <c r="P3470" t="s">
        <v>39</v>
      </c>
      <c r="Q3470" t="s">
        <v>31</v>
      </c>
      <c r="R3470" t="s">
        <v>32</v>
      </c>
      <c r="S3470" t="s">
        <v>28</v>
      </c>
      <c r="T3470" t="s">
        <v>12987</v>
      </c>
      <c r="U3470" t="s">
        <v>12986</v>
      </c>
    </row>
    <row r="3471" spans="1:21" x14ac:dyDescent="0.25">
      <c r="A3471" t="s">
        <v>456</v>
      </c>
      <c r="B3471" t="s">
        <v>457</v>
      </c>
      <c r="C3471">
        <v>197</v>
      </c>
      <c r="D3471">
        <v>1</v>
      </c>
      <c r="E3471">
        <v>0</v>
      </c>
      <c r="F3471" t="s">
        <v>12988</v>
      </c>
      <c r="G3471">
        <v>242</v>
      </c>
      <c r="H3471">
        <v>45</v>
      </c>
      <c r="I3471" t="s">
        <v>445</v>
      </c>
      <c r="J3471" t="s">
        <v>12989</v>
      </c>
      <c r="K3471" t="s">
        <v>12990</v>
      </c>
      <c r="L3471" t="s">
        <v>925</v>
      </c>
      <c r="M3471" t="s">
        <v>2558</v>
      </c>
      <c r="N3471" t="s">
        <v>12922</v>
      </c>
      <c r="O3471" t="s">
        <v>27</v>
      </c>
      <c r="P3471" t="s">
        <v>193</v>
      </c>
      <c r="Q3471" t="s">
        <v>85</v>
      </c>
      <c r="R3471" t="s">
        <v>86</v>
      </c>
      <c r="S3471" t="s">
        <v>28</v>
      </c>
      <c r="T3471" t="s">
        <v>12991</v>
      </c>
      <c r="U3471" t="s">
        <v>12992</v>
      </c>
    </row>
    <row r="3472" spans="1:21" x14ac:dyDescent="0.25">
      <c r="A3472" t="s">
        <v>58</v>
      </c>
      <c r="B3472" t="s">
        <v>58</v>
      </c>
      <c r="C3472">
        <v>100</v>
      </c>
      <c r="D3472">
        <v>4</v>
      </c>
      <c r="E3472">
        <v>0</v>
      </c>
      <c r="F3472" t="s">
        <v>12993</v>
      </c>
      <c r="G3472">
        <v>400</v>
      </c>
      <c r="H3472">
        <v>0</v>
      </c>
      <c r="I3472" t="s">
        <v>445</v>
      </c>
      <c r="J3472" t="s">
        <v>12994</v>
      </c>
      <c r="K3472" t="s">
        <v>12995</v>
      </c>
      <c r="L3472" t="s">
        <v>12996</v>
      </c>
      <c r="M3472" t="s">
        <v>2879</v>
      </c>
      <c r="N3472" t="s">
        <v>12997</v>
      </c>
      <c r="O3472" t="s">
        <v>27</v>
      </c>
      <c r="P3472" t="s">
        <v>193</v>
      </c>
      <c r="Q3472" t="s">
        <v>85</v>
      </c>
      <c r="R3472" t="s">
        <v>86</v>
      </c>
      <c r="S3472" t="s">
        <v>28</v>
      </c>
      <c r="T3472" t="s">
        <v>12998</v>
      </c>
      <c r="U3472" t="s">
        <v>12997</v>
      </c>
    </row>
    <row r="3473" spans="1:21" x14ac:dyDescent="0.25">
      <c r="A3473" t="s">
        <v>33</v>
      </c>
      <c r="B3473" t="s">
        <v>34</v>
      </c>
      <c r="C3473">
        <v>200</v>
      </c>
      <c r="D3473">
        <v>1</v>
      </c>
      <c r="E3473">
        <v>0</v>
      </c>
      <c r="F3473" t="s">
        <v>12999</v>
      </c>
      <c r="G3473">
        <v>200</v>
      </c>
      <c r="H3473">
        <v>0</v>
      </c>
      <c r="I3473" t="s">
        <v>24</v>
      </c>
      <c r="J3473" t="s">
        <v>13000</v>
      </c>
      <c r="K3473" t="s">
        <v>241</v>
      </c>
      <c r="L3473" t="s">
        <v>27</v>
      </c>
      <c r="M3473" t="s">
        <v>28</v>
      </c>
      <c r="N3473" t="s">
        <v>13001</v>
      </c>
      <c r="O3473" t="s">
        <v>27</v>
      </c>
      <c r="P3473" t="s">
        <v>39</v>
      </c>
      <c r="Q3473" t="s">
        <v>31</v>
      </c>
      <c r="R3473" t="s">
        <v>32</v>
      </c>
      <c r="S3473" t="s">
        <v>28</v>
      </c>
      <c r="T3473" t="s">
        <v>13002</v>
      </c>
      <c r="U3473" t="s">
        <v>13001</v>
      </c>
    </row>
    <row r="3474" spans="1:21" x14ac:dyDescent="0.25">
      <c r="A3474" t="s">
        <v>58</v>
      </c>
      <c r="B3474" t="s">
        <v>58</v>
      </c>
      <c r="C3474">
        <v>100</v>
      </c>
      <c r="D3474">
        <v>2</v>
      </c>
      <c r="E3474">
        <v>0</v>
      </c>
      <c r="F3474" t="s">
        <v>13003</v>
      </c>
      <c r="G3474">
        <v>200</v>
      </c>
      <c r="H3474">
        <v>0</v>
      </c>
      <c r="I3474" t="s">
        <v>140</v>
      </c>
      <c r="J3474" t="s">
        <v>7675</v>
      </c>
      <c r="K3474" t="s">
        <v>672</v>
      </c>
      <c r="L3474" t="s">
        <v>27</v>
      </c>
      <c r="M3474" t="s">
        <v>28</v>
      </c>
      <c r="N3474" t="s">
        <v>13004</v>
      </c>
      <c r="O3474" t="s">
        <v>27</v>
      </c>
      <c r="P3474" t="s">
        <v>369</v>
      </c>
      <c r="Q3474" t="s">
        <v>31</v>
      </c>
      <c r="R3474" t="s">
        <v>57</v>
      </c>
      <c r="S3474" t="s">
        <v>28</v>
      </c>
      <c r="T3474" t="s">
        <v>13005</v>
      </c>
      <c r="U3474" t="s">
        <v>13004</v>
      </c>
    </row>
    <row r="3475" spans="1:21" x14ac:dyDescent="0.25">
      <c r="A3475" t="s">
        <v>275</v>
      </c>
      <c r="B3475" t="s">
        <v>276</v>
      </c>
      <c r="C3475">
        <v>139.5</v>
      </c>
      <c r="D3475">
        <v>1</v>
      </c>
      <c r="E3475">
        <v>0</v>
      </c>
      <c r="F3475" t="s">
        <v>13006</v>
      </c>
      <c r="G3475">
        <v>182.28</v>
      </c>
      <c r="H3475">
        <v>0</v>
      </c>
      <c r="I3475" t="s">
        <v>24</v>
      </c>
      <c r="J3475" t="s">
        <v>13007</v>
      </c>
      <c r="K3475" t="s">
        <v>13008</v>
      </c>
      <c r="L3475" t="s">
        <v>3283</v>
      </c>
      <c r="M3475" t="s">
        <v>13009</v>
      </c>
      <c r="N3475" t="s">
        <v>13010</v>
      </c>
      <c r="O3475" t="s">
        <v>27</v>
      </c>
      <c r="P3475" t="s">
        <v>48</v>
      </c>
      <c r="Q3475" t="s">
        <v>49</v>
      </c>
      <c r="R3475" t="s">
        <v>50</v>
      </c>
      <c r="S3475" t="s">
        <v>28</v>
      </c>
      <c r="T3475" t="s">
        <v>13011</v>
      </c>
      <c r="U3475" t="s">
        <v>13010</v>
      </c>
    </row>
    <row r="3476" spans="1:21" x14ac:dyDescent="0.25">
      <c r="A3476" t="s">
        <v>58</v>
      </c>
      <c r="B3476" t="s">
        <v>103</v>
      </c>
      <c r="C3476">
        <v>45</v>
      </c>
      <c r="D3476">
        <v>1</v>
      </c>
      <c r="E3476">
        <v>0</v>
      </c>
      <c r="F3476" t="s">
        <v>13012</v>
      </c>
      <c r="G3476">
        <v>45</v>
      </c>
      <c r="H3476">
        <v>0</v>
      </c>
      <c r="I3476" t="s">
        <v>105</v>
      </c>
      <c r="J3476" t="s">
        <v>13013</v>
      </c>
      <c r="K3476" t="s">
        <v>13014</v>
      </c>
      <c r="L3476" t="s">
        <v>13015</v>
      </c>
      <c r="M3476" t="s">
        <v>13016</v>
      </c>
      <c r="N3476" t="s">
        <v>13017</v>
      </c>
      <c r="O3476" t="s">
        <v>27</v>
      </c>
      <c r="P3476" t="s">
        <v>48</v>
      </c>
      <c r="Q3476" t="s">
        <v>49</v>
      </c>
      <c r="R3476" t="s">
        <v>50</v>
      </c>
      <c r="S3476" t="s">
        <v>28</v>
      </c>
      <c r="T3476" t="s">
        <v>13018</v>
      </c>
      <c r="U3476" t="s">
        <v>13017</v>
      </c>
    </row>
    <row r="3477" spans="1:21" x14ac:dyDescent="0.25">
      <c r="A3477" t="s">
        <v>33</v>
      </c>
      <c r="B3477" t="s">
        <v>34</v>
      </c>
      <c r="C3477">
        <v>200</v>
      </c>
      <c r="D3477">
        <v>1</v>
      </c>
      <c r="E3477">
        <v>0</v>
      </c>
      <c r="F3477" t="s">
        <v>13019</v>
      </c>
      <c r="G3477">
        <v>200</v>
      </c>
      <c r="H3477">
        <v>0</v>
      </c>
      <c r="I3477" t="s">
        <v>24</v>
      </c>
      <c r="J3477" t="s">
        <v>13020</v>
      </c>
      <c r="K3477" t="s">
        <v>1420</v>
      </c>
      <c r="L3477" t="s">
        <v>27</v>
      </c>
      <c r="M3477" t="s">
        <v>28</v>
      </c>
      <c r="N3477" t="s">
        <v>13021</v>
      </c>
      <c r="O3477" t="s">
        <v>27</v>
      </c>
      <c r="P3477" t="s">
        <v>39</v>
      </c>
      <c r="Q3477" t="s">
        <v>31</v>
      </c>
      <c r="R3477" t="s">
        <v>32</v>
      </c>
      <c r="S3477" t="s">
        <v>28</v>
      </c>
      <c r="T3477" t="s">
        <v>13022</v>
      </c>
      <c r="U3477" t="s">
        <v>13021</v>
      </c>
    </row>
    <row r="3478" spans="1:21" x14ac:dyDescent="0.25">
      <c r="A3478" t="s">
        <v>33</v>
      </c>
      <c r="B3478" t="s">
        <v>34</v>
      </c>
      <c r="C3478">
        <v>200</v>
      </c>
      <c r="D3478">
        <v>1</v>
      </c>
      <c r="E3478">
        <v>0</v>
      </c>
      <c r="F3478" t="s">
        <v>13023</v>
      </c>
      <c r="G3478">
        <v>200</v>
      </c>
      <c r="H3478">
        <v>0</v>
      </c>
      <c r="I3478" t="s">
        <v>24</v>
      </c>
      <c r="J3478" t="s">
        <v>13024</v>
      </c>
      <c r="K3478" t="s">
        <v>237</v>
      </c>
      <c r="L3478" t="s">
        <v>27</v>
      </c>
      <c r="M3478" t="s">
        <v>28</v>
      </c>
      <c r="N3478" t="s">
        <v>13025</v>
      </c>
      <c r="O3478" t="s">
        <v>27</v>
      </c>
      <c r="P3478" t="s">
        <v>39</v>
      </c>
      <c r="Q3478" t="s">
        <v>31</v>
      </c>
      <c r="R3478" t="s">
        <v>32</v>
      </c>
      <c r="S3478" t="s">
        <v>28</v>
      </c>
      <c r="T3478" t="s">
        <v>13026</v>
      </c>
      <c r="U3478" t="s">
        <v>13027</v>
      </c>
    </row>
    <row r="3479" spans="1:21" x14ac:dyDescent="0.25">
      <c r="A3479" t="s">
        <v>33</v>
      </c>
      <c r="B3479" t="s">
        <v>34</v>
      </c>
      <c r="C3479">
        <v>200</v>
      </c>
      <c r="D3479">
        <v>1</v>
      </c>
      <c r="E3479">
        <v>0</v>
      </c>
      <c r="F3479" t="s">
        <v>13028</v>
      </c>
      <c r="G3479">
        <v>200</v>
      </c>
      <c r="H3479">
        <v>0</v>
      </c>
      <c r="I3479" t="s">
        <v>24</v>
      </c>
      <c r="J3479" t="s">
        <v>13029</v>
      </c>
      <c r="K3479" t="s">
        <v>466</v>
      </c>
      <c r="L3479" t="s">
        <v>27</v>
      </c>
      <c r="M3479" t="s">
        <v>28</v>
      </c>
      <c r="N3479" t="s">
        <v>13030</v>
      </c>
      <c r="O3479" t="s">
        <v>27</v>
      </c>
      <c r="P3479" t="s">
        <v>39</v>
      </c>
      <c r="Q3479" t="s">
        <v>31</v>
      </c>
      <c r="R3479" t="s">
        <v>32</v>
      </c>
      <c r="S3479" t="s">
        <v>28</v>
      </c>
      <c r="T3479" t="s">
        <v>13031</v>
      </c>
      <c r="U3479" t="s">
        <v>13025</v>
      </c>
    </row>
    <row r="3480" spans="1:21" x14ac:dyDescent="0.25">
      <c r="A3480" t="s">
        <v>143</v>
      </c>
      <c r="B3480" t="s">
        <v>144</v>
      </c>
      <c r="C3480">
        <v>200</v>
      </c>
      <c r="D3480">
        <v>1</v>
      </c>
      <c r="E3480">
        <v>0</v>
      </c>
      <c r="F3480" t="s">
        <v>13032</v>
      </c>
      <c r="G3480">
        <v>200</v>
      </c>
      <c r="H3480">
        <v>0</v>
      </c>
      <c r="I3480" t="s">
        <v>24</v>
      </c>
      <c r="J3480" t="s">
        <v>13033</v>
      </c>
      <c r="K3480" t="s">
        <v>1198</v>
      </c>
      <c r="L3480" t="s">
        <v>27</v>
      </c>
      <c r="M3480" t="s">
        <v>28</v>
      </c>
      <c r="N3480" t="s">
        <v>13034</v>
      </c>
      <c r="O3480" t="s">
        <v>27</v>
      </c>
      <c r="P3480" t="s">
        <v>39</v>
      </c>
      <c r="Q3480" t="s">
        <v>31</v>
      </c>
      <c r="R3480" t="s">
        <v>32</v>
      </c>
      <c r="S3480" t="s">
        <v>28</v>
      </c>
      <c r="T3480" t="s">
        <v>13035</v>
      </c>
      <c r="U3480" t="s">
        <v>13036</v>
      </c>
    </row>
    <row r="3481" spans="1:21" x14ac:dyDescent="0.25">
      <c r="A3481" t="s">
        <v>33</v>
      </c>
      <c r="B3481" t="s">
        <v>34</v>
      </c>
      <c r="C3481">
        <v>200</v>
      </c>
      <c r="D3481">
        <v>1</v>
      </c>
      <c r="E3481">
        <v>0</v>
      </c>
      <c r="F3481" t="s">
        <v>13037</v>
      </c>
      <c r="G3481">
        <v>200</v>
      </c>
      <c r="H3481">
        <v>0</v>
      </c>
      <c r="I3481" t="s">
        <v>24</v>
      </c>
      <c r="J3481" t="s">
        <v>13038</v>
      </c>
      <c r="K3481" t="s">
        <v>653</v>
      </c>
      <c r="L3481" t="s">
        <v>27</v>
      </c>
      <c r="M3481" t="s">
        <v>28</v>
      </c>
      <c r="N3481" t="s">
        <v>13039</v>
      </c>
      <c r="O3481" t="s">
        <v>27</v>
      </c>
      <c r="P3481" t="s">
        <v>39</v>
      </c>
      <c r="Q3481" t="s">
        <v>31</v>
      </c>
      <c r="R3481" t="s">
        <v>32</v>
      </c>
      <c r="S3481" t="s">
        <v>28</v>
      </c>
      <c r="T3481" t="s">
        <v>13040</v>
      </c>
      <c r="U3481" t="s">
        <v>13039</v>
      </c>
    </row>
    <row r="3482" spans="1:21" x14ac:dyDescent="0.25">
      <c r="A3482" t="s">
        <v>58</v>
      </c>
      <c r="B3482" t="s">
        <v>103</v>
      </c>
      <c r="C3482">
        <v>84</v>
      </c>
      <c r="D3482">
        <v>1</v>
      </c>
      <c r="E3482">
        <v>0</v>
      </c>
      <c r="F3482" t="s">
        <v>13041</v>
      </c>
      <c r="G3482">
        <v>173</v>
      </c>
      <c r="H3482">
        <v>5</v>
      </c>
      <c r="I3482" t="s">
        <v>105</v>
      </c>
      <c r="J3482" t="s">
        <v>13042</v>
      </c>
      <c r="K3482" t="s">
        <v>13043</v>
      </c>
      <c r="L3482" t="s">
        <v>1522</v>
      </c>
      <c r="M3482" t="s">
        <v>13044</v>
      </c>
      <c r="N3482" t="s">
        <v>13045</v>
      </c>
      <c r="O3482" t="s">
        <v>27</v>
      </c>
      <c r="P3482" t="s">
        <v>48</v>
      </c>
      <c r="Q3482" t="s">
        <v>49</v>
      </c>
      <c r="R3482" t="s">
        <v>50</v>
      </c>
      <c r="S3482" t="s">
        <v>28</v>
      </c>
      <c r="T3482" t="s">
        <v>13046</v>
      </c>
      <c r="U3482" t="s">
        <v>13045</v>
      </c>
    </row>
    <row r="3483" spans="1:21" x14ac:dyDescent="0.25">
      <c r="A3483" t="s">
        <v>58</v>
      </c>
      <c r="B3483" t="s">
        <v>103</v>
      </c>
      <c r="C3483">
        <v>84</v>
      </c>
      <c r="D3483">
        <v>1</v>
      </c>
      <c r="E3483">
        <v>0</v>
      </c>
      <c r="F3483" t="s">
        <v>13041</v>
      </c>
      <c r="G3483">
        <v>173</v>
      </c>
      <c r="H3483">
        <v>5</v>
      </c>
      <c r="I3483" t="s">
        <v>105</v>
      </c>
      <c r="J3483" t="s">
        <v>13042</v>
      </c>
      <c r="K3483" t="s">
        <v>13043</v>
      </c>
      <c r="L3483" t="s">
        <v>1522</v>
      </c>
      <c r="M3483" t="s">
        <v>13044</v>
      </c>
      <c r="N3483" t="s">
        <v>13045</v>
      </c>
      <c r="O3483" t="s">
        <v>27</v>
      </c>
      <c r="P3483" t="s">
        <v>48</v>
      </c>
      <c r="Q3483" t="s">
        <v>49</v>
      </c>
      <c r="R3483" t="s">
        <v>50</v>
      </c>
      <c r="S3483" t="s">
        <v>28</v>
      </c>
      <c r="T3483" t="s">
        <v>13046</v>
      </c>
      <c r="U3483" t="s">
        <v>13045</v>
      </c>
    </row>
    <row r="3484" spans="1:21" x14ac:dyDescent="0.25">
      <c r="A3484" t="s">
        <v>33</v>
      </c>
      <c r="B3484" t="s">
        <v>34</v>
      </c>
      <c r="C3484">
        <v>200</v>
      </c>
      <c r="D3484">
        <v>1</v>
      </c>
      <c r="E3484">
        <v>0</v>
      </c>
      <c r="F3484" t="s">
        <v>13047</v>
      </c>
      <c r="G3484">
        <v>200</v>
      </c>
      <c r="H3484">
        <v>0</v>
      </c>
      <c r="I3484" t="s">
        <v>445</v>
      </c>
      <c r="J3484" t="s">
        <v>13048</v>
      </c>
      <c r="K3484" t="s">
        <v>491</v>
      </c>
      <c r="L3484" t="s">
        <v>27</v>
      </c>
      <c r="M3484" t="s">
        <v>28</v>
      </c>
      <c r="N3484" t="s">
        <v>13049</v>
      </c>
      <c r="O3484" t="s">
        <v>27</v>
      </c>
      <c r="P3484" t="s">
        <v>39</v>
      </c>
      <c r="Q3484" t="s">
        <v>31</v>
      </c>
      <c r="R3484" t="s">
        <v>32</v>
      </c>
      <c r="S3484" t="s">
        <v>28</v>
      </c>
      <c r="T3484" t="s">
        <v>13050</v>
      </c>
      <c r="U3484" t="s">
        <v>13049</v>
      </c>
    </row>
    <row r="3485" spans="1:21" x14ac:dyDescent="0.25">
      <c r="A3485" t="s">
        <v>134</v>
      </c>
      <c r="B3485" t="s">
        <v>64</v>
      </c>
      <c r="C3485">
        <v>100</v>
      </c>
      <c r="D3485">
        <v>1</v>
      </c>
      <c r="E3485">
        <v>0</v>
      </c>
      <c r="F3485" t="s">
        <v>13051</v>
      </c>
      <c r="G3485">
        <v>200</v>
      </c>
      <c r="H3485">
        <v>0</v>
      </c>
      <c r="I3485" t="s">
        <v>24</v>
      </c>
      <c r="J3485" t="s">
        <v>1165</v>
      </c>
      <c r="K3485" t="s">
        <v>124</v>
      </c>
      <c r="L3485" t="s">
        <v>27</v>
      </c>
      <c r="M3485" t="s">
        <v>28</v>
      </c>
      <c r="N3485" t="s">
        <v>13052</v>
      </c>
      <c r="O3485" t="s">
        <v>27</v>
      </c>
      <c r="P3485" t="s">
        <v>39</v>
      </c>
      <c r="Q3485" t="s">
        <v>31</v>
      </c>
      <c r="R3485" t="s">
        <v>32</v>
      </c>
      <c r="S3485" t="s">
        <v>28</v>
      </c>
      <c r="T3485" t="s">
        <v>13053</v>
      </c>
      <c r="U3485" t="s">
        <v>13052</v>
      </c>
    </row>
    <row r="3486" spans="1:21" x14ac:dyDescent="0.25">
      <c r="A3486" t="s">
        <v>63</v>
      </c>
      <c r="B3486" t="s">
        <v>64</v>
      </c>
      <c r="C3486">
        <v>100</v>
      </c>
      <c r="D3486">
        <v>1</v>
      </c>
      <c r="E3486">
        <v>0</v>
      </c>
      <c r="F3486" t="s">
        <v>13051</v>
      </c>
      <c r="G3486">
        <v>200</v>
      </c>
      <c r="H3486">
        <v>0</v>
      </c>
      <c r="I3486" t="s">
        <v>24</v>
      </c>
      <c r="J3486" t="s">
        <v>1165</v>
      </c>
      <c r="K3486" t="s">
        <v>124</v>
      </c>
      <c r="L3486" t="s">
        <v>27</v>
      </c>
      <c r="M3486" t="s">
        <v>28</v>
      </c>
      <c r="N3486" t="s">
        <v>13052</v>
      </c>
      <c r="O3486" t="s">
        <v>27</v>
      </c>
      <c r="P3486" t="s">
        <v>39</v>
      </c>
      <c r="Q3486" t="s">
        <v>31</v>
      </c>
      <c r="R3486" t="s">
        <v>32</v>
      </c>
      <c r="S3486" t="s">
        <v>28</v>
      </c>
      <c r="T3486" t="s">
        <v>13053</v>
      </c>
      <c r="U3486" t="s">
        <v>13052</v>
      </c>
    </row>
    <row r="3487" spans="1:21" x14ac:dyDescent="0.25">
      <c r="A3487" t="s">
        <v>33</v>
      </c>
      <c r="B3487" t="s">
        <v>34</v>
      </c>
      <c r="C3487">
        <v>200</v>
      </c>
      <c r="D3487">
        <v>1</v>
      </c>
      <c r="E3487">
        <v>0</v>
      </c>
      <c r="F3487" t="s">
        <v>13054</v>
      </c>
      <c r="G3487">
        <v>200</v>
      </c>
      <c r="H3487">
        <v>0</v>
      </c>
      <c r="I3487" t="s">
        <v>24</v>
      </c>
      <c r="J3487" t="s">
        <v>13055</v>
      </c>
      <c r="K3487" t="s">
        <v>250</v>
      </c>
      <c r="L3487" t="s">
        <v>27</v>
      </c>
      <c r="M3487" t="s">
        <v>28</v>
      </c>
      <c r="N3487" t="s">
        <v>13056</v>
      </c>
      <c r="O3487" t="s">
        <v>27</v>
      </c>
      <c r="P3487" t="s">
        <v>56</v>
      </c>
      <c r="Q3487" t="s">
        <v>31</v>
      </c>
      <c r="R3487" t="s">
        <v>57</v>
      </c>
      <c r="S3487" t="s">
        <v>28</v>
      </c>
      <c r="T3487" t="s">
        <v>13057</v>
      </c>
      <c r="U3487" t="s">
        <v>13056</v>
      </c>
    </row>
    <row r="3488" spans="1:21" x14ac:dyDescent="0.25">
      <c r="A3488" t="s">
        <v>70</v>
      </c>
      <c r="B3488" t="s">
        <v>70</v>
      </c>
      <c r="C3488">
        <v>330</v>
      </c>
      <c r="D3488">
        <v>1</v>
      </c>
      <c r="E3488">
        <v>0</v>
      </c>
      <c r="F3488" t="s">
        <v>13058</v>
      </c>
      <c r="G3488">
        <v>430</v>
      </c>
      <c r="H3488">
        <v>0</v>
      </c>
      <c r="I3488" t="s">
        <v>24</v>
      </c>
      <c r="J3488" t="s">
        <v>13059</v>
      </c>
      <c r="K3488" t="s">
        <v>247</v>
      </c>
      <c r="L3488" t="s">
        <v>27</v>
      </c>
      <c r="M3488" t="s">
        <v>28</v>
      </c>
      <c r="N3488" t="s">
        <v>13060</v>
      </c>
      <c r="O3488" t="s">
        <v>27</v>
      </c>
      <c r="P3488" t="s">
        <v>56</v>
      </c>
      <c r="Q3488" t="s">
        <v>31</v>
      </c>
      <c r="R3488" t="s">
        <v>57</v>
      </c>
      <c r="S3488" t="s">
        <v>28</v>
      </c>
      <c r="T3488" t="s">
        <v>13061</v>
      </c>
      <c r="U3488" t="s">
        <v>13062</v>
      </c>
    </row>
    <row r="3489" spans="1:21" x14ac:dyDescent="0.25">
      <c r="A3489" t="s">
        <v>58</v>
      </c>
      <c r="B3489" t="s">
        <v>58</v>
      </c>
      <c r="C3489">
        <v>100</v>
      </c>
      <c r="D3489">
        <v>1</v>
      </c>
      <c r="E3489">
        <v>0</v>
      </c>
      <c r="F3489" t="s">
        <v>13058</v>
      </c>
      <c r="G3489">
        <v>430</v>
      </c>
      <c r="H3489">
        <v>0</v>
      </c>
      <c r="I3489" t="s">
        <v>24</v>
      </c>
      <c r="J3489" t="s">
        <v>13059</v>
      </c>
      <c r="K3489" t="s">
        <v>247</v>
      </c>
      <c r="L3489" t="s">
        <v>27</v>
      </c>
      <c r="M3489" t="s">
        <v>28</v>
      </c>
      <c r="N3489" t="s">
        <v>13060</v>
      </c>
      <c r="O3489" t="s">
        <v>27</v>
      </c>
      <c r="P3489" t="s">
        <v>56</v>
      </c>
      <c r="Q3489" t="s">
        <v>31</v>
      </c>
      <c r="R3489" t="s">
        <v>57</v>
      </c>
      <c r="S3489" t="s">
        <v>28</v>
      </c>
      <c r="T3489" t="s">
        <v>13061</v>
      </c>
      <c r="U3489" t="s">
        <v>13062</v>
      </c>
    </row>
    <row r="3490" spans="1:21" x14ac:dyDescent="0.25">
      <c r="A3490" t="s">
        <v>58</v>
      </c>
      <c r="B3490" t="s">
        <v>58</v>
      </c>
      <c r="C3490">
        <v>100</v>
      </c>
      <c r="D3490">
        <v>3</v>
      </c>
      <c r="E3490">
        <v>0</v>
      </c>
      <c r="F3490" t="s">
        <v>13063</v>
      </c>
      <c r="G3490">
        <v>340</v>
      </c>
      <c r="H3490">
        <v>45</v>
      </c>
      <c r="I3490" t="s">
        <v>445</v>
      </c>
      <c r="J3490" t="s">
        <v>13064</v>
      </c>
      <c r="K3490" t="s">
        <v>13065</v>
      </c>
      <c r="L3490" t="s">
        <v>3743</v>
      </c>
      <c r="M3490" t="s">
        <v>8994</v>
      </c>
      <c r="N3490" t="s">
        <v>13066</v>
      </c>
      <c r="O3490" t="s">
        <v>27</v>
      </c>
      <c r="P3490" t="s">
        <v>193</v>
      </c>
      <c r="Q3490" t="s">
        <v>85</v>
      </c>
      <c r="R3490" t="s">
        <v>86</v>
      </c>
      <c r="S3490" t="s">
        <v>28</v>
      </c>
      <c r="T3490" t="s">
        <v>13067</v>
      </c>
      <c r="U3490" t="s">
        <v>13068</v>
      </c>
    </row>
    <row r="3491" spans="1:21" x14ac:dyDescent="0.25">
      <c r="A3491" t="s">
        <v>134</v>
      </c>
      <c r="B3491" t="s">
        <v>64</v>
      </c>
      <c r="C3491">
        <v>100</v>
      </c>
      <c r="D3491">
        <v>1</v>
      </c>
      <c r="E3491">
        <v>0</v>
      </c>
      <c r="F3491" t="s">
        <v>13069</v>
      </c>
      <c r="G3491">
        <v>100</v>
      </c>
      <c r="H3491">
        <v>0</v>
      </c>
      <c r="I3491" t="s">
        <v>24</v>
      </c>
      <c r="J3491" t="s">
        <v>13070</v>
      </c>
      <c r="K3491" t="s">
        <v>26</v>
      </c>
      <c r="L3491" t="s">
        <v>27</v>
      </c>
      <c r="M3491" t="s">
        <v>28</v>
      </c>
      <c r="N3491" t="s">
        <v>13071</v>
      </c>
      <c r="O3491" t="s">
        <v>27</v>
      </c>
      <c r="P3491" t="s">
        <v>39</v>
      </c>
      <c r="Q3491" t="s">
        <v>31</v>
      </c>
      <c r="R3491" t="s">
        <v>32</v>
      </c>
      <c r="S3491" t="s">
        <v>28</v>
      </c>
      <c r="T3491" t="s">
        <v>13072</v>
      </c>
      <c r="U3491" t="s">
        <v>13068</v>
      </c>
    </row>
    <row r="3492" spans="1:21" x14ac:dyDescent="0.25">
      <c r="A3492" t="s">
        <v>33</v>
      </c>
      <c r="B3492" t="s">
        <v>34</v>
      </c>
      <c r="C3492">
        <v>200</v>
      </c>
      <c r="D3492">
        <v>1</v>
      </c>
      <c r="E3492">
        <v>0</v>
      </c>
      <c r="F3492" t="s">
        <v>13073</v>
      </c>
      <c r="G3492">
        <v>200</v>
      </c>
      <c r="H3492">
        <v>0</v>
      </c>
      <c r="I3492" t="s">
        <v>445</v>
      </c>
      <c r="J3492" t="s">
        <v>13074</v>
      </c>
      <c r="K3492" t="s">
        <v>711</v>
      </c>
      <c r="L3492" t="s">
        <v>27</v>
      </c>
      <c r="M3492" t="s">
        <v>28</v>
      </c>
      <c r="N3492" t="s">
        <v>13071</v>
      </c>
      <c r="O3492" t="s">
        <v>27</v>
      </c>
      <c r="P3492" t="s">
        <v>39</v>
      </c>
      <c r="Q3492" t="s">
        <v>31</v>
      </c>
      <c r="R3492" t="s">
        <v>32</v>
      </c>
      <c r="S3492" t="s">
        <v>28</v>
      </c>
      <c r="T3492" t="s">
        <v>13075</v>
      </c>
      <c r="U3492" t="s">
        <v>13071</v>
      </c>
    </row>
    <row r="3493" spans="1:21" x14ac:dyDescent="0.25">
      <c r="A3493" t="s">
        <v>70</v>
      </c>
      <c r="B3493" t="s">
        <v>70</v>
      </c>
      <c r="C3493">
        <v>330</v>
      </c>
      <c r="D3493">
        <v>1</v>
      </c>
      <c r="E3493">
        <v>0</v>
      </c>
      <c r="F3493" t="s">
        <v>13076</v>
      </c>
      <c r="G3493">
        <v>330</v>
      </c>
      <c r="H3493">
        <v>0</v>
      </c>
      <c r="I3493" t="s">
        <v>445</v>
      </c>
      <c r="J3493" t="s">
        <v>13077</v>
      </c>
      <c r="K3493" t="s">
        <v>572</v>
      </c>
      <c r="L3493" t="s">
        <v>27</v>
      </c>
      <c r="M3493" t="s">
        <v>28</v>
      </c>
      <c r="N3493" t="s">
        <v>13078</v>
      </c>
      <c r="O3493" t="s">
        <v>27</v>
      </c>
      <c r="P3493" t="s">
        <v>39</v>
      </c>
      <c r="Q3493" t="s">
        <v>31</v>
      </c>
      <c r="R3493" t="s">
        <v>32</v>
      </c>
      <c r="S3493" t="s">
        <v>28</v>
      </c>
      <c r="T3493" t="s">
        <v>13079</v>
      </c>
      <c r="U3493" t="s">
        <v>13078</v>
      </c>
    </row>
    <row r="3494" spans="1:21" x14ac:dyDescent="0.25">
      <c r="A3494" t="s">
        <v>58</v>
      </c>
      <c r="B3494" t="s">
        <v>58</v>
      </c>
      <c r="C3494">
        <v>100</v>
      </c>
      <c r="D3494">
        <v>1</v>
      </c>
      <c r="E3494">
        <v>0</v>
      </c>
      <c r="F3494" t="s">
        <v>13080</v>
      </c>
      <c r="G3494">
        <v>106</v>
      </c>
      <c r="H3494">
        <v>6</v>
      </c>
      <c r="I3494" t="s">
        <v>140</v>
      </c>
      <c r="J3494" t="s">
        <v>13081</v>
      </c>
      <c r="K3494" t="s">
        <v>89</v>
      </c>
      <c r="L3494" t="s">
        <v>27</v>
      </c>
      <c r="M3494" t="s">
        <v>28</v>
      </c>
      <c r="N3494" t="s">
        <v>13082</v>
      </c>
      <c r="O3494" t="s">
        <v>27</v>
      </c>
      <c r="P3494" t="s">
        <v>369</v>
      </c>
      <c r="Q3494" t="s">
        <v>31</v>
      </c>
      <c r="R3494" t="s">
        <v>57</v>
      </c>
      <c r="S3494" t="s">
        <v>28</v>
      </c>
      <c r="T3494" t="s">
        <v>13083</v>
      </c>
      <c r="U3494" t="s">
        <v>13082</v>
      </c>
    </row>
    <row r="3495" spans="1:21" x14ac:dyDescent="0.25">
      <c r="A3495" t="s">
        <v>33</v>
      </c>
      <c r="B3495" t="s">
        <v>34</v>
      </c>
      <c r="C3495">
        <v>200</v>
      </c>
      <c r="D3495">
        <v>1</v>
      </c>
      <c r="E3495">
        <v>0</v>
      </c>
      <c r="F3495" t="s">
        <v>13084</v>
      </c>
      <c r="G3495">
        <v>400</v>
      </c>
      <c r="H3495">
        <v>0</v>
      </c>
      <c r="I3495" t="s">
        <v>445</v>
      </c>
      <c r="J3495" t="s">
        <v>13085</v>
      </c>
      <c r="K3495" t="s">
        <v>325</v>
      </c>
      <c r="L3495" t="s">
        <v>27</v>
      </c>
      <c r="M3495" t="s">
        <v>28</v>
      </c>
      <c r="N3495" t="s">
        <v>13086</v>
      </c>
      <c r="O3495" t="s">
        <v>27</v>
      </c>
      <c r="P3495" t="s">
        <v>39</v>
      </c>
      <c r="Q3495" t="s">
        <v>31</v>
      </c>
      <c r="R3495" t="s">
        <v>32</v>
      </c>
      <c r="S3495" t="s">
        <v>28</v>
      </c>
      <c r="T3495" t="s">
        <v>13087</v>
      </c>
      <c r="U3495" t="s">
        <v>13086</v>
      </c>
    </row>
    <row r="3496" spans="1:21" x14ac:dyDescent="0.25">
      <c r="A3496" t="s">
        <v>143</v>
      </c>
      <c r="B3496" t="s">
        <v>144</v>
      </c>
      <c r="C3496">
        <v>200</v>
      </c>
      <c r="D3496">
        <v>1</v>
      </c>
      <c r="E3496">
        <v>0</v>
      </c>
      <c r="F3496" t="s">
        <v>13084</v>
      </c>
      <c r="G3496">
        <v>400</v>
      </c>
      <c r="H3496">
        <v>0</v>
      </c>
      <c r="I3496" t="s">
        <v>445</v>
      </c>
      <c r="J3496" t="s">
        <v>13085</v>
      </c>
      <c r="K3496" t="s">
        <v>325</v>
      </c>
      <c r="L3496" t="s">
        <v>27</v>
      </c>
      <c r="M3496" t="s">
        <v>28</v>
      </c>
      <c r="N3496" t="s">
        <v>13086</v>
      </c>
      <c r="O3496" t="s">
        <v>27</v>
      </c>
      <c r="P3496" t="s">
        <v>39</v>
      </c>
      <c r="Q3496" t="s">
        <v>31</v>
      </c>
      <c r="R3496" t="s">
        <v>32</v>
      </c>
      <c r="S3496" t="s">
        <v>28</v>
      </c>
      <c r="T3496" t="s">
        <v>13087</v>
      </c>
      <c r="U3496" t="s">
        <v>13086</v>
      </c>
    </row>
    <row r="3497" spans="1:21" x14ac:dyDescent="0.25">
      <c r="A3497" t="s">
        <v>143</v>
      </c>
      <c r="B3497" t="s">
        <v>144</v>
      </c>
      <c r="C3497">
        <v>200</v>
      </c>
      <c r="D3497">
        <v>1</v>
      </c>
      <c r="E3497">
        <v>0</v>
      </c>
      <c r="F3497" t="s">
        <v>13088</v>
      </c>
      <c r="G3497">
        <v>200</v>
      </c>
      <c r="H3497">
        <v>0</v>
      </c>
      <c r="I3497" t="s">
        <v>445</v>
      </c>
      <c r="J3497" t="s">
        <v>6414</v>
      </c>
      <c r="K3497" t="s">
        <v>960</v>
      </c>
      <c r="L3497" t="s">
        <v>27</v>
      </c>
      <c r="M3497" t="s">
        <v>28</v>
      </c>
      <c r="N3497" t="s">
        <v>13089</v>
      </c>
      <c r="O3497" t="s">
        <v>27</v>
      </c>
      <c r="P3497" t="s">
        <v>56</v>
      </c>
      <c r="Q3497" t="s">
        <v>31</v>
      </c>
      <c r="R3497" t="s">
        <v>57</v>
      </c>
      <c r="S3497" t="s">
        <v>28</v>
      </c>
      <c r="T3497" t="s">
        <v>13090</v>
      </c>
      <c r="U3497" t="s">
        <v>13089</v>
      </c>
    </row>
    <row r="3498" spans="1:21" x14ac:dyDescent="0.25">
      <c r="A3498" t="s">
        <v>33</v>
      </c>
      <c r="B3498" t="s">
        <v>34</v>
      </c>
      <c r="C3498">
        <v>200</v>
      </c>
      <c r="D3498">
        <v>1</v>
      </c>
      <c r="E3498">
        <v>0</v>
      </c>
      <c r="F3498" t="s">
        <v>13091</v>
      </c>
      <c r="G3498">
        <v>200</v>
      </c>
      <c r="H3498">
        <v>0</v>
      </c>
      <c r="I3498" t="s">
        <v>24</v>
      </c>
      <c r="J3498" t="s">
        <v>13092</v>
      </c>
      <c r="K3498" t="s">
        <v>213</v>
      </c>
      <c r="L3498" t="s">
        <v>27</v>
      </c>
      <c r="M3498" t="s">
        <v>28</v>
      </c>
      <c r="N3498" t="s">
        <v>13093</v>
      </c>
      <c r="O3498" t="s">
        <v>27</v>
      </c>
      <c r="P3498" t="s">
        <v>39</v>
      </c>
      <c r="Q3498" t="s">
        <v>31</v>
      </c>
      <c r="R3498" t="s">
        <v>32</v>
      </c>
      <c r="S3498" t="s">
        <v>28</v>
      </c>
      <c r="T3498" t="s">
        <v>13094</v>
      </c>
      <c r="U3498" t="s">
        <v>13093</v>
      </c>
    </row>
    <row r="3499" spans="1:21" x14ac:dyDescent="0.25">
      <c r="A3499" t="s">
        <v>63</v>
      </c>
      <c r="B3499" t="s">
        <v>64</v>
      </c>
      <c r="C3499">
        <v>100</v>
      </c>
      <c r="D3499">
        <v>1</v>
      </c>
      <c r="E3499">
        <v>0</v>
      </c>
      <c r="F3499" t="s">
        <v>13095</v>
      </c>
      <c r="G3499">
        <v>200</v>
      </c>
      <c r="H3499">
        <v>0</v>
      </c>
      <c r="I3499" t="s">
        <v>24</v>
      </c>
      <c r="J3499" t="s">
        <v>13096</v>
      </c>
      <c r="K3499" t="s">
        <v>61</v>
      </c>
      <c r="L3499" t="s">
        <v>27</v>
      </c>
      <c r="M3499" t="s">
        <v>28</v>
      </c>
      <c r="N3499" t="s">
        <v>13097</v>
      </c>
      <c r="O3499" t="s">
        <v>27</v>
      </c>
      <c r="P3499" t="s">
        <v>56</v>
      </c>
      <c r="Q3499" t="s">
        <v>31</v>
      </c>
      <c r="R3499" t="s">
        <v>57</v>
      </c>
      <c r="S3499" t="s">
        <v>28</v>
      </c>
      <c r="T3499" t="s">
        <v>13098</v>
      </c>
      <c r="U3499" t="s">
        <v>13099</v>
      </c>
    </row>
    <row r="3500" spans="1:21" x14ac:dyDescent="0.25">
      <c r="A3500" t="s">
        <v>134</v>
      </c>
      <c r="B3500" t="s">
        <v>64</v>
      </c>
      <c r="C3500">
        <v>100</v>
      </c>
      <c r="D3500">
        <v>1</v>
      </c>
      <c r="E3500">
        <v>0</v>
      </c>
      <c r="F3500" t="s">
        <v>13095</v>
      </c>
      <c r="G3500">
        <v>200</v>
      </c>
      <c r="H3500">
        <v>0</v>
      </c>
      <c r="I3500" t="s">
        <v>24</v>
      </c>
      <c r="J3500" t="s">
        <v>13096</v>
      </c>
      <c r="K3500" t="s">
        <v>61</v>
      </c>
      <c r="L3500" t="s">
        <v>27</v>
      </c>
      <c r="M3500" t="s">
        <v>28</v>
      </c>
      <c r="N3500" t="s">
        <v>13097</v>
      </c>
      <c r="O3500" t="s">
        <v>27</v>
      </c>
      <c r="P3500" t="s">
        <v>56</v>
      </c>
      <c r="Q3500" t="s">
        <v>31</v>
      </c>
      <c r="R3500" t="s">
        <v>57</v>
      </c>
      <c r="S3500" t="s">
        <v>28</v>
      </c>
      <c r="T3500" t="s">
        <v>13098</v>
      </c>
      <c r="U3500" t="s">
        <v>13099</v>
      </c>
    </row>
    <row r="3501" spans="1:21" x14ac:dyDescent="0.25">
      <c r="A3501" t="s">
        <v>1513</v>
      </c>
      <c r="B3501" t="s">
        <v>1514</v>
      </c>
      <c r="C3501">
        <v>330</v>
      </c>
      <c r="D3501">
        <v>1</v>
      </c>
      <c r="E3501">
        <v>0</v>
      </c>
      <c r="F3501" t="s">
        <v>13100</v>
      </c>
      <c r="G3501">
        <v>330</v>
      </c>
      <c r="H3501">
        <v>0</v>
      </c>
      <c r="I3501" t="s">
        <v>24</v>
      </c>
      <c r="J3501" t="s">
        <v>13101</v>
      </c>
      <c r="K3501" t="s">
        <v>285</v>
      </c>
      <c r="L3501" t="s">
        <v>27</v>
      </c>
      <c r="M3501" t="s">
        <v>28</v>
      </c>
      <c r="N3501" t="s">
        <v>13099</v>
      </c>
      <c r="O3501" t="s">
        <v>27</v>
      </c>
      <c r="P3501" t="s">
        <v>39</v>
      </c>
      <c r="Q3501" t="s">
        <v>31</v>
      </c>
      <c r="R3501" t="s">
        <v>32</v>
      </c>
      <c r="S3501" t="s">
        <v>28</v>
      </c>
      <c r="T3501" t="s">
        <v>13102</v>
      </c>
      <c r="U3501" t="s">
        <v>13099</v>
      </c>
    </row>
    <row r="3502" spans="1:21" x14ac:dyDescent="0.25">
      <c r="A3502" t="s">
        <v>70</v>
      </c>
      <c r="B3502" t="s">
        <v>70</v>
      </c>
      <c r="C3502">
        <v>350</v>
      </c>
      <c r="D3502">
        <v>1</v>
      </c>
      <c r="E3502">
        <v>0</v>
      </c>
      <c r="F3502" t="s">
        <v>13103</v>
      </c>
      <c r="G3502">
        <v>350</v>
      </c>
      <c r="H3502">
        <v>0</v>
      </c>
      <c r="I3502" t="s">
        <v>140</v>
      </c>
      <c r="J3502" t="s">
        <v>13104</v>
      </c>
      <c r="K3502" t="s">
        <v>67</v>
      </c>
      <c r="L3502" t="s">
        <v>27</v>
      </c>
      <c r="M3502" t="s">
        <v>28</v>
      </c>
      <c r="N3502" t="s">
        <v>13105</v>
      </c>
      <c r="O3502" t="s">
        <v>27</v>
      </c>
      <c r="P3502" t="s">
        <v>369</v>
      </c>
      <c r="Q3502" t="s">
        <v>31</v>
      </c>
      <c r="R3502" t="s">
        <v>57</v>
      </c>
      <c r="S3502" t="s">
        <v>28</v>
      </c>
      <c r="T3502" t="s">
        <v>13106</v>
      </c>
      <c r="U3502" t="s">
        <v>13105</v>
      </c>
    </row>
    <row r="3503" spans="1:21" x14ac:dyDescent="0.25">
      <c r="A3503" t="s">
        <v>58</v>
      </c>
      <c r="B3503" t="s">
        <v>58</v>
      </c>
      <c r="C3503">
        <v>100</v>
      </c>
      <c r="D3503">
        <v>3</v>
      </c>
      <c r="E3503">
        <v>0</v>
      </c>
      <c r="F3503" t="s">
        <v>13107</v>
      </c>
      <c r="G3503">
        <v>300</v>
      </c>
      <c r="H3503">
        <v>0</v>
      </c>
      <c r="I3503" t="s">
        <v>140</v>
      </c>
      <c r="J3503" t="s">
        <v>5455</v>
      </c>
      <c r="K3503" t="s">
        <v>247</v>
      </c>
      <c r="L3503" t="s">
        <v>27</v>
      </c>
      <c r="M3503" t="s">
        <v>28</v>
      </c>
      <c r="N3503" t="s">
        <v>13108</v>
      </c>
      <c r="O3503" t="s">
        <v>27</v>
      </c>
      <c r="P3503" t="s">
        <v>30</v>
      </c>
      <c r="Q3503" t="s">
        <v>31</v>
      </c>
      <c r="R3503" t="s">
        <v>32</v>
      </c>
      <c r="S3503" t="s">
        <v>28</v>
      </c>
      <c r="T3503" t="s">
        <v>13109</v>
      </c>
      <c r="U3503" t="s">
        <v>13110</v>
      </c>
    </row>
    <row r="3504" spans="1:21" x14ac:dyDescent="0.25">
      <c r="A3504" t="s">
        <v>70</v>
      </c>
      <c r="B3504" t="s">
        <v>70</v>
      </c>
      <c r="C3504">
        <v>330</v>
      </c>
      <c r="D3504">
        <v>1</v>
      </c>
      <c r="E3504">
        <v>0</v>
      </c>
      <c r="F3504" t="s">
        <v>13111</v>
      </c>
      <c r="G3504">
        <v>330</v>
      </c>
      <c r="H3504">
        <v>0</v>
      </c>
      <c r="I3504" t="s">
        <v>24</v>
      </c>
      <c r="J3504" t="s">
        <v>13112</v>
      </c>
      <c r="K3504" t="s">
        <v>118</v>
      </c>
      <c r="L3504" t="s">
        <v>27</v>
      </c>
      <c r="M3504" t="s">
        <v>28</v>
      </c>
      <c r="N3504" t="s">
        <v>13113</v>
      </c>
      <c r="O3504" t="s">
        <v>27</v>
      </c>
      <c r="P3504" t="s">
        <v>39</v>
      </c>
      <c r="Q3504" t="s">
        <v>31</v>
      </c>
      <c r="R3504" t="s">
        <v>32</v>
      </c>
      <c r="S3504" t="s">
        <v>13114</v>
      </c>
      <c r="T3504" t="s">
        <v>13115</v>
      </c>
      <c r="U3504" t="s">
        <v>13116</v>
      </c>
    </row>
    <row r="3505" spans="1:21" x14ac:dyDescent="0.25">
      <c r="A3505" t="s">
        <v>58</v>
      </c>
      <c r="B3505" t="s">
        <v>58</v>
      </c>
      <c r="C3505">
        <v>100</v>
      </c>
      <c r="D3505">
        <v>1</v>
      </c>
      <c r="E3505">
        <v>0</v>
      </c>
      <c r="F3505" t="s">
        <v>13117</v>
      </c>
      <c r="G3505">
        <v>106</v>
      </c>
      <c r="H3505">
        <v>6</v>
      </c>
      <c r="I3505" t="s">
        <v>140</v>
      </c>
      <c r="J3505" t="s">
        <v>13118</v>
      </c>
      <c r="K3505" t="s">
        <v>677</v>
      </c>
      <c r="L3505" t="s">
        <v>27</v>
      </c>
      <c r="M3505" t="s">
        <v>28</v>
      </c>
      <c r="N3505" t="s">
        <v>13119</v>
      </c>
      <c r="O3505" t="s">
        <v>27</v>
      </c>
      <c r="P3505" t="s">
        <v>30</v>
      </c>
      <c r="Q3505" t="s">
        <v>31</v>
      </c>
      <c r="R3505" t="s">
        <v>32</v>
      </c>
      <c r="S3505" t="s">
        <v>28</v>
      </c>
      <c r="T3505" t="s">
        <v>13120</v>
      </c>
      <c r="U3505" t="s">
        <v>13119</v>
      </c>
    </row>
    <row r="3506" spans="1:21" x14ac:dyDescent="0.25">
      <c r="A3506" t="s">
        <v>33</v>
      </c>
      <c r="B3506" t="s">
        <v>34</v>
      </c>
      <c r="C3506">
        <v>200</v>
      </c>
      <c r="D3506">
        <v>1</v>
      </c>
      <c r="E3506">
        <v>0</v>
      </c>
      <c r="F3506" t="s">
        <v>13121</v>
      </c>
      <c r="G3506">
        <v>200</v>
      </c>
      <c r="H3506">
        <v>0</v>
      </c>
      <c r="I3506" t="s">
        <v>24</v>
      </c>
      <c r="J3506" t="s">
        <v>13122</v>
      </c>
      <c r="K3506" t="s">
        <v>311</v>
      </c>
      <c r="L3506" t="s">
        <v>27</v>
      </c>
      <c r="M3506" t="s">
        <v>28</v>
      </c>
      <c r="N3506" t="s">
        <v>13123</v>
      </c>
      <c r="O3506" t="s">
        <v>27</v>
      </c>
      <c r="P3506" t="s">
        <v>39</v>
      </c>
      <c r="Q3506" t="s">
        <v>31</v>
      </c>
      <c r="R3506" t="s">
        <v>32</v>
      </c>
      <c r="S3506" t="s">
        <v>28</v>
      </c>
      <c r="T3506" t="s">
        <v>13124</v>
      </c>
      <c r="U3506" t="s">
        <v>13123</v>
      </c>
    </row>
    <row r="3507" spans="1:21" x14ac:dyDescent="0.25">
      <c r="A3507" t="s">
        <v>70</v>
      </c>
      <c r="B3507" t="s">
        <v>70</v>
      </c>
      <c r="C3507">
        <v>350</v>
      </c>
      <c r="D3507">
        <v>1</v>
      </c>
      <c r="E3507">
        <v>0</v>
      </c>
      <c r="F3507" t="s">
        <v>13125</v>
      </c>
      <c r="G3507">
        <v>350</v>
      </c>
      <c r="H3507">
        <v>0</v>
      </c>
      <c r="I3507" t="s">
        <v>140</v>
      </c>
      <c r="J3507" t="s">
        <v>13126</v>
      </c>
      <c r="K3507" t="s">
        <v>372</v>
      </c>
      <c r="L3507" t="s">
        <v>27</v>
      </c>
      <c r="M3507" t="s">
        <v>28</v>
      </c>
      <c r="N3507" t="s">
        <v>13127</v>
      </c>
      <c r="O3507" t="s">
        <v>27</v>
      </c>
      <c r="P3507" t="s">
        <v>30</v>
      </c>
      <c r="Q3507" t="s">
        <v>31</v>
      </c>
      <c r="R3507" t="s">
        <v>32</v>
      </c>
      <c r="S3507" t="s">
        <v>28</v>
      </c>
      <c r="T3507" t="s">
        <v>13128</v>
      </c>
      <c r="U3507" t="s">
        <v>13129</v>
      </c>
    </row>
    <row r="3508" spans="1:21" x14ac:dyDescent="0.25">
      <c r="A3508" t="s">
        <v>143</v>
      </c>
      <c r="B3508" t="s">
        <v>144</v>
      </c>
      <c r="C3508">
        <v>200</v>
      </c>
      <c r="D3508">
        <v>1</v>
      </c>
      <c r="E3508">
        <v>0</v>
      </c>
      <c r="F3508" t="s">
        <v>13130</v>
      </c>
      <c r="G3508">
        <v>200</v>
      </c>
      <c r="H3508">
        <v>0</v>
      </c>
      <c r="I3508" t="s">
        <v>445</v>
      </c>
      <c r="J3508" t="s">
        <v>13131</v>
      </c>
      <c r="K3508" t="s">
        <v>451</v>
      </c>
      <c r="L3508" t="s">
        <v>27</v>
      </c>
      <c r="M3508" t="s">
        <v>28</v>
      </c>
      <c r="N3508" t="s">
        <v>13132</v>
      </c>
      <c r="O3508" t="s">
        <v>27</v>
      </c>
      <c r="P3508" t="s">
        <v>39</v>
      </c>
      <c r="Q3508" t="s">
        <v>31</v>
      </c>
      <c r="R3508" t="s">
        <v>32</v>
      </c>
      <c r="S3508" t="s">
        <v>28</v>
      </c>
      <c r="T3508" t="s">
        <v>13133</v>
      </c>
      <c r="U3508" t="s">
        <v>13132</v>
      </c>
    </row>
    <row r="3509" spans="1:21" x14ac:dyDescent="0.25">
      <c r="A3509" t="s">
        <v>63</v>
      </c>
      <c r="B3509" t="s">
        <v>64</v>
      </c>
      <c r="C3509">
        <v>100</v>
      </c>
      <c r="D3509">
        <v>1</v>
      </c>
      <c r="E3509">
        <v>0</v>
      </c>
      <c r="F3509" t="s">
        <v>13134</v>
      </c>
      <c r="G3509">
        <v>100</v>
      </c>
      <c r="H3509">
        <v>0</v>
      </c>
      <c r="I3509" t="s">
        <v>140</v>
      </c>
      <c r="J3509" t="s">
        <v>13135</v>
      </c>
      <c r="K3509" t="s">
        <v>26</v>
      </c>
      <c r="L3509" t="s">
        <v>27</v>
      </c>
      <c r="M3509" t="s">
        <v>28</v>
      </c>
      <c r="N3509" t="s">
        <v>13136</v>
      </c>
      <c r="O3509" t="s">
        <v>27</v>
      </c>
      <c r="P3509" t="s">
        <v>30</v>
      </c>
      <c r="Q3509" t="s">
        <v>31</v>
      </c>
      <c r="R3509" t="s">
        <v>32</v>
      </c>
      <c r="S3509" t="s">
        <v>28</v>
      </c>
      <c r="T3509" t="s">
        <v>13137</v>
      </c>
      <c r="U3509" t="s">
        <v>13136</v>
      </c>
    </row>
    <row r="3510" spans="1:21" x14ac:dyDescent="0.25">
      <c r="A3510" t="s">
        <v>63</v>
      </c>
      <c r="B3510" t="s">
        <v>64</v>
      </c>
      <c r="C3510">
        <v>100</v>
      </c>
      <c r="D3510">
        <v>2</v>
      </c>
      <c r="E3510">
        <v>0</v>
      </c>
      <c r="F3510" t="s">
        <v>13138</v>
      </c>
      <c r="G3510">
        <v>200</v>
      </c>
      <c r="H3510">
        <v>0</v>
      </c>
      <c r="I3510" t="s">
        <v>24</v>
      </c>
      <c r="J3510" t="s">
        <v>6472</v>
      </c>
      <c r="K3510" t="s">
        <v>89</v>
      </c>
      <c r="L3510" t="s">
        <v>27</v>
      </c>
      <c r="M3510" t="s">
        <v>28</v>
      </c>
      <c r="N3510" t="s">
        <v>13139</v>
      </c>
      <c r="O3510" t="s">
        <v>27</v>
      </c>
      <c r="P3510" t="s">
        <v>39</v>
      </c>
      <c r="Q3510" t="s">
        <v>31</v>
      </c>
      <c r="R3510" t="s">
        <v>32</v>
      </c>
      <c r="S3510" t="s">
        <v>28</v>
      </c>
      <c r="T3510" t="s">
        <v>13140</v>
      </c>
      <c r="U3510" t="s">
        <v>13139</v>
      </c>
    </row>
    <row r="3511" spans="1:21" x14ac:dyDescent="0.25">
      <c r="A3511" t="s">
        <v>70</v>
      </c>
      <c r="B3511" t="s">
        <v>70</v>
      </c>
      <c r="C3511">
        <v>350</v>
      </c>
      <c r="D3511">
        <v>1</v>
      </c>
      <c r="E3511">
        <v>0</v>
      </c>
      <c r="F3511" t="s">
        <v>13141</v>
      </c>
      <c r="G3511">
        <v>680</v>
      </c>
      <c r="H3511">
        <v>0</v>
      </c>
      <c r="I3511" t="s">
        <v>140</v>
      </c>
      <c r="J3511" t="s">
        <v>13142</v>
      </c>
      <c r="K3511" t="s">
        <v>797</v>
      </c>
      <c r="L3511" t="s">
        <v>27</v>
      </c>
      <c r="M3511" t="s">
        <v>28</v>
      </c>
      <c r="N3511" t="s">
        <v>13139</v>
      </c>
      <c r="O3511" t="s">
        <v>27</v>
      </c>
      <c r="P3511" t="s">
        <v>30</v>
      </c>
      <c r="Q3511" t="s">
        <v>31</v>
      </c>
      <c r="R3511" t="s">
        <v>32</v>
      </c>
      <c r="S3511" t="s">
        <v>28</v>
      </c>
      <c r="T3511" t="s">
        <v>13143</v>
      </c>
      <c r="U3511" t="s">
        <v>13139</v>
      </c>
    </row>
    <row r="3512" spans="1:21" x14ac:dyDescent="0.25">
      <c r="A3512" t="s">
        <v>1513</v>
      </c>
      <c r="B3512" t="s">
        <v>1514</v>
      </c>
      <c r="C3512">
        <v>330</v>
      </c>
      <c r="D3512">
        <v>1</v>
      </c>
      <c r="E3512">
        <v>0</v>
      </c>
      <c r="F3512" t="s">
        <v>13141</v>
      </c>
      <c r="G3512">
        <v>680</v>
      </c>
      <c r="H3512">
        <v>0</v>
      </c>
      <c r="I3512" t="s">
        <v>140</v>
      </c>
      <c r="J3512" t="s">
        <v>13142</v>
      </c>
      <c r="K3512" t="s">
        <v>797</v>
      </c>
      <c r="L3512" t="s">
        <v>27</v>
      </c>
      <c r="M3512" t="s">
        <v>28</v>
      </c>
      <c r="N3512" t="s">
        <v>13139</v>
      </c>
      <c r="O3512" t="s">
        <v>27</v>
      </c>
      <c r="P3512" t="s">
        <v>30</v>
      </c>
      <c r="Q3512" t="s">
        <v>31</v>
      </c>
      <c r="R3512" t="s">
        <v>32</v>
      </c>
      <c r="S3512" t="s">
        <v>28</v>
      </c>
      <c r="T3512" t="s">
        <v>13143</v>
      </c>
      <c r="U3512" t="s">
        <v>13139</v>
      </c>
    </row>
    <row r="3513" spans="1:21" x14ac:dyDescent="0.25">
      <c r="A3513" t="s">
        <v>63</v>
      </c>
      <c r="B3513" t="s">
        <v>64</v>
      </c>
      <c r="C3513">
        <v>100</v>
      </c>
      <c r="D3513">
        <v>2</v>
      </c>
      <c r="E3513">
        <v>0</v>
      </c>
      <c r="F3513" t="s">
        <v>13144</v>
      </c>
      <c r="G3513">
        <v>200</v>
      </c>
      <c r="H3513">
        <v>0</v>
      </c>
      <c r="I3513" t="s">
        <v>445</v>
      </c>
      <c r="J3513" t="s">
        <v>13145</v>
      </c>
      <c r="K3513" t="s">
        <v>54</v>
      </c>
      <c r="L3513" t="s">
        <v>27</v>
      </c>
      <c r="M3513" t="s">
        <v>28</v>
      </c>
      <c r="N3513" t="s">
        <v>13139</v>
      </c>
      <c r="O3513" t="s">
        <v>27</v>
      </c>
      <c r="P3513" t="s">
        <v>39</v>
      </c>
      <c r="Q3513" t="s">
        <v>31</v>
      </c>
      <c r="R3513" t="s">
        <v>32</v>
      </c>
      <c r="S3513" t="s">
        <v>28</v>
      </c>
      <c r="T3513" t="s">
        <v>13146</v>
      </c>
      <c r="U3513" t="s">
        <v>13139</v>
      </c>
    </row>
    <row r="3514" spans="1:21" x14ac:dyDescent="0.25">
      <c r="A3514" t="s">
        <v>2307</v>
      </c>
      <c r="B3514" t="s">
        <v>2308</v>
      </c>
      <c r="C3514">
        <v>330</v>
      </c>
      <c r="D3514">
        <v>1</v>
      </c>
      <c r="E3514">
        <v>0</v>
      </c>
      <c r="F3514" t="s">
        <v>13147</v>
      </c>
      <c r="G3514">
        <v>330</v>
      </c>
      <c r="H3514">
        <v>0</v>
      </c>
      <c r="I3514" t="s">
        <v>24</v>
      </c>
      <c r="J3514" t="s">
        <v>13148</v>
      </c>
      <c r="K3514" t="s">
        <v>797</v>
      </c>
      <c r="L3514" t="s">
        <v>27</v>
      </c>
      <c r="M3514" t="s">
        <v>28</v>
      </c>
      <c r="N3514" t="s">
        <v>13149</v>
      </c>
      <c r="O3514" t="s">
        <v>27</v>
      </c>
      <c r="P3514" t="s">
        <v>39</v>
      </c>
      <c r="Q3514" t="s">
        <v>31</v>
      </c>
      <c r="R3514" t="s">
        <v>32</v>
      </c>
      <c r="S3514" t="s">
        <v>28</v>
      </c>
      <c r="T3514" t="s">
        <v>13150</v>
      </c>
      <c r="U3514" t="s">
        <v>13139</v>
      </c>
    </row>
    <row r="3515" spans="1:21" x14ac:dyDescent="0.25">
      <c r="A3515" t="s">
        <v>1513</v>
      </c>
      <c r="B3515" t="s">
        <v>1514</v>
      </c>
      <c r="C3515">
        <v>330</v>
      </c>
      <c r="D3515">
        <v>1</v>
      </c>
      <c r="E3515">
        <v>0</v>
      </c>
      <c r="F3515" t="s">
        <v>13151</v>
      </c>
      <c r="G3515">
        <v>330</v>
      </c>
      <c r="H3515">
        <v>0</v>
      </c>
      <c r="I3515" t="s">
        <v>140</v>
      </c>
      <c r="J3515" t="s">
        <v>13152</v>
      </c>
      <c r="K3515" t="s">
        <v>753</v>
      </c>
      <c r="L3515" t="s">
        <v>27</v>
      </c>
      <c r="M3515" t="s">
        <v>28</v>
      </c>
      <c r="N3515" t="s">
        <v>13153</v>
      </c>
      <c r="O3515" t="s">
        <v>27</v>
      </c>
      <c r="P3515" t="s">
        <v>30</v>
      </c>
      <c r="Q3515" t="s">
        <v>31</v>
      </c>
      <c r="R3515" t="s">
        <v>32</v>
      </c>
      <c r="S3515" t="s">
        <v>28</v>
      </c>
      <c r="T3515" t="s">
        <v>13154</v>
      </c>
      <c r="U3515" t="s">
        <v>13153</v>
      </c>
    </row>
    <row r="3516" spans="1:21" x14ac:dyDescent="0.25">
      <c r="A3516" t="s">
        <v>33</v>
      </c>
      <c r="B3516" t="s">
        <v>34</v>
      </c>
      <c r="C3516">
        <v>200</v>
      </c>
      <c r="D3516">
        <v>1</v>
      </c>
      <c r="E3516">
        <v>0</v>
      </c>
      <c r="F3516" t="s">
        <v>13155</v>
      </c>
      <c r="G3516">
        <v>200</v>
      </c>
      <c r="H3516">
        <v>0</v>
      </c>
      <c r="I3516" t="s">
        <v>445</v>
      </c>
      <c r="J3516" t="s">
        <v>13156</v>
      </c>
      <c r="K3516" t="s">
        <v>1602</v>
      </c>
      <c r="L3516" t="s">
        <v>27</v>
      </c>
      <c r="M3516" t="s">
        <v>28</v>
      </c>
      <c r="N3516" t="s">
        <v>13157</v>
      </c>
      <c r="O3516" t="s">
        <v>27</v>
      </c>
      <c r="P3516" t="s">
        <v>39</v>
      </c>
      <c r="Q3516" t="s">
        <v>31</v>
      </c>
      <c r="R3516" t="s">
        <v>32</v>
      </c>
      <c r="S3516" t="s">
        <v>28</v>
      </c>
      <c r="T3516" t="s">
        <v>13158</v>
      </c>
      <c r="U3516" t="s">
        <v>13159</v>
      </c>
    </row>
    <row r="3517" spans="1:21" x14ac:dyDescent="0.25">
      <c r="A3517" t="s">
        <v>456</v>
      </c>
      <c r="B3517" t="s">
        <v>457</v>
      </c>
      <c r="C3517">
        <v>197</v>
      </c>
      <c r="D3517">
        <v>1</v>
      </c>
      <c r="E3517">
        <v>0</v>
      </c>
      <c r="F3517" t="s">
        <v>13160</v>
      </c>
      <c r="G3517">
        <v>197</v>
      </c>
      <c r="H3517">
        <v>0</v>
      </c>
      <c r="I3517" t="s">
        <v>445</v>
      </c>
      <c r="J3517" t="s">
        <v>13161</v>
      </c>
      <c r="K3517" t="s">
        <v>13162</v>
      </c>
      <c r="L3517" t="s">
        <v>13163</v>
      </c>
      <c r="M3517" t="s">
        <v>2879</v>
      </c>
      <c r="N3517" t="s">
        <v>13105</v>
      </c>
      <c r="O3517" t="s">
        <v>27</v>
      </c>
      <c r="P3517" t="s">
        <v>84</v>
      </c>
      <c r="Q3517" t="s">
        <v>85</v>
      </c>
      <c r="R3517" t="s">
        <v>86</v>
      </c>
      <c r="S3517" t="s">
        <v>28</v>
      </c>
      <c r="T3517" t="s">
        <v>13164</v>
      </c>
      <c r="U3517" t="s">
        <v>13165</v>
      </c>
    </row>
    <row r="3518" spans="1:21" x14ac:dyDescent="0.25">
      <c r="A3518" t="s">
        <v>143</v>
      </c>
      <c r="B3518" t="s">
        <v>144</v>
      </c>
      <c r="C3518">
        <v>200</v>
      </c>
      <c r="D3518">
        <v>1</v>
      </c>
      <c r="E3518">
        <v>0</v>
      </c>
      <c r="F3518" t="s">
        <v>13166</v>
      </c>
      <c r="G3518">
        <v>200</v>
      </c>
      <c r="H3518">
        <v>0</v>
      </c>
      <c r="I3518" t="s">
        <v>140</v>
      </c>
      <c r="J3518" t="s">
        <v>13167</v>
      </c>
      <c r="K3518" t="s">
        <v>758</v>
      </c>
      <c r="L3518" t="s">
        <v>27</v>
      </c>
      <c r="M3518" t="s">
        <v>28</v>
      </c>
      <c r="N3518" t="s">
        <v>13168</v>
      </c>
      <c r="O3518" t="s">
        <v>27</v>
      </c>
      <c r="P3518" t="s">
        <v>369</v>
      </c>
      <c r="Q3518" t="s">
        <v>31</v>
      </c>
      <c r="R3518" t="s">
        <v>57</v>
      </c>
      <c r="S3518" t="s">
        <v>28</v>
      </c>
      <c r="T3518" t="s">
        <v>13169</v>
      </c>
      <c r="U3518" t="s">
        <v>13165</v>
      </c>
    </row>
    <row r="3519" spans="1:21" x14ac:dyDescent="0.25">
      <c r="A3519" t="s">
        <v>58</v>
      </c>
      <c r="B3519" t="s">
        <v>58</v>
      </c>
      <c r="C3519">
        <v>100</v>
      </c>
      <c r="D3519">
        <v>2</v>
      </c>
      <c r="E3519">
        <v>0</v>
      </c>
      <c r="F3519" t="s">
        <v>13170</v>
      </c>
      <c r="G3519">
        <v>245</v>
      </c>
      <c r="H3519">
        <v>45</v>
      </c>
      <c r="I3519" t="s">
        <v>445</v>
      </c>
      <c r="J3519" t="s">
        <v>10224</v>
      </c>
      <c r="K3519" t="s">
        <v>10225</v>
      </c>
      <c r="L3519" t="s">
        <v>10226</v>
      </c>
      <c r="M3519" t="s">
        <v>2987</v>
      </c>
      <c r="N3519" t="s">
        <v>13171</v>
      </c>
      <c r="O3519" t="s">
        <v>27</v>
      </c>
      <c r="P3519" t="s">
        <v>193</v>
      </c>
      <c r="Q3519" t="s">
        <v>85</v>
      </c>
      <c r="R3519" t="s">
        <v>86</v>
      </c>
      <c r="S3519" t="s">
        <v>28</v>
      </c>
      <c r="T3519" t="s">
        <v>13172</v>
      </c>
      <c r="U3519" t="s">
        <v>13168</v>
      </c>
    </row>
    <row r="3520" spans="1:21" x14ac:dyDescent="0.25">
      <c r="A3520" t="s">
        <v>33</v>
      </c>
      <c r="B3520" t="s">
        <v>34</v>
      </c>
      <c r="C3520">
        <v>217.5</v>
      </c>
      <c r="D3520">
        <v>1</v>
      </c>
      <c r="E3520">
        <v>0</v>
      </c>
      <c r="F3520" t="s">
        <v>13173</v>
      </c>
      <c r="G3520">
        <v>262.5</v>
      </c>
      <c r="H3520">
        <v>45</v>
      </c>
      <c r="I3520" t="s">
        <v>24</v>
      </c>
      <c r="J3520" t="s">
        <v>13174</v>
      </c>
      <c r="K3520" t="s">
        <v>13175</v>
      </c>
      <c r="L3520" t="s">
        <v>13176</v>
      </c>
      <c r="M3520" t="s">
        <v>13177</v>
      </c>
      <c r="N3520" t="s">
        <v>13178</v>
      </c>
      <c r="O3520" t="s">
        <v>27</v>
      </c>
      <c r="P3520" t="s">
        <v>48</v>
      </c>
      <c r="Q3520" t="s">
        <v>49</v>
      </c>
      <c r="R3520" t="s">
        <v>50</v>
      </c>
      <c r="S3520" t="s">
        <v>28</v>
      </c>
      <c r="T3520" t="s">
        <v>13179</v>
      </c>
      <c r="U3520" t="s">
        <v>13178</v>
      </c>
    </row>
    <row r="3521" spans="1:21" x14ac:dyDescent="0.25">
      <c r="A3521" t="s">
        <v>195</v>
      </c>
      <c r="B3521" t="s">
        <v>196</v>
      </c>
      <c r="C3521">
        <v>199</v>
      </c>
      <c r="D3521">
        <v>1</v>
      </c>
      <c r="E3521">
        <v>0</v>
      </c>
      <c r="F3521" t="s">
        <v>13180</v>
      </c>
      <c r="G3521">
        <v>244</v>
      </c>
      <c r="H3521">
        <v>45</v>
      </c>
      <c r="I3521" t="s">
        <v>445</v>
      </c>
      <c r="J3521" t="s">
        <v>13181</v>
      </c>
      <c r="K3521" t="s">
        <v>13182</v>
      </c>
      <c r="L3521" t="s">
        <v>1522</v>
      </c>
      <c r="M3521" t="s">
        <v>9367</v>
      </c>
      <c r="N3521" t="s">
        <v>13183</v>
      </c>
      <c r="O3521" t="s">
        <v>27</v>
      </c>
      <c r="P3521" t="s">
        <v>193</v>
      </c>
      <c r="Q3521" t="s">
        <v>85</v>
      </c>
      <c r="R3521" t="s">
        <v>86</v>
      </c>
      <c r="S3521" t="s">
        <v>28</v>
      </c>
      <c r="T3521" t="s">
        <v>13184</v>
      </c>
      <c r="U3521" t="s">
        <v>13183</v>
      </c>
    </row>
    <row r="3522" spans="1:21" x14ac:dyDescent="0.25">
      <c r="A3522" t="s">
        <v>58</v>
      </c>
      <c r="B3522" t="s">
        <v>58</v>
      </c>
      <c r="C3522">
        <v>100</v>
      </c>
      <c r="D3522">
        <v>3</v>
      </c>
      <c r="E3522">
        <v>0</v>
      </c>
      <c r="F3522" t="s">
        <v>13185</v>
      </c>
      <c r="G3522">
        <v>340</v>
      </c>
      <c r="H3522">
        <v>45</v>
      </c>
      <c r="I3522" t="s">
        <v>445</v>
      </c>
      <c r="J3522" t="s">
        <v>13064</v>
      </c>
      <c r="K3522" t="s">
        <v>13186</v>
      </c>
      <c r="L3522" t="s">
        <v>3743</v>
      </c>
      <c r="M3522" t="s">
        <v>8994</v>
      </c>
      <c r="N3522" t="s">
        <v>13132</v>
      </c>
      <c r="O3522" t="s">
        <v>27</v>
      </c>
      <c r="P3522" t="s">
        <v>193</v>
      </c>
      <c r="Q3522" t="s">
        <v>85</v>
      </c>
      <c r="R3522" t="s">
        <v>86</v>
      </c>
      <c r="S3522" t="s">
        <v>28</v>
      </c>
      <c r="T3522" t="s">
        <v>13187</v>
      </c>
      <c r="U3522" t="s">
        <v>13183</v>
      </c>
    </row>
    <row r="3523" spans="1:21" x14ac:dyDescent="0.25">
      <c r="A3523" t="s">
        <v>76</v>
      </c>
      <c r="B3523" t="s">
        <v>77</v>
      </c>
      <c r="C3523">
        <v>199</v>
      </c>
      <c r="D3523">
        <v>1</v>
      </c>
      <c r="E3523">
        <v>0</v>
      </c>
      <c r="F3523" t="s">
        <v>13188</v>
      </c>
      <c r="G3523">
        <v>228</v>
      </c>
      <c r="H3523">
        <v>29</v>
      </c>
      <c r="I3523" t="s">
        <v>445</v>
      </c>
      <c r="J3523" t="s">
        <v>6529</v>
      </c>
      <c r="K3523" t="s">
        <v>13189</v>
      </c>
      <c r="L3523" t="s">
        <v>13190</v>
      </c>
      <c r="M3523" t="s">
        <v>9876</v>
      </c>
      <c r="N3523" t="s">
        <v>13191</v>
      </c>
      <c r="O3523" t="s">
        <v>27</v>
      </c>
      <c r="P3523" t="s">
        <v>193</v>
      </c>
      <c r="Q3523" t="s">
        <v>85</v>
      </c>
      <c r="R3523" t="s">
        <v>86</v>
      </c>
      <c r="S3523" t="s">
        <v>28</v>
      </c>
      <c r="T3523" t="s">
        <v>13192</v>
      </c>
      <c r="U3523" t="s">
        <v>13183</v>
      </c>
    </row>
    <row r="3524" spans="1:21" x14ac:dyDescent="0.25">
      <c r="A3524" t="s">
        <v>70</v>
      </c>
      <c r="B3524" t="s">
        <v>70</v>
      </c>
      <c r="C3524">
        <v>350</v>
      </c>
      <c r="D3524">
        <v>1</v>
      </c>
      <c r="E3524">
        <v>0</v>
      </c>
      <c r="F3524" t="s">
        <v>13193</v>
      </c>
      <c r="G3524">
        <v>350</v>
      </c>
      <c r="H3524">
        <v>0</v>
      </c>
      <c r="I3524" t="s">
        <v>140</v>
      </c>
      <c r="J3524" t="s">
        <v>13194</v>
      </c>
      <c r="K3524" t="s">
        <v>579</v>
      </c>
      <c r="L3524" t="s">
        <v>27</v>
      </c>
      <c r="M3524" t="s">
        <v>28</v>
      </c>
      <c r="N3524" t="s">
        <v>13195</v>
      </c>
      <c r="O3524" t="s">
        <v>27</v>
      </c>
      <c r="P3524" t="s">
        <v>30</v>
      </c>
      <c r="Q3524" t="s">
        <v>31</v>
      </c>
      <c r="R3524" t="s">
        <v>32</v>
      </c>
      <c r="S3524" t="s">
        <v>28</v>
      </c>
      <c r="T3524" t="s">
        <v>13196</v>
      </c>
      <c r="U3524" t="s">
        <v>13197</v>
      </c>
    </row>
    <row r="3525" spans="1:21" x14ac:dyDescent="0.25">
      <c r="A3525" t="s">
        <v>143</v>
      </c>
      <c r="B3525" t="s">
        <v>144</v>
      </c>
      <c r="C3525">
        <v>200</v>
      </c>
      <c r="D3525">
        <v>1</v>
      </c>
      <c r="E3525">
        <v>0</v>
      </c>
      <c r="F3525" t="s">
        <v>13198</v>
      </c>
      <c r="G3525">
        <v>200</v>
      </c>
      <c r="H3525">
        <v>0</v>
      </c>
      <c r="I3525" t="s">
        <v>140</v>
      </c>
      <c r="J3525" t="s">
        <v>13199</v>
      </c>
      <c r="K3525" t="s">
        <v>26</v>
      </c>
      <c r="L3525" t="s">
        <v>27</v>
      </c>
      <c r="M3525" t="s">
        <v>28</v>
      </c>
      <c r="N3525" t="s">
        <v>13200</v>
      </c>
      <c r="O3525" t="s">
        <v>27</v>
      </c>
      <c r="P3525" t="s">
        <v>30</v>
      </c>
      <c r="Q3525" t="s">
        <v>31</v>
      </c>
      <c r="R3525" t="s">
        <v>32</v>
      </c>
      <c r="S3525" t="s">
        <v>28</v>
      </c>
      <c r="T3525" t="s">
        <v>13201</v>
      </c>
      <c r="U3525" t="s">
        <v>13197</v>
      </c>
    </row>
    <row r="3526" spans="1:21" x14ac:dyDescent="0.25">
      <c r="A3526" t="s">
        <v>134</v>
      </c>
      <c r="B3526" t="s">
        <v>64</v>
      </c>
      <c r="C3526">
        <v>100</v>
      </c>
      <c r="D3526">
        <v>1</v>
      </c>
      <c r="E3526">
        <v>0</v>
      </c>
      <c r="F3526" t="s">
        <v>13202</v>
      </c>
      <c r="G3526">
        <v>100</v>
      </c>
      <c r="H3526">
        <v>0</v>
      </c>
      <c r="I3526" t="s">
        <v>140</v>
      </c>
      <c r="J3526" t="s">
        <v>13203</v>
      </c>
      <c r="K3526" t="s">
        <v>653</v>
      </c>
      <c r="L3526" t="s">
        <v>27</v>
      </c>
      <c r="M3526" t="s">
        <v>28</v>
      </c>
      <c r="N3526" t="s">
        <v>13204</v>
      </c>
      <c r="O3526" t="s">
        <v>27</v>
      </c>
      <c r="P3526" t="s">
        <v>30</v>
      </c>
      <c r="Q3526" t="s">
        <v>31</v>
      </c>
      <c r="R3526" t="s">
        <v>32</v>
      </c>
      <c r="S3526" t="s">
        <v>28</v>
      </c>
      <c r="T3526" t="s">
        <v>13205</v>
      </c>
      <c r="U3526" t="s">
        <v>13197</v>
      </c>
    </row>
    <row r="3527" spans="1:21" x14ac:dyDescent="0.25">
      <c r="A3527" t="s">
        <v>63</v>
      </c>
      <c r="B3527" t="s">
        <v>64</v>
      </c>
      <c r="C3527">
        <v>100</v>
      </c>
      <c r="D3527">
        <v>1</v>
      </c>
      <c r="E3527">
        <v>0</v>
      </c>
      <c r="F3527" t="s">
        <v>13206</v>
      </c>
      <c r="G3527">
        <v>106</v>
      </c>
      <c r="H3527">
        <v>6</v>
      </c>
      <c r="I3527" t="s">
        <v>445</v>
      </c>
      <c r="J3527" t="s">
        <v>13207</v>
      </c>
      <c r="K3527" t="s">
        <v>209</v>
      </c>
      <c r="L3527" t="s">
        <v>27</v>
      </c>
      <c r="M3527" t="s">
        <v>28</v>
      </c>
      <c r="N3527" t="s">
        <v>13208</v>
      </c>
      <c r="O3527" t="s">
        <v>27</v>
      </c>
      <c r="P3527" t="s">
        <v>39</v>
      </c>
      <c r="Q3527" t="s">
        <v>31</v>
      </c>
      <c r="R3527" t="s">
        <v>32</v>
      </c>
      <c r="S3527" t="s">
        <v>28</v>
      </c>
      <c r="T3527" t="s">
        <v>13209</v>
      </c>
      <c r="U3527" t="s">
        <v>13210</v>
      </c>
    </row>
    <row r="3528" spans="1:21" x14ac:dyDescent="0.25">
      <c r="A3528" t="s">
        <v>143</v>
      </c>
      <c r="B3528" t="s">
        <v>144</v>
      </c>
      <c r="C3528">
        <v>200</v>
      </c>
      <c r="D3528">
        <v>1</v>
      </c>
      <c r="E3528">
        <v>0</v>
      </c>
      <c r="F3528" t="s">
        <v>13211</v>
      </c>
      <c r="G3528">
        <v>200</v>
      </c>
      <c r="H3528">
        <v>0</v>
      </c>
      <c r="I3528" t="s">
        <v>445</v>
      </c>
      <c r="J3528" t="s">
        <v>13212</v>
      </c>
      <c r="K3528" t="s">
        <v>2470</v>
      </c>
      <c r="L3528" t="s">
        <v>27</v>
      </c>
      <c r="M3528" t="s">
        <v>28</v>
      </c>
      <c r="N3528" t="s">
        <v>13208</v>
      </c>
      <c r="O3528" t="s">
        <v>27</v>
      </c>
      <c r="P3528" t="s">
        <v>39</v>
      </c>
      <c r="Q3528" t="s">
        <v>31</v>
      </c>
      <c r="R3528" t="s">
        <v>32</v>
      </c>
      <c r="S3528" t="s">
        <v>28</v>
      </c>
      <c r="T3528" t="s">
        <v>13213</v>
      </c>
      <c r="U3528" t="s">
        <v>13210</v>
      </c>
    </row>
    <row r="3529" spans="1:21" x14ac:dyDescent="0.25">
      <c r="A3529" t="s">
        <v>58</v>
      </c>
      <c r="B3529" t="s">
        <v>103</v>
      </c>
      <c r="C3529">
        <v>84</v>
      </c>
      <c r="D3529">
        <v>1</v>
      </c>
      <c r="E3529">
        <v>0</v>
      </c>
      <c r="F3529" t="s">
        <v>13214</v>
      </c>
      <c r="G3529">
        <v>89</v>
      </c>
      <c r="H3529">
        <v>5</v>
      </c>
      <c r="I3529" t="s">
        <v>105</v>
      </c>
      <c r="J3529" t="s">
        <v>13215</v>
      </c>
      <c r="K3529" t="s">
        <v>13216</v>
      </c>
      <c r="L3529" t="s">
        <v>1900</v>
      </c>
      <c r="M3529" t="s">
        <v>13217</v>
      </c>
      <c r="N3529" t="s">
        <v>13218</v>
      </c>
      <c r="O3529" t="s">
        <v>27</v>
      </c>
      <c r="P3529" t="s">
        <v>48</v>
      </c>
      <c r="Q3529" t="s">
        <v>49</v>
      </c>
      <c r="R3529" t="s">
        <v>50</v>
      </c>
      <c r="S3529" t="s">
        <v>28</v>
      </c>
      <c r="T3529" t="s">
        <v>13219</v>
      </c>
      <c r="U3529" t="s">
        <v>13218</v>
      </c>
    </row>
    <row r="3530" spans="1:21" x14ac:dyDescent="0.25">
      <c r="A3530" t="s">
        <v>143</v>
      </c>
      <c r="B3530" t="s">
        <v>144</v>
      </c>
      <c r="C3530">
        <v>200</v>
      </c>
      <c r="D3530">
        <v>1</v>
      </c>
      <c r="E3530">
        <v>0</v>
      </c>
      <c r="F3530" t="s">
        <v>13220</v>
      </c>
      <c r="G3530">
        <v>229</v>
      </c>
      <c r="H3530">
        <v>29</v>
      </c>
      <c r="I3530" t="s">
        <v>24</v>
      </c>
      <c r="J3530" t="s">
        <v>13221</v>
      </c>
      <c r="K3530" t="s">
        <v>753</v>
      </c>
      <c r="L3530" t="s">
        <v>27</v>
      </c>
      <c r="M3530" t="s">
        <v>28</v>
      </c>
      <c r="N3530" t="s">
        <v>13222</v>
      </c>
      <c r="O3530" t="s">
        <v>27</v>
      </c>
      <c r="P3530" t="s">
        <v>39</v>
      </c>
      <c r="Q3530" t="s">
        <v>31</v>
      </c>
      <c r="R3530" t="s">
        <v>32</v>
      </c>
      <c r="S3530" t="s">
        <v>28</v>
      </c>
      <c r="T3530" t="s">
        <v>13223</v>
      </c>
      <c r="U3530" t="s">
        <v>13224</v>
      </c>
    </row>
    <row r="3531" spans="1:21" x14ac:dyDescent="0.25">
      <c r="A3531" t="s">
        <v>33</v>
      </c>
      <c r="B3531" t="s">
        <v>34</v>
      </c>
      <c r="C3531">
        <v>200</v>
      </c>
      <c r="D3531">
        <v>1</v>
      </c>
      <c r="E3531">
        <v>0</v>
      </c>
      <c r="F3531" t="s">
        <v>13225</v>
      </c>
      <c r="G3531">
        <v>200</v>
      </c>
      <c r="H3531">
        <v>0</v>
      </c>
      <c r="I3531" t="s">
        <v>24</v>
      </c>
      <c r="J3531" t="s">
        <v>13226</v>
      </c>
      <c r="K3531" t="s">
        <v>124</v>
      </c>
      <c r="L3531" t="s">
        <v>27</v>
      </c>
      <c r="M3531" t="s">
        <v>28</v>
      </c>
      <c r="N3531" t="s">
        <v>13227</v>
      </c>
      <c r="O3531" t="s">
        <v>27</v>
      </c>
      <c r="P3531" t="s">
        <v>39</v>
      </c>
      <c r="Q3531" t="s">
        <v>31</v>
      </c>
      <c r="R3531" t="s">
        <v>32</v>
      </c>
      <c r="S3531" t="s">
        <v>28</v>
      </c>
      <c r="T3531" t="s">
        <v>13228</v>
      </c>
      <c r="U3531" t="s">
        <v>13224</v>
      </c>
    </row>
    <row r="3532" spans="1:21" x14ac:dyDescent="0.25">
      <c r="A3532" t="s">
        <v>58</v>
      </c>
      <c r="B3532" t="s">
        <v>58</v>
      </c>
      <c r="C3532">
        <v>94.5</v>
      </c>
      <c r="D3532">
        <v>1</v>
      </c>
      <c r="E3532">
        <v>0</v>
      </c>
      <c r="F3532" t="s">
        <v>13229</v>
      </c>
      <c r="G3532">
        <v>99.5</v>
      </c>
      <c r="H3532">
        <v>5</v>
      </c>
      <c r="I3532" t="s">
        <v>24</v>
      </c>
      <c r="J3532" t="s">
        <v>13215</v>
      </c>
      <c r="K3532" t="s">
        <v>13216</v>
      </c>
      <c r="L3532" t="s">
        <v>1900</v>
      </c>
      <c r="M3532" t="s">
        <v>13217</v>
      </c>
      <c r="N3532" t="s">
        <v>13230</v>
      </c>
      <c r="O3532" t="s">
        <v>27</v>
      </c>
      <c r="P3532" t="s">
        <v>48</v>
      </c>
      <c r="Q3532" t="s">
        <v>49</v>
      </c>
      <c r="R3532" t="s">
        <v>50</v>
      </c>
      <c r="S3532" t="s">
        <v>28</v>
      </c>
      <c r="T3532" t="s">
        <v>13231</v>
      </c>
      <c r="U3532" t="s">
        <v>13230</v>
      </c>
    </row>
    <row r="3533" spans="1:21" x14ac:dyDescent="0.25">
      <c r="A3533" t="s">
        <v>58</v>
      </c>
      <c r="B3533" t="s">
        <v>103</v>
      </c>
      <c r="C3533">
        <v>84</v>
      </c>
      <c r="D3533">
        <v>1</v>
      </c>
      <c r="E3533">
        <v>0</v>
      </c>
      <c r="F3533" t="s">
        <v>13232</v>
      </c>
      <c r="G3533">
        <v>173</v>
      </c>
      <c r="H3533">
        <v>5</v>
      </c>
      <c r="I3533" t="s">
        <v>105</v>
      </c>
      <c r="J3533" t="s">
        <v>13233</v>
      </c>
      <c r="K3533" t="s">
        <v>13234</v>
      </c>
      <c r="L3533" t="s">
        <v>3447</v>
      </c>
      <c r="M3533" t="s">
        <v>13235</v>
      </c>
      <c r="N3533" t="s">
        <v>13218</v>
      </c>
      <c r="O3533" t="s">
        <v>27</v>
      </c>
      <c r="P3533" t="s">
        <v>48</v>
      </c>
      <c r="Q3533" t="s">
        <v>49</v>
      </c>
      <c r="R3533" t="s">
        <v>50</v>
      </c>
      <c r="S3533" t="s">
        <v>28</v>
      </c>
      <c r="T3533" t="s">
        <v>13236</v>
      </c>
      <c r="U3533" t="s">
        <v>13237</v>
      </c>
    </row>
    <row r="3534" spans="1:21" x14ac:dyDescent="0.25">
      <c r="A3534" t="s">
        <v>58</v>
      </c>
      <c r="B3534" t="s">
        <v>103</v>
      </c>
      <c r="C3534">
        <v>84</v>
      </c>
      <c r="D3534">
        <v>1</v>
      </c>
      <c r="E3534">
        <v>0</v>
      </c>
      <c r="F3534" t="s">
        <v>13232</v>
      </c>
      <c r="G3534">
        <v>173</v>
      </c>
      <c r="H3534">
        <v>5</v>
      </c>
      <c r="I3534" t="s">
        <v>105</v>
      </c>
      <c r="J3534" t="s">
        <v>13233</v>
      </c>
      <c r="K3534" t="s">
        <v>13234</v>
      </c>
      <c r="L3534" t="s">
        <v>3447</v>
      </c>
      <c r="M3534" t="s">
        <v>13235</v>
      </c>
      <c r="N3534" t="s">
        <v>13218</v>
      </c>
      <c r="O3534" t="s">
        <v>27</v>
      </c>
      <c r="P3534" t="s">
        <v>48</v>
      </c>
      <c r="Q3534" t="s">
        <v>49</v>
      </c>
      <c r="R3534" t="s">
        <v>50</v>
      </c>
      <c r="S3534" t="s">
        <v>28</v>
      </c>
      <c r="T3534" t="s">
        <v>13236</v>
      </c>
      <c r="U3534" t="s">
        <v>13237</v>
      </c>
    </row>
    <row r="3535" spans="1:21" x14ac:dyDescent="0.25">
      <c r="A3535" t="s">
        <v>195</v>
      </c>
      <c r="B3535" t="s">
        <v>196</v>
      </c>
      <c r="C3535">
        <v>199</v>
      </c>
      <c r="D3535">
        <v>1</v>
      </c>
      <c r="E3535">
        <v>0</v>
      </c>
      <c r="F3535" t="s">
        <v>13238</v>
      </c>
      <c r="G3535">
        <v>235</v>
      </c>
      <c r="H3535">
        <v>41</v>
      </c>
      <c r="I3535" t="s">
        <v>445</v>
      </c>
      <c r="J3535" t="s">
        <v>459</v>
      </c>
      <c r="K3535" t="s">
        <v>13239</v>
      </c>
      <c r="L3535" t="s">
        <v>3447</v>
      </c>
      <c r="M3535" t="s">
        <v>13240</v>
      </c>
      <c r="N3535" t="s">
        <v>13241</v>
      </c>
      <c r="O3535" t="s">
        <v>27</v>
      </c>
      <c r="P3535" t="s">
        <v>193</v>
      </c>
      <c r="Q3535" t="s">
        <v>85</v>
      </c>
      <c r="R3535" t="s">
        <v>86</v>
      </c>
      <c r="S3535" t="s">
        <v>28</v>
      </c>
      <c r="T3535" t="s">
        <v>13242</v>
      </c>
      <c r="U3535" t="s">
        <v>13237</v>
      </c>
    </row>
    <row r="3536" spans="1:21" x14ac:dyDescent="0.25">
      <c r="A3536" t="s">
        <v>58</v>
      </c>
      <c r="B3536" t="s">
        <v>58</v>
      </c>
      <c r="C3536">
        <v>100</v>
      </c>
      <c r="D3536">
        <v>1</v>
      </c>
      <c r="E3536">
        <v>0</v>
      </c>
      <c r="F3536" t="s">
        <v>13243</v>
      </c>
      <c r="G3536">
        <v>106</v>
      </c>
      <c r="H3536">
        <v>6</v>
      </c>
      <c r="I3536" t="s">
        <v>140</v>
      </c>
      <c r="J3536" t="s">
        <v>13244</v>
      </c>
      <c r="K3536" t="s">
        <v>325</v>
      </c>
      <c r="L3536" t="s">
        <v>27</v>
      </c>
      <c r="M3536" t="s">
        <v>28</v>
      </c>
      <c r="N3536" t="s">
        <v>13245</v>
      </c>
      <c r="O3536" t="s">
        <v>27</v>
      </c>
      <c r="P3536" t="s">
        <v>30</v>
      </c>
      <c r="Q3536" t="s">
        <v>31</v>
      </c>
      <c r="R3536" t="s">
        <v>32</v>
      </c>
      <c r="S3536" t="s">
        <v>28</v>
      </c>
      <c r="T3536" t="s">
        <v>13246</v>
      </c>
      <c r="U3536" t="s">
        <v>13245</v>
      </c>
    </row>
    <row r="3537" spans="1:21" x14ac:dyDescent="0.25">
      <c r="A3537" t="s">
        <v>58</v>
      </c>
      <c r="B3537" t="s">
        <v>58</v>
      </c>
      <c r="C3537">
        <v>100</v>
      </c>
      <c r="D3537">
        <v>1</v>
      </c>
      <c r="E3537">
        <v>0</v>
      </c>
      <c r="F3537" t="s">
        <v>13247</v>
      </c>
      <c r="G3537">
        <v>129</v>
      </c>
      <c r="H3537">
        <v>29</v>
      </c>
      <c r="I3537" t="s">
        <v>445</v>
      </c>
      <c r="J3537" t="s">
        <v>13248</v>
      </c>
      <c r="K3537" t="s">
        <v>13249</v>
      </c>
      <c r="L3537" t="s">
        <v>1677</v>
      </c>
      <c r="M3537" t="s">
        <v>1404</v>
      </c>
      <c r="N3537" t="s">
        <v>13250</v>
      </c>
      <c r="O3537" t="s">
        <v>27</v>
      </c>
      <c r="P3537" t="s">
        <v>193</v>
      </c>
      <c r="Q3537" t="s">
        <v>85</v>
      </c>
      <c r="R3537" t="s">
        <v>86</v>
      </c>
      <c r="S3537" t="s">
        <v>28</v>
      </c>
      <c r="T3537" t="s">
        <v>13251</v>
      </c>
      <c r="U3537" t="s">
        <v>13250</v>
      </c>
    </row>
    <row r="3538" spans="1:21" x14ac:dyDescent="0.25">
      <c r="A3538" t="s">
        <v>2307</v>
      </c>
      <c r="B3538" t="s">
        <v>2308</v>
      </c>
      <c r="C3538">
        <v>330</v>
      </c>
      <c r="D3538">
        <v>1</v>
      </c>
      <c r="E3538">
        <v>0</v>
      </c>
      <c r="F3538" t="s">
        <v>13252</v>
      </c>
      <c r="G3538">
        <v>330</v>
      </c>
      <c r="H3538">
        <v>0</v>
      </c>
      <c r="I3538" t="s">
        <v>140</v>
      </c>
      <c r="J3538" t="s">
        <v>8263</v>
      </c>
      <c r="K3538" t="s">
        <v>474</v>
      </c>
      <c r="L3538" t="s">
        <v>27</v>
      </c>
      <c r="M3538" t="s">
        <v>28</v>
      </c>
      <c r="N3538" t="s">
        <v>13253</v>
      </c>
      <c r="O3538" t="s">
        <v>27</v>
      </c>
      <c r="P3538" t="s">
        <v>30</v>
      </c>
      <c r="Q3538" t="s">
        <v>31</v>
      </c>
      <c r="R3538" t="s">
        <v>32</v>
      </c>
      <c r="S3538" t="s">
        <v>28</v>
      </c>
      <c r="T3538" t="s">
        <v>13254</v>
      </c>
      <c r="U3538" t="s">
        <v>13253</v>
      </c>
    </row>
    <row r="3539" spans="1:21" x14ac:dyDescent="0.25">
      <c r="A3539" t="s">
        <v>58</v>
      </c>
      <c r="B3539" t="s">
        <v>58</v>
      </c>
      <c r="C3539">
        <v>100</v>
      </c>
      <c r="D3539">
        <v>1</v>
      </c>
      <c r="E3539">
        <v>0</v>
      </c>
      <c r="F3539" t="s">
        <v>13255</v>
      </c>
      <c r="G3539">
        <v>200</v>
      </c>
      <c r="H3539">
        <v>0</v>
      </c>
      <c r="I3539" t="s">
        <v>24</v>
      </c>
      <c r="J3539" t="s">
        <v>13256</v>
      </c>
      <c r="K3539" t="s">
        <v>118</v>
      </c>
      <c r="L3539" t="s">
        <v>27</v>
      </c>
      <c r="M3539" t="s">
        <v>28</v>
      </c>
      <c r="N3539" t="s">
        <v>13257</v>
      </c>
      <c r="O3539" t="s">
        <v>27</v>
      </c>
      <c r="P3539" t="s">
        <v>39</v>
      </c>
      <c r="Q3539" t="s">
        <v>31</v>
      </c>
      <c r="R3539" t="s">
        <v>32</v>
      </c>
      <c r="S3539" t="s">
        <v>28</v>
      </c>
      <c r="T3539" t="s">
        <v>13258</v>
      </c>
      <c r="U3539" t="s">
        <v>13257</v>
      </c>
    </row>
    <row r="3540" spans="1:21" x14ac:dyDescent="0.25">
      <c r="A3540" t="s">
        <v>63</v>
      </c>
      <c r="B3540" t="s">
        <v>64</v>
      </c>
      <c r="C3540">
        <v>100</v>
      </c>
      <c r="D3540">
        <v>1</v>
      </c>
      <c r="E3540">
        <v>0</v>
      </c>
      <c r="F3540" t="s">
        <v>13255</v>
      </c>
      <c r="G3540">
        <v>200</v>
      </c>
      <c r="H3540">
        <v>0</v>
      </c>
      <c r="I3540" t="s">
        <v>24</v>
      </c>
      <c r="J3540" t="s">
        <v>13256</v>
      </c>
      <c r="K3540" t="s">
        <v>118</v>
      </c>
      <c r="L3540" t="s">
        <v>27</v>
      </c>
      <c r="M3540" t="s">
        <v>28</v>
      </c>
      <c r="N3540" t="s">
        <v>13257</v>
      </c>
      <c r="O3540" t="s">
        <v>27</v>
      </c>
      <c r="P3540" t="s">
        <v>39</v>
      </c>
      <c r="Q3540" t="s">
        <v>31</v>
      </c>
      <c r="R3540" t="s">
        <v>32</v>
      </c>
      <c r="S3540" t="s">
        <v>28</v>
      </c>
      <c r="T3540" t="s">
        <v>13258</v>
      </c>
      <c r="U3540" t="s">
        <v>13257</v>
      </c>
    </row>
    <row r="3541" spans="1:21" x14ac:dyDescent="0.25">
      <c r="A3541" t="s">
        <v>70</v>
      </c>
      <c r="B3541" t="s">
        <v>70</v>
      </c>
      <c r="C3541">
        <v>330</v>
      </c>
      <c r="D3541">
        <v>1</v>
      </c>
      <c r="E3541">
        <v>0</v>
      </c>
      <c r="F3541" t="s">
        <v>13259</v>
      </c>
      <c r="G3541">
        <v>330</v>
      </c>
      <c r="H3541">
        <v>0</v>
      </c>
      <c r="I3541" t="s">
        <v>24</v>
      </c>
      <c r="J3541" t="s">
        <v>13260</v>
      </c>
      <c r="K3541" t="s">
        <v>171</v>
      </c>
      <c r="L3541" t="s">
        <v>27</v>
      </c>
      <c r="M3541" t="s">
        <v>28</v>
      </c>
      <c r="N3541" t="s">
        <v>13257</v>
      </c>
      <c r="O3541" t="s">
        <v>27</v>
      </c>
      <c r="P3541" t="s">
        <v>39</v>
      </c>
      <c r="Q3541" t="s">
        <v>31</v>
      </c>
      <c r="R3541" t="s">
        <v>32</v>
      </c>
      <c r="S3541" t="s">
        <v>28</v>
      </c>
      <c r="T3541" t="s">
        <v>13261</v>
      </c>
      <c r="U3541" t="s">
        <v>13257</v>
      </c>
    </row>
    <row r="3542" spans="1:21" x14ac:dyDescent="0.25">
      <c r="A3542" t="s">
        <v>456</v>
      </c>
      <c r="B3542" t="s">
        <v>457</v>
      </c>
      <c r="C3542">
        <v>120</v>
      </c>
      <c r="D3542">
        <v>4</v>
      </c>
      <c r="E3542">
        <v>0</v>
      </c>
      <c r="F3542" t="s">
        <v>13262</v>
      </c>
      <c r="G3542">
        <v>525</v>
      </c>
      <c r="H3542">
        <v>45</v>
      </c>
      <c r="I3542" t="s">
        <v>13263</v>
      </c>
      <c r="J3542" t="s">
        <v>13264</v>
      </c>
      <c r="K3542" t="s">
        <v>13265</v>
      </c>
      <c r="L3542" t="s">
        <v>315</v>
      </c>
      <c r="M3542" t="s">
        <v>3033</v>
      </c>
      <c r="N3542" t="s">
        <v>13266</v>
      </c>
      <c r="O3542" t="s">
        <v>27</v>
      </c>
      <c r="P3542" t="s">
        <v>84</v>
      </c>
      <c r="Q3542" t="s">
        <v>85</v>
      </c>
      <c r="R3542" t="s">
        <v>86</v>
      </c>
      <c r="S3542" t="s">
        <v>28</v>
      </c>
      <c r="T3542" t="s">
        <v>13267</v>
      </c>
      <c r="U3542" t="s">
        <v>13268</v>
      </c>
    </row>
    <row r="3543" spans="1:21" x14ac:dyDescent="0.25">
      <c r="A3543" t="s">
        <v>143</v>
      </c>
      <c r="B3543" t="s">
        <v>144</v>
      </c>
      <c r="C3543">
        <v>200</v>
      </c>
      <c r="D3543">
        <v>1</v>
      </c>
      <c r="E3543">
        <v>0</v>
      </c>
      <c r="F3543" t="s">
        <v>13269</v>
      </c>
      <c r="G3543">
        <v>200</v>
      </c>
      <c r="H3543">
        <v>0</v>
      </c>
      <c r="I3543" t="s">
        <v>140</v>
      </c>
      <c r="J3543" t="s">
        <v>13270</v>
      </c>
      <c r="K3543" t="s">
        <v>37</v>
      </c>
      <c r="L3543" t="s">
        <v>27</v>
      </c>
      <c r="M3543" t="s">
        <v>28</v>
      </c>
      <c r="N3543" t="s">
        <v>13271</v>
      </c>
      <c r="O3543" t="s">
        <v>27</v>
      </c>
      <c r="P3543" t="s">
        <v>369</v>
      </c>
      <c r="Q3543" t="s">
        <v>31</v>
      </c>
      <c r="R3543" t="s">
        <v>57</v>
      </c>
      <c r="S3543" t="s">
        <v>28</v>
      </c>
      <c r="T3543" t="s">
        <v>13272</v>
      </c>
      <c r="U3543" t="s">
        <v>13271</v>
      </c>
    </row>
    <row r="3544" spans="1:21" x14ac:dyDescent="0.25">
      <c r="A3544" t="s">
        <v>33</v>
      </c>
      <c r="B3544" t="s">
        <v>34</v>
      </c>
      <c r="C3544">
        <v>200</v>
      </c>
      <c r="D3544">
        <v>1</v>
      </c>
      <c r="E3544">
        <v>0</v>
      </c>
      <c r="F3544" t="s">
        <v>13273</v>
      </c>
      <c r="G3544">
        <v>200</v>
      </c>
      <c r="H3544">
        <v>0</v>
      </c>
      <c r="I3544" t="s">
        <v>24</v>
      </c>
      <c r="J3544" t="s">
        <v>13274</v>
      </c>
      <c r="K3544" t="s">
        <v>61</v>
      </c>
      <c r="L3544" t="s">
        <v>27</v>
      </c>
      <c r="M3544" t="s">
        <v>28</v>
      </c>
      <c r="N3544" t="s">
        <v>13275</v>
      </c>
      <c r="O3544" t="s">
        <v>27</v>
      </c>
      <c r="P3544" t="s">
        <v>56</v>
      </c>
      <c r="Q3544" t="s">
        <v>31</v>
      </c>
      <c r="R3544" t="s">
        <v>57</v>
      </c>
      <c r="S3544" t="s">
        <v>28</v>
      </c>
      <c r="T3544" t="s">
        <v>13276</v>
      </c>
      <c r="U3544" t="s">
        <v>13275</v>
      </c>
    </row>
    <row r="3545" spans="1:21" x14ac:dyDescent="0.25">
      <c r="A3545" t="s">
        <v>58</v>
      </c>
      <c r="B3545" t="s">
        <v>58</v>
      </c>
      <c r="C3545">
        <v>100</v>
      </c>
      <c r="D3545">
        <v>1</v>
      </c>
      <c r="E3545">
        <v>0</v>
      </c>
      <c r="F3545" t="s">
        <v>13277</v>
      </c>
      <c r="G3545">
        <v>107</v>
      </c>
      <c r="H3545">
        <v>7</v>
      </c>
      <c r="I3545" t="s">
        <v>445</v>
      </c>
      <c r="J3545" t="s">
        <v>5239</v>
      </c>
      <c r="K3545" t="s">
        <v>13278</v>
      </c>
      <c r="L3545" t="s">
        <v>11189</v>
      </c>
      <c r="M3545" t="s">
        <v>8502</v>
      </c>
      <c r="N3545" t="s">
        <v>13275</v>
      </c>
      <c r="O3545" t="s">
        <v>27</v>
      </c>
      <c r="P3545" t="s">
        <v>84</v>
      </c>
      <c r="Q3545" t="s">
        <v>85</v>
      </c>
      <c r="R3545" t="s">
        <v>86</v>
      </c>
      <c r="S3545" t="s">
        <v>28</v>
      </c>
      <c r="T3545" t="s">
        <v>13279</v>
      </c>
      <c r="U3545" t="s">
        <v>13280</v>
      </c>
    </row>
    <row r="3546" spans="1:21" x14ac:dyDescent="0.25">
      <c r="A3546" t="s">
        <v>1513</v>
      </c>
      <c r="B3546" t="s">
        <v>1514</v>
      </c>
      <c r="C3546">
        <v>330</v>
      </c>
      <c r="D3546">
        <v>1</v>
      </c>
      <c r="E3546">
        <v>0</v>
      </c>
      <c r="F3546" t="s">
        <v>13281</v>
      </c>
      <c r="G3546">
        <v>330</v>
      </c>
      <c r="H3546">
        <v>0</v>
      </c>
      <c r="I3546" t="s">
        <v>445</v>
      </c>
      <c r="J3546" t="s">
        <v>13282</v>
      </c>
      <c r="K3546" t="s">
        <v>37</v>
      </c>
      <c r="L3546" t="s">
        <v>27</v>
      </c>
      <c r="M3546" t="s">
        <v>28</v>
      </c>
      <c r="N3546" t="s">
        <v>13283</v>
      </c>
      <c r="O3546" t="s">
        <v>27</v>
      </c>
      <c r="P3546" t="s">
        <v>39</v>
      </c>
      <c r="Q3546" t="s">
        <v>31</v>
      </c>
      <c r="R3546" t="s">
        <v>32</v>
      </c>
      <c r="S3546" t="s">
        <v>28</v>
      </c>
      <c r="T3546" t="s">
        <v>13284</v>
      </c>
      <c r="U3546" t="s">
        <v>13283</v>
      </c>
    </row>
    <row r="3547" spans="1:21" x14ac:dyDescent="0.25">
      <c r="A3547" t="s">
        <v>58</v>
      </c>
      <c r="B3547" t="s">
        <v>58</v>
      </c>
      <c r="C3547">
        <v>100</v>
      </c>
      <c r="D3547">
        <v>1</v>
      </c>
      <c r="E3547">
        <v>0</v>
      </c>
      <c r="F3547" t="s">
        <v>13285</v>
      </c>
      <c r="G3547">
        <v>106</v>
      </c>
      <c r="H3547">
        <v>6</v>
      </c>
      <c r="I3547" t="s">
        <v>445</v>
      </c>
      <c r="J3547" t="s">
        <v>13286</v>
      </c>
      <c r="K3547" t="s">
        <v>711</v>
      </c>
      <c r="L3547" t="s">
        <v>27</v>
      </c>
      <c r="M3547" t="s">
        <v>28</v>
      </c>
      <c r="N3547" t="s">
        <v>13287</v>
      </c>
      <c r="O3547" t="s">
        <v>27</v>
      </c>
      <c r="P3547" t="s">
        <v>39</v>
      </c>
      <c r="Q3547" t="s">
        <v>31</v>
      </c>
      <c r="R3547" t="s">
        <v>32</v>
      </c>
      <c r="S3547" t="s">
        <v>13288</v>
      </c>
      <c r="T3547" t="s">
        <v>13289</v>
      </c>
      <c r="U3547" t="s">
        <v>13287</v>
      </c>
    </row>
    <row r="3548" spans="1:21" x14ac:dyDescent="0.25">
      <c r="A3548" t="s">
        <v>13290</v>
      </c>
      <c r="B3548" t="s">
        <v>13291</v>
      </c>
      <c r="C3548">
        <v>100</v>
      </c>
      <c r="D3548">
        <v>1</v>
      </c>
      <c r="E3548">
        <v>0</v>
      </c>
      <c r="F3548" t="s">
        <v>13292</v>
      </c>
      <c r="G3548">
        <v>150</v>
      </c>
      <c r="H3548">
        <v>0</v>
      </c>
      <c r="I3548" t="s">
        <v>445</v>
      </c>
      <c r="J3548" t="s">
        <v>13293</v>
      </c>
      <c r="K3548" t="s">
        <v>451</v>
      </c>
      <c r="L3548" t="s">
        <v>27</v>
      </c>
      <c r="M3548" t="s">
        <v>28</v>
      </c>
      <c r="N3548" t="s">
        <v>13294</v>
      </c>
      <c r="O3548" t="s">
        <v>27</v>
      </c>
      <c r="P3548" t="s">
        <v>56</v>
      </c>
      <c r="Q3548" t="s">
        <v>31</v>
      </c>
      <c r="R3548" t="s">
        <v>57</v>
      </c>
      <c r="S3548" t="s">
        <v>28</v>
      </c>
      <c r="T3548" t="s">
        <v>13295</v>
      </c>
      <c r="U3548" t="s">
        <v>13294</v>
      </c>
    </row>
    <row r="3549" spans="1:21" x14ac:dyDescent="0.25">
      <c r="A3549" t="s">
        <v>456</v>
      </c>
      <c r="B3549" t="s">
        <v>457</v>
      </c>
      <c r="C3549">
        <v>197</v>
      </c>
      <c r="D3549">
        <v>1</v>
      </c>
      <c r="E3549">
        <v>0</v>
      </c>
      <c r="F3549" t="s">
        <v>13296</v>
      </c>
      <c r="G3549">
        <v>242</v>
      </c>
      <c r="H3549">
        <v>45</v>
      </c>
      <c r="I3549" t="s">
        <v>445</v>
      </c>
      <c r="J3549" t="s">
        <v>8499</v>
      </c>
      <c r="K3549" t="s">
        <v>11717</v>
      </c>
      <c r="L3549" t="s">
        <v>3844</v>
      </c>
      <c r="M3549" t="s">
        <v>6076</v>
      </c>
      <c r="N3549" t="s">
        <v>13297</v>
      </c>
      <c r="O3549" t="s">
        <v>27</v>
      </c>
      <c r="P3549" t="s">
        <v>193</v>
      </c>
      <c r="Q3549" t="s">
        <v>85</v>
      </c>
      <c r="R3549" t="s">
        <v>86</v>
      </c>
      <c r="S3549" t="s">
        <v>28</v>
      </c>
      <c r="T3549" t="s">
        <v>13298</v>
      </c>
      <c r="U3549" t="s">
        <v>13297</v>
      </c>
    </row>
    <row r="3550" spans="1:21" x14ac:dyDescent="0.25">
      <c r="A3550" t="s">
        <v>13290</v>
      </c>
      <c r="B3550" t="s">
        <v>13291</v>
      </c>
      <c r="C3550">
        <v>100</v>
      </c>
      <c r="D3550">
        <v>1</v>
      </c>
      <c r="E3550">
        <v>0</v>
      </c>
      <c r="F3550" t="s">
        <v>13299</v>
      </c>
      <c r="G3550">
        <v>125</v>
      </c>
      <c r="H3550">
        <v>25</v>
      </c>
      <c r="I3550" t="s">
        <v>24</v>
      </c>
      <c r="J3550" t="s">
        <v>13300</v>
      </c>
      <c r="K3550" t="s">
        <v>250</v>
      </c>
      <c r="L3550" t="s">
        <v>27</v>
      </c>
      <c r="M3550" t="s">
        <v>28</v>
      </c>
      <c r="N3550" t="s">
        <v>13301</v>
      </c>
      <c r="O3550" t="s">
        <v>27</v>
      </c>
      <c r="P3550" t="s">
        <v>39</v>
      </c>
      <c r="Q3550" t="s">
        <v>31</v>
      </c>
      <c r="R3550" t="s">
        <v>32</v>
      </c>
      <c r="S3550" t="s">
        <v>28</v>
      </c>
      <c r="T3550" t="s">
        <v>13302</v>
      </c>
      <c r="U3550" t="s">
        <v>13303</v>
      </c>
    </row>
    <row r="3551" spans="1:21" x14ac:dyDescent="0.25">
      <c r="A3551" t="s">
        <v>70</v>
      </c>
      <c r="B3551" t="s">
        <v>70</v>
      </c>
      <c r="C3551">
        <v>330</v>
      </c>
      <c r="D3551">
        <v>1</v>
      </c>
      <c r="E3551">
        <v>0</v>
      </c>
      <c r="F3551" t="s">
        <v>13304</v>
      </c>
      <c r="G3551">
        <v>330</v>
      </c>
      <c r="H3551">
        <v>0</v>
      </c>
      <c r="I3551" t="s">
        <v>24</v>
      </c>
      <c r="J3551" t="s">
        <v>13305</v>
      </c>
      <c r="K3551" t="s">
        <v>960</v>
      </c>
      <c r="L3551" t="s">
        <v>27</v>
      </c>
      <c r="M3551" t="s">
        <v>28</v>
      </c>
      <c r="N3551" t="s">
        <v>13306</v>
      </c>
      <c r="O3551" t="s">
        <v>27</v>
      </c>
      <c r="P3551" t="s">
        <v>39</v>
      </c>
      <c r="Q3551" t="s">
        <v>31</v>
      </c>
      <c r="R3551" t="s">
        <v>32</v>
      </c>
      <c r="S3551" t="s">
        <v>28</v>
      </c>
      <c r="T3551" t="s">
        <v>13307</v>
      </c>
      <c r="U3551" t="s">
        <v>13306</v>
      </c>
    </row>
    <row r="3552" spans="1:21" x14ac:dyDescent="0.25">
      <c r="A3552" t="s">
        <v>94</v>
      </c>
      <c r="B3552" t="s">
        <v>95</v>
      </c>
      <c r="C3552">
        <v>20</v>
      </c>
      <c r="D3552">
        <v>1</v>
      </c>
      <c r="E3552">
        <v>0</v>
      </c>
      <c r="F3552" t="s">
        <v>13308</v>
      </c>
      <c r="G3552">
        <v>20</v>
      </c>
      <c r="H3552">
        <v>0</v>
      </c>
      <c r="I3552" t="s">
        <v>24</v>
      </c>
      <c r="J3552" t="s">
        <v>13309</v>
      </c>
      <c r="K3552" t="s">
        <v>13310</v>
      </c>
      <c r="L3552" t="s">
        <v>4459</v>
      </c>
      <c r="M3552" t="s">
        <v>13311</v>
      </c>
      <c r="N3552" t="s">
        <v>13312</v>
      </c>
      <c r="O3552" t="s">
        <v>27</v>
      </c>
      <c r="P3552" t="s">
        <v>48</v>
      </c>
      <c r="Q3552" t="s">
        <v>49</v>
      </c>
      <c r="R3552" t="s">
        <v>50</v>
      </c>
      <c r="S3552" t="s">
        <v>28</v>
      </c>
      <c r="T3552" t="s">
        <v>13313</v>
      </c>
      <c r="U3552" t="s">
        <v>13314</v>
      </c>
    </row>
    <row r="3553" spans="1:21" x14ac:dyDescent="0.25">
      <c r="A3553" t="s">
        <v>63</v>
      </c>
      <c r="B3553" t="s">
        <v>64</v>
      </c>
      <c r="C3553">
        <v>100</v>
      </c>
      <c r="D3553">
        <v>1</v>
      </c>
      <c r="E3553">
        <v>0</v>
      </c>
      <c r="F3553" t="s">
        <v>13315</v>
      </c>
      <c r="G3553">
        <v>100</v>
      </c>
      <c r="H3553">
        <v>0</v>
      </c>
      <c r="I3553" t="s">
        <v>24</v>
      </c>
      <c r="J3553" t="s">
        <v>13316</v>
      </c>
      <c r="K3553" t="s">
        <v>247</v>
      </c>
      <c r="L3553" t="s">
        <v>27</v>
      </c>
      <c r="M3553" t="s">
        <v>28</v>
      </c>
      <c r="N3553" t="s">
        <v>13317</v>
      </c>
      <c r="O3553" t="s">
        <v>27</v>
      </c>
      <c r="P3553" t="s">
        <v>56</v>
      </c>
      <c r="Q3553" t="s">
        <v>31</v>
      </c>
      <c r="R3553" t="s">
        <v>57</v>
      </c>
      <c r="S3553" t="s">
        <v>28</v>
      </c>
      <c r="T3553" t="s">
        <v>13318</v>
      </c>
      <c r="U3553" t="s">
        <v>13317</v>
      </c>
    </row>
    <row r="3554" spans="1:21" x14ac:dyDescent="0.25">
      <c r="A3554" t="s">
        <v>1513</v>
      </c>
      <c r="B3554" t="s">
        <v>1514</v>
      </c>
      <c r="C3554">
        <v>330</v>
      </c>
      <c r="D3554">
        <v>5</v>
      </c>
      <c r="E3554">
        <v>0</v>
      </c>
      <c r="F3554" t="s">
        <v>13319</v>
      </c>
      <c r="G3554">
        <v>1650</v>
      </c>
      <c r="H3554">
        <v>0</v>
      </c>
      <c r="I3554" t="s">
        <v>24</v>
      </c>
      <c r="J3554" t="s">
        <v>13320</v>
      </c>
      <c r="K3554" t="s">
        <v>342</v>
      </c>
      <c r="L3554" t="s">
        <v>27</v>
      </c>
      <c r="M3554" t="s">
        <v>28</v>
      </c>
      <c r="N3554" t="s">
        <v>13321</v>
      </c>
      <c r="O3554" t="s">
        <v>27</v>
      </c>
      <c r="P3554" t="s">
        <v>56</v>
      </c>
      <c r="Q3554" t="s">
        <v>31</v>
      </c>
      <c r="R3554" t="s">
        <v>57</v>
      </c>
      <c r="S3554" t="s">
        <v>28</v>
      </c>
      <c r="T3554" t="s">
        <v>13322</v>
      </c>
      <c r="U3554" t="s">
        <v>13321</v>
      </c>
    </row>
    <row r="3555" spans="1:21" x14ac:dyDescent="0.25">
      <c r="A3555" t="s">
        <v>635</v>
      </c>
      <c r="B3555" t="s">
        <v>714</v>
      </c>
      <c r="C3555">
        <v>673.62</v>
      </c>
      <c r="D3555">
        <v>1</v>
      </c>
      <c r="E3555">
        <v>0</v>
      </c>
      <c r="F3555" t="s">
        <v>13323</v>
      </c>
      <c r="G3555">
        <v>1186.7</v>
      </c>
      <c r="H3555">
        <v>64</v>
      </c>
      <c r="I3555" t="s">
        <v>628</v>
      </c>
      <c r="J3555" t="s">
        <v>13324</v>
      </c>
      <c r="K3555" t="s">
        <v>13325</v>
      </c>
      <c r="L3555" t="s">
        <v>777</v>
      </c>
      <c r="M3555" t="s">
        <v>13326</v>
      </c>
      <c r="N3555" t="s">
        <v>13327</v>
      </c>
      <c r="O3555" t="s">
        <v>27</v>
      </c>
      <c r="P3555" t="s">
        <v>48</v>
      </c>
      <c r="Q3555" t="s">
        <v>49</v>
      </c>
      <c r="R3555" t="s">
        <v>50</v>
      </c>
      <c r="S3555" t="s">
        <v>28</v>
      </c>
      <c r="T3555" t="s">
        <v>13328</v>
      </c>
      <c r="U3555" t="s">
        <v>13329</v>
      </c>
    </row>
    <row r="3556" spans="1:21" x14ac:dyDescent="0.25">
      <c r="A3556" t="s">
        <v>33</v>
      </c>
      <c r="B3556" t="s">
        <v>34</v>
      </c>
      <c r="C3556">
        <v>200</v>
      </c>
      <c r="D3556">
        <v>1</v>
      </c>
      <c r="E3556">
        <v>0</v>
      </c>
      <c r="F3556" t="s">
        <v>13330</v>
      </c>
      <c r="G3556">
        <v>200</v>
      </c>
      <c r="H3556">
        <v>0</v>
      </c>
      <c r="I3556" t="s">
        <v>24</v>
      </c>
      <c r="J3556" t="s">
        <v>13331</v>
      </c>
      <c r="K3556" t="s">
        <v>250</v>
      </c>
      <c r="L3556" t="s">
        <v>27</v>
      </c>
      <c r="M3556" t="s">
        <v>28</v>
      </c>
      <c r="N3556" t="s">
        <v>13332</v>
      </c>
      <c r="O3556" t="s">
        <v>27</v>
      </c>
      <c r="P3556" t="s">
        <v>56</v>
      </c>
      <c r="Q3556" t="s">
        <v>31</v>
      </c>
      <c r="R3556" t="s">
        <v>57</v>
      </c>
      <c r="S3556" t="s">
        <v>28</v>
      </c>
      <c r="T3556" t="s">
        <v>13333</v>
      </c>
      <c r="U3556" t="s">
        <v>13334</v>
      </c>
    </row>
    <row r="3557" spans="1:21" x14ac:dyDescent="0.25">
      <c r="A3557" t="s">
        <v>33</v>
      </c>
      <c r="B3557" t="s">
        <v>34</v>
      </c>
      <c r="C3557">
        <v>200</v>
      </c>
      <c r="D3557">
        <v>1</v>
      </c>
      <c r="E3557">
        <v>0</v>
      </c>
      <c r="F3557" t="s">
        <v>13335</v>
      </c>
      <c r="G3557">
        <v>200</v>
      </c>
      <c r="H3557">
        <v>0</v>
      </c>
      <c r="I3557" t="s">
        <v>24</v>
      </c>
      <c r="J3557" t="s">
        <v>13336</v>
      </c>
      <c r="K3557" t="s">
        <v>247</v>
      </c>
      <c r="L3557" t="s">
        <v>27</v>
      </c>
      <c r="M3557" t="s">
        <v>28</v>
      </c>
      <c r="N3557" t="s">
        <v>13337</v>
      </c>
      <c r="O3557" t="s">
        <v>27</v>
      </c>
      <c r="P3557" t="s">
        <v>39</v>
      </c>
      <c r="Q3557" t="s">
        <v>31</v>
      </c>
      <c r="R3557" t="s">
        <v>32</v>
      </c>
      <c r="S3557" t="s">
        <v>28</v>
      </c>
      <c r="T3557" t="s">
        <v>13338</v>
      </c>
      <c r="U3557" t="s">
        <v>13337</v>
      </c>
    </row>
    <row r="3558" spans="1:21" x14ac:dyDescent="0.25">
      <c r="A3558" t="s">
        <v>33</v>
      </c>
      <c r="B3558" t="s">
        <v>34</v>
      </c>
      <c r="C3558">
        <v>200</v>
      </c>
      <c r="D3558">
        <v>1</v>
      </c>
      <c r="E3558">
        <v>0</v>
      </c>
      <c r="F3558" t="s">
        <v>13339</v>
      </c>
      <c r="G3558">
        <v>200</v>
      </c>
      <c r="H3558">
        <v>0</v>
      </c>
      <c r="I3558" t="s">
        <v>24</v>
      </c>
      <c r="J3558" t="s">
        <v>13340</v>
      </c>
      <c r="K3558" t="s">
        <v>919</v>
      </c>
      <c r="L3558" t="s">
        <v>27</v>
      </c>
      <c r="M3558" t="s">
        <v>28</v>
      </c>
      <c r="N3558" t="s">
        <v>13341</v>
      </c>
      <c r="O3558" t="s">
        <v>27</v>
      </c>
      <c r="P3558" t="s">
        <v>39</v>
      </c>
      <c r="Q3558" t="s">
        <v>31</v>
      </c>
      <c r="R3558" t="s">
        <v>32</v>
      </c>
      <c r="S3558" t="s">
        <v>28</v>
      </c>
      <c r="T3558" t="s">
        <v>13342</v>
      </c>
      <c r="U3558" t="s">
        <v>13341</v>
      </c>
    </row>
    <row r="3559" spans="1:21" x14ac:dyDescent="0.25">
      <c r="A3559" t="s">
        <v>76</v>
      </c>
      <c r="B3559" t="s">
        <v>77</v>
      </c>
      <c r="C3559">
        <v>199</v>
      </c>
      <c r="D3559">
        <v>1</v>
      </c>
      <c r="E3559">
        <v>0</v>
      </c>
      <c r="F3559" t="s">
        <v>13343</v>
      </c>
      <c r="G3559">
        <v>263</v>
      </c>
      <c r="H3559">
        <v>64</v>
      </c>
      <c r="I3559" t="s">
        <v>24</v>
      </c>
      <c r="J3559" t="s">
        <v>1993</v>
      </c>
      <c r="K3559" t="s">
        <v>13344</v>
      </c>
      <c r="L3559" t="s">
        <v>2173</v>
      </c>
      <c r="M3559" t="s">
        <v>1995</v>
      </c>
      <c r="N3559" t="s">
        <v>13341</v>
      </c>
      <c r="O3559" t="s">
        <v>27</v>
      </c>
      <c r="P3559" t="s">
        <v>193</v>
      </c>
      <c r="Q3559" t="s">
        <v>85</v>
      </c>
      <c r="R3559" t="s">
        <v>86</v>
      </c>
      <c r="S3559" t="s">
        <v>28</v>
      </c>
      <c r="T3559" t="s">
        <v>13345</v>
      </c>
      <c r="U3559" t="s">
        <v>13341</v>
      </c>
    </row>
    <row r="3560" spans="1:21" x14ac:dyDescent="0.25">
      <c r="A3560" t="s">
        <v>58</v>
      </c>
      <c r="B3560" t="s">
        <v>103</v>
      </c>
      <c r="C3560">
        <v>99.75</v>
      </c>
      <c r="D3560">
        <v>1</v>
      </c>
      <c r="E3560">
        <v>0</v>
      </c>
      <c r="F3560" t="s">
        <v>13346</v>
      </c>
      <c r="G3560">
        <v>104.75</v>
      </c>
      <c r="H3560">
        <v>5</v>
      </c>
      <c r="I3560" t="s">
        <v>105</v>
      </c>
      <c r="J3560" t="s">
        <v>5032</v>
      </c>
      <c r="K3560" t="s">
        <v>13347</v>
      </c>
      <c r="L3560" t="s">
        <v>258</v>
      </c>
      <c r="M3560" t="s">
        <v>5034</v>
      </c>
      <c r="N3560" t="s">
        <v>13348</v>
      </c>
      <c r="O3560" t="s">
        <v>27</v>
      </c>
      <c r="P3560" t="s">
        <v>48</v>
      </c>
      <c r="Q3560" t="s">
        <v>49</v>
      </c>
      <c r="R3560" t="s">
        <v>50</v>
      </c>
      <c r="S3560" t="s">
        <v>28</v>
      </c>
      <c r="T3560" t="s">
        <v>13349</v>
      </c>
      <c r="U3560" t="s">
        <v>13350</v>
      </c>
    </row>
    <row r="3561" spans="1:21" x14ac:dyDescent="0.25">
      <c r="A3561" t="s">
        <v>143</v>
      </c>
      <c r="B3561" t="s">
        <v>144</v>
      </c>
      <c r="C3561">
        <v>200</v>
      </c>
      <c r="D3561">
        <v>1</v>
      </c>
      <c r="E3561">
        <v>0</v>
      </c>
      <c r="F3561" t="s">
        <v>13351</v>
      </c>
      <c r="G3561">
        <v>200</v>
      </c>
      <c r="H3561">
        <v>0</v>
      </c>
      <c r="I3561" t="s">
        <v>24</v>
      </c>
      <c r="J3561" t="s">
        <v>13352</v>
      </c>
      <c r="K3561" t="s">
        <v>834</v>
      </c>
      <c r="L3561" t="s">
        <v>27</v>
      </c>
      <c r="M3561" t="s">
        <v>28</v>
      </c>
      <c r="N3561" t="s">
        <v>13353</v>
      </c>
      <c r="O3561" t="s">
        <v>27</v>
      </c>
      <c r="P3561" t="s">
        <v>39</v>
      </c>
      <c r="Q3561" t="s">
        <v>31</v>
      </c>
      <c r="R3561" t="s">
        <v>32</v>
      </c>
      <c r="S3561" t="s">
        <v>28</v>
      </c>
      <c r="T3561" t="s">
        <v>13354</v>
      </c>
      <c r="U3561" t="s">
        <v>13353</v>
      </c>
    </row>
    <row r="3562" spans="1:21" x14ac:dyDescent="0.25">
      <c r="A3562" t="s">
        <v>33</v>
      </c>
      <c r="B3562" t="s">
        <v>34</v>
      </c>
      <c r="C3562">
        <v>200</v>
      </c>
      <c r="D3562">
        <v>2</v>
      </c>
      <c r="E3562">
        <v>0</v>
      </c>
      <c r="F3562" t="s">
        <v>13355</v>
      </c>
      <c r="G3562">
        <v>400</v>
      </c>
      <c r="H3562">
        <v>0</v>
      </c>
      <c r="I3562" t="s">
        <v>445</v>
      </c>
      <c r="J3562" t="s">
        <v>13356</v>
      </c>
      <c r="K3562" t="s">
        <v>579</v>
      </c>
      <c r="L3562" t="s">
        <v>27</v>
      </c>
      <c r="M3562" t="s">
        <v>28</v>
      </c>
      <c r="N3562" t="s">
        <v>13357</v>
      </c>
      <c r="O3562" t="s">
        <v>27</v>
      </c>
      <c r="P3562" t="s">
        <v>56</v>
      </c>
      <c r="Q3562" t="s">
        <v>31</v>
      </c>
      <c r="R3562" t="s">
        <v>57</v>
      </c>
      <c r="S3562" t="s">
        <v>28</v>
      </c>
      <c r="T3562" t="s">
        <v>13358</v>
      </c>
      <c r="U3562" t="s">
        <v>13357</v>
      </c>
    </row>
    <row r="3563" spans="1:21" x14ac:dyDescent="0.25">
      <c r="A3563" t="s">
        <v>143</v>
      </c>
      <c r="B3563" t="s">
        <v>144</v>
      </c>
      <c r="C3563">
        <v>200</v>
      </c>
      <c r="D3563">
        <v>1</v>
      </c>
      <c r="E3563">
        <v>0</v>
      </c>
      <c r="F3563" t="s">
        <v>13359</v>
      </c>
      <c r="G3563">
        <v>200</v>
      </c>
      <c r="H3563">
        <v>0</v>
      </c>
      <c r="I3563" t="s">
        <v>24</v>
      </c>
      <c r="J3563" t="s">
        <v>13360</v>
      </c>
      <c r="K3563" t="s">
        <v>250</v>
      </c>
      <c r="L3563" t="s">
        <v>27</v>
      </c>
      <c r="M3563" t="s">
        <v>28</v>
      </c>
      <c r="N3563" t="s">
        <v>13361</v>
      </c>
      <c r="O3563" t="s">
        <v>27</v>
      </c>
      <c r="P3563" t="s">
        <v>39</v>
      </c>
      <c r="Q3563" t="s">
        <v>31</v>
      </c>
      <c r="R3563" t="s">
        <v>32</v>
      </c>
      <c r="S3563" t="s">
        <v>28</v>
      </c>
      <c r="T3563" t="s">
        <v>13362</v>
      </c>
      <c r="U3563" t="s">
        <v>13361</v>
      </c>
    </row>
    <row r="3564" spans="1:21" x14ac:dyDescent="0.25">
      <c r="A3564" t="s">
        <v>456</v>
      </c>
      <c r="B3564" t="s">
        <v>457</v>
      </c>
      <c r="C3564">
        <v>199</v>
      </c>
      <c r="D3564">
        <v>3</v>
      </c>
      <c r="E3564">
        <v>0</v>
      </c>
      <c r="F3564" t="s">
        <v>13363</v>
      </c>
      <c r="G3564">
        <v>676</v>
      </c>
      <c r="H3564">
        <v>79</v>
      </c>
      <c r="I3564" t="s">
        <v>24</v>
      </c>
      <c r="J3564" t="s">
        <v>11187</v>
      </c>
      <c r="K3564" t="s">
        <v>13364</v>
      </c>
      <c r="L3564" t="s">
        <v>13365</v>
      </c>
      <c r="M3564" t="s">
        <v>6812</v>
      </c>
      <c r="N3564" t="s">
        <v>13366</v>
      </c>
      <c r="O3564" t="s">
        <v>27</v>
      </c>
      <c r="P3564" t="s">
        <v>193</v>
      </c>
      <c r="Q3564" t="s">
        <v>85</v>
      </c>
      <c r="R3564" t="s">
        <v>86</v>
      </c>
      <c r="S3564" t="s">
        <v>28</v>
      </c>
      <c r="T3564" t="s">
        <v>13367</v>
      </c>
      <c r="U3564" t="s">
        <v>13361</v>
      </c>
    </row>
    <row r="3565" spans="1:21" x14ac:dyDescent="0.25">
      <c r="A3565" t="s">
        <v>33</v>
      </c>
      <c r="B3565" t="s">
        <v>34</v>
      </c>
      <c r="C3565">
        <v>200</v>
      </c>
      <c r="D3565">
        <v>1</v>
      </c>
      <c r="E3565">
        <v>0</v>
      </c>
      <c r="F3565" t="s">
        <v>13368</v>
      </c>
      <c r="G3565">
        <v>200</v>
      </c>
      <c r="H3565">
        <v>0</v>
      </c>
      <c r="I3565" t="s">
        <v>24</v>
      </c>
      <c r="J3565" t="s">
        <v>13369</v>
      </c>
      <c r="K3565" t="s">
        <v>346</v>
      </c>
      <c r="L3565" t="s">
        <v>27</v>
      </c>
      <c r="M3565" t="s">
        <v>28</v>
      </c>
      <c r="N3565" t="s">
        <v>13370</v>
      </c>
      <c r="O3565" t="s">
        <v>27</v>
      </c>
      <c r="P3565" t="s">
        <v>39</v>
      </c>
      <c r="Q3565" t="s">
        <v>31</v>
      </c>
      <c r="R3565" t="s">
        <v>32</v>
      </c>
      <c r="S3565" t="s">
        <v>28</v>
      </c>
      <c r="T3565" t="s">
        <v>13371</v>
      </c>
      <c r="U3565" t="s">
        <v>13370</v>
      </c>
    </row>
    <row r="3566" spans="1:21" x14ac:dyDescent="0.25">
      <c r="A3566" t="s">
        <v>143</v>
      </c>
      <c r="B3566" t="s">
        <v>144</v>
      </c>
      <c r="C3566">
        <v>200</v>
      </c>
      <c r="D3566">
        <v>2</v>
      </c>
      <c r="E3566">
        <v>0</v>
      </c>
      <c r="F3566" t="s">
        <v>13372</v>
      </c>
      <c r="G3566">
        <v>400</v>
      </c>
      <c r="H3566">
        <v>0</v>
      </c>
      <c r="I3566" t="s">
        <v>445</v>
      </c>
      <c r="J3566" t="s">
        <v>13373</v>
      </c>
      <c r="K3566" t="s">
        <v>89</v>
      </c>
      <c r="L3566" t="s">
        <v>27</v>
      </c>
      <c r="M3566" t="s">
        <v>28</v>
      </c>
      <c r="N3566" t="s">
        <v>13374</v>
      </c>
      <c r="O3566" t="s">
        <v>27</v>
      </c>
      <c r="P3566" t="s">
        <v>39</v>
      </c>
      <c r="Q3566" t="s">
        <v>31</v>
      </c>
      <c r="R3566" t="s">
        <v>32</v>
      </c>
      <c r="S3566" t="s">
        <v>28</v>
      </c>
      <c r="T3566" t="s">
        <v>13375</v>
      </c>
      <c r="U3566" t="s">
        <v>13374</v>
      </c>
    </row>
    <row r="3567" spans="1:21" x14ac:dyDescent="0.25">
      <c r="A3567" t="s">
        <v>21</v>
      </c>
      <c r="B3567" t="s">
        <v>22</v>
      </c>
      <c r="C3567">
        <v>100</v>
      </c>
      <c r="D3567">
        <v>1</v>
      </c>
      <c r="E3567">
        <v>0</v>
      </c>
      <c r="F3567" t="s">
        <v>13376</v>
      </c>
      <c r="G3567">
        <v>106</v>
      </c>
      <c r="H3567">
        <v>6</v>
      </c>
      <c r="I3567" t="s">
        <v>140</v>
      </c>
      <c r="J3567" t="s">
        <v>13377</v>
      </c>
      <c r="K3567" t="s">
        <v>1878</v>
      </c>
      <c r="L3567" t="s">
        <v>27</v>
      </c>
      <c r="M3567" t="s">
        <v>28</v>
      </c>
      <c r="N3567" t="s">
        <v>13378</v>
      </c>
      <c r="O3567" t="s">
        <v>27</v>
      </c>
      <c r="P3567" t="s">
        <v>30</v>
      </c>
      <c r="Q3567" t="s">
        <v>31</v>
      </c>
      <c r="R3567" t="s">
        <v>32</v>
      </c>
      <c r="S3567" t="s">
        <v>28</v>
      </c>
      <c r="T3567" t="s">
        <v>13379</v>
      </c>
      <c r="U3567" t="s">
        <v>13378</v>
      </c>
    </row>
    <row r="3568" spans="1:21" x14ac:dyDescent="0.25">
      <c r="A3568" t="s">
        <v>2307</v>
      </c>
      <c r="B3568" t="s">
        <v>2308</v>
      </c>
      <c r="C3568">
        <v>330</v>
      </c>
      <c r="D3568">
        <v>2</v>
      </c>
      <c r="E3568">
        <v>0</v>
      </c>
      <c r="F3568" t="s">
        <v>13380</v>
      </c>
      <c r="G3568">
        <v>990</v>
      </c>
      <c r="H3568">
        <v>0</v>
      </c>
      <c r="I3568" t="s">
        <v>24</v>
      </c>
      <c r="J3568" t="s">
        <v>13381</v>
      </c>
      <c r="K3568" t="s">
        <v>384</v>
      </c>
      <c r="L3568" t="s">
        <v>27</v>
      </c>
      <c r="M3568" t="s">
        <v>28</v>
      </c>
      <c r="N3568" t="s">
        <v>13382</v>
      </c>
      <c r="O3568" t="s">
        <v>27</v>
      </c>
      <c r="P3568" t="s">
        <v>39</v>
      </c>
      <c r="Q3568" t="s">
        <v>31</v>
      </c>
      <c r="R3568" t="s">
        <v>32</v>
      </c>
      <c r="S3568" t="s">
        <v>28</v>
      </c>
      <c r="T3568" t="s">
        <v>13383</v>
      </c>
      <c r="U3568" t="s">
        <v>13382</v>
      </c>
    </row>
    <row r="3569" spans="1:21" x14ac:dyDescent="0.25">
      <c r="A3569" t="s">
        <v>70</v>
      </c>
      <c r="B3569" t="s">
        <v>70</v>
      </c>
      <c r="C3569">
        <v>330</v>
      </c>
      <c r="D3569">
        <v>1</v>
      </c>
      <c r="E3569">
        <v>0</v>
      </c>
      <c r="F3569" t="s">
        <v>13380</v>
      </c>
      <c r="G3569">
        <v>990</v>
      </c>
      <c r="H3569">
        <v>0</v>
      </c>
      <c r="I3569" t="s">
        <v>24</v>
      </c>
      <c r="J3569" t="s">
        <v>13381</v>
      </c>
      <c r="K3569" t="s">
        <v>384</v>
      </c>
      <c r="L3569" t="s">
        <v>27</v>
      </c>
      <c r="M3569" t="s">
        <v>28</v>
      </c>
      <c r="N3569" t="s">
        <v>13382</v>
      </c>
      <c r="O3569" t="s">
        <v>27</v>
      </c>
      <c r="P3569" t="s">
        <v>39</v>
      </c>
      <c r="Q3569" t="s">
        <v>31</v>
      </c>
      <c r="R3569" t="s">
        <v>32</v>
      </c>
      <c r="S3569" t="s">
        <v>28</v>
      </c>
      <c r="T3569" t="s">
        <v>13383</v>
      </c>
      <c r="U3569" t="s">
        <v>13382</v>
      </c>
    </row>
    <row r="3570" spans="1:21" x14ac:dyDescent="0.25">
      <c r="A3570" t="s">
        <v>58</v>
      </c>
      <c r="B3570" t="s">
        <v>103</v>
      </c>
      <c r="C3570">
        <v>105</v>
      </c>
      <c r="D3570">
        <v>1</v>
      </c>
      <c r="E3570">
        <v>0</v>
      </c>
      <c r="F3570" t="s">
        <v>13384</v>
      </c>
      <c r="G3570">
        <v>110</v>
      </c>
      <c r="H3570">
        <v>5</v>
      </c>
      <c r="I3570" t="s">
        <v>105</v>
      </c>
      <c r="J3570" t="s">
        <v>13385</v>
      </c>
      <c r="K3570" t="s">
        <v>13386</v>
      </c>
      <c r="L3570" t="s">
        <v>11712</v>
      </c>
      <c r="M3570" t="s">
        <v>13387</v>
      </c>
      <c r="N3570" t="s">
        <v>13388</v>
      </c>
      <c r="O3570" t="s">
        <v>27</v>
      </c>
      <c r="P3570" t="s">
        <v>48</v>
      </c>
      <c r="Q3570" t="s">
        <v>49</v>
      </c>
      <c r="R3570" t="s">
        <v>50</v>
      </c>
      <c r="S3570" t="s">
        <v>28</v>
      </c>
      <c r="T3570" t="s">
        <v>13389</v>
      </c>
      <c r="U3570" t="s">
        <v>13388</v>
      </c>
    </row>
    <row r="3571" spans="1:21" x14ac:dyDescent="0.25">
      <c r="A3571" t="s">
        <v>63</v>
      </c>
      <c r="B3571" t="s">
        <v>64</v>
      </c>
      <c r="C3571">
        <v>150</v>
      </c>
      <c r="D3571">
        <v>2</v>
      </c>
      <c r="E3571">
        <v>0</v>
      </c>
      <c r="F3571" t="s">
        <v>13390</v>
      </c>
      <c r="G3571">
        <v>335</v>
      </c>
      <c r="H3571">
        <v>35</v>
      </c>
      <c r="I3571" t="s">
        <v>24</v>
      </c>
      <c r="J3571" t="s">
        <v>1232</v>
      </c>
      <c r="K3571" t="s">
        <v>1233</v>
      </c>
      <c r="L3571" t="s">
        <v>1234</v>
      </c>
      <c r="M3571" t="s">
        <v>1235</v>
      </c>
      <c r="N3571" t="s">
        <v>13388</v>
      </c>
      <c r="O3571" t="s">
        <v>27</v>
      </c>
      <c r="P3571" t="s">
        <v>84</v>
      </c>
      <c r="Q3571" t="s">
        <v>85</v>
      </c>
      <c r="R3571" t="s">
        <v>86</v>
      </c>
      <c r="S3571" t="s">
        <v>28</v>
      </c>
      <c r="T3571" t="s">
        <v>13391</v>
      </c>
      <c r="U3571" t="s">
        <v>13392</v>
      </c>
    </row>
    <row r="3572" spans="1:21" x14ac:dyDescent="0.25">
      <c r="A3572" t="s">
        <v>456</v>
      </c>
      <c r="B3572" t="s">
        <v>457</v>
      </c>
      <c r="C3572">
        <v>199</v>
      </c>
      <c r="D3572">
        <v>2</v>
      </c>
      <c r="E3572">
        <v>0</v>
      </c>
      <c r="F3572" t="s">
        <v>13393</v>
      </c>
      <c r="G3572">
        <v>462</v>
      </c>
      <c r="H3572">
        <v>64</v>
      </c>
      <c r="I3572" t="s">
        <v>24</v>
      </c>
      <c r="J3572" t="s">
        <v>11537</v>
      </c>
      <c r="K3572" t="s">
        <v>13394</v>
      </c>
      <c r="L3572" t="s">
        <v>1972</v>
      </c>
      <c r="M3572" t="s">
        <v>3574</v>
      </c>
      <c r="N3572" t="s">
        <v>13395</v>
      </c>
      <c r="O3572" t="s">
        <v>27</v>
      </c>
      <c r="P3572" t="s">
        <v>193</v>
      </c>
      <c r="Q3572" t="s">
        <v>85</v>
      </c>
      <c r="R3572" t="s">
        <v>86</v>
      </c>
      <c r="S3572" t="s">
        <v>28</v>
      </c>
      <c r="T3572" t="s">
        <v>13396</v>
      </c>
      <c r="U3572" t="s">
        <v>13392</v>
      </c>
    </row>
    <row r="3573" spans="1:21" x14ac:dyDescent="0.25">
      <c r="A3573" t="s">
        <v>143</v>
      </c>
      <c r="B3573" t="s">
        <v>144</v>
      </c>
      <c r="C3573">
        <v>200</v>
      </c>
      <c r="D3573">
        <v>1</v>
      </c>
      <c r="E3573">
        <v>0</v>
      </c>
      <c r="F3573" t="s">
        <v>13397</v>
      </c>
      <c r="G3573">
        <v>200</v>
      </c>
      <c r="H3573">
        <v>0</v>
      </c>
      <c r="I3573" t="s">
        <v>445</v>
      </c>
      <c r="J3573" t="s">
        <v>13398</v>
      </c>
      <c r="K3573" t="s">
        <v>1038</v>
      </c>
      <c r="L3573" t="s">
        <v>27</v>
      </c>
      <c r="M3573" t="s">
        <v>28</v>
      </c>
      <c r="N3573" t="s">
        <v>13399</v>
      </c>
      <c r="O3573" t="s">
        <v>27</v>
      </c>
      <c r="P3573" t="s">
        <v>39</v>
      </c>
      <c r="Q3573" t="s">
        <v>31</v>
      </c>
      <c r="R3573" t="s">
        <v>32</v>
      </c>
      <c r="S3573" t="s">
        <v>28</v>
      </c>
      <c r="T3573" t="s">
        <v>13400</v>
      </c>
      <c r="U3573" t="s">
        <v>13392</v>
      </c>
    </row>
    <row r="3574" spans="1:21" x14ac:dyDescent="0.25">
      <c r="A3574" t="s">
        <v>40</v>
      </c>
      <c r="B3574" t="s">
        <v>11384</v>
      </c>
      <c r="C3574">
        <v>100</v>
      </c>
      <c r="D3574">
        <v>1</v>
      </c>
      <c r="E3574">
        <v>0</v>
      </c>
      <c r="F3574" t="s">
        <v>13401</v>
      </c>
      <c r="G3574">
        <v>106</v>
      </c>
      <c r="H3574">
        <v>6</v>
      </c>
      <c r="I3574" t="s">
        <v>140</v>
      </c>
      <c r="J3574" t="s">
        <v>13402</v>
      </c>
      <c r="K3574" t="s">
        <v>118</v>
      </c>
      <c r="L3574" t="s">
        <v>27</v>
      </c>
      <c r="M3574" t="s">
        <v>28</v>
      </c>
      <c r="N3574" t="s">
        <v>13399</v>
      </c>
      <c r="O3574" t="s">
        <v>27</v>
      </c>
      <c r="P3574" t="s">
        <v>30</v>
      </c>
      <c r="Q3574" t="s">
        <v>31</v>
      </c>
      <c r="R3574" t="s">
        <v>32</v>
      </c>
      <c r="S3574" t="s">
        <v>28</v>
      </c>
      <c r="T3574" t="s">
        <v>13403</v>
      </c>
      <c r="U3574" t="s">
        <v>13399</v>
      </c>
    </row>
    <row r="3575" spans="1:21" x14ac:dyDescent="0.25">
      <c r="A3575" t="s">
        <v>33</v>
      </c>
      <c r="B3575" t="s">
        <v>34</v>
      </c>
      <c r="C3575">
        <v>200</v>
      </c>
      <c r="D3575">
        <v>1</v>
      </c>
      <c r="E3575">
        <v>0</v>
      </c>
      <c r="F3575" t="s">
        <v>13404</v>
      </c>
      <c r="G3575">
        <v>200</v>
      </c>
      <c r="H3575">
        <v>0</v>
      </c>
      <c r="I3575" t="s">
        <v>24</v>
      </c>
      <c r="J3575" t="s">
        <v>13405</v>
      </c>
      <c r="K3575" t="s">
        <v>611</v>
      </c>
      <c r="L3575" t="s">
        <v>27</v>
      </c>
      <c r="M3575" t="s">
        <v>28</v>
      </c>
      <c r="N3575" t="s">
        <v>13399</v>
      </c>
      <c r="O3575" t="s">
        <v>27</v>
      </c>
      <c r="P3575" t="s">
        <v>39</v>
      </c>
      <c r="Q3575" t="s">
        <v>31</v>
      </c>
      <c r="R3575" t="s">
        <v>32</v>
      </c>
      <c r="S3575" t="s">
        <v>28</v>
      </c>
      <c r="T3575" t="s">
        <v>13406</v>
      </c>
      <c r="U3575" t="s">
        <v>13399</v>
      </c>
    </row>
    <row r="3576" spans="1:21" x14ac:dyDescent="0.25">
      <c r="A3576" t="s">
        <v>143</v>
      </c>
      <c r="B3576" t="s">
        <v>144</v>
      </c>
      <c r="C3576">
        <v>200</v>
      </c>
      <c r="D3576">
        <v>1</v>
      </c>
      <c r="E3576">
        <v>0</v>
      </c>
      <c r="F3576" t="s">
        <v>13407</v>
      </c>
      <c r="G3576">
        <v>200</v>
      </c>
      <c r="H3576">
        <v>0</v>
      </c>
      <c r="I3576" t="s">
        <v>140</v>
      </c>
      <c r="J3576" t="s">
        <v>13408</v>
      </c>
      <c r="K3576" t="s">
        <v>5225</v>
      </c>
      <c r="L3576" t="s">
        <v>27</v>
      </c>
      <c r="M3576" t="s">
        <v>28</v>
      </c>
      <c r="N3576" t="s">
        <v>13399</v>
      </c>
      <c r="O3576" t="s">
        <v>27</v>
      </c>
      <c r="P3576" t="s">
        <v>30</v>
      </c>
      <c r="Q3576" t="s">
        <v>31</v>
      </c>
      <c r="R3576" t="s">
        <v>32</v>
      </c>
      <c r="S3576" t="s">
        <v>28</v>
      </c>
      <c r="T3576" t="s">
        <v>13409</v>
      </c>
      <c r="U3576" t="s">
        <v>13399</v>
      </c>
    </row>
    <row r="3577" spans="1:21" x14ac:dyDescent="0.25">
      <c r="A3577" t="s">
        <v>63</v>
      </c>
      <c r="B3577" t="s">
        <v>64</v>
      </c>
      <c r="C3577">
        <v>100</v>
      </c>
      <c r="D3577">
        <v>1</v>
      </c>
      <c r="E3577">
        <v>0</v>
      </c>
      <c r="F3577" t="s">
        <v>13410</v>
      </c>
      <c r="G3577">
        <v>106</v>
      </c>
      <c r="H3577">
        <v>6</v>
      </c>
      <c r="I3577" t="s">
        <v>445</v>
      </c>
      <c r="J3577" t="s">
        <v>13411</v>
      </c>
      <c r="K3577" t="s">
        <v>5225</v>
      </c>
      <c r="L3577" t="s">
        <v>27</v>
      </c>
      <c r="M3577" t="s">
        <v>28</v>
      </c>
      <c r="N3577" t="s">
        <v>13412</v>
      </c>
      <c r="O3577" t="s">
        <v>27</v>
      </c>
      <c r="P3577" t="s">
        <v>39</v>
      </c>
      <c r="Q3577" t="s">
        <v>31</v>
      </c>
      <c r="R3577" t="s">
        <v>32</v>
      </c>
      <c r="S3577" t="s">
        <v>28</v>
      </c>
      <c r="T3577" t="s">
        <v>13413</v>
      </c>
      <c r="U3577" t="s">
        <v>13412</v>
      </c>
    </row>
    <row r="3578" spans="1:21" x14ac:dyDescent="0.25">
      <c r="A3578" t="s">
        <v>58</v>
      </c>
      <c r="B3578" t="s">
        <v>103</v>
      </c>
      <c r="C3578">
        <v>81.97</v>
      </c>
      <c r="D3578">
        <v>1</v>
      </c>
      <c r="E3578">
        <v>0</v>
      </c>
      <c r="F3578" t="s">
        <v>13414</v>
      </c>
      <c r="G3578">
        <v>86.97</v>
      </c>
      <c r="H3578">
        <v>5</v>
      </c>
      <c r="I3578" t="s">
        <v>105</v>
      </c>
      <c r="J3578" t="s">
        <v>2318</v>
      </c>
      <c r="K3578" t="s">
        <v>13415</v>
      </c>
      <c r="L3578" t="s">
        <v>1076</v>
      </c>
      <c r="M3578" t="s">
        <v>2320</v>
      </c>
      <c r="N3578" t="s">
        <v>13416</v>
      </c>
      <c r="O3578" t="s">
        <v>27</v>
      </c>
      <c r="P3578" t="s">
        <v>48</v>
      </c>
      <c r="Q3578" t="s">
        <v>49</v>
      </c>
      <c r="R3578" t="s">
        <v>50</v>
      </c>
      <c r="S3578" t="s">
        <v>28</v>
      </c>
      <c r="T3578" t="s">
        <v>13417</v>
      </c>
      <c r="U3578" t="s">
        <v>13416</v>
      </c>
    </row>
    <row r="3579" spans="1:21" x14ac:dyDescent="0.25">
      <c r="A3579" t="s">
        <v>33</v>
      </c>
      <c r="B3579" t="s">
        <v>34</v>
      </c>
      <c r="C3579">
        <v>200</v>
      </c>
      <c r="D3579">
        <v>1</v>
      </c>
      <c r="E3579">
        <v>0</v>
      </c>
      <c r="F3579" t="s">
        <v>13418</v>
      </c>
      <c r="G3579">
        <v>200</v>
      </c>
      <c r="H3579">
        <v>0</v>
      </c>
      <c r="I3579" t="s">
        <v>24</v>
      </c>
      <c r="J3579" t="s">
        <v>13419</v>
      </c>
      <c r="K3579" t="s">
        <v>67</v>
      </c>
      <c r="L3579" t="s">
        <v>27</v>
      </c>
      <c r="M3579" t="s">
        <v>28</v>
      </c>
      <c r="N3579" t="s">
        <v>13420</v>
      </c>
      <c r="O3579" t="s">
        <v>27</v>
      </c>
      <c r="P3579" t="s">
        <v>56</v>
      </c>
      <c r="Q3579" t="s">
        <v>31</v>
      </c>
      <c r="R3579" t="s">
        <v>57</v>
      </c>
      <c r="S3579" t="s">
        <v>28</v>
      </c>
      <c r="T3579" t="s">
        <v>13421</v>
      </c>
      <c r="U3579" t="s">
        <v>13422</v>
      </c>
    </row>
    <row r="3580" spans="1:21" x14ac:dyDescent="0.25">
      <c r="A3580" t="s">
        <v>70</v>
      </c>
      <c r="B3580" t="s">
        <v>70</v>
      </c>
      <c r="C3580">
        <v>350</v>
      </c>
      <c r="D3580">
        <v>1</v>
      </c>
      <c r="E3580">
        <v>0</v>
      </c>
      <c r="F3580" t="s">
        <v>13423</v>
      </c>
      <c r="G3580">
        <v>395</v>
      </c>
      <c r="H3580">
        <v>45</v>
      </c>
      <c r="I3580" t="s">
        <v>140</v>
      </c>
      <c r="J3580" t="s">
        <v>13424</v>
      </c>
      <c r="K3580" t="s">
        <v>61</v>
      </c>
      <c r="L3580" t="s">
        <v>27</v>
      </c>
      <c r="M3580" t="s">
        <v>28</v>
      </c>
      <c r="N3580" t="s">
        <v>13425</v>
      </c>
      <c r="O3580" t="s">
        <v>27</v>
      </c>
      <c r="P3580" t="s">
        <v>369</v>
      </c>
      <c r="Q3580" t="s">
        <v>31</v>
      </c>
      <c r="R3580" t="s">
        <v>57</v>
      </c>
      <c r="S3580" t="s">
        <v>28</v>
      </c>
      <c r="T3580" t="s">
        <v>13426</v>
      </c>
      <c r="U3580" t="s">
        <v>13425</v>
      </c>
    </row>
    <row r="3581" spans="1:21" x14ac:dyDescent="0.25">
      <c r="A3581" t="s">
        <v>58</v>
      </c>
      <c r="B3581" t="s">
        <v>58</v>
      </c>
      <c r="C3581">
        <v>100</v>
      </c>
      <c r="D3581">
        <v>1</v>
      </c>
      <c r="E3581">
        <v>0</v>
      </c>
      <c r="F3581" t="s">
        <v>13427</v>
      </c>
      <c r="G3581">
        <v>103</v>
      </c>
      <c r="H3581">
        <v>3</v>
      </c>
      <c r="I3581" t="s">
        <v>445</v>
      </c>
      <c r="J3581" t="s">
        <v>13428</v>
      </c>
      <c r="K3581" t="s">
        <v>13429</v>
      </c>
      <c r="L3581" t="s">
        <v>3032</v>
      </c>
      <c r="M3581" t="s">
        <v>2886</v>
      </c>
      <c r="N3581" t="s">
        <v>13430</v>
      </c>
      <c r="O3581" t="s">
        <v>27</v>
      </c>
      <c r="P3581" t="s">
        <v>193</v>
      </c>
      <c r="Q3581" t="s">
        <v>85</v>
      </c>
      <c r="R3581" t="s">
        <v>86</v>
      </c>
      <c r="S3581" t="s">
        <v>28</v>
      </c>
      <c r="T3581" t="s">
        <v>13431</v>
      </c>
      <c r="U3581" t="s">
        <v>13425</v>
      </c>
    </row>
    <row r="3582" spans="1:21" x14ac:dyDescent="0.25">
      <c r="A3582" t="s">
        <v>13432</v>
      </c>
      <c r="B3582" t="s">
        <v>13433</v>
      </c>
      <c r="C3582">
        <v>395</v>
      </c>
      <c r="D3582">
        <v>1</v>
      </c>
      <c r="E3582">
        <v>0</v>
      </c>
      <c r="F3582" t="s">
        <v>13434</v>
      </c>
      <c r="G3582">
        <v>440</v>
      </c>
      <c r="H3582">
        <v>45</v>
      </c>
      <c r="I3582" t="s">
        <v>24</v>
      </c>
      <c r="J3582" t="s">
        <v>1833</v>
      </c>
      <c r="K3582" t="s">
        <v>13435</v>
      </c>
      <c r="L3582" t="s">
        <v>13436</v>
      </c>
      <c r="M3582" t="s">
        <v>13437</v>
      </c>
      <c r="N3582" t="s">
        <v>13438</v>
      </c>
      <c r="O3582" t="s">
        <v>27</v>
      </c>
      <c r="P3582" t="s">
        <v>193</v>
      </c>
      <c r="Q3582" t="s">
        <v>85</v>
      </c>
      <c r="R3582" t="s">
        <v>86</v>
      </c>
      <c r="S3582" t="s">
        <v>28</v>
      </c>
      <c r="T3582" t="s">
        <v>13439</v>
      </c>
      <c r="U3582" t="s">
        <v>13438</v>
      </c>
    </row>
    <row r="3583" spans="1:21" x14ac:dyDescent="0.25">
      <c r="A3583" t="s">
        <v>70</v>
      </c>
      <c r="B3583" t="s">
        <v>70</v>
      </c>
      <c r="C3583">
        <v>350</v>
      </c>
      <c r="D3583">
        <v>1</v>
      </c>
      <c r="E3583">
        <v>0</v>
      </c>
      <c r="F3583" t="s">
        <v>13440</v>
      </c>
      <c r="G3583">
        <v>350</v>
      </c>
      <c r="H3583">
        <v>0</v>
      </c>
      <c r="I3583" t="s">
        <v>140</v>
      </c>
      <c r="J3583" t="s">
        <v>13441</v>
      </c>
      <c r="K3583" t="s">
        <v>67</v>
      </c>
      <c r="L3583" t="s">
        <v>27</v>
      </c>
      <c r="M3583" t="s">
        <v>28</v>
      </c>
      <c r="N3583" t="s">
        <v>13442</v>
      </c>
      <c r="O3583" t="s">
        <v>27</v>
      </c>
      <c r="P3583" t="s">
        <v>30</v>
      </c>
      <c r="Q3583" t="s">
        <v>31</v>
      </c>
      <c r="R3583" t="s">
        <v>32</v>
      </c>
      <c r="S3583" t="s">
        <v>28</v>
      </c>
      <c r="T3583" t="s">
        <v>13443</v>
      </c>
      <c r="U3583" t="s">
        <v>13442</v>
      </c>
    </row>
    <row r="3584" spans="1:21" x14ac:dyDescent="0.25">
      <c r="A3584" t="s">
        <v>261</v>
      </c>
      <c r="B3584" t="s">
        <v>1592</v>
      </c>
      <c r="C3584">
        <v>207.5</v>
      </c>
      <c r="D3584">
        <v>1</v>
      </c>
      <c r="E3584">
        <v>0</v>
      </c>
      <c r="F3584" t="s">
        <v>13444</v>
      </c>
      <c r="G3584">
        <v>454</v>
      </c>
      <c r="H3584">
        <v>39</v>
      </c>
      <c r="I3584" t="s">
        <v>24</v>
      </c>
      <c r="J3584" t="s">
        <v>13445</v>
      </c>
      <c r="K3584" t="s">
        <v>13446</v>
      </c>
      <c r="L3584" t="s">
        <v>3290</v>
      </c>
      <c r="M3584" t="s">
        <v>13447</v>
      </c>
      <c r="N3584" t="s">
        <v>13448</v>
      </c>
      <c r="O3584" t="s">
        <v>27</v>
      </c>
      <c r="P3584" t="s">
        <v>48</v>
      </c>
      <c r="Q3584" t="s">
        <v>49</v>
      </c>
      <c r="R3584" t="s">
        <v>50</v>
      </c>
      <c r="S3584" t="s">
        <v>28</v>
      </c>
      <c r="T3584" t="s">
        <v>13449</v>
      </c>
      <c r="U3584" t="s">
        <v>13448</v>
      </c>
    </row>
    <row r="3585" spans="1:21" x14ac:dyDescent="0.25">
      <c r="A3585" t="s">
        <v>195</v>
      </c>
      <c r="B3585" t="s">
        <v>4382</v>
      </c>
      <c r="C3585">
        <v>207.5</v>
      </c>
      <c r="D3585">
        <v>1</v>
      </c>
      <c r="E3585">
        <v>0</v>
      </c>
      <c r="F3585" t="s">
        <v>13444</v>
      </c>
      <c r="G3585">
        <v>454</v>
      </c>
      <c r="H3585">
        <v>39</v>
      </c>
      <c r="I3585" t="s">
        <v>24</v>
      </c>
      <c r="J3585" t="s">
        <v>13445</v>
      </c>
      <c r="K3585" t="s">
        <v>13446</v>
      </c>
      <c r="L3585" t="s">
        <v>3290</v>
      </c>
      <c r="M3585" t="s">
        <v>13447</v>
      </c>
      <c r="N3585" t="s">
        <v>13448</v>
      </c>
      <c r="O3585" t="s">
        <v>27</v>
      </c>
      <c r="P3585" t="s">
        <v>48</v>
      </c>
      <c r="Q3585" t="s">
        <v>49</v>
      </c>
      <c r="R3585" t="s">
        <v>50</v>
      </c>
      <c r="S3585" t="s">
        <v>28</v>
      </c>
      <c r="T3585" t="s">
        <v>13449</v>
      </c>
      <c r="U3585" t="s">
        <v>13448</v>
      </c>
    </row>
    <row r="3586" spans="1:21" x14ac:dyDescent="0.25">
      <c r="A3586" t="s">
        <v>143</v>
      </c>
      <c r="B3586" t="s">
        <v>144</v>
      </c>
      <c r="C3586">
        <v>200</v>
      </c>
      <c r="D3586">
        <v>1</v>
      </c>
      <c r="E3586">
        <v>0</v>
      </c>
      <c r="F3586" t="s">
        <v>13450</v>
      </c>
      <c r="G3586">
        <v>200</v>
      </c>
      <c r="H3586">
        <v>0</v>
      </c>
      <c r="I3586" t="s">
        <v>24</v>
      </c>
      <c r="J3586" t="s">
        <v>13451</v>
      </c>
      <c r="K3586" t="s">
        <v>241</v>
      </c>
      <c r="L3586" t="s">
        <v>27</v>
      </c>
      <c r="M3586" t="s">
        <v>28</v>
      </c>
      <c r="N3586" t="s">
        <v>13452</v>
      </c>
      <c r="O3586" t="s">
        <v>27</v>
      </c>
      <c r="P3586" t="s">
        <v>39</v>
      </c>
      <c r="Q3586" t="s">
        <v>31</v>
      </c>
      <c r="R3586" t="s">
        <v>32</v>
      </c>
      <c r="S3586" t="s">
        <v>28</v>
      </c>
      <c r="T3586" t="s">
        <v>13453</v>
      </c>
      <c r="U3586" t="s">
        <v>13452</v>
      </c>
    </row>
    <row r="3587" spans="1:21" x14ac:dyDescent="0.25">
      <c r="A3587" t="s">
        <v>2307</v>
      </c>
      <c r="B3587" t="s">
        <v>2308</v>
      </c>
      <c r="C3587">
        <v>330</v>
      </c>
      <c r="D3587">
        <v>1</v>
      </c>
      <c r="E3587">
        <v>0</v>
      </c>
      <c r="F3587" t="s">
        <v>13454</v>
      </c>
      <c r="G3587">
        <v>330</v>
      </c>
      <c r="H3587">
        <v>0</v>
      </c>
      <c r="I3587" t="s">
        <v>140</v>
      </c>
      <c r="J3587" t="s">
        <v>13455</v>
      </c>
      <c r="K3587" t="s">
        <v>12412</v>
      </c>
      <c r="L3587" t="s">
        <v>27</v>
      </c>
      <c r="M3587" t="s">
        <v>28</v>
      </c>
      <c r="N3587" t="s">
        <v>13456</v>
      </c>
      <c r="O3587" t="s">
        <v>27</v>
      </c>
      <c r="P3587" t="s">
        <v>369</v>
      </c>
      <c r="Q3587" t="s">
        <v>31</v>
      </c>
      <c r="R3587" t="s">
        <v>57</v>
      </c>
      <c r="S3587" t="s">
        <v>28</v>
      </c>
      <c r="T3587" t="s">
        <v>13457</v>
      </c>
      <c r="U3587" t="s">
        <v>13458</v>
      </c>
    </row>
    <row r="3588" spans="1:21" x14ac:dyDescent="0.25">
      <c r="A3588" t="s">
        <v>456</v>
      </c>
      <c r="B3588" t="s">
        <v>457</v>
      </c>
      <c r="C3588">
        <v>199</v>
      </c>
      <c r="D3588">
        <v>1</v>
      </c>
      <c r="E3588">
        <v>0</v>
      </c>
      <c r="F3588" t="s">
        <v>13459</v>
      </c>
      <c r="G3588">
        <v>240</v>
      </c>
      <c r="H3588">
        <v>41</v>
      </c>
      <c r="I3588" t="s">
        <v>24</v>
      </c>
      <c r="J3588" t="s">
        <v>6810</v>
      </c>
      <c r="K3588" t="s">
        <v>6811</v>
      </c>
      <c r="L3588" t="s">
        <v>6432</v>
      </c>
      <c r="M3588" t="s">
        <v>6812</v>
      </c>
      <c r="N3588" t="s">
        <v>13395</v>
      </c>
      <c r="O3588" t="s">
        <v>27</v>
      </c>
      <c r="P3588" t="s">
        <v>193</v>
      </c>
      <c r="Q3588" t="s">
        <v>85</v>
      </c>
      <c r="R3588" t="s">
        <v>86</v>
      </c>
      <c r="S3588" t="s">
        <v>28</v>
      </c>
      <c r="T3588" t="s">
        <v>13460</v>
      </c>
      <c r="U3588" t="s">
        <v>13461</v>
      </c>
    </row>
    <row r="3589" spans="1:21" x14ac:dyDescent="0.25">
      <c r="A3589" t="s">
        <v>70</v>
      </c>
      <c r="B3589" t="s">
        <v>70</v>
      </c>
      <c r="C3589">
        <v>330</v>
      </c>
      <c r="D3589">
        <v>1</v>
      </c>
      <c r="E3589">
        <v>0</v>
      </c>
      <c r="F3589" t="s">
        <v>13462</v>
      </c>
      <c r="G3589">
        <v>330</v>
      </c>
      <c r="H3589">
        <v>0</v>
      </c>
      <c r="I3589" t="s">
        <v>24</v>
      </c>
      <c r="J3589" t="s">
        <v>3605</v>
      </c>
      <c r="K3589" t="s">
        <v>753</v>
      </c>
      <c r="L3589" t="s">
        <v>27</v>
      </c>
      <c r="M3589" t="s">
        <v>28</v>
      </c>
      <c r="N3589" t="s">
        <v>13463</v>
      </c>
      <c r="O3589" t="s">
        <v>27</v>
      </c>
      <c r="P3589" t="s">
        <v>39</v>
      </c>
      <c r="Q3589" t="s">
        <v>31</v>
      </c>
      <c r="R3589" t="s">
        <v>32</v>
      </c>
      <c r="S3589" t="s">
        <v>13464</v>
      </c>
      <c r="T3589" t="s">
        <v>13465</v>
      </c>
      <c r="U3589" t="s">
        <v>13463</v>
      </c>
    </row>
    <row r="3590" spans="1:21" x14ac:dyDescent="0.25">
      <c r="A3590" t="s">
        <v>70</v>
      </c>
      <c r="B3590" t="s">
        <v>70</v>
      </c>
      <c r="C3590">
        <v>330</v>
      </c>
      <c r="D3590">
        <v>1</v>
      </c>
      <c r="E3590">
        <v>0</v>
      </c>
      <c r="F3590" t="s">
        <v>13466</v>
      </c>
      <c r="G3590">
        <v>330</v>
      </c>
      <c r="H3590">
        <v>0</v>
      </c>
      <c r="I3590" t="s">
        <v>24</v>
      </c>
      <c r="J3590" t="s">
        <v>13467</v>
      </c>
      <c r="K3590" t="s">
        <v>285</v>
      </c>
      <c r="L3590" t="s">
        <v>27</v>
      </c>
      <c r="M3590" t="s">
        <v>28</v>
      </c>
      <c r="N3590" t="s">
        <v>13463</v>
      </c>
      <c r="O3590" t="s">
        <v>27</v>
      </c>
      <c r="P3590" t="s">
        <v>56</v>
      </c>
      <c r="Q3590" t="s">
        <v>31</v>
      </c>
      <c r="R3590" t="s">
        <v>57</v>
      </c>
      <c r="S3590" t="s">
        <v>28</v>
      </c>
      <c r="T3590" t="s">
        <v>13468</v>
      </c>
      <c r="U3590" t="s">
        <v>13469</v>
      </c>
    </row>
    <row r="3591" spans="1:21" x14ac:dyDescent="0.25">
      <c r="A3591" t="s">
        <v>33</v>
      </c>
      <c r="B3591" t="s">
        <v>34</v>
      </c>
      <c r="C3591">
        <v>200</v>
      </c>
      <c r="D3591">
        <v>1</v>
      </c>
      <c r="E3591">
        <v>0</v>
      </c>
      <c r="F3591" t="s">
        <v>13470</v>
      </c>
      <c r="G3591">
        <v>200</v>
      </c>
      <c r="H3591">
        <v>0</v>
      </c>
      <c r="I3591" t="s">
        <v>24</v>
      </c>
      <c r="J3591" t="s">
        <v>3939</v>
      </c>
      <c r="K3591" t="s">
        <v>919</v>
      </c>
      <c r="L3591" t="s">
        <v>27</v>
      </c>
      <c r="M3591" t="s">
        <v>28</v>
      </c>
      <c r="N3591" t="s">
        <v>13471</v>
      </c>
      <c r="O3591" t="s">
        <v>27</v>
      </c>
      <c r="P3591" t="s">
        <v>39</v>
      </c>
      <c r="Q3591" t="s">
        <v>31</v>
      </c>
      <c r="R3591" t="s">
        <v>32</v>
      </c>
      <c r="S3591" t="s">
        <v>28</v>
      </c>
      <c r="T3591" t="s">
        <v>13472</v>
      </c>
      <c r="U3591" t="s">
        <v>13471</v>
      </c>
    </row>
    <row r="3592" spans="1:21" x14ac:dyDescent="0.25">
      <c r="A3592" t="s">
        <v>456</v>
      </c>
      <c r="B3592" t="s">
        <v>457</v>
      </c>
      <c r="C3592">
        <v>199</v>
      </c>
      <c r="D3592">
        <v>2</v>
      </c>
      <c r="E3592">
        <v>0</v>
      </c>
      <c r="F3592" t="s">
        <v>13473</v>
      </c>
      <c r="G3592">
        <v>462</v>
      </c>
      <c r="H3592">
        <v>64</v>
      </c>
      <c r="I3592" t="s">
        <v>24</v>
      </c>
      <c r="J3592" t="s">
        <v>13474</v>
      </c>
      <c r="K3592" t="s">
        <v>13475</v>
      </c>
      <c r="L3592" t="s">
        <v>666</v>
      </c>
      <c r="M3592" t="s">
        <v>5187</v>
      </c>
      <c r="N3592" t="s">
        <v>13476</v>
      </c>
      <c r="O3592" t="s">
        <v>27</v>
      </c>
      <c r="P3592" t="s">
        <v>193</v>
      </c>
      <c r="Q3592" t="s">
        <v>85</v>
      </c>
      <c r="R3592" t="s">
        <v>86</v>
      </c>
      <c r="S3592" t="s">
        <v>28</v>
      </c>
      <c r="T3592" t="s">
        <v>13477</v>
      </c>
      <c r="U3592" t="s">
        <v>13478</v>
      </c>
    </row>
    <row r="3593" spans="1:21" x14ac:dyDescent="0.25">
      <c r="A3593" t="s">
        <v>33</v>
      </c>
      <c r="B3593" t="s">
        <v>34</v>
      </c>
      <c r="C3593">
        <v>200</v>
      </c>
      <c r="D3593">
        <v>1</v>
      </c>
      <c r="E3593">
        <v>0</v>
      </c>
      <c r="F3593" t="s">
        <v>13479</v>
      </c>
      <c r="G3593">
        <v>200</v>
      </c>
      <c r="H3593">
        <v>0</v>
      </c>
      <c r="I3593" t="s">
        <v>24</v>
      </c>
      <c r="J3593" t="s">
        <v>13480</v>
      </c>
      <c r="K3593" t="s">
        <v>653</v>
      </c>
      <c r="L3593" t="s">
        <v>27</v>
      </c>
      <c r="M3593" t="s">
        <v>28</v>
      </c>
      <c r="N3593" t="s">
        <v>13481</v>
      </c>
      <c r="O3593" t="s">
        <v>27</v>
      </c>
      <c r="P3593" t="s">
        <v>39</v>
      </c>
      <c r="Q3593" t="s">
        <v>31</v>
      </c>
      <c r="R3593" t="s">
        <v>32</v>
      </c>
      <c r="S3593" t="s">
        <v>28</v>
      </c>
      <c r="T3593" t="s">
        <v>13482</v>
      </c>
      <c r="U3593" t="s">
        <v>13481</v>
      </c>
    </row>
    <row r="3594" spans="1:21" x14ac:dyDescent="0.25">
      <c r="A3594" t="s">
        <v>58</v>
      </c>
      <c r="B3594" t="s">
        <v>58</v>
      </c>
      <c r="C3594">
        <v>100</v>
      </c>
      <c r="D3594">
        <v>2</v>
      </c>
      <c r="E3594">
        <v>0</v>
      </c>
      <c r="F3594" t="s">
        <v>13483</v>
      </c>
      <c r="G3594">
        <v>200</v>
      </c>
      <c r="H3594">
        <v>0</v>
      </c>
      <c r="I3594" t="s">
        <v>140</v>
      </c>
      <c r="J3594" t="s">
        <v>2635</v>
      </c>
      <c r="K3594" t="s">
        <v>936</v>
      </c>
      <c r="L3594" t="s">
        <v>27</v>
      </c>
      <c r="M3594" t="s">
        <v>28</v>
      </c>
      <c r="N3594" t="s">
        <v>13484</v>
      </c>
      <c r="O3594" t="s">
        <v>27</v>
      </c>
      <c r="P3594" t="s">
        <v>30</v>
      </c>
      <c r="Q3594" t="s">
        <v>31</v>
      </c>
      <c r="R3594" t="s">
        <v>32</v>
      </c>
      <c r="S3594" t="s">
        <v>28</v>
      </c>
      <c r="T3594" t="s">
        <v>13485</v>
      </c>
      <c r="U3594" t="s">
        <v>13484</v>
      </c>
    </row>
    <row r="3595" spans="1:21" x14ac:dyDescent="0.25">
      <c r="A3595" t="s">
        <v>70</v>
      </c>
      <c r="B3595" t="s">
        <v>70</v>
      </c>
      <c r="C3595">
        <v>350</v>
      </c>
      <c r="D3595">
        <v>1</v>
      </c>
      <c r="E3595">
        <v>0</v>
      </c>
      <c r="F3595" t="s">
        <v>13486</v>
      </c>
      <c r="G3595">
        <v>350</v>
      </c>
      <c r="H3595">
        <v>0</v>
      </c>
      <c r="I3595" t="s">
        <v>140</v>
      </c>
      <c r="J3595" t="s">
        <v>13487</v>
      </c>
      <c r="K3595" t="s">
        <v>1772</v>
      </c>
      <c r="L3595" t="s">
        <v>27</v>
      </c>
      <c r="M3595" t="s">
        <v>28</v>
      </c>
      <c r="N3595" t="s">
        <v>13488</v>
      </c>
      <c r="O3595" t="s">
        <v>27</v>
      </c>
      <c r="P3595" t="s">
        <v>369</v>
      </c>
      <c r="Q3595" t="s">
        <v>31</v>
      </c>
      <c r="R3595" t="s">
        <v>57</v>
      </c>
      <c r="S3595" t="s">
        <v>28</v>
      </c>
      <c r="T3595" t="s">
        <v>13489</v>
      </c>
      <c r="U3595" t="s">
        <v>13488</v>
      </c>
    </row>
    <row r="3596" spans="1:21" x14ac:dyDescent="0.25">
      <c r="A3596" t="s">
        <v>134</v>
      </c>
      <c r="B3596" t="s">
        <v>64</v>
      </c>
      <c r="C3596">
        <v>100</v>
      </c>
      <c r="D3596">
        <v>1</v>
      </c>
      <c r="E3596">
        <v>0</v>
      </c>
      <c r="F3596" t="s">
        <v>13490</v>
      </c>
      <c r="G3596">
        <v>200</v>
      </c>
      <c r="H3596">
        <v>0</v>
      </c>
      <c r="I3596" t="s">
        <v>24</v>
      </c>
      <c r="J3596" t="s">
        <v>13491</v>
      </c>
      <c r="K3596" t="s">
        <v>213</v>
      </c>
      <c r="L3596" t="s">
        <v>27</v>
      </c>
      <c r="M3596" t="s">
        <v>28</v>
      </c>
      <c r="N3596" t="s">
        <v>13492</v>
      </c>
      <c r="O3596" t="s">
        <v>27</v>
      </c>
      <c r="P3596" t="s">
        <v>39</v>
      </c>
      <c r="Q3596" t="s">
        <v>31</v>
      </c>
      <c r="R3596" t="s">
        <v>32</v>
      </c>
      <c r="S3596" t="s">
        <v>28</v>
      </c>
      <c r="T3596" t="s">
        <v>13493</v>
      </c>
      <c r="U3596" t="s">
        <v>13492</v>
      </c>
    </row>
    <row r="3597" spans="1:21" x14ac:dyDescent="0.25">
      <c r="A3597" t="s">
        <v>63</v>
      </c>
      <c r="B3597" t="s">
        <v>64</v>
      </c>
      <c r="C3597">
        <v>100</v>
      </c>
      <c r="D3597">
        <v>1</v>
      </c>
      <c r="E3597">
        <v>0</v>
      </c>
      <c r="F3597" t="s">
        <v>13490</v>
      </c>
      <c r="G3597">
        <v>200</v>
      </c>
      <c r="H3597">
        <v>0</v>
      </c>
      <c r="I3597" t="s">
        <v>24</v>
      </c>
      <c r="J3597" t="s">
        <v>13491</v>
      </c>
      <c r="K3597" t="s">
        <v>213</v>
      </c>
      <c r="L3597" t="s">
        <v>27</v>
      </c>
      <c r="M3597" t="s">
        <v>28</v>
      </c>
      <c r="N3597" t="s">
        <v>13492</v>
      </c>
      <c r="O3597" t="s">
        <v>27</v>
      </c>
      <c r="P3597" t="s">
        <v>39</v>
      </c>
      <c r="Q3597" t="s">
        <v>31</v>
      </c>
      <c r="R3597" t="s">
        <v>32</v>
      </c>
      <c r="S3597" t="s">
        <v>28</v>
      </c>
      <c r="T3597" t="s">
        <v>13493</v>
      </c>
      <c r="U3597" t="s">
        <v>13492</v>
      </c>
    </row>
    <row r="3598" spans="1:21" x14ac:dyDescent="0.25">
      <c r="A3598" t="s">
        <v>2307</v>
      </c>
      <c r="B3598" t="s">
        <v>2308</v>
      </c>
      <c r="C3598">
        <v>330</v>
      </c>
      <c r="D3598">
        <v>1</v>
      </c>
      <c r="E3598">
        <v>0</v>
      </c>
      <c r="F3598" t="s">
        <v>13494</v>
      </c>
      <c r="G3598">
        <v>580</v>
      </c>
      <c r="H3598">
        <v>0</v>
      </c>
      <c r="I3598" t="s">
        <v>140</v>
      </c>
      <c r="J3598" t="s">
        <v>13495</v>
      </c>
      <c r="K3598" t="s">
        <v>67</v>
      </c>
      <c r="L3598" t="s">
        <v>27</v>
      </c>
      <c r="M3598" t="s">
        <v>28</v>
      </c>
      <c r="N3598" t="s">
        <v>13496</v>
      </c>
      <c r="O3598" t="s">
        <v>27</v>
      </c>
      <c r="P3598" t="s">
        <v>30</v>
      </c>
      <c r="Q3598" t="s">
        <v>31</v>
      </c>
      <c r="R3598" t="s">
        <v>32</v>
      </c>
      <c r="S3598" t="s">
        <v>28</v>
      </c>
      <c r="T3598" t="s">
        <v>13497</v>
      </c>
      <c r="U3598" t="s">
        <v>13496</v>
      </c>
    </row>
    <row r="3599" spans="1:21" x14ac:dyDescent="0.25">
      <c r="A3599" t="s">
        <v>456</v>
      </c>
      <c r="B3599" t="s">
        <v>457</v>
      </c>
      <c r="C3599">
        <v>250</v>
      </c>
      <c r="D3599">
        <v>1</v>
      </c>
      <c r="E3599">
        <v>0</v>
      </c>
      <c r="F3599" t="s">
        <v>13494</v>
      </c>
      <c r="G3599">
        <v>580</v>
      </c>
      <c r="H3599">
        <v>0</v>
      </c>
      <c r="I3599" t="s">
        <v>140</v>
      </c>
      <c r="J3599" t="s">
        <v>13495</v>
      </c>
      <c r="K3599" t="s">
        <v>67</v>
      </c>
      <c r="L3599" t="s">
        <v>27</v>
      </c>
      <c r="M3599" t="s">
        <v>28</v>
      </c>
      <c r="N3599" t="s">
        <v>13496</v>
      </c>
      <c r="O3599" t="s">
        <v>27</v>
      </c>
      <c r="P3599" t="s">
        <v>30</v>
      </c>
      <c r="Q3599" t="s">
        <v>31</v>
      </c>
      <c r="R3599" t="s">
        <v>32</v>
      </c>
      <c r="S3599" t="s">
        <v>28</v>
      </c>
      <c r="T3599" t="s">
        <v>13497</v>
      </c>
      <c r="U3599" t="s">
        <v>13496</v>
      </c>
    </row>
    <row r="3600" spans="1:21" x14ac:dyDescent="0.25">
      <c r="A3600" t="s">
        <v>143</v>
      </c>
      <c r="B3600" t="s">
        <v>144</v>
      </c>
      <c r="C3600">
        <v>200</v>
      </c>
      <c r="D3600">
        <v>1</v>
      </c>
      <c r="E3600">
        <v>0</v>
      </c>
      <c r="F3600" t="s">
        <v>13498</v>
      </c>
      <c r="G3600">
        <v>200</v>
      </c>
      <c r="H3600">
        <v>0</v>
      </c>
      <c r="I3600" t="s">
        <v>24</v>
      </c>
      <c r="J3600" t="s">
        <v>13499</v>
      </c>
      <c r="K3600" t="s">
        <v>61</v>
      </c>
      <c r="L3600" t="s">
        <v>27</v>
      </c>
      <c r="M3600" t="s">
        <v>28</v>
      </c>
      <c r="N3600" t="s">
        <v>13500</v>
      </c>
      <c r="O3600" t="s">
        <v>27</v>
      </c>
      <c r="P3600" t="s">
        <v>56</v>
      </c>
      <c r="Q3600" t="s">
        <v>31</v>
      </c>
      <c r="R3600" t="s">
        <v>57</v>
      </c>
      <c r="S3600" t="s">
        <v>28</v>
      </c>
      <c r="T3600" t="s">
        <v>13501</v>
      </c>
      <c r="U3600" t="s">
        <v>13502</v>
      </c>
    </row>
    <row r="3601" spans="1:21" x14ac:dyDescent="0.25">
      <c r="A3601" t="s">
        <v>33</v>
      </c>
      <c r="B3601" t="s">
        <v>34</v>
      </c>
      <c r="C3601">
        <v>200</v>
      </c>
      <c r="D3601">
        <v>2</v>
      </c>
      <c r="E3601">
        <v>0</v>
      </c>
      <c r="F3601" t="s">
        <v>13503</v>
      </c>
      <c r="G3601">
        <v>400</v>
      </c>
      <c r="H3601">
        <v>0</v>
      </c>
      <c r="I3601" t="s">
        <v>24</v>
      </c>
      <c r="J3601" t="s">
        <v>13504</v>
      </c>
      <c r="K3601" t="s">
        <v>1198</v>
      </c>
      <c r="L3601" t="s">
        <v>27</v>
      </c>
      <c r="M3601" t="s">
        <v>28</v>
      </c>
      <c r="N3601" t="s">
        <v>13505</v>
      </c>
      <c r="O3601" t="s">
        <v>27</v>
      </c>
      <c r="P3601" t="s">
        <v>39</v>
      </c>
      <c r="Q3601" t="s">
        <v>31</v>
      </c>
      <c r="R3601" t="s">
        <v>32</v>
      </c>
      <c r="S3601" t="s">
        <v>28</v>
      </c>
      <c r="T3601" t="s">
        <v>13506</v>
      </c>
      <c r="U3601" t="s">
        <v>13507</v>
      </c>
    </row>
    <row r="3602" spans="1:21" x14ac:dyDescent="0.25">
      <c r="A3602" t="s">
        <v>261</v>
      </c>
      <c r="B3602" t="s">
        <v>262</v>
      </c>
      <c r="C3602">
        <v>250</v>
      </c>
      <c r="D3602">
        <v>1</v>
      </c>
      <c r="E3602">
        <v>0</v>
      </c>
      <c r="F3602" t="s">
        <v>13508</v>
      </c>
      <c r="G3602">
        <v>250</v>
      </c>
      <c r="H3602">
        <v>0</v>
      </c>
      <c r="I3602" t="s">
        <v>140</v>
      </c>
      <c r="J3602" t="s">
        <v>13509</v>
      </c>
      <c r="K3602" t="s">
        <v>1029</v>
      </c>
      <c r="L3602" t="s">
        <v>27</v>
      </c>
      <c r="M3602" t="s">
        <v>28</v>
      </c>
      <c r="N3602" t="s">
        <v>13505</v>
      </c>
      <c r="O3602" t="s">
        <v>27</v>
      </c>
      <c r="P3602" t="s">
        <v>30</v>
      </c>
      <c r="Q3602" t="s">
        <v>31</v>
      </c>
      <c r="R3602" t="s">
        <v>32</v>
      </c>
      <c r="S3602" t="s">
        <v>28</v>
      </c>
      <c r="T3602" t="s">
        <v>13510</v>
      </c>
      <c r="U3602" t="s">
        <v>13505</v>
      </c>
    </row>
    <row r="3603" spans="1:21" x14ac:dyDescent="0.25">
      <c r="A3603" t="s">
        <v>58</v>
      </c>
      <c r="B3603" t="s">
        <v>103</v>
      </c>
      <c r="C3603">
        <v>89.75</v>
      </c>
      <c r="D3603">
        <v>1</v>
      </c>
      <c r="E3603">
        <v>0</v>
      </c>
      <c r="F3603" t="s">
        <v>13511</v>
      </c>
      <c r="G3603">
        <v>89.75</v>
      </c>
      <c r="H3603">
        <v>0</v>
      </c>
      <c r="I3603" t="s">
        <v>105</v>
      </c>
      <c r="J3603" t="s">
        <v>13512</v>
      </c>
      <c r="K3603" t="s">
        <v>13513</v>
      </c>
      <c r="L3603" t="s">
        <v>1677</v>
      </c>
      <c r="M3603" t="s">
        <v>13514</v>
      </c>
      <c r="N3603" t="s">
        <v>13515</v>
      </c>
      <c r="O3603" t="s">
        <v>27</v>
      </c>
      <c r="P3603" t="s">
        <v>48</v>
      </c>
      <c r="Q3603" t="s">
        <v>49</v>
      </c>
      <c r="R3603" t="s">
        <v>50</v>
      </c>
      <c r="S3603" t="s">
        <v>28</v>
      </c>
      <c r="T3603" t="s">
        <v>13516</v>
      </c>
      <c r="U3603" t="s">
        <v>13515</v>
      </c>
    </row>
    <row r="3604" spans="1:21" x14ac:dyDescent="0.25">
      <c r="A3604" t="s">
        <v>33</v>
      </c>
      <c r="B3604" t="s">
        <v>34</v>
      </c>
      <c r="C3604">
        <v>200</v>
      </c>
      <c r="D3604">
        <v>1</v>
      </c>
      <c r="E3604">
        <v>0</v>
      </c>
      <c r="F3604" t="s">
        <v>13517</v>
      </c>
      <c r="G3604">
        <v>200</v>
      </c>
      <c r="H3604">
        <v>0</v>
      </c>
      <c r="I3604" t="s">
        <v>24</v>
      </c>
      <c r="J3604" t="s">
        <v>13518</v>
      </c>
      <c r="K3604" t="s">
        <v>350</v>
      </c>
      <c r="L3604" t="s">
        <v>27</v>
      </c>
      <c r="M3604" t="s">
        <v>28</v>
      </c>
      <c r="N3604" t="s">
        <v>13519</v>
      </c>
      <c r="O3604" t="s">
        <v>27</v>
      </c>
      <c r="P3604" t="s">
        <v>56</v>
      </c>
      <c r="Q3604" t="s">
        <v>31</v>
      </c>
      <c r="R3604" t="s">
        <v>57</v>
      </c>
      <c r="S3604" t="s">
        <v>28</v>
      </c>
      <c r="T3604" t="s">
        <v>13520</v>
      </c>
      <c r="U3604" t="s">
        <v>13519</v>
      </c>
    </row>
    <row r="3605" spans="1:21" x14ac:dyDescent="0.25">
      <c r="A3605" t="s">
        <v>58</v>
      </c>
      <c r="B3605" t="s">
        <v>58</v>
      </c>
      <c r="C3605">
        <v>100</v>
      </c>
      <c r="D3605">
        <v>1</v>
      </c>
      <c r="E3605">
        <v>0</v>
      </c>
      <c r="F3605" t="s">
        <v>13521</v>
      </c>
      <c r="G3605">
        <v>100</v>
      </c>
      <c r="H3605">
        <v>0</v>
      </c>
      <c r="I3605" t="s">
        <v>445</v>
      </c>
      <c r="J3605" t="s">
        <v>13522</v>
      </c>
      <c r="K3605" t="s">
        <v>13523</v>
      </c>
      <c r="L3605" t="s">
        <v>13524</v>
      </c>
      <c r="M3605" t="s">
        <v>7985</v>
      </c>
      <c r="N3605" t="s">
        <v>13525</v>
      </c>
      <c r="O3605" t="s">
        <v>27</v>
      </c>
      <c r="P3605" t="s">
        <v>193</v>
      </c>
      <c r="Q3605" t="s">
        <v>85</v>
      </c>
      <c r="R3605" t="s">
        <v>86</v>
      </c>
      <c r="S3605" t="s">
        <v>28</v>
      </c>
      <c r="T3605" t="s">
        <v>13526</v>
      </c>
      <c r="U3605" t="s">
        <v>13527</v>
      </c>
    </row>
    <row r="3606" spans="1:21" x14ac:dyDescent="0.25">
      <c r="A3606" t="s">
        <v>58</v>
      </c>
      <c r="B3606" t="s">
        <v>58</v>
      </c>
      <c r="C3606">
        <v>100</v>
      </c>
      <c r="D3606">
        <v>3</v>
      </c>
      <c r="E3606">
        <v>0</v>
      </c>
      <c r="F3606" t="s">
        <v>13528</v>
      </c>
      <c r="G3606">
        <v>329</v>
      </c>
      <c r="H3606">
        <v>29</v>
      </c>
      <c r="I3606" t="s">
        <v>445</v>
      </c>
      <c r="J3606" t="s">
        <v>11537</v>
      </c>
      <c r="K3606" t="s">
        <v>11538</v>
      </c>
      <c r="L3606" t="s">
        <v>2557</v>
      </c>
      <c r="M3606" t="s">
        <v>5187</v>
      </c>
      <c r="N3606" t="s">
        <v>13529</v>
      </c>
      <c r="O3606" t="s">
        <v>27</v>
      </c>
      <c r="P3606" t="s">
        <v>193</v>
      </c>
      <c r="Q3606" t="s">
        <v>85</v>
      </c>
      <c r="R3606" t="s">
        <v>86</v>
      </c>
      <c r="S3606" t="s">
        <v>28</v>
      </c>
      <c r="T3606" t="s">
        <v>13530</v>
      </c>
      <c r="U3606" t="s">
        <v>13531</v>
      </c>
    </row>
    <row r="3607" spans="1:21" x14ac:dyDescent="0.25">
      <c r="A3607" t="s">
        <v>635</v>
      </c>
      <c r="B3607" t="s">
        <v>1129</v>
      </c>
      <c r="C3607">
        <v>424</v>
      </c>
      <c r="D3607">
        <v>1</v>
      </c>
      <c r="E3607">
        <v>0</v>
      </c>
      <c r="F3607" t="s">
        <v>13532</v>
      </c>
      <c r="G3607">
        <v>872</v>
      </c>
      <c r="H3607">
        <v>24</v>
      </c>
      <c r="I3607" t="s">
        <v>105</v>
      </c>
      <c r="J3607" t="s">
        <v>13533</v>
      </c>
      <c r="K3607" t="s">
        <v>13534</v>
      </c>
      <c r="L3607" t="s">
        <v>3493</v>
      </c>
      <c r="M3607" t="s">
        <v>13535</v>
      </c>
      <c r="N3607" t="s">
        <v>13531</v>
      </c>
      <c r="O3607" t="s">
        <v>27</v>
      </c>
      <c r="P3607" t="s">
        <v>48</v>
      </c>
      <c r="Q3607" t="s">
        <v>49</v>
      </c>
      <c r="R3607" t="s">
        <v>50</v>
      </c>
      <c r="S3607" t="s">
        <v>28</v>
      </c>
      <c r="T3607" t="s">
        <v>13536</v>
      </c>
      <c r="U3607" t="s">
        <v>13531</v>
      </c>
    </row>
    <row r="3608" spans="1:21" x14ac:dyDescent="0.25">
      <c r="A3608" t="s">
        <v>635</v>
      </c>
      <c r="B3608" t="s">
        <v>1129</v>
      </c>
      <c r="C3608">
        <v>424</v>
      </c>
      <c r="D3608">
        <v>1</v>
      </c>
      <c r="E3608">
        <v>0</v>
      </c>
      <c r="F3608" t="s">
        <v>13532</v>
      </c>
      <c r="G3608">
        <v>872</v>
      </c>
      <c r="H3608">
        <v>24</v>
      </c>
      <c r="I3608" t="s">
        <v>105</v>
      </c>
      <c r="J3608" t="s">
        <v>13533</v>
      </c>
      <c r="K3608" t="s">
        <v>13534</v>
      </c>
      <c r="L3608" t="s">
        <v>3493</v>
      </c>
      <c r="M3608" t="s">
        <v>13535</v>
      </c>
      <c r="N3608" t="s">
        <v>13531</v>
      </c>
      <c r="O3608" t="s">
        <v>27</v>
      </c>
      <c r="P3608" t="s">
        <v>48</v>
      </c>
      <c r="Q3608" t="s">
        <v>49</v>
      </c>
      <c r="R3608" t="s">
        <v>50</v>
      </c>
      <c r="S3608" t="s">
        <v>28</v>
      </c>
      <c r="T3608" t="s">
        <v>13536</v>
      </c>
      <c r="U3608" t="s">
        <v>13531</v>
      </c>
    </row>
    <row r="3609" spans="1:21" x14ac:dyDescent="0.25">
      <c r="A3609" t="s">
        <v>134</v>
      </c>
      <c r="B3609" t="s">
        <v>64</v>
      </c>
      <c r="C3609">
        <v>100</v>
      </c>
      <c r="D3609">
        <v>1</v>
      </c>
      <c r="E3609">
        <v>0</v>
      </c>
      <c r="F3609" t="s">
        <v>13537</v>
      </c>
      <c r="G3609">
        <v>106</v>
      </c>
      <c r="H3609">
        <v>6</v>
      </c>
      <c r="I3609" t="s">
        <v>24</v>
      </c>
      <c r="J3609" t="s">
        <v>13538</v>
      </c>
      <c r="K3609" t="s">
        <v>325</v>
      </c>
      <c r="L3609" t="s">
        <v>27</v>
      </c>
      <c r="M3609" t="s">
        <v>28</v>
      </c>
      <c r="N3609" t="s">
        <v>13539</v>
      </c>
      <c r="O3609" t="s">
        <v>27</v>
      </c>
      <c r="P3609" t="s">
        <v>39</v>
      </c>
      <c r="Q3609" t="s">
        <v>31</v>
      </c>
      <c r="R3609" t="s">
        <v>32</v>
      </c>
      <c r="S3609" t="s">
        <v>28</v>
      </c>
      <c r="T3609" t="s">
        <v>13540</v>
      </c>
      <c r="U3609" t="s">
        <v>13539</v>
      </c>
    </row>
    <row r="3610" spans="1:21" x14ac:dyDescent="0.25">
      <c r="A3610" t="s">
        <v>143</v>
      </c>
      <c r="B3610" t="s">
        <v>144</v>
      </c>
      <c r="C3610">
        <v>200</v>
      </c>
      <c r="D3610">
        <v>1</v>
      </c>
      <c r="E3610">
        <v>0</v>
      </c>
      <c r="F3610" t="s">
        <v>13541</v>
      </c>
      <c r="G3610">
        <v>200</v>
      </c>
      <c r="H3610">
        <v>0</v>
      </c>
      <c r="I3610" t="s">
        <v>24</v>
      </c>
      <c r="J3610" t="s">
        <v>13542</v>
      </c>
      <c r="K3610" t="s">
        <v>61</v>
      </c>
      <c r="L3610" t="s">
        <v>27</v>
      </c>
      <c r="M3610" t="s">
        <v>28</v>
      </c>
      <c r="N3610" t="s">
        <v>13543</v>
      </c>
      <c r="O3610" t="s">
        <v>27</v>
      </c>
      <c r="P3610" t="s">
        <v>39</v>
      </c>
      <c r="Q3610" t="s">
        <v>31</v>
      </c>
      <c r="R3610" t="s">
        <v>32</v>
      </c>
      <c r="S3610" t="s">
        <v>28</v>
      </c>
      <c r="T3610" t="s">
        <v>13544</v>
      </c>
      <c r="U3610" t="s">
        <v>13543</v>
      </c>
    </row>
    <row r="3611" spans="1:21" x14ac:dyDescent="0.25">
      <c r="A3611" t="s">
        <v>33</v>
      </c>
      <c r="B3611" t="s">
        <v>34</v>
      </c>
      <c r="C3611">
        <v>200</v>
      </c>
      <c r="D3611">
        <v>1</v>
      </c>
      <c r="E3611">
        <v>0</v>
      </c>
      <c r="F3611" t="s">
        <v>13545</v>
      </c>
      <c r="G3611">
        <v>200</v>
      </c>
      <c r="H3611">
        <v>0</v>
      </c>
      <c r="I3611" t="s">
        <v>24</v>
      </c>
      <c r="J3611" t="s">
        <v>13546</v>
      </c>
      <c r="K3611" t="s">
        <v>711</v>
      </c>
      <c r="L3611" t="s">
        <v>27</v>
      </c>
      <c r="M3611" t="s">
        <v>28</v>
      </c>
      <c r="N3611" t="s">
        <v>13543</v>
      </c>
      <c r="O3611" t="s">
        <v>27</v>
      </c>
      <c r="P3611" t="s">
        <v>39</v>
      </c>
      <c r="Q3611" t="s">
        <v>31</v>
      </c>
      <c r="R3611" t="s">
        <v>32</v>
      </c>
      <c r="S3611" t="s">
        <v>28</v>
      </c>
      <c r="T3611" t="s">
        <v>13547</v>
      </c>
      <c r="U3611" t="s">
        <v>13543</v>
      </c>
    </row>
    <row r="3612" spans="1:21" x14ac:dyDescent="0.25">
      <c r="A3612" t="s">
        <v>1513</v>
      </c>
      <c r="B3612" t="s">
        <v>1514</v>
      </c>
      <c r="C3612">
        <v>330</v>
      </c>
      <c r="D3612">
        <v>2</v>
      </c>
      <c r="E3612">
        <v>0</v>
      </c>
      <c r="F3612" t="s">
        <v>13548</v>
      </c>
      <c r="G3612">
        <v>660</v>
      </c>
      <c r="H3612">
        <v>0</v>
      </c>
      <c r="I3612" t="s">
        <v>140</v>
      </c>
      <c r="J3612" t="s">
        <v>8832</v>
      </c>
      <c r="K3612" t="s">
        <v>89</v>
      </c>
      <c r="L3612" t="s">
        <v>27</v>
      </c>
      <c r="M3612" t="s">
        <v>28</v>
      </c>
      <c r="N3612" t="s">
        <v>13543</v>
      </c>
      <c r="O3612" t="s">
        <v>27</v>
      </c>
      <c r="P3612" t="s">
        <v>30</v>
      </c>
      <c r="Q3612" t="s">
        <v>31</v>
      </c>
      <c r="R3612" t="s">
        <v>32</v>
      </c>
      <c r="S3612" t="s">
        <v>28</v>
      </c>
      <c r="T3612" t="s">
        <v>13549</v>
      </c>
      <c r="U3612" t="s">
        <v>13543</v>
      </c>
    </row>
    <row r="3613" spans="1:21" x14ac:dyDescent="0.25">
      <c r="A3613" t="s">
        <v>21</v>
      </c>
      <c r="B3613" t="s">
        <v>22</v>
      </c>
      <c r="C3613">
        <v>100</v>
      </c>
      <c r="D3613">
        <v>2</v>
      </c>
      <c r="E3613">
        <v>0</v>
      </c>
      <c r="F3613" t="s">
        <v>13550</v>
      </c>
      <c r="G3613">
        <v>206</v>
      </c>
      <c r="H3613">
        <v>6</v>
      </c>
      <c r="I3613" t="s">
        <v>140</v>
      </c>
      <c r="J3613" t="s">
        <v>13551</v>
      </c>
      <c r="K3613" t="s">
        <v>285</v>
      </c>
      <c r="L3613" t="s">
        <v>27</v>
      </c>
      <c r="M3613" t="s">
        <v>28</v>
      </c>
      <c r="N3613" t="s">
        <v>13552</v>
      </c>
      <c r="O3613" t="s">
        <v>27</v>
      </c>
      <c r="P3613" t="s">
        <v>30</v>
      </c>
      <c r="Q3613" t="s">
        <v>31</v>
      </c>
      <c r="R3613" t="s">
        <v>32</v>
      </c>
      <c r="S3613" t="s">
        <v>28</v>
      </c>
      <c r="T3613" t="s">
        <v>13553</v>
      </c>
      <c r="U3613" t="s">
        <v>13552</v>
      </c>
    </row>
    <row r="3614" spans="1:21" x14ac:dyDescent="0.25">
      <c r="A3614" t="s">
        <v>21</v>
      </c>
      <c r="B3614" t="s">
        <v>22</v>
      </c>
      <c r="C3614">
        <v>100</v>
      </c>
      <c r="D3614">
        <v>1</v>
      </c>
      <c r="E3614">
        <v>0</v>
      </c>
      <c r="F3614" t="s">
        <v>13554</v>
      </c>
      <c r="G3614">
        <v>100</v>
      </c>
      <c r="H3614">
        <v>0</v>
      </c>
      <c r="I3614" t="s">
        <v>140</v>
      </c>
      <c r="J3614" t="s">
        <v>13555</v>
      </c>
      <c r="K3614" t="s">
        <v>753</v>
      </c>
      <c r="L3614" t="s">
        <v>27</v>
      </c>
      <c r="M3614" t="s">
        <v>28</v>
      </c>
      <c r="N3614" t="s">
        <v>13556</v>
      </c>
      <c r="O3614" t="s">
        <v>27</v>
      </c>
      <c r="P3614" t="s">
        <v>30</v>
      </c>
      <c r="Q3614" t="s">
        <v>31</v>
      </c>
      <c r="R3614" t="s">
        <v>32</v>
      </c>
      <c r="S3614" t="s">
        <v>28</v>
      </c>
      <c r="T3614" t="s">
        <v>13557</v>
      </c>
      <c r="U3614" t="s">
        <v>13556</v>
      </c>
    </row>
    <row r="3615" spans="1:21" x14ac:dyDescent="0.25">
      <c r="A3615" t="s">
        <v>21</v>
      </c>
      <c r="B3615" t="s">
        <v>22</v>
      </c>
      <c r="C3615">
        <v>100</v>
      </c>
      <c r="D3615">
        <v>2</v>
      </c>
      <c r="E3615">
        <v>0</v>
      </c>
      <c r="F3615" t="s">
        <v>13558</v>
      </c>
      <c r="G3615">
        <v>200</v>
      </c>
      <c r="H3615">
        <v>0</v>
      </c>
      <c r="I3615" t="s">
        <v>140</v>
      </c>
      <c r="J3615" t="s">
        <v>13559</v>
      </c>
      <c r="K3615" t="s">
        <v>672</v>
      </c>
      <c r="L3615" t="s">
        <v>27</v>
      </c>
      <c r="M3615" t="s">
        <v>28</v>
      </c>
      <c r="N3615" t="s">
        <v>13560</v>
      </c>
      <c r="O3615" t="s">
        <v>27</v>
      </c>
      <c r="P3615" t="s">
        <v>369</v>
      </c>
      <c r="Q3615" t="s">
        <v>31</v>
      </c>
      <c r="R3615" t="s">
        <v>57</v>
      </c>
      <c r="S3615" t="s">
        <v>28</v>
      </c>
      <c r="T3615" t="s">
        <v>13561</v>
      </c>
      <c r="U3615" t="s">
        <v>13560</v>
      </c>
    </row>
    <row r="3616" spans="1:21" x14ac:dyDescent="0.25">
      <c r="A3616" t="s">
        <v>21</v>
      </c>
      <c r="B3616" t="s">
        <v>22</v>
      </c>
      <c r="C3616">
        <v>100</v>
      </c>
      <c r="D3616">
        <v>1</v>
      </c>
      <c r="E3616">
        <v>0</v>
      </c>
      <c r="F3616" t="s">
        <v>13562</v>
      </c>
      <c r="G3616">
        <v>106</v>
      </c>
      <c r="H3616">
        <v>6</v>
      </c>
      <c r="I3616" t="s">
        <v>445</v>
      </c>
      <c r="J3616" t="s">
        <v>700</v>
      </c>
      <c r="K3616" t="s">
        <v>209</v>
      </c>
      <c r="L3616" t="s">
        <v>27</v>
      </c>
      <c r="M3616" t="s">
        <v>28</v>
      </c>
      <c r="N3616" t="s">
        <v>13563</v>
      </c>
      <c r="O3616" t="s">
        <v>27</v>
      </c>
      <c r="P3616" t="s">
        <v>39</v>
      </c>
      <c r="Q3616" t="s">
        <v>31</v>
      </c>
      <c r="R3616" t="s">
        <v>32</v>
      </c>
      <c r="S3616" t="s">
        <v>28</v>
      </c>
      <c r="T3616" t="s">
        <v>13564</v>
      </c>
      <c r="U3616" t="s">
        <v>13560</v>
      </c>
    </row>
    <row r="3617" spans="1:21" x14ac:dyDescent="0.25">
      <c r="A3617" t="s">
        <v>21</v>
      </c>
      <c r="B3617" t="s">
        <v>22</v>
      </c>
      <c r="C3617">
        <v>100</v>
      </c>
      <c r="D3617">
        <v>1</v>
      </c>
      <c r="E3617">
        <v>0</v>
      </c>
      <c r="F3617" t="s">
        <v>13565</v>
      </c>
      <c r="G3617">
        <v>100</v>
      </c>
      <c r="H3617">
        <v>0</v>
      </c>
      <c r="I3617" t="s">
        <v>24</v>
      </c>
      <c r="J3617" t="s">
        <v>13566</v>
      </c>
      <c r="K3617" t="s">
        <v>124</v>
      </c>
      <c r="L3617" t="s">
        <v>27</v>
      </c>
      <c r="M3617" t="s">
        <v>28</v>
      </c>
      <c r="N3617" t="s">
        <v>13567</v>
      </c>
      <c r="O3617" t="s">
        <v>27</v>
      </c>
      <c r="P3617" t="s">
        <v>39</v>
      </c>
      <c r="Q3617" t="s">
        <v>31</v>
      </c>
      <c r="R3617" t="s">
        <v>32</v>
      </c>
      <c r="S3617" t="s">
        <v>28</v>
      </c>
      <c r="T3617" t="s">
        <v>13568</v>
      </c>
      <c r="U3617" t="s">
        <v>13567</v>
      </c>
    </row>
    <row r="3618" spans="1:21" x14ac:dyDescent="0.25">
      <c r="A3618" t="s">
        <v>143</v>
      </c>
      <c r="B3618" t="s">
        <v>144</v>
      </c>
      <c r="C3618">
        <v>200</v>
      </c>
      <c r="D3618">
        <v>1</v>
      </c>
      <c r="E3618">
        <v>0</v>
      </c>
      <c r="F3618" t="s">
        <v>13569</v>
      </c>
      <c r="G3618">
        <v>200</v>
      </c>
      <c r="H3618">
        <v>0</v>
      </c>
      <c r="I3618" t="s">
        <v>24</v>
      </c>
      <c r="J3618" t="s">
        <v>13570</v>
      </c>
      <c r="K3618" t="s">
        <v>834</v>
      </c>
      <c r="L3618" t="s">
        <v>27</v>
      </c>
      <c r="M3618" t="s">
        <v>28</v>
      </c>
      <c r="N3618" t="s">
        <v>13571</v>
      </c>
      <c r="O3618" t="s">
        <v>27</v>
      </c>
      <c r="P3618" t="s">
        <v>39</v>
      </c>
      <c r="Q3618" t="s">
        <v>31</v>
      </c>
      <c r="R3618" t="s">
        <v>32</v>
      </c>
      <c r="S3618" t="s">
        <v>28</v>
      </c>
      <c r="T3618" t="s">
        <v>13572</v>
      </c>
      <c r="U3618" t="s">
        <v>13571</v>
      </c>
    </row>
    <row r="3619" spans="1:21" x14ac:dyDescent="0.25">
      <c r="A3619" t="s">
        <v>21</v>
      </c>
      <c r="B3619" t="s">
        <v>22</v>
      </c>
      <c r="C3619">
        <v>100</v>
      </c>
      <c r="D3619">
        <v>2</v>
      </c>
      <c r="E3619">
        <v>0</v>
      </c>
      <c r="F3619" t="s">
        <v>13573</v>
      </c>
      <c r="G3619">
        <v>200</v>
      </c>
      <c r="H3619">
        <v>0</v>
      </c>
      <c r="I3619" t="s">
        <v>140</v>
      </c>
      <c r="J3619" t="s">
        <v>13574</v>
      </c>
      <c r="K3619" t="s">
        <v>753</v>
      </c>
      <c r="L3619" t="s">
        <v>27</v>
      </c>
      <c r="M3619" t="s">
        <v>28</v>
      </c>
      <c r="N3619" t="s">
        <v>13575</v>
      </c>
      <c r="O3619" t="s">
        <v>27</v>
      </c>
      <c r="P3619" t="s">
        <v>30</v>
      </c>
      <c r="Q3619" t="s">
        <v>31</v>
      </c>
      <c r="R3619" t="s">
        <v>32</v>
      </c>
      <c r="S3619" t="s">
        <v>28</v>
      </c>
      <c r="T3619" t="s">
        <v>13576</v>
      </c>
      <c r="U3619" t="s">
        <v>13575</v>
      </c>
    </row>
    <row r="3620" spans="1:21" x14ac:dyDescent="0.25">
      <c r="A3620" t="s">
        <v>2307</v>
      </c>
      <c r="B3620" t="s">
        <v>2308</v>
      </c>
      <c r="C3620">
        <v>330</v>
      </c>
      <c r="D3620">
        <v>1</v>
      </c>
      <c r="E3620">
        <v>0</v>
      </c>
      <c r="F3620" t="s">
        <v>13577</v>
      </c>
      <c r="G3620">
        <v>330</v>
      </c>
      <c r="H3620">
        <v>0</v>
      </c>
      <c r="I3620" t="s">
        <v>140</v>
      </c>
      <c r="J3620" t="s">
        <v>13578</v>
      </c>
      <c r="K3620" t="s">
        <v>247</v>
      </c>
      <c r="L3620" t="s">
        <v>27</v>
      </c>
      <c r="M3620" t="s">
        <v>28</v>
      </c>
      <c r="N3620" t="s">
        <v>13579</v>
      </c>
      <c r="O3620" t="s">
        <v>27</v>
      </c>
      <c r="P3620" t="s">
        <v>30</v>
      </c>
      <c r="Q3620" t="s">
        <v>31</v>
      </c>
      <c r="R3620" t="s">
        <v>32</v>
      </c>
      <c r="S3620" t="s">
        <v>13580</v>
      </c>
      <c r="T3620" t="s">
        <v>13581</v>
      </c>
      <c r="U3620" t="s">
        <v>13579</v>
      </c>
    </row>
    <row r="3621" spans="1:21" x14ac:dyDescent="0.25">
      <c r="A3621" t="s">
        <v>70</v>
      </c>
      <c r="B3621" t="s">
        <v>70</v>
      </c>
      <c r="C3621">
        <v>350</v>
      </c>
      <c r="D3621">
        <v>1</v>
      </c>
      <c r="E3621">
        <v>0</v>
      </c>
      <c r="F3621" t="s">
        <v>13582</v>
      </c>
      <c r="G3621">
        <v>350</v>
      </c>
      <c r="H3621">
        <v>0</v>
      </c>
      <c r="I3621" t="s">
        <v>140</v>
      </c>
      <c r="J3621" t="s">
        <v>13583</v>
      </c>
      <c r="K3621" t="s">
        <v>61</v>
      </c>
      <c r="L3621" t="s">
        <v>27</v>
      </c>
      <c r="M3621" t="s">
        <v>28</v>
      </c>
      <c r="N3621" t="s">
        <v>13584</v>
      </c>
      <c r="O3621" t="s">
        <v>27</v>
      </c>
      <c r="P3621" t="s">
        <v>30</v>
      </c>
      <c r="Q3621" t="s">
        <v>31</v>
      </c>
      <c r="R3621" t="s">
        <v>32</v>
      </c>
      <c r="S3621" t="s">
        <v>28</v>
      </c>
      <c r="T3621" t="s">
        <v>13585</v>
      </c>
      <c r="U3621" t="s">
        <v>13584</v>
      </c>
    </row>
    <row r="3622" spans="1:21" x14ac:dyDescent="0.25">
      <c r="A3622" t="s">
        <v>243</v>
      </c>
      <c r="B3622" t="s">
        <v>244</v>
      </c>
      <c r="C3622">
        <v>200</v>
      </c>
      <c r="D3622">
        <v>1</v>
      </c>
      <c r="E3622">
        <v>0</v>
      </c>
      <c r="F3622" t="s">
        <v>13586</v>
      </c>
      <c r="G3622">
        <v>200</v>
      </c>
      <c r="H3622">
        <v>0</v>
      </c>
      <c r="I3622" t="s">
        <v>24</v>
      </c>
      <c r="J3622" t="s">
        <v>13587</v>
      </c>
      <c r="K3622" t="s">
        <v>936</v>
      </c>
      <c r="L3622" t="s">
        <v>27</v>
      </c>
      <c r="M3622" t="s">
        <v>28</v>
      </c>
      <c r="N3622" t="s">
        <v>13588</v>
      </c>
      <c r="O3622" t="s">
        <v>27</v>
      </c>
      <c r="P3622" t="s">
        <v>56</v>
      </c>
      <c r="Q3622" t="s">
        <v>31</v>
      </c>
      <c r="R3622" t="s">
        <v>57</v>
      </c>
      <c r="S3622" t="s">
        <v>28</v>
      </c>
      <c r="T3622" t="s">
        <v>13589</v>
      </c>
      <c r="U3622" t="s">
        <v>13590</v>
      </c>
    </row>
    <row r="3623" spans="1:21" x14ac:dyDescent="0.25">
      <c r="A3623" t="s">
        <v>58</v>
      </c>
      <c r="B3623" t="s">
        <v>58</v>
      </c>
      <c r="C3623">
        <v>100</v>
      </c>
      <c r="D3623">
        <v>1</v>
      </c>
      <c r="E3623">
        <v>0</v>
      </c>
      <c r="F3623" t="s">
        <v>13591</v>
      </c>
      <c r="G3623">
        <v>106</v>
      </c>
      <c r="H3623">
        <v>6</v>
      </c>
      <c r="I3623" t="s">
        <v>140</v>
      </c>
      <c r="J3623" t="s">
        <v>13592</v>
      </c>
      <c r="K3623" t="s">
        <v>61</v>
      </c>
      <c r="L3623" t="s">
        <v>27</v>
      </c>
      <c r="M3623" t="s">
        <v>28</v>
      </c>
      <c r="N3623" t="s">
        <v>13593</v>
      </c>
      <c r="O3623" t="s">
        <v>27</v>
      </c>
      <c r="P3623" t="s">
        <v>30</v>
      </c>
      <c r="Q3623" t="s">
        <v>31</v>
      </c>
      <c r="R3623" t="s">
        <v>32</v>
      </c>
      <c r="S3623" t="s">
        <v>28</v>
      </c>
      <c r="T3623" t="s">
        <v>13594</v>
      </c>
      <c r="U3623" t="s">
        <v>13593</v>
      </c>
    </row>
    <row r="3624" spans="1:21" x14ac:dyDescent="0.25">
      <c r="A3624" t="s">
        <v>63</v>
      </c>
      <c r="B3624" t="s">
        <v>64</v>
      </c>
      <c r="C3624">
        <v>100</v>
      </c>
      <c r="D3624">
        <v>2</v>
      </c>
      <c r="E3624">
        <v>0</v>
      </c>
      <c r="F3624" t="s">
        <v>13595</v>
      </c>
      <c r="G3624">
        <v>398</v>
      </c>
      <c r="H3624">
        <v>0</v>
      </c>
      <c r="I3624" t="s">
        <v>140</v>
      </c>
      <c r="J3624" t="s">
        <v>10323</v>
      </c>
      <c r="K3624" t="s">
        <v>61</v>
      </c>
      <c r="L3624" t="s">
        <v>27</v>
      </c>
      <c r="M3624" t="s">
        <v>28</v>
      </c>
      <c r="N3624" t="s">
        <v>13596</v>
      </c>
      <c r="O3624" t="s">
        <v>27</v>
      </c>
      <c r="P3624" t="s">
        <v>369</v>
      </c>
      <c r="Q3624" t="s">
        <v>31</v>
      </c>
      <c r="R3624" t="s">
        <v>57</v>
      </c>
      <c r="S3624" t="s">
        <v>28</v>
      </c>
      <c r="T3624" t="s">
        <v>13597</v>
      </c>
      <c r="U3624" t="s">
        <v>13596</v>
      </c>
    </row>
    <row r="3625" spans="1:21" x14ac:dyDescent="0.25">
      <c r="A3625" t="s">
        <v>70</v>
      </c>
      <c r="B3625" t="s">
        <v>70</v>
      </c>
      <c r="C3625">
        <v>350</v>
      </c>
      <c r="D3625">
        <v>1</v>
      </c>
      <c r="E3625">
        <v>0</v>
      </c>
      <c r="F3625" t="s">
        <v>13598</v>
      </c>
      <c r="G3625">
        <v>350</v>
      </c>
      <c r="H3625">
        <v>0</v>
      </c>
      <c r="I3625" t="s">
        <v>140</v>
      </c>
      <c r="J3625" t="s">
        <v>13599</v>
      </c>
      <c r="K3625" t="s">
        <v>350</v>
      </c>
      <c r="L3625" t="s">
        <v>27</v>
      </c>
      <c r="M3625" t="s">
        <v>28</v>
      </c>
      <c r="N3625" t="s">
        <v>13600</v>
      </c>
      <c r="O3625" t="s">
        <v>27</v>
      </c>
      <c r="P3625" t="s">
        <v>369</v>
      </c>
      <c r="Q3625" t="s">
        <v>31</v>
      </c>
      <c r="R3625" t="s">
        <v>57</v>
      </c>
      <c r="S3625" t="s">
        <v>28</v>
      </c>
      <c r="T3625" t="s">
        <v>13601</v>
      </c>
      <c r="U3625" t="s">
        <v>13600</v>
      </c>
    </row>
    <row r="3626" spans="1:21" x14ac:dyDescent="0.25">
      <c r="A3626" t="s">
        <v>58</v>
      </c>
      <c r="B3626" t="s">
        <v>58</v>
      </c>
      <c r="C3626">
        <v>100</v>
      </c>
      <c r="D3626">
        <v>2</v>
      </c>
      <c r="E3626">
        <v>0</v>
      </c>
      <c r="F3626" t="s">
        <v>13602</v>
      </c>
      <c r="G3626">
        <v>200</v>
      </c>
      <c r="H3626">
        <v>0</v>
      </c>
      <c r="I3626" t="s">
        <v>445</v>
      </c>
      <c r="J3626" t="s">
        <v>13522</v>
      </c>
      <c r="K3626" t="s">
        <v>13523</v>
      </c>
      <c r="L3626" t="s">
        <v>13524</v>
      </c>
      <c r="M3626" t="s">
        <v>7985</v>
      </c>
      <c r="N3626" t="s">
        <v>13603</v>
      </c>
      <c r="O3626" t="s">
        <v>27</v>
      </c>
      <c r="P3626" t="s">
        <v>193</v>
      </c>
      <c r="Q3626" t="s">
        <v>85</v>
      </c>
      <c r="R3626" t="s">
        <v>86</v>
      </c>
      <c r="S3626" t="s">
        <v>28</v>
      </c>
      <c r="T3626" t="s">
        <v>13604</v>
      </c>
      <c r="U3626" t="s">
        <v>13603</v>
      </c>
    </row>
    <row r="3627" spans="1:21" x14ac:dyDescent="0.25">
      <c r="A3627" t="s">
        <v>21</v>
      </c>
      <c r="B3627" t="s">
        <v>22</v>
      </c>
      <c r="C3627">
        <v>100</v>
      </c>
      <c r="D3627">
        <v>1</v>
      </c>
      <c r="E3627">
        <v>0</v>
      </c>
      <c r="F3627" t="s">
        <v>13605</v>
      </c>
      <c r="G3627">
        <v>100</v>
      </c>
      <c r="H3627">
        <v>0</v>
      </c>
      <c r="I3627" t="s">
        <v>445</v>
      </c>
      <c r="J3627" t="s">
        <v>687</v>
      </c>
      <c r="K3627" t="s">
        <v>8355</v>
      </c>
      <c r="L3627" t="s">
        <v>27</v>
      </c>
      <c r="M3627" t="s">
        <v>28</v>
      </c>
      <c r="N3627" t="s">
        <v>13606</v>
      </c>
      <c r="O3627" t="s">
        <v>27</v>
      </c>
      <c r="P3627" t="s">
        <v>39</v>
      </c>
      <c r="Q3627" t="s">
        <v>31</v>
      </c>
      <c r="R3627" t="s">
        <v>32</v>
      </c>
      <c r="S3627" t="s">
        <v>28</v>
      </c>
      <c r="T3627" t="s">
        <v>13607</v>
      </c>
      <c r="U3627" t="s">
        <v>13606</v>
      </c>
    </row>
    <row r="3628" spans="1:21" x14ac:dyDescent="0.25">
      <c r="A3628" t="s">
        <v>58</v>
      </c>
      <c r="B3628" t="s">
        <v>58</v>
      </c>
      <c r="C3628">
        <v>138</v>
      </c>
      <c r="D3628">
        <v>1</v>
      </c>
      <c r="E3628">
        <v>0</v>
      </c>
      <c r="F3628" t="s">
        <v>13608</v>
      </c>
      <c r="G3628">
        <v>143</v>
      </c>
      <c r="H3628">
        <v>5</v>
      </c>
      <c r="I3628" t="s">
        <v>24</v>
      </c>
      <c r="J3628" t="s">
        <v>13609</v>
      </c>
      <c r="K3628" t="s">
        <v>13610</v>
      </c>
      <c r="L3628" t="s">
        <v>13611</v>
      </c>
      <c r="M3628" t="s">
        <v>13612</v>
      </c>
      <c r="N3628" t="s">
        <v>13606</v>
      </c>
      <c r="O3628" t="s">
        <v>27</v>
      </c>
      <c r="P3628" t="s">
        <v>48</v>
      </c>
      <c r="Q3628" t="s">
        <v>49</v>
      </c>
      <c r="R3628" t="s">
        <v>50</v>
      </c>
      <c r="S3628" t="s">
        <v>28</v>
      </c>
      <c r="T3628" t="s">
        <v>13613</v>
      </c>
      <c r="U3628" t="s">
        <v>13606</v>
      </c>
    </row>
    <row r="3629" spans="1:21" x14ac:dyDescent="0.25">
      <c r="A3629" t="s">
        <v>21</v>
      </c>
      <c r="B3629" t="s">
        <v>22</v>
      </c>
      <c r="C3629">
        <v>100</v>
      </c>
      <c r="D3629">
        <v>1</v>
      </c>
      <c r="E3629">
        <v>0</v>
      </c>
      <c r="F3629" t="s">
        <v>13614</v>
      </c>
      <c r="G3629">
        <v>106</v>
      </c>
      <c r="H3629">
        <v>6</v>
      </c>
      <c r="I3629" t="s">
        <v>24</v>
      </c>
      <c r="J3629" t="s">
        <v>13615</v>
      </c>
      <c r="K3629" t="s">
        <v>285</v>
      </c>
      <c r="L3629" t="s">
        <v>27</v>
      </c>
      <c r="M3629" t="s">
        <v>28</v>
      </c>
      <c r="N3629" t="s">
        <v>13606</v>
      </c>
      <c r="O3629" t="s">
        <v>27</v>
      </c>
      <c r="P3629" t="s">
        <v>56</v>
      </c>
      <c r="Q3629" t="s">
        <v>31</v>
      </c>
      <c r="R3629" t="s">
        <v>57</v>
      </c>
      <c r="S3629" t="s">
        <v>28</v>
      </c>
      <c r="T3629" t="s">
        <v>13616</v>
      </c>
      <c r="U3629" t="s">
        <v>13617</v>
      </c>
    </row>
    <row r="3630" spans="1:21" x14ac:dyDescent="0.25">
      <c r="A3630" t="s">
        <v>143</v>
      </c>
      <c r="B3630" t="s">
        <v>144</v>
      </c>
      <c r="C3630">
        <v>200</v>
      </c>
      <c r="D3630">
        <v>1</v>
      </c>
      <c r="E3630">
        <v>0</v>
      </c>
      <c r="F3630" t="s">
        <v>13618</v>
      </c>
      <c r="G3630">
        <v>200</v>
      </c>
      <c r="H3630">
        <v>0</v>
      </c>
      <c r="I3630" t="s">
        <v>24</v>
      </c>
      <c r="J3630" t="s">
        <v>13542</v>
      </c>
      <c r="K3630" t="s">
        <v>61</v>
      </c>
      <c r="L3630" t="s">
        <v>27</v>
      </c>
      <c r="M3630" t="s">
        <v>28</v>
      </c>
      <c r="N3630" t="s">
        <v>13617</v>
      </c>
      <c r="O3630" t="s">
        <v>27</v>
      </c>
      <c r="P3630" t="s">
        <v>39</v>
      </c>
      <c r="Q3630" t="s">
        <v>31</v>
      </c>
      <c r="R3630" t="s">
        <v>32</v>
      </c>
      <c r="S3630" t="s">
        <v>28</v>
      </c>
      <c r="T3630" t="s">
        <v>13619</v>
      </c>
      <c r="U3630" t="s">
        <v>13617</v>
      </c>
    </row>
    <row r="3631" spans="1:21" x14ac:dyDescent="0.25">
      <c r="A3631" t="s">
        <v>21</v>
      </c>
      <c r="B3631" t="s">
        <v>22</v>
      </c>
      <c r="C3631">
        <v>100</v>
      </c>
      <c r="D3631">
        <v>2</v>
      </c>
      <c r="E3631">
        <v>0</v>
      </c>
      <c r="F3631" t="s">
        <v>13620</v>
      </c>
      <c r="G3631">
        <v>200</v>
      </c>
      <c r="H3631">
        <v>0</v>
      </c>
      <c r="I3631" t="s">
        <v>24</v>
      </c>
      <c r="J3631" t="s">
        <v>13621</v>
      </c>
      <c r="K3631" t="s">
        <v>331</v>
      </c>
      <c r="L3631" t="s">
        <v>27</v>
      </c>
      <c r="M3631" t="s">
        <v>28</v>
      </c>
      <c r="N3631" t="s">
        <v>13622</v>
      </c>
      <c r="O3631" t="s">
        <v>27</v>
      </c>
      <c r="P3631" t="s">
        <v>39</v>
      </c>
      <c r="Q3631" t="s">
        <v>31</v>
      </c>
      <c r="R3631" t="s">
        <v>32</v>
      </c>
      <c r="S3631" t="s">
        <v>28</v>
      </c>
      <c r="T3631" t="s">
        <v>13623</v>
      </c>
      <c r="U3631" t="s">
        <v>13622</v>
      </c>
    </row>
    <row r="3632" spans="1:21" x14ac:dyDescent="0.25">
      <c r="A3632" t="s">
        <v>456</v>
      </c>
      <c r="B3632" t="s">
        <v>457</v>
      </c>
      <c r="C3632">
        <v>197</v>
      </c>
      <c r="D3632">
        <v>1</v>
      </c>
      <c r="E3632">
        <v>0</v>
      </c>
      <c r="F3632" t="s">
        <v>13624</v>
      </c>
      <c r="G3632">
        <v>242</v>
      </c>
      <c r="H3632">
        <v>45</v>
      </c>
      <c r="I3632" t="s">
        <v>445</v>
      </c>
      <c r="J3632" t="s">
        <v>11721</v>
      </c>
      <c r="K3632" t="s">
        <v>11722</v>
      </c>
      <c r="L3632" t="s">
        <v>3844</v>
      </c>
      <c r="M3632" t="s">
        <v>9257</v>
      </c>
      <c r="N3632" t="s">
        <v>13625</v>
      </c>
      <c r="O3632" t="s">
        <v>27</v>
      </c>
      <c r="P3632" t="s">
        <v>193</v>
      </c>
      <c r="Q3632" t="s">
        <v>85</v>
      </c>
      <c r="R3632" t="s">
        <v>86</v>
      </c>
      <c r="S3632" t="s">
        <v>28</v>
      </c>
      <c r="T3632" t="s">
        <v>13626</v>
      </c>
      <c r="U3632" t="s">
        <v>13627</v>
      </c>
    </row>
    <row r="3633" spans="1:21" x14ac:dyDescent="0.25">
      <c r="A3633" t="s">
        <v>2307</v>
      </c>
      <c r="B3633" t="s">
        <v>2308</v>
      </c>
      <c r="C3633">
        <v>330</v>
      </c>
      <c r="D3633">
        <v>1</v>
      </c>
      <c r="E3633">
        <v>0</v>
      </c>
      <c r="F3633" t="s">
        <v>13628</v>
      </c>
      <c r="G3633">
        <v>660</v>
      </c>
      <c r="H3633">
        <v>0</v>
      </c>
      <c r="I3633" t="s">
        <v>445</v>
      </c>
      <c r="J3633" t="s">
        <v>13629</v>
      </c>
      <c r="K3633" t="s">
        <v>118</v>
      </c>
      <c r="L3633" t="s">
        <v>27</v>
      </c>
      <c r="M3633" t="s">
        <v>28</v>
      </c>
      <c r="N3633" t="s">
        <v>13630</v>
      </c>
      <c r="O3633" t="s">
        <v>27</v>
      </c>
      <c r="P3633" t="s">
        <v>39</v>
      </c>
      <c r="Q3633" t="s">
        <v>31</v>
      </c>
      <c r="R3633" t="s">
        <v>32</v>
      </c>
      <c r="S3633" t="s">
        <v>28</v>
      </c>
      <c r="T3633" t="s">
        <v>13631</v>
      </c>
      <c r="U3633" t="s">
        <v>13630</v>
      </c>
    </row>
    <row r="3634" spans="1:21" x14ac:dyDescent="0.25">
      <c r="A3634" t="s">
        <v>70</v>
      </c>
      <c r="B3634" t="s">
        <v>70</v>
      </c>
      <c r="C3634">
        <v>330</v>
      </c>
      <c r="D3634">
        <v>1</v>
      </c>
      <c r="E3634">
        <v>0</v>
      </c>
      <c r="F3634" t="s">
        <v>13628</v>
      </c>
      <c r="G3634">
        <v>660</v>
      </c>
      <c r="H3634">
        <v>0</v>
      </c>
      <c r="I3634" t="s">
        <v>445</v>
      </c>
      <c r="J3634" t="s">
        <v>13629</v>
      </c>
      <c r="K3634" t="s">
        <v>118</v>
      </c>
      <c r="L3634" t="s">
        <v>27</v>
      </c>
      <c r="M3634" t="s">
        <v>28</v>
      </c>
      <c r="N3634" t="s">
        <v>13630</v>
      </c>
      <c r="O3634" t="s">
        <v>27</v>
      </c>
      <c r="P3634" t="s">
        <v>39</v>
      </c>
      <c r="Q3634" t="s">
        <v>31</v>
      </c>
      <c r="R3634" t="s">
        <v>32</v>
      </c>
      <c r="S3634" t="s">
        <v>28</v>
      </c>
      <c r="T3634" t="s">
        <v>13631</v>
      </c>
      <c r="U3634" t="s">
        <v>13630</v>
      </c>
    </row>
    <row r="3635" spans="1:21" x14ac:dyDescent="0.25">
      <c r="A3635" t="s">
        <v>21</v>
      </c>
      <c r="B3635" t="s">
        <v>22</v>
      </c>
      <c r="C3635">
        <v>100</v>
      </c>
      <c r="D3635">
        <v>1</v>
      </c>
      <c r="E3635">
        <v>0</v>
      </c>
      <c r="F3635" t="s">
        <v>13632</v>
      </c>
      <c r="G3635">
        <v>106</v>
      </c>
      <c r="H3635">
        <v>6</v>
      </c>
      <c r="I3635" t="s">
        <v>24</v>
      </c>
      <c r="J3635" t="s">
        <v>13633</v>
      </c>
      <c r="K3635" t="s">
        <v>1029</v>
      </c>
      <c r="L3635" t="s">
        <v>27</v>
      </c>
      <c r="M3635" t="s">
        <v>28</v>
      </c>
      <c r="N3635" t="s">
        <v>13634</v>
      </c>
      <c r="O3635" t="s">
        <v>27</v>
      </c>
      <c r="P3635" t="s">
        <v>39</v>
      </c>
      <c r="Q3635" t="s">
        <v>31</v>
      </c>
      <c r="R3635" t="s">
        <v>32</v>
      </c>
      <c r="S3635" t="s">
        <v>28</v>
      </c>
      <c r="T3635" t="s">
        <v>13635</v>
      </c>
      <c r="U3635" t="s">
        <v>13634</v>
      </c>
    </row>
    <row r="3636" spans="1:21" x14ac:dyDescent="0.25">
      <c r="A3636" t="s">
        <v>3751</v>
      </c>
      <c r="B3636" t="s">
        <v>13636</v>
      </c>
      <c r="C3636">
        <v>560</v>
      </c>
      <c r="D3636">
        <v>1</v>
      </c>
      <c r="E3636">
        <v>0</v>
      </c>
      <c r="F3636" t="s">
        <v>13637</v>
      </c>
      <c r="G3636">
        <v>589</v>
      </c>
      <c r="H3636">
        <v>29</v>
      </c>
      <c r="I3636" t="s">
        <v>24</v>
      </c>
      <c r="J3636" t="s">
        <v>13638</v>
      </c>
      <c r="K3636" t="s">
        <v>13639</v>
      </c>
      <c r="L3636" t="s">
        <v>868</v>
      </c>
      <c r="M3636" t="s">
        <v>1744</v>
      </c>
      <c r="N3636" t="s">
        <v>13634</v>
      </c>
      <c r="O3636" t="s">
        <v>27</v>
      </c>
      <c r="P3636" t="s">
        <v>193</v>
      </c>
      <c r="Q3636" t="s">
        <v>85</v>
      </c>
      <c r="R3636" t="s">
        <v>86</v>
      </c>
      <c r="S3636" t="s">
        <v>28</v>
      </c>
      <c r="T3636" t="s">
        <v>13640</v>
      </c>
      <c r="U3636" t="s">
        <v>13634</v>
      </c>
    </row>
    <row r="3637" spans="1:21" x14ac:dyDescent="0.25">
      <c r="A3637" t="s">
        <v>33</v>
      </c>
      <c r="B3637" t="s">
        <v>34</v>
      </c>
      <c r="C3637">
        <v>200</v>
      </c>
      <c r="D3637">
        <v>1</v>
      </c>
      <c r="E3637">
        <v>0</v>
      </c>
      <c r="F3637" t="s">
        <v>13641</v>
      </c>
      <c r="G3637">
        <v>200</v>
      </c>
      <c r="H3637">
        <v>0</v>
      </c>
      <c r="I3637" t="s">
        <v>445</v>
      </c>
      <c r="J3637" t="s">
        <v>13642</v>
      </c>
      <c r="K3637" t="s">
        <v>342</v>
      </c>
      <c r="L3637" t="s">
        <v>27</v>
      </c>
      <c r="M3637" t="s">
        <v>28</v>
      </c>
      <c r="N3637" t="s">
        <v>13634</v>
      </c>
      <c r="O3637" t="s">
        <v>27</v>
      </c>
      <c r="P3637" t="s">
        <v>39</v>
      </c>
      <c r="Q3637" t="s">
        <v>31</v>
      </c>
      <c r="R3637" t="s">
        <v>32</v>
      </c>
      <c r="S3637" t="s">
        <v>28</v>
      </c>
      <c r="T3637" t="s">
        <v>13643</v>
      </c>
      <c r="U3637" t="s">
        <v>13634</v>
      </c>
    </row>
    <row r="3638" spans="1:21" x14ac:dyDescent="0.25">
      <c r="A3638" t="s">
        <v>261</v>
      </c>
      <c r="B3638" t="s">
        <v>1592</v>
      </c>
      <c r="C3638">
        <v>162.5</v>
      </c>
      <c r="D3638">
        <v>1</v>
      </c>
      <c r="E3638">
        <v>0</v>
      </c>
      <c r="F3638" t="s">
        <v>13644</v>
      </c>
      <c r="G3638">
        <v>364</v>
      </c>
      <c r="H3638">
        <v>39</v>
      </c>
      <c r="I3638" t="s">
        <v>24</v>
      </c>
      <c r="J3638" t="s">
        <v>5932</v>
      </c>
      <c r="K3638" t="s">
        <v>5933</v>
      </c>
      <c r="L3638" t="s">
        <v>1362</v>
      </c>
      <c r="M3638" t="s">
        <v>5934</v>
      </c>
      <c r="N3638" t="s">
        <v>13645</v>
      </c>
      <c r="O3638" t="s">
        <v>27</v>
      </c>
      <c r="P3638" t="s">
        <v>48</v>
      </c>
      <c r="Q3638" t="s">
        <v>49</v>
      </c>
      <c r="R3638" t="s">
        <v>50</v>
      </c>
      <c r="S3638" t="s">
        <v>28</v>
      </c>
      <c r="T3638" t="s">
        <v>13646</v>
      </c>
      <c r="U3638" t="s">
        <v>13647</v>
      </c>
    </row>
    <row r="3639" spans="1:21" x14ac:dyDescent="0.25">
      <c r="A3639" t="s">
        <v>261</v>
      </c>
      <c r="B3639" t="s">
        <v>1592</v>
      </c>
      <c r="C3639">
        <v>162.5</v>
      </c>
      <c r="D3639">
        <v>1</v>
      </c>
      <c r="E3639">
        <v>0</v>
      </c>
      <c r="F3639" t="s">
        <v>13644</v>
      </c>
      <c r="G3639">
        <v>364</v>
      </c>
      <c r="H3639">
        <v>39</v>
      </c>
      <c r="I3639" t="s">
        <v>24</v>
      </c>
      <c r="J3639" t="s">
        <v>5932</v>
      </c>
      <c r="K3639" t="s">
        <v>5933</v>
      </c>
      <c r="L3639" t="s">
        <v>1362</v>
      </c>
      <c r="M3639" t="s">
        <v>5934</v>
      </c>
      <c r="N3639" t="s">
        <v>13645</v>
      </c>
      <c r="O3639" t="s">
        <v>27</v>
      </c>
      <c r="P3639" t="s">
        <v>48</v>
      </c>
      <c r="Q3639" t="s">
        <v>49</v>
      </c>
      <c r="R3639" t="s">
        <v>50</v>
      </c>
      <c r="S3639" t="s">
        <v>28</v>
      </c>
      <c r="T3639" t="s">
        <v>13646</v>
      </c>
      <c r="U3639" t="s">
        <v>13647</v>
      </c>
    </row>
    <row r="3640" spans="1:21" x14ac:dyDescent="0.25">
      <c r="A3640" t="s">
        <v>33</v>
      </c>
      <c r="B3640" t="s">
        <v>34</v>
      </c>
      <c r="C3640">
        <v>200</v>
      </c>
      <c r="D3640">
        <v>1</v>
      </c>
      <c r="E3640">
        <v>0</v>
      </c>
      <c r="F3640" t="s">
        <v>13648</v>
      </c>
      <c r="G3640">
        <v>200</v>
      </c>
      <c r="H3640">
        <v>0</v>
      </c>
      <c r="I3640" t="s">
        <v>24</v>
      </c>
      <c r="J3640" t="s">
        <v>13649</v>
      </c>
      <c r="K3640" t="s">
        <v>247</v>
      </c>
      <c r="L3640" t="s">
        <v>27</v>
      </c>
      <c r="M3640" t="s">
        <v>28</v>
      </c>
      <c r="N3640" t="s">
        <v>13650</v>
      </c>
      <c r="O3640" t="s">
        <v>27</v>
      </c>
      <c r="P3640" t="s">
        <v>39</v>
      </c>
      <c r="Q3640" t="s">
        <v>31</v>
      </c>
      <c r="R3640" t="s">
        <v>32</v>
      </c>
      <c r="S3640" t="s">
        <v>28</v>
      </c>
      <c r="T3640" t="s">
        <v>13651</v>
      </c>
      <c r="U3640" t="s">
        <v>13650</v>
      </c>
    </row>
    <row r="3641" spans="1:21" x14ac:dyDescent="0.25">
      <c r="A3641" t="s">
        <v>58</v>
      </c>
      <c r="B3641" t="s">
        <v>58</v>
      </c>
      <c r="C3641">
        <v>150</v>
      </c>
      <c r="D3641">
        <v>1</v>
      </c>
      <c r="E3641">
        <v>0</v>
      </c>
      <c r="F3641" t="s">
        <v>13652</v>
      </c>
      <c r="G3641">
        <v>179</v>
      </c>
      <c r="H3641">
        <v>29</v>
      </c>
      <c r="I3641" t="s">
        <v>24</v>
      </c>
      <c r="J3641" t="s">
        <v>8236</v>
      </c>
      <c r="K3641" t="s">
        <v>13653</v>
      </c>
      <c r="L3641" t="s">
        <v>13524</v>
      </c>
      <c r="M3641" t="s">
        <v>6718</v>
      </c>
      <c r="N3641" t="s">
        <v>13650</v>
      </c>
      <c r="O3641" t="s">
        <v>27</v>
      </c>
      <c r="P3641" t="s">
        <v>193</v>
      </c>
      <c r="Q3641" t="s">
        <v>85</v>
      </c>
      <c r="R3641" t="s">
        <v>86</v>
      </c>
      <c r="S3641" t="s">
        <v>28</v>
      </c>
      <c r="T3641" t="s">
        <v>13654</v>
      </c>
      <c r="U3641" t="s">
        <v>13650</v>
      </c>
    </row>
    <row r="3642" spans="1:21" x14ac:dyDescent="0.25">
      <c r="A3642" t="s">
        <v>21</v>
      </c>
      <c r="B3642" t="s">
        <v>22</v>
      </c>
      <c r="C3642">
        <v>100</v>
      </c>
      <c r="D3642">
        <v>1</v>
      </c>
      <c r="E3642">
        <v>0</v>
      </c>
      <c r="F3642" t="s">
        <v>13655</v>
      </c>
      <c r="G3642">
        <v>106</v>
      </c>
      <c r="H3642">
        <v>6</v>
      </c>
      <c r="I3642" t="s">
        <v>24</v>
      </c>
      <c r="J3642" t="s">
        <v>13656</v>
      </c>
      <c r="K3642" t="s">
        <v>611</v>
      </c>
      <c r="L3642" t="s">
        <v>27</v>
      </c>
      <c r="M3642" t="s">
        <v>28</v>
      </c>
      <c r="N3642" t="s">
        <v>13657</v>
      </c>
      <c r="O3642" t="s">
        <v>27</v>
      </c>
      <c r="P3642" t="s">
        <v>39</v>
      </c>
      <c r="Q3642" t="s">
        <v>31</v>
      </c>
      <c r="R3642" t="s">
        <v>32</v>
      </c>
      <c r="S3642" t="s">
        <v>28</v>
      </c>
      <c r="T3642" t="s">
        <v>13658</v>
      </c>
      <c r="U3642" t="s">
        <v>13657</v>
      </c>
    </row>
    <row r="3643" spans="1:21" x14ac:dyDescent="0.25">
      <c r="A3643" t="s">
        <v>21</v>
      </c>
      <c r="B3643" t="s">
        <v>22</v>
      </c>
      <c r="C3643">
        <v>100</v>
      </c>
      <c r="D3643">
        <v>1</v>
      </c>
      <c r="E3643">
        <v>0</v>
      </c>
      <c r="F3643" t="s">
        <v>13659</v>
      </c>
      <c r="G3643">
        <v>106</v>
      </c>
      <c r="H3643">
        <v>6</v>
      </c>
      <c r="I3643" t="s">
        <v>140</v>
      </c>
      <c r="J3643" t="s">
        <v>13660</v>
      </c>
      <c r="K3643" t="s">
        <v>677</v>
      </c>
      <c r="L3643" t="s">
        <v>27</v>
      </c>
      <c r="M3643" t="s">
        <v>28</v>
      </c>
      <c r="N3643" t="s">
        <v>13661</v>
      </c>
      <c r="O3643" t="s">
        <v>27</v>
      </c>
      <c r="P3643" t="s">
        <v>30</v>
      </c>
      <c r="Q3643" t="s">
        <v>31</v>
      </c>
      <c r="R3643" t="s">
        <v>32</v>
      </c>
      <c r="S3643" t="s">
        <v>28</v>
      </c>
      <c r="T3643" t="s">
        <v>13662</v>
      </c>
      <c r="U3643" t="s">
        <v>13663</v>
      </c>
    </row>
    <row r="3644" spans="1:21" x14ac:dyDescent="0.25">
      <c r="A3644" t="s">
        <v>21</v>
      </c>
      <c r="B3644" t="s">
        <v>22</v>
      </c>
      <c r="C3644">
        <v>100</v>
      </c>
      <c r="D3644">
        <v>1</v>
      </c>
      <c r="E3644">
        <v>0</v>
      </c>
      <c r="F3644" t="s">
        <v>13664</v>
      </c>
      <c r="G3644">
        <v>106</v>
      </c>
      <c r="H3644">
        <v>6</v>
      </c>
      <c r="I3644" t="s">
        <v>24</v>
      </c>
      <c r="J3644" t="s">
        <v>13665</v>
      </c>
      <c r="K3644" t="s">
        <v>241</v>
      </c>
      <c r="L3644" t="s">
        <v>27</v>
      </c>
      <c r="M3644" t="s">
        <v>28</v>
      </c>
      <c r="N3644" t="s">
        <v>13666</v>
      </c>
      <c r="O3644" t="s">
        <v>27</v>
      </c>
      <c r="P3644" t="s">
        <v>56</v>
      </c>
      <c r="Q3644" t="s">
        <v>31</v>
      </c>
      <c r="R3644" t="s">
        <v>57</v>
      </c>
      <c r="S3644" t="s">
        <v>28</v>
      </c>
      <c r="T3644" t="s">
        <v>13667</v>
      </c>
      <c r="U3644" t="s">
        <v>13661</v>
      </c>
    </row>
    <row r="3645" spans="1:21" x14ac:dyDescent="0.25">
      <c r="A3645" t="s">
        <v>21</v>
      </c>
      <c r="B3645" t="s">
        <v>22</v>
      </c>
      <c r="C3645">
        <v>100</v>
      </c>
      <c r="D3645">
        <v>1</v>
      </c>
      <c r="E3645">
        <v>0</v>
      </c>
      <c r="F3645" t="s">
        <v>13668</v>
      </c>
      <c r="G3645">
        <v>106</v>
      </c>
      <c r="H3645">
        <v>6</v>
      </c>
      <c r="I3645" t="s">
        <v>24</v>
      </c>
      <c r="J3645" t="s">
        <v>13669</v>
      </c>
      <c r="K3645" t="s">
        <v>919</v>
      </c>
      <c r="L3645" t="s">
        <v>27</v>
      </c>
      <c r="M3645" t="s">
        <v>28</v>
      </c>
      <c r="N3645" t="s">
        <v>13670</v>
      </c>
      <c r="O3645" t="s">
        <v>27</v>
      </c>
      <c r="P3645" t="s">
        <v>39</v>
      </c>
      <c r="Q3645" t="s">
        <v>31</v>
      </c>
      <c r="R3645" t="s">
        <v>32</v>
      </c>
      <c r="S3645" t="s">
        <v>28</v>
      </c>
      <c r="T3645" t="s">
        <v>13671</v>
      </c>
      <c r="U3645" t="s">
        <v>13672</v>
      </c>
    </row>
    <row r="3646" spans="1:21" x14ac:dyDescent="0.25">
      <c r="A3646" t="s">
        <v>21</v>
      </c>
      <c r="B3646" t="s">
        <v>22</v>
      </c>
      <c r="C3646">
        <v>100</v>
      </c>
      <c r="D3646">
        <v>1</v>
      </c>
      <c r="E3646">
        <v>0</v>
      </c>
      <c r="F3646" t="s">
        <v>13673</v>
      </c>
      <c r="G3646">
        <v>106</v>
      </c>
      <c r="H3646">
        <v>6</v>
      </c>
      <c r="I3646" t="s">
        <v>24</v>
      </c>
      <c r="J3646" t="s">
        <v>13674</v>
      </c>
      <c r="K3646" t="s">
        <v>325</v>
      </c>
      <c r="L3646" t="s">
        <v>27</v>
      </c>
      <c r="M3646" t="s">
        <v>28</v>
      </c>
      <c r="N3646" t="s">
        <v>13670</v>
      </c>
      <c r="O3646" t="s">
        <v>27</v>
      </c>
      <c r="P3646" t="s">
        <v>56</v>
      </c>
      <c r="Q3646" t="s">
        <v>31</v>
      </c>
      <c r="R3646" t="s">
        <v>57</v>
      </c>
      <c r="S3646" t="s">
        <v>28</v>
      </c>
      <c r="T3646" t="s">
        <v>13675</v>
      </c>
      <c r="U3646" t="s">
        <v>13676</v>
      </c>
    </row>
    <row r="3647" spans="1:21" x14ac:dyDescent="0.25">
      <c r="A3647" t="s">
        <v>456</v>
      </c>
      <c r="B3647" t="s">
        <v>1178</v>
      </c>
      <c r="C3647">
        <v>10.1</v>
      </c>
      <c r="D3647">
        <v>1</v>
      </c>
      <c r="E3647">
        <v>0</v>
      </c>
      <c r="F3647" t="s">
        <v>13677</v>
      </c>
      <c r="G3647">
        <v>19.850000000000001</v>
      </c>
      <c r="H3647">
        <v>5</v>
      </c>
      <c r="I3647" t="s">
        <v>628</v>
      </c>
      <c r="J3647" t="s">
        <v>13678</v>
      </c>
      <c r="K3647" t="s">
        <v>13679</v>
      </c>
      <c r="L3647" t="s">
        <v>1076</v>
      </c>
      <c r="M3647" t="s">
        <v>13680</v>
      </c>
      <c r="N3647" t="s">
        <v>13670</v>
      </c>
      <c r="O3647" t="s">
        <v>27</v>
      </c>
      <c r="P3647" t="s">
        <v>48</v>
      </c>
      <c r="Q3647" t="s">
        <v>49</v>
      </c>
      <c r="R3647" t="s">
        <v>50</v>
      </c>
      <c r="S3647" t="s">
        <v>28</v>
      </c>
      <c r="T3647" t="s">
        <v>13681</v>
      </c>
      <c r="U3647" t="s">
        <v>13670</v>
      </c>
    </row>
    <row r="3648" spans="1:21" x14ac:dyDescent="0.25">
      <c r="A3648" t="s">
        <v>21</v>
      </c>
      <c r="B3648" t="s">
        <v>22</v>
      </c>
      <c r="C3648">
        <v>100</v>
      </c>
      <c r="D3648">
        <v>1</v>
      </c>
      <c r="E3648">
        <v>0</v>
      </c>
      <c r="F3648" t="s">
        <v>13682</v>
      </c>
      <c r="G3648">
        <v>106</v>
      </c>
      <c r="H3648">
        <v>6</v>
      </c>
      <c r="I3648" t="s">
        <v>24</v>
      </c>
      <c r="J3648" t="s">
        <v>13683</v>
      </c>
      <c r="K3648" t="s">
        <v>797</v>
      </c>
      <c r="L3648" t="s">
        <v>27</v>
      </c>
      <c r="M3648" t="s">
        <v>28</v>
      </c>
      <c r="N3648" t="s">
        <v>13684</v>
      </c>
      <c r="O3648" t="s">
        <v>27</v>
      </c>
      <c r="P3648" t="s">
        <v>39</v>
      </c>
      <c r="Q3648" t="s">
        <v>31</v>
      </c>
      <c r="R3648" t="s">
        <v>32</v>
      </c>
      <c r="S3648" t="s">
        <v>28</v>
      </c>
      <c r="T3648" t="s">
        <v>13685</v>
      </c>
      <c r="U3648" t="s">
        <v>13684</v>
      </c>
    </row>
    <row r="3649" spans="1:21" x14ac:dyDescent="0.25">
      <c r="A3649" t="s">
        <v>21</v>
      </c>
      <c r="B3649" t="s">
        <v>22</v>
      </c>
      <c r="C3649">
        <v>100</v>
      </c>
      <c r="D3649">
        <v>1</v>
      </c>
      <c r="E3649">
        <v>0</v>
      </c>
      <c r="F3649" t="s">
        <v>13686</v>
      </c>
      <c r="G3649">
        <v>106</v>
      </c>
      <c r="H3649">
        <v>6</v>
      </c>
      <c r="I3649" t="s">
        <v>140</v>
      </c>
      <c r="J3649" t="s">
        <v>13687</v>
      </c>
      <c r="K3649" t="s">
        <v>67</v>
      </c>
      <c r="L3649" t="s">
        <v>27</v>
      </c>
      <c r="M3649" t="s">
        <v>28</v>
      </c>
      <c r="N3649" t="s">
        <v>13688</v>
      </c>
      <c r="O3649" t="s">
        <v>27</v>
      </c>
      <c r="P3649" t="s">
        <v>369</v>
      </c>
      <c r="Q3649" t="s">
        <v>31</v>
      </c>
      <c r="R3649" t="s">
        <v>57</v>
      </c>
      <c r="S3649" t="s">
        <v>28</v>
      </c>
      <c r="T3649" t="s">
        <v>13689</v>
      </c>
      <c r="U3649" t="s">
        <v>13690</v>
      </c>
    </row>
    <row r="3650" spans="1:21" x14ac:dyDescent="0.25">
      <c r="A3650" t="s">
        <v>134</v>
      </c>
      <c r="B3650" t="s">
        <v>64</v>
      </c>
      <c r="C3650">
        <v>100</v>
      </c>
      <c r="D3650">
        <v>1</v>
      </c>
      <c r="E3650">
        <v>0</v>
      </c>
      <c r="F3650" t="s">
        <v>13691</v>
      </c>
      <c r="G3650">
        <v>106</v>
      </c>
      <c r="H3650">
        <v>6</v>
      </c>
      <c r="I3650" t="s">
        <v>24</v>
      </c>
      <c r="J3650" t="s">
        <v>13692</v>
      </c>
      <c r="K3650" t="s">
        <v>67</v>
      </c>
      <c r="L3650" t="s">
        <v>27</v>
      </c>
      <c r="M3650" t="s">
        <v>28</v>
      </c>
      <c r="N3650" t="s">
        <v>13693</v>
      </c>
      <c r="O3650" t="s">
        <v>27</v>
      </c>
      <c r="P3650" t="s">
        <v>39</v>
      </c>
      <c r="Q3650" t="s">
        <v>31</v>
      </c>
      <c r="R3650" t="s">
        <v>32</v>
      </c>
      <c r="S3650" t="s">
        <v>28</v>
      </c>
      <c r="T3650" t="s">
        <v>13694</v>
      </c>
      <c r="U3650" t="s">
        <v>13693</v>
      </c>
    </row>
    <row r="3651" spans="1:21" x14ac:dyDescent="0.25">
      <c r="A3651" t="s">
        <v>1513</v>
      </c>
      <c r="B3651" t="s">
        <v>1514</v>
      </c>
      <c r="C3651">
        <v>330</v>
      </c>
      <c r="D3651">
        <v>1</v>
      </c>
      <c r="E3651">
        <v>0</v>
      </c>
      <c r="F3651" t="s">
        <v>13695</v>
      </c>
      <c r="G3651">
        <v>330</v>
      </c>
      <c r="H3651">
        <v>0</v>
      </c>
      <c r="I3651" t="s">
        <v>24</v>
      </c>
      <c r="J3651" t="s">
        <v>13696</v>
      </c>
      <c r="K3651" t="s">
        <v>919</v>
      </c>
      <c r="L3651" t="s">
        <v>27</v>
      </c>
      <c r="M3651" t="s">
        <v>28</v>
      </c>
      <c r="N3651" t="s">
        <v>13697</v>
      </c>
      <c r="O3651" t="s">
        <v>27</v>
      </c>
      <c r="P3651" t="s">
        <v>39</v>
      </c>
      <c r="Q3651" t="s">
        <v>31</v>
      </c>
      <c r="R3651" t="s">
        <v>32</v>
      </c>
      <c r="S3651" t="s">
        <v>28</v>
      </c>
      <c r="T3651" t="s">
        <v>13698</v>
      </c>
      <c r="U3651" t="s">
        <v>13697</v>
      </c>
    </row>
    <row r="3652" spans="1:21" x14ac:dyDescent="0.25">
      <c r="A3652" t="s">
        <v>143</v>
      </c>
      <c r="B3652" t="s">
        <v>144</v>
      </c>
      <c r="C3652">
        <v>200</v>
      </c>
      <c r="D3652">
        <v>1</v>
      </c>
      <c r="E3652">
        <v>0</v>
      </c>
      <c r="F3652" t="s">
        <v>13699</v>
      </c>
      <c r="G3652">
        <v>200</v>
      </c>
      <c r="H3652">
        <v>0</v>
      </c>
      <c r="I3652" t="s">
        <v>445</v>
      </c>
      <c r="J3652" t="s">
        <v>13700</v>
      </c>
      <c r="K3652" t="s">
        <v>285</v>
      </c>
      <c r="L3652" t="s">
        <v>27</v>
      </c>
      <c r="M3652" t="s">
        <v>28</v>
      </c>
      <c r="N3652" t="s">
        <v>13701</v>
      </c>
      <c r="O3652" t="s">
        <v>27</v>
      </c>
      <c r="P3652" t="s">
        <v>39</v>
      </c>
      <c r="Q3652" t="s">
        <v>31</v>
      </c>
      <c r="R3652" t="s">
        <v>32</v>
      </c>
      <c r="S3652" t="s">
        <v>28</v>
      </c>
      <c r="T3652" t="s">
        <v>13702</v>
      </c>
      <c r="U3652" t="s">
        <v>13701</v>
      </c>
    </row>
    <row r="3653" spans="1:21" x14ac:dyDescent="0.25">
      <c r="A3653" t="s">
        <v>21</v>
      </c>
      <c r="B3653" t="s">
        <v>22</v>
      </c>
      <c r="C3653">
        <v>100</v>
      </c>
      <c r="D3653">
        <v>1</v>
      </c>
      <c r="E3653">
        <v>0</v>
      </c>
      <c r="F3653" t="s">
        <v>13703</v>
      </c>
      <c r="G3653">
        <v>430</v>
      </c>
      <c r="H3653">
        <v>0</v>
      </c>
      <c r="I3653" t="s">
        <v>24</v>
      </c>
      <c r="J3653" t="s">
        <v>13704</v>
      </c>
      <c r="K3653" t="s">
        <v>273</v>
      </c>
      <c r="L3653" t="s">
        <v>27</v>
      </c>
      <c r="M3653" t="s">
        <v>28</v>
      </c>
      <c r="N3653" t="s">
        <v>13705</v>
      </c>
      <c r="O3653" t="s">
        <v>27</v>
      </c>
      <c r="P3653" t="s">
        <v>56</v>
      </c>
      <c r="Q3653" t="s">
        <v>31</v>
      </c>
      <c r="R3653" t="s">
        <v>57</v>
      </c>
      <c r="S3653" t="s">
        <v>28</v>
      </c>
      <c r="T3653" t="s">
        <v>13706</v>
      </c>
      <c r="U3653" t="s">
        <v>13705</v>
      </c>
    </row>
    <row r="3654" spans="1:21" x14ac:dyDescent="0.25">
      <c r="A3654" t="s">
        <v>70</v>
      </c>
      <c r="B3654" t="s">
        <v>70</v>
      </c>
      <c r="C3654">
        <v>330</v>
      </c>
      <c r="D3654">
        <v>1</v>
      </c>
      <c r="E3654">
        <v>0</v>
      </c>
      <c r="F3654" t="s">
        <v>13703</v>
      </c>
      <c r="G3654">
        <v>430</v>
      </c>
      <c r="H3654">
        <v>0</v>
      </c>
      <c r="I3654" t="s">
        <v>24</v>
      </c>
      <c r="J3654" t="s">
        <v>13704</v>
      </c>
      <c r="K3654" t="s">
        <v>273</v>
      </c>
      <c r="L3654" t="s">
        <v>27</v>
      </c>
      <c r="M3654" t="s">
        <v>28</v>
      </c>
      <c r="N3654" t="s">
        <v>13705</v>
      </c>
      <c r="O3654" t="s">
        <v>27</v>
      </c>
      <c r="P3654" t="s">
        <v>56</v>
      </c>
      <c r="Q3654" t="s">
        <v>31</v>
      </c>
      <c r="R3654" t="s">
        <v>57</v>
      </c>
      <c r="S3654" t="s">
        <v>28</v>
      </c>
      <c r="T3654" t="s">
        <v>13706</v>
      </c>
      <c r="U3654" t="s">
        <v>13705</v>
      </c>
    </row>
    <row r="3655" spans="1:21" x14ac:dyDescent="0.25">
      <c r="A3655" t="s">
        <v>58</v>
      </c>
      <c r="B3655" t="s">
        <v>103</v>
      </c>
      <c r="C3655">
        <v>99.75</v>
      </c>
      <c r="D3655">
        <v>1</v>
      </c>
      <c r="E3655">
        <v>0</v>
      </c>
      <c r="F3655" t="s">
        <v>13707</v>
      </c>
      <c r="G3655">
        <v>104.75</v>
      </c>
      <c r="H3655">
        <v>5</v>
      </c>
      <c r="I3655" t="s">
        <v>105</v>
      </c>
      <c r="J3655" t="s">
        <v>13708</v>
      </c>
      <c r="K3655" t="s">
        <v>13709</v>
      </c>
      <c r="L3655" t="s">
        <v>1900</v>
      </c>
      <c r="M3655" t="s">
        <v>13710</v>
      </c>
      <c r="N3655" t="s">
        <v>13711</v>
      </c>
      <c r="O3655" t="s">
        <v>27</v>
      </c>
      <c r="P3655" t="s">
        <v>48</v>
      </c>
      <c r="Q3655" t="s">
        <v>49</v>
      </c>
      <c r="R3655" t="s">
        <v>50</v>
      </c>
      <c r="S3655" t="s">
        <v>28</v>
      </c>
      <c r="T3655" t="s">
        <v>13712</v>
      </c>
      <c r="U3655" t="s">
        <v>13711</v>
      </c>
    </row>
    <row r="3656" spans="1:21" x14ac:dyDescent="0.25">
      <c r="A3656" t="s">
        <v>33</v>
      </c>
      <c r="B3656" t="s">
        <v>34</v>
      </c>
      <c r="C3656">
        <v>200</v>
      </c>
      <c r="D3656">
        <v>1</v>
      </c>
      <c r="E3656">
        <v>0</v>
      </c>
      <c r="F3656" t="s">
        <v>13713</v>
      </c>
      <c r="G3656">
        <v>200</v>
      </c>
      <c r="H3656">
        <v>0</v>
      </c>
      <c r="I3656" t="s">
        <v>24</v>
      </c>
      <c r="J3656" t="s">
        <v>13714</v>
      </c>
      <c r="K3656" t="s">
        <v>325</v>
      </c>
      <c r="L3656" t="s">
        <v>27</v>
      </c>
      <c r="M3656" t="s">
        <v>28</v>
      </c>
      <c r="N3656" t="s">
        <v>13715</v>
      </c>
      <c r="O3656" t="s">
        <v>27</v>
      </c>
      <c r="P3656" t="s">
        <v>56</v>
      </c>
      <c r="Q3656" t="s">
        <v>31</v>
      </c>
      <c r="R3656" t="s">
        <v>57</v>
      </c>
      <c r="S3656" t="s">
        <v>28</v>
      </c>
      <c r="T3656" t="s">
        <v>13716</v>
      </c>
      <c r="U3656" t="s">
        <v>13717</v>
      </c>
    </row>
    <row r="3657" spans="1:21" x14ac:dyDescent="0.25">
      <c r="A3657" t="s">
        <v>21</v>
      </c>
      <c r="B3657" t="s">
        <v>22</v>
      </c>
      <c r="C3657">
        <v>100</v>
      </c>
      <c r="D3657">
        <v>1</v>
      </c>
      <c r="E3657">
        <v>0</v>
      </c>
      <c r="F3657" t="s">
        <v>13718</v>
      </c>
      <c r="G3657">
        <v>106</v>
      </c>
      <c r="H3657">
        <v>6</v>
      </c>
      <c r="I3657" t="s">
        <v>24</v>
      </c>
      <c r="J3657" t="s">
        <v>13719</v>
      </c>
      <c r="K3657" t="s">
        <v>67</v>
      </c>
      <c r="L3657" t="s">
        <v>27</v>
      </c>
      <c r="M3657" t="s">
        <v>28</v>
      </c>
      <c r="N3657" t="s">
        <v>13720</v>
      </c>
      <c r="O3657" t="s">
        <v>27</v>
      </c>
      <c r="P3657" t="s">
        <v>39</v>
      </c>
      <c r="Q3657" t="s">
        <v>31</v>
      </c>
      <c r="R3657" t="s">
        <v>32</v>
      </c>
      <c r="S3657" t="s">
        <v>28</v>
      </c>
      <c r="T3657" t="s">
        <v>13721</v>
      </c>
      <c r="U3657" t="s">
        <v>13717</v>
      </c>
    </row>
    <row r="3658" spans="1:21" x14ac:dyDescent="0.25">
      <c r="A3658" t="s">
        <v>143</v>
      </c>
      <c r="B3658" t="s">
        <v>144</v>
      </c>
      <c r="C3658">
        <v>200</v>
      </c>
      <c r="D3658">
        <v>1</v>
      </c>
      <c r="E3658">
        <v>0</v>
      </c>
      <c r="F3658" t="s">
        <v>13722</v>
      </c>
      <c r="G3658">
        <v>200</v>
      </c>
      <c r="H3658">
        <v>0</v>
      </c>
      <c r="I3658" t="s">
        <v>24</v>
      </c>
      <c r="J3658" t="s">
        <v>13723</v>
      </c>
      <c r="K3658" t="s">
        <v>342</v>
      </c>
      <c r="L3658" t="s">
        <v>27</v>
      </c>
      <c r="M3658" t="s">
        <v>28</v>
      </c>
      <c r="N3658" t="s">
        <v>13724</v>
      </c>
      <c r="O3658" t="s">
        <v>27</v>
      </c>
      <c r="P3658" t="s">
        <v>39</v>
      </c>
      <c r="Q3658" t="s">
        <v>31</v>
      </c>
      <c r="R3658" t="s">
        <v>32</v>
      </c>
      <c r="S3658" t="s">
        <v>28</v>
      </c>
      <c r="T3658" t="s">
        <v>13725</v>
      </c>
      <c r="U3658" t="s">
        <v>13724</v>
      </c>
    </row>
    <row r="3659" spans="1:21" x14ac:dyDescent="0.25">
      <c r="A3659" t="s">
        <v>33</v>
      </c>
      <c r="B3659" t="s">
        <v>34</v>
      </c>
      <c r="C3659">
        <v>200</v>
      </c>
      <c r="D3659">
        <v>1</v>
      </c>
      <c r="E3659">
        <v>0</v>
      </c>
      <c r="F3659" t="s">
        <v>13726</v>
      </c>
      <c r="G3659">
        <v>200</v>
      </c>
      <c r="H3659">
        <v>0</v>
      </c>
      <c r="I3659" t="s">
        <v>24</v>
      </c>
      <c r="J3659" t="s">
        <v>9763</v>
      </c>
      <c r="K3659" t="s">
        <v>342</v>
      </c>
      <c r="L3659" t="s">
        <v>27</v>
      </c>
      <c r="M3659" t="s">
        <v>28</v>
      </c>
      <c r="N3659" t="s">
        <v>13727</v>
      </c>
      <c r="O3659" t="s">
        <v>27</v>
      </c>
      <c r="P3659" t="s">
        <v>39</v>
      </c>
      <c r="Q3659" t="s">
        <v>31</v>
      </c>
      <c r="R3659" t="s">
        <v>32</v>
      </c>
      <c r="S3659" t="s">
        <v>28</v>
      </c>
      <c r="T3659" t="s">
        <v>13728</v>
      </c>
      <c r="U3659" t="s">
        <v>13727</v>
      </c>
    </row>
    <row r="3660" spans="1:21" x14ac:dyDescent="0.25">
      <c r="A3660" t="s">
        <v>21</v>
      </c>
      <c r="B3660" t="s">
        <v>22</v>
      </c>
      <c r="C3660">
        <v>100</v>
      </c>
      <c r="D3660">
        <v>1</v>
      </c>
      <c r="E3660">
        <v>0</v>
      </c>
      <c r="F3660" t="s">
        <v>13729</v>
      </c>
      <c r="G3660">
        <v>106</v>
      </c>
      <c r="H3660">
        <v>6</v>
      </c>
      <c r="I3660" t="s">
        <v>24</v>
      </c>
      <c r="J3660" t="s">
        <v>13730</v>
      </c>
      <c r="K3660" t="s">
        <v>1772</v>
      </c>
      <c r="L3660" t="s">
        <v>27</v>
      </c>
      <c r="M3660" t="s">
        <v>28</v>
      </c>
      <c r="N3660" t="s">
        <v>13731</v>
      </c>
      <c r="O3660" t="s">
        <v>27</v>
      </c>
      <c r="P3660" t="s">
        <v>39</v>
      </c>
      <c r="Q3660" t="s">
        <v>31</v>
      </c>
      <c r="R3660" t="s">
        <v>32</v>
      </c>
      <c r="S3660" t="s">
        <v>28</v>
      </c>
      <c r="T3660" t="s">
        <v>13732</v>
      </c>
      <c r="U3660" t="s">
        <v>13731</v>
      </c>
    </row>
    <row r="3661" spans="1:21" x14ac:dyDescent="0.25">
      <c r="A3661" t="s">
        <v>33</v>
      </c>
      <c r="B3661" t="s">
        <v>34</v>
      </c>
      <c r="C3661">
        <v>200</v>
      </c>
      <c r="D3661">
        <v>1</v>
      </c>
      <c r="E3661">
        <v>0</v>
      </c>
      <c r="F3661" t="s">
        <v>13733</v>
      </c>
      <c r="G3661">
        <v>200</v>
      </c>
      <c r="H3661">
        <v>0</v>
      </c>
      <c r="I3661" t="s">
        <v>445</v>
      </c>
      <c r="J3661" t="s">
        <v>13734</v>
      </c>
      <c r="K3661" t="s">
        <v>89</v>
      </c>
      <c r="L3661" t="s">
        <v>27</v>
      </c>
      <c r="M3661" t="s">
        <v>28</v>
      </c>
      <c r="N3661" t="s">
        <v>13735</v>
      </c>
      <c r="O3661" t="s">
        <v>27</v>
      </c>
      <c r="P3661" t="s">
        <v>39</v>
      </c>
      <c r="Q3661" t="s">
        <v>31</v>
      </c>
      <c r="R3661" t="s">
        <v>32</v>
      </c>
      <c r="S3661" t="s">
        <v>28</v>
      </c>
      <c r="T3661" t="s">
        <v>13736</v>
      </c>
      <c r="U3661" t="s">
        <v>13735</v>
      </c>
    </row>
    <row r="3662" spans="1:21" x14ac:dyDescent="0.25">
      <c r="A3662" t="s">
        <v>21</v>
      </c>
      <c r="B3662" t="s">
        <v>22</v>
      </c>
      <c r="C3662">
        <v>100</v>
      </c>
      <c r="D3662">
        <v>2</v>
      </c>
      <c r="E3662">
        <v>0</v>
      </c>
      <c r="F3662" t="s">
        <v>13737</v>
      </c>
      <c r="G3662">
        <v>200</v>
      </c>
      <c r="H3662">
        <v>0</v>
      </c>
      <c r="I3662" t="s">
        <v>24</v>
      </c>
      <c r="J3662" t="s">
        <v>13738</v>
      </c>
      <c r="K3662" t="s">
        <v>285</v>
      </c>
      <c r="L3662" t="s">
        <v>27</v>
      </c>
      <c r="M3662" t="s">
        <v>28</v>
      </c>
      <c r="N3662" t="s">
        <v>13735</v>
      </c>
      <c r="O3662" t="s">
        <v>27</v>
      </c>
      <c r="P3662" t="s">
        <v>39</v>
      </c>
      <c r="Q3662" t="s">
        <v>31</v>
      </c>
      <c r="R3662" t="s">
        <v>32</v>
      </c>
      <c r="S3662" t="s">
        <v>28</v>
      </c>
      <c r="T3662" t="s">
        <v>13739</v>
      </c>
      <c r="U3662" t="s">
        <v>13735</v>
      </c>
    </row>
    <row r="3663" spans="1:21" x14ac:dyDescent="0.25">
      <c r="A3663" t="s">
        <v>1513</v>
      </c>
      <c r="B3663" t="s">
        <v>1514</v>
      </c>
      <c r="C3663">
        <v>330</v>
      </c>
      <c r="D3663">
        <v>1</v>
      </c>
      <c r="E3663">
        <v>0</v>
      </c>
      <c r="F3663" t="s">
        <v>13740</v>
      </c>
      <c r="G3663">
        <v>330</v>
      </c>
      <c r="H3663">
        <v>0</v>
      </c>
      <c r="I3663" t="s">
        <v>24</v>
      </c>
      <c r="J3663" t="s">
        <v>13696</v>
      </c>
      <c r="K3663" t="s">
        <v>919</v>
      </c>
      <c r="L3663" t="s">
        <v>27</v>
      </c>
      <c r="M3663" t="s">
        <v>28</v>
      </c>
      <c r="N3663" t="s">
        <v>13741</v>
      </c>
      <c r="O3663" t="s">
        <v>27</v>
      </c>
      <c r="P3663" t="s">
        <v>39</v>
      </c>
      <c r="Q3663" t="s">
        <v>31</v>
      </c>
      <c r="R3663" t="s">
        <v>32</v>
      </c>
      <c r="S3663" t="s">
        <v>28</v>
      </c>
      <c r="T3663" t="s">
        <v>13742</v>
      </c>
      <c r="U3663" t="s">
        <v>13735</v>
      </c>
    </row>
    <row r="3664" spans="1:21" x14ac:dyDescent="0.25">
      <c r="A3664" t="s">
        <v>21</v>
      </c>
      <c r="B3664" t="s">
        <v>22</v>
      </c>
      <c r="C3664">
        <v>100</v>
      </c>
      <c r="D3664">
        <v>2</v>
      </c>
      <c r="E3664">
        <v>0</v>
      </c>
      <c r="F3664" t="s">
        <v>13743</v>
      </c>
      <c r="G3664">
        <v>200</v>
      </c>
      <c r="H3664">
        <v>0</v>
      </c>
      <c r="I3664" t="s">
        <v>140</v>
      </c>
      <c r="J3664" t="s">
        <v>13744</v>
      </c>
      <c r="K3664" t="s">
        <v>321</v>
      </c>
      <c r="L3664" t="s">
        <v>27</v>
      </c>
      <c r="M3664" t="s">
        <v>28</v>
      </c>
      <c r="N3664" t="s">
        <v>13745</v>
      </c>
      <c r="O3664" t="s">
        <v>27</v>
      </c>
      <c r="P3664" t="s">
        <v>30</v>
      </c>
      <c r="Q3664" t="s">
        <v>31</v>
      </c>
      <c r="R3664" t="s">
        <v>32</v>
      </c>
      <c r="S3664" t="s">
        <v>28</v>
      </c>
      <c r="T3664" t="s">
        <v>13746</v>
      </c>
      <c r="U3664" t="s">
        <v>13745</v>
      </c>
    </row>
    <row r="3665" spans="1:21" x14ac:dyDescent="0.25">
      <c r="A3665" t="s">
        <v>21</v>
      </c>
      <c r="B3665" t="s">
        <v>22</v>
      </c>
      <c r="C3665">
        <v>100</v>
      </c>
      <c r="D3665">
        <v>1</v>
      </c>
      <c r="E3665">
        <v>0</v>
      </c>
      <c r="F3665" t="s">
        <v>13747</v>
      </c>
      <c r="G3665">
        <v>129</v>
      </c>
      <c r="H3665">
        <v>29</v>
      </c>
      <c r="I3665" t="s">
        <v>24</v>
      </c>
      <c r="J3665" t="s">
        <v>13748</v>
      </c>
      <c r="K3665" t="s">
        <v>388</v>
      </c>
      <c r="L3665" t="s">
        <v>27</v>
      </c>
      <c r="M3665" t="s">
        <v>28</v>
      </c>
      <c r="N3665" t="s">
        <v>13749</v>
      </c>
      <c r="O3665" t="s">
        <v>27</v>
      </c>
      <c r="P3665" t="s">
        <v>56</v>
      </c>
      <c r="Q3665" t="s">
        <v>31</v>
      </c>
      <c r="R3665" t="s">
        <v>57</v>
      </c>
      <c r="S3665" t="s">
        <v>28</v>
      </c>
      <c r="T3665" t="s">
        <v>13750</v>
      </c>
      <c r="U3665" t="s">
        <v>13751</v>
      </c>
    </row>
    <row r="3666" spans="1:21" x14ac:dyDescent="0.25">
      <c r="A3666" t="s">
        <v>134</v>
      </c>
      <c r="B3666" t="s">
        <v>64</v>
      </c>
      <c r="C3666">
        <v>100</v>
      </c>
      <c r="D3666">
        <v>3</v>
      </c>
      <c r="E3666">
        <v>0</v>
      </c>
      <c r="F3666" t="s">
        <v>13752</v>
      </c>
      <c r="G3666">
        <v>300</v>
      </c>
      <c r="H3666">
        <v>0</v>
      </c>
      <c r="I3666" t="s">
        <v>24</v>
      </c>
      <c r="J3666" t="s">
        <v>13753</v>
      </c>
      <c r="K3666" t="s">
        <v>753</v>
      </c>
      <c r="L3666" t="s">
        <v>27</v>
      </c>
      <c r="M3666" t="s">
        <v>28</v>
      </c>
      <c r="N3666" t="s">
        <v>13754</v>
      </c>
      <c r="O3666" t="s">
        <v>27</v>
      </c>
      <c r="P3666" t="s">
        <v>39</v>
      </c>
      <c r="Q3666" t="s">
        <v>31</v>
      </c>
      <c r="R3666" t="s">
        <v>32</v>
      </c>
      <c r="S3666" t="s">
        <v>28</v>
      </c>
      <c r="T3666" t="s">
        <v>13755</v>
      </c>
      <c r="U3666" t="s">
        <v>13756</v>
      </c>
    </row>
    <row r="3667" spans="1:21" x14ac:dyDescent="0.25">
      <c r="A3667" t="s">
        <v>70</v>
      </c>
      <c r="B3667" t="s">
        <v>70</v>
      </c>
      <c r="C3667">
        <v>330</v>
      </c>
      <c r="D3667">
        <v>1</v>
      </c>
      <c r="E3667">
        <v>0</v>
      </c>
      <c r="F3667" t="s">
        <v>13757</v>
      </c>
      <c r="G3667">
        <v>330</v>
      </c>
      <c r="H3667">
        <v>0</v>
      </c>
      <c r="I3667" t="s">
        <v>140</v>
      </c>
      <c r="J3667" t="s">
        <v>13758</v>
      </c>
      <c r="K3667" t="s">
        <v>325</v>
      </c>
      <c r="L3667" t="s">
        <v>27</v>
      </c>
      <c r="M3667" t="s">
        <v>28</v>
      </c>
      <c r="N3667" t="s">
        <v>13754</v>
      </c>
      <c r="O3667" t="s">
        <v>27</v>
      </c>
      <c r="P3667" t="s">
        <v>30</v>
      </c>
      <c r="Q3667" t="s">
        <v>31</v>
      </c>
      <c r="R3667" t="s">
        <v>32</v>
      </c>
      <c r="S3667" t="s">
        <v>28</v>
      </c>
      <c r="T3667" t="s">
        <v>13759</v>
      </c>
      <c r="U3667" t="s">
        <v>13756</v>
      </c>
    </row>
    <row r="3668" spans="1:21" x14ac:dyDescent="0.25">
      <c r="A3668" t="s">
        <v>70</v>
      </c>
      <c r="B3668" t="s">
        <v>70</v>
      </c>
      <c r="C3668">
        <v>330</v>
      </c>
      <c r="D3668">
        <v>1</v>
      </c>
      <c r="E3668">
        <v>0</v>
      </c>
      <c r="F3668" t="s">
        <v>13760</v>
      </c>
      <c r="G3668">
        <v>330</v>
      </c>
      <c r="H3668">
        <v>0</v>
      </c>
      <c r="I3668" t="s">
        <v>445</v>
      </c>
      <c r="J3668" t="s">
        <v>13761</v>
      </c>
      <c r="K3668" t="s">
        <v>346</v>
      </c>
      <c r="L3668" t="s">
        <v>27</v>
      </c>
      <c r="M3668" t="s">
        <v>28</v>
      </c>
      <c r="N3668" t="s">
        <v>13762</v>
      </c>
      <c r="O3668" t="s">
        <v>27</v>
      </c>
      <c r="P3668" t="s">
        <v>39</v>
      </c>
      <c r="Q3668" t="s">
        <v>31</v>
      </c>
      <c r="R3668" t="s">
        <v>32</v>
      </c>
      <c r="S3668" t="s">
        <v>28</v>
      </c>
      <c r="T3668" t="s">
        <v>13763</v>
      </c>
      <c r="U3668" t="s">
        <v>13762</v>
      </c>
    </row>
    <row r="3669" spans="1:21" x14ac:dyDescent="0.25">
      <c r="A3669" t="s">
        <v>58</v>
      </c>
      <c r="B3669" t="s">
        <v>103</v>
      </c>
      <c r="C3669">
        <v>84</v>
      </c>
      <c r="D3669">
        <v>1</v>
      </c>
      <c r="E3669">
        <v>0</v>
      </c>
      <c r="F3669" t="s">
        <v>13764</v>
      </c>
      <c r="G3669">
        <v>89</v>
      </c>
      <c r="H3669">
        <v>5</v>
      </c>
      <c r="I3669" t="s">
        <v>105</v>
      </c>
      <c r="J3669" t="s">
        <v>13765</v>
      </c>
      <c r="K3669" t="s">
        <v>13766</v>
      </c>
      <c r="L3669" t="s">
        <v>2173</v>
      </c>
      <c r="M3669" t="s">
        <v>13767</v>
      </c>
      <c r="N3669" t="s">
        <v>13768</v>
      </c>
      <c r="O3669" t="s">
        <v>27</v>
      </c>
      <c r="P3669" t="s">
        <v>48</v>
      </c>
      <c r="Q3669" t="s">
        <v>49</v>
      </c>
      <c r="R3669" t="s">
        <v>50</v>
      </c>
      <c r="S3669" t="s">
        <v>28</v>
      </c>
      <c r="T3669" t="s">
        <v>13769</v>
      </c>
      <c r="U3669" t="s">
        <v>13768</v>
      </c>
    </row>
    <row r="3670" spans="1:21" x14ac:dyDescent="0.25">
      <c r="A3670" t="s">
        <v>70</v>
      </c>
      <c r="B3670" t="s">
        <v>70</v>
      </c>
      <c r="C3670">
        <v>330</v>
      </c>
      <c r="D3670">
        <v>1</v>
      </c>
      <c r="E3670">
        <v>0</v>
      </c>
      <c r="F3670" t="s">
        <v>13770</v>
      </c>
      <c r="G3670">
        <v>330</v>
      </c>
      <c r="H3670">
        <v>0</v>
      </c>
      <c r="I3670" t="s">
        <v>140</v>
      </c>
      <c r="J3670" t="s">
        <v>2342</v>
      </c>
      <c r="K3670" t="s">
        <v>247</v>
      </c>
      <c r="L3670" t="s">
        <v>27</v>
      </c>
      <c r="M3670" t="s">
        <v>28</v>
      </c>
      <c r="N3670" t="s">
        <v>13768</v>
      </c>
      <c r="O3670" t="s">
        <v>27</v>
      </c>
      <c r="P3670" t="s">
        <v>369</v>
      </c>
      <c r="Q3670" t="s">
        <v>31</v>
      </c>
      <c r="R3670" t="s">
        <v>57</v>
      </c>
      <c r="S3670" t="s">
        <v>28</v>
      </c>
      <c r="T3670" t="s">
        <v>13771</v>
      </c>
      <c r="U3670" t="s">
        <v>13772</v>
      </c>
    </row>
    <row r="3671" spans="1:21" x14ac:dyDescent="0.25">
      <c r="A3671" t="s">
        <v>143</v>
      </c>
      <c r="B3671" t="s">
        <v>144</v>
      </c>
      <c r="C3671">
        <v>200</v>
      </c>
      <c r="D3671">
        <v>1</v>
      </c>
      <c r="E3671">
        <v>0</v>
      </c>
      <c r="F3671" t="s">
        <v>13773</v>
      </c>
      <c r="G3671">
        <v>200</v>
      </c>
      <c r="H3671">
        <v>0</v>
      </c>
      <c r="I3671" t="s">
        <v>24</v>
      </c>
      <c r="J3671" t="s">
        <v>13774</v>
      </c>
      <c r="K3671" t="s">
        <v>1629</v>
      </c>
      <c r="L3671" t="s">
        <v>27</v>
      </c>
      <c r="M3671" t="s">
        <v>28</v>
      </c>
      <c r="N3671" t="s">
        <v>13775</v>
      </c>
      <c r="O3671" t="s">
        <v>27</v>
      </c>
      <c r="P3671" t="s">
        <v>39</v>
      </c>
      <c r="Q3671" t="s">
        <v>31</v>
      </c>
      <c r="R3671" t="s">
        <v>32</v>
      </c>
      <c r="S3671" t="s">
        <v>28</v>
      </c>
      <c r="T3671" t="s">
        <v>13776</v>
      </c>
      <c r="U3671" t="s">
        <v>13772</v>
      </c>
    </row>
    <row r="3672" spans="1:21" x14ac:dyDescent="0.25">
      <c r="A3672" t="s">
        <v>21</v>
      </c>
      <c r="B3672" t="s">
        <v>22</v>
      </c>
      <c r="C3672">
        <v>100</v>
      </c>
      <c r="D3672">
        <v>1</v>
      </c>
      <c r="E3672">
        <v>0</v>
      </c>
      <c r="F3672" t="s">
        <v>13777</v>
      </c>
      <c r="G3672">
        <v>106</v>
      </c>
      <c r="H3672">
        <v>6</v>
      </c>
      <c r="I3672" t="s">
        <v>140</v>
      </c>
      <c r="J3672" t="s">
        <v>13778</v>
      </c>
      <c r="K3672" t="s">
        <v>346</v>
      </c>
      <c r="L3672" t="s">
        <v>27</v>
      </c>
      <c r="M3672" t="s">
        <v>28</v>
      </c>
      <c r="N3672" t="s">
        <v>13775</v>
      </c>
      <c r="O3672" t="s">
        <v>27</v>
      </c>
      <c r="P3672" t="s">
        <v>30</v>
      </c>
      <c r="Q3672" t="s">
        <v>31</v>
      </c>
      <c r="R3672" t="s">
        <v>32</v>
      </c>
      <c r="S3672" t="s">
        <v>28</v>
      </c>
      <c r="T3672" t="s">
        <v>13779</v>
      </c>
      <c r="U3672" t="s">
        <v>13775</v>
      </c>
    </row>
    <row r="3673" spans="1:21" x14ac:dyDescent="0.25">
      <c r="A3673" t="s">
        <v>70</v>
      </c>
      <c r="B3673" t="s">
        <v>70</v>
      </c>
      <c r="C3673">
        <v>330</v>
      </c>
      <c r="D3673">
        <v>1</v>
      </c>
      <c r="E3673">
        <v>0</v>
      </c>
      <c r="F3673" t="s">
        <v>13780</v>
      </c>
      <c r="G3673">
        <v>330</v>
      </c>
      <c r="H3673">
        <v>0</v>
      </c>
      <c r="I3673" t="s">
        <v>140</v>
      </c>
      <c r="J3673" t="s">
        <v>13781</v>
      </c>
      <c r="K3673" t="s">
        <v>37</v>
      </c>
      <c r="L3673" t="s">
        <v>27</v>
      </c>
      <c r="M3673" t="s">
        <v>28</v>
      </c>
      <c r="N3673" t="s">
        <v>13775</v>
      </c>
      <c r="O3673" t="s">
        <v>27</v>
      </c>
      <c r="P3673" t="s">
        <v>30</v>
      </c>
      <c r="Q3673" t="s">
        <v>31</v>
      </c>
      <c r="R3673" t="s">
        <v>32</v>
      </c>
      <c r="S3673" t="s">
        <v>28</v>
      </c>
      <c r="T3673" t="s">
        <v>13782</v>
      </c>
      <c r="U3673" t="s">
        <v>13775</v>
      </c>
    </row>
    <row r="3674" spans="1:21" x14ac:dyDescent="0.25">
      <c r="A3674" t="s">
        <v>134</v>
      </c>
      <c r="B3674" t="s">
        <v>64</v>
      </c>
      <c r="C3674">
        <v>100</v>
      </c>
      <c r="D3674">
        <v>3</v>
      </c>
      <c r="E3674">
        <v>0</v>
      </c>
      <c r="F3674" t="s">
        <v>13783</v>
      </c>
      <c r="G3674">
        <v>300</v>
      </c>
      <c r="H3674">
        <v>0</v>
      </c>
      <c r="I3674" t="s">
        <v>445</v>
      </c>
      <c r="J3674" t="s">
        <v>13784</v>
      </c>
      <c r="K3674" t="s">
        <v>346</v>
      </c>
      <c r="L3674" t="s">
        <v>27</v>
      </c>
      <c r="M3674" t="s">
        <v>28</v>
      </c>
      <c r="N3674" t="s">
        <v>13785</v>
      </c>
      <c r="O3674" t="s">
        <v>27</v>
      </c>
      <c r="P3674" t="s">
        <v>39</v>
      </c>
      <c r="Q3674" t="s">
        <v>31</v>
      </c>
      <c r="R3674" t="s">
        <v>32</v>
      </c>
      <c r="S3674" t="s">
        <v>28</v>
      </c>
      <c r="T3674" t="s">
        <v>13786</v>
      </c>
      <c r="U3674" t="s">
        <v>13785</v>
      </c>
    </row>
    <row r="3675" spans="1:21" x14ac:dyDescent="0.25">
      <c r="A3675" t="s">
        <v>63</v>
      </c>
      <c r="B3675" t="s">
        <v>64</v>
      </c>
      <c r="C3675">
        <v>150</v>
      </c>
      <c r="D3675">
        <v>2</v>
      </c>
      <c r="E3675">
        <v>0</v>
      </c>
      <c r="F3675" t="s">
        <v>13787</v>
      </c>
      <c r="G3675">
        <v>678</v>
      </c>
      <c r="H3675">
        <v>58</v>
      </c>
      <c r="I3675" t="s">
        <v>24</v>
      </c>
      <c r="J3675" t="s">
        <v>13788</v>
      </c>
      <c r="K3675" t="s">
        <v>13789</v>
      </c>
      <c r="L3675" t="s">
        <v>12900</v>
      </c>
      <c r="M3675" t="s">
        <v>10919</v>
      </c>
      <c r="N3675" t="s">
        <v>13790</v>
      </c>
      <c r="O3675" t="s">
        <v>27</v>
      </c>
      <c r="P3675" t="s">
        <v>193</v>
      </c>
      <c r="Q3675" t="s">
        <v>85</v>
      </c>
      <c r="R3675" t="s">
        <v>86</v>
      </c>
      <c r="S3675" t="s">
        <v>28</v>
      </c>
      <c r="T3675" t="s">
        <v>13791</v>
      </c>
      <c r="U3675" t="s">
        <v>13792</v>
      </c>
    </row>
    <row r="3676" spans="1:21" x14ac:dyDescent="0.25">
      <c r="A3676" t="s">
        <v>185</v>
      </c>
      <c r="B3676" t="s">
        <v>186</v>
      </c>
      <c r="C3676">
        <v>160</v>
      </c>
      <c r="D3676">
        <v>2</v>
      </c>
      <c r="E3676">
        <v>0</v>
      </c>
      <c r="F3676" t="s">
        <v>13787</v>
      </c>
      <c r="G3676">
        <v>678</v>
      </c>
      <c r="H3676">
        <v>58</v>
      </c>
      <c r="I3676" t="s">
        <v>24</v>
      </c>
      <c r="J3676" t="s">
        <v>13788</v>
      </c>
      <c r="K3676" t="s">
        <v>13789</v>
      </c>
      <c r="L3676" t="s">
        <v>12900</v>
      </c>
      <c r="M3676" t="s">
        <v>10919</v>
      </c>
      <c r="N3676" t="s">
        <v>13790</v>
      </c>
      <c r="O3676" t="s">
        <v>27</v>
      </c>
      <c r="P3676" t="s">
        <v>193</v>
      </c>
      <c r="Q3676" t="s">
        <v>85</v>
      </c>
      <c r="R3676" t="s">
        <v>86</v>
      </c>
      <c r="S3676" t="s">
        <v>28</v>
      </c>
      <c r="T3676" t="s">
        <v>13791</v>
      </c>
      <c r="U3676" t="s">
        <v>13792</v>
      </c>
    </row>
    <row r="3677" spans="1:21" x14ac:dyDescent="0.25">
      <c r="A3677" t="s">
        <v>456</v>
      </c>
      <c r="B3677" t="s">
        <v>457</v>
      </c>
      <c r="C3677">
        <v>197</v>
      </c>
      <c r="D3677">
        <v>2</v>
      </c>
      <c r="E3677">
        <v>0</v>
      </c>
      <c r="F3677" t="s">
        <v>13793</v>
      </c>
      <c r="G3677">
        <v>442</v>
      </c>
      <c r="H3677">
        <v>48</v>
      </c>
      <c r="I3677" t="s">
        <v>445</v>
      </c>
      <c r="J3677" t="s">
        <v>13794</v>
      </c>
      <c r="K3677" t="s">
        <v>13795</v>
      </c>
      <c r="L3677" t="s">
        <v>4907</v>
      </c>
      <c r="M3677" t="s">
        <v>3343</v>
      </c>
      <c r="N3677" t="s">
        <v>13790</v>
      </c>
      <c r="O3677" t="s">
        <v>27</v>
      </c>
      <c r="P3677" t="s">
        <v>193</v>
      </c>
      <c r="Q3677" t="s">
        <v>85</v>
      </c>
      <c r="R3677" t="s">
        <v>86</v>
      </c>
      <c r="S3677" t="s">
        <v>28</v>
      </c>
      <c r="T3677" t="s">
        <v>13796</v>
      </c>
      <c r="U3677" t="s">
        <v>13792</v>
      </c>
    </row>
    <row r="3678" spans="1:21" x14ac:dyDescent="0.25">
      <c r="A3678" t="s">
        <v>456</v>
      </c>
      <c r="B3678" t="s">
        <v>457</v>
      </c>
      <c r="C3678">
        <v>197</v>
      </c>
      <c r="D3678">
        <v>2</v>
      </c>
      <c r="E3678">
        <v>0</v>
      </c>
      <c r="F3678" t="s">
        <v>13797</v>
      </c>
      <c r="G3678">
        <v>442</v>
      </c>
      <c r="H3678">
        <v>48</v>
      </c>
      <c r="I3678" t="s">
        <v>445</v>
      </c>
      <c r="J3678" t="s">
        <v>13794</v>
      </c>
      <c r="K3678" t="s">
        <v>13795</v>
      </c>
      <c r="L3678" t="s">
        <v>4907</v>
      </c>
      <c r="M3678" t="s">
        <v>3343</v>
      </c>
      <c r="N3678" t="s">
        <v>13790</v>
      </c>
      <c r="O3678" t="s">
        <v>27</v>
      </c>
      <c r="P3678" t="s">
        <v>193</v>
      </c>
      <c r="Q3678" t="s">
        <v>85</v>
      </c>
      <c r="R3678" t="s">
        <v>86</v>
      </c>
      <c r="S3678" t="s">
        <v>28</v>
      </c>
      <c r="T3678" t="s">
        <v>13798</v>
      </c>
      <c r="U3678" t="s">
        <v>13799</v>
      </c>
    </row>
    <row r="3679" spans="1:21" x14ac:dyDescent="0.25">
      <c r="A3679" t="s">
        <v>70</v>
      </c>
      <c r="B3679" t="s">
        <v>70</v>
      </c>
      <c r="C3679">
        <v>350</v>
      </c>
      <c r="D3679">
        <v>1</v>
      </c>
      <c r="E3679">
        <v>0</v>
      </c>
      <c r="F3679" t="s">
        <v>13800</v>
      </c>
      <c r="G3679">
        <v>350</v>
      </c>
      <c r="H3679">
        <v>0</v>
      </c>
      <c r="I3679" t="s">
        <v>140</v>
      </c>
      <c r="J3679" t="s">
        <v>13801</v>
      </c>
      <c r="K3679" t="s">
        <v>5378</v>
      </c>
      <c r="L3679" t="s">
        <v>27</v>
      </c>
      <c r="M3679" t="s">
        <v>28</v>
      </c>
      <c r="N3679" t="s">
        <v>13802</v>
      </c>
      <c r="O3679" t="s">
        <v>27</v>
      </c>
      <c r="P3679" t="s">
        <v>30</v>
      </c>
      <c r="Q3679" t="s">
        <v>31</v>
      </c>
      <c r="R3679" t="s">
        <v>32</v>
      </c>
      <c r="S3679" t="s">
        <v>28</v>
      </c>
      <c r="T3679" t="s">
        <v>13803</v>
      </c>
      <c r="U3679" t="s">
        <v>13804</v>
      </c>
    </row>
    <row r="3680" spans="1:21" x14ac:dyDescent="0.25">
      <c r="A3680" t="s">
        <v>143</v>
      </c>
      <c r="B3680" t="s">
        <v>144</v>
      </c>
      <c r="C3680">
        <v>200</v>
      </c>
      <c r="D3680">
        <v>2</v>
      </c>
      <c r="E3680">
        <v>0</v>
      </c>
      <c r="F3680" t="s">
        <v>13805</v>
      </c>
      <c r="G3680">
        <v>400</v>
      </c>
      <c r="H3680">
        <v>0</v>
      </c>
      <c r="I3680" t="s">
        <v>140</v>
      </c>
      <c r="J3680" t="s">
        <v>13806</v>
      </c>
      <c r="K3680" t="s">
        <v>250</v>
      </c>
      <c r="L3680" t="s">
        <v>27</v>
      </c>
      <c r="M3680" t="s">
        <v>28</v>
      </c>
      <c r="N3680" t="s">
        <v>13807</v>
      </c>
      <c r="O3680" t="s">
        <v>27</v>
      </c>
      <c r="P3680" t="s">
        <v>30</v>
      </c>
      <c r="Q3680" t="s">
        <v>31</v>
      </c>
      <c r="R3680" t="s">
        <v>32</v>
      </c>
      <c r="S3680" t="s">
        <v>28</v>
      </c>
      <c r="T3680" t="s">
        <v>13808</v>
      </c>
      <c r="U3680" t="s">
        <v>13809</v>
      </c>
    </row>
    <row r="3681" spans="1:21" x14ac:dyDescent="0.25">
      <c r="A3681" t="s">
        <v>21</v>
      </c>
      <c r="B3681" t="s">
        <v>22</v>
      </c>
      <c r="C3681">
        <v>100</v>
      </c>
      <c r="D3681">
        <v>1</v>
      </c>
      <c r="E3681">
        <v>0</v>
      </c>
      <c r="F3681" t="s">
        <v>13810</v>
      </c>
      <c r="G3681">
        <v>106</v>
      </c>
      <c r="H3681">
        <v>6</v>
      </c>
      <c r="I3681" t="s">
        <v>24</v>
      </c>
      <c r="J3681" t="s">
        <v>13811</v>
      </c>
      <c r="K3681" t="s">
        <v>118</v>
      </c>
      <c r="L3681" t="s">
        <v>27</v>
      </c>
      <c r="M3681" t="s">
        <v>28</v>
      </c>
      <c r="N3681" t="s">
        <v>13812</v>
      </c>
      <c r="O3681" t="s">
        <v>27</v>
      </c>
      <c r="P3681" t="s">
        <v>39</v>
      </c>
      <c r="Q3681" t="s">
        <v>31</v>
      </c>
      <c r="R3681" t="s">
        <v>32</v>
      </c>
      <c r="S3681" t="s">
        <v>28</v>
      </c>
      <c r="T3681" t="s">
        <v>13813</v>
      </c>
      <c r="U3681" t="s">
        <v>13812</v>
      </c>
    </row>
    <row r="3682" spans="1:21" x14ac:dyDescent="0.25">
      <c r="A3682" t="s">
        <v>33</v>
      </c>
      <c r="B3682" t="s">
        <v>34</v>
      </c>
      <c r="C3682">
        <v>200</v>
      </c>
      <c r="D3682">
        <v>1</v>
      </c>
      <c r="E3682">
        <v>0</v>
      </c>
      <c r="F3682" t="s">
        <v>13814</v>
      </c>
      <c r="G3682">
        <v>200</v>
      </c>
      <c r="H3682">
        <v>0</v>
      </c>
      <c r="I3682" t="s">
        <v>24</v>
      </c>
      <c r="J3682" t="s">
        <v>13815</v>
      </c>
      <c r="K3682" t="s">
        <v>89</v>
      </c>
      <c r="L3682" t="s">
        <v>27</v>
      </c>
      <c r="M3682" t="s">
        <v>28</v>
      </c>
      <c r="N3682" t="s">
        <v>13816</v>
      </c>
      <c r="O3682" t="s">
        <v>27</v>
      </c>
      <c r="P3682" t="s">
        <v>39</v>
      </c>
      <c r="Q3682" t="s">
        <v>31</v>
      </c>
      <c r="R3682" t="s">
        <v>32</v>
      </c>
      <c r="S3682" t="s">
        <v>13817</v>
      </c>
      <c r="T3682" t="s">
        <v>13818</v>
      </c>
      <c r="U3682" t="s">
        <v>13816</v>
      </c>
    </row>
    <row r="3683" spans="1:21" x14ac:dyDescent="0.25">
      <c r="A3683" t="s">
        <v>143</v>
      </c>
      <c r="B3683" t="s">
        <v>144</v>
      </c>
      <c r="C3683">
        <v>200</v>
      </c>
      <c r="D3683">
        <v>2</v>
      </c>
      <c r="E3683">
        <v>0</v>
      </c>
      <c r="F3683" t="s">
        <v>13819</v>
      </c>
      <c r="G3683">
        <v>400</v>
      </c>
      <c r="H3683">
        <v>0</v>
      </c>
      <c r="I3683" t="s">
        <v>445</v>
      </c>
      <c r="J3683" t="s">
        <v>13820</v>
      </c>
      <c r="K3683" t="s">
        <v>384</v>
      </c>
      <c r="L3683" t="s">
        <v>27</v>
      </c>
      <c r="M3683" t="s">
        <v>28</v>
      </c>
      <c r="N3683" t="s">
        <v>13821</v>
      </c>
      <c r="O3683" t="s">
        <v>27</v>
      </c>
      <c r="P3683" t="s">
        <v>56</v>
      </c>
      <c r="Q3683" t="s">
        <v>31</v>
      </c>
      <c r="R3683" t="s">
        <v>57</v>
      </c>
      <c r="S3683" t="s">
        <v>28</v>
      </c>
      <c r="T3683" t="s">
        <v>13822</v>
      </c>
      <c r="U3683" t="s">
        <v>13821</v>
      </c>
    </row>
    <row r="3684" spans="1:21" x14ac:dyDescent="0.25">
      <c r="A3684" t="s">
        <v>40</v>
      </c>
      <c r="B3684" t="s">
        <v>41</v>
      </c>
      <c r="C3684">
        <v>90.95</v>
      </c>
      <c r="D3684">
        <v>1</v>
      </c>
      <c r="E3684">
        <v>0</v>
      </c>
      <c r="F3684" t="s">
        <v>13823</v>
      </c>
      <c r="G3684">
        <v>95.95</v>
      </c>
      <c r="H3684">
        <v>5</v>
      </c>
      <c r="I3684" t="s">
        <v>24</v>
      </c>
      <c r="J3684" t="s">
        <v>13824</v>
      </c>
      <c r="K3684" t="s">
        <v>13825</v>
      </c>
      <c r="L3684" t="s">
        <v>13826</v>
      </c>
      <c r="M3684" t="s">
        <v>13827</v>
      </c>
      <c r="N3684" t="s">
        <v>13828</v>
      </c>
      <c r="O3684" t="s">
        <v>27</v>
      </c>
      <c r="P3684" t="s">
        <v>48</v>
      </c>
      <c r="Q3684" t="s">
        <v>49</v>
      </c>
      <c r="R3684" t="s">
        <v>50</v>
      </c>
      <c r="S3684" t="s">
        <v>28</v>
      </c>
      <c r="T3684" t="s">
        <v>13829</v>
      </c>
      <c r="U3684" t="s">
        <v>13828</v>
      </c>
    </row>
    <row r="3685" spans="1:21" x14ac:dyDescent="0.25">
      <c r="A3685" t="s">
        <v>33</v>
      </c>
      <c r="B3685" t="s">
        <v>34</v>
      </c>
      <c r="C3685">
        <v>200</v>
      </c>
      <c r="D3685">
        <v>1</v>
      </c>
      <c r="E3685">
        <v>0</v>
      </c>
      <c r="F3685" t="s">
        <v>13830</v>
      </c>
      <c r="G3685">
        <v>200</v>
      </c>
      <c r="H3685">
        <v>0</v>
      </c>
      <c r="I3685" t="s">
        <v>24</v>
      </c>
      <c r="J3685" t="s">
        <v>13831</v>
      </c>
      <c r="K3685" t="s">
        <v>2243</v>
      </c>
      <c r="L3685" t="s">
        <v>27</v>
      </c>
      <c r="M3685" t="s">
        <v>28</v>
      </c>
      <c r="N3685" t="s">
        <v>13828</v>
      </c>
      <c r="O3685" t="s">
        <v>27</v>
      </c>
      <c r="P3685" t="s">
        <v>39</v>
      </c>
      <c r="Q3685" t="s">
        <v>31</v>
      </c>
      <c r="R3685" t="s">
        <v>32</v>
      </c>
      <c r="S3685" t="s">
        <v>28</v>
      </c>
      <c r="T3685" t="s">
        <v>13832</v>
      </c>
      <c r="U3685" t="s">
        <v>13828</v>
      </c>
    </row>
    <row r="3686" spans="1:21" x14ac:dyDescent="0.25">
      <c r="A3686" t="s">
        <v>63</v>
      </c>
      <c r="B3686" t="s">
        <v>64</v>
      </c>
      <c r="C3686">
        <v>100</v>
      </c>
      <c r="D3686">
        <v>1</v>
      </c>
      <c r="E3686">
        <v>0</v>
      </c>
      <c r="F3686" t="s">
        <v>13833</v>
      </c>
      <c r="G3686">
        <v>106</v>
      </c>
      <c r="H3686">
        <v>6</v>
      </c>
      <c r="I3686" t="s">
        <v>140</v>
      </c>
      <c r="J3686" t="s">
        <v>2493</v>
      </c>
      <c r="K3686" t="s">
        <v>285</v>
      </c>
      <c r="L3686" t="s">
        <v>27</v>
      </c>
      <c r="M3686" t="s">
        <v>28</v>
      </c>
      <c r="N3686" t="s">
        <v>13834</v>
      </c>
      <c r="O3686" t="s">
        <v>27</v>
      </c>
      <c r="P3686" t="s">
        <v>369</v>
      </c>
      <c r="Q3686" t="s">
        <v>31</v>
      </c>
      <c r="R3686" t="s">
        <v>57</v>
      </c>
      <c r="S3686" t="s">
        <v>28</v>
      </c>
      <c r="T3686" t="s">
        <v>13835</v>
      </c>
      <c r="U3686" t="s">
        <v>13834</v>
      </c>
    </row>
    <row r="3687" spans="1:21" x14ac:dyDescent="0.25">
      <c r="A3687" t="s">
        <v>635</v>
      </c>
      <c r="B3687" t="s">
        <v>8000</v>
      </c>
      <c r="C3687">
        <v>739.4</v>
      </c>
      <c r="D3687">
        <v>1</v>
      </c>
      <c r="E3687">
        <v>0</v>
      </c>
      <c r="F3687" t="s">
        <v>13836</v>
      </c>
      <c r="G3687">
        <v>778.4</v>
      </c>
      <c r="H3687">
        <v>39</v>
      </c>
      <c r="I3687" t="s">
        <v>24</v>
      </c>
      <c r="J3687" t="s">
        <v>13837</v>
      </c>
      <c r="K3687" t="s">
        <v>13838</v>
      </c>
      <c r="L3687" t="s">
        <v>1737</v>
      </c>
      <c r="M3687" t="s">
        <v>13839</v>
      </c>
      <c r="N3687" t="s">
        <v>13840</v>
      </c>
      <c r="O3687" t="s">
        <v>27</v>
      </c>
      <c r="P3687" t="s">
        <v>48</v>
      </c>
      <c r="Q3687" t="s">
        <v>49</v>
      </c>
      <c r="R3687" t="s">
        <v>50</v>
      </c>
      <c r="S3687" t="s">
        <v>28</v>
      </c>
      <c r="T3687" t="s">
        <v>13841</v>
      </c>
      <c r="U3687" t="s">
        <v>13840</v>
      </c>
    </row>
    <row r="3688" spans="1:21" x14ac:dyDescent="0.25">
      <c r="A3688" t="s">
        <v>21</v>
      </c>
      <c r="B3688" t="s">
        <v>22</v>
      </c>
      <c r="C3688">
        <v>100</v>
      </c>
      <c r="D3688">
        <v>2</v>
      </c>
      <c r="E3688">
        <v>0</v>
      </c>
      <c r="F3688" t="s">
        <v>13842</v>
      </c>
      <c r="G3688">
        <v>200</v>
      </c>
      <c r="H3688">
        <v>0</v>
      </c>
      <c r="I3688" t="s">
        <v>140</v>
      </c>
      <c r="J3688" t="s">
        <v>13843</v>
      </c>
      <c r="K3688" t="s">
        <v>346</v>
      </c>
      <c r="L3688" t="s">
        <v>27</v>
      </c>
      <c r="M3688" t="s">
        <v>28</v>
      </c>
      <c r="N3688" t="s">
        <v>13844</v>
      </c>
      <c r="O3688" t="s">
        <v>27</v>
      </c>
      <c r="P3688" t="s">
        <v>30</v>
      </c>
      <c r="Q3688" t="s">
        <v>31</v>
      </c>
      <c r="R3688" t="s">
        <v>32</v>
      </c>
      <c r="S3688" t="s">
        <v>28</v>
      </c>
      <c r="T3688" t="s">
        <v>13845</v>
      </c>
      <c r="U3688" t="s">
        <v>13844</v>
      </c>
    </row>
    <row r="3689" spans="1:21" x14ac:dyDescent="0.25">
      <c r="A3689" t="s">
        <v>499</v>
      </c>
      <c r="B3689" t="s">
        <v>500</v>
      </c>
      <c r="C3689">
        <v>130</v>
      </c>
      <c r="D3689">
        <v>1</v>
      </c>
      <c r="E3689">
        <v>0</v>
      </c>
      <c r="F3689" t="s">
        <v>13846</v>
      </c>
      <c r="G3689">
        <v>544</v>
      </c>
      <c r="H3689">
        <v>79</v>
      </c>
      <c r="I3689" t="s">
        <v>24</v>
      </c>
      <c r="J3689" t="s">
        <v>13847</v>
      </c>
      <c r="K3689" t="s">
        <v>13848</v>
      </c>
      <c r="L3689" t="s">
        <v>13849</v>
      </c>
      <c r="M3689" t="s">
        <v>9367</v>
      </c>
      <c r="N3689" t="s">
        <v>13844</v>
      </c>
      <c r="O3689" t="s">
        <v>27</v>
      </c>
      <c r="P3689" t="s">
        <v>193</v>
      </c>
      <c r="Q3689" t="s">
        <v>85</v>
      </c>
      <c r="R3689" t="s">
        <v>86</v>
      </c>
      <c r="S3689" t="s">
        <v>28</v>
      </c>
      <c r="T3689" t="s">
        <v>13850</v>
      </c>
      <c r="U3689" t="s">
        <v>13851</v>
      </c>
    </row>
    <row r="3690" spans="1:21" x14ac:dyDescent="0.25">
      <c r="A3690" t="s">
        <v>635</v>
      </c>
      <c r="B3690" t="s">
        <v>714</v>
      </c>
      <c r="C3690">
        <v>739.2</v>
      </c>
      <c r="D3690">
        <v>1</v>
      </c>
      <c r="E3690">
        <v>0</v>
      </c>
      <c r="F3690" t="s">
        <v>13852</v>
      </c>
      <c r="G3690">
        <v>803.2</v>
      </c>
      <c r="H3690">
        <v>64</v>
      </c>
      <c r="I3690" t="s">
        <v>628</v>
      </c>
      <c r="J3690" t="s">
        <v>13837</v>
      </c>
      <c r="K3690" t="s">
        <v>13838</v>
      </c>
      <c r="L3690" t="s">
        <v>1737</v>
      </c>
      <c r="M3690" t="s">
        <v>13839</v>
      </c>
      <c r="N3690" t="s">
        <v>13853</v>
      </c>
      <c r="O3690" t="s">
        <v>27</v>
      </c>
      <c r="P3690" t="s">
        <v>48</v>
      </c>
      <c r="Q3690" t="s">
        <v>49</v>
      </c>
      <c r="R3690" t="s">
        <v>50</v>
      </c>
      <c r="S3690" t="s">
        <v>28</v>
      </c>
      <c r="T3690" t="s">
        <v>13854</v>
      </c>
      <c r="U3690" t="s">
        <v>13853</v>
      </c>
    </row>
    <row r="3691" spans="1:21" x14ac:dyDescent="0.25">
      <c r="A3691" t="s">
        <v>33</v>
      </c>
      <c r="B3691" t="s">
        <v>34</v>
      </c>
      <c r="C3691">
        <v>200</v>
      </c>
      <c r="D3691">
        <v>1</v>
      </c>
      <c r="E3691">
        <v>0</v>
      </c>
      <c r="F3691" t="s">
        <v>13855</v>
      </c>
      <c r="G3691">
        <v>200</v>
      </c>
      <c r="H3691">
        <v>0</v>
      </c>
      <c r="I3691" t="s">
        <v>445</v>
      </c>
      <c r="J3691" t="s">
        <v>13856</v>
      </c>
      <c r="K3691" t="s">
        <v>331</v>
      </c>
      <c r="L3691" t="s">
        <v>27</v>
      </c>
      <c r="M3691" t="s">
        <v>28</v>
      </c>
      <c r="N3691" t="s">
        <v>13857</v>
      </c>
      <c r="O3691" t="s">
        <v>27</v>
      </c>
      <c r="P3691" t="s">
        <v>39</v>
      </c>
      <c r="Q3691" t="s">
        <v>31</v>
      </c>
      <c r="R3691" t="s">
        <v>32</v>
      </c>
      <c r="S3691" t="s">
        <v>28</v>
      </c>
      <c r="T3691" t="s">
        <v>13858</v>
      </c>
      <c r="U3691" t="s">
        <v>13857</v>
      </c>
    </row>
    <row r="3692" spans="1:21" x14ac:dyDescent="0.25">
      <c r="A3692" t="s">
        <v>58</v>
      </c>
      <c r="B3692" t="s">
        <v>58</v>
      </c>
      <c r="C3692">
        <v>100</v>
      </c>
      <c r="D3692">
        <v>2</v>
      </c>
      <c r="E3692">
        <v>0</v>
      </c>
      <c r="F3692" t="s">
        <v>13859</v>
      </c>
      <c r="G3692">
        <v>200</v>
      </c>
      <c r="H3692">
        <v>0</v>
      </c>
      <c r="I3692" t="s">
        <v>445</v>
      </c>
      <c r="J3692" t="s">
        <v>13860</v>
      </c>
      <c r="K3692" t="s">
        <v>13861</v>
      </c>
      <c r="L3692" t="s">
        <v>2399</v>
      </c>
      <c r="M3692" t="s">
        <v>1744</v>
      </c>
      <c r="N3692" t="s">
        <v>13862</v>
      </c>
      <c r="O3692" t="s">
        <v>27</v>
      </c>
      <c r="P3692" t="s">
        <v>193</v>
      </c>
      <c r="Q3692" t="s">
        <v>85</v>
      </c>
      <c r="R3692" t="s">
        <v>86</v>
      </c>
      <c r="S3692" t="s">
        <v>28</v>
      </c>
      <c r="T3692" t="s">
        <v>13863</v>
      </c>
      <c r="U3692" t="s">
        <v>13864</v>
      </c>
    </row>
    <row r="3693" spans="1:21" x14ac:dyDescent="0.25">
      <c r="A3693" t="s">
        <v>143</v>
      </c>
      <c r="B3693" t="s">
        <v>144</v>
      </c>
      <c r="C3693">
        <v>200</v>
      </c>
      <c r="D3693">
        <v>1</v>
      </c>
      <c r="E3693">
        <v>0</v>
      </c>
      <c r="F3693" t="s">
        <v>13865</v>
      </c>
      <c r="G3693">
        <v>200</v>
      </c>
      <c r="H3693">
        <v>0</v>
      </c>
      <c r="I3693" t="s">
        <v>24</v>
      </c>
      <c r="J3693" t="s">
        <v>13866</v>
      </c>
      <c r="K3693" t="s">
        <v>247</v>
      </c>
      <c r="L3693" t="s">
        <v>27</v>
      </c>
      <c r="M3693" t="s">
        <v>28</v>
      </c>
      <c r="N3693" t="s">
        <v>13867</v>
      </c>
      <c r="O3693" t="s">
        <v>27</v>
      </c>
      <c r="P3693" t="s">
        <v>39</v>
      </c>
      <c r="Q3693" t="s">
        <v>31</v>
      </c>
      <c r="R3693" t="s">
        <v>32</v>
      </c>
      <c r="S3693" t="s">
        <v>28</v>
      </c>
      <c r="T3693" t="s">
        <v>13868</v>
      </c>
      <c r="U3693" t="s">
        <v>13867</v>
      </c>
    </row>
    <row r="3694" spans="1:21" x14ac:dyDescent="0.25">
      <c r="A3694" t="s">
        <v>58</v>
      </c>
      <c r="B3694" t="s">
        <v>58</v>
      </c>
      <c r="C3694">
        <v>150</v>
      </c>
      <c r="D3694">
        <v>3</v>
      </c>
      <c r="E3694">
        <v>0</v>
      </c>
      <c r="F3694" t="s">
        <v>13869</v>
      </c>
      <c r="G3694">
        <v>485</v>
      </c>
      <c r="H3694">
        <v>35</v>
      </c>
      <c r="I3694" t="s">
        <v>24</v>
      </c>
      <c r="J3694" t="s">
        <v>13064</v>
      </c>
      <c r="K3694" t="s">
        <v>13870</v>
      </c>
      <c r="L3694" t="s">
        <v>1900</v>
      </c>
      <c r="M3694" t="s">
        <v>2907</v>
      </c>
      <c r="N3694" t="s">
        <v>13871</v>
      </c>
      <c r="O3694" t="s">
        <v>27</v>
      </c>
      <c r="P3694" t="s">
        <v>193</v>
      </c>
      <c r="Q3694" t="s">
        <v>85</v>
      </c>
      <c r="R3694" t="s">
        <v>86</v>
      </c>
      <c r="S3694" t="s">
        <v>28</v>
      </c>
      <c r="T3694" t="s">
        <v>13872</v>
      </c>
      <c r="U3694" t="s">
        <v>13871</v>
      </c>
    </row>
    <row r="3695" spans="1:21" x14ac:dyDescent="0.25">
      <c r="A3695" t="s">
        <v>58</v>
      </c>
      <c r="B3695" t="s">
        <v>58</v>
      </c>
      <c r="C3695">
        <v>100</v>
      </c>
      <c r="D3695">
        <v>2</v>
      </c>
      <c r="E3695">
        <v>0</v>
      </c>
      <c r="F3695" t="s">
        <v>13873</v>
      </c>
      <c r="G3695">
        <v>200</v>
      </c>
      <c r="H3695">
        <v>0</v>
      </c>
      <c r="I3695" t="s">
        <v>140</v>
      </c>
      <c r="J3695" t="s">
        <v>13874</v>
      </c>
      <c r="K3695" t="s">
        <v>384</v>
      </c>
      <c r="L3695" t="s">
        <v>27</v>
      </c>
      <c r="M3695" t="s">
        <v>28</v>
      </c>
      <c r="N3695" t="s">
        <v>13875</v>
      </c>
      <c r="O3695" t="s">
        <v>27</v>
      </c>
      <c r="P3695" t="s">
        <v>30</v>
      </c>
      <c r="Q3695" t="s">
        <v>31</v>
      </c>
      <c r="R3695" t="s">
        <v>32</v>
      </c>
      <c r="S3695" t="s">
        <v>28</v>
      </c>
      <c r="T3695" t="s">
        <v>13876</v>
      </c>
      <c r="U3695" t="s">
        <v>13875</v>
      </c>
    </row>
    <row r="3696" spans="1:21" x14ac:dyDescent="0.25">
      <c r="A3696" t="s">
        <v>33</v>
      </c>
      <c r="B3696" t="s">
        <v>34</v>
      </c>
      <c r="C3696">
        <v>200</v>
      </c>
      <c r="D3696">
        <v>1</v>
      </c>
      <c r="E3696">
        <v>0</v>
      </c>
      <c r="F3696" t="s">
        <v>13877</v>
      </c>
      <c r="G3696">
        <v>200</v>
      </c>
      <c r="H3696">
        <v>0</v>
      </c>
      <c r="I3696" t="s">
        <v>445</v>
      </c>
      <c r="J3696" t="s">
        <v>13878</v>
      </c>
      <c r="K3696" t="s">
        <v>2243</v>
      </c>
      <c r="L3696" t="s">
        <v>27</v>
      </c>
      <c r="M3696" t="s">
        <v>28</v>
      </c>
      <c r="N3696" t="s">
        <v>13879</v>
      </c>
      <c r="O3696" t="s">
        <v>27</v>
      </c>
      <c r="P3696" t="s">
        <v>39</v>
      </c>
      <c r="Q3696" t="s">
        <v>31</v>
      </c>
      <c r="R3696" t="s">
        <v>32</v>
      </c>
      <c r="S3696" t="s">
        <v>28</v>
      </c>
      <c r="T3696" t="s">
        <v>13880</v>
      </c>
      <c r="U3696" t="s">
        <v>13879</v>
      </c>
    </row>
    <row r="3697" spans="1:21" x14ac:dyDescent="0.25">
      <c r="A3697" t="s">
        <v>21</v>
      </c>
      <c r="B3697" t="s">
        <v>22</v>
      </c>
      <c r="C3697">
        <v>100</v>
      </c>
      <c r="D3697">
        <v>1</v>
      </c>
      <c r="E3697">
        <v>0</v>
      </c>
      <c r="F3697" t="s">
        <v>13881</v>
      </c>
      <c r="G3697">
        <v>200</v>
      </c>
      <c r="H3697">
        <v>0</v>
      </c>
      <c r="I3697" t="s">
        <v>140</v>
      </c>
      <c r="J3697" t="s">
        <v>13882</v>
      </c>
      <c r="K3697" t="s">
        <v>438</v>
      </c>
      <c r="L3697" t="s">
        <v>27</v>
      </c>
      <c r="M3697" t="s">
        <v>28</v>
      </c>
      <c r="N3697" t="s">
        <v>13883</v>
      </c>
      <c r="O3697" t="s">
        <v>27</v>
      </c>
      <c r="P3697" t="s">
        <v>369</v>
      </c>
      <c r="Q3697" t="s">
        <v>31</v>
      </c>
      <c r="R3697" t="s">
        <v>57</v>
      </c>
      <c r="S3697" t="s">
        <v>28</v>
      </c>
      <c r="T3697" t="s">
        <v>13884</v>
      </c>
      <c r="U3697" t="s">
        <v>13883</v>
      </c>
    </row>
    <row r="3698" spans="1:21" x14ac:dyDescent="0.25">
      <c r="A3698" t="s">
        <v>58</v>
      </c>
      <c r="B3698" t="s">
        <v>58</v>
      </c>
      <c r="C3698">
        <v>100</v>
      </c>
      <c r="D3698">
        <v>1</v>
      </c>
      <c r="E3698">
        <v>0</v>
      </c>
      <c r="F3698" t="s">
        <v>13881</v>
      </c>
      <c r="G3698">
        <v>200</v>
      </c>
      <c r="H3698">
        <v>0</v>
      </c>
      <c r="I3698" t="s">
        <v>140</v>
      </c>
      <c r="J3698" t="s">
        <v>13882</v>
      </c>
      <c r="K3698" t="s">
        <v>438</v>
      </c>
      <c r="L3698" t="s">
        <v>27</v>
      </c>
      <c r="M3698" t="s">
        <v>28</v>
      </c>
      <c r="N3698" t="s">
        <v>13883</v>
      </c>
      <c r="O3698" t="s">
        <v>27</v>
      </c>
      <c r="P3698" t="s">
        <v>369</v>
      </c>
      <c r="Q3698" t="s">
        <v>31</v>
      </c>
      <c r="R3698" t="s">
        <v>57</v>
      </c>
      <c r="S3698" t="s">
        <v>28</v>
      </c>
      <c r="T3698" t="s">
        <v>13884</v>
      </c>
      <c r="U3698" t="s">
        <v>13883</v>
      </c>
    </row>
    <row r="3699" spans="1:21" x14ac:dyDescent="0.25">
      <c r="A3699" t="s">
        <v>21</v>
      </c>
      <c r="B3699" t="s">
        <v>22</v>
      </c>
      <c r="C3699">
        <v>100</v>
      </c>
      <c r="D3699">
        <v>1</v>
      </c>
      <c r="E3699">
        <v>0</v>
      </c>
      <c r="F3699" t="s">
        <v>13885</v>
      </c>
      <c r="G3699">
        <v>106</v>
      </c>
      <c r="H3699">
        <v>6</v>
      </c>
      <c r="I3699" t="s">
        <v>24</v>
      </c>
      <c r="J3699" t="s">
        <v>13886</v>
      </c>
      <c r="K3699" t="s">
        <v>237</v>
      </c>
      <c r="L3699" t="s">
        <v>27</v>
      </c>
      <c r="M3699" t="s">
        <v>28</v>
      </c>
      <c r="N3699" t="s">
        <v>13887</v>
      </c>
      <c r="O3699" t="s">
        <v>27</v>
      </c>
      <c r="P3699" t="s">
        <v>39</v>
      </c>
      <c r="Q3699" t="s">
        <v>31</v>
      </c>
      <c r="R3699" t="s">
        <v>32</v>
      </c>
      <c r="S3699" t="s">
        <v>28</v>
      </c>
      <c r="T3699" t="s">
        <v>13888</v>
      </c>
      <c r="U3699" t="s">
        <v>13887</v>
      </c>
    </row>
    <row r="3700" spans="1:21" x14ac:dyDescent="0.25">
      <c r="A3700" t="s">
        <v>456</v>
      </c>
      <c r="B3700" t="s">
        <v>457</v>
      </c>
      <c r="C3700">
        <v>197</v>
      </c>
      <c r="D3700">
        <v>3</v>
      </c>
      <c r="E3700">
        <v>0</v>
      </c>
      <c r="F3700" t="s">
        <v>13889</v>
      </c>
      <c r="G3700">
        <v>655</v>
      </c>
      <c r="H3700">
        <v>64</v>
      </c>
      <c r="I3700" t="s">
        <v>445</v>
      </c>
      <c r="J3700" t="s">
        <v>13890</v>
      </c>
      <c r="K3700" t="s">
        <v>13891</v>
      </c>
      <c r="L3700" t="s">
        <v>13892</v>
      </c>
      <c r="M3700" t="s">
        <v>1995</v>
      </c>
      <c r="N3700" t="s">
        <v>13887</v>
      </c>
      <c r="O3700" t="s">
        <v>27</v>
      </c>
      <c r="P3700" t="s">
        <v>193</v>
      </c>
      <c r="Q3700" t="s">
        <v>85</v>
      </c>
      <c r="R3700" t="s">
        <v>86</v>
      </c>
      <c r="S3700" t="s">
        <v>28</v>
      </c>
      <c r="T3700" t="s">
        <v>13893</v>
      </c>
      <c r="U3700" t="s">
        <v>13887</v>
      </c>
    </row>
    <row r="3701" spans="1:21" x14ac:dyDescent="0.25">
      <c r="A3701" t="s">
        <v>21</v>
      </c>
      <c r="B3701" t="s">
        <v>22</v>
      </c>
      <c r="C3701">
        <v>100</v>
      </c>
      <c r="D3701">
        <v>1</v>
      </c>
      <c r="E3701">
        <v>0</v>
      </c>
      <c r="F3701" t="s">
        <v>13894</v>
      </c>
      <c r="G3701">
        <v>200</v>
      </c>
      <c r="H3701">
        <v>0</v>
      </c>
      <c r="I3701" t="s">
        <v>140</v>
      </c>
      <c r="J3701" t="s">
        <v>13895</v>
      </c>
      <c r="K3701" t="s">
        <v>388</v>
      </c>
      <c r="L3701" t="s">
        <v>27</v>
      </c>
      <c r="M3701" t="s">
        <v>28</v>
      </c>
      <c r="N3701" t="s">
        <v>13896</v>
      </c>
      <c r="O3701" t="s">
        <v>27</v>
      </c>
      <c r="P3701" t="s">
        <v>369</v>
      </c>
      <c r="Q3701" t="s">
        <v>31</v>
      </c>
      <c r="R3701" t="s">
        <v>57</v>
      </c>
      <c r="S3701" t="s">
        <v>28</v>
      </c>
      <c r="T3701" t="s">
        <v>13897</v>
      </c>
      <c r="U3701" t="s">
        <v>13896</v>
      </c>
    </row>
    <row r="3702" spans="1:21" x14ac:dyDescent="0.25">
      <c r="A3702" t="s">
        <v>134</v>
      </c>
      <c r="B3702" t="s">
        <v>64</v>
      </c>
      <c r="C3702">
        <v>100</v>
      </c>
      <c r="D3702">
        <v>1</v>
      </c>
      <c r="E3702">
        <v>0</v>
      </c>
      <c r="F3702" t="s">
        <v>13894</v>
      </c>
      <c r="G3702">
        <v>200</v>
      </c>
      <c r="H3702">
        <v>0</v>
      </c>
      <c r="I3702" t="s">
        <v>140</v>
      </c>
      <c r="J3702" t="s">
        <v>13895</v>
      </c>
      <c r="K3702" t="s">
        <v>388</v>
      </c>
      <c r="L3702" t="s">
        <v>27</v>
      </c>
      <c r="M3702" t="s">
        <v>28</v>
      </c>
      <c r="N3702" t="s">
        <v>13896</v>
      </c>
      <c r="O3702" t="s">
        <v>27</v>
      </c>
      <c r="P3702" t="s">
        <v>369</v>
      </c>
      <c r="Q3702" t="s">
        <v>31</v>
      </c>
      <c r="R3702" t="s">
        <v>57</v>
      </c>
      <c r="S3702" t="s">
        <v>28</v>
      </c>
      <c r="T3702" t="s">
        <v>13897</v>
      </c>
      <c r="U3702" t="s">
        <v>13896</v>
      </c>
    </row>
    <row r="3703" spans="1:21" x14ac:dyDescent="0.25">
      <c r="A3703" t="s">
        <v>21</v>
      </c>
      <c r="B3703" t="s">
        <v>22</v>
      </c>
      <c r="C3703">
        <v>100</v>
      </c>
      <c r="D3703">
        <v>1</v>
      </c>
      <c r="E3703">
        <v>0</v>
      </c>
      <c r="F3703" t="s">
        <v>13898</v>
      </c>
      <c r="G3703">
        <v>106</v>
      </c>
      <c r="H3703">
        <v>6</v>
      </c>
      <c r="I3703" t="s">
        <v>140</v>
      </c>
      <c r="J3703" t="s">
        <v>13899</v>
      </c>
      <c r="K3703" t="s">
        <v>919</v>
      </c>
      <c r="L3703" t="s">
        <v>27</v>
      </c>
      <c r="M3703" t="s">
        <v>28</v>
      </c>
      <c r="N3703" t="s">
        <v>13900</v>
      </c>
      <c r="O3703" t="s">
        <v>27</v>
      </c>
      <c r="P3703" t="s">
        <v>30</v>
      </c>
      <c r="Q3703" t="s">
        <v>31</v>
      </c>
      <c r="R3703" t="s">
        <v>32</v>
      </c>
      <c r="S3703" t="s">
        <v>28</v>
      </c>
      <c r="T3703" t="s">
        <v>13901</v>
      </c>
      <c r="U3703" t="s">
        <v>13900</v>
      </c>
    </row>
    <row r="3704" spans="1:21" x14ac:dyDescent="0.25">
      <c r="A3704" t="s">
        <v>40</v>
      </c>
      <c r="B3704" t="s">
        <v>11384</v>
      </c>
      <c r="C3704">
        <v>100</v>
      </c>
      <c r="D3704">
        <v>1</v>
      </c>
      <c r="E3704">
        <v>0</v>
      </c>
      <c r="F3704" t="s">
        <v>13902</v>
      </c>
      <c r="G3704">
        <v>145</v>
      </c>
      <c r="H3704">
        <v>45</v>
      </c>
      <c r="I3704" t="s">
        <v>140</v>
      </c>
      <c r="J3704" t="s">
        <v>13903</v>
      </c>
      <c r="K3704" t="s">
        <v>13904</v>
      </c>
      <c r="L3704" t="s">
        <v>27</v>
      </c>
      <c r="M3704" t="s">
        <v>28</v>
      </c>
      <c r="N3704" t="s">
        <v>13905</v>
      </c>
      <c r="O3704" t="s">
        <v>27</v>
      </c>
      <c r="P3704" t="s">
        <v>30</v>
      </c>
      <c r="Q3704" t="s">
        <v>31</v>
      </c>
      <c r="R3704" t="s">
        <v>32</v>
      </c>
      <c r="S3704" t="s">
        <v>28</v>
      </c>
      <c r="T3704" t="s">
        <v>13906</v>
      </c>
      <c r="U3704" t="s">
        <v>13905</v>
      </c>
    </row>
    <row r="3705" spans="1:21" x14ac:dyDescent="0.25">
      <c r="A3705" t="s">
        <v>134</v>
      </c>
      <c r="B3705" t="s">
        <v>64</v>
      </c>
      <c r="C3705">
        <v>100</v>
      </c>
      <c r="D3705">
        <v>3</v>
      </c>
      <c r="E3705">
        <v>0</v>
      </c>
      <c r="F3705" t="s">
        <v>13907</v>
      </c>
      <c r="G3705">
        <v>300</v>
      </c>
      <c r="H3705">
        <v>0</v>
      </c>
      <c r="I3705" t="s">
        <v>140</v>
      </c>
      <c r="J3705" t="s">
        <v>13908</v>
      </c>
      <c r="K3705" t="s">
        <v>1107</v>
      </c>
      <c r="L3705" t="s">
        <v>27</v>
      </c>
      <c r="M3705" t="s">
        <v>28</v>
      </c>
      <c r="N3705" t="s">
        <v>13909</v>
      </c>
      <c r="O3705" t="s">
        <v>27</v>
      </c>
      <c r="P3705" t="s">
        <v>30</v>
      </c>
      <c r="Q3705" t="s">
        <v>31</v>
      </c>
      <c r="R3705" t="s">
        <v>32</v>
      </c>
      <c r="S3705" t="s">
        <v>28</v>
      </c>
      <c r="T3705" t="s">
        <v>13910</v>
      </c>
      <c r="U3705" t="s">
        <v>13909</v>
      </c>
    </row>
    <row r="3706" spans="1:21" x14ac:dyDescent="0.25">
      <c r="A3706" t="s">
        <v>58</v>
      </c>
      <c r="B3706" t="s">
        <v>58</v>
      </c>
      <c r="C3706">
        <v>100</v>
      </c>
      <c r="D3706">
        <v>1</v>
      </c>
      <c r="E3706">
        <v>0</v>
      </c>
      <c r="F3706" t="s">
        <v>13911</v>
      </c>
      <c r="G3706">
        <v>107</v>
      </c>
      <c r="H3706">
        <v>7</v>
      </c>
      <c r="I3706" t="s">
        <v>445</v>
      </c>
      <c r="J3706" t="s">
        <v>13912</v>
      </c>
      <c r="K3706" t="s">
        <v>13913</v>
      </c>
      <c r="L3706" t="s">
        <v>10967</v>
      </c>
      <c r="M3706" t="s">
        <v>316</v>
      </c>
      <c r="N3706" t="s">
        <v>13914</v>
      </c>
      <c r="O3706" t="s">
        <v>27</v>
      </c>
      <c r="P3706" t="s">
        <v>193</v>
      </c>
      <c r="Q3706" t="s">
        <v>85</v>
      </c>
      <c r="R3706" t="s">
        <v>86</v>
      </c>
      <c r="S3706" t="s">
        <v>28</v>
      </c>
      <c r="T3706" t="s">
        <v>13915</v>
      </c>
      <c r="U3706" t="s">
        <v>13916</v>
      </c>
    </row>
    <row r="3707" spans="1:21" x14ac:dyDescent="0.25">
      <c r="A3707" t="s">
        <v>134</v>
      </c>
      <c r="B3707" t="s">
        <v>64</v>
      </c>
      <c r="C3707">
        <v>150</v>
      </c>
      <c r="D3707">
        <v>2</v>
      </c>
      <c r="E3707">
        <v>0</v>
      </c>
      <c r="F3707" t="s">
        <v>13917</v>
      </c>
      <c r="G3707">
        <v>773</v>
      </c>
      <c r="H3707">
        <v>75</v>
      </c>
      <c r="I3707" t="s">
        <v>24</v>
      </c>
      <c r="J3707" t="s">
        <v>13918</v>
      </c>
      <c r="K3707" t="s">
        <v>13919</v>
      </c>
      <c r="L3707" t="s">
        <v>3945</v>
      </c>
      <c r="M3707" t="s">
        <v>749</v>
      </c>
      <c r="N3707" t="s">
        <v>13920</v>
      </c>
      <c r="O3707" t="s">
        <v>27</v>
      </c>
      <c r="P3707" t="s">
        <v>193</v>
      </c>
      <c r="Q3707" t="s">
        <v>85</v>
      </c>
      <c r="R3707" t="s">
        <v>86</v>
      </c>
      <c r="S3707" t="s">
        <v>28</v>
      </c>
      <c r="T3707" t="s">
        <v>13921</v>
      </c>
      <c r="U3707" t="s">
        <v>13920</v>
      </c>
    </row>
    <row r="3708" spans="1:21" x14ac:dyDescent="0.25">
      <c r="A3708" t="s">
        <v>456</v>
      </c>
      <c r="B3708" t="s">
        <v>457</v>
      </c>
      <c r="C3708">
        <v>199</v>
      </c>
      <c r="D3708">
        <v>2</v>
      </c>
      <c r="E3708">
        <v>0</v>
      </c>
      <c r="F3708" t="s">
        <v>13917</v>
      </c>
      <c r="G3708">
        <v>773</v>
      </c>
      <c r="H3708">
        <v>75</v>
      </c>
      <c r="I3708" t="s">
        <v>24</v>
      </c>
      <c r="J3708" t="s">
        <v>13918</v>
      </c>
      <c r="K3708" t="s">
        <v>13919</v>
      </c>
      <c r="L3708" t="s">
        <v>3945</v>
      </c>
      <c r="M3708" t="s">
        <v>749</v>
      </c>
      <c r="N3708" t="s">
        <v>13920</v>
      </c>
      <c r="O3708" t="s">
        <v>27</v>
      </c>
      <c r="P3708" t="s">
        <v>193</v>
      </c>
      <c r="Q3708" t="s">
        <v>85</v>
      </c>
      <c r="R3708" t="s">
        <v>86</v>
      </c>
      <c r="S3708" t="s">
        <v>28</v>
      </c>
      <c r="T3708" t="s">
        <v>13921</v>
      </c>
      <c r="U3708" t="s">
        <v>13920</v>
      </c>
    </row>
    <row r="3709" spans="1:21" x14ac:dyDescent="0.25">
      <c r="A3709" t="s">
        <v>63</v>
      </c>
      <c r="B3709" t="s">
        <v>64</v>
      </c>
      <c r="C3709">
        <v>150</v>
      </c>
      <c r="D3709">
        <v>3</v>
      </c>
      <c r="E3709">
        <v>0</v>
      </c>
      <c r="F3709" t="s">
        <v>13922</v>
      </c>
      <c r="G3709">
        <v>923</v>
      </c>
      <c r="H3709">
        <v>75</v>
      </c>
      <c r="I3709" t="s">
        <v>24</v>
      </c>
      <c r="J3709" t="s">
        <v>8252</v>
      </c>
      <c r="K3709" t="s">
        <v>13923</v>
      </c>
      <c r="L3709" t="s">
        <v>13924</v>
      </c>
      <c r="M3709" t="s">
        <v>862</v>
      </c>
      <c r="N3709" t="s">
        <v>13925</v>
      </c>
      <c r="O3709" t="s">
        <v>27</v>
      </c>
      <c r="P3709" t="s">
        <v>193</v>
      </c>
      <c r="Q3709" t="s">
        <v>85</v>
      </c>
      <c r="R3709" t="s">
        <v>86</v>
      </c>
      <c r="S3709" t="s">
        <v>28</v>
      </c>
      <c r="T3709" t="s">
        <v>13926</v>
      </c>
      <c r="U3709" t="s">
        <v>13925</v>
      </c>
    </row>
    <row r="3710" spans="1:21" x14ac:dyDescent="0.25">
      <c r="A3710" t="s">
        <v>456</v>
      </c>
      <c r="B3710" t="s">
        <v>457</v>
      </c>
      <c r="C3710">
        <v>199</v>
      </c>
      <c r="D3710">
        <v>2</v>
      </c>
      <c r="E3710">
        <v>0</v>
      </c>
      <c r="F3710" t="s">
        <v>13922</v>
      </c>
      <c r="G3710">
        <v>923</v>
      </c>
      <c r="H3710">
        <v>75</v>
      </c>
      <c r="I3710" t="s">
        <v>24</v>
      </c>
      <c r="J3710" t="s">
        <v>8252</v>
      </c>
      <c r="K3710" t="s">
        <v>13923</v>
      </c>
      <c r="L3710" t="s">
        <v>13924</v>
      </c>
      <c r="M3710" t="s">
        <v>862</v>
      </c>
      <c r="N3710" t="s">
        <v>13925</v>
      </c>
      <c r="O3710" t="s">
        <v>27</v>
      </c>
      <c r="P3710" t="s">
        <v>193</v>
      </c>
      <c r="Q3710" t="s">
        <v>85</v>
      </c>
      <c r="R3710" t="s">
        <v>86</v>
      </c>
      <c r="S3710" t="s">
        <v>28</v>
      </c>
      <c r="T3710" t="s">
        <v>13926</v>
      </c>
      <c r="U3710" t="s">
        <v>13925</v>
      </c>
    </row>
    <row r="3711" spans="1:21" x14ac:dyDescent="0.25">
      <c r="A3711" t="s">
        <v>63</v>
      </c>
      <c r="B3711" t="s">
        <v>64</v>
      </c>
      <c r="C3711">
        <v>100</v>
      </c>
      <c r="D3711">
        <v>2</v>
      </c>
      <c r="E3711">
        <v>0</v>
      </c>
      <c r="F3711" t="s">
        <v>13927</v>
      </c>
      <c r="G3711">
        <v>206</v>
      </c>
      <c r="H3711">
        <v>6</v>
      </c>
      <c r="I3711" t="s">
        <v>140</v>
      </c>
      <c r="J3711" t="s">
        <v>13928</v>
      </c>
      <c r="K3711" t="s">
        <v>1190</v>
      </c>
      <c r="L3711" t="s">
        <v>27</v>
      </c>
      <c r="M3711" t="s">
        <v>28</v>
      </c>
      <c r="N3711" t="s">
        <v>13929</v>
      </c>
      <c r="O3711" t="s">
        <v>27</v>
      </c>
      <c r="P3711" t="s">
        <v>369</v>
      </c>
      <c r="Q3711" t="s">
        <v>31</v>
      </c>
      <c r="R3711" t="s">
        <v>57</v>
      </c>
      <c r="S3711" t="s">
        <v>28</v>
      </c>
      <c r="T3711" t="s">
        <v>13930</v>
      </c>
      <c r="U3711" t="s">
        <v>13929</v>
      </c>
    </row>
    <row r="3712" spans="1:21" x14ac:dyDescent="0.25">
      <c r="A3712" t="s">
        <v>2820</v>
      </c>
      <c r="B3712" t="s">
        <v>2821</v>
      </c>
      <c r="C3712">
        <v>100</v>
      </c>
      <c r="D3712">
        <v>2</v>
      </c>
      <c r="E3712">
        <v>0</v>
      </c>
      <c r="F3712" t="s">
        <v>13931</v>
      </c>
      <c r="G3712">
        <v>200</v>
      </c>
      <c r="H3712">
        <v>0</v>
      </c>
      <c r="I3712" t="s">
        <v>24</v>
      </c>
      <c r="J3712" t="s">
        <v>13932</v>
      </c>
      <c r="K3712" t="s">
        <v>151</v>
      </c>
      <c r="L3712" t="s">
        <v>27</v>
      </c>
      <c r="M3712" t="s">
        <v>28</v>
      </c>
      <c r="N3712" t="s">
        <v>13933</v>
      </c>
      <c r="O3712" t="s">
        <v>27</v>
      </c>
      <c r="P3712" t="s">
        <v>56</v>
      </c>
      <c r="Q3712" t="s">
        <v>31</v>
      </c>
      <c r="R3712" t="s">
        <v>57</v>
      </c>
      <c r="S3712" t="s">
        <v>28</v>
      </c>
      <c r="T3712" t="s">
        <v>13934</v>
      </c>
      <c r="U3712" t="s">
        <v>13933</v>
      </c>
    </row>
    <row r="3713" spans="1:21" x14ac:dyDescent="0.25">
      <c r="A3713" t="s">
        <v>13290</v>
      </c>
      <c r="B3713" t="s">
        <v>13291</v>
      </c>
      <c r="C3713">
        <v>100</v>
      </c>
      <c r="D3713">
        <v>1</v>
      </c>
      <c r="E3713">
        <v>0</v>
      </c>
      <c r="F3713" t="s">
        <v>13935</v>
      </c>
      <c r="G3713">
        <v>125</v>
      </c>
      <c r="H3713">
        <v>25</v>
      </c>
      <c r="I3713" t="s">
        <v>24</v>
      </c>
      <c r="J3713" t="s">
        <v>13936</v>
      </c>
      <c r="K3713" t="s">
        <v>247</v>
      </c>
      <c r="L3713" t="s">
        <v>27</v>
      </c>
      <c r="M3713" t="s">
        <v>28</v>
      </c>
      <c r="N3713" t="s">
        <v>13937</v>
      </c>
      <c r="O3713" t="s">
        <v>27</v>
      </c>
      <c r="P3713" t="s">
        <v>39</v>
      </c>
      <c r="Q3713" t="s">
        <v>31</v>
      </c>
      <c r="R3713" t="s">
        <v>32</v>
      </c>
      <c r="S3713" t="s">
        <v>28</v>
      </c>
      <c r="T3713" t="s">
        <v>13938</v>
      </c>
      <c r="U3713" t="s">
        <v>13933</v>
      </c>
    </row>
    <row r="3714" spans="1:21" x14ac:dyDescent="0.25">
      <c r="A3714" t="s">
        <v>266</v>
      </c>
      <c r="B3714" t="s">
        <v>267</v>
      </c>
      <c r="C3714">
        <v>800</v>
      </c>
      <c r="D3714">
        <v>1</v>
      </c>
      <c r="E3714">
        <v>0</v>
      </c>
      <c r="F3714" t="s">
        <v>13939</v>
      </c>
      <c r="G3714">
        <v>800</v>
      </c>
      <c r="H3714">
        <v>0</v>
      </c>
      <c r="I3714" t="s">
        <v>140</v>
      </c>
      <c r="J3714" t="s">
        <v>269</v>
      </c>
      <c r="K3714" t="s">
        <v>89</v>
      </c>
      <c r="L3714" t="s">
        <v>27</v>
      </c>
      <c r="M3714" t="s">
        <v>28</v>
      </c>
      <c r="N3714" t="s">
        <v>13940</v>
      </c>
      <c r="O3714" t="s">
        <v>27</v>
      </c>
      <c r="P3714" t="s">
        <v>30</v>
      </c>
      <c r="Q3714" t="s">
        <v>31</v>
      </c>
      <c r="R3714" t="s">
        <v>32</v>
      </c>
      <c r="S3714" t="s">
        <v>28</v>
      </c>
      <c r="T3714" t="s">
        <v>13941</v>
      </c>
      <c r="U3714" t="s">
        <v>13940</v>
      </c>
    </row>
    <row r="3715" spans="1:21" x14ac:dyDescent="0.25">
      <c r="A3715" t="s">
        <v>21</v>
      </c>
      <c r="B3715" t="s">
        <v>22</v>
      </c>
      <c r="C3715">
        <v>100</v>
      </c>
      <c r="D3715">
        <v>1</v>
      </c>
      <c r="E3715">
        <v>0</v>
      </c>
      <c r="F3715" t="s">
        <v>13942</v>
      </c>
      <c r="G3715">
        <v>199</v>
      </c>
      <c r="H3715">
        <v>0</v>
      </c>
      <c r="I3715" t="s">
        <v>140</v>
      </c>
      <c r="J3715" t="s">
        <v>13943</v>
      </c>
      <c r="K3715" t="s">
        <v>384</v>
      </c>
      <c r="L3715" t="s">
        <v>27</v>
      </c>
      <c r="M3715" t="s">
        <v>28</v>
      </c>
      <c r="N3715" t="s">
        <v>13944</v>
      </c>
      <c r="O3715" t="s">
        <v>27</v>
      </c>
      <c r="P3715" t="s">
        <v>30</v>
      </c>
      <c r="Q3715" t="s">
        <v>31</v>
      </c>
      <c r="R3715" t="s">
        <v>32</v>
      </c>
      <c r="S3715" t="s">
        <v>28</v>
      </c>
      <c r="T3715" t="s">
        <v>13945</v>
      </c>
      <c r="U3715" t="s">
        <v>13940</v>
      </c>
    </row>
    <row r="3716" spans="1:21" x14ac:dyDescent="0.25">
      <c r="A3716" t="s">
        <v>134</v>
      </c>
      <c r="B3716" t="s">
        <v>64</v>
      </c>
      <c r="C3716">
        <v>100</v>
      </c>
      <c r="D3716">
        <v>2</v>
      </c>
      <c r="E3716">
        <v>0</v>
      </c>
      <c r="F3716" t="s">
        <v>13946</v>
      </c>
      <c r="G3716">
        <v>364</v>
      </c>
      <c r="H3716">
        <v>64</v>
      </c>
      <c r="I3716" t="s">
        <v>24</v>
      </c>
      <c r="J3716" t="s">
        <v>13947</v>
      </c>
      <c r="K3716" t="s">
        <v>67</v>
      </c>
      <c r="L3716" t="s">
        <v>27</v>
      </c>
      <c r="M3716" t="s">
        <v>28</v>
      </c>
      <c r="N3716" t="s">
        <v>13944</v>
      </c>
      <c r="O3716" t="s">
        <v>27</v>
      </c>
      <c r="P3716" t="s">
        <v>56</v>
      </c>
      <c r="Q3716" t="s">
        <v>31</v>
      </c>
      <c r="R3716" t="s">
        <v>57</v>
      </c>
      <c r="S3716" t="s">
        <v>28</v>
      </c>
      <c r="T3716" t="s">
        <v>13948</v>
      </c>
      <c r="U3716" t="s">
        <v>13949</v>
      </c>
    </row>
    <row r="3717" spans="1:21" x14ac:dyDescent="0.25">
      <c r="A3717" t="s">
        <v>63</v>
      </c>
      <c r="B3717" t="s">
        <v>64</v>
      </c>
      <c r="C3717">
        <v>100</v>
      </c>
      <c r="D3717">
        <v>1</v>
      </c>
      <c r="E3717">
        <v>0</v>
      </c>
      <c r="F3717" t="s">
        <v>13946</v>
      </c>
      <c r="G3717">
        <v>364</v>
      </c>
      <c r="H3717">
        <v>64</v>
      </c>
      <c r="I3717" t="s">
        <v>24</v>
      </c>
      <c r="J3717" t="s">
        <v>13947</v>
      </c>
      <c r="K3717" t="s">
        <v>67</v>
      </c>
      <c r="L3717" t="s">
        <v>27</v>
      </c>
      <c r="M3717" t="s">
        <v>28</v>
      </c>
      <c r="N3717" t="s">
        <v>13944</v>
      </c>
      <c r="O3717" t="s">
        <v>27</v>
      </c>
      <c r="P3717" t="s">
        <v>56</v>
      </c>
      <c r="Q3717" t="s">
        <v>31</v>
      </c>
      <c r="R3717" t="s">
        <v>57</v>
      </c>
      <c r="S3717" t="s">
        <v>28</v>
      </c>
      <c r="T3717" t="s">
        <v>13948</v>
      </c>
      <c r="U3717" t="s">
        <v>13949</v>
      </c>
    </row>
    <row r="3718" spans="1:21" x14ac:dyDescent="0.25">
      <c r="A3718" t="s">
        <v>2307</v>
      </c>
      <c r="B3718" t="s">
        <v>2308</v>
      </c>
      <c r="C3718">
        <v>330</v>
      </c>
      <c r="D3718">
        <v>1</v>
      </c>
      <c r="E3718">
        <v>0</v>
      </c>
      <c r="F3718" t="s">
        <v>13950</v>
      </c>
      <c r="G3718">
        <v>450</v>
      </c>
      <c r="H3718">
        <v>0</v>
      </c>
      <c r="I3718" t="s">
        <v>140</v>
      </c>
      <c r="J3718" t="s">
        <v>13951</v>
      </c>
      <c r="K3718" t="s">
        <v>273</v>
      </c>
      <c r="L3718" t="s">
        <v>27</v>
      </c>
      <c r="M3718" t="s">
        <v>28</v>
      </c>
      <c r="N3718" t="s">
        <v>13952</v>
      </c>
      <c r="O3718" t="s">
        <v>27</v>
      </c>
      <c r="P3718" t="s">
        <v>30</v>
      </c>
      <c r="Q3718" t="s">
        <v>31</v>
      </c>
      <c r="R3718" t="s">
        <v>32</v>
      </c>
      <c r="S3718" t="s">
        <v>28</v>
      </c>
      <c r="T3718" t="s">
        <v>13953</v>
      </c>
      <c r="U3718" t="s">
        <v>13952</v>
      </c>
    </row>
    <row r="3719" spans="1:21" x14ac:dyDescent="0.25">
      <c r="A3719" t="s">
        <v>13954</v>
      </c>
      <c r="B3719" t="s">
        <v>13955</v>
      </c>
      <c r="C3719">
        <v>120</v>
      </c>
      <c r="D3719">
        <v>1</v>
      </c>
      <c r="E3719">
        <v>0</v>
      </c>
      <c r="F3719" t="s">
        <v>13950</v>
      </c>
      <c r="G3719">
        <v>450</v>
      </c>
      <c r="H3719">
        <v>0</v>
      </c>
      <c r="I3719" t="s">
        <v>140</v>
      </c>
      <c r="J3719" t="s">
        <v>13951</v>
      </c>
      <c r="K3719" t="s">
        <v>273</v>
      </c>
      <c r="L3719" t="s">
        <v>27</v>
      </c>
      <c r="M3719" t="s">
        <v>28</v>
      </c>
      <c r="N3719" t="s">
        <v>13952</v>
      </c>
      <c r="O3719" t="s">
        <v>27</v>
      </c>
      <c r="P3719" t="s">
        <v>30</v>
      </c>
      <c r="Q3719" t="s">
        <v>31</v>
      </c>
      <c r="R3719" t="s">
        <v>32</v>
      </c>
      <c r="S3719" t="s">
        <v>28</v>
      </c>
      <c r="T3719" t="s">
        <v>13953</v>
      </c>
      <c r="U3719" t="s">
        <v>13952</v>
      </c>
    </row>
    <row r="3720" spans="1:21" x14ac:dyDescent="0.25">
      <c r="A3720" t="s">
        <v>70</v>
      </c>
      <c r="B3720" t="s">
        <v>70</v>
      </c>
      <c r="C3720">
        <v>350</v>
      </c>
      <c r="D3720">
        <v>1</v>
      </c>
      <c r="E3720">
        <v>0</v>
      </c>
      <c r="F3720" t="s">
        <v>13956</v>
      </c>
      <c r="G3720">
        <v>350</v>
      </c>
      <c r="H3720">
        <v>0</v>
      </c>
      <c r="I3720" t="s">
        <v>140</v>
      </c>
      <c r="J3720" t="s">
        <v>13957</v>
      </c>
      <c r="K3720" t="s">
        <v>466</v>
      </c>
      <c r="L3720" t="s">
        <v>27</v>
      </c>
      <c r="M3720" t="s">
        <v>28</v>
      </c>
      <c r="N3720" t="s">
        <v>13958</v>
      </c>
      <c r="O3720" t="s">
        <v>27</v>
      </c>
      <c r="P3720" t="s">
        <v>30</v>
      </c>
      <c r="Q3720" t="s">
        <v>31</v>
      </c>
      <c r="R3720" t="s">
        <v>32</v>
      </c>
      <c r="S3720" t="s">
        <v>28</v>
      </c>
      <c r="T3720" t="s">
        <v>13959</v>
      </c>
      <c r="U3720" t="s">
        <v>13958</v>
      </c>
    </row>
    <row r="3721" spans="1:21" x14ac:dyDescent="0.25">
      <c r="A3721" t="s">
        <v>33</v>
      </c>
      <c r="B3721" t="s">
        <v>34</v>
      </c>
      <c r="C3721">
        <v>200</v>
      </c>
      <c r="D3721">
        <v>1</v>
      </c>
      <c r="E3721">
        <v>0</v>
      </c>
      <c r="F3721" t="s">
        <v>13960</v>
      </c>
      <c r="G3721">
        <v>200</v>
      </c>
      <c r="H3721">
        <v>0</v>
      </c>
      <c r="I3721" t="s">
        <v>24</v>
      </c>
      <c r="J3721" t="s">
        <v>13961</v>
      </c>
      <c r="K3721" t="s">
        <v>677</v>
      </c>
      <c r="L3721" t="s">
        <v>27</v>
      </c>
      <c r="M3721" t="s">
        <v>28</v>
      </c>
      <c r="N3721" t="s">
        <v>13958</v>
      </c>
      <c r="O3721" t="s">
        <v>27</v>
      </c>
      <c r="P3721" t="s">
        <v>56</v>
      </c>
      <c r="Q3721" t="s">
        <v>31</v>
      </c>
      <c r="R3721" t="s">
        <v>57</v>
      </c>
      <c r="S3721" t="s">
        <v>28</v>
      </c>
      <c r="T3721" t="s">
        <v>13962</v>
      </c>
      <c r="U3721" t="s">
        <v>13963</v>
      </c>
    </row>
    <row r="3722" spans="1:21" x14ac:dyDescent="0.25">
      <c r="A3722" t="s">
        <v>70</v>
      </c>
      <c r="B3722" t="s">
        <v>70</v>
      </c>
      <c r="C3722">
        <v>350</v>
      </c>
      <c r="D3722">
        <v>1</v>
      </c>
      <c r="E3722">
        <v>0</v>
      </c>
      <c r="F3722" t="s">
        <v>13964</v>
      </c>
      <c r="G3722">
        <v>350</v>
      </c>
      <c r="H3722">
        <v>0</v>
      </c>
      <c r="I3722" t="s">
        <v>140</v>
      </c>
      <c r="J3722" t="s">
        <v>13965</v>
      </c>
      <c r="K3722" t="s">
        <v>89</v>
      </c>
      <c r="L3722" t="s">
        <v>27</v>
      </c>
      <c r="M3722" t="s">
        <v>28</v>
      </c>
      <c r="N3722" t="s">
        <v>13966</v>
      </c>
      <c r="O3722" t="s">
        <v>27</v>
      </c>
      <c r="P3722" t="s">
        <v>30</v>
      </c>
      <c r="Q3722" t="s">
        <v>31</v>
      </c>
      <c r="R3722" t="s">
        <v>32</v>
      </c>
      <c r="S3722" t="s">
        <v>28</v>
      </c>
      <c r="T3722" t="s">
        <v>13967</v>
      </c>
      <c r="U3722" t="s">
        <v>13966</v>
      </c>
    </row>
    <row r="3723" spans="1:21" x14ac:dyDescent="0.25">
      <c r="A3723" t="s">
        <v>63</v>
      </c>
      <c r="B3723" t="s">
        <v>64</v>
      </c>
      <c r="C3723">
        <v>100</v>
      </c>
      <c r="D3723">
        <v>1</v>
      </c>
      <c r="E3723">
        <v>0</v>
      </c>
      <c r="F3723" t="s">
        <v>13968</v>
      </c>
      <c r="G3723">
        <v>100</v>
      </c>
      <c r="H3723">
        <v>0</v>
      </c>
      <c r="I3723" t="s">
        <v>24</v>
      </c>
      <c r="J3723" t="s">
        <v>13969</v>
      </c>
      <c r="K3723" t="s">
        <v>342</v>
      </c>
      <c r="L3723" t="s">
        <v>27</v>
      </c>
      <c r="M3723" t="s">
        <v>28</v>
      </c>
      <c r="N3723" t="s">
        <v>13970</v>
      </c>
      <c r="O3723" t="s">
        <v>27</v>
      </c>
      <c r="P3723" t="s">
        <v>39</v>
      </c>
      <c r="Q3723" t="s">
        <v>31</v>
      </c>
      <c r="R3723" t="s">
        <v>32</v>
      </c>
      <c r="S3723" t="s">
        <v>28</v>
      </c>
      <c r="T3723" t="s">
        <v>13971</v>
      </c>
      <c r="U3723" t="s">
        <v>13970</v>
      </c>
    </row>
    <row r="3724" spans="1:21" x14ac:dyDescent="0.25">
      <c r="A3724" t="s">
        <v>33</v>
      </c>
      <c r="B3724" t="s">
        <v>34</v>
      </c>
      <c r="C3724">
        <v>200</v>
      </c>
      <c r="D3724">
        <v>1</v>
      </c>
      <c r="E3724">
        <v>0</v>
      </c>
      <c r="F3724" t="s">
        <v>13972</v>
      </c>
      <c r="G3724">
        <v>200</v>
      </c>
      <c r="H3724">
        <v>0</v>
      </c>
      <c r="I3724" t="s">
        <v>445</v>
      </c>
      <c r="J3724" t="s">
        <v>13973</v>
      </c>
      <c r="K3724" t="s">
        <v>9195</v>
      </c>
      <c r="L3724" t="s">
        <v>27</v>
      </c>
      <c r="M3724" t="s">
        <v>28</v>
      </c>
      <c r="N3724" t="s">
        <v>13974</v>
      </c>
      <c r="O3724" t="s">
        <v>27</v>
      </c>
      <c r="P3724" t="s">
        <v>39</v>
      </c>
      <c r="Q3724" t="s">
        <v>31</v>
      </c>
      <c r="R3724" t="s">
        <v>32</v>
      </c>
      <c r="S3724" t="s">
        <v>28</v>
      </c>
      <c r="T3724" t="s">
        <v>13975</v>
      </c>
      <c r="U3724" t="s">
        <v>13970</v>
      </c>
    </row>
    <row r="3725" spans="1:21" x14ac:dyDescent="0.25">
      <c r="A3725" t="s">
        <v>21</v>
      </c>
      <c r="B3725" t="s">
        <v>22</v>
      </c>
      <c r="C3725">
        <v>100</v>
      </c>
      <c r="D3725">
        <v>1</v>
      </c>
      <c r="E3725">
        <v>0</v>
      </c>
      <c r="F3725" t="s">
        <v>13976</v>
      </c>
      <c r="G3725">
        <v>100</v>
      </c>
      <c r="H3725">
        <v>0</v>
      </c>
      <c r="I3725" t="s">
        <v>445</v>
      </c>
      <c r="J3725" t="s">
        <v>13977</v>
      </c>
      <c r="K3725" t="s">
        <v>124</v>
      </c>
      <c r="L3725" t="s">
        <v>27</v>
      </c>
      <c r="M3725" t="s">
        <v>28</v>
      </c>
      <c r="N3725" t="s">
        <v>13978</v>
      </c>
      <c r="O3725" t="s">
        <v>27</v>
      </c>
      <c r="P3725" t="s">
        <v>56</v>
      </c>
      <c r="Q3725" t="s">
        <v>31</v>
      </c>
      <c r="R3725" t="s">
        <v>57</v>
      </c>
      <c r="S3725" t="s">
        <v>28</v>
      </c>
      <c r="T3725" t="s">
        <v>13979</v>
      </c>
      <c r="U3725" t="s">
        <v>13978</v>
      </c>
    </row>
    <row r="3726" spans="1:21" x14ac:dyDescent="0.25">
      <c r="A3726" t="s">
        <v>275</v>
      </c>
      <c r="B3726" t="s">
        <v>276</v>
      </c>
      <c r="C3726">
        <v>139.5</v>
      </c>
      <c r="D3726">
        <v>1</v>
      </c>
      <c r="E3726">
        <v>0</v>
      </c>
      <c r="F3726" t="s">
        <v>13980</v>
      </c>
      <c r="G3726">
        <v>144.5</v>
      </c>
      <c r="H3726">
        <v>5</v>
      </c>
      <c r="I3726" t="s">
        <v>24</v>
      </c>
      <c r="J3726" t="s">
        <v>13981</v>
      </c>
      <c r="K3726" t="s">
        <v>13982</v>
      </c>
      <c r="L3726" t="s">
        <v>1907</v>
      </c>
      <c r="M3726" t="s">
        <v>13983</v>
      </c>
      <c r="N3726" t="s">
        <v>13984</v>
      </c>
      <c r="O3726" t="s">
        <v>27</v>
      </c>
      <c r="P3726" t="s">
        <v>48</v>
      </c>
      <c r="Q3726" t="s">
        <v>49</v>
      </c>
      <c r="R3726" t="s">
        <v>50</v>
      </c>
      <c r="S3726" t="s">
        <v>28</v>
      </c>
      <c r="T3726" t="s">
        <v>13985</v>
      </c>
      <c r="U3726" t="s">
        <v>13984</v>
      </c>
    </row>
    <row r="3727" spans="1:21" x14ac:dyDescent="0.25">
      <c r="A3727" t="s">
        <v>2295</v>
      </c>
      <c r="B3727" t="s">
        <v>2854</v>
      </c>
      <c r="C3727">
        <v>152.15</v>
      </c>
      <c r="D3727">
        <v>1</v>
      </c>
      <c r="E3727">
        <v>0</v>
      </c>
      <c r="F3727" t="s">
        <v>13986</v>
      </c>
      <c r="G3727">
        <v>157.15</v>
      </c>
      <c r="H3727">
        <v>5</v>
      </c>
      <c r="I3727" t="s">
        <v>2856</v>
      </c>
      <c r="J3727" t="s">
        <v>13987</v>
      </c>
      <c r="K3727" t="s">
        <v>13988</v>
      </c>
      <c r="L3727" t="s">
        <v>13989</v>
      </c>
      <c r="M3727" t="s">
        <v>13990</v>
      </c>
      <c r="N3727" t="s">
        <v>13991</v>
      </c>
      <c r="O3727" t="s">
        <v>27</v>
      </c>
      <c r="P3727" t="s">
        <v>48</v>
      </c>
      <c r="Q3727" t="s">
        <v>49</v>
      </c>
      <c r="R3727" t="s">
        <v>50</v>
      </c>
      <c r="S3727" t="s">
        <v>28</v>
      </c>
      <c r="T3727" t="s">
        <v>13992</v>
      </c>
      <c r="U3727" t="s">
        <v>13991</v>
      </c>
    </row>
    <row r="3728" spans="1:21" x14ac:dyDescent="0.25">
      <c r="A3728" t="s">
        <v>2307</v>
      </c>
      <c r="B3728" t="s">
        <v>2308</v>
      </c>
      <c r="C3728">
        <v>330</v>
      </c>
      <c r="D3728">
        <v>1</v>
      </c>
      <c r="E3728">
        <v>0</v>
      </c>
      <c r="F3728" t="s">
        <v>13993</v>
      </c>
      <c r="G3728">
        <v>330</v>
      </c>
      <c r="H3728">
        <v>0</v>
      </c>
      <c r="I3728" t="s">
        <v>140</v>
      </c>
      <c r="J3728" t="s">
        <v>269</v>
      </c>
      <c r="K3728" t="s">
        <v>89</v>
      </c>
      <c r="L3728" t="s">
        <v>27</v>
      </c>
      <c r="M3728" t="s">
        <v>28</v>
      </c>
      <c r="N3728" t="s">
        <v>13994</v>
      </c>
      <c r="O3728" t="s">
        <v>27</v>
      </c>
      <c r="P3728" t="s">
        <v>30</v>
      </c>
      <c r="Q3728" t="s">
        <v>31</v>
      </c>
      <c r="R3728" t="s">
        <v>32</v>
      </c>
      <c r="S3728" t="s">
        <v>28</v>
      </c>
      <c r="T3728" t="s">
        <v>13995</v>
      </c>
      <c r="U3728" t="s">
        <v>13996</v>
      </c>
    </row>
    <row r="3729" spans="1:21" x14ac:dyDescent="0.25">
      <c r="A3729" t="s">
        <v>2307</v>
      </c>
      <c r="B3729" t="s">
        <v>2308</v>
      </c>
      <c r="C3729">
        <v>330</v>
      </c>
      <c r="D3729">
        <v>2</v>
      </c>
      <c r="E3729">
        <v>0</v>
      </c>
      <c r="F3729" t="s">
        <v>13997</v>
      </c>
      <c r="G3729">
        <v>660</v>
      </c>
      <c r="H3729">
        <v>0</v>
      </c>
      <c r="I3729" t="s">
        <v>140</v>
      </c>
      <c r="J3729" t="s">
        <v>13998</v>
      </c>
      <c r="K3729" t="s">
        <v>299</v>
      </c>
      <c r="L3729" t="s">
        <v>27</v>
      </c>
      <c r="M3729" t="s">
        <v>28</v>
      </c>
      <c r="N3729" t="s">
        <v>13999</v>
      </c>
      <c r="O3729" t="s">
        <v>27</v>
      </c>
      <c r="P3729" t="s">
        <v>30</v>
      </c>
      <c r="Q3729" t="s">
        <v>31</v>
      </c>
      <c r="R3729" t="s">
        <v>32</v>
      </c>
      <c r="S3729" t="s">
        <v>28</v>
      </c>
      <c r="T3729" t="s">
        <v>14000</v>
      </c>
      <c r="U3729" t="s">
        <v>13996</v>
      </c>
    </row>
    <row r="3730" spans="1:21" x14ac:dyDescent="0.25">
      <c r="A3730" t="s">
        <v>70</v>
      </c>
      <c r="B3730" t="s">
        <v>70</v>
      </c>
      <c r="C3730">
        <v>350</v>
      </c>
      <c r="D3730">
        <v>1</v>
      </c>
      <c r="E3730">
        <v>0</v>
      </c>
      <c r="F3730" t="s">
        <v>14001</v>
      </c>
      <c r="G3730">
        <v>350</v>
      </c>
      <c r="H3730">
        <v>0</v>
      </c>
      <c r="I3730" t="s">
        <v>140</v>
      </c>
      <c r="J3730" t="s">
        <v>947</v>
      </c>
      <c r="K3730" t="s">
        <v>350</v>
      </c>
      <c r="L3730" t="s">
        <v>27</v>
      </c>
      <c r="M3730" t="s">
        <v>28</v>
      </c>
      <c r="N3730" t="s">
        <v>14002</v>
      </c>
      <c r="O3730" t="s">
        <v>27</v>
      </c>
      <c r="P3730" t="s">
        <v>30</v>
      </c>
      <c r="Q3730" t="s">
        <v>31</v>
      </c>
      <c r="R3730" t="s">
        <v>32</v>
      </c>
      <c r="S3730" t="s">
        <v>28</v>
      </c>
      <c r="T3730" t="s">
        <v>14003</v>
      </c>
      <c r="U3730" t="s">
        <v>14002</v>
      </c>
    </row>
    <row r="3731" spans="1:21" x14ac:dyDescent="0.25">
      <c r="A3731" t="s">
        <v>456</v>
      </c>
      <c r="B3731" t="s">
        <v>457</v>
      </c>
      <c r="C3731">
        <v>197</v>
      </c>
      <c r="D3731">
        <v>2</v>
      </c>
      <c r="E3731">
        <v>0</v>
      </c>
      <c r="F3731" t="s">
        <v>14004</v>
      </c>
      <c r="G3731">
        <v>447</v>
      </c>
      <c r="H3731">
        <v>58</v>
      </c>
      <c r="I3731" t="s">
        <v>445</v>
      </c>
      <c r="J3731" t="s">
        <v>14005</v>
      </c>
      <c r="K3731" t="s">
        <v>14006</v>
      </c>
      <c r="L3731" t="s">
        <v>3861</v>
      </c>
      <c r="M3731" t="s">
        <v>2907</v>
      </c>
      <c r="N3731" t="s">
        <v>14007</v>
      </c>
      <c r="O3731" t="s">
        <v>27</v>
      </c>
      <c r="P3731" t="s">
        <v>84</v>
      </c>
      <c r="Q3731" t="s">
        <v>85</v>
      </c>
      <c r="R3731" t="s">
        <v>86</v>
      </c>
      <c r="S3731" t="s">
        <v>28</v>
      </c>
      <c r="T3731" t="s">
        <v>14008</v>
      </c>
      <c r="U3731" t="s">
        <v>14007</v>
      </c>
    </row>
    <row r="3732" spans="1:21" x14ac:dyDescent="0.25">
      <c r="A3732" t="s">
        <v>58</v>
      </c>
      <c r="B3732" t="s">
        <v>58</v>
      </c>
      <c r="C3732">
        <v>100</v>
      </c>
      <c r="D3732">
        <v>1</v>
      </c>
      <c r="E3732">
        <v>0</v>
      </c>
      <c r="F3732" t="s">
        <v>14009</v>
      </c>
      <c r="G3732">
        <v>106</v>
      </c>
      <c r="H3732">
        <v>6</v>
      </c>
      <c r="I3732" t="s">
        <v>24</v>
      </c>
      <c r="J3732" t="s">
        <v>14010</v>
      </c>
      <c r="K3732" t="s">
        <v>7559</v>
      </c>
      <c r="L3732" t="s">
        <v>27</v>
      </c>
      <c r="M3732" t="s">
        <v>28</v>
      </c>
      <c r="N3732" t="s">
        <v>14011</v>
      </c>
      <c r="O3732" t="s">
        <v>27</v>
      </c>
      <c r="P3732" t="s">
        <v>56</v>
      </c>
      <c r="Q3732" t="s">
        <v>31</v>
      </c>
      <c r="R3732" t="s">
        <v>57</v>
      </c>
      <c r="S3732" t="s">
        <v>28</v>
      </c>
      <c r="T3732" t="s">
        <v>14012</v>
      </c>
      <c r="U3732" t="s">
        <v>14011</v>
      </c>
    </row>
    <row r="3733" spans="1:21" x14ac:dyDescent="0.25">
      <c r="A3733" t="s">
        <v>143</v>
      </c>
      <c r="B3733" t="s">
        <v>144</v>
      </c>
      <c r="C3733">
        <v>200</v>
      </c>
      <c r="D3733">
        <v>1</v>
      </c>
      <c r="E3733">
        <v>0</v>
      </c>
      <c r="F3733" t="s">
        <v>14013</v>
      </c>
      <c r="G3733">
        <v>200</v>
      </c>
      <c r="H3733">
        <v>0</v>
      </c>
      <c r="I3733" t="s">
        <v>24</v>
      </c>
      <c r="J3733" t="s">
        <v>1262</v>
      </c>
      <c r="K3733" t="s">
        <v>384</v>
      </c>
      <c r="L3733" t="s">
        <v>27</v>
      </c>
      <c r="M3733" t="s">
        <v>28</v>
      </c>
      <c r="N3733" t="s">
        <v>14014</v>
      </c>
      <c r="O3733" t="s">
        <v>27</v>
      </c>
      <c r="P3733" t="s">
        <v>39</v>
      </c>
      <c r="Q3733" t="s">
        <v>31</v>
      </c>
      <c r="R3733" t="s">
        <v>32</v>
      </c>
      <c r="S3733" t="s">
        <v>28</v>
      </c>
      <c r="T3733" t="s">
        <v>14015</v>
      </c>
      <c r="U3733" t="s">
        <v>14014</v>
      </c>
    </row>
    <row r="3734" spans="1:21" x14ac:dyDescent="0.25">
      <c r="A3734" t="s">
        <v>6095</v>
      </c>
      <c r="B3734" t="s">
        <v>14016</v>
      </c>
      <c r="C3734">
        <v>700</v>
      </c>
      <c r="D3734">
        <v>1</v>
      </c>
      <c r="E3734">
        <v>0</v>
      </c>
      <c r="F3734" t="s">
        <v>14017</v>
      </c>
      <c r="G3734">
        <v>741</v>
      </c>
      <c r="H3734">
        <v>41</v>
      </c>
      <c r="I3734" t="s">
        <v>24</v>
      </c>
      <c r="J3734" t="s">
        <v>8058</v>
      </c>
      <c r="K3734" t="s">
        <v>14018</v>
      </c>
      <c r="L3734" t="s">
        <v>14019</v>
      </c>
      <c r="M3734" t="s">
        <v>1708</v>
      </c>
      <c r="N3734" t="s">
        <v>14020</v>
      </c>
      <c r="O3734" t="s">
        <v>27</v>
      </c>
      <c r="P3734" t="s">
        <v>193</v>
      </c>
      <c r="Q3734" t="s">
        <v>85</v>
      </c>
      <c r="R3734" t="s">
        <v>86</v>
      </c>
      <c r="S3734" t="s">
        <v>28</v>
      </c>
      <c r="T3734" t="s">
        <v>14021</v>
      </c>
      <c r="U3734" t="s">
        <v>14022</v>
      </c>
    </row>
    <row r="3735" spans="1:21" x14ac:dyDescent="0.25">
      <c r="A3735" t="s">
        <v>143</v>
      </c>
      <c r="B3735" t="s">
        <v>144</v>
      </c>
      <c r="C3735">
        <v>200</v>
      </c>
      <c r="D3735">
        <v>1</v>
      </c>
      <c r="E3735">
        <v>0</v>
      </c>
      <c r="F3735" t="s">
        <v>14023</v>
      </c>
      <c r="G3735">
        <v>200</v>
      </c>
      <c r="H3735">
        <v>0</v>
      </c>
      <c r="I3735" t="s">
        <v>24</v>
      </c>
      <c r="J3735" t="s">
        <v>2484</v>
      </c>
      <c r="K3735" t="s">
        <v>1629</v>
      </c>
      <c r="L3735" t="s">
        <v>27</v>
      </c>
      <c r="M3735" t="s">
        <v>28</v>
      </c>
      <c r="N3735" t="s">
        <v>14022</v>
      </c>
      <c r="O3735" t="s">
        <v>27</v>
      </c>
      <c r="P3735" t="s">
        <v>56</v>
      </c>
      <c r="Q3735" t="s">
        <v>31</v>
      </c>
      <c r="R3735" t="s">
        <v>57</v>
      </c>
      <c r="S3735" t="s">
        <v>28</v>
      </c>
      <c r="T3735" t="s">
        <v>14024</v>
      </c>
      <c r="U3735" t="s">
        <v>14022</v>
      </c>
    </row>
    <row r="3736" spans="1:21" x14ac:dyDescent="0.25">
      <c r="A3736" t="s">
        <v>70</v>
      </c>
      <c r="B3736" t="s">
        <v>70</v>
      </c>
      <c r="C3736">
        <v>350</v>
      </c>
      <c r="D3736">
        <v>1</v>
      </c>
      <c r="E3736">
        <v>0</v>
      </c>
      <c r="F3736" t="s">
        <v>14025</v>
      </c>
      <c r="G3736">
        <v>350</v>
      </c>
      <c r="H3736">
        <v>0</v>
      </c>
      <c r="I3736" t="s">
        <v>140</v>
      </c>
      <c r="J3736" t="s">
        <v>14026</v>
      </c>
      <c r="K3736" t="s">
        <v>5225</v>
      </c>
      <c r="L3736" t="s">
        <v>27</v>
      </c>
      <c r="M3736" t="s">
        <v>28</v>
      </c>
      <c r="N3736" t="s">
        <v>14027</v>
      </c>
      <c r="O3736" t="s">
        <v>27</v>
      </c>
      <c r="P3736" t="s">
        <v>30</v>
      </c>
      <c r="Q3736" t="s">
        <v>31</v>
      </c>
      <c r="R3736" t="s">
        <v>32</v>
      </c>
      <c r="S3736" t="s">
        <v>28</v>
      </c>
      <c r="T3736" t="s">
        <v>14028</v>
      </c>
      <c r="U3736" t="s">
        <v>14027</v>
      </c>
    </row>
    <row r="3737" spans="1:21" x14ac:dyDescent="0.25">
      <c r="A3737" t="s">
        <v>143</v>
      </c>
      <c r="B3737" t="s">
        <v>144</v>
      </c>
      <c r="C3737">
        <v>200</v>
      </c>
      <c r="D3737">
        <v>1</v>
      </c>
      <c r="E3737">
        <v>0</v>
      </c>
      <c r="F3737" t="s">
        <v>14029</v>
      </c>
      <c r="G3737">
        <v>200</v>
      </c>
      <c r="H3737">
        <v>0</v>
      </c>
      <c r="I3737" t="s">
        <v>24</v>
      </c>
      <c r="J3737" t="s">
        <v>14030</v>
      </c>
      <c r="K3737" t="s">
        <v>89</v>
      </c>
      <c r="L3737" t="s">
        <v>27</v>
      </c>
      <c r="M3737" t="s">
        <v>28</v>
      </c>
      <c r="N3737" t="s">
        <v>14031</v>
      </c>
      <c r="O3737" t="s">
        <v>27</v>
      </c>
      <c r="P3737" t="s">
        <v>39</v>
      </c>
      <c r="Q3737" t="s">
        <v>31</v>
      </c>
      <c r="R3737" t="s">
        <v>32</v>
      </c>
      <c r="S3737" t="s">
        <v>28</v>
      </c>
      <c r="T3737" t="s">
        <v>14032</v>
      </c>
      <c r="U3737" t="s">
        <v>14031</v>
      </c>
    </row>
    <row r="3738" spans="1:21" x14ac:dyDescent="0.25">
      <c r="A3738" t="s">
        <v>33</v>
      </c>
      <c r="B3738" t="s">
        <v>34</v>
      </c>
      <c r="C3738">
        <v>200</v>
      </c>
      <c r="D3738">
        <v>1</v>
      </c>
      <c r="E3738">
        <v>0</v>
      </c>
      <c r="F3738" t="s">
        <v>14033</v>
      </c>
      <c r="G3738">
        <v>200</v>
      </c>
      <c r="H3738">
        <v>0</v>
      </c>
      <c r="I3738" t="s">
        <v>24</v>
      </c>
      <c r="J3738" t="s">
        <v>14034</v>
      </c>
      <c r="K3738" t="s">
        <v>797</v>
      </c>
      <c r="L3738" t="s">
        <v>27</v>
      </c>
      <c r="M3738" t="s">
        <v>28</v>
      </c>
      <c r="N3738" t="s">
        <v>14035</v>
      </c>
      <c r="O3738" t="s">
        <v>27</v>
      </c>
      <c r="P3738" t="s">
        <v>39</v>
      </c>
      <c r="Q3738" t="s">
        <v>31</v>
      </c>
      <c r="R3738" t="s">
        <v>32</v>
      </c>
      <c r="S3738" t="s">
        <v>28</v>
      </c>
      <c r="T3738" t="s">
        <v>14036</v>
      </c>
      <c r="U3738" t="s">
        <v>14035</v>
      </c>
    </row>
    <row r="3739" spans="1:21" x14ac:dyDescent="0.25">
      <c r="A3739" t="s">
        <v>275</v>
      </c>
      <c r="B3739" t="s">
        <v>276</v>
      </c>
      <c r="C3739">
        <v>117.04</v>
      </c>
      <c r="D3739">
        <v>1</v>
      </c>
      <c r="E3739">
        <v>0</v>
      </c>
      <c r="F3739" t="s">
        <v>14037</v>
      </c>
      <c r="G3739">
        <v>239.08</v>
      </c>
      <c r="H3739">
        <v>5</v>
      </c>
      <c r="I3739" t="s">
        <v>24</v>
      </c>
      <c r="J3739" t="s">
        <v>14038</v>
      </c>
      <c r="K3739" t="s">
        <v>14039</v>
      </c>
      <c r="L3739" t="s">
        <v>6670</v>
      </c>
      <c r="M3739" t="s">
        <v>14040</v>
      </c>
      <c r="N3739" t="s">
        <v>14041</v>
      </c>
      <c r="O3739" t="s">
        <v>27</v>
      </c>
      <c r="P3739" t="s">
        <v>48</v>
      </c>
      <c r="Q3739" t="s">
        <v>49</v>
      </c>
      <c r="R3739" t="s">
        <v>50</v>
      </c>
      <c r="S3739" t="s">
        <v>28</v>
      </c>
      <c r="T3739" t="s">
        <v>14042</v>
      </c>
      <c r="U3739" t="s">
        <v>14041</v>
      </c>
    </row>
    <row r="3740" spans="1:21" x14ac:dyDescent="0.25">
      <c r="A3740" t="s">
        <v>275</v>
      </c>
      <c r="B3740" t="s">
        <v>276</v>
      </c>
      <c r="C3740">
        <v>117.04</v>
      </c>
      <c r="D3740">
        <v>1</v>
      </c>
      <c r="E3740">
        <v>0</v>
      </c>
      <c r="F3740" t="s">
        <v>14037</v>
      </c>
      <c r="G3740">
        <v>239.08</v>
      </c>
      <c r="H3740">
        <v>5</v>
      </c>
      <c r="I3740" t="s">
        <v>24</v>
      </c>
      <c r="J3740" t="s">
        <v>14038</v>
      </c>
      <c r="K3740" t="s">
        <v>14039</v>
      </c>
      <c r="L3740" t="s">
        <v>6670</v>
      </c>
      <c r="M3740" t="s">
        <v>14040</v>
      </c>
      <c r="N3740" t="s">
        <v>14041</v>
      </c>
      <c r="O3740" t="s">
        <v>27</v>
      </c>
      <c r="P3740" t="s">
        <v>48</v>
      </c>
      <c r="Q3740" t="s">
        <v>49</v>
      </c>
      <c r="R3740" t="s">
        <v>50</v>
      </c>
      <c r="S3740" t="s">
        <v>28</v>
      </c>
      <c r="T3740" t="s">
        <v>14042</v>
      </c>
      <c r="U3740" t="s">
        <v>14041</v>
      </c>
    </row>
    <row r="3741" spans="1:21" x14ac:dyDescent="0.25">
      <c r="A3741" t="s">
        <v>214</v>
      </c>
      <c r="B3741" t="s">
        <v>215</v>
      </c>
      <c r="C3741">
        <v>74.400000000000006</v>
      </c>
      <c r="D3741">
        <v>1</v>
      </c>
      <c r="E3741">
        <v>0</v>
      </c>
      <c r="F3741" t="s">
        <v>14043</v>
      </c>
      <c r="G3741">
        <v>98.4</v>
      </c>
      <c r="H3741">
        <v>24</v>
      </c>
      <c r="I3741" t="s">
        <v>24</v>
      </c>
      <c r="J3741" t="s">
        <v>14044</v>
      </c>
      <c r="K3741" t="s">
        <v>14045</v>
      </c>
      <c r="L3741" t="s">
        <v>2968</v>
      </c>
      <c r="M3741" t="s">
        <v>14046</v>
      </c>
      <c r="N3741" t="s">
        <v>14047</v>
      </c>
      <c r="O3741" t="s">
        <v>27</v>
      </c>
      <c r="P3741" t="s">
        <v>48</v>
      </c>
      <c r="Q3741" t="s">
        <v>49</v>
      </c>
      <c r="R3741" t="s">
        <v>50</v>
      </c>
      <c r="S3741" t="s">
        <v>28</v>
      </c>
      <c r="T3741" t="s">
        <v>14048</v>
      </c>
      <c r="U3741" t="s">
        <v>14049</v>
      </c>
    </row>
    <row r="3742" spans="1:21" x14ac:dyDescent="0.25">
      <c r="A3742" t="s">
        <v>58</v>
      </c>
      <c r="B3742" t="s">
        <v>103</v>
      </c>
      <c r="C3742">
        <v>105</v>
      </c>
      <c r="D3742">
        <v>1</v>
      </c>
      <c r="E3742">
        <v>0</v>
      </c>
      <c r="F3742" t="s">
        <v>14050</v>
      </c>
      <c r="G3742">
        <v>110</v>
      </c>
      <c r="H3742">
        <v>5</v>
      </c>
      <c r="I3742" t="s">
        <v>105</v>
      </c>
      <c r="J3742" t="s">
        <v>14044</v>
      </c>
      <c r="K3742" t="s">
        <v>14045</v>
      </c>
      <c r="L3742" t="s">
        <v>2968</v>
      </c>
      <c r="M3742" t="s">
        <v>14046</v>
      </c>
      <c r="N3742" t="s">
        <v>14051</v>
      </c>
      <c r="O3742" t="s">
        <v>27</v>
      </c>
      <c r="P3742" t="s">
        <v>48</v>
      </c>
      <c r="Q3742" t="s">
        <v>49</v>
      </c>
      <c r="R3742" t="s">
        <v>50</v>
      </c>
      <c r="S3742" t="s">
        <v>28</v>
      </c>
      <c r="T3742" t="s">
        <v>14052</v>
      </c>
      <c r="U3742" t="s">
        <v>14053</v>
      </c>
    </row>
    <row r="3743" spans="1:21" x14ac:dyDescent="0.25">
      <c r="A3743" t="s">
        <v>134</v>
      </c>
      <c r="B3743" t="s">
        <v>64</v>
      </c>
      <c r="C3743">
        <v>100</v>
      </c>
      <c r="D3743">
        <v>2</v>
      </c>
      <c r="E3743">
        <v>0</v>
      </c>
      <c r="F3743" t="s">
        <v>14054</v>
      </c>
      <c r="G3743">
        <v>200</v>
      </c>
      <c r="H3743">
        <v>0</v>
      </c>
      <c r="I3743" t="s">
        <v>24</v>
      </c>
      <c r="J3743" t="s">
        <v>14055</v>
      </c>
      <c r="K3743" t="s">
        <v>325</v>
      </c>
      <c r="L3743" t="s">
        <v>27</v>
      </c>
      <c r="M3743" t="s">
        <v>28</v>
      </c>
      <c r="N3743" t="s">
        <v>14056</v>
      </c>
      <c r="O3743" t="s">
        <v>27</v>
      </c>
      <c r="P3743" t="s">
        <v>39</v>
      </c>
      <c r="Q3743" t="s">
        <v>31</v>
      </c>
      <c r="R3743" t="s">
        <v>32</v>
      </c>
      <c r="S3743" t="s">
        <v>28</v>
      </c>
      <c r="T3743" t="s">
        <v>14057</v>
      </c>
      <c r="U3743" t="s">
        <v>14056</v>
      </c>
    </row>
    <row r="3744" spans="1:21" x14ac:dyDescent="0.25">
      <c r="A3744" t="s">
        <v>456</v>
      </c>
      <c r="B3744" t="s">
        <v>457</v>
      </c>
      <c r="C3744">
        <v>199</v>
      </c>
      <c r="D3744">
        <v>2</v>
      </c>
      <c r="E3744">
        <v>0</v>
      </c>
      <c r="F3744" t="s">
        <v>14058</v>
      </c>
      <c r="G3744">
        <v>398</v>
      </c>
      <c r="H3744">
        <v>0</v>
      </c>
      <c r="I3744" t="s">
        <v>24</v>
      </c>
      <c r="J3744" t="s">
        <v>1705</v>
      </c>
      <c r="K3744" t="s">
        <v>1706</v>
      </c>
      <c r="L3744" t="s">
        <v>1707</v>
      </c>
      <c r="M3744" t="s">
        <v>1708</v>
      </c>
      <c r="N3744" t="s">
        <v>14059</v>
      </c>
      <c r="O3744" t="s">
        <v>27</v>
      </c>
      <c r="P3744" t="s">
        <v>84</v>
      </c>
      <c r="Q3744" t="s">
        <v>85</v>
      </c>
      <c r="R3744" t="s">
        <v>86</v>
      </c>
      <c r="S3744" t="s">
        <v>28</v>
      </c>
      <c r="T3744" t="s">
        <v>14060</v>
      </c>
      <c r="U3744" t="s">
        <v>14059</v>
      </c>
    </row>
    <row r="3745" spans="1:21" x14ac:dyDescent="0.25">
      <c r="A3745" t="s">
        <v>635</v>
      </c>
      <c r="B3745" t="s">
        <v>8000</v>
      </c>
      <c r="C3745">
        <v>510</v>
      </c>
      <c r="D3745">
        <v>1</v>
      </c>
      <c r="E3745">
        <v>0</v>
      </c>
      <c r="F3745" t="s">
        <v>14061</v>
      </c>
      <c r="G3745">
        <v>589</v>
      </c>
      <c r="H3745">
        <v>79</v>
      </c>
      <c r="I3745" t="s">
        <v>24</v>
      </c>
      <c r="J3745" t="s">
        <v>3702</v>
      </c>
      <c r="K3745" t="s">
        <v>3703</v>
      </c>
      <c r="L3745" t="s">
        <v>3704</v>
      </c>
      <c r="M3745" t="s">
        <v>3705</v>
      </c>
      <c r="N3745" t="s">
        <v>14062</v>
      </c>
      <c r="O3745" t="s">
        <v>27</v>
      </c>
      <c r="P3745" t="s">
        <v>48</v>
      </c>
      <c r="Q3745" t="s">
        <v>49</v>
      </c>
      <c r="R3745" t="s">
        <v>50</v>
      </c>
      <c r="S3745" t="s">
        <v>28</v>
      </c>
      <c r="T3745" t="s">
        <v>14063</v>
      </c>
      <c r="U3745" t="s">
        <v>14062</v>
      </c>
    </row>
    <row r="3746" spans="1:21" x14ac:dyDescent="0.25">
      <c r="A3746" t="s">
        <v>456</v>
      </c>
      <c r="B3746" t="s">
        <v>457</v>
      </c>
      <c r="C3746">
        <v>199</v>
      </c>
      <c r="D3746">
        <v>3</v>
      </c>
      <c r="E3746">
        <v>0</v>
      </c>
      <c r="F3746" t="s">
        <v>14064</v>
      </c>
      <c r="G3746">
        <v>672</v>
      </c>
      <c r="H3746">
        <v>75</v>
      </c>
      <c r="I3746" t="s">
        <v>24</v>
      </c>
      <c r="J3746" t="s">
        <v>14065</v>
      </c>
      <c r="K3746" t="s">
        <v>14066</v>
      </c>
      <c r="L3746" t="s">
        <v>5918</v>
      </c>
      <c r="M3746" t="s">
        <v>9119</v>
      </c>
      <c r="N3746" t="s">
        <v>14067</v>
      </c>
      <c r="O3746" t="s">
        <v>27</v>
      </c>
      <c r="P3746" t="s">
        <v>193</v>
      </c>
      <c r="Q3746" t="s">
        <v>85</v>
      </c>
      <c r="R3746" t="s">
        <v>86</v>
      </c>
      <c r="S3746" t="s">
        <v>28</v>
      </c>
      <c r="T3746" t="s">
        <v>14068</v>
      </c>
      <c r="U3746" t="s">
        <v>14067</v>
      </c>
    </row>
    <row r="3747" spans="1:21" x14ac:dyDescent="0.25">
      <c r="A3747" t="s">
        <v>456</v>
      </c>
      <c r="B3747" t="s">
        <v>457</v>
      </c>
      <c r="C3747">
        <v>199</v>
      </c>
      <c r="D3747">
        <v>2</v>
      </c>
      <c r="E3747">
        <v>0</v>
      </c>
      <c r="F3747" t="s">
        <v>14069</v>
      </c>
      <c r="G3747">
        <v>433</v>
      </c>
      <c r="H3747">
        <v>35</v>
      </c>
      <c r="I3747" t="s">
        <v>24</v>
      </c>
      <c r="J3747" t="s">
        <v>7836</v>
      </c>
      <c r="K3747" t="s">
        <v>7873</v>
      </c>
      <c r="L3747" t="s">
        <v>7838</v>
      </c>
      <c r="M3747" t="s">
        <v>7874</v>
      </c>
      <c r="N3747" t="s">
        <v>14059</v>
      </c>
      <c r="O3747" t="s">
        <v>27</v>
      </c>
      <c r="P3747" t="s">
        <v>193</v>
      </c>
      <c r="Q3747" t="s">
        <v>85</v>
      </c>
      <c r="R3747" t="s">
        <v>86</v>
      </c>
      <c r="S3747" t="s">
        <v>28</v>
      </c>
      <c r="T3747" t="s">
        <v>14070</v>
      </c>
      <c r="U3747" t="s">
        <v>14071</v>
      </c>
    </row>
    <row r="3748" spans="1:21" x14ac:dyDescent="0.25">
      <c r="A3748" t="s">
        <v>33</v>
      </c>
      <c r="B3748" t="s">
        <v>34</v>
      </c>
      <c r="C3748">
        <v>200</v>
      </c>
      <c r="D3748">
        <v>1</v>
      </c>
      <c r="E3748">
        <v>0</v>
      </c>
      <c r="F3748" t="s">
        <v>14072</v>
      </c>
      <c r="G3748">
        <v>200</v>
      </c>
      <c r="H3748">
        <v>0</v>
      </c>
      <c r="I3748" t="s">
        <v>24</v>
      </c>
      <c r="J3748" t="s">
        <v>14073</v>
      </c>
      <c r="K3748" t="s">
        <v>273</v>
      </c>
      <c r="L3748" t="s">
        <v>27</v>
      </c>
      <c r="M3748" t="s">
        <v>28</v>
      </c>
      <c r="N3748" t="s">
        <v>14074</v>
      </c>
      <c r="O3748" t="s">
        <v>27</v>
      </c>
      <c r="P3748" t="s">
        <v>39</v>
      </c>
      <c r="Q3748" t="s">
        <v>31</v>
      </c>
      <c r="R3748" t="s">
        <v>32</v>
      </c>
      <c r="S3748" t="s">
        <v>28</v>
      </c>
      <c r="T3748" t="s">
        <v>14075</v>
      </c>
      <c r="U3748" t="s">
        <v>14074</v>
      </c>
    </row>
    <row r="3749" spans="1:21" x14ac:dyDescent="0.25">
      <c r="A3749" t="s">
        <v>456</v>
      </c>
      <c r="B3749" t="s">
        <v>457</v>
      </c>
      <c r="C3749">
        <v>199</v>
      </c>
      <c r="D3749">
        <v>1</v>
      </c>
      <c r="E3749">
        <v>0</v>
      </c>
      <c r="F3749" t="s">
        <v>14076</v>
      </c>
      <c r="G3749">
        <v>228</v>
      </c>
      <c r="H3749">
        <v>29</v>
      </c>
      <c r="I3749" t="s">
        <v>24</v>
      </c>
      <c r="J3749" t="s">
        <v>7836</v>
      </c>
      <c r="K3749" t="s">
        <v>7873</v>
      </c>
      <c r="L3749" t="s">
        <v>7838</v>
      </c>
      <c r="M3749" t="s">
        <v>7874</v>
      </c>
      <c r="N3749" t="s">
        <v>14077</v>
      </c>
      <c r="O3749" t="s">
        <v>27</v>
      </c>
      <c r="P3749" t="s">
        <v>193</v>
      </c>
      <c r="Q3749" t="s">
        <v>85</v>
      </c>
      <c r="R3749" t="s">
        <v>86</v>
      </c>
      <c r="S3749" t="s">
        <v>28</v>
      </c>
      <c r="T3749" t="s">
        <v>14078</v>
      </c>
      <c r="U3749" t="s">
        <v>14079</v>
      </c>
    </row>
    <row r="3750" spans="1:21" x14ac:dyDescent="0.25">
      <c r="A3750" t="s">
        <v>456</v>
      </c>
      <c r="B3750" t="s">
        <v>457</v>
      </c>
      <c r="C3750">
        <v>199</v>
      </c>
      <c r="D3750">
        <v>1</v>
      </c>
      <c r="E3750">
        <v>0</v>
      </c>
      <c r="F3750" t="s">
        <v>14080</v>
      </c>
      <c r="G3750">
        <v>228</v>
      </c>
      <c r="H3750">
        <v>29</v>
      </c>
      <c r="I3750" t="s">
        <v>24</v>
      </c>
      <c r="J3750" t="s">
        <v>7836</v>
      </c>
      <c r="K3750" t="s">
        <v>7873</v>
      </c>
      <c r="L3750" t="s">
        <v>7838</v>
      </c>
      <c r="M3750" t="s">
        <v>7874</v>
      </c>
      <c r="N3750" t="s">
        <v>14081</v>
      </c>
      <c r="O3750" t="s">
        <v>27</v>
      </c>
      <c r="P3750" t="s">
        <v>193</v>
      </c>
      <c r="Q3750" t="s">
        <v>85</v>
      </c>
      <c r="R3750" t="s">
        <v>86</v>
      </c>
      <c r="S3750" t="s">
        <v>28</v>
      </c>
      <c r="T3750" t="s">
        <v>14082</v>
      </c>
      <c r="U3750" t="s">
        <v>14083</v>
      </c>
    </row>
    <row r="3751" spans="1:21" x14ac:dyDescent="0.25">
      <c r="A3751" t="s">
        <v>63</v>
      </c>
      <c r="B3751" t="s">
        <v>64</v>
      </c>
      <c r="C3751">
        <v>100</v>
      </c>
      <c r="D3751">
        <v>2</v>
      </c>
      <c r="E3751">
        <v>0</v>
      </c>
      <c r="F3751" t="s">
        <v>14084</v>
      </c>
      <c r="G3751">
        <v>200</v>
      </c>
      <c r="H3751">
        <v>0</v>
      </c>
      <c r="I3751" t="s">
        <v>24</v>
      </c>
      <c r="J3751" t="s">
        <v>14085</v>
      </c>
      <c r="K3751" t="s">
        <v>26</v>
      </c>
      <c r="L3751" t="s">
        <v>27</v>
      </c>
      <c r="M3751" t="s">
        <v>28</v>
      </c>
      <c r="N3751" t="s">
        <v>14086</v>
      </c>
      <c r="O3751" t="s">
        <v>27</v>
      </c>
      <c r="P3751" t="s">
        <v>56</v>
      </c>
      <c r="Q3751" t="s">
        <v>31</v>
      </c>
      <c r="R3751" t="s">
        <v>57</v>
      </c>
      <c r="S3751" t="s">
        <v>28</v>
      </c>
      <c r="T3751" t="s">
        <v>14087</v>
      </c>
      <c r="U3751" t="s">
        <v>14086</v>
      </c>
    </row>
    <row r="3752" spans="1:21" x14ac:dyDescent="0.25">
      <c r="A3752" t="s">
        <v>134</v>
      </c>
      <c r="B3752" t="s">
        <v>64</v>
      </c>
      <c r="C3752">
        <v>141</v>
      </c>
      <c r="D3752">
        <v>1</v>
      </c>
      <c r="E3752">
        <v>0</v>
      </c>
      <c r="F3752" t="s">
        <v>14088</v>
      </c>
      <c r="G3752">
        <v>333.5</v>
      </c>
      <c r="H3752">
        <v>5</v>
      </c>
      <c r="I3752" t="s">
        <v>24</v>
      </c>
      <c r="J3752" t="s">
        <v>14089</v>
      </c>
      <c r="K3752" t="s">
        <v>14090</v>
      </c>
      <c r="L3752" t="s">
        <v>14091</v>
      </c>
      <c r="M3752" t="s">
        <v>14092</v>
      </c>
      <c r="N3752" t="s">
        <v>14093</v>
      </c>
      <c r="O3752" t="s">
        <v>27</v>
      </c>
      <c r="P3752" t="s">
        <v>48</v>
      </c>
      <c r="Q3752" t="s">
        <v>49</v>
      </c>
      <c r="R3752" t="s">
        <v>50</v>
      </c>
      <c r="S3752" t="s">
        <v>28</v>
      </c>
      <c r="T3752" t="s">
        <v>14094</v>
      </c>
      <c r="U3752" t="s">
        <v>14093</v>
      </c>
    </row>
    <row r="3753" spans="1:21" x14ac:dyDescent="0.25">
      <c r="A3753" t="s">
        <v>58</v>
      </c>
      <c r="B3753" t="s">
        <v>58</v>
      </c>
      <c r="C3753">
        <v>141.5</v>
      </c>
      <c r="D3753">
        <v>1</v>
      </c>
      <c r="E3753">
        <v>0</v>
      </c>
      <c r="F3753" t="s">
        <v>14088</v>
      </c>
      <c r="G3753">
        <v>333.5</v>
      </c>
      <c r="H3753">
        <v>5</v>
      </c>
      <c r="I3753" t="s">
        <v>24</v>
      </c>
      <c r="J3753" t="s">
        <v>14089</v>
      </c>
      <c r="K3753" t="s">
        <v>14090</v>
      </c>
      <c r="L3753" t="s">
        <v>14091</v>
      </c>
      <c r="M3753" t="s">
        <v>14092</v>
      </c>
      <c r="N3753" t="s">
        <v>14093</v>
      </c>
      <c r="O3753" t="s">
        <v>27</v>
      </c>
      <c r="P3753" t="s">
        <v>48</v>
      </c>
      <c r="Q3753" t="s">
        <v>49</v>
      </c>
      <c r="R3753" t="s">
        <v>50</v>
      </c>
      <c r="S3753" t="s">
        <v>28</v>
      </c>
      <c r="T3753" t="s">
        <v>14094</v>
      </c>
      <c r="U3753" t="s">
        <v>14093</v>
      </c>
    </row>
    <row r="3754" spans="1:21" x14ac:dyDescent="0.25">
      <c r="A3754" t="s">
        <v>94</v>
      </c>
      <c r="B3754" t="s">
        <v>95</v>
      </c>
      <c r="C3754">
        <v>71.78</v>
      </c>
      <c r="D3754">
        <v>1</v>
      </c>
      <c r="E3754">
        <v>0</v>
      </c>
      <c r="F3754" t="s">
        <v>14095</v>
      </c>
      <c r="G3754">
        <v>2095</v>
      </c>
      <c r="H3754">
        <v>94</v>
      </c>
      <c r="I3754" t="s">
        <v>24</v>
      </c>
      <c r="J3754" t="s">
        <v>14096</v>
      </c>
      <c r="K3754" t="s">
        <v>14097</v>
      </c>
      <c r="L3754" t="s">
        <v>3375</v>
      </c>
      <c r="M3754" t="s">
        <v>14098</v>
      </c>
      <c r="N3754" t="s">
        <v>14099</v>
      </c>
      <c r="O3754" t="s">
        <v>27</v>
      </c>
      <c r="P3754" t="s">
        <v>48</v>
      </c>
      <c r="Q3754" t="s">
        <v>49</v>
      </c>
      <c r="R3754" t="s">
        <v>50</v>
      </c>
      <c r="S3754" t="s">
        <v>28</v>
      </c>
      <c r="T3754" t="s">
        <v>14100</v>
      </c>
      <c r="U3754" t="s">
        <v>14099</v>
      </c>
    </row>
    <row r="3755" spans="1:21" x14ac:dyDescent="0.25">
      <c r="A3755" t="s">
        <v>635</v>
      </c>
      <c r="B3755" t="s">
        <v>8000</v>
      </c>
      <c r="C3755">
        <v>672.99</v>
      </c>
      <c r="D3755">
        <v>1</v>
      </c>
      <c r="E3755">
        <v>0</v>
      </c>
      <c r="F3755" t="s">
        <v>14095</v>
      </c>
      <c r="G3755">
        <v>2095</v>
      </c>
      <c r="H3755">
        <v>94</v>
      </c>
      <c r="I3755" t="s">
        <v>24</v>
      </c>
      <c r="J3755" t="s">
        <v>14096</v>
      </c>
      <c r="K3755" t="s">
        <v>14097</v>
      </c>
      <c r="L3755" t="s">
        <v>3375</v>
      </c>
      <c r="M3755" t="s">
        <v>14098</v>
      </c>
      <c r="N3755" t="s">
        <v>14099</v>
      </c>
      <c r="O3755" t="s">
        <v>27</v>
      </c>
      <c r="P3755" t="s">
        <v>48</v>
      </c>
      <c r="Q3755" t="s">
        <v>49</v>
      </c>
      <c r="R3755" t="s">
        <v>50</v>
      </c>
      <c r="S3755" t="s">
        <v>28</v>
      </c>
      <c r="T3755" t="s">
        <v>14100</v>
      </c>
      <c r="U3755" t="s">
        <v>14099</v>
      </c>
    </row>
    <row r="3756" spans="1:21" x14ac:dyDescent="0.25">
      <c r="A3756" t="s">
        <v>2703</v>
      </c>
      <c r="B3756" t="s">
        <v>2704</v>
      </c>
      <c r="C3756">
        <v>403.79</v>
      </c>
      <c r="D3756">
        <v>1</v>
      </c>
      <c r="E3756">
        <v>0</v>
      </c>
      <c r="F3756" t="s">
        <v>14095</v>
      </c>
      <c r="G3756">
        <v>2095</v>
      </c>
      <c r="H3756">
        <v>94</v>
      </c>
      <c r="I3756" t="s">
        <v>24</v>
      </c>
      <c r="J3756" t="s">
        <v>14096</v>
      </c>
      <c r="K3756" t="s">
        <v>14097</v>
      </c>
      <c r="L3756" t="s">
        <v>3375</v>
      </c>
      <c r="M3756" t="s">
        <v>14098</v>
      </c>
      <c r="N3756" t="s">
        <v>14099</v>
      </c>
      <c r="O3756" t="s">
        <v>27</v>
      </c>
      <c r="P3756" t="s">
        <v>48</v>
      </c>
      <c r="Q3756" t="s">
        <v>49</v>
      </c>
      <c r="R3756" t="s">
        <v>50</v>
      </c>
      <c r="S3756" t="s">
        <v>28</v>
      </c>
      <c r="T3756" t="s">
        <v>14100</v>
      </c>
      <c r="U3756" t="s">
        <v>14099</v>
      </c>
    </row>
    <row r="3757" spans="1:21" x14ac:dyDescent="0.25">
      <c r="A3757" t="s">
        <v>2703</v>
      </c>
      <c r="B3757" t="s">
        <v>2704</v>
      </c>
      <c r="C3757">
        <v>403.79</v>
      </c>
      <c r="D3757">
        <v>1</v>
      </c>
      <c r="E3757">
        <v>0</v>
      </c>
      <c r="F3757" t="s">
        <v>14095</v>
      </c>
      <c r="G3757">
        <v>2095</v>
      </c>
      <c r="H3757">
        <v>94</v>
      </c>
      <c r="I3757" t="s">
        <v>24</v>
      </c>
      <c r="J3757" t="s">
        <v>14096</v>
      </c>
      <c r="K3757" t="s">
        <v>14097</v>
      </c>
      <c r="L3757" t="s">
        <v>3375</v>
      </c>
      <c r="M3757" t="s">
        <v>14098</v>
      </c>
      <c r="N3757" t="s">
        <v>14099</v>
      </c>
      <c r="O3757" t="s">
        <v>27</v>
      </c>
      <c r="P3757" t="s">
        <v>48</v>
      </c>
      <c r="Q3757" t="s">
        <v>49</v>
      </c>
      <c r="R3757" t="s">
        <v>50</v>
      </c>
      <c r="S3757" t="s">
        <v>28</v>
      </c>
      <c r="T3757" t="s">
        <v>14100</v>
      </c>
      <c r="U3757" t="s">
        <v>14099</v>
      </c>
    </row>
    <row r="3758" spans="1:21" x14ac:dyDescent="0.25">
      <c r="A3758" t="s">
        <v>33</v>
      </c>
      <c r="B3758" t="s">
        <v>34</v>
      </c>
      <c r="C3758">
        <v>224.32</v>
      </c>
      <c r="D3758">
        <v>1</v>
      </c>
      <c r="E3758">
        <v>0</v>
      </c>
      <c r="F3758" t="s">
        <v>14095</v>
      </c>
      <c r="G3758">
        <v>2095</v>
      </c>
      <c r="H3758">
        <v>94</v>
      </c>
      <c r="I3758" t="s">
        <v>24</v>
      </c>
      <c r="J3758" t="s">
        <v>14096</v>
      </c>
      <c r="K3758" t="s">
        <v>14097</v>
      </c>
      <c r="L3758" t="s">
        <v>3375</v>
      </c>
      <c r="M3758" t="s">
        <v>14098</v>
      </c>
      <c r="N3758" t="s">
        <v>14099</v>
      </c>
      <c r="O3758" t="s">
        <v>27</v>
      </c>
      <c r="P3758" t="s">
        <v>48</v>
      </c>
      <c r="Q3758" t="s">
        <v>49</v>
      </c>
      <c r="R3758" t="s">
        <v>50</v>
      </c>
      <c r="S3758" t="s">
        <v>28</v>
      </c>
      <c r="T3758" t="s">
        <v>14100</v>
      </c>
      <c r="U3758" t="s">
        <v>14099</v>
      </c>
    </row>
    <row r="3759" spans="1:21" x14ac:dyDescent="0.25">
      <c r="A3759" t="s">
        <v>33</v>
      </c>
      <c r="B3759" t="s">
        <v>34</v>
      </c>
      <c r="C3759">
        <v>224.33</v>
      </c>
      <c r="D3759">
        <v>1</v>
      </c>
      <c r="E3759">
        <v>0</v>
      </c>
      <c r="F3759" t="s">
        <v>14095</v>
      </c>
      <c r="G3759">
        <v>2095</v>
      </c>
      <c r="H3759">
        <v>94</v>
      </c>
      <c r="I3759" t="s">
        <v>24</v>
      </c>
      <c r="J3759" t="s">
        <v>14096</v>
      </c>
      <c r="K3759" t="s">
        <v>14097</v>
      </c>
      <c r="L3759" t="s">
        <v>3375</v>
      </c>
      <c r="M3759" t="s">
        <v>14098</v>
      </c>
      <c r="N3759" t="s">
        <v>14099</v>
      </c>
      <c r="O3759" t="s">
        <v>27</v>
      </c>
      <c r="P3759" t="s">
        <v>48</v>
      </c>
      <c r="Q3759" t="s">
        <v>49</v>
      </c>
      <c r="R3759" t="s">
        <v>50</v>
      </c>
      <c r="S3759" t="s">
        <v>28</v>
      </c>
      <c r="T3759" t="s">
        <v>14100</v>
      </c>
      <c r="U3759" t="s">
        <v>14099</v>
      </c>
    </row>
    <row r="3760" spans="1:21" x14ac:dyDescent="0.25">
      <c r="A3760" t="s">
        <v>195</v>
      </c>
      <c r="B3760" t="s">
        <v>1003</v>
      </c>
      <c r="C3760">
        <v>173.25</v>
      </c>
      <c r="D3760">
        <v>1</v>
      </c>
      <c r="E3760">
        <v>0</v>
      </c>
      <c r="F3760" t="s">
        <v>14101</v>
      </c>
      <c r="G3760">
        <v>178.25</v>
      </c>
      <c r="H3760">
        <v>5</v>
      </c>
      <c r="I3760" t="s">
        <v>628</v>
      </c>
      <c r="J3760" t="s">
        <v>14102</v>
      </c>
      <c r="K3760" t="s">
        <v>14103</v>
      </c>
      <c r="L3760" t="s">
        <v>1485</v>
      </c>
      <c r="M3760" t="s">
        <v>14104</v>
      </c>
      <c r="N3760" t="s">
        <v>14105</v>
      </c>
      <c r="O3760" t="s">
        <v>27</v>
      </c>
      <c r="P3760" t="s">
        <v>48</v>
      </c>
      <c r="Q3760" t="s">
        <v>49</v>
      </c>
      <c r="R3760" t="s">
        <v>50</v>
      </c>
      <c r="S3760" t="s">
        <v>28</v>
      </c>
      <c r="T3760" t="s">
        <v>14106</v>
      </c>
      <c r="U3760" t="s">
        <v>14105</v>
      </c>
    </row>
    <row r="3761" spans="1:21" x14ac:dyDescent="0.25">
      <c r="A3761" t="s">
        <v>33</v>
      </c>
      <c r="B3761" t="s">
        <v>34</v>
      </c>
      <c r="C3761">
        <v>200</v>
      </c>
      <c r="D3761">
        <v>1</v>
      </c>
      <c r="E3761">
        <v>0</v>
      </c>
      <c r="F3761" t="s">
        <v>14107</v>
      </c>
      <c r="G3761">
        <v>200</v>
      </c>
      <c r="H3761">
        <v>0</v>
      </c>
      <c r="I3761" t="s">
        <v>24</v>
      </c>
      <c r="J3761" t="s">
        <v>14108</v>
      </c>
      <c r="K3761" t="s">
        <v>325</v>
      </c>
      <c r="L3761" t="s">
        <v>27</v>
      </c>
      <c r="M3761" t="s">
        <v>28</v>
      </c>
      <c r="N3761" t="s">
        <v>14109</v>
      </c>
      <c r="O3761" t="s">
        <v>27</v>
      </c>
      <c r="P3761" t="s">
        <v>39</v>
      </c>
      <c r="Q3761" t="s">
        <v>31</v>
      </c>
      <c r="R3761" t="s">
        <v>32</v>
      </c>
      <c r="S3761" t="s">
        <v>28</v>
      </c>
      <c r="T3761" t="s">
        <v>14110</v>
      </c>
      <c r="U3761" t="s">
        <v>14111</v>
      </c>
    </row>
    <row r="3762" spans="1:21" x14ac:dyDescent="0.25">
      <c r="A3762" t="s">
        <v>63</v>
      </c>
      <c r="B3762" t="s">
        <v>64</v>
      </c>
      <c r="C3762">
        <v>100</v>
      </c>
      <c r="D3762">
        <v>2</v>
      </c>
      <c r="E3762">
        <v>0</v>
      </c>
      <c r="F3762" t="s">
        <v>14112</v>
      </c>
      <c r="G3762">
        <v>229</v>
      </c>
      <c r="H3762">
        <v>29</v>
      </c>
      <c r="I3762" t="s">
        <v>24</v>
      </c>
      <c r="J3762" t="s">
        <v>14113</v>
      </c>
      <c r="K3762" t="s">
        <v>247</v>
      </c>
      <c r="L3762" t="s">
        <v>27</v>
      </c>
      <c r="M3762" t="s">
        <v>28</v>
      </c>
      <c r="N3762" t="s">
        <v>14114</v>
      </c>
      <c r="O3762" t="s">
        <v>27</v>
      </c>
      <c r="P3762" t="s">
        <v>56</v>
      </c>
      <c r="Q3762" t="s">
        <v>31</v>
      </c>
      <c r="R3762" t="s">
        <v>57</v>
      </c>
      <c r="S3762" t="s">
        <v>28</v>
      </c>
      <c r="T3762" t="s">
        <v>14115</v>
      </c>
      <c r="U3762" t="s">
        <v>14111</v>
      </c>
    </row>
    <row r="3763" spans="1:21" x14ac:dyDescent="0.25">
      <c r="A3763" t="s">
        <v>143</v>
      </c>
      <c r="B3763" t="s">
        <v>144</v>
      </c>
      <c r="C3763">
        <v>200</v>
      </c>
      <c r="D3763">
        <v>1</v>
      </c>
      <c r="E3763">
        <v>0</v>
      </c>
      <c r="F3763" t="s">
        <v>14116</v>
      </c>
      <c r="G3763">
        <v>200</v>
      </c>
      <c r="H3763">
        <v>0</v>
      </c>
      <c r="I3763" t="s">
        <v>24</v>
      </c>
      <c r="J3763" t="s">
        <v>14117</v>
      </c>
      <c r="K3763" t="s">
        <v>358</v>
      </c>
      <c r="L3763" t="s">
        <v>27</v>
      </c>
      <c r="M3763" t="s">
        <v>28</v>
      </c>
      <c r="N3763" t="s">
        <v>14118</v>
      </c>
      <c r="O3763" t="s">
        <v>27</v>
      </c>
      <c r="P3763" t="s">
        <v>56</v>
      </c>
      <c r="Q3763" t="s">
        <v>31</v>
      </c>
      <c r="R3763" t="s">
        <v>57</v>
      </c>
      <c r="S3763" t="s">
        <v>28</v>
      </c>
      <c r="T3763" t="s">
        <v>14119</v>
      </c>
      <c r="U3763" t="s">
        <v>14120</v>
      </c>
    </row>
    <row r="3764" spans="1:21" x14ac:dyDescent="0.25">
      <c r="A3764" t="s">
        <v>143</v>
      </c>
      <c r="B3764" t="s">
        <v>144</v>
      </c>
      <c r="C3764">
        <v>200</v>
      </c>
      <c r="D3764">
        <v>1</v>
      </c>
      <c r="E3764">
        <v>0</v>
      </c>
      <c r="F3764" t="s">
        <v>14121</v>
      </c>
      <c r="G3764">
        <v>200</v>
      </c>
      <c r="H3764">
        <v>0</v>
      </c>
      <c r="I3764" t="s">
        <v>24</v>
      </c>
      <c r="J3764" t="s">
        <v>14122</v>
      </c>
      <c r="K3764" t="s">
        <v>113</v>
      </c>
      <c r="L3764" t="s">
        <v>27</v>
      </c>
      <c r="M3764" t="s">
        <v>28</v>
      </c>
      <c r="N3764" t="s">
        <v>14123</v>
      </c>
      <c r="O3764" t="s">
        <v>27</v>
      </c>
      <c r="P3764" t="s">
        <v>56</v>
      </c>
      <c r="Q3764" t="s">
        <v>31</v>
      </c>
      <c r="R3764" t="s">
        <v>57</v>
      </c>
      <c r="S3764" t="s">
        <v>14124</v>
      </c>
      <c r="T3764" t="s">
        <v>14125</v>
      </c>
      <c r="U3764" t="s">
        <v>14120</v>
      </c>
    </row>
    <row r="3765" spans="1:21" x14ac:dyDescent="0.25">
      <c r="A3765" t="s">
        <v>33</v>
      </c>
      <c r="B3765" t="s">
        <v>34</v>
      </c>
      <c r="C3765">
        <v>200</v>
      </c>
      <c r="D3765">
        <v>1</v>
      </c>
      <c r="E3765">
        <v>0</v>
      </c>
      <c r="F3765" t="s">
        <v>14126</v>
      </c>
      <c r="G3765">
        <v>200</v>
      </c>
      <c r="H3765">
        <v>0</v>
      </c>
      <c r="I3765" t="s">
        <v>24</v>
      </c>
      <c r="J3765" t="s">
        <v>14127</v>
      </c>
      <c r="K3765" t="s">
        <v>2217</v>
      </c>
      <c r="L3765" t="s">
        <v>27</v>
      </c>
      <c r="M3765" t="s">
        <v>28</v>
      </c>
      <c r="N3765" t="s">
        <v>14128</v>
      </c>
      <c r="O3765" t="s">
        <v>27</v>
      </c>
      <c r="P3765" t="s">
        <v>30</v>
      </c>
      <c r="Q3765" t="s">
        <v>31</v>
      </c>
      <c r="R3765" t="s">
        <v>32</v>
      </c>
      <c r="S3765" t="s">
        <v>28</v>
      </c>
      <c r="T3765" t="s">
        <v>14129</v>
      </c>
      <c r="U3765" t="s">
        <v>14120</v>
      </c>
    </row>
    <row r="3766" spans="1:21" x14ac:dyDescent="0.25">
      <c r="A3766" t="s">
        <v>76</v>
      </c>
      <c r="B3766" t="s">
        <v>77</v>
      </c>
      <c r="C3766">
        <v>199</v>
      </c>
      <c r="D3766">
        <v>2</v>
      </c>
      <c r="E3766">
        <v>0</v>
      </c>
      <c r="F3766" t="s">
        <v>14130</v>
      </c>
      <c r="G3766">
        <v>1070</v>
      </c>
      <c r="H3766">
        <v>75</v>
      </c>
      <c r="I3766" t="s">
        <v>24</v>
      </c>
      <c r="J3766" t="s">
        <v>14131</v>
      </c>
      <c r="K3766" t="s">
        <v>14132</v>
      </c>
      <c r="L3766" t="s">
        <v>14133</v>
      </c>
      <c r="M3766" t="s">
        <v>6812</v>
      </c>
      <c r="N3766" t="s">
        <v>14134</v>
      </c>
      <c r="O3766" t="s">
        <v>27</v>
      </c>
      <c r="P3766" t="s">
        <v>193</v>
      </c>
      <c r="Q3766" t="s">
        <v>85</v>
      </c>
      <c r="R3766" t="s">
        <v>86</v>
      </c>
      <c r="S3766" t="s">
        <v>28</v>
      </c>
      <c r="T3766" t="s">
        <v>14135</v>
      </c>
      <c r="U3766" t="s">
        <v>14136</v>
      </c>
    </row>
    <row r="3767" spans="1:21" x14ac:dyDescent="0.25">
      <c r="A3767" t="s">
        <v>456</v>
      </c>
      <c r="B3767" t="s">
        <v>457</v>
      </c>
      <c r="C3767">
        <v>199</v>
      </c>
      <c r="D3767">
        <v>3</v>
      </c>
      <c r="E3767">
        <v>0</v>
      </c>
      <c r="F3767" t="s">
        <v>14130</v>
      </c>
      <c r="G3767">
        <v>1070</v>
      </c>
      <c r="H3767">
        <v>75</v>
      </c>
      <c r="I3767" t="s">
        <v>24</v>
      </c>
      <c r="J3767" t="s">
        <v>14131</v>
      </c>
      <c r="K3767" t="s">
        <v>14132</v>
      </c>
      <c r="L3767" t="s">
        <v>14133</v>
      </c>
      <c r="M3767" t="s">
        <v>6812</v>
      </c>
      <c r="N3767" t="s">
        <v>14134</v>
      </c>
      <c r="O3767" t="s">
        <v>27</v>
      </c>
      <c r="P3767" t="s">
        <v>193</v>
      </c>
      <c r="Q3767" t="s">
        <v>85</v>
      </c>
      <c r="R3767" t="s">
        <v>86</v>
      </c>
      <c r="S3767" t="s">
        <v>28</v>
      </c>
      <c r="T3767" t="s">
        <v>14135</v>
      </c>
      <c r="U3767" t="s">
        <v>14136</v>
      </c>
    </row>
    <row r="3768" spans="1:21" x14ac:dyDescent="0.25">
      <c r="A3768" t="s">
        <v>195</v>
      </c>
      <c r="B3768" t="s">
        <v>4382</v>
      </c>
      <c r="C3768">
        <v>232.86</v>
      </c>
      <c r="D3768">
        <v>1</v>
      </c>
      <c r="E3768">
        <v>0</v>
      </c>
      <c r="F3768" t="s">
        <v>14137</v>
      </c>
      <c r="G3768">
        <v>1724</v>
      </c>
      <c r="H3768">
        <v>94</v>
      </c>
      <c r="I3768" t="s">
        <v>24</v>
      </c>
      <c r="J3768" t="s">
        <v>14138</v>
      </c>
      <c r="K3768" t="s">
        <v>14139</v>
      </c>
      <c r="L3768" t="s">
        <v>14140</v>
      </c>
      <c r="M3768" t="s">
        <v>14141</v>
      </c>
      <c r="N3768" t="s">
        <v>14142</v>
      </c>
      <c r="O3768" t="s">
        <v>27</v>
      </c>
      <c r="P3768" t="s">
        <v>48</v>
      </c>
      <c r="Q3768" t="s">
        <v>49</v>
      </c>
      <c r="R3768" t="s">
        <v>50</v>
      </c>
      <c r="S3768" t="s">
        <v>28</v>
      </c>
      <c r="T3768" t="s">
        <v>14143</v>
      </c>
      <c r="U3768" t="s">
        <v>14142</v>
      </c>
    </row>
    <row r="3769" spans="1:21" x14ac:dyDescent="0.25">
      <c r="A3769" t="s">
        <v>195</v>
      </c>
      <c r="B3769" t="s">
        <v>4382</v>
      </c>
      <c r="C3769">
        <v>232.85</v>
      </c>
      <c r="D3769">
        <v>1</v>
      </c>
      <c r="E3769">
        <v>0</v>
      </c>
      <c r="F3769" t="s">
        <v>14137</v>
      </c>
      <c r="G3769">
        <v>1724</v>
      </c>
      <c r="H3769">
        <v>94</v>
      </c>
      <c r="I3769" t="s">
        <v>24</v>
      </c>
      <c r="J3769" t="s">
        <v>14138</v>
      </c>
      <c r="K3769" t="s">
        <v>14139</v>
      </c>
      <c r="L3769" t="s">
        <v>14140</v>
      </c>
      <c r="M3769" t="s">
        <v>14141</v>
      </c>
      <c r="N3769" t="s">
        <v>14142</v>
      </c>
      <c r="O3769" t="s">
        <v>27</v>
      </c>
      <c r="P3769" t="s">
        <v>48</v>
      </c>
      <c r="Q3769" t="s">
        <v>49</v>
      </c>
      <c r="R3769" t="s">
        <v>50</v>
      </c>
      <c r="S3769" t="s">
        <v>28</v>
      </c>
      <c r="T3769" t="s">
        <v>14143</v>
      </c>
      <c r="U3769" t="s">
        <v>14142</v>
      </c>
    </row>
    <row r="3770" spans="1:21" x14ac:dyDescent="0.25">
      <c r="A3770" t="s">
        <v>195</v>
      </c>
      <c r="B3770" t="s">
        <v>4382</v>
      </c>
      <c r="C3770">
        <v>232.86</v>
      </c>
      <c r="D3770">
        <v>1</v>
      </c>
      <c r="E3770">
        <v>0</v>
      </c>
      <c r="F3770" t="s">
        <v>14137</v>
      </c>
      <c r="G3770">
        <v>1724</v>
      </c>
      <c r="H3770">
        <v>94</v>
      </c>
      <c r="I3770" t="s">
        <v>24</v>
      </c>
      <c r="J3770" t="s">
        <v>14138</v>
      </c>
      <c r="K3770" t="s">
        <v>14139</v>
      </c>
      <c r="L3770" t="s">
        <v>14140</v>
      </c>
      <c r="M3770" t="s">
        <v>14141</v>
      </c>
      <c r="N3770" t="s">
        <v>14142</v>
      </c>
      <c r="O3770" t="s">
        <v>27</v>
      </c>
      <c r="P3770" t="s">
        <v>48</v>
      </c>
      <c r="Q3770" t="s">
        <v>49</v>
      </c>
      <c r="R3770" t="s">
        <v>50</v>
      </c>
      <c r="S3770" t="s">
        <v>28</v>
      </c>
      <c r="T3770" t="s">
        <v>14143</v>
      </c>
      <c r="U3770" t="s">
        <v>14142</v>
      </c>
    </row>
    <row r="3771" spans="1:21" x14ac:dyDescent="0.25">
      <c r="A3771" t="s">
        <v>195</v>
      </c>
      <c r="B3771" t="s">
        <v>4382</v>
      </c>
      <c r="C3771">
        <v>232.85</v>
      </c>
      <c r="D3771">
        <v>1</v>
      </c>
      <c r="E3771">
        <v>0</v>
      </c>
      <c r="F3771" t="s">
        <v>14137</v>
      </c>
      <c r="G3771">
        <v>1724</v>
      </c>
      <c r="H3771">
        <v>94</v>
      </c>
      <c r="I3771" t="s">
        <v>24</v>
      </c>
      <c r="J3771" t="s">
        <v>14138</v>
      </c>
      <c r="K3771" t="s">
        <v>14139</v>
      </c>
      <c r="L3771" t="s">
        <v>14140</v>
      </c>
      <c r="M3771" t="s">
        <v>14141</v>
      </c>
      <c r="N3771" t="s">
        <v>14142</v>
      </c>
      <c r="O3771" t="s">
        <v>27</v>
      </c>
      <c r="P3771" t="s">
        <v>48</v>
      </c>
      <c r="Q3771" t="s">
        <v>49</v>
      </c>
      <c r="R3771" t="s">
        <v>50</v>
      </c>
      <c r="S3771" t="s">
        <v>28</v>
      </c>
      <c r="T3771" t="s">
        <v>14143</v>
      </c>
      <c r="U3771" t="s">
        <v>14142</v>
      </c>
    </row>
    <row r="3772" spans="1:21" x14ac:dyDescent="0.25">
      <c r="A3772" t="s">
        <v>195</v>
      </c>
      <c r="B3772" t="s">
        <v>4382</v>
      </c>
      <c r="C3772">
        <v>232.86</v>
      </c>
      <c r="D3772">
        <v>1</v>
      </c>
      <c r="E3772">
        <v>0</v>
      </c>
      <c r="F3772" t="s">
        <v>14137</v>
      </c>
      <c r="G3772">
        <v>1724</v>
      </c>
      <c r="H3772">
        <v>94</v>
      </c>
      <c r="I3772" t="s">
        <v>24</v>
      </c>
      <c r="J3772" t="s">
        <v>14138</v>
      </c>
      <c r="K3772" t="s">
        <v>14139</v>
      </c>
      <c r="L3772" t="s">
        <v>14140</v>
      </c>
      <c r="M3772" t="s">
        <v>14141</v>
      </c>
      <c r="N3772" t="s">
        <v>14142</v>
      </c>
      <c r="O3772" t="s">
        <v>27</v>
      </c>
      <c r="P3772" t="s">
        <v>48</v>
      </c>
      <c r="Q3772" t="s">
        <v>49</v>
      </c>
      <c r="R3772" t="s">
        <v>50</v>
      </c>
      <c r="S3772" t="s">
        <v>28</v>
      </c>
      <c r="T3772" t="s">
        <v>14143</v>
      </c>
      <c r="U3772" t="s">
        <v>14142</v>
      </c>
    </row>
    <row r="3773" spans="1:21" x14ac:dyDescent="0.25">
      <c r="A3773" t="s">
        <v>195</v>
      </c>
      <c r="B3773" t="s">
        <v>4382</v>
      </c>
      <c r="C3773">
        <v>232.86</v>
      </c>
      <c r="D3773">
        <v>1</v>
      </c>
      <c r="E3773">
        <v>0</v>
      </c>
      <c r="F3773" t="s">
        <v>14137</v>
      </c>
      <c r="G3773">
        <v>1724</v>
      </c>
      <c r="H3773">
        <v>94</v>
      </c>
      <c r="I3773" t="s">
        <v>24</v>
      </c>
      <c r="J3773" t="s">
        <v>14138</v>
      </c>
      <c r="K3773" t="s">
        <v>14139</v>
      </c>
      <c r="L3773" t="s">
        <v>14140</v>
      </c>
      <c r="M3773" t="s">
        <v>14141</v>
      </c>
      <c r="N3773" t="s">
        <v>14142</v>
      </c>
      <c r="O3773" t="s">
        <v>27</v>
      </c>
      <c r="P3773" t="s">
        <v>48</v>
      </c>
      <c r="Q3773" t="s">
        <v>49</v>
      </c>
      <c r="R3773" t="s">
        <v>50</v>
      </c>
      <c r="S3773" t="s">
        <v>28</v>
      </c>
      <c r="T3773" t="s">
        <v>14143</v>
      </c>
      <c r="U3773" t="s">
        <v>14142</v>
      </c>
    </row>
    <row r="3774" spans="1:21" x14ac:dyDescent="0.25">
      <c r="A3774" t="s">
        <v>195</v>
      </c>
      <c r="B3774" t="s">
        <v>4382</v>
      </c>
      <c r="C3774">
        <v>232.86</v>
      </c>
      <c r="D3774">
        <v>1</v>
      </c>
      <c r="E3774">
        <v>0</v>
      </c>
      <c r="F3774" t="s">
        <v>14137</v>
      </c>
      <c r="G3774">
        <v>1724</v>
      </c>
      <c r="H3774">
        <v>94</v>
      </c>
      <c r="I3774" t="s">
        <v>24</v>
      </c>
      <c r="J3774" t="s">
        <v>14138</v>
      </c>
      <c r="K3774" t="s">
        <v>14139</v>
      </c>
      <c r="L3774" t="s">
        <v>14140</v>
      </c>
      <c r="M3774" t="s">
        <v>14141</v>
      </c>
      <c r="N3774" t="s">
        <v>14142</v>
      </c>
      <c r="O3774" t="s">
        <v>27</v>
      </c>
      <c r="P3774" t="s">
        <v>48</v>
      </c>
      <c r="Q3774" t="s">
        <v>49</v>
      </c>
      <c r="R3774" t="s">
        <v>50</v>
      </c>
      <c r="S3774" t="s">
        <v>28</v>
      </c>
      <c r="T3774" t="s">
        <v>14143</v>
      </c>
      <c r="U3774" t="s">
        <v>14142</v>
      </c>
    </row>
    <row r="3775" spans="1:21" x14ac:dyDescent="0.25">
      <c r="A3775" t="s">
        <v>33</v>
      </c>
      <c r="B3775" t="s">
        <v>34</v>
      </c>
      <c r="C3775">
        <v>200</v>
      </c>
      <c r="D3775">
        <v>1</v>
      </c>
      <c r="E3775">
        <v>0</v>
      </c>
      <c r="F3775" t="s">
        <v>14144</v>
      </c>
      <c r="G3775">
        <v>200</v>
      </c>
      <c r="H3775">
        <v>0</v>
      </c>
      <c r="I3775" t="s">
        <v>24</v>
      </c>
      <c r="J3775" t="s">
        <v>14145</v>
      </c>
      <c r="K3775" t="s">
        <v>9195</v>
      </c>
      <c r="L3775" t="s">
        <v>27</v>
      </c>
      <c r="M3775" t="s">
        <v>28</v>
      </c>
      <c r="N3775" t="s">
        <v>14146</v>
      </c>
      <c r="O3775" t="s">
        <v>27</v>
      </c>
      <c r="P3775" t="s">
        <v>56</v>
      </c>
      <c r="Q3775" t="s">
        <v>31</v>
      </c>
      <c r="R3775" t="s">
        <v>57</v>
      </c>
      <c r="S3775" t="s">
        <v>28</v>
      </c>
      <c r="T3775" t="s">
        <v>14147</v>
      </c>
      <c r="U3775" t="s">
        <v>14146</v>
      </c>
    </row>
    <row r="3776" spans="1:21" x14ac:dyDescent="0.25">
      <c r="A3776" t="s">
        <v>2820</v>
      </c>
      <c r="B3776" t="s">
        <v>2821</v>
      </c>
      <c r="C3776">
        <v>100</v>
      </c>
      <c r="D3776">
        <v>1</v>
      </c>
      <c r="E3776">
        <v>0</v>
      </c>
      <c r="F3776" t="s">
        <v>14148</v>
      </c>
      <c r="G3776">
        <v>125</v>
      </c>
      <c r="H3776">
        <v>25</v>
      </c>
      <c r="I3776" t="s">
        <v>24</v>
      </c>
      <c r="J3776" t="s">
        <v>14149</v>
      </c>
      <c r="K3776" t="s">
        <v>124</v>
      </c>
      <c r="L3776" t="s">
        <v>27</v>
      </c>
      <c r="M3776" t="s">
        <v>28</v>
      </c>
      <c r="N3776" t="s">
        <v>14150</v>
      </c>
      <c r="O3776" t="s">
        <v>27</v>
      </c>
      <c r="P3776" t="s">
        <v>56</v>
      </c>
      <c r="Q3776" t="s">
        <v>31</v>
      </c>
      <c r="R3776" t="s">
        <v>57</v>
      </c>
      <c r="S3776" t="s">
        <v>28</v>
      </c>
      <c r="T3776" t="s">
        <v>14151</v>
      </c>
      <c r="U3776" t="s">
        <v>14152</v>
      </c>
    </row>
    <row r="3777" spans="1:21" x14ac:dyDescent="0.25">
      <c r="A3777" t="s">
        <v>143</v>
      </c>
      <c r="B3777" t="s">
        <v>144</v>
      </c>
      <c r="C3777">
        <v>200</v>
      </c>
      <c r="D3777">
        <v>2</v>
      </c>
      <c r="E3777">
        <v>0</v>
      </c>
      <c r="F3777" t="s">
        <v>14153</v>
      </c>
      <c r="G3777">
        <v>400</v>
      </c>
      <c r="H3777">
        <v>0</v>
      </c>
      <c r="I3777" t="s">
        <v>140</v>
      </c>
      <c r="J3777" t="s">
        <v>14154</v>
      </c>
      <c r="K3777" t="s">
        <v>26</v>
      </c>
      <c r="L3777" t="s">
        <v>27</v>
      </c>
      <c r="M3777" t="s">
        <v>28</v>
      </c>
      <c r="N3777" t="s">
        <v>14155</v>
      </c>
      <c r="O3777" t="s">
        <v>27</v>
      </c>
      <c r="P3777" t="s">
        <v>369</v>
      </c>
      <c r="Q3777" t="s">
        <v>31</v>
      </c>
      <c r="R3777" t="s">
        <v>57</v>
      </c>
      <c r="S3777" t="s">
        <v>28</v>
      </c>
      <c r="T3777" t="s">
        <v>14156</v>
      </c>
      <c r="U3777" t="s">
        <v>14157</v>
      </c>
    </row>
    <row r="3778" spans="1:21" x14ac:dyDescent="0.25">
      <c r="A3778" t="s">
        <v>58</v>
      </c>
      <c r="B3778" t="s">
        <v>58</v>
      </c>
      <c r="C3778">
        <v>150</v>
      </c>
      <c r="D3778">
        <v>1</v>
      </c>
      <c r="E3778">
        <v>0</v>
      </c>
      <c r="F3778" t="s">
        <v>14158</v>
      </c>
      <c r="G3778">
        <v>325</v>
      </c>
      <c r="H3778">
        <v>35</v>
      </c>
      <c r="I3778" t="s">
        <v>24</v>
      </c>
      <c r="J3778" t="s">
        <v>14159</v>
      </c>
      <c r="K3778" t="s">
        <v>14160</v>
      </c>
      <c r="L3778" t="s">
        <v>1146</v>
      </c>
      <c r="M3778" t="s">
        <v>11713</v>
      </c>
      <c r="N3778" t="s">
        <v>14150</v>
      </c>
      <c r="O3778" t="s">
        <v>27</v>
      </c>
      <c r="P3778" t="s">
        <v>193</v>
      </c>
      <c r="Q3778" t="s">
        <v>85</v>
      </c>
      <c r="R3778" t="s">
        <v>86</v>
      </c>
      <c r="S3778" t="s">
        <v>28</v>
      </c>
      <c r="T3778" t="s">
        <v>14161</v>
      </c>
      <c r="U3778" t="s">
        <v>14157</v>
      </c>
    </row>
    <row r="3779" spans="1:21" x14ac:dyDescent="0.25">
      <c r="A3779" t="s">
        <v>275</v>
      </c>
      <c r="B3779" t="s">
        <v>1864</v>
      </c>
      <c r="C3779">
        <v>140</v>
      </c>
      <c r="D3779">
        <v>1</v>
      </c>
      <c r="E3779">
        <v>0</v>
      </c>
      <c r="F3779" t="s">
        <v>14158</v>
      </c>
      <c r="G3779">
        <v>325</v>
      </c>
      <c r="H3779">
        <v>35</v>
      </c>
      <c r="I3779" t="s">
        <v>24</v>
      </c>
      <c r="J3779" t="s">
        <v>14159</v>
      </c>
      <c r="K3779" t="s">
        <v>14160</v>
      </c>
      <c r="L3779" t="s">
        <v>1146</v>
      </c>
      <c r="M3779" t="s">
        <v>11713</v>
      </c>
      <c r="N3779" t="s">
        <v>14150</v>
      </c>
      <c r="O3779" t="s">
        <v>27</v>
      </c>
      <c r="P3779" t="s">
        <v>193</v>
      </c>
      <c r="Q3779" t="s">
        <v>85</v>
      </c>
      <c r="R3779" t="s">
        <v>86</v>
      </c>
      <c r="S3779" t="s">
        <v>28</v>
      </c>
      <c r="T3779" t="s">
        <v>14161</v>
      </c>
      <c r="U3779" t="s">
        <v>14150</v>
      </c>
    </row>
    <row r="3780" spans="1:21" x14ac:dyDescent="0.25">
      <c r="A3780" t="s">
        <v>134</v>
      </c>
      <c r="B3780" t="s">
        <v>64</v>
      </c>
      <c r="C3780">
        <v>100</v>
      </c>
      <c r="D3780">
        <v>4</v>
      </c>
      <c r="E3780">
        <v>0</v>
      </c>
      <c r="F3780" t="s">
        <v>14162</v>
      </c>
      <c r="G3780">
        <v>400</v>
      </c>
      <c r="H3780">
        <v>0</v>
      </c>
      <c r="I3780" t="s">
        <v>445</v>
      </c>
      <c r="J3780" t="s">
        <v>14163</v>
      </c>
      <c r="K3780" t="s">
        <v>1029</v>
      </c>
      <c r="L3780" t="s">
        <v>27</v>
      </c>
      <c r="M3780" t="s">
        <v>28</v>
      </c>
      <c r="N3780" t="s">
        <v>14164</v>
      </c>
      <c r="O3780" t="s">
        <v>27</v>
      </c>
      <c r="P3780" t="s">
        <v>39</v>
      </c>
      <c r="Q3780" t="s">
        <v>31</v>
      </c>
      <c r="R3780" t="s">
        <v>32</v>
      </c>
      <c r="S3780" t="s">
        <v>28</v>
      </c>
      <c r="T3780" t="s">
        <v>14165</v>
      </c>
      <c r="U3780" t="s">
        <v>14166</v>
      </c>
    </row>
    <row r="3781" spans="1:21" x14ac:dyDescent="0.25">
      <c r="A3781" t="s">
        <v>70</v>
      </c>
      <c r="B3781" t="s">
        <v>70</v>
      </c>
      <c r="C3781">
        <v>330</v>
      </c>
      <c r="D3781">
        <v>1</v>
      </c>
      <c r="E3781">
        <v>0</v>
      </c>
      <c r="F3781" t="s">
        <v>14167</v>
      </c>
      <c r="G3781">
        <v>330</v>
      </c>
      <c r="H3781">
        <v>0</v>
      </c>
      <c r="I3781" t="s">
        <v>445</v>
      </c>
      <c r="J3781" t="s">
        <v>14168</v>
      </c>
      <c r="K3781" t="s">
        <v>321</v>
      </c>
      <c r="L3781" t="s">
        <v>27</v>
      </c>
      <c r="M3781" t="s">
        <v>28</v>
      </c>
      <c r="N3781" t="s">
        <v>14169</v>
      </c>
      <c r="O3781" t="s">
        <v>27</v>
      </c>
      <c r="P3781" t="s">
        <v>39</v>
      </c>
      <c r="Q3781" t="s">
        <v>31</v>
      </c>
      <c r="R3781" t="s">
        <v>32</v>
      </c>
      <c r="S3781" t="s">
        <v>28</v>
      </c>
      <c r="T3781" t="s">
        <v>14170</v>
      </c>
      <c r="U3781" t="s">
        <v>14166</v>
      </c>
    </row>
    <row r="3782" spans="1:21" x14ac:dyDescent="0.25">
      <c r="A3782" t="s">
        <v>58</v>
      </c>
      <c r="B3782" t="s">
        <v>58</v>
      </c>
      <c r="C3782">
        <v>100</v>
      </c>
      <c r="D3782">
        <v>1</v>
      </c>
      <c r="E3782">
        <v>0</v>
      </c>
      <c r="F3782" t="s">
        <v>14171</v>
      </c>
      <c r="G3782">
        <v>100</v>
      </c>
      <c r="H3782">
        <v>0</v>
      </c>
      <c r="I3782" t="s">
        <v>445</v>
      </c>
      <c r="J3782" t="s">
        <v>7339</v>
      </c>
      <c r="K3782" t="s">
        <v>183</v>
      </c>
      <c r="L3782" t="s">
        <v>27</v>
      </c>
      <c r="M3782" t="s">
        <v>28</v>
      </c>
      <c r="N3782" t="s">
        <v>14172</v>
      </c>
      <c r="O3782" t="s">
        <v>27</v>
      </c>
      <c r="P3782" t="s">
        <v>39</v>
      </c>
      <c r="Q3782" t="s">
        <v>31</v>
      </c>
      <c r="R3782" t="s">
        <v>32</v>
      </c>
      <c r="S3782" t="s">
        <v>28</v>
      </c>
      <c r="T3782" t="s">
        <v>14173</v>
      </c>
      <c r="U3782" t="s">
        <v>14172</v>
      </c>
    </row>
    <row r="3783" spans="1:21" x14ac:dyDescent="0.25">
      <c r="A3783" t="s">
        <v>134</v>
      </c>
      <c r="B3783" t="s">
        <v>64</v>
      </c>
      <c r="C3783">
        <v>100</v>
      </c>
      <c r="D3783">
        <v>4</v>
      </c>
      <c r="E3783">
        <v>0</v>
      </c>
      <c r="F3783" t="s">
        <v>14174</v>
      </c>
      <c r="G3783">
        <v>400</v>
      </c>
      <c r="H3783">
        <v>0</v>
      </c>
      <c r="I3783" t="s">
        <v>24</v>
      </c>
      <c r="J3783" t="s">
        <v>14175</v>
      </c>
      <c r="K3783" t="s">
        <v>2243</v>
      </c>
      <c r="L3783" t="s">
        <v>27</v>
      </c>
      <c r="M3783" t="s">
        <v>28</v>
      </c>
      <c r="N3783" t="s">
        <v>14176</v>
      </c>
      <c r="O3783" t="s">
        <v>27</v>
      </c>
      <c r="P3783" t="s">
        <v>39</v>
      </c>
      <c r="Q3783" t="s">
        <v>31</v>
      </c>
      <c r="R3783" t="s">
        <v>32</v>
      </c>
      <c r="S3783" t="s">
        <v>28</v>
      </c>
      <c r="T3783" t="s">
        <v>14177</v>
      </c>
      <c r="U3783" t="s">
        <v>14176</v>
      </c>
    </row>
    <row r="3784" spans="1:21" x14ac:dyDescent="0.25">
      <c r="A3784" t="s">
        <v>63</v>
      </c>
      <c r="B3784" t="s">
        <v>64</v>
      </c>
      <c r="C3784">
        <v>100</v>
      </c>
      <c r="D3784">
        <v>3</v>
      </c>
      <c r="E3784">
        <v>0</v>
      </c>
      <c r="F3784" t="s">
        <v>14178</v>
      </c>
      <c r="G3784">
        <v>300</v>
      </c>
      <c r="H3784">
        <v>0</v>
      </c>
      <c r="I3784" t="s">
        <v>445</v>
      </c>
      <c r="J3784" t="s">
        <v>14179</v>
      </c>
      <c r="K3784" t="s">
        <v>1602</v>
      </c>
      <c r="L3784" t="s">
        <v>27</v>
      </c>
      <c r="M3784" t="s">
        <v>28</v>
      </c>
      <c r="N3784" t="s">
        <v>14180</v>
      </c>
      <c r="O3784" t="s">
        <v>27</v>
      </c>
      <c r="P3784" t="s">
        <v>56</v>
      </c>
      <c r="Q3784" t="s">
        <v>31</v>
      </c>
      <c r="R3784" t="s">
        <v>57</v>
      </c>
      <c r="S3784" t="s">
        <v>28</v>
      </c>
      <c r="T3784" t="s">
        <v>14181</v>
      </c>
      <c r="U3784" t="s">
        <v>14176</v>
      </c>
    </row>
    <row r="3785" spans="1:21" x14ac:dyDescent="0.25">
      <c r="A3785" t="s">
        <v>33</v>
      </c>
      <c r="B3785" t="s">
        <v>34</v>
      </c>
      <c r="C3785">
        <v>200</v>
      </c>
      <c r="D3785">
        <v>1</v>
      </c>
      <c r="E3785">
        <v>0</v>
      </c>
      <c r="F3785" t="s">
        <v>14182</v>
      </c>
      <c r="G3785">
        <v>200</v>
      </c>
      <c r="H3785">
        <v>0</v>
      </c>
      <c r="I3785" t="s">
        <v>24</v>
      </c>
      <c r="J3785" t="s">
        <v>14183</v>
      </c>
      <c r="K3785" t="s">
        <v>213</v>
      </c>
      <c r="L3785" t="s">
        <v>27</v>
      </c>
      <c r="M3785" t="s">
        <v>28</v>
      </c>
      <c r="N3785" t="s">
        <v>14184</v>
      </c>
      <c r="O3785" t="s">
        <v>27</v>
      </c>
      <c r="P3785" t="s">
        <v>39</v>
      </c>
      <c r="Q3785" t="s">
        <v>31</v>
      </c>
      <c r="R3785" t="s">
        <v>32</v>
      </c>
      <c r="S3785" t="s">
        <v>28</v>
      </c>
      <c r="T3785" t="s">
        <v>14185</v>
      </c>
      <c r="U3785" t="s">
        <v>14184</v>
      </c>
    </row>
    <row r="3786" spans="1:21" x14ac:dyDescent="0.25">
      <c r="A3786" t="s">
        <v>2307</v>
      </c>
      <c r="B3786" t="s">
        <v>2308</v>
      </c>
      <c r="C3786">
        <v>330</v>
      </c>
      <c r="D3786">
        <v>1</v>
      </c>
      <c r="E3786">
        <v>0</v>
      </c>
      <c r="F3786" t="s">
        <v>14186</v>
      </c>
      <c r="G3786">
        <v>330</v>
      </c>
      <c r="H3786">
        <v>0</v>
      </c>
      <c r="I3786" t="s">
        <v>140</v>
      </c>
      <c r="J3786" t="s">
        <v>14187</v>
      </c>
      <c r="K3786" t="s">
        <v>1629</v>
      </c>
      <c r="L3786" t="s">
        <v>27</v>
      </c>
      <c r="M3786" t="s">
        <v>28</v>
      </c>
      <c r="N3786" t="s">
        <v>14188</v>
      </c>
      <c r="O3786" t="s">
        <v>27</v>
      </c>
      <c r="P3786" t="s">
        <v>30</v>
      </c>
      <c r="Q3786" t="s">
        <v>31</v>
      </c>
      <c r="R3786" t="s">
        <v>32</v>
      </c>
      <c r="S3786" t="s">
        <v>28</v>
      </c>
      <c r="T3786" t="s">
        <v>14189</v>
      </c>
      <c r="U3786" t="s">
        <v>14188</v>
      </c>
    </row>
    <row r="3787" spans="1:21" x14ac:dyDescent="0.25">
      <c r="A3787" t="s">
        <v>33</v>
      </c>
      <c r="B3787" t="s">
        <v>34</v>
      </c>
      <c r="C3787">
        <v>200</v>
      </c>
      <c r="D3787">
        <v>1</v>
      </c>
      <c r="E3787">
        <v>0</v>
      </c>
      <c r="F3787" t="s">
        <v>14190</v>
      </c>
      <c r="G3787">
        <v>200</v>
      </c>
      <c r="H3787">
        <v>0</v>
      </c>
      <c r="I3787" t="s">
        <v>24</v>
      </c>
      <c r="J3787" t="s">
        <v>8020</v>
      </c>
      <c r="K3787" t="s">
        <v>753</v>
      </c>
      <c r="L3787" t="s">
        <v>27</v>
      </c>
      <c r="M3787" t="s">
        <v>28</v>
      </c>
      <c r="N3787" t="s">
        <v>14191</v>
      </c>
      <c r="O3787" t="s">
        <v>27</v>
      </c>
      <c r="P3787" t="s">
        <v>39</v>
      </c>
      <c r="Q3787" t="s">
        <v>31</v>
      </c>
      <c r="R3787" t="s">
        <v>32</v>
      </c>
      <c r="S3787" t="s">
        <v>28</v>
      </c>
      <c r="T3787" t="s">
        <v>14192</v>
      </c>
      <c r="U3787" t="s">
        <v>14191</v>
      </c>
    </row>
    <row r="3788" spans="1:21" x14ac:dyDescent="0.25">
      <c r="A3788" t="s">
        <v>58</v>
      </c>
      <c r="B3788" t="s">
        <v>58</v>
      </c>
      <c r="C3788">
        <v>100</v>
      </c>
      <c r="D3788">
        <v>1</v>
      </c>
      <c r="E3788">
        <v>0</v>
      </c>
      <c r="F3788" t="s">
        <v>14193</v>
      </c>
      <c r="G3788">
        <v>106</v>
      </c>
      <c r="H3788">
        <v>6</v>
      </c>
      <c r="I3788" t="s">
        <v>24</v>
      </c>
      <c r="J3788" t="s">
        <v>14194</v>
      </c>
      <c r="K3788" t="s">
        <v>250</v>
      </c>
      <c r="L3788" t="s">
        <v>27</v>
      </c>
      <c r="M3788" t="s">
        <v>28</v>
      </c>
      <c r="N3788" t="s">
        <v>14191</v>
      </c>
      <c r="O3788" t="s">
        <v>27</v>
      </c>
      <c r="P3788" t="s">
        <v>39</v>
      </c>
      <c r="Q3788" t="s">
        <v>31</v>
      </c>
      <c r="R3788" t="s">
        <v>32</v>
      </c>
      <c r="S3788" t="s">
        <v>28</v>
      </c>
      <c r="T3788" t="s">
        <v>14195</v>
      </c>
      <c r="U3788" t="s">
        <v>14191</v>
      </c>
    </row>
    <row r="3789" spans="1:21" x14ac:dyDescent="0.25">
      <c r="A3789" t="s">
        <v>33</v>
      </c>
      <c r="B3789" t="s">
        <v>34</v>
      </c>
      <c r="C3789">
        <v>200</v>
      </c>
      <c r="D3789">
        <v>1</v>
      </c>
      <c r="E3789">
        <v>0</v>
      </c>
      <c r="F3789" t="s">
        <v>14196</v>
      </c>
      <c r="G3789">
        <v>200</v>
      </c>
      <c r="H3789">
        <v>0</v>
      </c>
      <c r="I3789" t="s">
        <v>445</v>
      </c>
      <c r="J3789" t="s">
        <v>14197</v>
      </c>
      <c r="K3789" t="s">
        <v>466</v>
      </c>
      <c r="L3789" t="s">
        <v>27</v>
      </c>
      <c r="M3789" t="s">
        <v>28</v>
      </c>
      <c r="N3789" t="s">
        <v>14198</v>
      </c>
      <c r="O3789" t="s">
        <v>27</v>
      </c>
      <c r="P3789" t="s">
        <v>39</v>
      </c>
      <c r="Q3789" t="s">
        <v>31</v>
      </c>
      <c r="R3789" t="s">
        <v>32</v>
      </c>
      <c r="S3789" t="s">
        <v>28</v>
      </c>
      <c r="T3789" t="s">
        <v>14199</v>
      </c>
      <c r="U3789" t="s">
        <v>14198</v>
      </c>
    </row>
    <row r="3790" spans="1:21" x14ac:dyDescent="0.25">
      <c r="A3790" t="s">
        <v>134</v>
      </c>
      <c r="B3790" t="s">
        <v>64</v>
      </c>
      <c r="C3790">
        <v>100</v>
      </c>
      <c r="D3790">
        <v>2</v>
      </c>
      <c r="E3790">
        <v>0</v>
      </c>
      <c r="F3790" t="s">
        <v>14200</v>
      </c>
      <c r="G3790">
        <v>200</v>
      </c>
      <c r="H3790">
        <v>0</v>
      </c>
      <c r="I3790" t="s">
        <v>140</v>
      </c>
      <c r="J3790" t="s">
        <v>14201</v>
      </c>
      <c r="K3790" t="s">
        <v>346</v>
      </c>
      <c r="L3790" t="s">
        <v>27</v>
      </c>
      <c r="M3790" t="s">
        <v>28</v>
      </c>
      <c r="N3790" t="s">
        <v>14202</v>
      </c>
      <c r="O3790" t="s">
        <v>27</v>
      </c>
      <c r="P3790" t="s">
        <v>369</v>
      </c>
      <c r="Q3790" t="s">
        <v>31</v>
      </c>
      <c r="R3790" t="s">
        <v>57</v>
      </c>
      <c r="S3790" t="s">
        <v>28</v>
      </c>
      <c r="T3790" t="s">
        <v>14203</v>
      </c>
      <c r="U3790" t="s">
        <v>14204</v>
      </c>
    </row>
    <row r="3791" spans="1:21" x14ac:dyDescent="0.25">
      <c r="A3791" t="s">
        <v>33</v>
      </c>
      <c r="B3791" t="s">
        <v>34</v>
      </c>
      <c r="C3791">
        <v>200</v>
      </c>
      <c r="D3791">
        <v>1</v>
      </c>
      <c r="E3791">
        <v>0</v>
      </c>
      <c r="F3791" t="s">
        <v>14205</v>
      </c>
      <c r="G3791">
        <v>200</v>
      </c>
      <c r="H3791">
        <v>0</v>
      </c>
      <c r="I3791" t="s">
        <v>445</v>
      </c>
      <c r="J3791" t="s">
        <v>14206</v>
      </c>
      <c r="K3791" t="s">
        <v>346</v>
      </c>
      <c r="L3791" t="s">
        <v>27</v>
      </c>
      <c r="M3791" t="s">
        <v>28</v>
      </c>
      <c r="N3791" t="s">
        <v>14207</v>
      </c>
      <c r="O3791" t="s">
        <v>27</v>
      </c>
      <c r="P3791" t="s">
        <v>39</v>
      </c>
      <c r="Q3791" t="s">
        <v>31</v>
      </c>
      <c r="R3791" t="s">
        <v>32</v>
      </c>
      <c r="S3791" t="s">
        <v>28</v>
      </c>
      <c r="T3791" t="s">
        <v>14208</v>
      </c>
      <c r="U3791" t="s">
        <v>14207</v>
      </c>
    </row>
    <row r="3792" spans="1:21" x14ac:dyDescent="0.25">
      <c r="A3792" t="s">
        <v>143</v>
      </c>
      <c r="B3792" t="s">
        <v>144</v>
      </c>
      <c r="C3792">
        <v>200</v>
      </c>
      <c r="D3792">
        <v>1</v>
      </c>
      <c r="E3792">
        <v>0</v>
      </c>
      <c r="F3792" t="s">
        <v>14209</v>
      </c>
      <c r="G3792">
        <v>200</v>
      </c>
      <c r="H3792">
        <v>0</v>
      </c>
      <c r="I3792" t="s">
        <v>24</v>
      </c>
      <c r="J3792" t="s">
        <v>14210</v>
      </c>
      <c r="K3792" t="s">
        <v>209</v>
      </c>
      <c r="L3792" t="s">
        <v>27</v>
      </c>
      <c r="M3792" t="s">
        <v>28</v>
      </c>
      <c r="N3792" t="s">
        <v>14211</v>
      </c>
      <c r="O3792" t="s">
        <v>27</v>
      </c>
      <c r="P3792" t="s">
        <v>56</v>
      </c>
      <c r="Q3792" t="s">
        <v>31</v>
      </c>
      <c r="R3792" t="s">
        <v>57</v>
      </c>
      <c r="S3792" t="s">
        <v>28</v>
      </c>
      <c r="T3792" t="s">
        <v>14212</v>
      </c>
      <c r="U3792" t="s">
        <v>14213</v>
      </c>
    </row>
    <row r="3793" spans="1:21" x14ac:dyDescent="0.25">
      <c r="A3793" t="s">
        <v>58</v>
      </c>
      <c r="B3793" t="s">
        <v>103</v>
      </c>
      <c r="C3793">
        <v>84</v>
      </c>
      <c r="D3793">
        <v>1</v>
      </c>
      <c r="E3793">
        <v>0</v>
      </c>
      <c r="F3793" t="s">
        <v>14214</v>
      </c>
      <c r="G3793">
        <v>89</v>
      </c>
      <c r="H3793">
        <v>5</v>
      </c>
      <c r="I3793" t="s">
        <v>105</v>
      </c>
      <c r="J3793" t="s">
        <v>14215</v>
      </c>
      <c r="K3793" t="s">
        <v>14216</v>
      </c>
      <c r="L3793" t="s">
        <v>1730</v>
      </c>
      <c r="M3793" t="s">
        <v>14217</v>
      </c>
      <c r="N3793" t="s">
        <v>14218</v>
      </c>
      <c r="O3793" t="s">
        <v>27</v>
      </c>
      <c r="P3793" t="s">
        <v>48</v>
      </c>
      <c r="Q3793" t="s">
        <v>49</v>
      </c>
      <c r="R3793" t="s">
        <v>50</v>
      </c>
      <c r="S3793" t="s">
        <v>28</v>
      </c>
      <c r="T3793" t="s">
        <v>14219</v>
      </c>
      <c r="U3793" t="s">
        <v>14218</v>
      </c>
    </row>
    <row r="3794" spans="1:21" x14ac:dyDescent="0.25">
      <c r="A3794" t="s">
        <v>58</v>
      </c>
      <c r="B3794" t="s">
        <v>58</v>
      </c>
      <c r="C3794">
        <v>100</v>
      </c>
      <c r="D3794">
        <v>1</v>
      </c>
      <c r="E3794">
        <v>0</v>
      </c>
      <c r="F3794" t="s">
        <v>14220</v>
      </c>
      <c r="G3794">
        <v>200</v>
      </c>
      <c r="H3794">
        <v>0</v>
      </c>
      <c r="I3794" t="s">
        <v>445</v>
      </c>
      <c r="J3794" t="s">
        <v>14221</v>
      </c>
      <c r="K3794" t="s">
        <v>677</v>
      </c>
      <c r="L3794" t="s">
        <v>27</v>
      </c>
      <c r="M3794" t="s">
        <v>28</v>
      </c>
      <c r="N3794" t="s">
        <v>14222</v>
      </c>
      <c r="O3794" t="s">
        <v>27</v>
      </c>
      <c r="P3794" t="s">
        <v>56</v>
      </c>
      <c r="Q3794" t="s">
        <v>31</v>
      </c>
      <c r="R3794" t="s">
        <v>57</v>
      </c>
      <c r="S3794" t="s">
        <v>28</v>
      </c>
      <c r="T3794" t="s">
        <v>14223</v>
      </c>
      <c r="U3794" t="s">
        <v>14222</v>
      </c>
    </row>
    <row r="3795" spans="1:21" x14ac:dyDescent="0.25">
      <c r="A3795" t="s">
        <v>134</v>
      </c>
      <c r="B3795" t="s">
        <v>64</v>
      </c>
      <c r="C3795">
        <v>100</v>
      </c>
      <c r="D3795">
        <v>1</v>
      </c>
      <c r="E3795">
        <v>0</v>
      </c>
      <c r="F3795" t="s">
        <v>14220</v>
      </c>
      <c r="G3795">
        <v>200</v>
      </c>
      <c r="H3795">
        <v>0</v>
      </c>
      <c r="I3795" t="s">
        <v>445</v>
      </c>
      <c r="J3795" t="s">
        <v>14221</v>
      </c>
      <c r="K3795" t="s">
        <v>677</v>
      </c>
      <c r="L3795" t="s">
        <v>27</v>
      </c>
      <c r="M3795" t="s">
        <v>28</v>
      </c>
      <c r="N3795" t="s">
        <v>14222</v>
      </c>
      <c r="O3795" t="s">
        <v>27</v>
      </c>
      <c r="P3795" t="s">
        <v>56</v>
      </c>
      <c r="Q3795" t="s">
        <v>31</v>
      </c>
      <c r="R3795" t="s">
        <v>57</v>
      </c>
      <c r="S3795" t="s">
        <v>28</v>
      </c>
      <c r="T3795" t="s">
        <v>14223</v>
      </c>
      <c r="U3795" t="s">
        <v>14222</v>
      </c>
    </row>
    <row r="3796" spans="1:21" x14ac:dyDescent="0.25">
      <c r="A3796" t="s">
        <v>33</v>
      </c>
      <c r="B3796" t="s">
        <v>34</v>
      </c>
      <c r="C3796">
        <v>200</v>
      </c>
      <c r="D3796">
        <v>2</v>
      </c>
      <c r="E3796">
        <v>0</v>
      </c>
      <c r="F3796" t="s">
        <v>14224</v>
      </c>
      <c r="G3796">
        <v>400</v>
      </c>
      <c r="H3796">
        <v>0</v>
      </c>
      <c r="I3796" t="s">
        <v>24</v>
      </c>
      <c r="J3796" t="s">
        <v>14225</v>
      </c>
      <c r="K3796" t="s">
        <v>89</v>
      </c>
      <c r="L3796" t="s">
        <v>27</v>
      </c>
      <c r="M3796" t="s">
        <v>28</v>
      </c>
      <c r="N3796" t="s">
        <v>14226</v>
      </c>
      <c r="O3796" t="s">
        <v>27</v>
      </c>
      <c r="P3796" t="s">
        <v>56</v>
      </c>
      <c r="Q3796" t="s">
        <v>31</v>
      </c>
      <c r="R3796" t="s">
        <v>57</v>
      </c>
      <c r="S3796" t="s">
        <v>14227</v>
      </c>
      <c r="T3796" t="s">
        <v>14228</v>
      </c>
      <c r="U3796" t="s">
        <v>14226</v>
      </c>
    </row>
    <row r="3797" spans="1:21" x14ac:dyDescent="0.25">
      <c r="A3797" t="s">
        <v>33</v>
      </c>
      <c r="B3797" t="s">
        <v>34</v>
      </c>
      <c r="C3797">
        <v>200</v>
      </c>
      <c r="D3797">
        <v>1</v>
      </c>
      <c r="E3797">
        <v>0</v>
      </c>
      <c r="F3797" t="s">
        <v>14229</v>
      </c>
      <c r="G3797">
        <v>200</v>
      </c>
      <c r="H3797">
        <v>0</v>
      </c>
      <c r="I3797" t="s">
        <v>445</v>
      </c>
      <c r="J3797" t="s">
        <v>14230</v>
      </c>
      <c r="K3797" t="s">
        <v>124</v>
      </c>
      <c r="L3797" t="s">
        <v>27</v>
      </c>
      <c r="M3797" t="s">
        <v>28</v>
      </c>
      <c r="N3797" t="s">
        <v>14226</v>
      </c>
      <c r="O3797" t="s">
        <v>27</v>
      </c>
      <c r="P3797" t="s">
        <v>56</v>
      </c>
      <c r="Q3797" t="s">
        <v>31</v>
      </c>
      <c r="R3797" t="s">
        <v>57</v>
      </c>
      <c r="S3797" t="s">
        <v>28</v>
      </c>
      <c r="T3797" t="s">
        <v>14231</v>
      </c>
      <c r="U3797" t="s">
        <v>14232</v>
      </c>
    </row>
    <row r="3798" spans="1:21" x14ac:dyDescent="0.25">
      <c r="A3798" t="s">
        <v>143</v>
      </c>
      <c r="B3798" t="s">
        <v>144</v>
      </c>
      <c r="C3798">
        <v>200</v>
      </c>
      <c r="D3798">
        <v>1</v>
      </c>
      <c r="E3798">
        <v>0</v>
      </c>
      <c r="F3798" t="s">
        <v>14233</v>
      </c>
      <c r="G3798">
        <v>200</v>
      </c>
      <c r="H3798">
        <v>0</v>
      </c>
      <c r="I3798" t="s">
        <v>24</v>
      </c>
      <c r="J3798" t="s">
        <v>14234</v>
      </c>
      <c r="K3798" t="s">
        <v>124</v>
      </c>
      <c r="L3798" t="s">
        <v>27</v>
      </c>
      <c r="M3798" t="s">
        <v>28</v>
      </c>
      <c r="N3798" t="s">
        <v>14235</v>
      </c>
      <c r="O3798" t="s">
        <v>27</v>
      </c>
      <c r="P3798" t="s">
        <v>39</v>
      </c>
      <c r="Q3798" t="s">
        <v>31</v>
      </c>
      <c r="R3798" t="s">
        <v>32</v>
      </c>
      <c r="S3798" t="s">
        <v>28</v>
      </c>
      <c r="T3798" t="s">
        <v>14236</v>
      </c>
      <c r="U3798" t="s">
        <v>14235</v>
      </c>
    </row>
    <row r="3799" spans="1:21" x14ac:dyDescent="0.25">
      <c r="A3799" t="s">
        <v>143</v>
      </c>
      <c r="B3799" t="s">
        <v>144</v>
      </c>
      <c r="C3799">
        <v>200</v>
      </c>
      <c r="D3799">
        <v>2</v>
      </c>
      <c r="E3799">
        <v>0</v>
      </c>
      <c r="F3799" t="s">
        <v>14237</v>
      </c>
      <c r="G3799">
        <v>400</v>
      </c>
      <c r="H3799">
        <v>0</v>
      </c>
      <c r="I3799" t="s">
        <v>445</v>
      </c>
      <c r="J3799" t="s">
        <v>14238</v>
      </c>
      <c r="K3799" t="s">
        <v>653</v>
      </c>
      <c r="L3799" t="s">
        <v>27</v>
      </c>
      <c r="M3799" t="s">
        <v>28</v>
      </c>
      <c r="N3799" t="s">
        <v>14239</v>
      </c>
      <c r="O3799" t="s">
        <v>27</v>
      </c>
      <c r="P3799" t="s">
        <v>39</v>
      </c>
      <c r="Q3799" t="s">
        <v>31</v>
      </c>
      <c r="R3799" t="s">
        <v>32</v>
      </c>
      <c r="S3799" t="s">
        <v>28</v>
      </c>
      <c r="T3799" t="s">
        <v>14240</v>
      </c>
      <c r="U3799" t="s">
        <v>14239</v>
      </c>
    </row>
    <row r="3800" spans="1:21" x14ac:dyDescent="0.25">
      <c r="A3800" t="s">
        <v>33</v>
      </c>
      <c r="B3800" t="s">
        <v>34</v>
      </c>
      <c r="C3800">
        <v>200</v>
      </c>
      <c r="D3800">
        <v>1</v>
      </c>
      <c r="E3800">
        <v>0</v>
      </c>
      <c r="F3800" t="s">
        <v>14241</v>
      </c>
      <c r="G3800">
        <v>200</v>
      </c>
      <c r="H3800">
        <v>0</v>
      </c>
      <c r="I3800" t="s">
        <v>24</v>
      </c>
      <c r="J3800" t="s">
        <v>14242</v>
      </c>
      <c r="K3800" t="s">
        <v>61</v>
      </c>
      <c r="L3800" t="s">
        <v>27</v>
      </c>
      <c r="M3800" t="s">
        <v>28</v>
      </c>
      <c r="N3800" t="s">
        <v>14243</v>
      </c>
      <c r="O3800" t="s">
        <v>27</v>
      </c>
      <c r="P3800" t="s">
        <v>39</v>
      </c>
      <c r="Q3800" t="s">
        <v>31</v>
      </c>
      <c r="R3800" t="s">
        <v>32</v>
      </c>
      <c r="S3800" t="s">
        <v>28</v>
      </c>
      <c r="T3800" t="s">
        <v>14244</v>
      </c>
      <c r="U3800" t="s">
        <v>14243</v>
      </c>
    </row>
    <row r="3801" spans="1:21" x14ac:dyDescent="0.25">
      <c r="A3801" t="s">
        <v>33</v>
      </c>
      <c r="B3801" t="s">
        <v>34</v>
      </c>
      <c r="C3801">
        <v>200</v>
      </c>
      <c r="D3801">
        <v>1</v>
      </c>
      <c r="E3801">
        <v>0</v>
      </c>
      <c r="F3801" t="s">
        <v>14245</v>
      </c>
      <c r="G3801">
        <v>200</v>
      </c>
      <c r="H3801">
        <v>0</v>
      </c>
      <c r="I3801" t="s">
        <v>24</v>
      </c>
      <c r="J3801" t="s">
        <v>1530</v>
      </c>
      <c r="K3801" t="s">
        <v>73</v>
      </c>
      <c r="L3801" t="s">
        <v>27</v>
      </c>
      <c r="M3801" t="s">
        <v>28</v>
      </c>
      <c r="N3801" t="s">
        <v>14246</v>
      </c>
      <c r="O3801" t="s">
        <v>27</v>
      </c>
      <c r="P3801" t="s">
        <v>39</v>
      </c>
      <c r="Q3801" t="s">
        <v>31</v>
      </c>
      <c r="R3801" t="s">
        <v>32</v>
      </c>
      <c r="S3801" t="s">
        <v>28</v>
      </c>
      <c r="T3801" t="s">
        <v>14247</v>
      </c>
      <c r="U3801" t="s">
        <v>14246</v>
      </c>
    </row>
    <row r="3802" spans="1:21" x14ac:dyDescent="0.25">
      <c r="A3802" t="s">
        <v>134</v>
      </c>
      <c r="B3802" t="s">
        <v>64</v>
      </c>
      <c r="C3802">
        <v>100</v>
      </c>
      <c r="D3802">
        <v>2</v>
      </c>
      <c r="E3802">
        <v>0</v>
      </c>
      <c r="F3802" t="s">
        <v>14248</v>
      </c>
      <c r="G3802">
        <v>200</v>
      </c>
      <c r="H3802">
        <v>0</v>
      </c>
      <c r="I3802" t="s">
        <v>445</v>
      </c>
      <c r="J3802" t="s">
        <v>14249</v>
      </c>
      <c r="K3802" t="s">
        <v>384</v>
      </c>
      <c r="L3802" t="s">
        <v>27</v>
      </c>
      <c r="M3802" t="s">
        <v>28</v>
      </c>
      <c r="N3802" t="s">
        <v>14250</v>
      </c>
      <c r="O3802" t="s">
        <v>27</v>
      </c>
      <c r="P3802" t="s">
        <v>39</v>
      </c>
      <c r="Q3802" t="s">
        <v>31</v>
      </c>
      <c r="R3802" t="s">
        <v>32</v>
      </c>
      <c r="S3802" t="s">
        <v>28</v>
      </c>
      <c r="T3802" t="s">
        <v>14251</v>
      </c>
      <c r="U3802" t="s">
        <v>14250</v>
      </c>
    </row>
    <row r="3803" spans="1:21" x14ac:dyDescent="0.25">
      <c r="A3803" t="s">
        <v>134</v>
      </c>
      <c r="B3803" t="s">
        <v>64</v>
      </c>
      <c r="C3803">
        <v>100</v>
      </c>
      <c r="D3803">
        <v>1</v>
      </c>
      <c r="E3803">
        <v>0</v>
      </c>
      <c r="F3803" t="s">
        <v>14252</v>
      </c>
      <c r="G3803">
        <v>106</v>
      </c>
      <c r="H3803">
        <v>6</v>
      </c>
      <c r="I3803" t="s">
        <v>24</v>
      </c>
      <c r="J3803" t="s">
        <v>14253</v>
      </c>
      <c r="K3803" t="s">
        <v>325</v>
      </c>
      <c r="L3803" t="s">
        <v>27</v>
      </c>
      <c r="M3803" t="s">
        <v>28</v>
      </c>
      <c r="N3803" t="s">
        <v>14250</v>
      </c>
      <c r="O3803" t="s">
        <v>27</v>
      </c>
      <c r="P3803" t="s">
        <v>39</v>
      </c>
      <c r="Q3803" t="s">
        <v>31</v>
      </c>
      <c r="R3803" t="s">
        <v>32</v>
      </c>
      <c r="S3803" t="s">
        <v>28</v>
      </c>
      <c r="T3803" t="s">
        <v>14254</v>
      </c>
      <c r="U3803" t="s">
        <v>14250</v>
      </c>
    </row>
    <row r="3804" spans="1:21" x14ac:dyDescent="0.25">
      <c r="A3804" t="s">
        <v>635</v>
      </c>
      <c r="B3804" t="s">
        <v>636</v>
      </c>
      <c r="C3804">
        <v>699</v>
      </c>
      <c r="D3804">
        <v>1</v>
      </c>
      <c r="E3804">
        <v>0</v>
      </c>
      <c r="F3804" t="s">
        <v>14255</v>
      </c>
      <c r="G3804">
        <v>734</v>
      </c>
      <c r="H3804">
        <v>35</v>
      </c>
      <c r="I3804" t="s">
        <v>445</v>
      </c>
      <c r="J3804" t="s">
        <v>14256</v>
      </c>
      <c r="K3804" t="s">
        <v>14257</v>
      </c>
      <c r="L3804" t="s">
        <v>1522</v>
      </c>
      <c r="M3804" t="s">
        <v>1744</v>
      </c>
      <c r="N3804" t="s">
        <v>14258</v>
      </c>
      <c r="O3804" t="s">
        <v>27</v>
      </c>
      <c r="P3804" t="s">
        <v>193</v>
      </c>
      <c r="Q3804" t="s">
        <v>85</v>
      </c>
      <c r="R3804" t="s">
        <v>86</v>
      </c>
      <c r="S3804" t="s">
        <v>28</v>
      </c>
      <c r="T3804" t="s">
        <v>14259</v>
      </c>
      <c r="U3804" t="s">
        <v>14258</v>
      </c>
    </row>
    <row r="3805" spans="1:21" x14ac:dyDescent="0.25">
      <c r="A3805" t="s">
        <v>33</v>
      </c>
      <c r="B3805" t="s">
        <v>34</v>
      </c>
      <c r="C3805">
        <v>200</v>
      </c>
      <c r="D3805">
        <v>1</v>
      </c>
      <c r="E3805">
        <v>0</v>
      </c>
      <c r="F3805" t="s">
        <v>14260</v>
      </c>
      <c r="G3805">
        <v>200</v>
      </c>
      <c r="H3805">
        <v>0</v>
      </c>
      <c r="I3805" t="s">
        <v>24</v>
      </c>
      <c r="J3805" t="s">
        <v>14261</v>
      </c>
      <c r="K3805" t="s">
        <v>611</v>
      </c>
      <c r="L3805" t="s">
        <v>27</v>
      </c>
      <c r="M3805" t="s">
        <v>28</v>
      </c>
      <c r="N3805" t="s">
        <v>14262</v>
      </c>
      <c r="O3805" t="s">
        <v>27</v>
      </c>
      <c r="P3805" t="s">
        <v>39</v>
      </c>
      <c r="Q3805" t="s">
        <v>31</v>
      </c>
      <c r="R3805" t="s">
        <v>32</v>
      </c>
      <c r="S3805" t="s">
        <v>28</v>
      </c>
      <c r="T3805" t="s">
        <v>14263</v>
      </c>
      <c r="U3805" t="s">
        <v>14262</v>
      </c>
    </row>
    <row r="3806" spans="1:21" x14ac:dyDescent="0.25">
      <c r="A3806" t="s">
        <v>143</v>
      </c>
      <c r="B3806" t="s">
        <v>144</v>
      </c>
      <c r="C3806">
        <v>200</v>
      </c>
      <c r="D3806">
        <v>1</v>
      </c>
      <c r="E3806">
        <v>0</v>
      </c>
      <c r="F3806" t="s">
        <v>14264</v>
      </c>
      <c r="G3806">
        <v>200</v>
      </c>
      <c r="H3806">
        <v>0</v>
      </c>
      <c r="I3806" t="s">
        <v>445</v>
      </c>
      <c r="J3806" t="s">
        <v>14265</v>
      </c>
      <c r="K3806" t="s">
        <v>241</v>
      </c>
      <c r="L3806" t="s">
        <v>27</v>
      </c>
      <c r="M3806" t="s">
        <v>28</v>
      </c>
      <c r="N3806" t="s">
        <v>14266</v>
      </c>
      <c r="O3806" t="s">
        <v>27</v>
      </c>
      <c r="P3806" t="s">
        <v>39</v>
      </c>
      <c r="Q3806" t="s">
        <v>31</v>
      </c>
      <c r="R3806" t="s">
        <v>32</v>
      </c>
      <c r="S3806" t="s">
        <v>28</v>
      </c>
      <c r="T3806" t="s">
        <v>14267</v>
      </c>
      <c r="U3806" t="s">
        <v>14266</v>
      </c>
    </row>
    <row r="3807" spans="1:21" x14ac:dyDescent="0.25">
      <c r="A3807" t="s">
        <v>456</v>
      </c>
      <c r="B3807" t="s">
        <v>457</v>
      </c>
      <c r="C3807">
        <v>199</v>
      </c>
      <c r="D3807">
        <v>1</v>
      </c>
      <c r="E3807">
        <v>0</v>
      </c>
      <c r="F3807" t="s">
        <v>14268</v>
      </c>
      <c r="G3807">
        <v>199</v>
      </c>
      <c r="H3807">
        <v>0</v>
      </c>
      <c r="I3807" t="s">
        <v>24</v>
      </c>
      <c r="J3807" t="s">
        <v>14269</v>
      </c>
      <c r="K3807" t="s">
        <v>14270</v>
      </c>
      <c r="L3807" t="s">
        <v>666</v>
      </c>
      <c r="M3807" t="s">
        <v>12398</v>
      </c>
      <c r="N3807" t="s">
        <v>14271</v>
      </c>
      <c r="O3807" t="s">
        <v>27</v>
      </c>
      <c r="P3807" t="s">
        <v>84</v>
      </c>
      <c r="Q3807" t="s">
        <v>85</v>
      </c>
      <c r="R3807" t="s">
        <v>86</v>
      </c>
      <c r="S3807" t="s">
        <v>28</v>
      </c>
      <c r="T3807" t="s">
        <v>14272</v>
      </c>
      <c r="U3807" t="s">
        <v>14271</v>
      </c>
    </row>
    <row r="3808" spans="1:21" x14ac:dyDescent="0.25">
      <c r="A3808" t="s">
        <v>33</v>
      </c>
      <c r="B3808" t="s">
        <v>34</v>
      </c>
      <c r="C3808">
        <v>200</v>
      </c>
      <c r="D3808">
        <v>1</v>
      </c>
      <c r="E3808">
        <v>0</v>
      </c>
      <c r="F3808" t="s">
        <v>14273</v>
      </c>
      <c r="G3808">
        <v>200</v>
      </c>
      <c r="H3808">
        <v>0</v>
      </c>
      <c r="I3808" t="s">
        <v>445</v>
      </c>
      <c r="J3808" t="s">
        <v>7574</v>
      </c>
      <c r="K3808" t="s">
        <v>7575</v>
      </c>
      <c r="L3808" t="s">
        <v>27</v>
      </c>
      <c r="M3808" t="s">
        <v>28</v>
      </c>
      <c r="N3808" t="s">
        <v>14274</v>
      </c>
      <c r="O3808" t="s">
        <v>27</v>
      </c>
      <c r="P3808" t="s">
        <v>39</v>
      </c>
      <c r="Q3808" t="s">
        <v>31</v>
      </c>
      <c r="R3808" t="s">
        <v>32</v>
      </c>
      <c r="S3808" t="s">
        <v>28</v>
      </c>
      <c r="T3808" t="s">
        <v>14275</v>
      </c>
      <c r="U3808" t="s">
        <v>14274</v>
      </c>
    </row>
    <row r="3809" spans="1:21" x14ac:dyDescent="0.25">
      <c r="A3809" t="s">
        <v>143</v>
      </c>
      <c r="B3809" t="s">
        <v>144</v>
      </c>
      <c r="C3809">
        <v>200</v>
      </c>
      <c r="D3809">
        <v>1</v>
      </c>
      <c r="E3809">
        <v>0</v>
      </c>
      <c r="F3809" t="s">
        <v>14276</v>
      </c>
      <c r="G3809">
        <v>200</v>
      </c>
      <c r="H3809">
        <v>0</v>
      </c>
      <c r="I3809" t="s">
        <v>445</v>
      </c>
      <c r="J3809" t="s">
        <v>14277</v>
      </c>
      <c r="K3809" t="s">
        <v>273</v>
      </c>
      <c r="L3809" t="s">
        <v>27</v>
      </c>
      <c r="M3809" t="s">
        <v>28</v>
      </c>
      <c r="N3809" t="s">
        <v>14278</v>
      </c>
      <c r="O3809" t="s">
        <v>27</v>
      </c>
      <c r="P3809" t="s">
        <v>56</v>
      </c>
      <c r="Q3809" t="s">
        <v>31</v>
      </c>
      <c r="R3809" t="s">
        <v>57</v>
      </c>
      <c r="S3809" t="s">
        <v>28</v>
      </c>
      <c r="T3809" t="s">
        <v>14279</v>
      </c>
      <c r="U3809" t="s">
        <v>14278</v>
      </c>
    </row>
    <row r="3810" spans="1:21" x14ac:dyDescent="0.25">
      <c r="A3810" t="s">
        <v>58</v>
      </c>
      <c r="B3810" t="s">
        <v>58</v>
      </c>
      <c r="C3810">
        <v>100</v>
      </c>
      <c r="D3810">
        <v>2</v>
      </c>
      <c r="E3810">
        <v>0</v>
      </c>
      <c r="F3810" t="s">
        <v>14280</v>
      </c>
      <c r="G3810">
        <v>200</v>
      </c>
      <c r="H3810">
        <v>0</v>
      </c>
      <c r="I3810" t="s">
        <v>140</v>
      </c>
      <c r="J3810" t="s">
        <v>14281</v>
      </c>
      <c r="K3810" t="s">
        <v>5378</v>
      </c>
      <c r="L3810" t="s">
        <v>27</v>
      </c>
      <c r="M3810" t="s">
        <v>28</v>
      </c>
      <c r="N3810" t="s">
        <v>14282</v>
      </c>
      <c r="O3810" t="s">
        <v>27</v>
      </c>
      <c r="P3810" t="s">
        <v>369</v>
      </c>
      <c r="Q3810" t="s">
        <v>31</v>
      </c>
      <c r="R3810" t="s">
        <v>57</v>
      </c>
      <c r="S3810" t="s">
        <v>28</v>
      </c>
      <c r="T3810" t="s">
        <v>14283</v>
      </c>
      <c r="U3810" t="s">
        <v>14282</v>
      </c>
    </row>
    <row r="3811" spans="1:21" x14ac:dyDescent="0.25">
      <c r="A3811" t="s">
        <v>33</v>
      </c>
      <c r="B3811" t="s">
        <v>34</v>
      </c>
      <c r="C3811">
        <v>200</v>
      </c>
      <c r="D3811">
        <v>1</v>
      </c>
      <c r="E3811">
        <v>0</v>
      </c>
      <c r="F3811" t="s">
        <v>14284</v>
      </c>
      <c r="G3811">
        <v>200</v>
      </c>
      <c r="H3811">
        <v>0</v>
      </c>
      <c r="I3811" t="s">
        <v>24</v>
      </c>
      <c r="J3811" t="s">
        <v>14285</v>
      </c>
      <c r="K3811" t="s">
        <v>753</v>
      </c>
      <c r="L3811" t="s">
        <v>27</v>
      </c>
      <c r="M3811" t="s">
        <v>28</v>
      </c>
      <c r="N3811" t="s">
        <v>14286</v>
      </c>
      <c r="O3811" t="s">
        <v>27</v>
      </c>
      <c r="P3811" t="s">
        <v>39</v>
      </c>
      <c r="Q3811" t="s">
        <v>31</v>
      </c>
      <c r="R3811" t="s">
        <v>32</v>
      </c>
      <c r="S3811" t="s">
        <v>28</v>
      </c>
      <c r="T3811" t="s">
        <v>14287</v>
      </c>
      <c r="U3811" t="s">
        <v>14286</v>
      </c>
    </row>
    <row r="3812" spans="1:21" x14ac:dyDescent="0.25">
      <c r="A3812" t="s">
        <v>63</v>
      </c>
      <c r="B3812" t="s">
        <v>64</v>
      </c>
      <c r="C3812">
        <v>100</v>
      </c>
      <c r="D3812">
        <v>1</v>
      </c>
      <c r="E3812">
        <v>0</v>
      </c>
      <c r="F3812" t="s">
        <v>14288</v>
      </c>
      <c r="G3812">
        <v>298</v>
      </c>
      <c r="H3812">
        <v>0</v>
      </c>
      <c r="I3812" t="s">
        <v>24</v>
      </c>
      <c r="J3812" t="s">
        <v>10517</v>
      </c>
      <c r="K3812" t="s">
        <v>73</v>
      </c>
      <c r="L3812" t="s">
        <v>27</v>
      </c>
      <c r="M3812" t="s">
        <v>28</v>
      </c>
      <c r="N3812" t="s">
        <v>14289</v>
      </c>
      <c r="O3812" t="s">
        <v>27</v>
      </c>
      <c r="P3812" t="s">
        <v>56</v>
      </c>
      <c r="Q3812" t="s">
        <v>31</v>
      </c>
      <c r="R3812" t="s">
        <v>57</v>
      </c>
      <c r="S3812" t="s">
        <v>28</v>
      </c>
      <c r="T3812" t="s">
        <v>14290</v>
      </c>
      <c r="U3812" t="s">
        <v>14289</v>
      </c>
    </row>
    <row r="3813" spans="1:21" x14ac:dyDescent="0.25">
      <c r="A3813" t="s">
        <v>33</v>
      </c>
      <c r="B3813" t="s">
        <v>34</v>
      </c>
      <c r="C3813">
        <v>200</v>
      </c>
      <c r="D3813">
        <v>1</v>
      </c>
      <c r="E3813">
        <v>0</v>
      </c>
      <c r="F3813" t="s">
        <v>14291</v>
      </c>
      <c r="G3813">
        <v>200</v>
      </c>
      <c r="H3813">
        <v>0</v>
      </c>
      <c r="I3813" t="s">
        <v>24</v>
      </c>
      <c r="J3813" t="s">
        <v>14292</v>
      </c>
      <c r="K3813" t="s">
        <v>1878</v>
      </c>
      <c r="L3813" t="s">
        <v>27</v>
      </c>
      <c r="M3813" t="s">
        <v>28</v>
      </c>
      <c r="N3813" t="s">
        <v>14293</v>
      </c>
      <c r="O3813" t="s">
        <v>27</v>
      </c>
      <c r="P3813" t="s">
        <v>39</v>
      </c>
      <c r="Q3813" t="s">
        <v>31</v>
      </c>
      <c r="R3813" t="s">
        <v>32</v>
      </c>
      <c r="S3813" t="s">
        <v>28</v>
      </c>
      <c r="T3813" t="s">
        <v>14294</v>
      </c>
      <c r="U3813" t="s">
        <v>14293</v>
      </c>
    </row>
    <row r="3814" spans="1:21" x14ac:dyDescent="0.25">
      <c r="A3814" t="s">
        <v>58</v>
      </c>
      <c r="B3814" t="s">
        <v>58</v>
      </c>
      <c r="C3814">
        <v>100</v>
      </c>
      <c r="D3814">
        <v>1</v>
      </c>
      <c r="E3814">
        <v>0</v>
      </c>
      <c r="F3814" t="s">
        <v>14295</v>
      </c>
      <c r="G3814">
        <v>106</v>
      </c>
      <c r="H3814">
        <v>6</v>
      </c>
      <c r="I3814" t="s">
        <v>445</v>
      </c>
      <c r="J3814" t="s">
        <v>14296</v>
      </c>
      <c r="K3814" t="s">
        <v>54</v>
      </c>
      <c r="L3814" t="s">
        <v>27</v>
      </c>
      <c r="M3814" t="s">
        <v>28</v>
      </c>
      <c r="N3814" t="s">
        <v>14297</v>
      </c>
      <c r="O3814" t="s">
        <v>27</v>
      </c>
      <c r="P3814" t="s">
        <v>39</v>
      </c>
      <c r="Q3814" t="s">
        <v>31</v>
      </c>
      <c r="R3814" t="s">
        <v>32</v>
      </c>
      <c r="S3814" t="s">
        <v>28</v>
      </c>
      <c r="T3814" t="s">
        <v>14298</v>
      </c>
      <c r="U3814" t="s">
        <v>14297</v>
      </c>
    </row>
    <row r="3815" spans="1:21" x14ac:dyDescent="0.25">
      <c r="A3815" t="s">
        <v>63</v>
      </c>
      <c r="B3815" t="s">
        <v>64</v>
      </c>
      <c r="C3815">
        <v>100</v>
      </c>
      <c r="D3815">
        <v>1</v>
      </c>
      <c r="E3815">
        <v>0</v>
      </c>
      <c r="F3815" t="s">
        <v>14299</v>
      </c>
      <c r="G3815">
        <v>200</v>
      </c>
      <c r="H3815">
        <v>0</v>
      </c>
      <c r="I3815" t="s">
        <v>24</v>
      </c>
      <c r="J3815" t="s">
        <v>14300</v>
      </c>
      <c r="K3815" t="s">
        <v>89</v>
      </c>
      <c r="L3815" t="s">
        <v>27</v>
      </c>
      <c r="M3815" t="s">
        <v>28</v>
      </c>
      <c r="N3815" t="s">
        <v>14301</v>
      </c>
      <c r="O3815" t="s">
        <v>27</v>
      </c>
      <c r="P3815" t="s">
        <v>39</v>
      </c>
      <c r="Q3815" t="s">
        <v>31</v>
      </c>
      <c r="R3815" t="s">
        <v>32</v>
      </c>
      <c r="S3815" t="s">
        <v>28</v>
      </c>
      <c r="T3815" t="s">
        <v>14302</v>
      </c>
      <c r="U3815" t="s">
        <v>14301</v>
      </c>
    </row>
    <row r="3816" spans="1:21" x14ac:dyDescent="0.25">
      <c r="A3816" t="s">
        <v>134</v>
      </c>
      <c r="B3816" t="s">
        <v>64</v>
      </c>
      <c r="C3816">
        <v>100</v>
      </c>
      <c r="D3816">
        <v>1</v>
      </c>
      <c r="E3816">
        <v>0</v>
      </c>
      <c r="F3816" t="s">
        <v>14299</v>
      </c>
      <c r="G3816">
        <v>200</v>
      </c>
      <c r="H3816">
        <v>0</v>
      </c>
      <c r="I3816" t="s">
        <v>24</v>
      </c>
      <c r="J3816" t="s">
        <v>14300</v>
      </c>
      <c r="K3816" t="s">
        <v>89</v>
      </c>
      <c r="L3816" t="s">
        <v>27</v>
      </c>
      <c r="M3816" t="s">
        <v>28</v>
      </c>
      <c r="N3816" t="s">
        <v>14301</v>
      </c>
      <c r="O3816" t="s">
        <v>27</v>
      </c>
      <c r="P3816" t="s">
        <v>39</v>
      </c>
      <c r="Q3816" t="s">
        <v>31</v>
      </c>
      <c r="R3816" t="s">
        <v>32</v>
      </c>
      <c r="S3816" t="s">
        <v>28</v>
      </c>
      <c r="T3816" t="s">
        <v>14302</v>
      </c>
      <c r="U3816" t="s">
        <v>14301</v>
      </c>
    </row>
    <row r="3817" spans="1:21" x14ac:dyDescent="0.25">
      <c r="A3817" t="s">
        <v>70</v>
      </c>
      <c r="B3817" t="s">
        <v>70</v>
      </c>
      <c r="C3817">
        <v>330</v>
      </c>
      <c r="D3817">
        <v>1</v>
      </c>
      <c r="E3817">
        <v>0</v>
      </c>
      <c r="F3817" t="s">
        <v>14303</v>
      </c>
      <c r="G3817">
        <v>394</v>
      </c>
      <c r="H3817">
        <v>64</v>
      </c>
      <c r="I3817" t="s">
        <v>24</v>
      </c>
      <c r="J3817" t="s">
        <v>13221</v>
      </c>
      <c r="K3817" t="s">
        <v>753</v>
      </c>
      <c r="L3817" t="s">
        <v>27</v>
      </c>
      <c r="M3817" t="s">
        <v>28</v>
      </c>
      <c r="N3817" t="s">
        <v>14301</v>
      </c>
      <c r="O3817" t="s">
        <v>27</v>
      </c>
      <c r="P3817" t="s">
        <v>39</v>
      </c>
      <c r="Q3817" t="s">
        <v>31</v>
      </c>
      <c r="R3817" t="s">
        <v>32</v>
      </c>
      <c r="S3817" t="s">
        <v>28</v>
      </c>
      <c r="T3817" t="s">
        <v>14304</v>
      </c>
      <c r="U3817" t="s">
        <v>14301</v>
      </c>
    </row>
    <row r="3818" spans="1:21" x14ac:dyDescent="0.25">
      <c r="A3818" t="s">
        <v>33</v>
      </c>
      <c r="B3818" t="s">
        <v>34</v>
      </c>
      <c r="C3818">
        <v>200</v>
      </c>
      <c r="D3818">
        <v>1</v>
      </c>
      <c r="E3818">
        <v>0</v>
      </c>
      <c r="F3818" t="s">
        <v>14305</v>
      </c>
      <c r="G3818">
        <v>200</v>
      </c>
      <c r="H3818">
        <v>0</v>
      </c>
      <c r="I3818" t="s">
        <v>445</v>
      </c>
      <c r="J3818" t="s">
        <v>14306</v>
      </c>
      <c r="K3818" t="s">
        <v>753</v>
      </c>
      <c r="L3818" t="s">
        <v>27</v>
      </c>
      <c r="M3818" t="s">
        <v>28</v>
      </c>
      <c r="N3818" t="s">
        <v>14301</v>
      </c>
      <c r="O3818" t="s">
        <v>27</v>
      </c>
      <c r="P3818" t="s">
        <v>39</v>
      </c>
      <c r="Q3818" t="s">
        <v>31</v>
      </c>
      <c r="R3818" t="s">
        <v>32</v>
      </c>
      <c r="S3818" t="s">
        <v>28</v>
      </c>
      <c r="T3818" t="s">
        <v>14307</v>
      </c>
      <c r="U3818" t="s">
        <v>14301</v>
      </c>
    </row>
    <row r="3819" spans="1:21" x14ac:dyDescent="0.25">
      <c r="A3819" t="s">
        <v>58</v>
      </c>
      <c r="B3819" t="s">
        <v>58</v>
      </c>
      <c r="C3819">
        <v>100</v>
      </c>
      <c r="D3819">
        <v>1</v>
      </c>
      <c r="E3819">
        <v>0</v>
      </c>
      <c r="F3819" t="s">
        <v>14308</v>
      </c>
      <c r="G3819">
        <v>834</v>
      </c>
      <c r="H3819">
        <v>35</v>
      </c>
      <c r="I3819" t="s">
        <v>445</v>
      </c>
      <c r="J3819" t="s">
        <v>14309</v>
      </c>
      <c r="K3819" t="s">
        <v>14310</v>
      </c>
      <c r="L3819" t="s">
        <v>219</v>
      </c>
      <c r="M3819" t="s">
        <v>1708</v>
      </c>
      <c r="N3819" t="s">
        <v>14311</v>
      </c>
      <c r="O3819" t="s">
        <v>27</v>
      </c>
      <c r="P3819" t="s">
        <v>193</v>
      </c>
      <c r="Q3819" t="s">
        <v>85</v>
      </c>
      <c r="R3819" t="s">
        <v>86</v>
      </c>
      <c r="S3819" t="s">
        <v>28</v>
      </c>
      <c r="T3819" t="s">
        <v>14312</v>
      </c>
      <c r="U3819" t="s">
        <v>14313</v>
      </c>
    </row>
    <row r="3820" spans="1:21" x14ac:dyDescent="0.25">
      <c r="A3820" t="s">
        <v>635</v>
      </c>
      <c r="B3820" t="s">
        <v>636</v>
      </c>
      <c r="C3820">
        <v>699</v>
      </c>
      <c r="D3820">
        <v>1</v>
      </c>
      <c r="E3820">
        <v>0</v>
      </c>
      <c r="F3820" t="s">
        <v>14308</v>
      </c>
      <c r="G3820">
        <v>834</v>
      </c>
      <c r="H3820">
        <v>35</v>
      </c>
      <c r="I3820" t="s">
        <v>445</v>
      </c>
      <c r="J3820" t="s">
        <v>14309</v>
      </c>
      <c r="K3820" t="s">
        <v>14310</v>
      </c>
      <c r="L3820" t="s">
        <v>219</v>
      </c>
      <c r="M3820" t="s">
        <v>1708</v>
      </c>
      <c r="N3820" t="s">
        <v>14311</v>
      </c>
      <c r="O3820" t="s">
        <v>27</v>
      </c>
      <c r="P3820" t="s">
        <v>193</v>
      </c>
      <c r="Q3820" t="s">
        <v>85</v>
      </c>
      <c r="R3820" t="s">
        <v>86</v>
      </c>
      <c r="S3820" t="s">
        <v>28</v>
      </c>
      <c r="T3820" t="s">
        <v>14312</v>
      </c>
      <c r="U3820" t="s">
        <v>14313</v>
      </c>
    </row>
    <row r="3821" spans="1:21" x14ac:dyDescent="0.25">
      <c r="A3821" t="s">
        <v>33</v>
      </c>
      <c r="B3821" t="s">
        <v>34</v>
      </c>
      <c r="C3821">
        <v>200</v>
      </c>
      <c r="D3821">
        <v>1</v>
      </c>
      <c r="E3821">
        <v>0</v>
      </c>
      <c r="F3821" t="s">
        <v>14314</v>
      </c>
      <c r="G3821">
        <v>200</v>
      </c>
      <c r="H3821">
        <v>0</v>
      </c>
      <c r="I3821" t="s">
        <v>445</v>
      </c>
      <c r="J3821" t="s">
        <v>1411</v>
      </c>
      <c r="K3821" t="s">
        <v>936</v>
      </c>
      <c r="L3821" t="s">
        <v>27</v>
      </c>
      <c r="M3821" t="s">
        <v>28</v>
      </c>
      <c r="N3821" t="s">
        <v>14315</v>
      </c>
      <c r="O3821" t="s">
        <v>27</v>
      </c>
      <c r="P3821" t="s">
        <v>39</v>
      </c>
      <c r="Q3821" t="s">
        <v>31</v>
      </c>
      <c r="R3821" t="s">
        <v>32</v>
      </c>
      <c r="S3821" t="s">
        <v>28</v>
      </c>
      <c r="T3821" t="s">
        <v>14316</v>
      </c>
      <c r="U3821" t="s">
        <v>14315</v>
      </c>
    </row>
    <row r="3822" spans="1:21" x14ac:dyDescent="0.25">
      <c r="A3822" t="s">
        <v>33</v>
      </c>
      <c r="B3822" t="s">
        <v>34</v>
      </c>
      <c r="C3822">
        <v>200</v>
      </c>
      <c r="D3822">
        <v>1</v>
      </c>
      <c r="E3822">
        <v>0</v>
      </c>
      <c r="F3822" t="s">
        <v>14317</v>
      </c>
      <c r="G3822">
        <v>200</v>
      </c>
      <c r="H3822">
        <v>0</v>
      </c>
      <c r="I3822" t="s">
        <v>445</v>
      </c>
      <c r="J3822" t="s">
        <v>14318</v>
      </c>
      <c r="K3822" t="s">
        <v>213</v>
      </c>
      <c r="L3822" t="s">
        <v>27</v>
      </c>
      <c r="M3822" t="s">
        <v>28</v>
      </c>
      <c r="N3822" t="s">
        <v>14319</v>
      </c>
      <c r="O3822" t="s">
        <v>27</v>
      </c>
      <c r="P3822" t="s">
        <v>56</v>
      </c>
      <c r="Q3822" t="s">
        <v>31</v>
      </c>
      <c r="R3822" t="s">
        <v>57</v>
      </c>
      <c r="S3822" t="s">
        <v>28</v>
      </c>
      <c r="T3822" t="s">
        <v>14320</v>
      </c>
      <c r="U3822" t="s">
        <v>14319</v>
      </c>
    </row>
    <row r="3823" spans="1:21" x14ac:dyDescent="0.25">
      <c r="A3823" t="s">
        <v>33</v>
      </c>
      <c r="B3823" t="s">
        <v>34</v>
      </c>
      <c r="C3823">
        <v>200</v>
      </c>
      <c r="D3823">
        <v>1</v>
      </c>
      <c r="E3823">
        <v>0</v>
      </c>
      <c r="F3823" t="s">
        <v>14321</v>
      </c>
      <c r="G3823">
        <v>200</v>
      </c>
      <c r="H3823">
        <v>0</v>
      </c>
      <c r="I3823" t="s">
        <v>140</v>
      </c>
      <c r="J3823" t="s">
        <v>14322</v>
      </c>
      <c r="K3823" t="s">
        <v>753</v>
      </c>
      <c r="L3823" t="s">
        <v>27</v>
      </c>
      <c r="M3823" t="s">
        <v>28</v>
      </c>
      <c r="N3823" t="s">
        <v>14323</v>
      </c>
      <c r="O3823" t="s">
        <v>27</v>
      </c>
      <c r="P3823" t="s">
        <v>369</v>
      </c>
      <c r="Q3823" t="s">
        <v>31</v>
      </c>
      <c r="R3823" t="s">
        <v>57</v>
      </c>
      <c r="S3823" t="s">
        <v>28</v>
      </c>
      <c r="T3823" t="s">
        <v>14324</v>
      </c>
      <c r="U3823" t="s">
        <v>14325</v>
      </c>
    </row>
    <row r="3824" spans="1:21" x14ac:dyDescent="0.25">
      <c r="A3824" t="s">
        <v>456</v>
      </c>
      <c r="B3824" t="s">
        <v>457</v>
      </c>
      <c r="C3824">
        <v>197</v>
      </c>
      <c r="D3824">
        <v>1</v>
      </c>
      <c r="E3824">
        <v>0</v>
      </c>
      <c r="F3824" t="s">
        <v>14326</v>
      </c>
      <c r="G3824">
        <v>192</v>
      </c>
      <c r="H3824">
        <v>0</v>
      </c>
      <c r="I3824" t="s">
        <v>445</v>
      </c>
      <c r="J3824" t="s">
        <v>14327</v>
      </c>
      <c r="K3824" t="s">
        <v>14328</v>
      </c>
      <c r="L3824" t="s">
        <v>14329</v>
      </c>
      <c r="M3824" t="s">
        <v>7514</v>
      </c>
      <c r="N3824" t="s">
        <v>14330</v>
      </c>
      <c r="O3824" t="s">
        <v>27</v>
      </c>
      <c r="P3824" t="s">
        <v>84</v>
      </c>
      <c r="Q3824" t="s">
        <v>85</v>
      </c>
      <c r="R3824" t="s">
        <v>86</v>
      </c>
      <c r="S3824" t="s">
        <v>28</v>
      </c>
      <c r="T3824" t="s">
        <v>14331</v>
      </c>
      <c r="U3824" t="s">
        <v>14325</v>
      </c>
    </row>
    <row r="3825" spans="1:21" x14ac:dyDescent="0.25">
      <c r="A3825" t="s">
        <v>143</v>
      </c>
      <c r="B3825" t="s">
        <v>144</v>
      </c>
      <c r="C3825">
        <v>200</v>
      </c>
      <c r="D3825">
        <v>1</v>
      </c>
      <c r="E3825">
        <v>0</v>
      </c>
      <c r="F3825" t="s">
        <v>14332</v>
      </c>
      <c r="G3825">
        <v>200</v>
      </c>
      <c r="H3825">
        <v>0</v>
      </c>
      <c r="I3825" t="s">
        <v>24</v>
      </c>
      <c r="J3825" t="s">
        <v>14333</v>
      </c>
      <c r="K3825" t="s">
        <v>418</v>
      </c>
      <c r="L3825" t="s">
        <v>27</v>
      </c>
      <c r="M3825" t="s">
        <v>28</v>
      </c>
      <c r="N3825" t="s">
        <v>14334</v>
      </c>
      <c r="O3825" t="s">
        <v>27</v>
      </c>
      <c r="P3825" t="s">
        <v>39</v>
      </c>
      <c r="Q3825" t="s">
        <v>31</v>
      </c>
      <c r="R3825" t="s">
        <v>32</v>
      </c>
      <c r="S3825" t="s">
        <v>28</v>
      </c>
      <c r="T3825" t="s">
        <v>14335</v>
      </c>
      <c r="U3825" t="s">
        <v>14325</v>
      </c>
    </row>
    <row r="3826" spans="1:21" x14ac:dyDescent="0.25">
      <c r="A3826" t="s">
        <v>70</v>
      </c>
      <c r="B3826" t="s">
        <v>70</v>
      </c>
      <c r="C3826">
        <v>330</v>
      </c>
      <c r="D3826">
        <v>1</v>
      </c>
      <c r="E3826">
        <v>0</v>
      </c>
      <c r="F3826" t="s">
        <v>14336</v>
      </c>
      <c r="G3826">
        <v>330</v>
      </c>
      <c r="H3826">
        <v>0</v>
      </c>
      <c r="I3826" t="s">
        <v>24</v>
      </c>
      <c r="J3826" t="s">
        <v>14337</v>
      </c>
      <c r="K3826" t="s">
        <v>346</v>
      </c>
      <c r="L3826" t="s">
        <v>27</v>
      </c>
      <c r="M3826" t="s">
        <v>28</v>
      </c>
      <c r="N3826" t="s">
        <v>14338</v>
      </c>
      <c r="O3826" t="s">
        <v>27</v>
      </c>
      <c r="P3826" t="s">
        <v>39</v>
      </c>
      <c r="Q3826" t="s">
        <v>31</v>
      </c>
      <c r="R3826" t="s">
        <v>32</v>
      </c>
      <c r="S3826" t="s">
        <v>28</v>
      </c>
      <c r="T3826" t="s">
        <v>14339</v>
      </c>
      <c r="U3826" t="s">
        <v>14340</v>
      </c>
    </row>
    <row r="3827" spans="1:21" x14ac:dyDescent="0.25">
      <c r="A3827" t="s">
        <v>456</v>
      </c>
      <c r="B3827" t="s">
        <v>457</v>
      </c>
      <c r="C3827">
        <v>199</v>
      </c>
      <c r="D3827">
        <v>1</v>
      </c>
      <c r="E3827">
        <v>0</v>
      </c>
      <c r="F3827" t="s">
        <v>14341</v>
      </c>
      <c r="G3827">
        <v>240</v>
      </c>
      <c r="H3827">
        <v>41</v>
      </c>
      <c r="I3827" t="s">
        <v>24</v>
      </c>
      <c r="J3827" t="s">
        <v>14342</v>
      </c>
      <c r="K3827" t="s">
        <v>14343</v>
      </c>
      <c r="L3827" t="s">
        <v>14344</v>
      </c>
      <c r="M3827" t="s">
        <v>4610</v>
      </c>
      <c r="N3827" t="s">
        <v>14323</v>
      </c>
      <c r="O3827" t="s">
        <v>27</v>
      </c>
      <c r="P3827" t="s">
        <v>193</v>
      </c>
      <c r="Q3827" t="s">
        <v>85</v>
      </c>
      <c r="R3827" t="s">
        <v>86</v>
      </c>
      <c r="S3827" t="s">
        <v>28</v>
      </c>
      <c r="T3827" t="s">
        <v>14345</v>
      </c>
      <c r="U3827" t="s">
        <v>14323</v>
      </c>
    </row>
    <row r="3828" spans="1:21" x14ac:dyDescent="0.25">
      <c r="A3828" t="s">
        <v>2307</v>
      </c>
      <c r="B3828" t="s">
        <v>2308</v>
      </c>
      <c r="C3828">
        <v>330</v>
      </c>
      <c r="D3828">
        <v>1</v>
      </c>
      <c r="E3828">
        <v>0</v>
      </c>
      <c r="F3828" t="s">
        <v>14346</v>
      </c>
      <c r="G3828">
        <v>330</v>
      </c>
      <c r="H3828">
        <v>0</v>
      </c>
      <c r="I3828" t="s">
        <v>140</v>
      </c>
      <c r="J3828" t="s">
        <v>14347</v>
      </c>
      <c r="K3828" t="s">
        <v>14348</v>
      </c>
      <c r="L3828" t="s">
        <v>27</v>
      </c>
      <c r="M3828" t="s">
        <v>28</v>
      </c>
      <c r="N3828" t="s">
        <v>14349</v>
      </c>
      <c r="O3828" t="s">
        <v>27</v>
      </c>
      <c r="P3828" t="s">
        <v>369</v>
      </c>
      <c r="Q3828" t="s">
        <v>31</v>
      </c>
      <c r="R3828" t="s">
        <v>57</v>
      </c>
      <c r="S3828" t="s">
        <v>28</v>
      </c>
      <c r="T3828" t="s">
        <v>14350</v>
      </c>
      <c r="U3828" t="s">
        <v>14334</v>
      </c>
    </row>
    <row r="3829" spans="1:21" x14ac:dyDescent="0.25">
      <c r="A3829" t="s">
        <v>58</v>
      </c>
      <c r="B3829" t="s">
        <v>58</v>
      </c>
      <c r="C3829">
        <v>100</v>
      </c>
      <c r="D3829">
        <v>1</v>
      </c>
      <c r="E3829">
        <v>0</v>
      </c>
      <c r="F3829" t="s">
        <v>14351</v>
      </c>
      <c r="G3829">
        <v>106</v>
      </c>
      <c r="H3829">
        <v>6</v>
      </c>
      <c r="I3829" t="s">
        <v>140</v>
      </c>
      <c r="J3829" t="s">
        <v>14352</v>
      </c>
      <c r="K3829" t="s">
        <v>171</v>
      </c>
      <c r="L3829" t="s">
        <v>27</v>
      </c>
      <c r="M3829" t="s">
        <v>28</v>
      </c>
      <c r="N3829" t="s">
        <v>14353</v>
      </c>
      <c r="O3829" t="s">
        <v>27</v>
      </c>
      <c r="P3829" t="s">
        <v>30</v>
      </c>
      <c r="Q3829" t="s">
        <v>31</v>
      </c>
      <c r="R3829" t="s">
        <v>32</v>
      </c>
      <c r="S3829" t="s">
        <v>28</v>
      </c>
      <c r="T3829" t="s">
        <v>14354</v>
      </c>
      <c r="U3829" t="s">
        <v>14355</v>
      </c>
    </row>
    <row r="3830" spans="1:21" x14ac:dyDescent="0.25">
      <c r="A3830" t="s">
        <v>143</v>
      </c>
      <c r="B3830" t="s">
        <v>144</v>
      </c>
      <c r="C3830">
        <v>200</v>
      </c>
      <c r="D3830">
        <v>2</v>
      </c>
      <c r="E3830">
        <v>0</v>
      </c>
      <c r="F3830" t="s">
        <v>14356</v>
      </c>
      <c r="G3830">
        <v>400</v>
      </c>
      <c r="H3830">
        <v>0</v>
      </c>
      <c r="I3830" t="s">
        <v>445</v>
      </c>
      <c r="J3830" t="s">
        <v>14357</v>
      </c>
      <c r="K3830" t="s">
        <v>451</v>
      </c>
      <c r="L3830" t="s">
        <v>27</v>
      </c>
      <c r="M3830" t="s">
        <v>28</v>
      </c>
      <c r="N3830" t="s">
        <v>14358</v>
      </c>
      <c r="O3830" t="s">
        <v>27</v>
      </c>
      <c r="P3830" t="s">
        <v>39</v>
      </c>
      <c r="Q3830" t="s">
        <v>31</v>
      </c>
      <c r="R3830" t="s">
        <v>32</v>
      </c>
      <c r="S3830" t="s">
        <v>28</v>
      </c>
      <c r="T3830" t="s">
        <v>14359</v>
      </c>
      <c r="U3830" t="s">
        <v>14360</v>
      </c>
    </row>
    <row r="3831" spans="1:21" x14ac:dyDescent="0.25">
      <c r="A3831" t="s">
        <v>21</v>
      </c>
      <c r="B3831" t="s">
        <v>22</v>
      </c>
      <c r="C3831">
        <v>100</v>
      </c>
      <c r="D3831">
        <v>1</v>
      </c>
      <c r="E3831">
        <v>0</v>
      </c>
      <c r="F3831" t="s">
        <v>14361</v>
      </c>
      <c r="G3831">
        <v>106</v>
      </c>
      <c r="H3831">
        <v>6</v>
      </c>
      <c r="I3831" t="s">
        <v>445</v>
      </c>
      <c r="J3831" t="s">
        <v>14362</v>
      </c>
      <c r="K3831" t="s">
        <v>346</v>
      </c>
      <c r="L3831" t="s">
        <v>27</v>
      </c>
      <c r="M3831" t="s">
        <v>28</v>
      </c>
      <c r="N3831" t="s">
        <v>14363</v>
      </c>
      <c r="O3831" t="s">
        <v>27</v>
      </c>
      <c r="P3831" t="s">
        <v>56</v>
      </c>
      <c r="Q3831" t="s">
        <v>31</v>
      </c>
      <c r="R3831" t="s">
        <v>57</v>
      </c>
      <c r="S3831" t="s">
        <v>14364</v>
      </c>
      <c r="T3831" t="s">
        <v>14365</v>
      </c>
      <c r="U3831" t="s">
        <v>14360</v>
      </c>
    </row>
    <row r="3832" spans="1:21" x14ac:dyDescent="0.25">
      <c r="A3832" t="s">
        <v>58</v>
      </c>
      <c r="B3832" t="s">
        <v>58</v>
      </c>
      <c r="C3832">
        <v>100</v>
      </c>
      <c r="D3832">
        <v>1</v>
      </c>
      <c r="E3832">
        <v>0</v>
      </c>
      <c r="F3832" t="s">
        <v>14366</v>
      </c>
      <c r="G3832">
        <v>100</v>
      </c>
      <c r="H3832">
        <v>0</v>
      </c>
      <c r="I3832" t="s">
        <v>445</v>
      </c>
      <c r="J3832" t="s">
        <v>14367</v>
      </c>
      <c r="K3832" t="s">
        <v>247</v>
      </c>
      <c r="L3832" t="s">
        <v>27</v>
      </c>
      <c r="M3832" t="s">
        <v>28</v>
      </c>
      <c r="N3832" t="s">
        <v>14368</v>
      </c>
      <c r="O3832" t="s">
        <v>27</v>
      </c>
      <c r="P3832" t="s">
        <v>56</v>
      </c>
      <c r="Q3832" t="s">
        <v>31</v>
      </c>
      <c r="R3832" t="s">
        <v>57</v>
      </c>
      <c r="S3832" t="s">
        <v>28</v>
      </c>
      <c r="T3832" t="s">
        <v>14369</v>
      </c>
      <c r="U3832" t="s">
        <v>14360</v>
      </c>
    </row>
    <row r="3833" spans="1:21" x14ac:dyDescent="0.25">
      <c r="A3833" t="s">
        <v>58</v>
      </c>
      <c r="B3833" t="s">
        <v>58</v>
      </c>
      <c r="C3833">
        <v>100</v>
      </c>
      <c r="D3833">
        <v>2</v>
      </c>
      <c r="E3833">
        <v>0</v>
      </c>
      <c r="F3833" t="s">
        <v>14370</v>
      </c>
      <c r="G3833">
        <v>206</v>
      </c>
      <c r="H3833">
        <v>6</v>
      </c>
      <c r="I3833" t="s">
        <v>445</v>
      </c>
      <c r="J3833" t="s">
        <v>14371</v>
      </c>
      <c r="K3833" t="s">
        <v>346</v>
      </c>
      <c r="L3833" t="s">
        <v>27</v>
      </c>
      <c r="M3833" t="s">
        <v>28</v>
      </c>
      <c r="N3833" t="s">
        <v>14360</v>
      </c>
      <c r="O3833" t="s">
        <v>27</v>
      </c>
      <c r="P3833" t="s">
        <v>39</v>
      </c>
      <c r="Q3833" t="s">
        <v>31</v>
      </c>
      <c r="R3833" t="s">
        <v>32</v>
      </c>
      <c r="S3833" t="s">
        <v>28</v>
      </c>
      <c r="T3833" t="s">
        <v>14372</v>
      </c>
      <c r="U3833" t="s">
        <v>14360</v>
      </c>
    </row>
    <row r="3834" spans="1:21" x14ac:dyDescent="0.25">
      <c r="A3834" t="s">
        <v>33</v>
      </c>
      <c r="B3834" t="s">
        <v>34</v>
      </c>
      <c r="C3834">
        <v>200</v>
      </c>
      <c r="D3834">
        <v>1</v>
      </c>
      <c r="E3834">
        <v>0</v>
      </c>
      <c r="F3834" t="s">
        <v>14373</v>
      </c>
      <c r="G3834">
        <v>200</v>
      </c>
      <c r="H3834">
        <v>0</v>
      </c>
      <c r="I3834" t="s">
        <v>24</v>
      </c>
      <c r="J3834" t="s">
        <v>14374</v>
      </c>
      <c r="K3834" t="s">
        <v>3713</v>
      </c>
      <c r="L3834" t="s">
        <v>27</v>
      </c>
      <c r="M3834" t="s">
        <v>28</v>
      </c>
      <c r="N3834" t="s">
        <v>14375</v>
      </c>
      <c r="O3834" t="s">
        <v>27</v>
      </c>
      <c r="P3834" t="s">
        <v>39</v>
      </c>
      <c r="Q3834" t="s">
        <v>31</v>
      </c>
      <c r="R3834" t="s">
        <v>32</v>
      </c>
      <c r="S3834" t="s">
        <v>28</v>
      </c>
      <c r="T3834" t="s">
        <v>14376</v>
      </c>
      <c r="U3834" t="s">
        <v>14375</v>
      </c>
    </row>
    <row r="3835" spans="1:21" x14ac:dyDescent="0.25">
      <c r="A3835" t="s">
        <v>134</v>
      </c>
      <c r="B3835" t="s">
        <v>64</v>
      </c>
      <c r="C3835">
        <v>100</v>
      </c>
      <c r="D3835">
        <v>1</v>
      </c>
      <c r="E3835">
        <v>0</v>
      </c>
      <c r="F3835" t="s">
        <v>14377</v>
      </c>
      <c r="G3835">
        <v>100</v>
      </c>
      <c r="H3835">
        <v>0</v>
      </c>
      <c r="I3835" t="s">
        <v>445</v>
      </c>
      <c r="J3835" t="s">
        <v>14378</v>
      </c>
      <c r="K3835" t="s">
        <v>213</v>
      </c>
      <c r="L3835" t="s">
        <v>27</v>
      </c>
      <c r="M3835" t="s">
        <v>28</v>
      </c>
      <c r="N3835" t="s">
        <v>14379</v>
      </c>
      <c r="O3835" t="s">
        <v>27</v>
      </c>
      <c r="P3835" t="s">
        <v>56</v>
      </c>
      <c r="Q3835" t="s">
        <v>31</v>
      </c>
      <c r="R3835" t="s">
        <v>57</v>
      </c>
      <c r="S3835" t="s">
        <v>28</v>
      </c>
      <c r="T3835" t="s">
        <v>14380</v>
      </c>
      <c r="U3835" t="s">
        <v>14379</v>
      </c>
    </row>
    <row r="3836" spans="1:21" x14ac:dyDescent="0.25">
      <c r="A3836" t="s">
        <v>58</v>
      </c>
      <c r="B3836" t="s">
        <v>58</v>
      </c>
      <c r="C3836">
        <v>100</v>
      </c>
      <c r="D3836">
        <v>4</v>
      </c>
      <c r="E3836">
        <v>0</v>
      </c>
      <c r="F3836" t="s">
        <v>14381</v>
      </c>
      <c r="G3836">
        <v>448</v>
      </c>
      <c r="H3836">
        <v>48</v>
      </c>
      <c r="I3836" t="s">
        <v>445</v>
      </c>
      <c r="J3836" t="s">
        <v>14382</v>
      </c>
      <c r="K3836" t="s">
        <v>14383</v>
      </c>
      <c r="L3836" t="s">
        <v>1146</v>
      </c>
      <c r="M3836" t="s">
        <v>886</v>
      </c>
      <c r="N3836" t="s">
        <v>14379</v>
      </c>
      <c r="O3836" t="s">
        <v>27</v>
      </c>
      <c r="P3836" t="s">
        <v>84</v>
      </c>
      <c r="Q3836" t="s">
        <v>85</v>
      </c>
      <c r="R3836" t="s">
        <v>86</v>
      </c>
      <c r="S3836" t="s">
        <v>28</v>
      </c>
      <c r="T3836" t="s">
        <v>14384</v>
      </c>
      <c r="U3836" t="s">
        <v>14385</v>
      </c>
    </row>
    <row r="3837" spans="1:21" x14ac:dyDescent="0.25">
      <c r="A3837" t="s">
        <v>33</v>
      </c>
      <c r="B3837" t="s">
        <v>34</v>
      </c>
      <c r="C3837">
        <v>200</v>
      </c>
      <c r="D3837">
        <v>1</v>
      </c>
      <c r="E3837">
        <v>0</v>
      </c>
      <c r="F3837" t="s">
        <v>14386</v>
      </c>
      <c r="G3837">
        <v>200</v>
      </c>
      <c r="H3837">
        <v>0</v>
      </c>
      <c r="I3837" t="s">
        <v>24</v>
      </c>
      <c r="J3837" t="s">
        <v>9247</v>
      </c>
      <c r="K3837" t="s">
        <v>89</v>
      </c>
      <c r="L3837" t="s">
        <v>27</v>
      </c>
      <c r="M3837" t="s">
        <v>28</v>
      </c>
      <c r="N3837" t="s">
        <v>14387</v>
      </c>
      <c r="O3837" t="s">
        <v>27</v>
      </c>
      <c r="P3837" t="s">
        <v>39</v>
      </c>
      <c r="Q3837" t="s">
        <v>31</v>
      </c>
      <c r="R3837" t="s">
        <v>32</v>
      </c>
      <c r="S3837" t="s">
        <v>28</v>
      </c>
      <c r="T3837" t="s">
        <v>14388</v>
      </c>
      <c r="U3837" t="s">
        <v>14387</v>
      </c>
    </row>
    <row r="3838" spans="1:21" x14ac:dyDescent="0.25">
      <c r="A3838" t="s">
        <v>33</v>
      </c>
      <c r="B3838" t="s">
        <v>34</v>
      </c>
      <c r="C3838">
        <v>200</v>
      </c>
      <c r="D3838">
        <v>1</v>
      </c>
      <c r="E3838">
        <v>0</v>
      </c>
      <c r="F3838" t="s">
        <v>14389</v>
      </c>
      <c r="G3838">
        <v>200</v>
      </c>
      <c r="H3838">
        <v>0</v>
      </c>
      <c r="I3838" t="s">
        <v>445</v>
      </c>
      <c r="J3838" t="s">
        <v>14390</v>
      </c>
      <c r="K3838" t="s">
        <v>26</v>
      </c>
      <c r="L3838" t="s">
        <v>27</v>
      </c>
      <c r="M3838" t="s">
        <v>28</v>
      </c>
      <c r="N3838" t="s">
        <v>14391</v>
      </c>
      <c r="O3838" t="s">
        <v>27</v>
      </c>
      <c r="P3838" t="s">
        <v>39</v>
      </c>
      <c r="Q3838" t="s">
        <v>31</v>
      </c>
      <c r="R3838" t="s">
        <v>32</v>
      </c>
      <c r="S3838" t="s">
        <v>28</v>
      </c>
      <c r="T3838" t="s">
        <v>14392</v>
      </c>
      <c r="U3838" t="s">
        <v>14391</v>
      </c>
    </row>
    <row r="3839" spans="1:21" x14ac:dyDescent="0.25">
      <c r="A3839" t="s">
        <v>58</v>
      </c>
      <c r="B3839" t="s">
        <v>103</v>
      </c>
      <c r="C3839">
        <v>84</v>
      </c>
      <c r="D3839">
        <v>1</v>
      </c>
      <c r="E3839">
        <v>0</v>
      </c>
      <c r="F3839" t="s">
        <v>14393</v>
      </c>
      <c r="G3839">
        <v>84</v>
      </c>
      <c r="H3839">
        <v>0</v>
      </c>
      <c r="I3839" t="s">
        <v>105</v>
      </c>
      <c r="J3839" t="s">
        <v>597</v>
      </c>
      <c r="K3839" t="s">
        <v>598</v>
      </c>
      <c r="L3839" t="s">
        <v>567</v>
      </c>
      <c r="M3839" t="s">
        <v>599</v>
      </c>
      <c r="N3839" t="s">
        <v>14394</v>
      </c>
      <c r="O3839" t="s">
        <v>27</v>
      </c>
      <c r="P3839" t="s">
        <v>48</v>
      </c>
      <c r="Q3839" t="s">
        <v>49</v>
      </c>
      <c r="R3839" t="s">
        <v>50</v>
      </c>
      <c r="S3839" t="s">
        <v>28</v>
      </c>
      <c r="T3839" t="s">
        <v>14395</v>
      </c>
      <c r="U3839" t="s">
        <v>14394</v>
      </c>
    </row>
    <row r="3840" spans="1:21" x14ac:dyDescent="0.25">
      <c r="A3840" t="s">
        <v>70</v>
      </c>
      <c r="B3840" t="s">
        <v>70</v>
      </c>
      <c r="C3840">
        <v>350</v>
      </c>
      <c r="D3840">
        <v>1</v>
      </c>
      <c r="E3840">
        <v>0</v>
      </c>
      <c r="F3840" t="s">
        <v>14396</v>
      </c>
      <c r="G3840">
        <v>350</v>
      </c>
      <c r="H3840">
        <v>0</v>
      </c>
      <c r="I3840" t="s">
        <v>140</v>
      </c>
      <c r="J3840" t="s">
        <v>14397</v>
      </c>
      <c r="K3840" t="s">
        <v>247</v>
      </c>
      <c r="L3840" t="s">
        <v>27</v>
      </c>
      <c r="M3840" t="s">
        <v>28</v>
      </c>
      <c r="N3840" t="s">
        <v>14398</v>
      </c>
      <c r="O3840" t="s">
        <v>27</v>
      </c>
      <c r="P3840" t="s">
        <v>369</v>
      </c>
      <c r="Q3840" t="s">
        <v>31</v>
      </c>
      <c r="R3840" t="s">
        <v>57</v>
      </c>
      <c r="S3840" t="s">
        <v>28</v>
      </c>
      <c r="T3840" t="s">
        <v>14399</v>
      </c>
      <c r="U3840" t="s">
        <v>14398</v>
      </c>
    </row>
    <row r="3841" spans="1:21" x14ac:dyDescent="0.25">
      <c r="A3841" t="s">
        <v>33</v>
      </c>
      <c r="B3841" t="s">
        <v>34</v>
      </c>
      <c r="C3841">
        <v>200</v>
      </c>
      <c r="D3841">
        <v>2</v>
      </c>
      <c r="E3841">
        <v>0</v>
      </c>
      <c r="F3841" t="s">
        <v>14400</v>
      </c>
      <c r="G3841">
        <v>400</v>
      </c>
      <c r="H3841">
        <v>0</v>
      </c>
      <c r="I3841" t="s">
        <v>445</v>
      </c>
      <c r="J3841" t="s">
        <v>14401</v>
      </c>
      <c r="K3841" t="s">
        <v>384</v>
      </c>
      <c r="L3841" t="s">
        <v>27</v>
      </c>
      <c r="M3841" t="s">
        <v>28</v>
      </c>
      <c r="N3841" t="s">
        <v>14402</v>
      </c>
      <c r="O3841" t="s">
        <v>27</v>
      </c>
      <c r="P3841" t="s">
        <v>39</v>
      </c>
      <c r="Q3841" t="s">
        <v>31</v>
      </c>
      <c r="R3841" t="s">
        <v>32</v>
      </c>
      <c r="S3841" t="s">
        <v>28</v>
      </c>
      <c r="T3841" t="s">
        <v>14403</v>
      </c>
      <c r="U3841" t="s">
        <v>14402</v>
      </c>
    </row>
    <row r="3842" spans="1:21" x14ac:dyDescent="0.25">
      <c r="A3842" t="s">
        <v>33</v>
      </c>
      <c r="B3842" t="s">
        <v>34</v>
      </c>
      <c r="C3842">
        <v>200</v>
      </c>
      <c r="D3842">
        <v>1</v>
      </c>
      <c r="E3842">
        <v>0</v>
      </c>
      <c r="F3842" t="s">
        <v>14404</v>
      </c>
      <c r="G3842">
        <v>200</v>
      </c>
      <c r="H3842">
        <v>0</v>
      </c>
      <c r="I3842" t="s">
        <v>24</v>
      </c>
      <c r="J3842" t="s">
        <v>14405</v>
      </c>
      <c r="K3842" t="s">
        <v>118</v>
      </c>
      <c r="L3842" t="s">
        <v>27</v>
      </c>
      <c r="M3842" t="s">
        <v>28</v>
      </c>
      <c r="N3842" t="s">
        <v>14406</v>
      </c>
      <c r="O3842" t="s">
        <v>27</v>
      </c>
      <c r="P3842" t="s">
        <v>39</v>
      </c>
      <c r="Q3842" t="s">
        <v>31</v>
      </c>
      <c r="R3842" t="s">
        <v>32</v>
      </c>
      <c r="S3842" t="s">
        <v>28</v>
      </c>
      <c r="T3842" t="s">
        <v>14407</v>
      </c>
      <c r="U3842" t="s">
        <v>14406</v>
      </c>
    </row>
    <row r="3843" spans="1:21" x14ac:dyDescent="0.25">
      <c r="A3843" t="s">
        <v>33</v>
      </c>
      <c r="B3843" t="s">
        <v>34</v>
      </c>
      <c r="C3843">
        <v>200</v>
      </c>
      <c r="D3843">
        <v>1</v>
      </c>
      <c r="E3843">
        <v>0</v>
      </c>
      <c r="F3843" t="s">
        <v>14408</v>
      </c>
      <c r="G3843">
        <v>200</v>
      </c>
      <c r="H3843">
        <v>0</v>
      </c>
      <c r="I3843" t="s">
        <v>140</v>
      </c>
      <c r="J3843" t="s">
        <v>14409</v>
      </c>
      <c r="K3843" t="s">
        <v>839</v>
      </c>
      <c r="L3843" t="s">
        <v>27</v>
      </c>
      <c r="M3843" t="s">
        <v>28</v>
      </c>
      <c r="N3843" t="s">
        <v>14410</v>
      </c>
      <c r="O3843" t="s">
        <v>27</v>
      </c>
      <c r="P3843" t="s">
        <v>369</v>
      </c>
      <c r="Q3843" t="s">
        <v>31</v>
      </c>
      <c r="R3843" t="s">
        <v>57</v>
      </c>
      <c r="S3843" t="s">
        <v>28</v>
      </c>
      <c r="T3843" t="s">
        <v>14411</v>
      </c>
      <c r="U3843" t="s">
        <v>14410</v>
      </c>
    </row>
    <row r="3844" spans="1:21" x14ac:dyDescent="0.25">
      <c r="A3844" t="s">
        <v>58</v>
      </c>
      <c r="B3844" t="s">
        <v>58</v>
      </c>
      <c r="C3844">
        <v>100</v>
      </c>
      <c r="D3844">
        <v>1</v>
      </c>
      <c r="E3844">
        <v>0</v>
      </c>
      <c r="F3844" t="s">
        <v>14412</v>
      </c>
      <c r="G3844">
        <v>106</v>
      </c>
      <c r="H3844">
        <v>6</v>
      </c>
      <c r="I3844" t="s">
        <v>24</v>
      </c>
      <c r="J3844" t="s">
        <v>14413</v>
      </c>
      <c r="K3844" t="s">
        <v>325</v>
      </c>
      <c r="L3844" t="s">
        <v>27</v>
      </c>
      <c r="M3844" t="s">
        <v>28</v>
      </c>
      <c r="N3844" t="s">
        <v>14414</v>
      </c>
      <c r="O3844" t="s">
        <v>27</v>
      </c>
      <c r="P3844" t="s">
        <v>39</v>
      </c>
      <c r="Q3844" t="s">
        <v>31</v>
      </c>
      <c r="R3844" t="s">
        <v>32</v>
      </c>
      <c r="S3844" t="s">
        <v>28</v>
      </c>
      <c r="T3844" t="s">
        <v>14415</v>
      </c>
      <c r="U3844" t="s">
        <v>14414</v>
      </c>
    </row>
    <row r="3845" spans="1:21" x14ac:dyDescent="0.25">
      <c r="A3845" t="s">
        <v>143</v>
      </c>
      <c r="B3845" t="s">
        <v>144</v>
      </c>
      <c r="C3845">
        <v>200</v>
      </c>
      <c r="D3845">
        <v>1</v>
      </c>
      <c r="E3845">
        <v>0</v>
      </c>
      <c r="F3845" t="s">
        <v>14416</v>
      </c>
      <c r="G3845">
        <v>200</v>
      </c>
      <c r="H3845">
        <v>0</v>
      </c>
      <c r="I3845" t="s">
        <v>24</v>
      </c>
      <c r="J3845" t="s">
        <v>14417</v>
      </c>
      <c r="K3845" t="s">
        <v>2243</v>
      </c>
      <c r="L3845" t="s">
        <v>27</v>
      </c>
      <c r="M3845" t="s">
        <v>28</v>
      </c>
      <c r="N3845" t="s">
        <v>14418</v>
      </c>
      <c r="O3845" t="s">
        <v>27</v>
      </c>
      <c r="P3845" t="s">
        <v>39</v>
      </c>
      <c r="Q3845" t="s">
        <v>31</v>
      </c>
      <c r="R3845" t="s">
        <v>32</v>
      </c>
      <c r="S3845" t="s">
        <v>28</v>
      </c>
      <c r="T3845" t="s">
        <v>14419</v>
      </c>
      <c r="U3845" t="s">
        <v>14418</v>
      </c>
    </row>
    <row r="3846" spans="1:21" x14ac:dyDescent="0.25">
      <c r="A3846" t="s">
        <v>58</v>
      </c>
      <c r="B3846" t="s">
        <v>58</v>
      </c>
      <c r="C3846">
        <v>100</v>
      </c>
      <c r="D3846">
        <v>1</v>
      </c>
      <c r="E3846">
        <v>0</v>
      </c>
      <c r="F3846" t="s">
        <v>14420</v>
      </c>
      <c r="G3846">
        <v>106</v>
      </c>
      <c r="H3846">
        <v>6</v>
      </c>
      <c r="I3846" t="s">
        <v>24</v>
      </c>
      <c r="J3846" t="s">
        <v>9763</v>
      </c>
      <c r="K3846" t="s">
        <v>89</v>
      </c>
      <c r="L3846" t="s">
        <v>27</v>
      </c>
      <c r="M3846" t="s">
        <v>28</v>
      </c>
      <c r="N3846" t="s">
        <v>14421</v>
      </c>
      <c r="O3846" t="s">
        <v>27</v>
      </c>
      <c r="P3846" t="s">
        <v>39</v>
      </c>
      <c r="Q3846" t="s">
        <v>31</v>
      </c>
      <c r="R3846" t="s">
        <v>32</v>
      </c>
      <c r="S3846" t="s">
        <v>28</v>
      </c>
      <c r="T3846" t="s">
        <v>14422</v>
      </c>
      <c r="U3846" t="s">
        <v>14421</v>
      </c>
    </row>
    <row r="3847" spans="1:21" x14ac:dyDescent="0.25">
      <c r="A3847" t="s">
        <v>63</v>
      </c>
      <c r="B3847" t="s">
        <v>64</v>
      </c>
      <c r="C3847">
        <v>100</v>
      </c>
      <c r="D3847">
        <v>1</v>
      </c>
      <c r="E3847">
        <v>0</v>
      </c>
      <c r="F3847" t="s">
        <v>14423</v>
      </c>
      <c r="G3847">
        <v>106</v>
      </c>
      <c r="H3847">
        <v>6</v>
      </c>
      <c r="I3847" t="s">
        <v>24</v>
      </c>
      <c r="J3847" t="s">
        <v>6179</v>
      </c>
      <c r="K3847" t="s">
        <v>37</v>
      </c>
      <c r="L3847" t="s">
        <v>27</v>
      </c>
      <c r="M3847" t="s">
        <v>28</v>
      </c>
      <c r="N3847" t="s">
        <v>14424</v>
      </c>
      <c r="O3847" t="s">
        <v>27</v>
      </c>
      <c r="P3847" t="s">
        <v>56</v>
      </c>
      <c r="Q3847" t="s">
        <v>31</v>
      </c>
      <c r="R3847" t="s">
        <v>57</v>
      </c>
      <c r="S3847" t="s">
        <v>28</v>
      </c>
      <c r="T3847" t="s">
        <v>14425</v>
      </c>
      <c r="U3847" t="s">
        <v>14426</v>
      </c>
    </row>
    <row r="3848" spans="1:21" x14ac:dyDescent="0.25">
      <c r="A3848" t="s">
        <v>13290</v>
      </c>
      <c r="B3848" t="s">
        <v>13291</v>
      </c>
      <c r="C3848">
        <v>100</v>
      </c>
      <c r="D3848">
        <v>1</v>
      </c>
      <c r="E3848">
        <v>0</v>
      </c>
      <c r="F3848" t="s">
        <v>14427</v>
      </c>
      <c r="G3848">
        <v>125</v>
      </c>
      <c r="H3848">
        <v>25</v>
      </c>
      <c r="I3848" t="s">
        <v>140</v>
      </c>
      <c r="J3848" t="s">
        <v>14428</v>
      </c>
      <c r="K3848" t="s">
        <v>209</v>
      </c>
      <c r="L3848" t="s">
        <v>27</v>
      </c>
      <c r="M3848" t="s">
        <v>28</v>
      </c>
      <c r="N3848" t="s">
        <v>14426</v>
      </c>
      <c r="O3848" t="s">
        <v>27</v>
      </c>
      <c r="P3848" t="s">
        <v>30</v>
      </c>
      <c r="Q3848" t="s">
        <v>31</v>
      </c>
      <c r="R3848" t="s">
        <v>32</v>
      </c>
      <c r="S3848" t="s">
        <v>28</v>
      </c>
      <c r="T3848" t="s">
        <v>14429</v>
      </c>
      <c r="U3848" t="s">
        <v>14426</v>
      </c>
    </row>
    <row r="3849" spans="1:21" x14ac:dyDescent="0.25">
      <c r="A3849" t="s">
        <v>13290</v>
      </c>
      <c r="B3849" t="s">
        <v>13291</v>
      </c>
      <c r="C3849">
        <v>100</v>
      </c>
      <c r="D3849">
        <v>2</v>
      </c>
      <c r="E3849">
        <v>0</v>
      </c>
      <c r="F3849" t="s">
        <v>14430</v>
      </c>
      <c r="G3849">
        <v>200</v>
      </c>
      <c r="H3849">
        <v>0</v>
      </c>
      <c r="I3849" t="s">
        <v>140</v>
      </c>
      <c r="J3849" t="s">
        <v>14431</v>
      </c>
      <c r="K3849" t="s">
        <v>61</v>
      </c>
      <c r="L3849" t="s">
        <v>27</v>
      </c>
      <c r="M3849" t="s">
        <v>28</v>
      </c>
      <c r="N3849" t="s">
        <v>14432</v>
      </c>
      <c r="O3849" t="s">
        <v>27</v>
      </c>
      <c r="P3849" t="s">
        <v>30</v>
      </c>
      <c r="Q3849" t="s">
        <v>31</v>
      </c>
      <c r="R3849" t="s">
        <v>32</v>
      </c>
      <c r="S3849" t="s">
        <v>28</v>
      </c>
      <c r="T3849" t="s">
        <v>14433</v>
      </c>
      <c r="U3849" t="s">
        <v>14432</v>
      </c>
    </row>
    <row r="3850" spans="1:21" x14ac:dyDescent="0.25">
      <c r="A3850" t="s">
        <v>456</v>
      </c>
      <c r="B3850" t="s">
        <v>457</v>
      </c>
      <c r="C3850">
        <v>199</v>
      </c>
      <c r="D3850">
        <v>1</v>
      </c>
      <c r="E3850">
        <v>0</v>
      </c>
      <c r="F3850" t="s">
        <v>14434</v>
      </c>
      <c r="G3850">
        <v>240</v>
      </c>
      <c r="H3850">
        <v>41</v>
      </c>
      <c r="I3850" t="s">
        <v>24</v>
      </c>
      <c r="J3850" t="s">
        <v>14435</v>
      </c>
      <c r="K3850" t="s">
        <v>14436</v>
      </c>
      <c r="L3850" t="s">
        <v>3447</v>
      </c>
      <c r="M3850" t="s">
        <v>1973</v>
      </c>
      <c r="N3850" t="s">
        <v>14437</v>
      </c>
      <c r="O3850" t="s">
        <v>27</v>
      </c>
      <c r="P3850" t="s">
        <v>193</v>
      </c>
      <c r="Q3850" t="s">
        <v>85</v>
      </c>
      <c r="R3850" t="s">
        <v>86</v>
      </c>
      <c r="S3850" t="s">
        <v>28</v>
      </c>
      <c r="T3850" t="s">
        <v>14438</v>
      </c>
      <c r="U3850" t="s">
        <v>14437</v>
      </c>
    </row>
    <row r="3851" spans="1:21" x14ac:dyDescent="0.25">
      <c r="A3851" t="s">
        <v>456</v>
      </c>
      <c r="B3851" t="s">
        <v>457</v>
      </c>
      <c r="C3851">
        <v>197</v>
      </c>
      <c r="D3851">
        <v>1</v>
      </c>
      <c r="E3851">
        <v>0</v>
      </c>
      <c r="F3851" t="s">
        <v>14439</v>
      </c>
      <c r="G3851">
        <v>227</v>
      </c>
      <c r="H3851">
        <v>35</v>
      </c>
      <c r="I3851" t="s">
        <v>445</v>
      </c>
      <c r="J3851" t="s">
        <v>14440</v>
      </c>
      <c r="K3851" t="s">
        <v>14441</v>
      </c>
      <c r="L3851" t="s">
        <v>1900</v>
      </c>
      <c r="M3851" t="s">
        <v>869</v>
      </c>
      <c r="N3851" t="s">
        <v>14414</v>
      </c>
      <c r="O3851" t="s">
        <v>27</v>
      </c>
      <c r="P3851" t="s">
        <v>84</v>
      </c>
      <c r="Q3851" t="s">
        <v>85</v>
      </c>
      <c r="R3851" t="s">
        <v>86</v>
      </c>
      <c r="S3851" t="s">
        <v>28</v>
      </c>
      <c r="T3851" t="s">
        <v>14442</v>
      </c>
      <c r="U3851" t="s">
        <v>14443</v>
      </c>
    </row>
    <row r="3852" spans="1:21" x14ac:dyDescent="0.25">
      <c r="A3852" t="s">
        <v>456</v>
      </c>
      <c r="B3852" t="s">
        <v>457</v>
      </c>
      <c r="C3852">
        <v>250</v>
      </c>
      <c r="D3852">
        <v>1</v>
      </c>
      <c r="E3852">
        <v>0</v>
      </c>
      <c r="F3852" t="s">
        <v>14444</v>
      </c>
      <c r="G3852">
        <v>250</v>
      </c>
      <c r="H3852">
        <v>0</v>
      </c>
      <c r="I3852" t="s">
        <v>140</v>
      </c>
      <c r="J3852" t="s">
        <v>14445</v>
      </c>
      <c r="K3852" t="s">
        <v>384</v>
      </c>
      <c r="L3852" t="s">
        <v>27</v>
      </c>
      <c r="M3852" t="s">
        <v>28</v>
      </c>
      <c r="N3852" t="s">
        <v>14446</v>
      </c>
      <c r="O3852" t="s">
        <v>27</v>
      </c>
      <c r="P3852" t="s">
        <v>30</v>
      </c>
      <c r="Q3852" t="s">
        <v>31</v>
      </c>
      <c r="R3852" t="s">
        <v>32</v>
      </c>
      <c r="S3852" t="s">
        <v>28</v>
      </c>
      <c r="T3852" t="s">
        <v>14447</v>
      </c>
      <c r="U3852" t="s">
        <v>14446</v>
      </c>
    </row>
    <row r="3853" spans="1:21" x14ac:dyDescent="0.25">
      <c r="A3853" t="s">
        <v>997</v>
      </c>
      <c r="B3853" t="s">
        <v>998</v>
      </c>
      <c r="C3853">
        <v>800</v>
      </c>
      <c r="D3853">
        <v>1</v>
      </c>
      <c r="E3853">
        <v>0</v>
      </c>
      <c r="F3853" t="s">
        <v>14448</v>
      </c>
      <c r="G3853">
        <v>800</v>
      </c>
      <c r="H3853">
        <v>0</v>
      </c>
      <c r="I3853" t="s">
        <v>445</v>
      </c>
      <c r="J3853" t="s">
        <v>8832</v>
      </c>
      <c r="K3853" t="s">
        <v>89</v>
      </c>
      <c r="L3853" t="s">
        <v>27</v>
      </c>
      <c r="M3853" t="s">
        <v>28</v>
      </c>
      <c r="N3853" t="s">
        <v>14449</v>
      </c>
      <c r="O3853" t="s">
        <v>27</v>
      </c>
      <c r="P3853" t="s">
        <v>39</v>
      </c>
      <c r="Q3853" t="s">
        <v>31</v>
      </c>
      <c r="R3853" t="s">
        <v>32</v>
      </c>
      <c r="S3853" t="s">
        <v>28</v>
      </c>
      <c r="T3853" t="s">
        <v>14450</v>
      </c>
      <c r="U3853" t="s">
        <v>14449</v>
      </c>
    </row>
    <row r="3854" spans="1:21" x14ac:dyDescent="0.25">
      <c r="A3854" t="s">
        <v>456</v>
      </c>
      <c r="B3854" t="s">
        <v>457</v>
      </c>
      <c r="C3854">
        <v>199</v>
      </c>
      <c r="D3854">
        <v>1</v>
      </c>
      <c r="E3854">
        <v>0</v>
      </c>
      <c r="F3854" t="s">
        <v>14451</v>
      </c>
      <c r="G3854">
        <v>228</v>
      </c>
      <c r="H3854">
        <v>29</v>
      </c>
      <c r="I3854" t="s">
        <v>24</v>
      </c>
      <c r="J3854" t="s">
        <v>14452</v>
      </c>
      <c r="K3854" t="s">
        <v>14453</v>
      </c>
      <c r="L3854" t="s">
        <v>868</v>
      </c>
      <c r="M3854" t="s">
        <v>2907</v>
      </c>
      <c r="N3854" t="s">
        <v>14454</v>
      </c>
      <c r="O3854" t="s">
        <v>27</v>
      </c>
      <c r="P3854" t="s">
        <v>193</v>
      </c>
      <c r="Q3854" t="s">
        <v>85</v>
      </c>
      <c r="R3854" t="s">
        <v>86</v>
      </c>
      <c r="S3854" t="s">
        <v>28</v>
      </c>
      <c r="T3854" t="s">
        <v>14455</v>
      </c>
      <c r="U3854" t="s">
        <v>14456</v>
      </c>
    </row>
    <row r="3855" spans="1:21" x14ac:dyDescent="0.25">
      <c r="A3855" t="s">
        <v>13290</v>
      </c>
      <c r="B3855" t="s">
        <v>13291</v>
      </c>
      <c r="C3855">
        <v>100</v>
      </c>
      <c r="D3855">
        <v>1</v>
      </c>
      <c r="E3855">
        <v>0</v>
      </c>
      <c r="F3855" t="s">
        <v>14457</v>
      </c>
      <c r="G3855">
        <v>125</v>
      </c>
      <c r="H3855">
        <v>25</v>
      </c>
      <c r="I3855" t="s">
        <v>140</v>
      </c>
      <c r="J3855" t="s">
        <v>14458</v>
      </c>
      <c r="K3855" t="s">
        <v>89</v>
      </c>
      <c r="L3855" t="s">
        <v>27</v>
      </c>
      <c r="M3855" t="s">
        <v>28</v>
      </c>
      <c r="N3855" t="s">
        <v>14459</v>
      </c>
      <c r="O3855" t="s">
        <v>27</v>
      </c>
      <c r="P3855" t="s">
        <v>369</v>
      </c>
      <c r="Q3855" t="s">
        <v>31</v>
      </c>
      <c r="R3855" t="s">
        <v>57</v>
      </c>
      <c r="S3855" t="s">
        <v>28</v>
      </c>
      <c r="T3855" t="s">
        <v>14460</v>
      </c>
      <c r="U3855" t="s">
        <v>14459</v>
      </c>
    </row>
    <row r="3856" spans="1:21" x14ac:dyDescent="0.25">
      <c r="A3856" t="s">
        <v>456</v>
      </c>
      <c r="B3856" t="s">
        <v>457</v>
      </c>
      <c r="C3856">
        <v>199</v>
      </c>
      <c r="D3856">
        <v>1</v>
      </c>
      <c r="E3856">
        <v>0</v>
      </c>
      <c r="F3856" t="s">
        <v>14461</v>
      </c>
      <c r="G3856">
        <v>244</v>
      </c>
      <c r="H3856">
        <v>45</v>
      </c>
      <c r="I3856" t="s">
        <v>24</v>
      </c>
      <c r="J3856" t="s">
        <v>6668</v>
      </c>
      <c r="K3856" t="s">
        <v>6669</v>
      </c>
      <c r="L3856" t="s">
        <v>6670</v>
      </c>
      <c r="M3856" t="s">
        <v>6671</v>
      </c>
      <c r="N3856" t="s">
        <v>14414</v>
      </c>
      <c r="O3856" t="s">
        <v>27</v>
      </c>
      <c r="P3856" t="s">
        <v>193</v>
      </c>
      <c r="Q3856" t="s">
        <v>85</v>
      </c>
      <c r="R3856" t="s">
        <v>86</v>
      </c>
      <c r="S3856" t="s">
        <v>28</v>
      </c>
      <c r="T3856" t="s">
        <v>14462</v>
      </c>
      <c r="U3856" t="s">
        <v>14463</v>
      </c>
    </row>
    <row r="3857" spans="1:21" x14ac:dyDescent="0.25">
      <c r="A3857" t="s">
        <v>143</v>
      </c>
      <c r="B3857" t="s">
        <v>144</v>
      </c>
      <c r="C3857">
        <v>200</v>
      </c>
      <c r="D3857">
        <v>1</v>
      </c>
      <c r="E3857">
        <v>0</v>
      </c>
      <c r="F3857" t="s">
        <v>14464</v>
      </c>
      <c r="G3857">
        <v>200</v>
      </c>
      <c r="H3857">
        <v>0</v>
      </c>
      <c r="I3857" t="s">
        <v>445</v>
      </c>
      <c r="J3857" t="s">
        <v>14465</v>
      </c>
      <c r="K3857" t="s">
        <v>753</v>
      </c>
      <c r="L3857" t="s">
        <v>27</v>
      </c>
      <c r="M3857" t="s">
        <v>28</v>
      </c>
      <c r="N3857" t="s">
        <v>14466</v>
      </c>
      <c r="O3857" t="s">
        <v>27</v>
      </c>
      <c r="P3857" t="s">
        <v>39</v>
      </c>
      <c r="Q3857" t="s">
        <v>31</v>
      </c>
      <c r="R3857" t="s">
        <v>32</v>
      </c>
      <c r="S3857" t="s">
        <v>28</v>
      </c>
      <c r="T3857" t="s">
        <v>14467</v>
      </c>
      <c r="U3857" t="s">
        <v>14466</v>
      </c>
    </row>
    <row r="3858" spans="1:21" x14ac:dyDescent="0.25">
      <c r="A3858" t="s">
        <v>33</v>
      </c>
      <c r="B3858" t="s">
        <v>34</v>
      </c>
      <c r="C3858">
        <v>200</v>
      </c>
      <c r="D3858">
        <v>1</v>
      </c>
      <c r="E3858">
        <v>0</v>
      </c>
      <c r="F3858" t="s">
        <v>14468</v>
      </c>
      <c r="G3858">
        <v>200</v>
      </c>
      <c r="H3858">
        <v>0</v>
      </c>
      <c r="I3858" t="s">
        <v>24</v>
      </c>
      <c r="J3858" t="s">
        <v>4390</v>
      </c>
      <c r="K3858" t="s">
        <v>250</v>
      </c>
      <c r="L3858" t="s">
        <v>27</v>
      </c>
      <c r="M3858" t="s">
        <v>28</v>
      </c>
      <c r="N3858" t="s">
        <v>14469</v>
      </c>
      <c r="O3858" t="s">
        <v>27</v>
      </c>
      <c r="P3858" t="s">
        <v>39</v>
      </c>
      <c r="Q3858" t="s">
        <v>31</v>
      </c>
      <c r="R3858" t="s">
        <v>32</v>
      </c>
      <c r="S3858" t="s">
        <v>28</v>
      </c>
      <c r="T3858" t="s">
        <v>14470</v>
      </c>
      <c r="U3858" t="s">
        <v>14471</v>
      </c>
    </row>
    <row r="3859" spans="1:21" x14ac:dyDescent="0.25">
      <c r="A3859" t="s">
        <v>143</v>
      </c>
      <c r="B3859" t="s">
        <v>144</v>
      </c>
      <c r="C3859">
        <v>200</v>
      </c>
      <c r="D3859">
        <v>1</v>
      </c>
      <c r="E3859">
        <v>0</v>
      </c>
      <c r="F3859" t="s">
        <v>14472</v>
      </c>
      <c r="G3859">
        <v>200</v>
      </c>
      <c r="H3859">
        <v>0</v>
      </c>
      <c r="I3859" t="s">
        <v>140</v>
      </c>
      <c r="J3859" t="s">
        <v>14473</v>
      </c>
      <c r="K3859" t="s">
        <v>89</v>
      </c>
      <c r="L3859" t="s">
        <v>27</v>
      </c>
      <c r="M3859" t="s">
        <v>28</v>
      </c>
      <c r="N3859" t="s">
        <v>14469</v>
      </c>
      <c r="O3859" t="s">
        <v>27</v>
      </c>
      <c r="P3859" t="s">
        <v>30</v>
      </c>
      <c r="Q3859" t="s">
        <v>31</v>
      </c>
      <c r="R3859" t="s">
        <v>32</v>
      </c>
      <c r="S3859" t="s">
        <v>28</v>
      </c>
      <c r="T3859" t="s">
        <v>14474</v>
      </c>
      <c r="U3859" t="s">
        <v>14469</v>
      </c>
    </row>
    <row r="3860" spans="1:21" x14ac:dyDescent="0.25">
      <c r="A3860" t="s">
        <v>70</v>
      </c>
      <c r="B3860" t="s">
        <v>70</v>
      </c>
      <c r="C3860">
        <v>350</v>
      </c>
      <c r="D3860">
        <v>1</v>
      </c>
      <c r="E3860">
        <v>0</v>
      </c>
      <c r="F3860" t="s">
        <v>14475</v>
      </c>
      <c r="G3860">
        <v>350</v>
      </c>
      <c r="H3860">
        <v>0</v>
      </c>
      <c r="I3860" t="s">
        <v>140</v>
      </c>
      <c r="J3860" t="s">
        <v>14476</v>
      </c>
      <c r="K3860" t="s">
        <v>753</v>
      </c>
      <c r="L3860" t="s">
        <v>27</v>
      </c>
      <c r="M3860" t="s">
        <v>28</v>
      </c>
      <c r="N3860" t="s">
        <v>14477</v>
      </c>
      <c r="O3860" t="s">
        <v>27</v>
      </c>
      <c r="P3860" t="s">
        <v>30</v>
      </c>
      <c r="Q3860" t="s">
        <v>31</v>
      </c>
      <c r="R3860" t="s">
        <v>32</v>
      </c>
      <c r="S3860" t="s">
        <v>28</v>
      </c>
      <c r="T3860" t="s">
        <v>14478</v>
      </c>
      <c r="U3860" t="s">
        <v>14477</v>
      </c>
    </row>
    <row r="3861" spans="1:21" x14ac:dyDescent="0.25">
      <c r="A3861" t="s">
        <v>13290</v>
      </c>
      <c r="B3861" t="s">
        <v>13291</v>
      </c>
      <c r="C3861">
        <v>100</v>
      </c>
      <c r="D3861">
        <v>1</v>
      </c>
      <c r="E3861">
        <v>0</v>
      </c>
      <c r="F3861" t="s">
        <v>14479</v>
      </c>
      <c r="G3861">
        <v>125</v>
      </c>
      <c r="H3861">
        <v>25</v>
      </c>
      <c r="I3861" t="s">
        <v>24</v>
      </c>
      <c r="J3861" t="s">
        <v>14480</v>
      </c>
      <c r="K3861" t="s">
        <v>325</v>
      </c>
      <c r="L3861" t="s">
        <v>27</v>
      </c>
      <c r="M3861" t="s">
        <v>28</v>
      </c>
      <c r="N3861" t="s">
        <v>14481</v>
      </c>
      <c r="O3861" t="s">
        <v>27</v>
      </c>
      <c r="P3861" t="s">
        <v>39</v>
      </c>
      <c r="Q3861" t="s">
        <v>31</v>
      </c>
      <c r="R3861" t="s">
        <v>32</v>
      </c>
      <c r="S3861" t="s">
        <v>28</v>
      </c>
      <c r="T3861" t="s">
        <v>14482</v>
      </c>
      <c r="U3861" t="s">
        <v>14481</v>
      </c>
    </row>
    <row r="3862" spans="1:21" x14ac:dyDescent="0.25">
      <c r="A3862" t="s">
        <v>13290</v>
      </c>
      <c r="B3862" t="s">
        <v>13291</v>
      </c>
      <c r="C3862">
        <v>100</v>
      </c>
      <c r="D3862">
        <v>1</v>
      </c>
      <c r="E3862">
        <v>0</v>
      </c>
      <c r="F3862" t="s">
        <v>14483</v>
      </c>
      <c r="G3862">
        <v>125</v>
      </c>
      <c r="H3862">
        <v>25</v>
      </c>
      <c r="I3862" t="s">
        <v>445</v>
      </c>
      <c r="J3862" t="s">
        <v>14484</v>
      </c>
      <c r="K3862" t="s">
        <v>213</v>
      </c>
      <c r="L3862" t="s">
        <v>27</v>
      </c>
      <c r="M3862" t="s">
        <v>28</v>
      </c>
      <c r="N3862" t="s">
        <v>14485</v>
      </c>
      <c r="O3862" t="s">
        <v>27</v>
      </c>
      <c r="P3862" t="s">
        <v>39</v>
      </c>
      <c r="Q3862" t="s">
        <v>31</v>
      </c>
      <c r="R3862" t="s">
        <v>32</v>
      </c>
      <c r="S3862" t="s">
        <v>28</v>
      </c>
      <c r="T3862" t="s">
        <v>14486</v>
      </c>
      <c r="U3862" t="s">
        <v>14487</v>
      </c>
    </row>
    <row r="3863" spans="1:21" x14ac:dyDescent="0.25">
      <c r="A3863" t="s">
        <v>13290</v>
      </c>
      <c r="B3863" t="s">
        <v>13291</v>
      </c>
      <c r="C3863">
        <v>100</v>
      </c>
      <c r="D3863">
        <v>1</v>
      </c>
      <c r="E3863">
        <v>0</v>
      </c>
      <c r="F3863" t="s">
        <v>14488</v>
      </c>
      <c r="G3863">
        <v>125</v>
      </c>
      <c r="H3863">
        <v>25</v>
      </c>
      <c r="I3863" t="s">
        <v>140</v>
      </c>
      <c r="J3863" t="s">
        <v>14489</v>
      </c>
      <c r="K3863" t="s">
        <v>1315</v>
      </c>
      <c r="L3863" t="s">
        <v>27</v>
      </c>
      <c r="M3863" t="s">
        <v>28</v>
      </c>
      <c r="N3863" t="s">
        <v>14485</v>
      </c>
      <c r="O3863" t="s">
        <v>27</v>
      </c>
      <c r="P3863" t="s">
        <v>369</v>
      </c>
      <c r="Q3863" t="s">
        <v>31</v>
      </c>
      <c r="R3863" t="s">
        <v>57</v>
      </c>
      <c r="S3863" t="s">
        <v>28</v>
      </c>
      <c r="T3863" t="s">
        <v>14490</v>
      </c>
      <c r="U3863" t="s">
        <v>14485</v>
      </c>
    </row>
    <row r="3864" spans="1:21" x14ac:dyDescent="0.25">
      <c r="A3864" t="s">
        <v>63</v>
      </c>
      <c r="B3864" t="s">
        <v>64</v>
      </c>
      <c r="C3864">
        <v>100</v>
      </c>
      <c r="D3864">
        <v>2</v>
      </c>
      <c r="E3864">
        <v>0</v>
      </c>
      <c r="F3864" t="s">
        <v>14491</v>
      </c>
      <c r="G3864">
        <v>200</v>
      </c>
      <c r="H3864">
        <v>0</v>
      </c>
      <c r="I3864" t="s">
        <v>445</v>
      </c>
      <c r="J3864" t="s">
        <v>14492</v>
      </c>
      <c r="K3864" t="s">
        <v>54</v>
      </c>
      <c r="L3864" t="s">
        <v>27</v>
      </c>
      <c r="M3864" t="s">
        <v>28</v>
      </c>
      <c r="N3864" t="s">
        <v>14493</v>
      </c>
      <c r="O3864" t="s">
        <v>27</v>
      </c>
      <c r="P3864" t="s">
        <v>39</v>
      </c>
      <c r="Q3864" t="s">
        <v>31</v>
      </c>
      <c r="R3864" t="s">
        <v>32</v>
      </c>
      <c r="S3864" t="s">
        <v>28</v>
      </c>
      <c r="T3864" t="s">
        <v>14494</v>
      </c>
      <c r="U3864" t="s">
        <v>14493</v>
      </c>
    </row>
    <row r="3865" spans="1:21" x14ac:dyDescent="0.25">
      <c r="A3865" t="s">
        <v>70</v>
      </c>
      <c r="B3865" t="s">
        <v>70</v>
      </c>
      <c r="C3865">
        <v>350</v>
      </c>
      <c r="D3865">
        <v>1</v>
      </c>
      <c r="E3865">
        <v>0</v>
      </c>
      <c r="F3865" t="s">
        <v>14495</v>
      </c>
      <c r="G3865">
        <v>350</v>
      </c>
      <c r="H3865">
        <v>0</v>
      </c>
      <c r="I3865" t="s">
        <v>140</v>
      </c>
      <c r="J3865" t="s">
        <v>14496</v>
      </c>
      <c r="K3865" t="s">
        <v>209</v>
      </c>
      <c r="L3865" t="s">
        <v>27</v>
      </c>
      <c r="M3865" t="s">
        <v>28</v>
      </c>
      <c r="N3865" t="s">
        <v>14497</v>
      </c>
      <c r="O3865" t="s">
        <v>27</v>
      </c>
      <c r="P3865" t="s">
        <v>30</v>
      </c>
      <c r="Q3865" t="s">
        <v>31</v>
      </c>
      <c r="R3865" t="s">
        <v>32</v>
      </c>
      <c r="S3865" t="s">
        <v>28</v>
      </c>
      <c r="T3865" t="s">
        <v>14498</v>
      </c>
      <c r="U3865" t="s">
        <v>14497</v>
      </c>
    </row>
    <row r="3866" spans="1:21" x14ac:dyDescent="0.25">
      <c r="A3866" t="s">
        <v>134</v>
      </c>
      <c r="B3866" t="s">
        <v>64</v>
      </c>
      <c r="C3866">
        <v>120</v>
      </c>
      <c r="D3866">
        <v>2</v>
      </c>
      <c r="E3866">
        <v>0</v>
      </c>
      <c r="F3866" t="s">
        <v>14499</v>
      </c>
      <c r="G3866">
        <v>264</v>
      </c>
      <c r="H3866">
        <v>29</v>
      </c>
      <c r="I3866" t="s">
        <v>445</v>
      </c>
      <c r="J3866" t="s">
        <v>14500</v>
      </c>
      <c r="K3866" t="s">
        <v>14501</v>
      </c>
      <c r="L3866" t="s">
        <v>290</v>
      </c>
      <c r="M3866" t="s">
        <v>749</v>
      </c>
      <c r="N3866" t="s">
        <v>14497</v>
      </c>
      <c r="O3866" t="s">
        <v>27</v>
      </c>
      <c r="P3866" t="s">
        <v>84</v>
      </c>
      <c r="Q3866" t="s">
        <v>85</v>
      </c>
      <c r="R3866" t="s">
        <v>86</v>
      </c>
      <c r="S3866" t="s">
        <v>28</v>
      </c>
      <c r="T3866" t="s">
        <v>14502</v>
      </c>
      <c r="U3866" t="s">
        <v>14503</v>
      </c>
    </row>
    <row r="3867" spans="1:21" x14ac:dyDescent="0.25">
      <c r="A3867" t="s">
        <v>58</v>
      </c>
      <c r="B3867" t="s">
        <v>103</v>
      </c>
      <c r="C3867">
        <v>99.75</v>
      </c>
      <c r="D3867">
        <v>1</v>
      </c>
      <c r="E3867">
        <v>0</v>
      </c>
      <c r="F3867" t="s">
        <v>14504</v>
      </c>
      <c r="G3867">
        <v>294.75</v>
      </c>
      <c r="H3867">
        <v>24</v>
      </c>
      <c r="I3867" t="s">
        <v>105</v>
      </c>
      <c r="J3867" t="s">
        <v>14505</v>
      </c>
      <c r="K3867" t="s">
        <v>14506</v>
      </c>
      <c r="L3867" t="s">
        <v>3974</v>
      </c>
      <c r="M3867" t="s">
        <v>14507</v>
      </c>
      <c r="N3867" t="s">
        <v>14508</v>
      </c>
      <c r="O3867" t="s">
        <v>27</v>
      </c>
      <c r="P3867" t="s">
        <v>48</v>
      </c>
      <c r="Q3867" t="s">
        <v>49</v>
      </c>
      <c r="R3867" t="s">
        <v>50</v>
      </c>
      <c r="S3867" t="s">
        <v>28</v>
      </c>
      <c r="T3867" t="s">
        <v>14509</v>
      </c>
      <c r="U3867" t="s">
        <v>14508</v>
      </c>
    </row>
    <row r="3868" spans="1:21" x14ac:dyDescent="0.25">
      <c r="A3868" t="s">
        <v>58</v>
      </c>
      <c r="B3868" t="s">
        <v>103</v>
      </c>
      <c r="C3868">
        <v>99.75</v>
      </c>
      <c r="D3868">
        <v>1</v>
      </c>
      <c r="E3868">
        <v>0</v>
      </c>
      <c r="F3868" t="s">
        <v>14504</v>
      </c>
      <c r="G3868">
        <v>294.75</v>
      </c>
      <c r="H3868">
        <v>24</v>
      </c>
      <c r="I3868" t="s">
        <v>105</v>
      </c>
      <c r="J3868" t="s">
        <v>14505</v>
      </c>
      <c r="K3868" t="s">
        <v>14506</v>
      </c>
      <c r="L3868" t="s">
        <v>3974</v>
      </c>
      <c r="M3868" t="s">
        <v>14507</v>
      </c>
      <c r="N3868" t="s">
        <v>14508</v>
      </c>
      <c r="O3868" t="s">
        <v>27</v>
      </c>
      <c r="P3868" t="s">
        <v>48</v>
      </c>
      <c r="Q3868" t="s">
        <v>49</v>
      </c>
      <c r="R3868" t="s">
        <v>50</v>
      </c>
      <c r="S3868" t="s">
        <v>28</v>
      </c>
      <c r="T3868" t="s">
        <v>14509</v>
      </c>
      <c r="U3868" t="s">
        <v>14508</v>
      </c>
    </row>
    <row r="3869" spans="1:21" x14ac:dyDescent="0.25">
      <c r="A3869" t="s">
        <v>143</v>
      </c>
      <c r="B3869" t="s">
        <v>144</v>
      </c>
      <c r="C3869">
        <v>200</v>
      </c>
      <c r="D3869">
        <v>1</v>
      </c>
      <c r="E3869">
        <v>0</v>
      </c>
      <c r="F3869" t="s">
        <v>14510</v>
      </c>
      <c r="G3869">
        <v>200</v>
      </c>
      <c r="H3869">
        <v>0</v>
      </c>
      <c r="I3869" t="s">
        <v>24</v>
      </c>
      <c r="J3869" t="s">
        <v>9089</v>
      </c>
      <c r="K3869" t="s">
        <v>1190</v>
      </c>
      <c r="L3869" t="s">
        <v>27</v>
      </c>
      <c r="M3869" t="s">
        <v>28</v>
      </c>
      <c r="N3869" t="s">
        <v>14511</v>
      </c>
      <c r="O3869" t="s">
        <v>27</v>
      </c>
      <c r="P3869" t="s">
        <v>39</v>
      </c>
      <c r="Q3869" t="s">
        <v>31</v>
      </c>
      <c r="R3869" t="s">
        <v>32</v>
      </c>
      <c r="S3869" t="s">
        <v>28</v>
      </c>
      <c r="T3869" t="s">
        <v>14512</v>
      </c>
      <c r="U3869" t="s">
        <v>14511</v>
      </c>
    </row>
    <row r="3870" spans="1:21" x14ac:dyDescent="0.25">
      <c r="A3870" t="s">
        <v>58</v>
      </c>
      <c r="B3870" t="s">
        <v>103</v>
      </c>
      <c r="C3870">
        <v>99.75</v>
      </c>
      <c r="D3870">
        <v>1</v>
      </c>
      <c r="E3870">
        <v>0</v>
      </c>
      <c r="F3870" t="s">
        <v>14513</v>
      </c>
      <c r="G3870">
        <v>104.75</v>
      </c>
      <c r="H3870">
        <v>5</v>
      </c>
      <c r="I3870" t="s">
        <v>105</v>
      </c>
      <c r="J3870" t="s">
        <v>14514</v>
      </c>
      <c r="K3870" t="s">
        <v>14515</v>
      </c>
      <c r="L3870" t="s">
        <v>2326</v>
      </c>
      <c r="M3870" t="s">
        <v>14516</v>
      </c>
      <c r="N3870" t="s">
        <v>14517</v>
      </c>
      <c r="O3870" t="s">
        <v>27</v>
      </c>
      <c r="P3870" t="s">
        <v>48</v>
      </c>
      <c r="Q3870" t="s">
        <v>49</v>
      </c>
      <c r="R3870" t="s">
        <v>50</v>
      </c>
      <c r="S3870" t="s">
        <v>28</v>
      </c>
      <c r="T3870" t="s">
        <v>14518</v>
      </c>
      <c r="U3870" t="s">
        <v>14517</v>
      </c>
    </row>
    <row r="3871" spans="1:21" x14ac:dyDescent="0.25">
      <c r="A3871" t="s">
        <v>33</v>
      </c>
      <c r="B3871" t="s">
        <v>34</v>
      </c>
      <c r="C3871">
        <v>200</v>
      </c>
      <c r="D3871">
        <v>1</v>
      </c>
      <c r="E3871">
        <v>0</v>
      </c>
      <c r="F3871" t="s">
        <v>14519</v>
      </c>
      <c r="G3871">
        <v>530</v>
      </c>
      <c r="H3871">
        <v>0</v>
      </c>
      <c r="I3871" t="s">
        <v>445</v>
      </c>
      <c r="J3871" t="s">
        <v>14520</v>
      </c>
      <c r="K3871" t="s">
        <v>175</v>
      </c>
      <c r="L3871" t="s">
        <v>27</v>
      </c>
      <c r="M3871" t="s">
        <v>28</v>
      </c>
      <c r="N3871" t="s">
        <v>14521</v>
      </c>
      <c r="O3871" t="s">
        <v>27</v>
      </c>
      <c r="P3871" t="s">
        <v>39</v>
      </c>
      <c r="Q3871" t="s">
        <v>31</v>
      </c>
      <c r="R3871" t="s">
        <v>32</v>
      </c>
      <c r="S3871" t="s">
        <v>28</v>
      </c>
      <c r="T3871" t="s">
        <v>14522</v>
      </c>
      <c r="U3871" t="s">
        <v>14523</v>
      </c>
    </row>
    <row r="3872" spans="1:21" x14ac:dyDescent="0.25">
      <c r="A3872" t="s">
        <v>1513</v>
      </c>
      <c r="B3872" t="s">
        <v>1514</v>
      </c>
      <c r="C3872">
        <v>330</v>
      </c>
      <c r="D3872">
        <v>1</v>
      </c>
      <c r="E3872">
        <v>0</v>
      </c>
      <c r="F3872" t="s">
        <v>14519</v>
      </c>
      <c r="G3872">
        <v>530</v>
      </c>
      <c r="H3872">
        <v>0</v>
      </c>
      <c r="I3872" t="s">
        <v>445</v>
      </c>
      <c r="J3872" t="s">
        <v>14520</v>
      </c>
      <c r="K3872" t="s">
        <v>175</v>
      </c>
      <c r="L3872" t="s">
        <v>27</v>
      </c>
      <c r="M3872" t="s">
        <v>28</v>
      </c>
      <c r="N3872" t="s">
        <v>14521</v>
      </c>
      <c r="O3872" t="s">
        <v>27</v>
      </c>
      <c r="P3872" t="s">
        <v>39</v>
      </c>
      <c r="Q3872" t="s">
        <v>31</v>
      </c>
      <c r="R3872" t="s">
        <v>32</v>
      </c>
      <c r="S3872" t="s">
        <v>28</v>
      </c>
      <c r="T3872" t="s">
        <v>14522</v>
      </c>
      <c r="U3872" t="s">
        <v>14523</v>
      </c>
    </row>
    <row r="3873" spans="1:21" x14ac:dyDescent="0.25">
      <c r="A3873" t="s">
        <v>63</v>
      </c>
      <c r="B3873" t="s">
        <v>64</v>
      </c>
      <c r="C3873">
        <v>100</v>
      </c>
      <c r="D3873">
        <v>1</v>
      </c>
      <c r="E3873">
        <v>0</v>
      </c>
      <c r="F3873" t="s">
        <v>14524</v>
      </c>
      <c r="G3873">
        <v>200</v>
      </c>
      <c r="H3873">
        <v>0</v>
      </c>
      <c r="I3873" t="s">
        <v>445</v>
      </c>
      <c r="J3873" t="s">
        <v>14525</v>
      </c>
      <c r="K3873" t="s">
        <v>919</v>
      </c>
      <c r="L3873" t="s">
        <v>27</v>
      </c>
      <c r="M3873" t="s">
        <v>28</v>
      </c>
      <c r="N3873" t="s">
        <v>14526</v>
      </c>
      <c r="O3873" t="s">
        <v>27</v>
      </c>
      <c r="P3873" t="s">
        <v>39</v>
      </c>
      <c r="Q3873" t="s">
        <v>31</v>
      </c>
      <c r="R3873" t="s">
        <v>32</v>
      </c>
      <c r="S3873" t="s">
        <v>28</v>
      </c>
      <c r="T3873" t="s">
        <v>14527</v>
      </c>
      <c r="U3873" t="s">
        <v>14526</v>
      </c>
    </row>
    <row r="3874" spans="1:21" x14ac:dyDescent="0.25">
      <c r="A3874" t="s">
        <v>134</v>
      </c>
      <c r="B3874" t="s">
        <v>64</v>
      </c>
      <c r="C3874">
        <v>100</v>
      </c>
      <c r="D3874">
        <v>1</v>
      </c>
      <c r="E3874">
        <v>0</v>
      </c>
      <c r="F3874" t="s">
        <v>14524</v>
      </c>
      <c r="G3874">
        <v>200</v>
      </c>
      <c r="H3874">
        <v>0</v>
      </c>
      <c r="I3874" t="s">
        <v>445</v>
      </c>
      <c r="J3874" t="s">
        <v>14525</v>
      </c>
      <c r="K3874" t="s">
        <v>919</v>
      </c>
      <c r="L3874" t="s">
        <v>27</v>
      </c>
      <c r="M3874" t="s">
        <v>28</v>
      </c>
      <c r="N3874" t="s">
        <v>14526</v>
      </c>
      <c r="O3874" t="s">
        <v>27</v>
      </c>
      <c r="P3874" t="s">
        <v>39</v>
      </c>
      <c r="Q3874" t="s">
        <v>31</v>
      </c>
      <c r="R3874" t="s">
        <v>32</v>
      </c>
      <c r="S3874" t="s">
        <v>28</v>
      </c>
      <c r="T3874" t="s">
        <v>14527</v>
      </c>
      <c r="U3874" t="s">
        <v>14526</v>
      </c>
    </row>
    <row r="3875" spans="1:21" x14ac:dyDescent="0.25">
      <c r="A3875" t="s">
        <v>13290</v>
      </c>
      <c r="B3875" t="s">
        <v>13291</v>
      </c>
      <c r="C3875">
        <v>100</v>
      </c>
      <c r="D3875">
        <v>1</v>
      </c>
      <c r="E3875">
        <v>0</v>
      </c>
      <c r="F3875" t="s">
        <v>14528</v>
      </c>
      <c r="G3875">
        <v>125</v>
      </c>
      <c r="H3875">
        <v>25</v>
      </c>
      <c r="I3875" t="s">
        <v>24</v>
      </c>
      <c r="J3875" t="s">
        <v>14529</v>
      </c>
      <c r="K3875" t="s">
        <v>26</v>
      </c>
      <c r="L3875" t="s">
        <v>27</v>
      </c>
      <c r="M3875" t="s">
        <v>28</v>
      </c>
      <c r="N3875" t="s">
        <v>14526</v>
      </c>
      <c r="O3875" t="s">
        <v>27</v>
      </c>
      <c r="P3875" t="s">
        <v>56</v>
      </c>
      <c r="Q3875" t="s">
        <v>31</v>
      </c>
      <c r="R3875" t="s">
        <v>57</v>
      </c>
      <c r="S3875" t="s">
        <v>28</v>
      </c>
      <c r="T3875" t="s">
        <v>14530</v>
      </c>
      <c r="U3875" t="s">
        <v>14526</v>
      </c>
    </row>
    <row r="3876" spans="1:21" x14ac:dyDescent="0.25">
      <c r="A3876" t="s">
        <v>456</v>
      </c>
      <c r="B3876" t="s">
        <v>457</v>
      </c>
      <c r="C3876">
        <v>199</v>
      </c>
      <c r="D3876">
        <v>1</v>
      </c>
      <c r="E3876">
        <v>0</v>
      </c>
      <c r="F3876" t="s">
        <v>14531</v>
      </c>
      <c r="G3876">
        <v>199</v>
      </c>
      <c r="H3876">
        <v>0</v>
      </c>
      <c r="I3876" t="s">
        <v>24</v>
      </c>
      <c r="J3876" t="s">
        <v>8934</v>
      </c>
      <c r="K3876" t="s">
        <v>14532</v>
      </c>
      <c r="L3876" t="s">
        <v>10967</v>
      </c>
      <c r="M3876" t="s">
        <v>3529</v>
      </c>
      <c r="N3876" t="s">
        <v>14533</v>
      </c>
      <c r="O3876" t="s">
        <v>27</v>
      </c>
      <c r="P3876" t="s">
        <v>193</v>
      </c>
      <c r="Q3876" t="s">
        <v>85</v>
      </c>
      <c r="R3876" t="s">
        <v>86</v>
      </c>
      <c r="S3876" t="s">
        <v>28</v>
      </c>
      <c r="T3876" t="s">
        <v>14534</v>
      </c>
      <c r="U3876" t="s">
        <v>14535</v>
      </c>
    </row>
    <row r="3877" spans="1:21" x14ac:dyDescent="0.25">
      <c r="A3877" t="s">
        <v>2307</v>
      </c>
      <c r="B3877" t="s">
        <v>2308</v>
      </c>
      <c r="C3877">
        <v>330</v>
      </c>
      <c r="D3877">
        <v>2</v>
      </c>
      <c r="E3877">
        <v>0</v>
      </c>
      <c r="F3877" t="s">
        <v>14536</v>
      </c>
      <c r="G3877">
        <v>660</v>
      </c>
      <c r="H3877">
        <v>0</v>
      </c>
      <c r="I3877" t="s">
        <v>140</v>
      </c>
      <c r="J3877" t="s">
        <v>14537</v>
      </c>
      <c r="K3877" t="s">
        <v>342</v>
      </c>
      <c r="L3877" t="s">
        <v>27</v>
      </c>
      <c r="M3877" t="s">
        <v>28</v>
      </c>
      <c r="N3877" t="s">
        <v>14538</v>
      </c>
      <c r="O3877" t="s">
        <v>27</v>
      </c>
      <c r="P3877" t="s">
        <v>30</v>
      </c>
      <c r="Q3877" t="s">
        <v>31</v>
      </c>
      <c r="R3877" t="s">
        <v>32</v>
      </c>
      <c r="S3877" t="s">
        <v>28</v>
      </c>
      <c r="T3877" t="s">
        <v>14539</v>
      </c>
      <c r="U3877" t="s">
        <v>14540</v>
      </c>
    </row>
    <row r="3878" spans="1:21" x14ac:dyDescent="0.25">
      <c r="A3878" t="s">
        <v>13290</v>
      </c>
      <c r="B3878" t="s">
        <v>13291</v>
      </c>
      <c r="C3878">
        <v>100</v>
      </c>
      <c r="D3878">
        <v>1</v>
      </c>
      <c r="E3878">
        <v>0</v>
      </c>
      <c r="F3878" t="s">
        <v>14541</v>
      </c>
      <c r="G3878">
        <v>125</v>
      </c>
      <c r="H3878">
        <v>25</v>
      </c>
      <c r="I3878" t="s">
        <v>24</v>
      </c>
      <c r="J3878" t="s">
        <v>14542</v>
      </c>
      <c r="K3878" t="s">
        <v>26</v>
      </c>
      <c r="L3878" t="s">
        <v>27</v>
      </c>
      <c r="M3878" t="s">
        <v>28</v>
      </c>
      <c r="N3878" t="s">
        <v>14543</v>
      </c>
      <c r="O3878" t="s">
        <v>27</v>
      </c>
      <c r="P3878" t="s">
        <v>39</v>
      </c>
      <c r="Q3878" t="s">
        <v>31</v>
      </c>
      <c r="R3878" t="s">
        <v>32</v>
      </c>
      <c r="S3878" t="s">
        <v>28</v>
      </c>
      <c r="T3878" t="s">
        <v>14544</v>
      </c>
      <c r="U3878" t="s">
        <v>14543</v>
      </c>
    </row>
    <row r="3879" spans="1:21" x14ac:dyDescent="0.25">
      <c r="A3879" t="s">
        <v>13290</v>
      </c>
      <c r="B3879" t="s">
        <v>13291</v>
      </c>
      <c r="C3879">
        <v>100</v>
      </c>
      <c r="D3879">
        <v>1</v>
      </c>
      <c r="E3879">
        <v>0</v>
      </c>
      <c r="F3879" t="s">
        <v>14545</v>
      </c>
      <c r="G3879">
        <v>125</v>
      </c>
      <c r="H3879">
        <v>25</v>
      </c>
      <c r="I3879" t="s">
        <v>24</v>
      </c>
      <c r="J3879" t="s">
        <v>14546</v>
      </c>
      <c r="K3879" t="s">
        <v>583</v>
      </c>
      <c r="L3879" t="s">
        <v>27</v>
      </c>
      <c r="M3879" t="s">
        <v>28</v>
      </c>
      <c r="N3879" t="s">
        <v>14547</v>
      </c>
      <c r="O3879" t="s">
        <v>27</v>
      </c>
      <c r="P3879" t="s">
        <v>39</v>
      </c>
      <c r="Q3879" t="s">
        <v>31</v>
      </c>
      <c r="R3879" t="s">
        <v>32</v>
      </c>
      <c r="S3879" t="s">
        <v>28</v>
      </c>
      <c r="T3879" t="s">
        <v>14548</v>
      </c>
      <c r="U3879" t="s">
        <v>14543</v>
      </c>
    </row>
    <row r="3880" spans="1:21" x14ac:dyDescent="0.25">
      <c r="A3880" t="s">
        <v>1513</v>
      </c>
      <c r="B3880" t="s">
        <v>1514</v>
      </c>
      <c r="C3880">
        <v>330</v>
      </c>
      <c r="D3880">
        <v>1</v>
      </c>
      <c r="E3880">
        <v>0</v>
      </c>
      <c r="F3880" t="s">
        <v>14549</v>
      </c>
      <c r="G3880">
        <v>330</v>
      </c>
      <c r="H3880">
        <v>0</v>
      </c>
      <c r="I3880" t="s">
        <v>140</v>
      </c>
      <c r="J3880" t="s">
        <v>14550</v>
      </c>
      <c r="K3880" t="s">
        <v>118</v>
      </c>
      <c r="L3880" t="s">
        <v>27</v>
      </c>
      <c r="M3880" t="s">
        <v>28</v>
      </c>
      <c r="N3880" t="s">
        <v>14547</v>
      </c>
      <c r="O3880" t="s">
        <v>27</v>
      </c>
      <c r="P3880" t="s">
        <v>369</v>
      </c>
      <c r="Q3880" t="s">
        <v>31</v>
      </c>
      <c r="R3880" t="s">
        <v>57</v>
      </c>
      <c r="S3880" t="s">
        <v>28</v>
      </c>
      <c r="T3880" t="s">
        <v>14551</v>
      </c>
      <c r="U3880" t="s">
        <v>14552</v>
      </c>
    </row>
    <row r="3881" spans="1:21" x14ac:dyDescent="0.25">
      <c r="A3881" t="s">
        <v>40</v>
      </c>
      <c r="B3881" t="s">
        <v>41</v>
      </c>
      <c r="C3881">
        <v>85</v>
      </c>
      <c r="D3881">
        <v>1</v>
      </c>
      <c r="E3881">
        <v>0</v>
      </c>
      <c r="F3881" t="s">
        <v>14553</v>
      </c>
      <c r="G3881">
        <v>90</v>
      </c>
      <c r="H3881">
        <v>5</v>
      </c>
      <c r="I3881" t="s">
        <v>24</v>
      </c>
      <c r="J3881" t="s">
        <v>14554</v>
      </c>
      <c r="K3881" t="s">
        <v>14555</v>
      </c>
      <c r="L3881" t="s">
        <v>14556</v>
      </c>
      <c r="M3881" t="s">
        <v>14557</v>
      </c>
      <c r="N3881" t="s">
        <v>14558</v>
      </c>
      <c r="O3881" t="s">
        <v>27</v>
      </c>
      <c r="P3881" t="s">
        <v>48</v>
      </c>
      <c r="Q3881" t="s">
        <v>49</v>
      </c>
      <c r="R3881" t="s">
        <v>50</v>
      </c>
      <c r="S3881" t="s">
        <v>28</v>
      </c>
      <c r="T3881" t="s">
        <v>14559</v>
      </c>
      <c r="U3881" t="s">
        <v>14558</v>
      </c>
    </row>
    <row r="3882" spans="1:21" x14ac:dyDescent="0.25">
      <c r="A3882" t="s">
        <v>33</v>
      </c>
      <c r="B3882" t="s">
        <v>34</v>
      </c>
      <c r="C3882">
        <v>200</v>
      </c>
      <c r="D3882">
        <v>1</v>
      </c>
      <c r="E3882">
        <v>0</v>
      </c>
      <c r="F3882" t="s">
        <v>14560</v>
      </c>
      <c r="G3882">
        <v>200</v>
      </c>
      <c r="H3882">
        <v>0</v>
      </c>
      <c r="I3882" t="s">
        <v>24</v>
      </c>
      <c r="J3882" t="s">
        <v>14561</v>
      </c>
      <c r="K3882" t="s">
        <v>474</v>
      </c>
      <c r="L3882" t="s">
        <v>27</v>
      </c>
      <c r="M3882" t="s">
        <v>28</v>
      </c>
      <c r="N3882" t="s">
        <v>14558</v>
      </c>
      <c r="O3882" t="s">
        <v>27</v>
      </c>
      <c r="P3882" t="s">
        <v>39</v>
      </c>
      <c r="Q3882" t="s">
        <v>31</v>
      </c>
      <c r="R3882" t="s">
        <v>32</v>
      </c>
      <c r="S3882" t="s">
        <v>28</v>
      </c>
      <c r="T3882" t="s">
        <v>14562</v>
      </c>
      <c r="U3882" t="s">
        <v>14558</v>
      </c>
    </row>
    <row r="3883" spans="1:21" x14ac:dyDescent="0.25">
      <c r="A3883" t="s">
        <v>70</v>
      </c>
      <c r="B3883" t="s">
        <v>70</v>
      </c>
      <c r="C3883">
        <v>350</v>
      </c>
      <c r="D3883">
        <v>1</v>
      </c>
      <c r="E3883">
        <v>0</v>
      </c>
      <c r="F3883" t="s">
        <v>14563</v>
      </c>
      <c r="G3883">
        <v>350</v>
      </c>
      <c r="H3883">
        <v>0</v>
      </c>
      <c r="I3883" t="s">
        <v>140</v>
      </c>
      <c r="J3883" t="s">
        <v>440</v>
      </c>
      <c r="K3883" t="s">
        <v>61</v>
      </c>
      <c r="L3883" t="s">
        <v>27</v>
      </c>
      <c r="M3883" t="s">
        <v>28</v>
      </c>
      <c r="N3883" t="s">
        <v>14564</v>
      </c>
      <c r="O3883" t="s">
        <v>27</v>
      </c>
      <c r="P3883" t="s">
        <v>30</v>
      </c>
      <c r="Q3883" t="s">
        <v>31</v>
      </c>
      <c r="R3883" t="s">
        <v>32</v>
      </c>
      <c r="S3883" t="s">
        <v>28</v>
      </c>
      <c r="T3883" t="s">
        <v>14565</v>
      </c>
      <c r="U3883" t="s">
        <v>14564</v>
      </c>
    </row>
    <row r="3884" spans="1:21" x14ac:dyDescent="0.25">
      <c r="A3884" t="s">
        <v>2307</v>
      </c>
      <c r="B3884" t="s">
        <v>2308</v>
      </c>
      <c r="C3884">
        <v>330</v>
      </c>
      <c r="D3884">
        <v>1</v>
      </c>
      <c r="E3884">
        <v>0</v>
      </c>
      <c r="F3884" t="s">
        <v>14566</v>
      </c>
      <c r="G3884">
        <v>330</v>
      </c>
      <c r="H3884">
        <v>0</v>
      </c>
      <c r="I3884" t="s">
        <v>140</v>
      </c>
      <c r="J3884" t="s">
        <v>14567</v>
      </c>
      <c r="K3884" t="s">
        <v>2865</v>
      </c>
      <c r="L3884" t="s">
        <v>27</v>
      </c>
      <c r="M3884" t="s">
        <v>28</v>
      </c>
      <c r="N3884" t="s">
        <v>14568</v>
      </c>
      <c r="O3884" t="s">
        <v>27</v>
      </c>
      <c r="P3884" t="s">
        <v>369</v>
      </c>
      <c r="Q3884" t="s">
        <v>31</v>
      </c>
      <c r="R3884" t="s">
        <v>57</v>
      </c>
      <c r="S3884" t="s">
        <v>28</v>
      </c>
      <c r="T3884" t="s">
        <v>14569</v>
      </c>
      <c r="U3884" t="s">
        <v>14568</v>
      </c>
    </row>
    <row r="3885" spans="1:21" x14ac:dyDescent="0.25">
      <c r="A3885" t="s">
        <v>134</v>
      </c>
      <c r="B3885" t="s">
        <v>64</v>
      </c>
      <c r="C3885">
        <v>100</v>
      </c>
      <c r="D3885">
        <v>3</v>
      </c>
      <c r="E3885">
        <v>0</v>
      </c>
      <c r="F3885" t="s">
        <v>14570</v>
      </c>
      <c r="G3885">
        <v>600</v>
      </c>
      <c r="H3885">
        <v>0</v>
      </c>
      <c r="I3885" t="s">
        <v>24</v>
      </c>
      <c r="J3885" t="s">
        <v>14571</v>
      </c>
      <c r="K3885" t="s">
        <v>118</v>
      </c>
      <c r="L3885" t="s">
        <v>27</v>
      </c>
      <c r="M3885" t="s">
        <v>28</v>
      </c>
      <c r="N3885" t="s">
        <v>14572</v>
      </c>
      <c r="O3885" t="s">
        <v>27</v>
      </c>
      <c r="P3885" t="s">
        <v>39</v>
      </c>
      <c r="Q3885" t="s">
        <v>31</v>
      </c>
      <c r="R3885" t="s">
        <v>32</v>
      </c>
      <c r="S3885" t="s">
        <v>28</v>
      </c>
      <c r="T3885" t="s">
        <v>14573</v>
      </c>
      <c r="U3885" t="s">
        <v>14572</v>
      </c>
    </row>
    <row r="3886" spans="1:21" x14ac:dyDescent="0.25">
      <c r="A3886" t="s">
        <v>63</v>
      </c>
      <c r="B3886" t="s">
        <v>64</v>
      </c>
      <c r="C3886">
        <v>100</v>
      </c>
      <c r="D3886">
        <v>3</v>
      </c>
      <c r="E3886">
        <v>0</v>
      </c>
      <c r="F3886" t="s">
        <v>14570</v>
      </c>
      <c r="G3886">
        <v>600</v>
      </c>
      <c r="H3886">
        <v>0</v>
      </c>
      <c r="I3886" t="s">
        <v>24</v>
      </c>
      <c r="J3886" t="s">
        <v>14571</v>
      </c>
      <c r="K3886" t="s">
        <v>118</v>
      </c>
      <c r="L3886" t="s">
        <v>27</v>
      </c>
      <c r="M3886" t="s">
        <v>28</v>
      </c>
      <c r="N3886" t="s">
        <v>14572</v>
      </c>
      <c r="O3886" t="s">
        <v>27</v>
      </c>
      <c r="P3886" t="s">
        <v>39</v>
      </c>
      <c r="Q3886" t="s">
        <v>31</v>
      </c>
      <c r="R3886" t="s">
        <v>32</v>
      </c>
      <c r="S3886" t="s">
        <v>28</v>
      </c>
      <c r="T3886" t="s">
        <v>14573</v>
      </c>
      <c r="U3886" t="s">
        <v>14572</v>
      </c>
    </row>
    <row r="3887" spans="1:21" x14ac:dyDescent="0.25">
      <c r="A3887" t="s">
        <v>58</v>
      </c>
      <c r="B3887" t="s">
        <v>58</v>
      </c>
      <c r="C3887">
        <v>100</v>
      </c>
      <c r="D3887">
        <v>1</v>
      </c>
      <c r="E3887">
        <v>0</v>
      </c>
      <c r="F3887" t="s">
        <v>14574</v>
      </c>
      <c r="G3887">
        <v>106</v>
      </c>
      <c r="H3887">
        <v>6</v>
      </c>
      <c r="I3887" t="s">
        <v>140</v>
      </c>
      <c r="J3887" t="s">
        <v>334</v>
      </c>
      <c r="K3887" t="s">
        <v>61</v>
      </c>
      <c r="L3887" t="s">
        <v>27</v>
      </c>
      <c r="M3887" t="s">
        <v>28</v>
      </c>
      <c r="N3887" t="s">
        <v>14575</v>
      </c>
      <c r="O3887" t="s">
        <v>27</v>
      </c>
      <c r="P3887" t="s">
        <v>369</v>
      </c>
      <c r="Q3887" t="s">
        <v>31</v>
      </c>
      <c r="R3887" t="s">
        <v>57</v>
      </c>
      <c r="S3887" t="s">
        <v>28</v>
      </c>
      <c r="T3887" t="s">
        <v>14576</v>
      </c>
      <c r="U3887" t="s">
        <v>14577</v>
      </c>
    </row>
    <row r="3888" spans="1:21" x14ac:dyDescent="0.25">
      <c r="A3888" t="s">
        <v>33</v>
      </c>
      <c r="B3888" t="s">
        <v>34</v>
      </c>
      <c r="C3888">
        <v>200</v>
      </c>
      <c r="D3888">
        <v>1</v>
      </c>
      <c r="E3888">
        <v>0</v>
      </c>
      <c r="F3888" t="s">
        <v>14578</v>
      </c>
      <c r="G3888">
        <v>200</v>
      </c>
      <c r="H3888">
        <v>0</v>
      </c>
      <c r="I3888" t="s">
        <v>24</v>
      </c>
      <c r="J3888" t="s">
        <v>9271</v>
      </c>
      <c r="K3888" t="s">
        <v>124</v>
      </c>
      <c r="L3888" t="s">
        <v>27</v>
      </c>
      <c r="M3888" t="s">
        <v>28</v>
      </c>
      <c r="N3888" t="s">
        <v>14579</v>
      </c>
      <c r="O3888" t="s">
        <v>27</v>
      </c>
      <c r="P3888" t="s">
        <v>39</v>
      </c>
      <c r="Q3888" t="s">
        <v>31</v>
      </c>
      <c r="R3888" t="s">
        <v>32</v>
      </c>
      <c r="S3888" t="s">
        <v>28</v>
      </c>
      <c r="T3888" t="s">
        <v>14580</v>
      </c>
      <c r="U3888" t="s">
        <v>14579</v>
      </c>
    </row>
    <row r="3889" spans="1:21" x14ac:dyDescent="0.25">
      <c r="A3889" t="s">
        <v>456</v>
      </c>
      <c r="B3889" t="s">
        <v>457</v>
      </c>
      <c r="C3889">
        <v>197</v>
      </c>
      <c r="D3889">
        <v>3</v>
      </c>
      <c r="E3889">
        <v>0</v>
      </c>
      <c r="F3889" t="s">
        <v>14581</v>
      </c>
      <c r="G3889">
        <v>655</v>
      </c>
      <c r="H3889">
        <v>64</v>
      </c>
      <c r="I3889" t="s">
        <v>445</v>
      </c>
      <c r="J3889" t="s">
        <v>14582</v>
      </c>
      <c r="K3889" t="s">
        <v>14583</v>
      </c>
      <c r="L3889" t="s">
        <v>11189</v>
      </c>
      <c r="M3889" t="s">
        <v>4845</v>
      </c>
      <c r="N3889" t="s">
        <v>14584</v>
      </c>
      <c r="O3889" t="s">
        <v>27</v>
      </c>
      <c r="P3889" t="s">
        <v>84</v>
      </c>
      <c r="Q3889" t="s">
        <v>85</v>
      </c>
      <c r="R3889" t="s">
        <v>86</v>
      </c>
      <c r="S3889" t="s">
        <v>28</v>
      </c>
      <c r="T3889" t="s">
        <v>14585</v>
      </c>
      <c r="U3889" t="s">
        <v>14584</v>
      </c>
    </row>
    <row r="3890" spans="1:21" x14ac:dyDescent="0.25">
      <c r="A3890" t="s">
        <v>70</v>
      </c>
      <c r="B3890" t="s">
        <v>70</v>
      </c>
      <c r="C3890">
        <v>330</v>
      </c>
      <c r="D3890">
        <v>1</v>
      </c>
      <c r="E3890">
        <v>0</v>
      </c>
      <c r="F3890" t="s">
        <v>14586</v>
      </c>
      <c r="G3890">
        <v>330</v>
      </c>
      <c r="H3890">
        <v>0</v>
      </c>
      <c r="I3890" t="s">
        <v>24</v>
      </c>
      <c r="J3890" t="s">
        <v>14587</v>
      </c>
      <c r="K3890" t="s">
        <v>250</v>
      </c>
      <c r="L3890" t="s">
        <v>27</v>
      </c>
      <c r="M3890" t="s">
        <v>28</v>
      </c>
      <c r="N3890" t="s">
        <v>14584</v>
      </c>
      <c r="O3890" t="s">
        <v>27</v>
      </c>
      <c r="P3890" t="s">
        <v>39</v>
      </c>
      <c r="Q3890" t="s">
        <v>31</v>
      </c>
      <c r="R3890" t="s">
        <v>32</v>
      </c>
      <c r="S3890" t="s">
        <v>28</v>
      </c>
      <c r="T3890" t="s">
        <v>14588</v>
      </c>
      <c r="U3890" t="s">
        <v>14584</v>
      </c>
    </row>
    <row r="3891" spans="1:21" x14ac:dyDescent="0.25">
      <c r="A3891" t="s">
        <v>58</v>
      </c>
      <c r="B3891" t="s">
        <v>58</v>
      </c>
      <c r="C3891">
        <v>100</v>
      </c>
      <c r="D3891">
        <v>2</v>
      </c>
      <c r="E3891">
        <v>0</v>
      </c>
      <c r="F3891" t="s">
        <v>14589</v>
      </c>
      <c r="G3891">
        <v>200</v>
      </c>
      <c r="H3891">
        <v>0</v>
      </c>
      <c r="I3891" t="s">
        <v>140</v>
      </c>
      <c r="J3891" t="s">
        <v>14590</v>
      </c>
      <c r="K3891" t="s">
        <v>474</v>
      </c>
      <c r="L3891" t="s">
        <v>27</v>
      </c>
      <c r="M3891" t="s">
        <v>28</v>
      </c>
      <c r="N3891" t="s">
        <v>14591</v>
      </c>
      <c r="O3891" t="s">
        <v>27</v>
      </c>
      <c r="P3891" t="s">
        <v>30</v>
      </c>
      <c r="Q3891" t="s">
        <v>31</v>
      </c>
      <c r="R3891" t="s">
        <v>32</v>
      </c>
      <c r="S3891" t="s">
        <v>28</v>
      </c>
      <c r="T3891" t="s">
        <v>14592</v>
      </c>
      <c r="U3891" t="s">
        <v>14591</v>
      </c>
    </row>
    <row r="3892" spans="1:21" x14ac:dyDescent="0.25">
      <c r="A3892" t="s">
        <v>63</v>
      </c>
      <c r="B3892" t="s">
        <v>64</v>
      </c>
      <c r="C3892">
        <v>100</v>
      </c>
      <c r="D3892">
        <v>1</v>
      </c>
      <c r="E3892">
        <v>0</v>
      </c>
      <c r="F3892" t="s">
        <v>14593</v>
      </c>
      <c r="G3892">
        <v>100</v>
      </c>
      <c r="H3892">
        <v>0</v>
      </c>
      <c r="I3892" t="s">
        <v>445</v>
      </c>
      <c r="J3892" t="s">
        <v>14594</v>
      </c>
      <c r="K3892" t="s">
        <v>124</v>
      </c>
      <c r="L3892" t="s">
        <v>27</v>
      </c>
      <c r="M3892" t="s">
        <v>28</v>
      </c>
      <c r="N3892" t="s">
        <v>14595</v>
      </c>
      <c r="O3892" t="s">
        <v>27</v>
      </c>
      <c r="P3892" t="s">
        <v>39</v>
      </c>
      <c r="Q3892" t="s">
        <v>31</v>
      </c>
      <c r="R3892" t="s">
        <v>32</v>
      </c>
      <c r="S3892" t="s">
        <v>28</v>
      </c>
      <c r="T3892" t="s">
        <v>14596</v>
      </c>
      <c r="U3892" t="s">
        <v>14595</v>
      </c>
    </row>
    <row r="3893" spans="1:21" x14ac:dyDescent="0.25">
      <c r="A3893" t="s">
        <v>63</v>
      </c>
      <c r="B3893" t="s">
        <v>64</v>
      </c>
      <c r="C3893">
        <v>100</v>
      </c>
      <c r="D3893">
        <v>2</v>
      </c>
      <c r="E3893">
        <v>0</v>
      </c>
      <c r="F3893" t="s">
        <v>14597</v>
      </c>
      <c r="G3893">
        <v>200</v>
      </c>
      <c r="H3893">
        <v>0</v>
      </c>
      <c r="I3893" t="s">
        <v>445</v>
      </c>
      <c r="J3893" t="s">
        <v>14598</v>
      </c>
      <c r="K3893" t="s">
        <v>61</v>
      </c>
      <c r="L3893" t="s">
        <v>27</v>
      </c>
      <c r="M3893" t="s">
        <v>28</v>
      </c>
      <c r="N3893" t="s">
        <v>14599</v>
      </c>
      <c r="O3893" t="s">
        <v>27</v>
      </c>
      <c r="P3893" t="s">
        <v>39</v>
      </c>
      <c r="Q3893" t="s">
        <v>31</v>
      </c>
      <c r="R3893" t="s">
        <v>32</v>
      </c>
      <c r="S3893" t="s">
        <v>28</v>
      </c>
      <c r="T3893" t="s">
        <v>14600</v>
      </c>
      <c r="U3893" t="s">
        <v>14599</v>
      </c>
    </row>
    <row r="3894" spans="1:21" x14ac:dyDescent="0.25">
      <c r="A3894" t="s">
        <v>13290</v>
      </c>
      <c r="B3894" t="s">
        <v>13291</v>
      </c>
      <c r="C3894">
        <v>100</v>
      </c>
      <c r="D3894">
        <v>1</v>
      </c>
      <c r="E3894">
        <v>0</v>
      </c>
      <c r="F3894" t="s">
        <v>14601</v>
      </c>
      <c r="G3894">
        <v>125</v>
      </c>
      <c r="H3894">
        <v>25</v>
      </c>
      <c r="I3894" t="s">
        <v>445</v>
      </c>
      <c r="J3894" t="s">
        <v>14602</v>
      </c>
      <c r="K3894" t="s">
        <v>213</v>
      </c>
      <c r="L3894" t="s">
        <v>27</v>
      </c>
      <c r="M3894" t="s">
        <v>28</v>
      </c>
      <c r="N3894" t="s">
        <v>14599</v>
      </c>
      <c r="O3894" t="s">
        <v>27</v>
      </c>
      <c r="P3894" t="s">
        <v>39</v>
      </c>
      <c r="Q3894" t="s">
        <v>31</v>
      </c>
      <c r="R3894" t="s">
        <v>32</v>
      </c>
      <c r="S3894" t="s">
        <v>28</v>
      </c>
      <c r="T3894" t="s">
        <v>14603</v>
      </c>
      <c r="U3894" t="s">
        <v>14599</v>
      </c>
    </row>
    <row r="3895" spans="1:21" x14ac:dyDescent="0.25">
      <c r="A3895" t="s">
        <v>456</v>
      </c>
      <c r="B3895" t="s">
        <v>457</v>
      </c>
      <c r="C3895">
        <v>199</v>
      </c>
      <c r="D3895">
        <v>1</v>
      </c>
      <c r="E3895">
        <v>0</v>
      </c>
      <c r="F3895" t="s">
        <v>14604</v>
      </c>
      <c r="G3895">
        <v>240</v>
      </c>
      <c r="H3895">
        <v>41</v>
      </c>
      <c r="I3895" t="s">
        <v>24</v>
      </c>
      <c r="J3895" t="s">
        <v>11783</v>
      </c>
      <c r="K3895" t="s">
        <v>14605</v>
      </c>
      <c r="L3895" t="s">
        <v>6432</v>
      </c>
      <c r="M3895" t="s">
        <v>2286</v>
      </c>
      <c r="N3895" t="s">
        <v>14533</v>
      </c>
      <c r="O3895" t="s">
        <v>27</v>
      </c>
      <c r="P3895" t="s">
        <v>193</v>
      </c>
      <c r="Q3895" t="s">
        <v>85</v>
      </c>
      <c r="R3895" t="s">
        <v>86</v>
      </c>
      <c r="S3895" t="s">
        <v>28</v>
      </c>
      <c r="T3895" t="s">
        <v>14606</v>
      </c>
      <c r="U3895" t="s">
        <v>14599</v>
      </c>
    </row>
    <row r="3896" spans="1:21" x14ac:dyDescent="0.25">
      <c r="A3896" t="s">
        <v>134</v>
      </c>
      <c r="B3896" t="s">
        <v>64</v>
      </c>
      <c r="C3896">
        <v>100</v>
      </c>
      <c r="D3896">
        <v>1</v>
      </c>
      <c r="E3896">
        <v>0</v>
      </c>
      <c r="F3896" t="s">
        <v>14607</v>
      </c>
      <c r="G3896">
        <v>100</v>
      </c>
      <c r="H3896">
        <v>0</v>
      </c>
      <c r="I3896" t="s">
        <v>445</v>
      </c>
      <c r="J3896" t="s">
        <v>14608</v>
      </c>
      <c r="K3896" t="s">
        <v>342</v>
      </c>
      <c r="L3896" t="s">
        <v>27</v>
      </c>
      <c r="M3896" t="s">
        <v>28</v>
      </c>
      <c r="N3896" t="s">
        <v>14609</v>
      </c>
      <c r="O3896" t="s">
        <v>27</v>
      </c>
      <c r="P3896" t="s">
        <v>39</v>
      </c>
      <c r="Q3896" t="s">
        <v>31</v>
      </c>
      <c r="R3896" t="s">
        <v>32</v>
      </c>
      <c r="S3896" t="s">
        <v>28</v>
      </c>
      <c r="T3896" t="s">
        <v>14610</v>
      </c>
      <c r="U3896" t="s">
        <v>14611</v>
      </c>
    </row>
    <row r="3897" spans="1:21" x14ac:dyDescent="0.25">
      <c r="A3897" t="s">
        <v>21</v>
      </c>
      <c r="B3897" t="s">
        <v>22</v>
      </c>
      <c r="C3897">
        <v>100</v>
      </c>
      <c r="D3897">
        <v>1</v>
      </c>
      <c r="E3897">
        <v>0</v>
      </c>
      <c r="F3897" t="s">
        <v>14612</v>
      </c>
      <c r="G3897">
        <v>106</v>
      </c>
      <c r="H3897">
        <v>6</v>
      </c>
      <c r="I3897" t="s">
        <v>24</v>
      </c>
      <c r="J3897" t="s">
        <v>14613</v>
      </c>
      <c r="K3897" t="s">
        <v>147</v>
      </c>
      <c r="L3897" t="s">
        <v>27</v>
      </c>
      <c r="M3897" t="s">
        <v>28</v>
      </c>
      <c r="N3897" t="s">
        <v>14614</v>
      </c>
      <c r="O3897" t="s">
        <v>27</v>
      </c>
      <c r="P3897" t="s">
        <v>39</v>
      </c>
      <c r="Q3897" t="s">
        <v>31</v>
      </c>
      <c r="R3897" t="s">
        <v>32</v>
      </c>
      <c r="S3897" t="s">
        <v>28</v>
      </c>
      <c r="T3897" t="s">
        <v>14615</v>
      </c>
      <c r="U3897" t="s">
        <v>14614</v>
      </c>
    </row>
    <row r="3898" spans="1:21" x14ac:dyDescent="0.25">
      <c r="A3898" t="s">
        <v>2307</v>
      </c>
      <c r="B3898" t="s">
        <v>2308</v>
      </c>
      <c r="C3898">
        <v>330</v>
      </c>
      <c r="D3898">
        <v>1</v>
      </c>
      <c r="E3898">
        <v>0</v>
      </c>
      <c r="F3898" t="s">
        <v>14616</v>
      </c>
      <c r="G3898">
        <v>330</v>
      </c>
      <c r="H3898">
        <v>0</v>
      </c>
      <c r="I3898" t="s">
        <v>445</v>
      </c>
      <c r="J3898" t="s">
        <v>14617</v>
      </c>
      <c r="K3898" t="s">
        <v>73</v>
      </c>
      <c r="L3898" t="s">
        <v>27</v>
      </c>
      <c r="M3898" t="s">
        <v>28</v>
      </c>
      <c r="N3898" t="s">
        <v>14618</v>
      </c>
      <c r="O3898" t="s">
        <v>27</v>
      </c>
      <c r="P3898" t="s">
        <v>39</v>
      </c>
      <c r="Q3898" t="s">
        <v>31</v>
      </c>
      <c r="R3898" t="s">
        <v>32</v>
      </c>
      <c r="S3898" t="s">
        <v>28</v>
      </c>
      <c r="T3898" t="s">
        <v>14619</v>
      </c>
      <c r="U3898" t="s">
        <v>14618</v>
      </c>
    </row>
    <row r="3899" spans="1:21" x14ac:dyDescent="0.25">
      <c r="A3899" t="s">
        <v>33</v>
      </c>
      <c r="B3899" t="s">
        <v>34</v>
      </c>
      <c r="C3899">
        <v>200</v>
      </c>
      <c r="D3899">
        <v>1</v>
      </c>
      <c r="E3899">
        <v>0</v>
      </c>
      <c r="F3899" t="s">
        <v>14620</v>
      </c>
      <c r="G3899">
        <v>200</v>
      </c>
      <c r="H3899">
        <v>0</v>
      </c>
      <c r="I3899" t="s">
        <v>24</v>
      </c>
      <c r="J3899" t="s">
        <v>14621</v>
      </c>
      <c r="K3899" t="s">
        <v>1602</v>
      </c>
      <c r="L3899" t="s">
        <v>27</v>
      </c>
      <c r="M3899" t="s">
        <v>28</v>
      </c>
      <c r="N3899" t="s">
        <v>14618</v>
      </c>
      <c r="O3899" t="s">
        <v>27</v>
      </c>
      <c r="P3899" t="s">
        <v>56</v>
      </c>
      <c r="Q3899" t="s">
        <v>31</v>
      </c>
      <c r="R3899" t="s">
        <v>57</v>
      </c>
      <c r="S3899" t="s">
        <v>28</v>
      </c>
      <c r="T3899" t="s">
        <v>14622</v>
      </c>
      <c r="U3899" t="s">
        <v>14623</v>
      </c>
    </row>
    <row r="3900" spans="1:21" x14ac:dyDescent="0.25">
      <c r="A3900" t="s">
        <v>63</v>
      </c>
      <c r="B3900" t="s">
        <v>64</v>
      </c>
      <c r="C3900">
        <v>100</v>
      </c>
      <c r="D3900">
        <v>1</v>
      </c>
      <c r="E3900">
        <v>0</v>
      </c>
      <c r="F3900" t="s">
        <v>14624</v>
      </c>
      <c r="G3900">
        <v>106</v>
      </c>
      <c r="H3900">
        <v>6</v>
      </c>
      <c r="I3900" t="s">
        <v>24</v>
      </c>
      <c r="J3900" t="s">
        <v>14625</v>
      </c>
      <c r="K3900" t="s">
        <v>241</v>
      </c>
      <c r="L3900" t="s">
        <v>27</v>
      </c>
      <c r="M3900" t="s">
        <v>28</v>
      </c>
      <c r="N3900" t="s">
        <v>14626</v>
      </c>
      <c r="O3900" t="s">
        <v>27</v>
      </c>
      <c r="P3900" t="s">
        <v>39</v>
      </c>
      <c r="Q3900" t="s">
        <v>31</v>
      </c>
      <c r="R3900" t="s">
        <v>32</v>
      </c>
      <c r="S3900" t="s">
        <v>28</v>
      </c>
      <c r="T3900" t="s">
        <v>14627</v>
      </c>
      <c r="U3900" t="s">
        <v>14626</v>
      </c>
    </row>
    <row r="3901" spans="1:21" x14ac:dyDescent="0.25">
      <c r="A3901" t="s">
        <v>76</v>
      </c>
      <c r="B3901" t="s">
        <v>77</v>
      </c>
      <c r="C3901">
        <v>199</v>
      </c>
      <c r="D3901">
        <v>1</v>
      </c>
      <c r="E3901">
        <v>0</v>
      </c>
      <c r="F3901" t="s">
        <v>14628</v>
      </c>
      <c r="G3901">
        <v>234</v>
      </c>
      <c r="H3901">
        <v>35</v>
      </c>
      <c r="I3901" t="s">
        <v>24</v>
      </c>
      <c r="J3901" t="s">
        <v>10420</v>
      </c>
      <c r="K3901" t="s">
        <v>14629</v>
      </c>
      <c r="L3901" t="s">
        <v>14630</v>
      </c>
      <c r="M3901" t="s">
        <v>4610</v>
      </c>
      <c r="N3901" t="s">
        <v>14631</v>
      </c>
      <c r="O3901" t="s">
        <v>27</v>
      </c>
      <c r="P3901" t="s">
        <v>84</v>
      </c>
      <c r="Q3901" t="s">
        <v>85</v>
      </c>
      <c r="R3901" t="s">
        <v>86</v>
      </c>
      <c r="S3901" t="s">
        <v>28</v>
      </c>
      <c r="T3901" t="s">
        <v>14632</v>
      </c>
      <c r="U3901" t="s">
        <v>14631</v>
      </c>
    </row>
    <row r="3902" spans="1:21" x14ac:dyDescent="0.25">
      <c r="A3902" t="s">
        <v>40</v>
      </c>
      <c r="B3902" t="s">
        <v>41</v>
      </c>
      <c r="C3902">
        <v>93.6</v>
      </c>
      <c r="D3902">
        <v>1</v>
      </c>
      <c r="E3902">
        <v>0</v>
      </c>
      <c r="F3902" t="s">
        <v>14633</v>
      </c>
      <c r="G3902">
        <v>98.6</v>
      </c>
      <c r="H3902">
        <v>5</v>
      </c>
      <c r="I3902" t="s">
        <v>24</v>
      </c>
      <c r="J3902" t="s">
        <v>14634</v>
      </c>
      <c r="K3902" t="s">
        <v>14635</v>
      </c>
      <c r="L3902" t="s">
        <v>1868</v>
      </c>
      <c r="M3902" t="s">
        <v>14636</v>
      </c>
      <c r="N3902" t="s">
        <v>14637</v>
      </c>
      <c r="O3902" t="s">
        <v>27</v>
      </c>
      <c r="P3902" t="s">
        <v>48</v>
      </c>
      <c r="Q3902" t="s">
        <v>49</v>
      </c>
      <c r="R3902" t="s">
        <v>50</v>
      </c>
      <c r="S3902" t="s">
        <v>28</v>
      </c>
      <c r="T3902" t="s">
        <v>14638</v>
      </c>
      <c r="U3902" t="s">
        <v>14637</v>
      </c>
    </row>
    <row r="3903" spans="1:21" x14ac:dyDescent="0.25">
      <c r="A3903" t="s">
        <v>13290</v>
      </c>
      <c r="B3903" t="s">
        <v>13291</v>
      </c>
      <c r="C3903">
        <v>100</v>
      </c>
      <c r="D3903">
        <v>1</v>
      </c>
      <c r="E3903">
        <v>0</v>
      </c>
      <c r="F3903" t="s">
        <v>14639</v>
      </c>
      <c r="G3903">
        <v>125</v>
      </c>
      <c r="H3903">
        <v>25</v>
      </c>
      <c r="I3903" t="s">
        <v>445</v>
      </c>
      <c r="J3903" t="s">
        <v>14640</v>
      </c>
      <c r="K3903" t="s">
        <v>594</v>
      </c>
      <c r="L3903" t="s">
        <v>27</v>
      </c>
      <c r="M3903" t="s">
        <v>28</v>
      </c>
      <c r="N3903" t="s">
        <v>14641</v>
      </c>
      <c r="O3903" t="s">
        <v>27</v>
      </c>
      <c r="P3903" t="s">
        <v>39</v>
      </c>
      <c r="Q3903" t="s">
        <v>31</v>
      </c>
      <c r="R3903" t="s">
        <v>32</v>
      </c>
      <c r="S3903" t="s">
        <v>28</v>
      </c>
      <c r="T3903" t="s">
        <v>14642</v>
      </c>
      <c r="U3903" t="s">
        <v>14641</v>
      </c>
    </row>
    <row r="3904" spans="1:21" x14ac:dyDescent="0.25">
      <c r="A3904" t="s">
        <v>1513</v>
      </c>
      <c r="B3904" t="s">
        <v>1514</v>
      </c>
      <c r="C3904">
        <v>330</v>
      </c>
      <c r="D3904">
        <v>1</v>
      </c>
      <c r="E3904">
        <v>0</v>
      </c>
      <c r="F3904" t="s">
        <v>14643</v>
      </c>
      <c r="G3904">
        <v>330</v>
      </c>
      <c r="H3904">
        <v>0</v>
      </c>
      <c r="I3904" t="s">
        <v>24</v>
      </c>
      <c r="J3904" t="s">
        <v>14644</v>
      </c>
      <c r="K3904" t="s">
        <v>350</v>
      </c>
      <c r="L3904" t="s">
        <v>27</v>
      </c>
      <c r="M3904" t="s">
        <v>28</v>
      </c>
      <c r="N3904" t="s">
        <v>14645</v>
      </c>
      <c r="O3904" t="s">
        <v>27</v>
      </c>
      <c r="P3904" t="s">
        <v>39</v>
      </c>
      <c r="Q3904" t="s">
        <v>31</v>
      </c>
      <c r="R3904" t="s">
        <v>32</v>
      </c>
      <c r="S3904" t="s">
        <v>28</v>
      </c>
      <c r="T3904" t="s">
        <v>14646</v>
      </c>
      <c r="U3904" t="s">
        <v>14645</v>
      </c>
    </row>
    <row r="3905" spans="1:21" x14ac:dyDescent="0.25">
      <c r="A3905" t="s">
        <v>94</v>
      </c>
      <c r="B3905" t="s">
        <v>95</v>
      </c>
      <c r="C3905">
        <v>74.400000000000006</v>
      </c>
      <c r="D3905">
        <v>1</v>
      </c>
      <c r="E3905">
        <v>0</v>
      </c>
      <c r="F3905" t="s">
        <v>14647</v>
      </c>
      <c r="G3905">
        <v>79.400000000000006</v>
      </c>
      <c r="H3905">
        <v>5</v>
      </c>
      <c r="I3905" t="s">
        <v>24</v>
      </c>
      <c r="J3905" t="s">
        <v>14648</v>
      </c>
      <c r="K3905" t="s">
        <v>14649</v>
      </c>
      <c r="L3905" t="s">
        <v>6670</v>
      </c>
      <c r="M3905" t="s">
        <v>14650</v>
      </c>
      <c r="N3905" t="s">
        <v>14645</v>
      </c>
      <c r="O3905" t="s">
        <v>27</v>
      </c>
      <c r="P3905" t="s">
        <v>48</v>
      </c>
      <c r="Q3905" t="s">
        <v>49</v>
      </c>
      <c r="R3905" t="s">
        <v>50</v>
      </c>
      <c r="S3905" t="s">
        <v>28</v>
      </c>
      <c r="T3905" t="s">
        <v>14651</v>
      </c>
      <c r="U3905" t="s">
        <v>14645</v>
      </c>
    </row>
    <row r="3906" spans="1:21" x14ac:dyDescent="0.25">
      <c r="A3906" t="s">
        <v>70</v>
      </c>
      <c r="B3906" t="s">
        <v>70</v>
      </c>
      <c r="C3906">
        <v>350</v>
      </c>
      <c r="D3906">
        <v>1</v>
      </c>
      <c r="E3906">
        <v>0</v>
      </c>
      <c r="F3906" t="s">
        <v>14652</v>
      </c>
      <c r="G3906">
        <v>350</v>
      </c>
      <c r="H3906">
        <v>0</v>
      </c>
      <c r="I3906" t="s">
        <v>140</v>
      </c>
      <c r="J3906" t="s">
        <v>14653</v>
      </c>
      <c r="K3906" t="s">
        <v>384</v>
      </c>
      <c r="L3906" t="s">
        <v>27</v>
      </c>
      <c r="M3906" t="s">
        <v>28</v>
      </c>
      <c r="N3906" t="s">
        <v>14654</v>
      </c>
      <c r="O3906" t="s">
        <v>27</v>
      </c>
      <c r="P3906" t="s">
        <v>30</v>
      </c>
      <c r="Q3906" t="s">
        <v>31</v>
      </c>
      <c r="R3906" t="s">
        <v>32</v>
      </c>
      <c r="S3906" t="s">
        <v>28</v>
      </c>
      <c r="T3906" t="s">
        <v>14655</v>
      </c>
      <c r="U3906" t="s">
        <v>14654</v>
      </c>
    </row>
    <row r="3907" spans="1:21" x14ac:dyDescent="0.25">
      <c r="A3907" t="s">
        <v>63</v>
      </c>
      <c r="B3907" t="s">
        <v>64</v>
      </c>
      <c r="C3907">
        <v>100</v>
      </c>
      <c r="D3907">
        <v>1</v>
      </c>
      <c r="E3907">
        <v>0</v>
      </c>
      <c r="F3907" t="s">
        <v>14656</v>
      </c>
      <c r="G3907">
        <v>145</v>
      </c>
      <c r="H3907">
        <v>45</v>
      </c>
      <c r="I3907" t="s">
        <v>140</v>
      </c>
      <c r="J3907" t="s">
        <v>14657</v>
      </c>
      <c r="K3907" t="s">
        <v>358</v>
      </c>
      <c r="L3907" t="s">
        <v>27</v>
      </c>
      <c r="M3907" t="s">
        <v>28</v>
      </c>
      <c r="N3907" t="s">
        <v>14658</v>
      </c>
      <c r="O3907" t="s">
        <v>27</v>
      </c>
      <c r="P3907" t="s">
        <v>30</v>
      </c>
      <c r="Q3907" t="s">
        <v>31</v>
      </c>
      <c r="R3907" t="s">
        <v>32</v>
      </c>
      <c r="S3907" t="s">
        <v>28</v>
      </c>
      <c r="T3907" t="s">
        <v>14659</v>
      </c>
      <c r="U3907" t="s">
        <v>14658</v>
      </c>
    </row>
    <row r="3908" spans="1:21" x14ac:dyDescent="0.25">
      <c r="A3908" t="s">
        <v>1513</v>
      </c>
      <c r="B3908" t="s">
        <v>1514</v>
      </c>
      <c r="C3908">
        <v>330</v>
      </c>
      <c r="D3908">
        <v>1</v>
      </c>
      <c r="E3908">
        <v>0</v>
      </c>
      <c r="F3908" t="s">
        <v>14660</v>
      </c>
      <c r="G3908">
        <v>330</v>
      </c>
      <c r="H3908">
        <v>0</v>
      </c>
      <c r="I3908" t="s">
        <v>140</v>
      </c>
      <c r="J3908" t="s">
        <v>14653</v>
      </c>
      <c r="K3908" t="s">
        <v>384</v>
      </c>
      <c r="L3908" t="s">
        <v>27</v>
      </c>
      <c r="M3908" t="s">
        <v>28</v>
      </c>
      <c r="N3908" t="s">
        <v>14661</v>
      </c>
      <c r="O3908" t="s">
        <v>27</v>
      </c>
      <c r="P3908" t="s">
        <v>30</v>
      </c>
      <c r="Q3908" t="s">
        <v>31</v>
      </c>
      <c r="R3908" t="s">
        <v>32</v>
      </c>
      <c r="S3908" t="s">
        <v>28</v>
      </c>
      <c r="T3908" t="s">
        <v>14662</v>
      </c>
      <c r="U3908" t="s">
        <v>14661</v>
      </c>
    </row>
    <row r="3909" spans="1:21" x14ac:dyDescent="0.25">
      <c r="A3909" t="s">
        <v>635</v>
      </c>
      <c r="B3909" t="s">
        <v>636</v>
      </c>
      <c r="C3909">
        <v>800</v>
      </c>
      <c r="D3909">
        <v>1</v>
      </c>
      <c r="E3909">
        <v>0</v>
      </c>
      <c r="F3909" t="s">
        <v>14663</v>
      </c>
      <c r="G3909">
        <v>904</v>
      </c>
      <c r="H3909">
        <v>104</v>
      </c>
      <c r="I3909" t="s">
        <v>24</v>
      </c>
      <c r="J3909" t="s">
        <v>188</v>
      </c>
      <c r="K3909" t="s">
        <v>14664</v>
      </c>
      <c r="L3909" t="s">
        <v>1714</v>
      </c>
      <c r="M3909" t="s">
        <v>5241</v>
      </c>
      <c r="N3909" t="s">
        <v>14665</v>
      </c>
      <c r="O3909" t="s">
        <v>27</v>
      </c>
      <c r="P3909" t="s">
        <v>193</v>
      </c>
      <c r="Q3909" t="s">
        <v>85</v>
      </c>
      <c r="R3909" t="s">
        <v>86</v>
      </c>
      <c r="S3909" t="s">
        <v>28</v>
      </c>
      <c r="T3909" t="s">
        <v>14666</v>
      </c>
      <c r="U3909" t="s">
        <v>14665</v>
      </c>
    </row>
    <row r="3910" spans="1:21" x14ac:dyDescent="0.25">
      <c r="A3910" t="s">
        <v>456</v>
      </c>
      <c r="B3910" t="s">
        <v>457</v>
      </c>
      <c r="C3910">
        <v>199</v>
      </c>
      <c r="D3910">
        <v>3</v>
      </c>
      <c r="E3910">
        <v>0</v>
      </c>
      <c r="F3910" t="s">
        <v>14667</v>
      </c>
      <c r="G3910">
        <v>672</v>
      </c>
      <c r="H3910">
        <v>75</v>
      </c>
      <c r="I3910" t="s">
        <v>24</v>
      </c>
      <c r="J3910" t="s">
        <v>14668</v>
      </c>
      <c r="K3910" t="s">
        <v>14669</v>
      </c>
      <c r="L3910" t="s">
        <v>3500</v>
      </c>
      <c r="M3910" t="s">
        <v>191</v>
      </c>
      <c r="N3910" t="s">
        <v>14665</v>
      </c>
      <c r="O3910" t="s">
        <v>27</v>
      </c>
      <c r="P3910" t="s">
        <v>193</v>
      </c>
      <c r="Q3910" t="s">
        <v>85</v>
      </c>
      <c r="R3910" t="s">
        <v>86</v>
      </c>
      <c r="S3910" t="s">
        <v>28</v>
      </c>
      <c r="T3910" t="s">
        <v>14670</v>
      </c>
      <c r="U3910" t="s">
        <v>14665</v>
      </c>
    </row>
    <row r="3911" spans="1:21" x14ac:dyDescent="0.25">
      <c r="A3911" t="s">
        <v>143</v>
      </c>
      <c r="B3911" t="s">
        <v>144</v>
      </c>
      <c r="C3911">
        <v>200</v>
      </c>
      <c r="D3911">
        <v>1</v>
      </c>
      <c r="E3911">
        <v>0</v>
      </c>
      <c r="F3911" t="s">
        <v>14671</v>
      </c>
      <c r="G3911">
        <v>200</v>
      </c>
      <c r="H3911">
        <v>0</v>
      </c>
      <c r="I3911" t="s">
        <v>24</v>
      </c>
      <c r="J3911" t="s">
        <v>14672</v>
      </c>
      <c r="K3911" t="s">
        <v>677</v>
      </c>
      <c r="L3911" t="s">
        <v>27</v>
      </c>
      <c r="M3911" t="s">
        <v>28</v>
      </c>
      <c r="N3911" t="s">
        <v>14665</v>
      </c>
      <c r="O3911" t="s">
        <v>27</v>
      </c>
      <c r="P3911" t="s">
        <v>56</v>
      </c>
      <c r="Q3911" t="s">
        <v>31</v>
      </c>
      <c r="R3911" t="s">
        <v>57</v>
      </c>
      <c r="S3911" t="s">
        <v>28</v>
      </c>
      <c r="T3911" t="s">
        <v>14673</v>
      </c>
      <c r="U3911" t="s">
        <v>14674</v>
      </c>
    </row>
    <row r="3912" spans="1:21" x14ac:dyDescent="0.25">
      <c r="A3912" t="s">
        <v>58</v>
      </c>
      <c r="B3912" t="s">
        <v>58</v>
      </c>
      <c r="C3912">
        <v>100</v>
      </c>
      <c r="D3912">
        <v>2</v>
      </c>
      <c r="E3912">
        <v>0</v>
      </c>
      <c r="F3912" t="s">
        <v>14675</v>
      </c>
      <c r="G3912">
        <v>269</v>
      </c>
      <c r="H3912">
        <v>29</v>
      </c>
      <c r="I3912" t="s">
        <v>445</v>
      </c>
      <c r="J3912" t="s">
        <v>3030</v>
      </c>
      <c r="K3912" t="s">
        <v>14676</v>
      </c>
      <c r="L3912" t="s">
        <v>14677</v>
      </c>
      <c r="M3912" t="s">
        <v>12398</v>
      </c>
      <c r="N3912" t="s">
        <v>14674</v>
      </c>
      <c r="O3912" t="s">
        <v>27</v>
      </c>
      <c r="P3912" t="s">
        <v>84</v>
      </c>
      <c r="Q3912" t="s">
        <v>85</v>
      </c>
      <c r="R3912" t="s">
        <v>86</v>
      </c>
      <c r="S3912" t="s">
        <v>28</v>
      </c>
      <c r="T3912" t="s">
        <v>14678</v>
      </c>
      <c r="U3912" t="s">
        <v>14674</v>
      </c>
    </row>
    <row r="3913" spans="1:21" x14ac:dyDescent="0.25">
      <c r="A3913" t="s">
        <v>33</v>
      </c>
      <c r="B3913" t="s">
        <v>34</v>
      </c>
      <c r="C3913">
        <v>200</v>
      </c>
      <c r="D3913">
        <v>1</v>
      </c>
      <c r="E3913">
        <v>0</v>
      </c>
      <c r="F3913" t="s">
        <v>14679</v>
      </c>
      <c r="G3913">
        <v>200</v>
      </c>
      <c r="H3913">
        <v>0</v>
      </c>
      <c r="I3913" t="s">
        <v>24</v>
      </c>
      <c r="J3913" t="s">
        <v>14680</v>
      </c>
      <c r="K3913" t="s">
        <v>384</v>
      </c>
      <c r="L3913" t="s">
        <v>27</v>
      </c>
      <c r="M3913" t="s">
        <v>28</v>
      </c>
      <c r="N3913" t="s">
        <v>14681</v>
      </c>
      <c r="O3913" t="s">
        <v>27</v>
      </c>
      <c r="P3913" t="s">
        <v>39</v>
      </c>
      <c r="Q3913" t="s">
        <v>31</v>
      </c>
      <c r="R3913" t="s">
        <v>32</v>
      </c>
      <c r="S3913" t="s">
        <v>28</v>
      </c>
      <c r="T3913" t="s">
        <v>14682</v>
      </c>
      <c r="U3913" t="s">
        <v>14681</v>
      </c>
    </row>
    <row r="3914" spans="1:21" x14ac:dyDescent="0.25">
      <c r="A3914" t="s">
        <v>261</v>
      </c>
      <c r="B3914" t="s">
        <v>1592</v>
      </c>
      <c r="C3914">
        <v>238.5</v>
      </c>
      <c r="D3914">
        <v>1</v>
      </c>
      <c r="E3914">
        <v>0</v>
      </c>
      <c r="F3914" t="s">
        <v>14683</v>
      </c>
      <c r="G3914">
        <v>302.5</v>
      </c>
      <c r="H3914">
        <v>64</v>
      </c>
      <c r="I3914" t="s">
        <v>24</v>
      </c>
      <c r="J3914" t="s">
        <v>14684</v>
      </c>
      <c r="K3914" t="s">
        <v>14685</v>
      </c>
      <c r="L3914" t="s">
        <v>14686</v>
      </c>
      <c r="M3914" t="s">
        <v>14687</v>
      </c>
      <c r="N3914" t="s">
        <v>14681</v>
      </c>
      <c r="O3914" t="s">
        <v>27</v>
      </c>
      <c r="P3914" t="s">
        <v>48</v>
      </c>
      <c r="Q3914" t="s">
        <v>49</v>
      </c>
      <c r="R3914" t="s">
        <v>50</v>
      </c>
      <c r="S3914" t="s">
        <v>28</v>
      </c>
      <c r="T3914" t="s">
        <v>14688</v>
      </c>
      <c r="U3914" t="s">
        <v>14689</v>
      </c>
    </row>
    <row r="3915" spans="1:21" x14ac:dyDescent="0.25">
      <c r="A3915" t="s">
        <v>143</v>
      </c>
      <c r="B3915" t="s">
        <v>144</v>
      </c>
      <c r="C3915">
        <v>200</v>
      </c>
      <c r="D3915">
        <v>1</v>
      </c>
      <c r="E3915">
        <v>0</v>
      </c>
      <c r="F3915" t="s">
        <v>14690</v>
      </c>
      <c r="G3915">
        <v>200</v>
      </c>
      <c r="H3915">
        <v>0</v>
      </c>
      <c r="I3915" t="s">
        <v>24</v>
      </c>
      <c r="J3915" t="s">
        <v>14691</v>
      </c>
      <c r="K3915" t="s">
        <v>118</v>
      </c>
      <c r="L3915" t="s">
        <v>27</v>
      </c>
      <c r="M3915" t="s">
        <v>28</v>
      </c>
      <c r="N3915" t="s">
        <v>14692</v>
      </c>
      <c r="O3915" t="s">
        <v>27</v>
      </c>
      <c r="P3915" t="s">
        <v>39</v>
      </c>
      <c r="Q3915" t="s">
        <v>31</v>
      </c>
      <c r="R3915" t="s">
        <v>32</v>
      </c>
      <c r="S3915" t="s">
        <v>28</v>
      </c>
      <c r="T3915" t="s">
        <v>14693</v>
      </c>
      <c r="U3915" t="s">
        <v>14692</v>
      </c>
    </row>
    <row r="3916" spans="1:21" x14ac:dyDescent="0.25">
      <c r="A3916" t="s">
        <v>21</v>
      </c>
      <c r="B3916" t="s">
        <v>22</v>
      </c>
      <c r="C3916">
        <v>100</v>
      </c>
      <c r="D3916">
        <v>1</v>
      </c>
      <c r="E3916">
        <v>0</v>
      </c>
      <c r="F3916" t="s">
        <v>14694</v>
      </c>
      <c r="G3916">
        <v>218</v>
      </c>
      <c r="H3916">
        <v>0</v>
      </c>
      <c r="I3916" t="s">
        <v>24</v>
      </c>
      <c r="J3916" t="s">
        <v>14695</v>
      </c>
      <c r="K3916" t="s">
        <v>89</v>
      </c>
      <c r="L3916" t="s">
        <v>27</v>
      </c>
      <c r="M3916" t="s">
        <v>28</v>
      </c>
      <c r="N3916" t="s">
        <v>14689</v>
      </c>
      <c r="O3916" t="s">
        <v>27</v>
      </c>
      <c r="P3916" t="s">
        <v>56</v>
      </c>
      <c r="Q3916" t="s">
        <v>31</v>
      </c>
      <c r="R3916" t="s">
        <v>57</v>
      </c>
      <c r="S3916" t="s">
        <v>28</v>
      </c>
      <c r="T3916" t="s">
        <v>14696</v>
      </c>
      <c r="U3916" t="s">
        <v>14692</v>
      </c>
    </row>
    <row r="3917" spans="1:21" x14ac:dyDescent="0.25">
      <c r="A3917" t="s">
        <v>13954</v>
      </c>
      <c r="B3917" t="s">
        <v>13955</v>
      </c>
      <c r="C3917">
        <v>118</v>
      </c>
      <c r="D3917">
        <v>1</v>
      </c>
      <c r="E3917">
        <v>0</v>
      </c>
      <c r="F3917" t="s">
        <v>14694</v>
      </c>
      <c r="G3917">
        <v>218</v>
      </c>
      <c r="H3917">
        <v>0</v>
      </c>
      <c r="I3917" t="s">
        <v>24</v>
      </c>
      <c r="J3917" t="s">
        <v>14695</v>
      </c>
      <c r="K3917" t="s">
        <v>89</v>
      </c>
      <c r="L3917" t="s">
        <v>27</v>
      </c>
      <c r="M3917" t="s">
        <v>28</v>
      </c>
      <c r="N3917" t="s">
        <v>14689</v>
      </c>
      <c r="O3917" t="s">
        <v>27</v>
      </c>
      <c r="P3917" t="s">
        <v>56</v>
      </c>
      <c r="Q3917" t="s">
        <v>31</v>
      </c>
      <c r="R3917" t="s">
        <v>57</v>
      </c>
      <c r="S3917" t="s">
        <v>28</v>
      </c>
      <c r="T3917" t="s">
        <v>14696</v>
      </c>
      <c r="U3917" t="s">
        <v>14692</v>
      </c>
    </row>
    <row r="3918" spans="1:21" x14ac:dyDescent="0.25">
      <c r="A3918" t="s">
        <v>33</v>
      </c>
      <c r="B3918" t="s">
        <v>34</v>
      </c>
      <c r="C3918">
        <v>200</v>
      </c>
      <c r="D3918">
        <v>1</v>
      </c>
      <c r="E3918">
        <v>0</v>
      </c>
      <c r="F3918" t="s">
        <v>14697</v>
      </c>
      <c r="G3918">
        <v>200</v>
      </c>
      <c r="H3918">
        <v>0</v>
      </c>
      <c r="I3918" t="s">
        <v>24</v>
      </c>
      <c r="J3918" t="s">
        <v>14698</v>
      </c>
      <c r="K3918" t="s">
        <v>26</v>
      </c>
      <c r="L3918" t="s">
        <v>27</v>
      </c>
      <c r="M3918" t="s">
        <v>28</v>
      </c>
      <c r="N3918" t="s">
        <v>14699</v>
      </c>
      <c r="O3918" t="s">
        <v>27</v>
      </c>
      <c r="P3918" t="s">
        <v>39</v>
      </c>
      <c r="Q3918" t="s">
        <v>31</v>
      </c>
      <c r="R3918" t="s">
        <v>32</v>
      </c>
      <c r="S3918" t="s">
        <v>28</v>
      </c>
      <c r="T3918" t="s">
        <v>14700</v>
      </c>
      <c r="U3918" t="s">
        <v>14699</v>
      </c>
    </row>
    <row r="3919" spans="1:21" x14ac:dyDescent="0.25">
      <c r="A3919" t="s">
        <v>33</v>
      </c>
      <c r="B3919" t="s">
        <v>34</v>
      </c>
      <c r="C3919">
        <v>200</v>
      </c>
      <c r="D3919">
        <v>1</v>
      </c>
      <c r="E3919">
        <v>0</v>
      </c>
      <c r="F3919" t="s">
        <v>14701</v>
      </c>
      <c r="G3919">
        <v>200</v>
      </c>
      <c r="H3919">
        <v>0</v>
      </c>
      <c r="I3919" t="s">
        <v>445</v>
      </c>
      <c r="J3919" t="s">
        <v>14702</v>
      </c>
      <c r="K3919" t="s">
        <v>1878</v>
      </c>
      <c r="L3919" t="s">
        <v>27</v>
      </c>
      <c r="M3919" t="s">
        <v>28</v>
      </c>
      <c r="N3919" t="s">
        <v>14703</v>
      </c>
      <c r="O3919" t="s">
        <v>27</v>
      </c>
      <c r="P3919" t="s">
        <v>56</v>
      </c>
      <c r="Q3919" t="s">
        <v>31</v>
      </c>
      <c r="R3919" t="s">
        <v>57</v>
      </c>
      <c r="S3919" t="s">
        <v>28</v>
      </c>
      <c r="T3919" t="s">
        <v>14704</v>
      </c>
      <c r="U3919" t="s">
        <v>14703</v>
      </c>
    </row>
    <row r="3920" spans="1:21" x14ac:dyDescent="0.25">
      <c r="A3920" t="s">
        <v>456</v>
      </c>
      <c r="B3920" t="s">
        <v>457</v>
      </c>
      <c r="C3920">
        <v>199</v>
      </c>
      <c r="D3920">
        <v>1</v>
      </c>
      <c r="E3920">
        <v>0</v>
      </c>
      <c r="F3920" t="s">
        <v>14705</v>
      </c>
      <c r="G3920">
        <v>199</v>
      </c>
      <c r="H3920">
        <v>0</v>
      </c>
      <c r="I3920" t="s">
        <v>24</v>
      </c>
      <c r="J3920" t="s">
        <v>14706</v>
      </c>
      <c r="K3920" t="s">
        <v>14707</v>
      </c>
      <c r="L3920" t="s">
        <v>1647</v>
      </c>
      <c r="M3920" t="s">
        <v>1398</v>
      </c>
      <c r="N3920" t="s">
        <v>14708</v>
      </c>
      <c r="O3920" t="s">
        <v>27</v>
      </c>
      <c r="P3920" t="s">
        <v>193</v>
      </c>
      <c r="Q3920" t="s">
        <v>85</v>
      </c>
      <c r="R3920" t="s">
        <v>86</v>
      </c>
      <c r="S3920" t="s">
        <v>28</v>
      </c>
      <c r="T3920" t="s">
        <v>14709</v>
      </c>
      <c r="U3920" t="s">
        <v>14708</v>
      </c>
    </row>
    <row r="3921" spans="1:21" x14ac:dyDescent="0.25">
      <c r="A3921" t="s">
        <v>70</v>
      </c>
      <c r="B3921" t="s">
        <v>70</v>
      </c>
      <c r="C3921">
        <v>350</v>
      </c>
      <c r="D3921">
        <v>1</v>
      </c>
      <c r="E3921">
        <v>0</v>
      </c>
      <c r="F3921" t="s">
        <v>14710</v>
      </c>
      <c r="G3921">
        <v>350</v>
      </c>
      <c r="H3921">
        <v>0</v>
      </c>
      <c r="I3921" t="s">
        <v>140</v>
      </c>
      <c r="J3921" t="s">
        <v>14711</v>
      </c>
      <c r="K3921" t="s">
        <v>936</v>
      </c>
      <c r="L3921" t="s">
        <v>27</v>
      </c>
      <c r="M3921" t="s">
        <v>28</v>
      </c>
      <c r="N3921" t="s">
        <v>14712</v>
      </c>
      <c r="O3921" t="s">
        <v>27</v>
      </c>
      <c r="P3921" t="s">
        <v>30</v>
      </c>
      <c r="Q3921" t="s">
        <v>31</v>
      </c>
      <c r="R3921" t="s">
        <v>32</v>
      </c>
      <c r="S3921" t="s">
        <v>28</v>
      </c>
      <c r="T3921" t="s">
        <v>14713</v>
      </c>
      <c r="U3921" t="s">
        <v>14714</v>
      </c>
    </row>
    <row r="3922" spans="1:21" x14ac:dyDescent="0.25">
      <c r="A3922" t="s">
        <v>456</v>
      </c>
      <c r="B3922" t="s">
        <v>457</v>
      </c>
      <c r="C3922">
        <v>197</v>
      </c>
      <c r="D3922">
        <v>1</v>
      </c>
      <c r="E3922">
        <v>0</v>
      </c>
      <c r="F3922" t="s">
        <v>14715</v>
      </c>
      <c r="G3922">
        <v>242</v>
      </c>
      <c r="H3922">
        <v>45</v>
      </c>
      <c r="I3922" t="s">
        <v>445</v>
      </c>
      <c r="J3922" t="s">
        <v>14716</v>
      </c>
      <c r="K3922" t="s">
        <v>14717</v>
      </c>
      <c r="L3922" t="s">
        <v>4173</v>
      </c>
      <c r="M3922" t="s">
        <v>6718</v>
      </c>
      <c r="N3922" t="s">
        <v>14718</v>
      </c>
      <c r="O3922" t="s">
        <v>27</v>
      </c>
      <c r="P3922" t="s">
        <v>193</v>
      </c>
      <c r="Q3922" t="s">
        <v>85</v>
      </c>
      <c r="R3922" t="s">
        <v>86</v>
      </c>
      <c r="S3922" t="s">
        <v>28</v>
      </c>
      <c r="T3922" t="s">
        <v>14719</v>
      </c>
      <c r="U3922" t="s">
        <v>14714</v>
      </c>
    </row>
    <row r="3923" spans="1:21" x14ac:dyDescent="0.25">
      <c r="A3923" t="s">
        <v>58</v>
      </c>
      <c r="B3923" t="s">
        <v>58</v>
      </c>
      <c r="C3923">
        <v>141</v>
      </c>
      <c r="D3923">
        <v>1</v>
      </c>
      <c r="E3923">
        <v>0</v>
      </c>
      <c r="F3923" t="s">
        <v>14720</v>
      </c>
      <c r="G3923">
        <v>146</v>
      </c>
      <c r="H3923">
        <v>5</v>
      </c>
      <c r="I3923" t="s">
        <v>24</v>
      </c>
      <c r="J3923" t="s">
        <v>14721</v>
      </c>
      <c r="K3923" t="s">
        <v>14722</v>
      </c>
      <c r="L3923" t="s">
        <v>1907</v>
      </c>
      <c r="M3923" t="s">
        <v>14723</v>
      </c>
      <c r="N3923" t="s">
        <v>14714</v>
      </c>
      <c r="O3923" t="s">
        <v>27</v>
      </c>
      <c r="P3923" t="s">
        <v>48</v>
      </c>
      <c r="Q3923" t="s">
        <v>49</v>
      </c>
      <c r="R3923" t="s">
        <v>50</v>
      </c>
      <c r="S3923" t="s">
        <v>28</v>
      </c>
      <c r="T3923" t="s">
        <v>14724</v>
      </c>
      <c r="U3923" t="s">
        <v>14714</v>
      </c>
    </row>
    <row r="3924" spans="1:21" x14ac:dyDescent="0.25">
      <c r="A3924" t="s">
        <v>33</v>
      </c>
      <c r="B3924" t="s">
        <v>34</v>
      </c>
      <c r="C3924">
        <v>200</v>
      </c>
      <c r="D3924">
        <v>1</v>
      </c>
      <c r="E3924">
        <v>0</v>
      </c>
      <c r="F3924" t="s">
        <v>14725</v>
      </c>
      <c r="G3924">
        <v>200</v>
      </c>
      <c r="H3924">
        <v>0</v>
      </c>
      <c r="I3924" t="s">
        <v>24</v>
      </c>
      <c r="J3924" t="s">
        <v>14726</v>
      </c>
      <c r="K3924" t="s">
        <v>325</v>
      </c>
      <c r="L3924" t="s">
        <v>27</v>
      </c>
      <c r="M3924" t="s">
        <v>28</v>
      </c>
      <c r="N3924" t="s">
        <v>14727</v>
      </c>
      <c r="O3924" t="s">
        <v>27</v>
      </c>
      <c r="P3924" t="s">
        <v>39</v>
      </c>
      <c r="Q3924" t="s">
        <v>31</v>
      </c>
      <c r="R3924" t="s">
        <v>32</v>
      </c>
      <c r="S3924" t="s">
        <v>28</v>
      </c>
      <c r="T3924" t="s">
        <v>14728</v>
      </c>
      <c r="U3924" t="s">
        <v>14729</v>
      </c>
    </row>
    <row r="3925" spans="1:21" x14ac:dyDescent="0.25">
      <c r="A3925" t="s">
        <v>134</v>
      </c>
      <c r="B3925" t="s">
        <v>64</v>
      </c>
      <c r="C3925">
        <v>100</v>
      </c>
      <c r="D3925">
        <v>1</v>
      </c>
      <c r="E3925">
        <v>0</v>
      </c>
      <c r="F3925" t="s">
        <v>14730</v>
      </c>
      <c r="G3925">
        <v>106</v>
      </c>
      <c r="H3925">
        <v>6</v>
      </c>
      <c r="I3925" t="s">
        <v>24</v>
      </c>
      <c r="J3925" t="s">
        <v>825</v>
      </c>
      <c r="K3925" t="s">
        <v>273</v>
      </c>
      <c r="L3925" t="s">
        <v>27</v>
      </c>
      <c r="M3925" t="s">
        <v>28</v>
      </c>
      <c r="N3925" t="s">
        <v>14731</v>
      </c>
      <c r="O3925" t="s">
        <v>27</v>
      </c>
      <c r="P3925" t="s">
        <v>39</v>
      </c>
      <c r="Q3925" t="s">
        <v>31</v>
      </c>
      <c r="R3925" t="s">
        <v>32</v>
      </c>
      <c r="S3925" t="s">
        <v>28</v>
      </c>
      <c r="T3925" t="s">
        <v>14732</v>
      </c>
      <c r="U3925" t="s">
        <v>14731</v>
      </c>
    </row>
    <row r="3926" spans="1:21" x14ac:dyDescent="0.25">
      <c r="A3926" t="s">
        <v>70</v>
      </c>
      <c r="B3926" t="s">
        <v>70</v>
      </c>
      <c r="C3926">
        <v>330</v>
      </c>
      <c r="D3926">
        <v>2</v>
      </c>
      <c r="E3926">
        <v>0</v>
      </c>
      <c r="F3926" t="s">
        <v>14733</v>
      </c>
      <c r="G3926">
        <v>660</v>
      </c>
      <c r="H3926">
        <v>0</v>
      </c>
      <c r="I3926" t="s">
        <v>24</v>
      </c>
      <c r="J3926" t="s">
        <v>14734</v>
      </c>
      <c r="K3926" t="s">
        <v>285</v>
      </c>
      <c r="L3926" t="s">
        <v>27</v>
      </c>
      <c r="M3926" t="s">
        <v>28</v>
      </c>
      <c r="N3926" t="s">
        <v>14731</v>
      </c>
      <c r="O3926" t="s">
        <v>27</v>
      </c>
      <c r="P3926" t="s">
        <v>56</v>
      </c>
      <c r="Q3926" t="s">
        <v>31</v>
      </c>
      <c r="R3926" t="s">
        <v>57</v>
      </c>
      <c r="S3926" t="s">
        <v>28</v>
      </c>
      <c r="T3926" t="s">
        <v>14735</v>
      </c>
      <c r="U3926" t="s">
        <v>14731</v>
      </c>
    </row>
    <row r="3927" spans="1:21" x14ac:dyDescent="0.25">
      <c r="A3927" t="s">
        <v>63</v>
      </c>
      <c r="B3927" t="s">
        <v>64</v>
      </c>
      <c r="C3927">
        <v>100</v>
      </c>
      <c r="D3927">
        <v>1</v>
      </c>
      <c r="E3927">
        <v>0</v>
      </c>
      <c r="F3927" t="s">
        <v>14736</v>
      </c>
      <c r="G3927">
        <v>106</v>
      </c>
      <c r="H3927">
        <v>6</v>
      </c>
      <c r="I3927" t="s">
        <v>24</v>
      </c>
      <c r="J3927" t="s">
        <v>14737</v>
      </c>
      <c r="K3927" t="s">
        <v>1878</v>
      </c>
      <c r="L3927" t="s">
        <v>27</v>
      </c>
      <c r="M3927" t="s">
        <v>28</v>
      </c>
      <c r="N3927" t="s">
        <v>14731</v>
      </c>
      <c r="O3927" t="s">
        <v>27</v>
      </c>
      <c r="P3927" t="s">
        <v>56</v>
      </c>
      <c r="Q3927" t="s">
        <v>31</v>
      </c>
      <c r="R3927" t="s">
        <v>57</v>
      </c>
      <c r="S3927" t="s">
        <v>28</v>
      </c>
      <c r="T3927" t="s">
        <v>14738</v>
      </c>
      <c r="U3927" t="s">
        <v>14731</v>
      </c>
    </row>
    <row r="3928" spans="1:21" x14ac:dyDescent="0.25">
      <c r="A3928" t="s">
        <v>21</v>
      </c>
      <c r="B3928" t="s">
        <v>22</v>
      </c>
      <c r="C3928">
        <v>100</v>
      </c>
      <c r="D3928">
        <v>1</v>
      </c>
      <c r="E3928">
        <v>0</v>
      </c>
      <c r="F3928" t="s">
        <v>14739</v>
      </c>
      <c r="G3928">
        <v>106</v>
      </c>
      <c r="H3928">
        <v>6</v>
      </c>
      <c r="I3928" t="s">
        <v>24</v>
      </c>
      <c r="J3928" t="s">
        <v>2811</v>
      </c>
      <c r="K3928" t="s">
        <v>89</v>
      </c>
      <c r="L3928" t="s">
        <v>27</v>
      </c>
      <c r="M3928" t="s">
        <v>28</v>
      </c>
      <c r="N3928" t="s">
        <v>14740</v>
      </c>
      <c r="O3928" t="s">
        <v>27</v>
      </c>
      <c r="P3928" t="s">
        <v>39</v>
      </c>
      <c r="Q3928" t="s">
        <v>31</v>
      </c>
      <c r="R3928" t="s">
        <v>32</v>
      </c>
      <c r="S3928" t="s">
        <v>28</v>
      </c>
      <c r="T3928" t="s">
        <v>14741</v>
      </c>
      <c r="U3928" t="s">
        <v>14740</v>
      </c>
    </row>
    <row r="3929" spans="1:21" x14ac:dyDescent="0.25">
      <c r="A3929" t="s">
        <v>143</v>
      </c>
      <c r="B3929" t="s">
        <v>144</v>
      </c>
      <c r="C3929">
        <v>200</v>
      </c>
      <c r="D3929">
        <v>1</v>
      </c>
      <c r="E3929">
        <v>0</v>
      </c>
      <c r="F3929" t="s">
        <v>14742</v>
      </c>
      <c r="G3929">
        <v>200</v>
      </c>
      <c r="H3929">
        <v>0</v>
      </c>
      <c r="I3929" t="s">
        <v>24</v>
      </c>
      <c r="J3929" t="s">
        <v>14743</v>
      </c>
      <c r="K3929" t="s">
        <v>241</v>
      </c>
      <c r="L3929" t="s">
        <v>27</v>
      </c>
      <c r="M3929" t="s">
        <v>28</v>
      </c>
      <c r="N3929" t="s">
        <v>14744</v>
      </c>
      <c r="O3929" t="s">
        <v>27</v>
      </c>
      <c r="P3929" t="s">
        <v>39</v>
      </c>
      <c r="Q3929" t="s">
        <v>31</v>
      </c>
      <c r="R3929" t="s">
        <v>32</v>
      </c>
      <c r="S3929" t="s">
        <v>28</v>
      </c>
      <c r="T3929" t="s">
        <v>14745</v>
      </c>
      <c r="U3929" t="s">
        <v>14744</v>
      </c>
    </row>
    <row r="3930" spans="1:21" x14ac:dyDescent="0.25">
      <c r="A3930" t="s">
        <v>33</v>
      </c>
      <c r="B3930" t="s">
        <v>34</v>
      </c>
      <c r="C3930">
        <v>200</v>
      </c>
      <c r="D3930">
        <v>1</v>
      </c>
      <c r="E3930">
        <v>0</v>
      </c>
      <c r="F3930" t="s">
        <v>14746</v>
      </c>
      <c r="G3930">
        <v>200</v>
      </c>
      <c r="H3930">
        <v>0</v>
      </c>
      <c r="I3930" t="s">
        <v>445</v>
      </c>
      <c r="J3930" t="s">
        <v>14747</v>
      </c>
      <c r="K3930" t="s">
        <v>1602</v>
      </c>
      <c r="L3930" t="s">
        <v>27</v>
      </c>
      <c r="M3930" t="s">
        <v>28</v>
      </c>
      <c r="N3930" t="s">
        <v>14748</v>
      </c>
      <c r="O3930" t="s">
        <v>27</v>
      </c>
      <c r="P3930" t="s">
        <v>56</v>
      </c>
      <c r="Q3930" t="s">
        <v>31</v>
      </c>
      <c r="R3930" t="s">
        <v>57</v>
      </c>
      <c r="S3930" t="s">
        <v>28</v>
      </c>
      <c r="T3930" t="s">
        <v>14749</v>
      </c>
      <c r="U3930" t="s">
        <v>14748</v>
      </c>
    </row>
    <row r="3931" spans="1:21" x14ac:dyDescent="0.25">
      <c r="A3931" t="s">
        <v>33</v>
      </c>
      <c r="B3931" t="s">
        <v>34</v>
      </c>
      <c r="C3931">
        <v>200</v>
      </c>
      <c r="D3931">
        <v>1</v>
      </c>
      <c r="E3931">
        <v>0</v>
      </c>
      <c r="F3931" t="s">
        <v>14750</v>
      </c>
      <c r="G3931">
        <v>200</v>
      </c>
      <c r="H3931">
        <v>0</v>
      </c>
      <c r="I3931" t="s">
        <v>140</v>
      </c>
      <c r="J3931" t="s">
        <v>14751</v>
      </c>
      <c r="K3931" t="s">
        <v>237</v>
      </c>
      <c r="L3931" t="s">
        <v>27</v>
      </c>
      <c r="M3931" t="s">
        <v>28</v>
      </c>
      <c r="N3931" t="s">
        <v>14752</v>
      </c>
      <c r="O3931" t="s">
        <v>27</v>
      </c>
      <c r="P3931" t="s">
        <v>369</v>
      </c>
      <c r="Q3931" t="s">
        <v>31</v>
      </c>
      <c r="R3931" t="s">
        <v>57</v>
      </c>
      <c r="S3931" t="s">
        <v>28</v>
      </c>
      <c r="T3931" t="s">
        <v>14753</v>
      </c>
      <c r="U3931" t="s">
        <v>14752</v>
      </c>
    </row>
    <row r="3932" spans="1:21" x14ac:dyDescent="0.25">
      <c r="A3932" t="s">
        <v>63</v>
      </c>
      <c r="B3932" t="s">
        <v>64</v>
      </c>
      <c r="C3932">
        <v>100</v>
      </c>
      <c r="D3932">
        <v>1</v>
      </c>
      <c r="E3932">
        <v>0</v>
      </c>
      <c r="F3932" t="s">
        <v>14754</v>
      </c>
      <c r="G3932">
        <v>199</v>
      </c>
      <c r="H3932">
        <v>0</v>
      </c>
      <c r="I3932" t="s">
        <v>140</v>
      </c>
      <c r="J3932" t="s">
        <v>14755</v>
      </c>
      <c r="K3932" t="s">
        <v>8630</v>
      </c>
      <c r="L3932" t="s">
        <v>27</v>
      </c>
      <c r="M3932" t="s">
        <v>28</v>
      </c>
      <c r="N3932" t="s">
        <v>14752</v>
      </c>
      <c r="O3932" t="s">
        <v>27</v>
      </c>
      <c r="P3932" t="s">
        <v>369</v>
      </c>
      <c r="Q3932" t="s">
        <v>31</v>
      </c>
      <c r="R3932" t="s">
        <v>57</v>
      </c>
      <c r="S3932" t="s">
        <v>28</v>
      </c>
      <c r="T3932" t="s">
        <v>14756</v>
      </c>
      <c r="U3932" t="s">
        <v>14752</v>
      </c>
    </row>
    <row r="3933" spans="1:21" x14ac:dyDescent="0.25">
      <c r="A3933" t="s">
        <v>58</v>
      </c>
      <c r="B3933" t="s">
        <v>58</v>
      </c>
      <c r="C3933">
        <v>100</v>
      </c>
      <c r="D3933">
        <v>1</v>
      </c>
      <c r="E3933">
        <v>0</v>
      </c>
      <c r="F3933" t="s">
        <v>14757</v>
      </c>
      <c r="G3933">
        <v>260</v>
      </c>
      <c r="H3933">
        <v>45</v>
      </c>
      <c r="I3933" t="s">
        <v>445</v>
      </c>
      <c r="J3933" t="s">
        <v>3456</v>
      </c>
      <c r="K3933" t="s">
        <v>14758</v>
      </c>
      <c r="L3933" t="s">
        <v>3424</v>
      </c>
      <c r="M3933" t="s">
        <v>1744</v>
      </c>
      <c r="N3933" t="s">
        <v>14759</v>
      </c>
      <c r="O3933" t="s">
        <v>27</v>
      </c>
      <c r="P3933" t="s">
        <v>193</v>
      </c>
      <c r="Q3933" t="s">
        <v>85</v>
      </c>
      <c r="R3933" t="s">
        <v>86</v>
      </c>
      <c r="S3933" t="s">
        <v>28</v>
      </c>
      <c r="T3933" t="s">
        <v>14760</v>
      </c>
      <c r="U3933" t="s">
        <v>14759</v>
      </c>
    </row>
    <row r="3934" spans="1:21" x14ac:dyDescent="0.25">
      <c r="A3934" t="s">
        <v>134</v>
      </c>
      <c r="B3934" t="s">
        <v>64</v>
      </c>
      <c r="C3934">
        <v>120</v>
      </c>
      <c r="D3934">
        <v>1</v>
      </c>
      <c r="E3934">
        <v>0</v>
      </c>
      <c r="F3934" t="s">
        <v>14757</v>
      </c>
      <c r="G3934">
        <v>260</v>
      </c>
      <c r="H3934">
        <v>45</v>
      </c>
      <c r="I3934" t="s">
        <v>445</v>
      </c>
      <c r="J3934" t="s">
        <v>3456</v>
      </c>
      <c r="K3934" t="s">
        <v>14758</v>
      </c>
      <c r="L3934" t="s">
        <v>3424</v>
      </c>
      <c r="M3934" t="s">
        <v>1744</v>
      </c>
      <c r="N3934" t="s">
        <v>14759</v>
      </c>
      <c r="O3934" t="s">
        <v>27</v>
      </c>
      <c r="P3934" t="s">
        <v>193</v>
      </c>
      <c r="Q3934" t="s">
        <v>85</v>
      </c>
      <c r="R3934" t="s">
        <v>86</v>
      </c>
      <c r="S3934" t="s">
        <v>28</v>
      </c>
      <c r="T3934" t="s">
        <v>14760</v>
      </c>
      <c r="U3934" t="s">
        <v>14759</v>
      </c>
    </row>
    <row r="3935" spans="1:21" x14ac:dyDescent="0.25">
      <c r="A3935" t="s">
        <v>21</v>
      </c>
      <c r="B3935" t="s">
        <v>22</v>
      </c>
      <c r="C3935">
        <v>100</v>
      </c>
      <c r="D3935">
        <v>1</v>
      </c>
      <c r="E3935">
        <v>0</v>
      </c>
      <c r="F3935" t="s">
        <v>14761</v>
      </c>
      <c r="G3935">
        <v>100</v>
      </c>
      <c r="H3935">
        <v>0</v>
      </c>
      <c r="I3935" t="s">
        <v>445</v>
      </c>
      <c r="J3935" t="s">
        <v>14762</v>
      </c>
      <c r="K3935" t="s">
        <v>8487</v>
      </c>
      <c r="L3935" t="s">
        <v>27</v>
      </c>
      <c r="M3935" t="s">
        <v>28</v>
      </c>
      <c r="N3935" t="s">
        <v>14763</v>
      </c>
      <c r="O3935" t="s">
        <v>27</v>
      </c>
      <c r="P3935" t="s">
        <v>56</v>
      </c>
      <c r="Q3935" t="s">
        <v>31</v>
      </c>
      <c r="R3935" t="s">
        <v>57</v>
      </c>
      <c r="S3935" t="s">
        <v>28</v>
      </c>
      <c r="T3935" t="s">
        <v>14764</v>
      </c>
      <c r="U3935" t="s">
        <v>14763</v>
      </c>
    </row>
    <row r="3936" spans="1:21" x14ac:dyDescent="0.25">
      <c r="A3936" t="s">
        <v>134</v>
      </c>
      <c r="B3936" t="s">
        <v>64</v>
      </c>
      <c r="C3936">
        <v>100</v>
      </c>
      <c r="D3936">
        <v>1</v>
      </c>
      <c r="E3936">
        <v>0</v>
      </c>
      <c r="F3936" t="s">
        <v>14765</v>
      </c>
      <c r="G3936">
        <v>106</v>
      </c>
      <c r="H3936">
        <v>6</v>
      </c>
      <c r="I3936" t="s">
        <v>445</v>
      </c>
      <c r="J3936" t="s">
        <v>14766</v>
      </c>
      <c r="K3936" t="s">
        <v>325</v>
      </c>
      <c r="L3936" t="s">
        <v>27</v>
      </c>
      <c r="M3936" t="s">
        <v>28</v>
      </c>
      <c r="N3936" t="s">
        <v>14767</v>
      </c>
      <c r="O3936" t="s">
        <v>27</v>
      </c>
      <c r="P3936" t="s">
        <v>39</v>
      </c>
      <c r="Q3936" t="s">
        <v>31</v>
      </c>
      <c r="R3936" t="s">
        <v>32</v>
      </c>
      <c r="S3936" t="s">
        <v>28</v>
      </c>
      <c r="T3936" t="s">
        <v>14768</v>
      </c>
      <c r="U3936" t="s">
        <v>14763</v>
      </c>
    </row>
    <row r="3937" spans="1:21" x14ac:dyDescent="0.25">
      <c r="A3937" t="s">
        <v>33</v>
      </c>
      <c r="B3937" t="s">
        <v>34</v>
      </c>
      <c r="C3937">
        <v>200</v>
      </c>
      <c r="D3937">
        <v>1</v>
      </c>
      <c r="E3937">
        <v>0</v>
      </c>
      <c r="F3937" t="s">
        <v>14769</v>
      </c>
      <c r="G3937">
        <v>200</v>
      </c>
      <c r="H3937">
        <v>0</v>
      </c>
      <c r="I3937" t="s">
        <v>445</v>
      </c>
      <c r="J3937" t="s">
        <v>14770</v>
      </c>
      <c r="K3937" t="s">
        <v>331</v>
      </c>
      <c r="L3937" t="s">
        <v>27</v>
      </c>
      <c r="M3937" t="s">
        <v>28</v>
      </c>
      <c r="N3937" t="s">
        <v>14771</v>
      </c>
      <c r="O3937" t="s">
        <v>27</v>
      </c>
      <c r="P3937" t="s">
        <v>39</v>
      </c>
      <c r="Q3937" t="s">
        <v>31</v>
      </c>
      <c r="R3937" t="s">
        <v>32</v>
      </c>
      <c r="S3937" t="s">
        <v>28</v>
      </c>
      <c r="T3937" t="s">
        <v>14772</v>
      </c>
      <c r="U3937" t="s">
        <v>14771</v>
      </c>
    </row>
    <row r="3938" spans="1:21" x14ac:dyDescent="0.25">
      <c r="A3938" t="s">
        <v>58</v>
      </c>
      <c r="B3938" t="s">
        <v>58</v>
      </c>
      <c r="C3938">
        <v>100</v>
      </c>
      <c r="D3938">
        <v>2</v>
      </c>
      <c r="E3938">
        <v>0</v>
      </c>
      <c r="F3938" t="s">
        <v>14773</v>
      </c>
      <c r="G3938">
        <v>200</v>
      </c>
      <c r="H3938">
        <v>0</v>
      </c>
      <c r="I3938" t="s">
        <v>140</v>
      </c>
      <c r="J3938" t="s">
        <v>14774</v>
      </c>
      <c r="K3938" t="s">
        <v>14775</v>
      </c>
      <c r="L3938" t="s">
        <v>27</v>
      </c>
      <c r="M3938" t="s">
        <v>28</v>
      </c>
      <c r="N3938" t="s">
        <v>14776</v>
      </c>
      <c r="O3938" t="s">
        <v>27</v>
      </c>
      <c r="P3938" t="s">
        <v>369</v>
      </c>
      <c r="Q3938" t="s">
        <v>31</v>
      </c>
      <c r="R3938" t="s">
        <v>57</v>
      </c>
      <c r="S3938" t="s">
        <v>28</v>
      </c>
      <c r="T3938" t="s">
        <v>14777</v>
      </c>
      <c r="U3938" t="s">
        <v>14778</v>
      </c>
    </row>
    <row r="3939" spans="1:21" x14ac:dyDescent="0.25">
      <c r="A3939" t="s">
        <v>13290</v>
      </c>
      <c r="B3939" t="s">
        <v>13291</v>
      </c>
      <c r="C3939">
        <v>100</v>
      </c>
      <c r="D3939">
        <v>1</v>
      </c>
      <c r="E3939">
        <v>0</v>
      </c>
      <c r="F3939" t="s">
        <v>14779</v>
      </c>
      <c r="G3939">
        <v>125</v>
      </c>
      <c r="H3939">
        <v>25</v>
      </c>
      <c r="I3939" t="s">
        <v>24</v>
      </c>
      <c r="J3939" t="s">
        <v>2811</v>
      </c>
      <c r="K3939" t="s">
        <v>37</v>
      </c>
      <c r="L3939" t="s">
        <v>27</v>
      </c>
      <c r="M3939" t="s">
        <v>28</v>
      </c>
      <c r="N3939" t="s">
        <v>14778</v>
      </c>
      <c r="O3939" t="s">
        <v>27</v>
      </c>
      <c r="P3939" t="s">
        <v>56</v>
      </c>
      <c r="Q3939" t="s">
        <v>31</v>
      </c>
      <c r="R3939" t="s">
        <v>57</v>
      </c>
      <c r="S3939" t="s">
        <v>28</v>
      </c>
      <c r="T3939" t="s">
        <v>14780</v>
      </c>
      <c r="U3939" t="s">
        <v>14778</v>
      </c>
    </row>
    <row r="3940" spans="1:21" x14ac:dyDescent="0.25">
      <c r="A3940" t="s">
        <v>40</v>
      </c>
      <c r="B3940" t="s">
        <v>41</v>
      </c>
      <c r="C3940">
        <v>111.6</v>
      </c>
      <c r="D3940">
        <v>1</v>
      </c>
      <c r="E3940">
        <v>0</v>
      </c>
      <c r="F3940" t="s">
        <v>14781</v>
      </c>
      <c r="G3940">
        <v>116.6</v>
      </c>
      <c r="H3940">
        <v>5</v>
      </c>
      <c r="I3940" t="s">
        <v>24</v>
      </c>
      <c r="J3940" t="s">
        <v>14782</v>
      </c>
      <c r="K3940" t="s">
        <v>14783</v>
      </c>
      <c r="L3940" t="s">
        <v>14784</v>
      </c>
      <c r="M3940" t="s">
        <v>14785</v>
      </c>
      <c r="N3940" t="s">
        <v>14778</v>
      </c>
      <c r="O3940" t="s">
        <v>27</v>
      </c>
      <c r="P3940" t="s">
        <v>48</v>
      </c>
      <c r="Q3940" t="s">
        <v>49</v>
      </c>
      <c r="R3940" t="s">
        <v>50</v>
      </c>
      <c r="S3940" t="s">
        <v>28</v>
      </c>
      <c r="T3940" t="s">
        <v>14786</v>
      </c>
      <c r="U3940" t="s">
        <v>14778</v>
      </c>
    </row>
    <row r="3941" spans="1:21" x14ac:dyDescent="0.25">
      <c r="A3941" t="s">
        <v>456</v>
      </c>
      <c r="B3941" t="s">
        <v>457</v>
      </c>
      <c r="C3941">
        <v>199</v>
      </c>
      <c r="D3941">
        <v>2</v>
      </c>
      <c r="E3941">
        <v>0</v>
      </c>
      <c r="F3941" t="s">
        <v>14787</v>
      </c>
      <c r="G3941">
        <v>456</v>
      </c>
      <c r="H3941">
        <v>58</v>
      </c>
      <c r="I3941" t="s">
        <v>24</v>
      </c>
      <c r="J3941" t="s">
        <v>9859</v>
      </c>
      <c r="K3941" t="s">
        <v>14788</v>
      </c>
      <c r="L3941" t="s">
        <v>3818</v>
      </c>
      <c r="M3941" t="s">
        <v>975</v>
      </c>
      <c r="N3941" t="s">
        <v>14789</v>
      </c>
      <c r="O3941" t="s">
        <v>27</v>
      </c>
      <c r="P3941" t="s">
        <v>84</v>
      </c>
      <c r="Q3941" t="s">
        <v>85</v>
      </c>
      <c r="R3941" t="s">
        <v>86</v>
      </c>
      <c r="S3941" t="s">
        <v>28</v>
      </c>
      <c r="T3941" t="s">
        <v>14790</v>
      </c>
      <c r="U3941" t="s">
        <v>14791</v>
      </c>
    </row>
    <row r="3942" spans="1:21" x14ac:dyDescent="0.25">
      <c r="A3942" t="s">
        <v>2307</v>
      </c>
      <c r="B3942" t="s">
        <v>2308</v>
      </c>
      <c r="C3942">
        <v>330</v>
      </c>
      <c r="D3942">
        <v>1</v>
      </c>
      <c r="E3942">
        <v>0</v>
      </c>
      <c r="F3942" t="s">
        <v>14792</v>
      </c>
      <c r="G3942">
        <v>330</v>
      </c>
      <c r="H3942">
        <v>0</v>
      </c>
      <c r="I3942" t="s">
        <v>24</v>
      </c>
      <c r="J3942" t="s">
        <v>14793</v>
      </c>
      <c r="K3942" t="s">
        <v>384</v>
      </c>
      <c r="L3942" t="s">
        <v>27</v>
      </c>
      <c r="M3942" t="s">
        <v>28</v>
      </c>
      <c r="N3942" t="s">
        <v>14794</v>
      </c>
      <c r="O3942" t="s">
        <v>27</v>
      </c>
      <c r="P3942" t="s">
        <v>39</v>
      </c>
      <c r="Q3942" t="s">
        <v>31</v>
      </c>
      <c r="R3942" t="s">
        <v>32</v>
      </c>
      <c r="S3942" t="s">
        <v>28</v>
      </c>
      <c r="T3942" t="s">
        <v>14795</v>
      </c>
      <c r="U3942" t="s">
        <v>14794</v>
      </c>
    </row>
    <row r="3943" spans="1:21" x14ac:dyDescent="0.25">
      <c r="A3943" t="s">
        <v>33</v>
      </c>
      <c r="B3943" t="s">
        <v>34</v>
      </c>
      <c r="C3943">
        <v>200</v>
      </c>
      <c r="D3943">
        <v>1</v>
      </c>
      <c r="E3943">
        <v>0</v>
      </c>
      <c r="F3943" t="s">
        <v>14796</v>
      </c>
      <c r="G3943">
        <v>200</v>
      </c>
      <c r="H3943">
        <v>0</v>
      </c>
      <c r="I3943" t="s">
        <v>24</v>
      </c>
      <c r="J3943" t="s">
        <v>14797</v>
      </c>
      <c r="K3943" t="s">
        <v>273</v>
      </c>
      <c r="L3943" t="s">
        <v>27</v>
      </c>
      <c r="M3943" t="s">
        <v>28</v>
      </c>
      <c r="N3943" t="s">
        <v>14794</v>
      </c>
      <c r="O3943" t="s">
        <v>27</v>
      </c>
      <c r="P3943" t="s">
        <v>39</v>
      </c>
      <c r="Q3943" t="s">
        <v>31</v>
      </c>
      <c r="R3943" t="s">
        <v>32</v>
      </c>
      <c r="S3943" t="s">
        <v>28</v>
      </c>
      <c r="T3943" t="s">
        <v>14798</v>
      </c>
      <c r="U3943" t="s">
        <v>14794</v>
      </c>
    </row>
    <row r="3944" spans="1:21" x14ac:dyDescent="0.25">
      <c r="A3944" t="s">
        <v>14799</v>
      </c>
      <c r="B3944" t="s">
        <v>14800</v>
      </c>
      <c r="C3944">
        <v>120</v>
      </c>
      <c r="D3944">
        <v>1</v>
      </c>
      <c r="E3944">
        <v>0</v>
      </c>
      <c r="F3944" t="s">
        <v>14801</v>
      </c>
      <c r="G3944">
        <v>318</v>
      </c>
      <c r="H3944">
        <v>0</v>
      </c>
      <c r="I3944" t="s">
        <v>140</v>
      </c>
      <c r="J3944" t="s">
        <v>14802</v>
      </c>
      <c r="K3944" t="s">
        <v>241</v>
      </c>
      <c r="L3944" t="s">
        <v>27</v>
      </c>
      <c r="M3944" t="s">
        <v>28</v>
      </c>
      <c r="N3944" t="s">
        <v>14803</v>
      </c>
      <c r="O3944" t="s">
        <v>27</v>
      </c>
      <c r="P3944" t="s">
        <v>369</v>
      </c>
      <c r="Q3944" t="s">
        <v>31</v>
      </c>
      <c r="R3944" t="s">
        <v>57</v>
      </c>
      <c r="S3944" t="s">
        <v>28</v>
      </c>
      <c r="T3944" t="s">
        <v>14804</v>
      </c>
      <c r="U3944" t="s">
        <v>14805</v>
      </c>
    </row>
    <row r="3945" spans="1:21" x14ac:dyDescent="0.25">
      <c r="A3945" t="s">
        <v>13290</v>
      </c>
      <c r="B3945" t="s">
        <v>13291</v>
      </c>
      <c r="C3945">
        <v>100</v>
      </c>
      <c r="D3945">
        <v>2</v>
      </c>
      <c r="E3945">
        <v>0</v>
      </c>
      <c r="F3945" t="s">
        <v>14806</v>
      </c>
      <c r="G3945">
        <v>200</v>
      </c>
      <c r="H3945">
        <v>0</v>
      </c>
      <c r="I3945" t="s">
        <v>140</v>
      </c>
      <c r="J3945" t="s">
        <v>11591</v>
      </c>
      <c r="K3945" t="s">
        <v>237</v>
      </c>
      <c r="L3945" t="s">
        <v>27</v>
      </c>
      <c r="M3945" t="s">
        <v>28</v>
      </c>
      <c r="N3945" t="s">
        <v>14807</v>
      </c>
      <c r="O3945" t="s">
        <v>27</v>
      </c>
      <c r="P3945" t="s">
        <v>30</v>
      </c>
      <c r="Q3945" t="s">
        <v>31</v>
      </c>
      <c r="R3945" t="s">
        <v>32</v>
      </c>
      <c r="S3945" t="s">
        <v>28</v>
      </c>
      <c r="T3945" t="s">
        <v>14808</v>
      </c>
      <c r="U3945" t="s">
        <v>14807</v>
      </c>
    </row>
    <row r="3946" spans="1:21" x14ac:dyDescent="0.25">
      <c r="A3946" t="s">
        <v>33</v>
      </c>
      <c r="B3946" t="s">
        <v>34</v>
      </c>
      <c r="C3946">
        <v>200</v>
      </c>
      <c r="D3946">
        <v>1</v>
      </c>
      <c r="E3946">
        <v>0</v>
      </c>
      <c r="F3946" t="s">
        <v>14809</v>
      </c>
      <c r="G3946">
        <v>200</v>
      </c>
      <c r="H3946">
        <v>0</v>
      </c>
      <c r="I3946" t="s">
        <v>24</v>
      </c>
      <c r="J3946" t="s">
        <v>14810</v>
      </c>
      <c r="K3946" t="s">
        <v>89</v>
      </c>
      <c r="L3946" t="s">
        <v>27</v>
      </c>
      <c r="M3946" t="s">
        <v>28</v>
      </c>
      <c r="N3946" t="s">
        <v>14811</v>
      </c>
      <c r="O3946" t="s">
        <v>27</v>
      </c>
      <c r="P3946" t="s">
        <v>39</v>
      </c>
      <c r="Q3946" t="s">
        <v>31</v>
      </c>
      <c r="R3946" t="s">
        <v>32</v>
      </c>
      <c r="S3946" t="s">
        <v>28</v>
      </c>
      <c r="T3946" t="s">
        <v>14812</v>
      </c>
      <c r="U3946" t="s">
        <v>14811</v>
      </c>
    </row>
    <row r="3947" spans="1:21" x14ac:dyDescent="0.25">
      <c r="A3947" t="s">
        <v>40</v>
      </c>
      <c r="B3947" t="s">
        <v>11384</v>
      </c>
      <c r="C3947">
        <v>100</v>
      </c>
      <c r="D3947">
        <v>2</v>
      </c>
      <c r="E3947">
        <v>0</v>
      </c>
      <c r="F3947" t="s">
        <v>14813</v>
      </c>
      <c r="G3947">
        <v>200</v>
      </c>
      <c r="H3947">
        <v>0</v>
      </c>
      <c r="I3947" t="s">
        <v>140</v>
      </c>
      <c r="J3947" t="s">
        <v>14814</v>
      </c>
      <c r="K3947" t="s">
        <v>466</v>
      </c>
      <c r="L3947" t="s">
        <v>27</v>
      </c>
      <c r="M3947" t="s">
        <v>28</v>
      </c>
      <c r="N3947" t="s">
        <v>14815</v>
      </c>
      <c r="O3947" t="s">
        <v>27</v>
      </c>
      <c r="P3947" t="s">
        <v>369</v>
      </c>
      <c r="Q3947" t="s">
        <v>31</v>
      </c>
      <c r="R3947" t="s">
        <v>57</v>
      </c>
      <c r="S3947" t="s">
        <v>28</v>
      </c>
      <c r="T3947" t="s">
        <v>14816</v>
      </c>
      <c r="U3947" t="s">
        <v>14817</v>
      </c>
    </row>
    <row r="3948" spans="1:21" x14ac:dyDescent="0.25">
      <c r="A3948" t="s">
        <v>63</v>
      </c>
      <c r="B3948" t="s">
        <v>64</v>
      </c>
      <c r="C3948">
        <v>100</v>
      </c>
      <c r="D3948">
        <v>1</v>
      </c>
      <c r="E3948">
        <v>0</v>
      </c>
      <c r="F3948" t="s">
        <v>14818</v>
      </c>
      <c r="G3948">
        <v>106</v>
      </c>
      <c r="H3948">
        <v>6</v>
      </c>
      <c r="I3948" t="s">
        <v>24</v>
      </c>
      <c r="J3948" t="s">
        <v>14819</v>
      </c>
      <c r="K3948" t="s">
        <v>89</v>
      </c>
      <c r="L3948" t="s">
        <v>27</v>
      </c>
      <c r="M3948" t="s">
        <v>28</v>
      </c>
      <c r="N3948" t="s">
        <v>14820</v>
      </c>
      <c r="O3948" t="s">
        <v>27</v>
      </c>
      <c r="P3948" t="s">
        <v>39</v>
      </c>
      <c r="Q3948" t="s">
        <v>31</v>
      </c>
      <c r="R3948" t="s">
        <v>32</v>
      </c>
      <c r="S3948" t="s">
        <v>28</v>
      </c>
      <c r="T3948" t="s">
        <v>14821</v>
      </c>
      <c r="U3948" t="s">
        <v>14820</v>
      </c>
    </row>
    <row r="3949" spans="1:21" x14ac:dyDescent="0.25">
      <c r="A3949" t="s">
        <v>134</v>
      </c>
      <c r="B3949" t="s">
        <v>64</v>
      </c>
      <c r="C3949">
        <v>100</v>
      </c>
      <c r="D3949">
        <v>1</v>
      </c>
      <c r="E3949">
        <v>0</v>
      </c>
      <c r="F3949" t="s">
        <v>14822</v>
      </c>
      <c r="G3949">
        <v>106</v>
      </c>
      <c r="H3949">
        <v>6</v>
      </c>
      <c r="I3949" t="s">
        <v>24</v>
      </c>
      <c r="J3949" t="s">
        <v>14823</v>
      </c>
      <c r="K3949" t="s">
        <v>791</v>
      </c>
      <c r="L3949" t="s">
        <v>27</v>
      </c>
      <c r="M3949" t="s">
        <v>28</v>
      </c>
      <c r="N3949" t="s">
        <v>14824</v>
      </c>
      <c r="O3949" t="s">
        <v>27</v>
      </c>
      <c r="P3949" t="s">
        <v>39</v>
      </c>
      <c r="Q3949" t="s">
        <v>31</v>
      </c>
      <c r="R3949" t="s">
        <v>32</v>
      </c>
      <c r="S3949" t="s">
        <v>28</v>
      </c>
      <c r="T3949" t="s">
        <v>14825</v>
      </c>
      <c r="U3949" t="s">
        <v>14826</v>
      </c>
    </row>
    <row r="3950" spans="1:21" x14ac:dyDescent="0.25">
      <c r="A3950" t="s">
        <v>2820</v>
      </c>
      <c r="B3950" t="s">
        <v>2821</v>
      </c>
      <c r="C3950">
        <v>100</v>
      </c>
      <c r="D3950">
        <v>1</v>
      </c>
      <c r="E3950">
        <v>0</v>
      </c>
      <c r="F3950" t="s">
        <v>14827</v>
      </c>
      <c r="G3950">
        <v>164</v>
      </c>
      <c r="H3950">
        <v>64</v>
      </c>
      <c r="I3950" t="s">
        <v>445</v>
      </c>
      <c r="J3950" t="s">
        <v>14828</v>
      </c>
      <c r="K3950" t="s">
        <v>791</v>
      </c>
      <c r="L3950" t="s">
        <v>27</v>
      </c>
      <c r="M3950" t="s">
        <v>28</v>
      </c>
      <c r="N3950" t="s">
        <v>14829</v>
      </c>
      <c r="O3950" t="s">
        <v>27</v>
      </c>
      <c r="P3950" t="s">
        <v>56</v>
      </c>
      <c r="Q3950" t="s">
        <v>31</v>
      </c>
      <c r="R3950" t="s">
        <v>57</v>
      </c>
      <c r="S3950" t="s">
        <v>28</v>
      </c>
      <c r="T3950" t="s">
        <v>14830</v>
      </c>
      <c r="U3950" t="s">
        <v>14829</v>
      </c>
    </row>
    <row r="3951" spans="1:21" x14ac:dyDescent="0.25">
      <c r="A3951" t="s">
        <v>58</v>
      </c>
      <c r="B3951" t="s">
        <v>103</v>
      </c>
      <c r="C3951">
        <v>89.25</v>
      </c>
      <c r="D3951">
        <v>1</v>
      </c>
      <c r="E3951">
        <v>0</v>
      </c>
      <c r="F3951" t="s">
        <v>14831</v>
      </c>
      <c r="G3951">
        <v>470.25</v>
      </c>
      <c r="H3951">
        <v>24</v>
      </c>
      <c r="I3951" t="s">
        <v>105</v>
      </c>
      <c r="J3951" t="s">
        <v>14832</v>
      </c>
      <c r="K3951" t="s">
        <v>14833</v>
      </c>
      <c r="L3951" t="s">
        <v>4121</v>
      </c>
      <c r="M3951" t="s">
        <v>14834</v>
      </c>
      <c r="N3951" t="s">
        <v>14835</v>
      </c>
      <c r="O3951" t="s">
        <v>27</v>
      </c>
      <c r="P3951" t="s">
        <v>48</v>
      </c>
      <c r="Q3951" t="s">
        <v>49</v>
      </c>
      <c r="R3951" t="s">
        <v>50</v>
      </c>
      <c r="S3951" t="s">
        <v>28</v>
      </c>
      <c r="T3951" t="s">
        <v>14836</v>
      </c>
      <c r="U3951" t="s">
        <v>14835</v>
      </c>
    </row>
    <row r="3952" spans="1:21" x14ac:dyDescent="0.25">
      <c r="A3952" t="s">
        <v>58</v>
      </c>
      <c r="B3952" t="s">
        <v>103</v>
      </c>
      <c r="C3952">
        <v>89.25</v>
      </c>
      <c r="D3952">
        <v>1</v>
      </c>
      <c r="E3952">
        <v>0</v>
      </c>
      <c r="F3952" t="s">
        <v>14831</v>
      </c>
      <c r="G3952">
        <v>470.25</v>
      </c>
      <c r="H3952">
        <v>24</v>
      </c>
      <c r="I3952" t="s">
        <v>105</v>
      </c>
      <c r="J3952" t="s">
        <v>14832</v>
      </c>
      <c r="K3952" t="s">
        <v>14833</v>
      </c>
      <c r="L3952" t="s">
        <v>4121</v>
      </c>
      <c r="M3952" t="s">
        <v>14834</v>
      </c>
      <c r="N3952" t="s">
        <v>14835</v>
      </c>
      <c r="O3952" t="s">
        <v>27</v>
      </c>
      <c r="P3952" t="s">
        <v>48</v>
      </c>
      <c r="Q3952" t="s">
        <v>49</v>
      </c>
      <c r="R3952" t="s">
        <v>50</v>
      </c>
      <c r="S3952" t="s">
        <v>28</v>
      </c>
      <c r="T3952" t="s">
        <v>14836</v>
      </c>
      <c r="U3952" t="s">
        <v>14835</v>
      </c>
    </row>
    <row r="3953" spans="1:21" x14ac:dyDescent="0.25">
      <c r="A3953" t="s">
        <v>58</v>
      </c>
      <c r="B3953" t="s">
        <v>103</v>
      </c>
      <c r="C3953">
        <v>89.25</v>
      </c>
      <c r="D3953">
        <v>1</v>
      </c>
      <c r="E3953">
        <v>0</v>
      </c>
      <c r="F3953" t="s">
        <v>14831</v>
      </c>
      <c r="G3953">
        <v>470.25</v>
      </c>
      <c r="H3953">
        <v>24</v>
      </c>
      <c r="I3953" t="s">
        <v>105</v>
      </c>
      <c r="J3953" t="s">
        <v>14832</v>
      </c>
      <c r="K3953" t="s">
        <v>14833</v>
      </c>
      <c r="L3953" t="s">
        <v>4121</v>
      </c>
      <c r="M3953" t="s">
        <v>14834</v>
      </c>
      <c r="N3953" t="s">
        <v>14835</v>
      </c>
      <c r="O3953" t="s">
        <v>27</v>
      </c>
      <c r="P3953" t="s">
        <v>48</v>
      </c>
      <c r="Q3953" t="s">
        <v>49</v>
      </c>
      <c r="R3953" t="s">
        <v>50</v>
      </c>
      <c r="S3953" t="s">
        <v>28</v>
      </c>
      <c r="T3953" t="s">
        <v>14836</v>
      </c>
      <c r="U3953" t="s">
        <v>14835</v>
      </c>
    </row>
    <row r="3954" spans="1:21" x14ac:dyDescent="0.25">
      <c r="A3954" t="s">
        <v>58</v>
      </c>
      <c r="B3954" t="s">
        <v>103</v>
      </c>
      <c r="C3954">
        <v>89.25</v>
      </c>
      <c r="D3954">
        <v>1</v>
      </c>
      <c r="E3954">
        <v>0</v>
      </c>
      <c r="F3954" t="s">
        <v>14831</v>
      </c>
      <c r="G3954">
        <v>470.25</v>
      </c>
      <c r="H3954">
        <v>24</v>
      </c>
      <c r="I3954" t="s">
        <v>105</v>
      </c>
      <c r="J3954" t="s">
        <v>14832</v>
      </c>
      <c r="K3954" t="s">
        <v>14833</v>
      </c>
      <c r="L3954" t="s">
        <v>4121</v>
      </c>
      <c r="M3954" t="s">
        <v>14834</v>
      </c>
      <c r="N3954" t="s">
        <v>14835</v>
      </c>
      <c r="O3954" t="s">
        <v>27</v>
      </c>
      <c r="P3954" t="s">
        <v>48</v>
      </c>
      <c r="Q3954" t="s">
        <v>49</v>
      </c>
      <c r="R3954" t="s">
        <v>50</v>
      </c>
      <c r="S3954" t="s">
        <v>28</v>
      </c>
      <c r="T3954" t="s">
        <v>14836</v>
      </c>
      <c r="U3954" t="s">
        <v>14835</v>
      </c>
    </row>
    <row r="3955" spans="1:21" x14ac:dyDescent="0.25">
      <c r="A3955" t="s">
        <v>58</v>
      </c>
      <c r="B3955" t="s">
        <v>103</v>
      </c>
      <c r="C3955">
        <v>89.25</v>
      </c>
      <c r="D3955">
        <v>1</v>
      </c>
      <c r="E3955">
        <v>0</v>
      </c>
      <c r="F3955" t="s">
        <v>14831</v>
      </c>
      <c r="G3955">
        <v>470.25</v>
      </c>
      <c r="H3955">
        <v>24</v>
      </c>
      <c r="I3955" t="s">
        <v>105</v>
      </c>
      <c r="J3955" t="s">
        <v>14832</v>
      </c>
      <c r="K3955" t="s">
        <v>14833</v>
      </c>
      <c r="L3955" t="s">
        <v>4121</v>
      </c>
      <c r="M3955" t="s">
        <v>14834</v>
      </c>
      <c r="N3955" t="s">
        <v>14835</v>
      </c>
      <c r="O3955" t="s">
        <v>27</v>
      </c>
      <c r="P3955" t="s">
        <v>48</v>
      </c>
      <c r="Q3955" t="s">
        <v>49</v>
      </c>
      <c r="R3955" t="s">
        <v>50</v>
      </c>
      <c r="S3955" t="s">
        <v>28</v>
      </c>
      <c r="T3955" t="s">
        <v>14836</v>
      </c>
      <c r="U3955" t="s">
        <v>14835</v>
      </c>
    </row>
    <row r="3956" spans="1:21" x14ac:dyDescent="0.25">
      <c r="A3956" t="s">
        <v>33</v>
      </c>
      <c r="B3956" t="s">
        <v>34</v>
      </c>
      <c r="C3956">
        <v>200</v>
      </c>
      <c r="D3956">
        <v>1</v>
      </c>
      <c r="E3956">
        <v>0</v>
      </c>
      <c r="F3956" t="s">
        <v>14837</v>
      </c>
      <c r="G3956">
        <v>200</v>
      </c>
      <c r="H3956">
        <v>0</v>
      </c>
      <c r="I3956" t="s">
        <v>24</v>
      </c>
      <c r="J3956" t="s">
        <v>14838</v>
      </c>
      <c r="K3956" t="s">
        <v>487</v>
      </c>
      <c r="L3956" t="s">
        <v>27</v>
      </c>
      <c r="M3956" t="s">
        <v>28</v>
      </c>
      <c r="N3956" t="s">
        <v>14839</v>
      </c>
      <c r="O3956" t="s">
        <v>27</v>
      </c>
      <c r="P3956" t="s">
        <v>56</v>
      </c>
      <c r="Q3956" t="s">
        <v>31</v>
      </c>
      <c r="R3956" t="s">
        <v>57</v>
      </c>
      <c r="S3956" t="s">
        <v>28</v>
      </c>
      <c r="T3956" t="s">
        <v>14840</v>
      </c>
      <c r="U3956" t="s">
        <v>14841</v>
      </c>
    </row>
    <row r="3957" spans="1:21" x14ac:dyDescent="0.25">
      <c r="A3957" t="s">
        <v>143</v>
      </c>
      <c r="B3957" t="s">
        <v>144</v>
      </c>
      <c r="C3957">
        <v>200</v>
      </c>
      <c r="D3957">
        <v>1</v>
      </c>
      <c r="E3957">
        <v>0</v>
      </c>
      <c r="F3957" t="s">
        <v>14842</v>
      </c>
      <c r="G3957">
        <v>200</v>
      </c>
      <c r="H3957">
        <v>0</v>
      </c>
      <c r="I3957" t="s">
        <v>445</v>
      </c>
      <c r="J3957" t="s">
        <v>14843</v>
      </c>
      <c r="K3957" t="s">
        <v>37</v>
      </c>
      <c r="L3957" t="s">
        <v>27</v>
      </c>
      <c r="M3957" t="s">
        <v>28</v>
      </c>
      <c r="N3957" t="s">
        <v>14841</v>
      </c>
      <c r="O3957" t="s">
        <v>27</v>
      </c>
      <c r="P3957" t="s">
        <v>39</v>
      </c>
      <c r="Q3957" t="s">
        <v>31</v>
      </c>
      <c r="R3957" t="s">
        <v>32</v>
      </c>
      <c r="S3957" t="s">
        <v>28</v>
      </c>
      <c r="T3957" t="s">
        <v>14844</v>
      </c>
      <c r="U3957" t="s">
        <v>14841</v>
      </c>
    </row>
    <row r="3958" spans="1:21" x14ac:dyDescent="0.25">
      <c r="A3958" t="s">
        <v>63</v>
      </c>
      <c r="B3958" t="s">
        <v>64</v>
      </c>
      <c r="C3958">
        <v>100</v>
      </c>
      <c r="D3958">
        <v>2</v>
      </c>
      <c r="E3958">
        <v>0</v>
      </c>
      <c r="F3958" t="s">
        <v>14845</v>
      </c>
      <c r="G3958">
        <v>200</v>
      </c>
      <c r="H3958">
        <v>0</v>
      </c>
      <c r="I3958" t="s">
        <v>24</v>
      </c>
      <c r="J3958" t="s">
        <v>14846</v>
      </c>
      <c r="K3958" t="s">
        <v>67</v>
      </c>
      <c r="L3958" t="s">
        <v>27</v>
      </c>
      <c r="M3958" t="s">
        <v>28</v>
      </c>
      <c r="N3958" t="s">
        <v>14847</v>
      </c>
      <c r="O3958" t="s">
        <v>27</v>
      </c>
      <c r="P3958" t="s">
        <v>56</v>
      </c>
      <c r="Q3958" t="s">
        <v>31</v>
      </c>
      <c r="R3958" t="s">
        <v>57</v>
      </c>
      <c r="S3958" t="s">
        <v>28</v>
      </c>
      <c r="T3958" t="s">
        <v>14848</v>
      </c>
      <c r="U3958" t="s">
        <v>14847</v>
      </c>
    </row>
    <row r="3959" spans="1:21" x14ac:dyDescent="0.25">
      <c r="A3959" t="s">
        <v>33</v>
      </c>
      <c r="B3959" t="s">
        <v>34</v>
      </c>
      <c r="C3959">
        <v>200</v>
      </c>
      <c r="D3959">
        <v>1</v>
      </c>
      <c r="E3959">
        <v>0</v>
      </c>
      <c r="F3959" t="s">
        <v>14849</v>
      </c>
      <c r="G3959">
        <v>200</v>
      </c>
      <c r="H3959">
        <v>0</v>
      </c>
      <c r="I3959" t="s">
        <v>24</v>
      </c>
      <c r="J3959" t="s">
        <v>14850</v>
      </c>
      <c r="K3959" t="s">
        <v>250</v>
      </c>
      <c r="L3959" t="s">
        <v>27</v>
      </c>
      <c r="M3959" t="s">
        <v>28</v>
      </c>
      <c r="N3959" t="s">
        <v>14851</v>
      </c>
      <c r="O3959" t="s">
        <v>27</v>
      </c>
      <c r="P3959" t="s">
        <v>56</v>
      </c>
      <c r="Q3959" t="s">
        <v>31</v>
      </c>
      <c r="R3959" t="s">
        <v>57</v>
      </c>
      <c r="S3959" t="s">
        <v>28</v>
      </c>
      <c r="T3959" t="s">
        <v>14852</v>
      </c>
      <c r="U3959" t="s">
        <v>14851</v>
      </c>
    </row>
    <row r="3960" spans="1:21" x14ac:dyDescent="0.25">
      <c r="A3960" t="s">
        <v>21</v>
      </c>
      <c r="B3960" t="s">
        <v>22</v>
      </c>
      <c r="C3960">
        <v>100</v>
      </c>
      <c r="D3960">
        <v>1</v>
      </c>
      <c r="E3960">
        <v>0</v>
      </c>
      <c r="F3960" t="s">
        <v>14853</v>
      </c>
      <c r="G3960">
        <v>106</v>
      </c>
      <c r="H3960">
        <v>6</v>
      </c>
      <c r="I3960" t="s">
        <v>24</v>
      </c>
      <c r="J3960" t="s">
        <v>14854</v>
      </c>
      <c r="K3960" t="s">
        <v>89</v>
      </c>
      <c r="L3960" t="s">
        <v>27</v>
      </c>
      <c r="M3960" t="s">
        <v>28</v>
      </c>
      <c r="N3960" t="s">
        <v>14851</v>
      </c>
      <c r="O3960" t="s">
        <v>27</v>
      </c>
      <c r="P3960" t="s">
        <v>56</v>
      </c>
      <c r="Q3960" t="s">
        <v>31</v>
      </c>
      <c r="R3960" t="s">
        <v>57</v>
      </c>
      <c r="S3960" t="s">
        <v>28</v>
      </c>
      <c r="T3960" t="s">
        <v>14855</v>
      </c>
      <c r="U3960" t="s">
        <v>14851</v>
      </c>
    </row>
    <row r="3961" spans="1:21" x14ac:dyDescent="0.25">
      <c r="A3961" t="s">
        <v>58</v>
      </c>
      <c r="B3961" t="s">
        <v>58</v>
      </c>
      <c r="C3961">
        <v>100</v>
      </c>
      <c r="D3961">
        <v>3</v>
      </c>
      <c r="E3961">
        <v>0</v>
      </c>
      <c r="F3961" t="s">
        <v>14856</v>
      </c>
      <c r="G3961">
        <v>345</v>
      </c>
      <c r="H3961">
        <v>45</v>
      </c>
      <c r="I3961" t="s">
        <v>445</v>
      </c>
      <c r="J3961" t="s">
        <v>13064</v>
      </c>
      <c r="K3961" t="s">
        <v>13186</v>
      </c>
      <c r="L3961" t="s">
        <v>3743</v>
      </c>
      <c r="M3961" t="s">
        <v>8994</v>
      </c>
      <c r="N3961" t="s">
        <v>14857</v>
      </c>
      <c r="O3961" t="s">
        <v>27</v>
      </c>
      <c r="P3961" t="s">
        <v>193</v>
      </c>
      <c r="Q3961" t="s">
        <v>85</v>
      </c>
      <c r="R3961" t="s">
        <v>86</v>
      </c>
      <c r="S3961" t="s">
        <v>28</v>
      </c>
      <c r="T3961" t="s">
        <v>14858</v>
      </c>
      <c r="U3961" t="s">
        <v>14859</v>
      </c>
    </row>
    <row r="3962" spans="1:21" x14ac:dyDescent="0.25">
      <c r="A3962" t="s">
        <v>13290</v>
      </c>
      <c r="B3962" t="s">
        <v>13291</v>
      </c>
      <c r="C3962">
        <v>100</v>
      </c>
      <c r="D3962">
        <v>2</v>
      </c>
      <c r="E3962">
        <v>0</v>
      </c>
      <c r="F3962" t="s">
        <v>14860</v>
      </c>
      <c r="G3962">
        <v>200</v>
      </c>
      <c r="H3962">
        <v>0</v>
      </c>
      <c r="I3962" t="s">
        <v>445</v>
      </c>
      <c r="J3962" t="s">
        <v>14861</v>
      </c>
      <c r="K3962" t="s">
        <v>299</v>
      </c>
      <c r="L3962" t="s">
        <v>27</v>
      </c>
      <c r="M3962" t="s">
        <v>28</v>
      </c>
      <c r="N3962" t="s">
        <v>14862</v>
      </c>
      <c r="O3962" t="s">
        <v>27</v>
      </c>
      <c r="P3962" t="s">
        <v>56</v>
      </c>
      <c r="Q3962" t="s">
        <v>31</v>
      </c>
      <c r="R3962" t="s">
        <v>57</v>
      </c>
      <c r="S3962" t="s">
        <v>28</v>
      </c>
      <c r="T3962" t="s">
        <v>14863</v>
      </c>
      <c r="U3962" t="s">
        <v>14864</v>
      </c>
    </row>
    <row r="3963" spans="1:21" x14ac:dyDescent="0.25">
      <c r="A3963" t="s">
        <v>63</v>
      </c>
      <c r="B3963" t="s">
        <v>64</v>
      </c>
      <c r="C3963">
        <v>150</v>
      </c>
      <c r="D3963">
        <v>1</v>
      </c>
      <c r="E3963">
        <v>0</v>
      </c>
      <c r="F3963" t="s">
        <v>14865</v>
      </c>
      <c r="G3963">
        <v>179</v>
      </c>
      <c r="H3963">
        <v>29</v>
      </c>
      <c r="I3963" t="s">
        <v>24</v>
      </c>
      <c r="J3963" t="s">
        <v>7886</v>
      </c>
      <c r="K3963" t="s">
        <v>14866</v>
      </c>
      <c r="L3963" t="s">
        <v>1856</v>
      </c>
      <c r="M3963" t="s">
        <v>5241</v>
      </c>
      <c r="N3963" t="s">
        <v>14867</v>
      </c>
      <c r="O3963" t="s">
        <v>27</v>
      </c>
      <c r="P3963" t="s">
        <v>193</v>
      </c>
      <c r="Q3963" t="s">
        <v>85</v>
      </c>
      <c r="R3963" t="s">
        <v>86</v>
      </c>
      <c r="S3963" t="s">
        <v>28</v>
      </c>
      <c r="T3963" t="s">
        <v>14868</v>
      </c>
      <c r="U3963" t="s">
        <v>14869</v>
      </c>
    </row>
    <row r="3964" spans="1:21" x14ac:dyDescent="0.25">
      <c r="A3964" t="s">
        <v>58</v>
      </c>
      <c r="B3964" t="s">
        <v>58</v>
      </c>
      <c r="C3964">
        <v>100</v>
      </c>
      <c r="D3964">
        <v>2</v>
      </c>
      <c r="E3964">
        <v>0</v>
      </c>
      <c r="F3964" t="s">
        <v>14870</v>
      </c>
      <c r="G3964">
        <v>235</v>
      </c>
      <c r="H3964">
        <v>35</v>
      </c>
      <c r="I3964" t="s">
        <v>445</v>
      </c>
      <c r="J3964" t="s">
        <v>1395</v>
      </c>
      <c r="K3964" t="s">
        <v>14871</v>
      </c>
      <c r="L3964" t="s">
        <v>1485</v>
      </c>
      <c r="M3964" t="s">
        <v>8994</v>
      </c>
      <c r="N3964" t="s">
        <v>14872</v>
      </c>
      <c r="O3964" t="s">
        <v>27</v>
      </c>
      <c r="P3964" t="s">
        <v>193</v>
      </c>
      <c r="Q3964" t="s">
        <v>85</v>
      </c>
      <c r="R3964" t="s">
        <v>86</v>
      </c>
      <c r="S3964" t="s">
        <v>28</v>
      </c>
      <c r="T3964" t="s">
        <v>14873</v>
      </c>
      <c r="U3964" t="s">
        <v>14874</v>
      </c>
    </row>
    <row r="3965" spans="1:21" x14ac:dyDescent="0.25">
      <c r="A3965" t="s">
        <v>63</v>
      </c>
      <c r="B3965" t="s">
        <v>64</v>
      </c>
      <c r="C3965">
        <v>100</v>
      </c>
      <c r="D3965">
        <v>1</v>
      </c>
      <c r="E3965">
        <v>0</v>
      </c>
      <c r="F3965" t="s">
        <v>14875</v>
      </c>
      <c r="G3965">
        <v>106</v>
      </c>
      <c r="H3965">
        <v>6</v>
      </c>
      <c r="I3965" t="s">
        <v>24</v>
      </c>
      <c r="J3965" t="s">
        <v>535</v>
      </c>
      <c r="K3965" t="s">
        <v>797</v>
      </c>
      <c r="L3965" t="s">
        <v>27</v>
      </c>
      <c r="M3965" t="s">
        <v>28</v>
      </c>
      <c r="N3965" t="s">
        <v>14876</v>
      </c>
      <c r="O3965" t="s">
        <v>27</v>
      </c>
      <c r="P3965" t="s">
        <v>39</v>
      </c>
      <c r="Q3965" t="s">
        <v>31</v>
      </c>
      <c r="R3965" t="s">
        <v>32</v>
      </c>
      <c r="S3965" t="s">
        <v>28</v>
      </c>
      <c r="T3965" t="s">
        <v>14877</v>
      </c>
      <c r="U3965" t="s">
        <v>14874</v>
      </c>
    </row>
    <row r="3966" spans="1:21" x14ac:dyDescent="0.25">
      <c r="A3966" t="s">
        <v>63</v>
      </c>
      <c r="B3966" t="s">
        <v>64</v>
      </c>
      <c r="C3966">
        <v>100</v>
      </c>
      <c r="D3966">
        <v>1</v>
      </c>
      <c r="E3966">
        <v>0</v>
      </c>
      <c r="F3966" t="s">
        <v>14878</v>
      </c>
      <c r="G3966">
        <v>106</v>
      </c>
      <c r="H3966">
        <v>6</v>
      </c>
      <c r="I3966" t="s">
        <v>445</v>
      </c>
      <c r="J3966" t="s">
        <v>14879</v>
      </c>
      <c r="K3966" t="s">
        <v>250</v>
      </c>
      <c r="L3966" t="s">
        <v>27</v>
      </c>
      <c r="M3966" t="s">
        <v>28</v>
      </c>
      <c r="N3966" t="s">
        <v>14876</v>
      </c>
      <c r="O3966" t="s">
        <v>27</v>
      </c>
      <c r="P3966" t="s">
        <v>39</v>
      </c>
      <c r="Q3966" t="s">
        <v>31</v>
      </c>
      <c r="R3966" t="s">
        <v>32</v>
      </c>
      <c r="S3966" t="s">
        <v>28</v>
      </c>
      <c r="T3966" t="s">
        <v>14880</v>
      </c>
      <c r="U3966" t="s">
        <v>14876</v>
      </c>
    </row>
    <row r="3967" spans="1:21" x14ac:dyDescent="0.25">
      <c r="A3967" t="s">
        <v>2820</v>
      </c>
      <c r="B3967" t="s">
        <v>2821</v>
      </c>
      <c r="C3967">
        <v>100</v>
      </c>
      <c r="D3967">
        <v>4</v>
      </c>
      <c r="E3967">
        <v>0</v>
      </c>
      <c r="F3967" t="s">
        <v>14881</v>
      </c>
      <c r="G3967">
        <v>400</v>
      </c>
      <c r="H3967">
        <v>0</v>
      </c>
      <c r="I3967" t="s">
        <v>24</v>
      </c>
      <c r="J3967" t="s">
        <v>2939</v>
      </c>
      <c r="K3967" t="s">
        <v>1029</v>
      </c>
      <c r="L3967" t="s">
        <v>27</v>
      </c>
      <c r="M3967" t="s">
        <v>28</v>
      </c>
      <c r="N3967" t="s">
        <v>14882</v>
      </c>
      <c r="O3967" t="s">
        <v>27</v>
      </c>
      <c r="P3967" t="s">
        <v>39</v>
      </c>
      <c r="Q3967" t="s">
        <v>31</v>
      </c>
      <c r="R3967" t="s">
        <v>32</v>
      </c>
      <c r="S3967" t="s">
        <v>28</v>
      </c>
      <c r="T3967" t="s">
        <v>14883</v>
      </c>
      <c r="U3967" t="s">
        <v>14882</v>
      </c>
    </row>
    <row r="3968" spans="1:21" x14ac:dyDescent="0.25">
      <c r="A3968" t="s">
        <v>456</v>
      </c>
      <c r="B3968" t="s">
        <v>457</v>
      </c>
      <c r="C3968">
        <v>199</v>
      </c>
      <c r="D3968">
        <v>1</v>
      </c>
      <c r="E3968">
        <v>0</v>
      </c>
      <c r="F3968" t="s">
        <v>14884</v>
      </c>
      <c r="G3968">
        <v>234</v>
      </c>
      <c r="H3968">
        <v>35</v>
      </c>
      <c r="I3968" t="s">
        <v>24</v>
      </c>
      <c r="J3968" t="s">
        <v>4393</v>
      </c>
      <c r="K3968" t="s">
        <v>4394</v>
      </c>
      <c r="L3968" t="s">
        <v>81</v>
      </c>
      <c r="M3968" t="s">
        <v>3033</v>
      </c>
      <c r="N3968" t="s">
        <v>14882</v>
      </c>
      <c r="O3968" t="s">
        <v>27</v>
      </c>
      <c r="P3968" t="s">
        <v>193</v>
      </c>
      <c r="Q3968" t="s">
        <v>85</v>
      </c>
      <c r="R3968" t="s">
        <v>86</v>
      </c>
      <c r="S3968" t="s">
        <v>28</v>
      </c>
      <c r="T3968" t="s">
        <v>14885</v>
      </c>
      <c r="U3968" t="s">
        <v>14882</v>
      </c>
    </row>
    <row r="3969" spans="1:21" x14ac:dyDescent="0.25">
      <c r="A3969" t="s">
        <v>13290</v>
      </c>
      <c r="B3969" t="s">
        <v>13291</v>
      </c>
      <c r="C3969">
        <v>100</v>
      </c>
      <c r="D3969">
        <v>1</v>
      </c>
      <c r="E3969">
        <v>0</v>
      </c>
      <c r="F3969" t="s">
        <v>14886</v>
      </c>
      <c r="G3969">
        <v>125</v>
      </c>
      <c r="H3969">
        <v>25</v>
      </c>
      <c r="I3969" t="s">
        <v>445</v>
      </c>
      <c r="J3969" t="s">
        <v>14887</v>
      </c>
      <c r="K3969" t="s">
        <v>384</v>
      </c>
      <c r="L3969" t="s">
        <v>27</v>
      </c>
      <c r="M3969" t="s">
        <v>28</v>
      </c>
      <c r="N3969" t="s">
        <v>14882</v>
      </c>
      <c r="O3969" t="s">
        <v>27</v>
      </c>
      <c r="P3969" t="s">
        <v>39</v>
      </c>
      <c r="Q3969" t="s">
        <v>31</v>
      </c>
      <c r="R3969" t="s">
        <v>32</v>
      </c>
      <c r="S3969" t="s">
        <v>28</v>
      </c>
      <c r="T3969" t="s">
        <v>14888</v>
      </c>
      <c r="U3969" t="s">
        <v>14882</v>
      </c>
    </row>
    <row r="3970" spans="1:21" x14ac:dyDescent="0.25">
      <c r="A3970" t="s">
        <v>2307</v>
      </c>
      <c r="B3970" t="s">
        <v>2308</v>
      </c>
      <c r="C3970">
        <v>330</v>
      </c>
      <c r="D3970">
        <v>1</v>
      </c>
      <c r="E3970">
        <v>0</v>
      </c>
      <c r="F3970" t="s">
        <v>14889</v>
      </c>
      <c r="G3970">
        <v>330</v>
      </c>
      <c r="H3970">
        <v>0</v>
      </c>
      <c r="I3970" t="s">
        <v>140</v>
      </c>
      <c r="J3970" t="s">
        <v>14890</v>
      </c>
      <c r="K3970" t="s">
        <v>61</v>
      </c>
      <c r="L3970" t="s">
        <v>27</v>
      </c>
      <c r="M3970" t="s">
        <v>28</v>
      </c>
      <c r="N3970" t="s">
        <v>14891</v>
      </c>
      <c r="O3970" t="s">
        <v>27</v>
      </c>
      <c r="P3970" t="s">
        <v>30</v>
      </c>
      <c r="Q3970" t="s">
        <v>31</v>
      </c>
      <c r="R3970" t="s">
        <v>32</v>
      </c>
      <c r="S3970" t="s">
        <v>28</v>
      </c>
      <c r="T3970" t="s">
        <v>14892</v>
      </c>
      <c r="U3970" t="s">
        <v>14891</v>
      </c>
    </row>
    <row r="3971" spans="1:21" x14ac:dyDescent="0.25">
      <c r="A3971" t="s">
        <v>33</v>
      </c>
      <c r="B3971" t="s">
        <v>34</v>
      </c>
      <c r="C3971">
        <v>200</v>
      </c>
      <c r="D3971">
        <v>1</v>
      </c>
      <c r="E3971">
        <v>0</v>
      </c>
      <c r="F3971" t="s">
        <v>14893</v>
      </c>
      <c r="G3971">
        <v>200</v>
      </c>
      <c r="H3971">
        <v>0</v>
      </c>
      <c r="I3971" t="s">
        <v>445</v>
      </c>
      <c r="J3971" t="s">
        <v>14894</v>
      </c>
      <c r="K3971" t="s">
        <v>37</v>
      </c>
      <c r="L3971" t="s">
        <v>27</v>
      </c>
      <c r="M3971" t="s">
        <v>28</v>
      </c>
      <c r="N3971" t="s">
        <v>14895</v>
      </c>
      <c r="O3971" t="s">
        <v>27</v>
      </c>
      <c r="P3971" t="s">
        <v>39</v>
      </c>
      <c r="Q3971" t="s">
        <v>31</v>
      </c>
      <c r="R3971" t="s">
        <v>32</v>
      </c>
      <c r="S3971" t="s">
        <v>28</v>
      </c>
      <c r="T3971" t="s">
        <v>14896</v>
      </c>
      <c r="U3971" t="s">
        <v>14895</v>
      </c>
    </row>
    <row r="3972" spans="1:21" x14ac:dyDescent="0.25">
      <c r="A3972" t="s">
        <v>33</v>
      </c>
      <c r="B3972" t="s">
        <v>34</v>
      </c>
      <c r="C3972">
        <v>200</v>
      </c>
      <c r="D3972">
        <v>1</v>
      </c>
      <c r="E3972">
        <v>0</v>
      </c>
      <c r="F3972" t="s">
        <v>14897</v>
      </c>
      <c r="G3972">
        <v>200</v>
      </c>
      <c r="H3972">
        <v>0</v>
      </c>
      <c r="I3972" t="s">
        <v>24</v>
      </c>
      <c r="J3972" t="s">
        <v>4923</v>
      </c>
      <c r="K3972" t="s">
        <v>1602</v>
      </c>
      <c r="L3972" t="s">
        <v>27</v>
      </c>
      <c r="M3972" t="s">
        <v>28</v>
      </c>
      <c r="N3972" t="s">
        <v>14898</v>
      </c>
      <c r="O3972" t="s">
        <v>27</v>
      </c>
      <c r="P3972" t="s">
        <v>39</v>
      </c>
      <c r="Q3972" t="s">
        <v>31</v>
      </c>
      <c r="R3972" t="s">
        <v>32</v>
      </c>
      <c r="S3972" t="s">
        <v>28</v>
      </c>
      <c r="T3972" t="s">
        <v>14899</v>
      </c>
      <c r="U3972" t="s">
        <v>14898</v>
      </c>
    </row>
    <row r="3973" spans="1:21" x14ac:dyDescent="0.25">
      <c r="A3973" t="s">
        <v>33</v>
      </c>
      <c r="B3973" t="s">
        <v>34</v>
      </c>
      <c r="C3973">
        <v>200</v>
      </c>
      <c r="D3973">
        <v>1</v>
      </c>
      <c r="E3973">
        <v>0</v>
      </c>
      <c r="F3973" t="s">
        <v>14900</v>
      </c>
      <c r="G3973">
        <v>200</v>
      </c>
      <c r="H3973">
        <v>0</v>
      </c>
      <c r="I3973" t="s">
        <v>445</v>
      </c>
      <c r="J3973" t="s">
        <v>14657</v>
      </c>
      <c r="K3973" t="s">
        <v>358</v>
      </c>
      <c r="L3973" t="s">
        <v>27</v>
      </c>
      <c r="M3973" t="s">
        <v>28</v>
      </c>
      <c r="N3973" t="s">
        <v>14898</v>
      </c>
      <c r="O3973" t="s">
        <v>27</v>
      </c>
      <c r="P3973" t="s">
        <v>39</v>
      </c>
      <c r="Q3973" t="s">
        <v>31</v>
      </c>
      <c r="R3973" t="s">
        <v>32</v>
      </c>
      <c r="S3973" t="s">
        <v>28</v>
      </c>
      <c r="T3973" t="s">
        <v>14901</v>
      </c>
      <c r="U3973" t="s">
        <v>14898</v>
      </c>
    </row>
    <row r="3974" spans="1:21" x14ac:dyDescent="0.25">
      <c r="A3974" t="s">
        <v>63</v>
      </c>
      <c r="B3974" t="s">
        <v>64</v>
      </c>
      <c r="C3974">
        <v>100</v>
      </c>
      <c r="D3974">
        <v>2</v>
      </c>
      <c r="E3974">
        <v>0</v>
      </c>
      <c r="F3974" t="s">
        <v>14902</v>
      </c>
      <c r="G3974">
        <v>596</v>
      </c>
      <c r="H3974">
        <v>0</v>
      </c>
      <c r="I3974" t="s">
        <v>140</v>
      </c>
      <c r="J3974" t="s">
        <v>8440</v>
      </c>
      <c r="K3974" t="s">
        <v>247</v>
      </c>
      <c r="L3974" t="s">
        <v>27</v>
      </c>
      <c r="M3974" t="s">
        <v>28</v>
      </c>
      <c r="N3974" t="s">
        <v>14903</v>
      </c>
      <c r="O3974" t="s">
        <v>27</v>
      </c>
      <c r="P3974" t="s">
        <v>369</v>
      </c>
      <c r="Q3974" t="s">
        <v>31</v>
      </c>
      <c r="R3974" t="s">
        <v>57</v>
      </c>
      <c r="S3974" t="s">
        <v>28</v>
      </c>
      <c r="T3974" t="s">
        <v>14904</v>
      </c>
      <c r="U3974" t="s">
        <v>14903</v>
      </c>
    </row>
    <row r="3975" spans="1:21" x14ac:dyDescent="0.25">
      <c r="A3975" t="s">
        <v>33</v>
      </c>
      <c r="B3975" t="s">
        <v>34</v>
      </c>
      <c r="C3975">
        <v>200</v>
      </c>
      <c r="D3975">
        <v>1</v>
      </c>
      <c r="E3975">
        <v>0</v>
      </c>
      <c r="F3975" t="s">
        <v>14905</v>
      </c>
      <c r="G3975">
        <v>200</v>
      </c>
      <c r="H3975">
        <v>0</v>
      </c>
      <c r="I3975" t="s">
        <v>24</v>
      </c>
      <c r="J3975" t="s">
        <v>14906</v>
      </c>
      <c r="K3975" t="s">
        <v>418</v>
      </c>
      <c r="L3975" t="s">
        <v>27</v>
      </c>
      <c r="M3975" t="s">
        <v>28</v>
      </c>
      <c r="N3975" t="s">
        <v>14907</v>
      </c>
      <c r="O3975" t="s">
        <v>27</v>
      </c>
      <c r="P3975" t="s">
        <v>39</v>
      </c>
      <c r="Q3975" t="s">
        <v>31</v>
      </c>
      <c r="R3975" t="s">
        <v>32</v>
      </c>
      <c r="S3975" t="s">
        <v>28</v>
      </c>
      <c r="T3975" t="s">
        <v>14908</v>
      </c>
      <c r="U3975" t="s">
        <v>14907</v>
      </c>
    </row>
    <row r="3976" spans="1:21" x14ac:dyDescent="0.25">
      <c r="A3976" t="s">
        <v>63</v>
      </c>
      <c r="B3976" t="s">
        <v>64</v>
      </c>
      <c r="C3976">
        <v>100</v>
      </c>
      <c r="D3976">
        <v>1</v>
      </c>
      <c r="E3976">
        <v>0</v>
      </c>
      <c r="F3976" t="s">
        <v>14909</v>
      </c>
      <c r="G3976">
        <v>100</v>
      </c>
      <c r="H3976">
        <v>0</v>
      </c>
      <c r="I3976" t="s">
        <v>445</v>
      </c>
      <c r="J3976" t="s">
        <v>14910</v>
      </c>
      <c r="K3976" t="s">
        <v>474</v>
      </c>
      <c r="L3976" t="s">
        <v>27</v>
      </c>
      <c r="M3976" t="s">
        <v>28</v>
      </c>
      <c r="N3976" t="s">
        <v>14911</v>
      </c>
      <c r="O3976" t="s">
        <v>27</v>
      </c>
      <c r="P3976" t="s">
        <v>56</v>
      </c>
      <c r="Q3976" t="s">
        <v>31</v>
      </c>
      <c r="R3976" t="s">
        <v>57</v>
      </c>
      <c r="S3976" t="s">
        <v>28</v>
      </c>
      <c r="T3976" t="s">
        <v>14912</v>
      </c>
      <c r="U3976" t="s">
        <v>14913</v>
      </c>
    </row>
    <row r="3977" spans="1:21" x14ac:dyDescent="0.25">
      <c r="A3977" t="s">
        <v>13290</v>
      </c>
      <c r="B3977" t="s">
        <v>13291</v>
      </c>
      <c r="C3977">
        <v>100</v>
      </c>
      <c r="D3977">
        <v>1</v>
      </c>
      <c r="E3977">
        <v>0</v>
      </c>
      <c r="F3977" t="s">
        <v>14914</v>
      </c>
      <c r="G3977">
        <v>125</v>
      </c>
      <c r="H3977">
        <v>25</v>
      </c>
      <c r="I3977" t="s">
        <v>24</v>
      </c>
      <c r="J3977" t="s">
        <v>14915</v>
      </c>
      <c r="K3977" t="s">
        <v>118</v>
      </c>
      <c r="L3977" t="s">
        <v>27</v>
      </c>
      <c r="M3977" t="s">
        <v>28</v>
      </c>
      <c r="N3977" t="s">
        <v>14916</v>
      </c>
      <c r="O3977" t="s">
        <v>27</v>
      </c>
      <c r="P3977" t="s">
        <v>39</v>
      </c>
      <c r="Q3977" t="s">
        <v>31</v>
      </c>
      <c r="R3977" t="s">
        <v>32</v>
      </c>
      <c r="S3977" t="s">
        <v>28</v>
      </c>
      <c r="T3977" t="s">
        <v>14917</v>
      </c>
      <c r="U3977" t="s">
        <v>14916</v>
      </c>
    </row>
    <row r="3978" spans="1:21" x14ac:dyDescent="0.25">
      <c r="A3978" t="s">
        <v>58</v>
      </c>
      <c r="B3978" t="s">
        <v>58</v>
      </c>
      <c r="C3978">
        <v>100</v>
      </c>
      <c r="D3978">
        <v>3</v>
      </c>
      <c r="E3978">
        <v>0</v>
      </c>
      <c r="F3978" t="s">
        <v>14918</v>
      </c>
      <c r="G3978">
        <v>335</v>
      </c>
      <c r="H3978">
        <v>35</v>
      </c>
      <c r="I3978" t="s">
        <v>445</v>
      </c>
      <c r="J3978" t="s">
        <v>502</v>
      </c>
      <c r="K3978" t="s">
        <v>14919</v>
      </c>
      <c r="L3978" t="s">
        <v>640</v>
      </c>
      <c r="M3978" t="s">
        <v>749</v>
      </c>
      <c r="N3978" t="s">
        <v>14920</v>
      </c>
      <c r="O3978" t="s">
        <v>27</v>
      </c>
      <c r="P3978" t="s">
        <v>193</v>
      </c>
      <c r="Q3978" t="s">
        <v>85</v>
      </c>
      <c r="R3978" t="s">
        <v>86</v>
      </c>
      <c r="S3978" t="s">
        <v>28</v>
      </c>
      <c r="T3978" t="s">
        <v>14921</v>
      </c>
      <c r="U3978" t="s">
        <v>14920</v>
      </c>
    </row>
    <row r="3979" spans="1:21" x14ac:dyDescent="0.25">
      <c r="A3979" t="s">
        <v>13290</v>
      </c>
      <c r="B3979" t="s">
        <v>13291</v>
      </c>
      <c r="C3979">
        <v>100</v>
      </c>
      <c r="D3979">
        <v>1</v>
      </c>
      <c r="E3979">
        <v>0</v>
      </c>
      <c r="F3979" t="s">
        <v>14922</v>
      </c>
      <c r="G3979">
        <v>125</v>
      </c>
      <c r="H3979">
        <v>25</v>
      </c>
      <c r="I3979" t="s">
        <v>140</v>
      </c>
      <c r="J3979" t="s">
        <v>14923</v>
      </c>
      <c r="K3979" t="s">
        <v>7559</v>
      </c>
      <c r="L3979" t="s">
        <v>27</v>
      </c>
      <c r="M3979" t="s">
        <v>28</v>
      </c>
      <c r="N3979" t="s">
        <v>14920</v>
      </c>
      <c r="O3979" t="s">
        <v>27</v>
      </c>
      <c r="P3979" t="s">
        <v>30</v>
      </c>
      <c r="Q3979" t="s">
        <v>31</v>
      </c>
      <c r="R3979" t="s">
        <v>32</v>
      </c>
      <c r="S3979" t="s">
        <v>28</v>
      </c>
      <c r="T3979" t="s">
        <v>14924</v>
      </c>
      <c r="U3979" t="s">
        <v>14920</v>
      </c>
    </row>
    <row r="3980" spans="1:21" x14ac:dyDescent="0.25">
      <c r="A3980" t="s">
        <v>33</v>
      </c>
      <c r="B3980" t="s">
        <v>34</v>
      </c>
      <c r="C3980">
        <v>200</v>
      </c>
      <c r="D3980">
        <v>1</v>
      </c>
      <c r="E3980">
        <v>0</v>
      </c>
      <c r="F3980" t="s">
        <v>14925</v>
      </c>
      <c r="G3980">
        <v>200</v>
      </c>
      <c r="H3980">
        <v>0</v>
      </c>
      <c r="I3980" t="s">
        <v>24</v>
      </c>
      <c r="J3980" t="s">
        <v>14926</v>
      </c>
      <c r="K3980" t="s">
        <v>14927</v>
      </c>
      <c r="L3980" t="s">
        <v>27</v>
      </c>
      <c r="M3980" t="s">
        <v>28</v>
      </c>
      <c r="N3980" t="s">
        <v>14928</v>
      </c>
      <c r="O3980" t="s">
        <v>27</v>
      </c>
      <c r="P3980" t="s">
        <v>39</v>
      </c>
      <c r="Q3980" t="s">
        <v>31</v>
      </c>
      <c r="R3980" t="s">
        <v>32</v>
      </c>
      <c r="S3980" t="s">
        <v>28</v>
      </c>
      <c r="T3980" t="s">
        <v>14929</v>
      </c>
      <c r="U3980" t="s">
        <v>14928</v>
      </c>
    </row>
    <row r="3981" spans="1:21" x14ac:dyDescent="0.25">
      <c r="A3981" t="s">
        <v>58</v>
      </c>
      <c r="B3981" t="s">
        <v>58</v>
      </c>
      <c r="C3981">
        <v>100</v>
      </c>
      <c r="D3981">
        <v>1</v>
      </c>
      <c r="E3981">
        <v>0</v>
      </c>
      <c r="F3981" t="s">
        <v>14930</v>
      </c>
      <c r="G3981">
        <v>145</v>
      </c>
      <c r="H3981">
        <v>45</v>
      </c>
      <c r="I3981" t="s">
        <v>24</v>
      </c>
      <c r="J3981" t="s">
        <v>14657</v>
      </c>
      <c r="K3981" t="s">
        <v>358</v>
      </c>
      <c r="L3981" t="s">
        <v>27</v>
      </c>
      <c r="M3981" t="s">
        <v>28</v>
      </c>
      <c r="N3981" t="s">
        <v>14931</v>
      </c>
      <c r="O3981" t="s">
        <v>27</v>
      </c>
      <c r="P3981" t="s">
        <v>39</v>
      </c>
      <c r="Q3981" t="s">
        <v>31</v>
      </c>
      <c r="R3981" t="s">
        <v>32</v>
      </c>
      <c r="S3981" t="s">
        <v>28</v>
      </c>
      <c r="T3981" t="s">
        <v>14932</v>
      </c>
      <c r="U3981" t="s">
        <v>14931</v>
      </c>
    </row>
    <row r="3982" spans="1:21" x14ac:dyDescent="0.25">
      <c r="A3982" t="s">
        <v>143</v>
      </c>
      <c r="B3982" t="s">
        <v>144</v>
      </c>
      <c r="C3982">
        <v>200</v>
      </c>
      <c r="D3982">
        <v>1</v>
      </c>
      <c r="E3982">
        <v>0</v>
      </c>
      <c r="F3982" t="s">
        <v>14933</v>
      </c>
      <c r="G3982">
        <v>200</v>
      </c>
      <c r="H3982">
        <v>0</v>
      </c>
      <c r="I3982" t="s">
        <v>24</v>
      </c>
      <c r="J3982" t="s">
        <v>14934</v>
      </c>
      <c r="K3982" t="s">
        <v>183</v>
      </c>
      <c r="L3982" t="s">
        <v>27</v>
      </c>
      <c r="M3982" t="s">
        <v>28</v>
      </c>
      <c r="N3982" t="s">
        <v>14931</v>
      </c>
      <c r="O3982" t="s">
        <v>27</v>
      </c>
      <c r="P3982" t="s">
        <v>56</v>
      </c>
      <c r="Q3982" t="s">
        <v>31</v>
      </c>
      <c r="R3982" t="s">
        <v>57</v>
      </c>
      <c r="S3982" t="s">
        <v>28</v>
      </c>
      <c r="T3982" t="s">
        <v>14935</v>
      </c>
      <c r="U3982" t="s">
        <v>14931</v>
      </c>
    </row>
    <row r="3983" spans="1:21" x14ac:dyDescent="0.25">
      <c r="A3983" t="s">
        <v>58</v>
      </c>
      <c r="B3983" t="s">
        <v>58</v>
      </c>
      <c r="C3983">
        <v>100</v>
      </c>
      <c r="D3983">
        <v>1</v>
      </c>
      <c r="E3983">
        <v>0</v>
      </c>
      <c r="F3983" t="s">
        <v>14936</v>
      </c>
      <c r="G3983">
        <v>145</v>
      </c>
      <c r="H3983">
        <v>45</v>
      </c>
      <c r="I3983" t="s">
        <v>445</v>
      </c>
      <c r="J3983" t="s">
        <v>8499</v>
      </c>
      <c r="K3983" t="s">
        <v>14937</v>
      </c>
      <c r="L3983" t="s">
        <v>1453</v>
      </c>
      <c r="M3983" t="s">
        <v>6812</v>
      </c>
      <c r="N3983" t="s">
        <v>14938</v>
      </c>
      <c r="O3983" t="s">
        <v>27</v>
      </c>
      <c r="P3983" t="s">
        <v>193</v>
      </c>
      <c r="Q3983" t="s">
        <v>85</v>
      </c>
      <c r="R3983" t="s">
        <v>86</v>
      </c>
      <c r="S3983" t="s">
        <v>28</v>
      </c>
      <c r="T3983" t="s">
        <v>14939</v>
      </c>
      <c r="U3983" t="s">
        <v>14940</v>
      </c>
    </row>
    <row r="3984" spans="1:21" x14ac:dyDescent="0.25">
      <c r="A3984" t="s">
        <v>33</v>
      </c>
      <c r="B3984" t="s">
        <v>34</v>
      </c>
      <c r="C3984">
        <v>200</v>
      </c>
      <c r="D3984">
        <v>1</v>
      </c>
      <c r="E3984">
        <v>0</v>
      </c>
      <c r="F3984" t="s">
        <v>14941</v>
      </c>
      <c r="G3984">
        <v>200</v>
      </c>
      <c r="H3984">
        <v>0</v>
      </c>
      <c r="I3984" t="s">
        <v>24</v>
      </c>
      <c r="J3984" t="s">
        <v>3939</v>
      </c>
      <c r="K3984" t="s">
        <v>273</v>
      </c>
      <c r="L3984" t="s">
        <v>27</v>
      </c>
      <c r="M3984" t="s">
        <v>28</v>
      </c>
      <c r="N3984" t="s">
        <v>14942</v>
      </c>
      <c r="O3984" t="s">
        <v>27</v>
      </c>
      <c r="P3984" t="s">
        <v>39</v>
      </c>
      <c r="Q3984" t="s">
        <v>31</v>
      </c>
      <c r="R3984" t="s">
        <v>32</v>
      </c>
      <c r="S3984" t="s">
        <v>28</v>
      </c>
      <c r="T3984" t="s">
        <v>14943</v>
      </c>
      <c r="U3984" t="s">
        <v>14942</v>
      </c>
    </row>
    <row r="3985" spans="1:21" x14ac:dyDescent="0.25">
      <c r="A3985" t="s">
        <v>58</v>
      </c>
      <c r="B3985" t="s">
        <v>58</v>
      </c>
      <c r="C3985">
        <v>100</v>
      </c>
      <c r="D3985">
        <v>1</v>
      </c>
      <c r="E3985">
        <v>0</v>
      </c>
      <c r="F3985" t="s">
        <v>14944</v>
      </c>
      <c r="G3985">
        <v>297</v>
      </c>
      <c r="H3985">
        <v>0</v>
      </c>
      <c r="I3985" t="s">
        <v>445</v>
      </c>
      <c r="J3985" t="s">
        <v>8934</v>
      </c>
      <c r="K3985" t="s">
        <v>14945</v>
      </c>
      <c r="L3985" t="s">
        <v>14946</v>
      </c>
      <c r="M3985" t="s">
        <v>8699</v>
      </c>
      <c r="N3985" t="s">
        <v>14947</v>
      </c>
      <c r="O3985" t="s">
        <v>27</v>
      </c>
      <c r="P3985" t="s">
        <v>84</v>
      </c>
      <c r="Q3985" t="s">
        <v>85</v>
      </c>
      <c r="R3985" t="s">
        <v>86</v>
      </c>
      <c r="S3985" t="s">
        <v>28</v>
      </c>
      <c r="T3985" t="s">
        <v>14948</v>
      </c>
      <c r="U3985" t="s">
        <v>14947</v>
      </c>
    </row>
    <row r="3986" spans="1:21" x14ac:dyDescent="0.25">
      <c r="A3986" t="s">
        <v>456</v>
      </c>
      <c r="B3986" t="s">
        <v>457</v>
      </c>
      <c r="C3986">
        <v>197</v>
      </c>
      <c r="D3986">
        <v>1</v>
      </c>
      <c r="E3986">
        <v>0</v>
      </c>
      <c r="F3986" t="s">
        <v>14944</v>
      </c>
      <c r="G3986">
        <v>297</v>
      </c>
      <c r="H3986">
        <v>0</v>
      </c>
      <c r="I3986" t="s">
        <v>445</v>
      </c>
      <c r="J3986" t="s">
        <v>8934</v>
      </c>
      <c r="K3986" t="s">
        <v>14945</v>
      </c>
      <c r="L3986" t="s">
        <v>14946</v>
      </c>
      <c r="M3986" t="s">
        <v>8699</v>
      </c>
      <c r="N3986" t="s">
        <v>14947</v>
      </c>
      <c r="O3986" t="s">
        <v>27</v>
      </c>
      <c r="P3986" t="s">
        <v>84</v>
      </c>
      <c r="Q3986" t="s">
        <v>85</v>
      </c>
      <c r="R3986" t="s">
        <v>86</v>
      </c>
      <c r="S3986" t="s">
        <v>28</v>
      </c>
      <c r="T3986" t="s">
        <v>14948</v>
      </c>
      <c r="U3986" t="s">
        <v>14947</v>
      </c>
    </row>
    <row r="3987" spans="1:21" x14ac:dyDescent="0.25">
      <c r="A3987" t="s">
        <v>13290</v>
      </c>
      <c r="B3987" t="s">
        <v>13291</v>
      </c>
      <c r="C3987">
        <v>100</v>
      </c>
      <c r="D3987">
        <v>1</v>
      </c>
      <c r="E3987">
        <v>0</v>
      </c>
      <c r="F3987" t="s">
        <v>14949</v>
      </c>
      <c r="G3987">
        <v>199</v>
      </c>
      <c r="H3987">
        <v>0</v>
      </c>
      <c r="I3987" t="s">
        <v>140</v>
      </c>
      <c r="J3987" t="s">
        <v>14950</v>
      </c>
      <c r="K3987" t="s">
        <v>89</v>
      </c>
      <c r="L3987" t="s">
        <v>27</v>
      </c>
      <c r="M3987" t="s">
        <v>28</v>
      </c>
      <c r="N3987" t="s">
        <v>14951</v>
      </c>
      <c r="O3987" t="s">
        <v>27</v>
      </c>
      <c r="P3987" t="s">
        <v>369</v>
      </c>
      <c r="Q3987" t="s">
        <v>31</v>
      </c>
      <c r="R3987" t="s">
        <v>57</v>
      </c>
      <c r="S3987" t="s">
        <v>28</v>
      </c>
      <c r="T3987" t="s">
        <v>14952</v>
      </c>
      <c r="U3987" t="s">
        <v>14951</v>
      </c>
    </row>
    <row r="3988" spans="1:21" x14ac:dyDescent="0.25">
      <c r="A3988" t="s">
        <v>33</v>
      </c>
      <c r="B3988" t="s">
        <v>34</v>
      </c>
      <c r="C3988">
        <v>200</v>
      </c>
      <c r="D3988">
        <v>1</v>
      </c>
      <c r="E3988">
        <v>0</v>
      </c>
      <c r="F3988" t="s">
        <v>14953</v>
      </c>
      <c r="G3988">
        <v>200</v>
      </c>
      <c r="H3988">
        <v>0</v>
      </c>
      <c r="I3988" t="s">
        <v>24</v>
      </c>
      <c r="J3988" t="s">
        <v>14954</v>
      </c>
      <c r="K3988" t="s">
        <v>384</v>
      </c>
      <c r="L3988" t="s">
        <v>27</v>
      </c>
      <c r="M3988" t="s">
        <v>28</v>
      </c>
      <c r="N3988" t="s">
        <v>14955</v>
      </c>
      <c r="O3988" t="s">
        <v>27</v>
      </c>
      <c r="P3988" t="s">
        <v>39</v>
      </c>
      <c r="Q3988" t="s">
        <v>31</v>
      </c>
      <c r="R3988" t="s">
        <v>32</v>
      </c>
      <c r="S3988" t="s">
        <v>28</v>
      </c>
      <c r="T3988" t="s">
        <v>14956</v>
      </c>
      <c r="U3988" t="s">
        <v>14955</v>
      </c>
    </row>
    <row r="3989" spans="1:21" x14ac:dyDescent="0.25">
      <c r="A3989" t="s">
        <v>143</v>
      </c>
      <c r="B3989" t="s">
        <v>144</v>
      </c>
      <c r="C3989">
        <v>200</v>
      </c>
      <c r="D3989">
        <v>1</v>
      </c>
      <c r="E3989">
        <v>0</v>
      </c>
      <c r="F3989" t="s">
        <v>14957</v>
      </c>
      <c r="G3989">
        <v>200</v>
      </c>
      <c r="H3989">
        <v>0</v>
      </c>
      <c r="I3989" t="s">
        <v>445</v>
      </c>
      <c r="J3989" t="s">
        <v>14657</v>
      </c>
      <c r="K3989" t="s">
        <v>358</v>
      </c>
      <c r="L3989" t="s">
        <v>27</v>
      </c>
      <c r="M3989" t="s">
        <v>28</v>
      </c>
      <c r="N3989" t="s">
        <v>14958</v>
      </c>
      <c r="O3989" t="s">
        <v>27</v>
      </c>
      <c r="P3989" t="s">
        <v>39</v>
      </c>
      <c r="Q3989" t="s">
        <v>31</v>
      </c>
      <c r="R3989" t="s">
        <v>32</v>
      </c>
      <c r="S3989" t="s">
        <v>28</v>
      </c>
      <c r="T3989" t="s">
        <v>14959</v>
      </c>
      <c r="U3989" t="s">
        <v>14960</v>
      </c>
    </row>
    <row r="3990" spans="1:21" x14ac:dyDescent="0.25">
      <c r="A3990" t="s">
        <v>63</v>
      </c>
      <c r="B3990" t="s">
        <v>64</v>
      </c>
      <c r="C3990">
        <v>100</v>
      </c>
      <c r="D3990">
        <v>1</v>
      </c>
      <c r="E3990">
        <v>0</v>
      </c>
      <c r="F3990" t="s">
        <v>14961</v>
      </c>
      <c r="G3990">
        <v>151</v>
      </c>
      <c r="H3990">
        <v>6</v>
      </c>
      <c r="I3990" t="s">
        <v>24</v>
      </c>
      <c r="J3990" t="s">
        <v>14962</v>
      </c>
      <c r="K3990" t="s">
        <v>89</v>
      </c>
      <c r="L3990" t="s">
        <v>27</v>
      </c>
      <c r="M3990" t="s">
        <v>28</v>
      </c>
      <c r="N3990" t="s">
        <v>14958</v>
      </c>
      <c r="O3990" t="s">
        <v>27</v>
      </c>
      <c r="P3990" t="s">
        <v>56</v>
      </c>
      <c r="Q3990" t="s">
        <v>31</v>
      </c>
      <c r="R3990" t="s">
        <v>57</v>
      </c>
      <c r="S3990" t="s">
        <v>28</v>
      </c>
      <c r="T3990" t="s">
        <v>14963</v>
      </c>
      <c r="U3990" t="s">
        <v>14958</v>
      </c>
    </row>
    <row r="3991" spans="1:21" x14ac:dyDescent="0.25">
      <c r="A3991" t="s">
        <v>63</v>
      </c>
      <c r="B3991" t="s">
        <v>64</v>
      </c>
      <c r="C3991">
        <v>100</v>
      </c>
      <c r="D3991">
        <v>1</v>
      </c>
      <c r="E3991">
        <v>0</v>
      </c>
      <c r="F3991" t="s">
        <v>14964</v>
      </c>
      <c r="G3991">
        <v>106</v>
      </c>
      <c r="H3991">
        <v>6</v>
      </c>
      <c r="I3991" t="s">
        <v>24</v>
      </c>
      <c r="J3991" t="s">
        <v>14965</v>
      </c>
      <c r="K3991" t="s">
        <v>113</v>
      </c>
      <c r="L3991" t="s">
        <v>27</v>
      </c>
      <c r="M3991" t="s">
        <v>28</v>
      </c>
      <c r="N3991" t="s">
        <v>14966</v>
      </c>
      <c r="O3991" t="s">
        <v>27</v>
      </c>
      <c r="P3991" t="s">
        <v>39</v>
      </c>
      <c r="Q3991" t="s">
        <v>31</v>
      </c>
      <c r="R3991" t="s">
        <v>32</v>
      </c>
      <c r="S3991" t="s">
        <v>28</v>
      </c>
      <c r="T3991" t="s">
        <v>14967</v>
      </c>
      <c r="U3991" t="s">
        <v>14968</v>
      </c>
    </row>
    <row r="3992" spans="1:21" x14ac:dyDescent="0.25">
      <c r="A3992" t="s">
        <v>58</v>
      </c>
      <c r="B3992" t="s">
        <v>58</v>
      </c>
      <c r="C3992">
        <v>100</v>
      </c>
      <c r="D3992">
        <v>2</v>
      </c>
      <c r="E3992">
        <v>0</v>
      </c>
      <c r="F3992" t="s">
        <v>14969</v>
      </c>
      <c r="G3992">
        <v>200</v>
      </c>
      <c r="H3992">
        <v>0</v>
      </c>
      <c r="I3992" t="s">
        <v>140</v>
      </c>
      <c r="J3992" t="s">
        <v>14970</v>
      </c>
      <c r="K3992" t="s">
        <v>26</v>
      </c>
      <c r="L3992" t="s">
        <v>27</v>
      </c>
      <c r="M3992" t="s">
        <v>28</v>
      </c>
      <c r="N3992" t="s">
        <v>14971</v>
      </c>
      <c r="O3992" t="s">
        <v>27</v>
      </c>
      <c r="P3992" t="s">
        <v>369</v>
      </c>
      <c r="Q3992" t="s">
        <v>31</v>
      </c>
      <c r="R3992" t="s">
        <v>57</v>
      </c>
      <c r="S3992" t="s">
        <v>28</v>
      </c>
      <c r="T3992" t="s">
        <v>14972</v>
      </c>
      <c r="U3992" t="s">
        <v>14971</v>
      </c>
    </row>
    <row r="3993" spans="1:21" x14ac:dyDescent="0.25">
      <c r="A3993" t="s">
        <v>134</v>
      </c>
      <c r="B3993" t="s">
        <v>64</v>
      </c>
      <c r="C3993">
        <v>100</v>
      </c>
      <c r="D3993">
        <v>1</v>
      </c>
      <c r="E3993">
        <v>0</v>
      </c>
      <c r="F3993" t="s">
        <v>14973</v>
      </c>
      <c r="G3993">
        <v>100</v>
      </c>
      <c r="H3993">
        <v>0</v>
      </c>
      <c r="I3993" t="s">
        <v>24</v>
      </c>
      <c r="J3993" t="s">
        <v>12365</v>
      </c>
      <c r="K3993" t="s">
        <v>26</v>
      </c>
      <c r="L3993" t="s">
        <v>27</v>
      </c>
      <c r="M3993" t="s">
        <v>28</v>
      </c>
      <c r="N3993" t="s">
        <v>14974</v>
      </c>
      <c r="O3993" t="s">
        <v>27</v>
      </c>
      <c r="P3993" t="s">
        <v>39</v>
      </c>
      <c r="Q3993" t="s">
        <v>31</v>
      </c>
      <c r="R3993" t="s">
        <v>32</v>
      </c>
      <c r="S3993" t="s">
        <v>28</v>
      </c>
      <c r="T3993" t="s">
        <v>14975</v>
      </c>
      <c r="U3993" t="s">
        <v>14974</v>
      </c>
    </row>
    <row r="3994" spans="1:21" x14ac:dyDescent="0.25">
      <c r="A3994" t="s">
        <v>33</v>
      </c>
      <c r="B3994" t="s">
        <v>34</v>
      </c>
      <c r="C3994">
        <v>200</v>
      </c>
      <c r="D3994">
        <v>1</v>
      </c>
      <c r="E3994">
        <v>0</v>
      </c>
      <c r="F3994" t="s">
        <v>14976</v>
      </c>
      <c r="G3994">
        <v>200</v>
      </c>
      <c r="H3994">
        <v>0</v>
      </c>
      <c r="I3994" t="s">
        <v>24</v>
      </c>
      <c r="J3994" t="s">
        <v>14977</v>
      </c>
      <c r="K3994" t="s">
        <v>247</v>
      </c>
      <c r="L3994" t="s">
        <v>27</v>
      </c>
      <c r="M3994" t="s">
        <v>28</v>
      </c>
      <c r="N3994" t="s">
        <v>14978</v>
      </c>
      <c r="O3994" t="s">
        <v>27</v>
      </c>
      <c r="P3994" t="s">
        <v>39</v>
      </c>
      <c r="Q3994" t="s">
        <v>31</v>
      </c>
      <c r="R3994" t="s">
        <v>32</v>
      </c>
      <c r="S3994" t="s">
        <v>28</v>
      </c>
      <c r="T3994" t="s">
        <v>14979</v>
      </c>
      <c r="U3994" t="s">
        <v>14978</v>
      </c>
    </row>
    <row r="3995" spans="1:21" x14ac:dyDescent="0.25">
      <c r="A3995" t="s">
        <v>70</v>
      </c>
      <c r="B3995" t="s">
        <v>70</v>
      </c>
      <c r="C3995">
        <v>330</v>
      </c>
      <c r="D3995">
        <v>1</v>
      </c>
      <c r="E3995">
        <v>0</v>
      </c>
      <c r="F3995" t="s">
        <v>14980</v>
      </c>
      <c r="G3995">
        <v>330</v>
      </c>
      <c r="H3995">
        <v>0</v>
      </c>
      <c r="I3995" t="s">
        <v>445</v>
      </c>
      <c r="J3995" t="s">
        <v>14981</v>
      </c>
      <c r="K3995" t="s">
        <v>466</v>
      </c>
      <c r="L3995" t="s">
        <v>27</v>
      </c>
      <c r="M3995" t="s">
        <v>28</v>
      </c>
      <c r="N3995" t="s">
        <v>14978</v>
      </c>
      <c r="O3995" t="s">
        <v>27</v>
      </c>
      <c r="P3995" t="s">
        <v>56</v>
      </c>
      <c r="Q3995" t="s">
        <v>31</v>
      </c>
      <c r="R3995" t="s">
        <v>57</v>
      </c>
      <c r="S3995" t="s">
        <v>28</v>
      </c>
      <c r="T3995" t="s">
        <v>14982</v>
      </c>
      <c r="U3995" t="s">
        <v>14978</v>
      </c>
    </row>
    <row r="3996" spans="1:21" x14ac:dyDescent="0.25">
      <c r="A3996" t="s">
        <v>33</v>
      </c>
      <c r="B3996" t="s">
        <v>34</v>
      </c>
      <c r="C3996">
        <v>200</v>
      </c>
      <c r="D3996">
        <v>1</v>
      </c>
      <c r="E3996">
        <v>0</v>
      </c>
      <c r="F3996" t="s">
        <v>14983</v>
      </c>
      <c r="G3996">
        <v>200</v>
      </c>
      <c r="H3996">
        <v>0</v>
      </c>
      <c r="I3996" t="s">
        <v>24</v>
      </c>
      <c r="J3996" t="s">
        <v>14984</v>
      </c>
      <c r="K3996" t="s">
        <v>358</v>
      </c>
      <c r="L3996" t="s">
        <v>27</v>
      </c>
      <c r="M3996" t="s">
        <v>28</v>
      </c>
      <c r="N3996" t="s">
        <v>14985</v>
      </c>
      <c r="O3996" t="s">
        <v>27</v>
      </c>
      <c r="P3996" t="s">
        <v>39</v>
      </c>
      <c r="Q3996" t="s">
        <v>31</v>
      </c>
      <c r="R3996" t="s">
        <v>32</v>
      </c>
      <c r="S3996" t="s">
        <v>28</v>
      </c>
      <c r="T3996" t="s">
        <v>14986</v>
      </c>
      <c r="U3996" t="s">
        <v>14985</v>
      </c>
    </row>
    <row r="3997" spans="1:21" x14ac:dyDescent="0.25">
      <c r="A3997" t="s">
        <v>63</v>
      </c>
      <c r="B3997" t="s">
        <v>64</v>
      </c>
      <c r="C3997">
        <v>100</v>
      </c>
      <c r="D3997">
        <v>1</v>
      </c>
      <c r="E3997">
        <v>0</v>
      </c>
      <c r="F3997" t="s">
        <v>14987</v>
      </c>
      <c r="G3997">
        <v>106</v>
      </c>
      <c r="H3997">
        <v>6</v>
      </c>
      <c r="I3997" t="s">
        <v>445</v>
      </c>
      <c r="J3997" t="s">
        <v>2811</v>
      </c>
      <c r="K3997" t="s">
        <v>797</v>
      </c>
      <c r="L3997" t="s">
        <v>27</v>
      </c>
      <c r="M3997" t="s">
        <v>28</v>
      </c>
      <c r="N3997" t="s">
        <v>14988</v>
      </c>
      <c r="O3997" t="s">
        <v>27</v>
      </c>
      <c r="P3997" t="s">
        <v>39</v>
      </c>
      <c r="Q3997" t="s">
        <v>31</v>
      </c>
      <c r="R3997" t="s">
        <v>32</v>
      </c>
      <c r="S3997" t="s">
        <v>28</v>
      </c>
      <c r="T3997" t="s">
        <v>14989</v>
      </c>
      <c r="U3997" t="s">
        <v>14988</v>
      </c>
    </row>
    <row r="3998" spans="1:21" x14ac:dyDescent="0.25">
      <c r="A3998" t="s">
        <v>13290</v>
      </c>
      <c r="B3998" t="s">
        <v>13291</v>
      </c>
      <c r="C3998">
        <v>100</v>
      </c>
      <c r="D3998">
        <v>1</v>
      </c>
      <c r="E3998">
        <v>0</v>
      </c>
      <c r="F3998" t="s">
        <v>14990</v>
      </c>
      <c r="G3998">
        <v>200</v>
      </c>
      <c r="H3998">
        <v>0</v>
      </c>
      <c r="I3998" t="s">
        <v>140</v>
      </c>
      <c r="J3998" t="s">
        <v>14991</v>
      </c>
      <c r="K3998" t="s">
        <v>321</v>
      </c>
      <c r="L3998" t="s">
        <v>27</v>
      </c>
      <c r="M3998" t="s">
        <v>28</v>
      </c>
      <c r="N3998" t="s">
        <v>14988</v>
      </c>
      <c r="O3998" t="s">
        <v>27</v>
      </c>
      <c r="P3998" t="s">
        <v>30</v>
      </c>
      <c r="Q3998" t="s">
        <v>31</v>
      </c>
      <c r="R3998" t="s">
        <v>32</v>
      </c>
      <c r="S3998" t="s">
        <v>28</v>
      </c>
      <c r="T3998" t="s">
        <v>14992</v>
      </c>
      <c r="U3998" t="s">
        <v>14988</v>
      </c>
    </row>
    <row r="3999" spans="1:21" x14ac:dyDescent="0.25">
      <c r="A3999" t="s">
        <v>58</v>
      </c>
      <c r="B3999" t="s">
        <v>58</v>
      </c>
      <c r="C3999">
        <v>100</v>
      </c>
      <c r="D3999">
        <v>1</v>
      </c>
      <c r="E3999">
        <v>0</v>
      </c>
      <c r="F3999" t="s">
        <v>14990</v>
      </c>
      <c r="G3999">
        <v>200</v>
      </c>
      <c r="H3999">
        <v>0</v>
      </c>
      <c r="I3999" t="s">
        <v>140</v>
      </c>
      <c r="J3999" t="s">
        <v>14991</v>
      </c>
      <c r="K3999" t="s">
        <v>321</v>
      </c>
      <c r="L3999" t="s">
        <v>27</v>
      </c>
      <c r="M3999" t="s">
        <v>28</v>
      </c>
      <c r="N3999" t="s">
        <v>14988</v>
      </c>
      <c r="O3999" t="s">
        <v>27</v>
      </c>
      <c r="P3999" t="s">
        <v>30</v>
      </c>
      <c r="Q3999" t="s">
        <v>31</v>
      </c>
      <c r="R3999" t="s">
        <v>32</v>
      </c>
      <c r="S3999" t="s">
        <v>28</v>
      </c>
      <c r="T3999" t="s">
        <v>14992</v>
      </c>
      <c r="U3999" t="s">
        <v>14988</v>
      </c>
    </row>
    <row r="4000" spans="1:21" x14ac:dyDescent="0.25">
      <c r="A4000" t="s">
        <v>33</v>
      </c>
      <c r="B4000" t="s">
        <v>34</v>
      </c>
      <c r="C4000">
        <v>200</v>
      </c>
      <c r="D4000">
        <v>1</v>
      </c>
      <c r="E4000">
        <v>0</v>
      </c>
      <c r="F4000" t="s">
        <v>14993</v>
      </c>
      <c r="G4000">
        <v>200</v>
      </c>
      <c r="H4000">
        <v>0</v>
      </c>
      <c r="I4000" t="s">
        <v>24</v>
      </c>
      <c r="J4000" t="s">
        <v>14994</v>
      </c>
      <c r="K4000" t="s">
        <v>37</v>
      </c>
      <c r="L4000" t="s">
        <v>27</v>
      </c>
      <c r="M4000" t="s">
        <v>28</v>
      </c>
      <c r="N4000" t="s">
        <v>14988</v>
      </c>
      <c r="O4000" t="s">
        <v>27</v>
      </c>
      <c r="P4000" t="s">
        <v>56</v>
      </c>
      <c r="Q4000" t="s">
        <v>31</v>
      </c>
      <c r="R4000" t="s">
        <v>57</v>
      </c>
      <c r="S4000" t="s">
        <v>28</v>
      </c>
      <c r="T4000" t="s">
        <v>14995</v>
      </c>
      <c r="U4000" t="s">
        <v>14996</v>
      </c>
    </row>
    <row r="4001" spans="1:21" x14ac:dyDescent="0.25">
      <c r="A4001" t="s">
        <v>63</v>
      </c>
      <c r="B4001" t="s">
        <v>64</v>
      </c>
      <c r="C4001">
        <v>100</v>
      </c>
      <c r="D4001">
        <v>1</v>
      </c>
      <c r="E4001">
        <v>0</v>
      </c>
      <c r="F4001" t="s">
        <v>14997</v>
      </c>
      <c r="G4001">
        <v>200</v>
      </c>
      <c r="H4001">
        <v>0</v>
      </c>
      <c r="I4001" t="s">
        <v>24</v>
      </c>
      <c r="J4001" t="s">
        <v>4561</v>
      </c>
      <c r="K4001" t="s">
        <v>321</v>
      </c>
      <c r="L4001" t="s">
        <v>27</v>
      </c>
      <c r="M4001" t="s">
        <v>28</v>
      </c>
      <c r="N4001" t="s">
        <v>14998</v>
      </c>
      <c r="O4001" t="s">
        <v>27</v>
      </c>
      <c r="P4001" t="s">
        <v>39</v>
      </c>
      <c r="Q4001" t="s">
        <v>31</v>
      </c>
      <c r="R4001" t="s">
        <v>32</v>
      </c>
      <c r="S4001" t="s">
        <v>28</v>
      </c>
      <c r="T4001" t="s">
        <v>14999</v>
      </c>
      <c r="U4001" t="s">
        <v>14998</v>
      </c>
    </row>
    <row r="4002" spans="1:21" x14ac:dyDescent="0.25">
      <c r="A4002" t="s">
        <v>134</v>
      </c>
      <c r="B4002" t="s">
        <v>64</v>
      </c>
      <c r="C4002">
        <v>100</v>
      </c>
      <c r="D4002">
        <v>1</v>
      </c>
      <c r="E4002">
        <v>0</v>
      </c>
      <c r="F4002" t="s">
        <v>14997</v>
      </c>
      <c r="G4002">
        <v>200</v>
      </c>
      <c r="H4002">
        <v>0</v>
      </c>
      <c r="I4002" t="s">
        <v>24</v>
      </c>
      <c r="J4002" t="s">
        <v>4561</v>
      </c>
      <c r="K4002" t="s">
        <v>321</v>
      </c>
      <c r="L4002" t="s">
        <v>27</v>
      </c>
      <c r="M4002" t="s">
        <v>28</v>
      </c>
      <c r="N4002" t="s">
        <v>14998</v>
      </c>
      <c r="O4002" t="s">
        <v>27</v>
      </c>
      <c r="P4002" t="s">
        <v>39</v>
      </c>
      <c r="Q4002" t="s">
        <v>31</v>
      </c>
      <c r="R4002" t="s">
        <v>32</v>
      </c>
      <c r="S4002" t="s">
        <v>28</v>
      </c>
      <c r="T4002" t="s">
        <v>14999</v>
      </c>
      <c r="U4002" t="s">
        <v>14998</v>
      </c>
    </row>
    <row r="4003" spans="1:21" x14ac:dyDescent="0.25">
      <c r="A4003" t="s">
        <v>13290</v>
      </c>
      <c r="B4003" t="s">
        <v>13291</v>
      </c>
      <c r="C4003">
        <v>100</v>
      </c>
      <c r="D4003">
        <v>2</v>
      </c>
      <c r="E4003">
        <v>0</v>
      </c>
      <c r="F4003" t="s">
        <v>15000</v>
      </c>
      <c r="G4003">
        <v>200</v>
      </c>
      <c r="H4003">
        <v>0</v>
      </c>
      <c r="I4003" t="s">
        <v>24</v>
      </c>
      <c r="J4003" t="s">
        <v>15001</v>
      </c>
      <c r="K4003" t="s">
        <v>124</v>
      </c>
      <c r="L4003" t="s">
        <v>27</v>
      </c>
      <c r="M4003" t="s">
        <v>28</v>
      </c>
      <c r="N4003" t="s">
        <v>15002</v>
      </c>
      <c r="O4003" t="s">
        <v>27</v>
      </c>
      <c r="P4003" t="s">
        <v>56</v>
      </c>
      <c r="Q4003" t="s">
        <v>31</v>
      </c>
      <c r="R4003" t="s">
        <v>57</v>
      </c>
      <c r="S4003" t="s">
        <v>28</v>
      </c>
      <c r="T4003" t="s">
        <v>15003</v>
      </c>
      <c r="U4003" t="s">
        <v>15004</v>
      </c>
    </row>
    <row r="4004" spans="1:21" x14ac:dyDescent="0.25">
      <c r="A4004" t="s">
        <v>33</v>
      </c>
      <c r="B4004" t="s">
        <v>34</v>
      </c>
      <c r="C4004">
        <v>200</v>
      </c>
      <c r="D4004">
        <v>1</v>
      </c>
      <c r="E4004">
        <v>0</v>
      </c>
      <c r="F4004" t="s">
        <v>15005</v>
      </c>
      <c r="G4004">
        <v>200</v>
      </c>
      <c r="H4004">
        <v>0</v>
      </c>
      <c r="I4004" t="s">
        <v>24</v>
      </c>
      <c r="J4004" t="s">
        <v>15006</v>
      </c>
      <c r="K4004" t="s">
        <v>653</v>
      </c>
      <c r="L4004" t="s">
        <v>27</v>
      </c>
      <c r="M4004" t="s">
        <v>28</v>
      </c>
      <c r="N4004" t="s">
        <v>15002</v>
      </c>
      <c r="O4004" t="s">
        <v>27</v>
      </c>
      <c r="P4004" t="s">
        <v>39</v>
      </c>
      <c r="Q4004" t="s">
        <v>31</v>
      </c>
      <c r="R4004" t="s">
        <v>32</v>
      </c>
      <c r="S4004" t="s">
        <v>28</v>
      </c>
      <c r="T4004" t="s">
        <v>15007</v>
      </c>
      <c r="U4004" t="s">
        <v>15002</v>
      </c>
    </row>
    <row r="4005" spans="1:21" x14ac:dyDescent="0.25">
      <c r="A4005" t="s">
        <v>143</v>
      </c>
      <c r="B4005" t="s">
        <v>144</v>
      </c>
      <c r="C4005">
        <v>200</v>
      </c>
      <c r="D4005">
        <v>1</v>
      </c>
      <c r="E4005">
        <v>0</v>
      </c>
      <c r="F4005" t="s">
        <v>15008</v>
      </c>
      <c r="G4005">
        <v>200</v>
      </c>
      <c r="H4005">
        <v>0</v>
      </c>
      <c r="I4005" t="s">
        <v>24</v>
      </c>
      <c r="J4005" t="s">
        <v>15009</v>
      </c>
      <c r="K4005" t="s">
        <v>15010</v>
      </c>
      <c r="L4005" t="s">
        <v>27</v>
      </c>
      <c r="M4005" t="s">
        <v>28</v>
      </c>
      <c r="N4005" t="s">
        <v>15011</v>
      </c>
      <c r="O4005" t="s">
        <v>27</v>
      </c>
      <c r="P4005" t="s">
        <v>56</v>
      </c>
      <c r="Q4005" t="s">
        <v>31</v>
      </c>
      <c r="R4005" t="s">
        <v>57</v>
      </c>
      <c r="S4005" t="s">
        <v>28</v>
      </c>
      <c r="T4005" t="s">
        <v>15012</v>
      </c>
      <c r="U4005" t="s">
        <v>15011</v>
      </c>
    </row>
    <row r="4006" spans="1:21" x14ac:dyDescent="0.25">
      <c r="A4006" t="s">
        <v>13290</v>
      </c>
      <c r="B4006" t="s">
        <v>13291</v>
      </c>
      <c r="C4006">
        <v>100</v>
      </c>
      <c r="D4006">
        <v>1</v>
      </c>
      <c r="E4006">
        <v>0</v>
      </c>
      <c r="F4006" t="s">
        <v>15013</v>
      </c>
      <c r="G4006">
        <v>125</v>
      </c>
      <c r="H4006">
        <v>25</v>
      </c>
      <c r="I4006" t="s">
        <v>445</v>
      </c>
      <c r="J4006" t="s">
        <v>15014</v>
      </c>
      <c r="K4006" t="s">
        <v>4146</v>
      </c>
      <c r="L4006" t="s">
        <v>27</v>
      </c>
      <c r="M4006" t="s">
        <v>28</v>
      </c>
      <c r="N4006" t="s">
        <v>15015</v>
      </c>
      <c r="O4006" t="s">
        <v>27</v>
      </c>
      <c r="P4006" t="s">
        <v>39</v>
      </c>
      <c r="Q4006" t="s">
        <v>31</v>
      </c>
      <c r="R4006" t="s">
        <v>32</v>
      </c>
      <c r="S4006" t="s">
        <v>28</v>
      </c>
      <c r="T4006" t="s">
        <v>15016</v>
      </c>
      <c r="U4006" t="s">
        <v>15017</v>
      </c>
    </row>
    <row r="4007" spans="1:21" x14ac:dyDescent="0.25">
      <c r="A4007" t="s">
        <v>456</v>
      </c>
      <c r="B4007" t="s">
        <v>457</v>
      </c>
      <c r="C4007">
        <v>199</v>
      </c>
      <c r="D4007">
        <v>1</v>
      </c>
      <c r="E4007">
        <v>0</v>
      </c>
      <c r="F4007" t="s">
        <v>15018</v>
      </c>
      <c r="G4007">
        <v>228</v>
      </c>
      <c r="H4007">
        <v>29</v>
      </c>
      <c r="I4007" t="s">
        <v>24</v>
      </c>
      <c r="J4007" t="s">
        <v>2555</v>
      </c>
      <c r="K4007" t="s">
        <v>4844</v>
      </c>
      <c r="L4007" t="s">
        <v>4459</v>
      </c>
      <c r="M4007" t="s">
        <v>4845</v>
      </c>
      <c r="N4007" t="s">
        <v>14971</v>
      </c>
      <c r="O4007" t="s">
        <v>27</v>
      </c>
      <c r="P4007" t="s">
        <v>193</v>
      </c>
      <c r="Q4007" t="s">
        <v>85</v>
      </c>
      <c r="R4007" t="s">
        <v>86</v>
      </c>
      <c r="S4007" t="s">
        <v>28</v>
      </c>
      <c r="T4007" t="s">
        <v>15019</v>
      </c>
      <c r="U4007" t="s">
        <v>15020</v>
      </c>
    </row>
    <row r="4008" spans="1:21" x14ac:dyDescent="0.25">
      <c r="A4008" t="s">
        <v>63</v>
      </c>
      <c r="B4008" t="s">
        <v>64</v>
      </c>
      <c r="C4008">
        <v>100</v>
      </c>
      <c r="D4008">
        <v>1</v>
      </c>
      <c r="E4008">
        <v>0</v>
      </c>
      <c r="F4008" t="s">
        <v>15021</v>
      </c>
      <c r="G4008">
        <v>106</v>
      </c>
      <c r="H4008">
        <v>6</v>
      </c>
      <c r="I4008" t="s">
        <v>140</v>
      </c>
      <c r="J4008" t="s">
        <v>15022</v>
      </c>
      <c r="K4008" t="s">
        <v>273</v>
      </c>
      <c r="L4008" t="s">
        <v>27</v>
      </c>
      <c r="M4008" t="s">
        <v>28</v>
      </c>
      <c r="N4008" t="s">
        <v>15023</v>
      </c>
      <c r="O4008" t="s">
        <v>27</v>
      </c>
      <c r="P4008" t="s">
        <v>30</v>
      </c>
      <c r="Q4008" t="s">
        <v>31</v>
      </c>
      <c r="R4008" t="s">
        <v>32</v>
      </c>
      <c r="S4008" t="s">
        <v>28</v>
      </c>
      <c r="T4008" t="s">
        <v>15024</v>
      </c>
      <c r="U4008" t="s">
        <v>15023</v>
      </c>
    </row>
    <row r="4009" spans="1:21" x14ac:dyDescent="0.25">
      <c r="A4009" t="s">
        <v>63</v>
      </c>
      <c r="B4009" t="s">
        <v>64</v>
      </c>
      <c r="C4009">
        <v>100</v>
      </c>
      <c r="D4009">
        <v>1</v>
      </c>
      <c r="E4009">
        <v>0</v>
      </c>
      <c r="F4009" t="s">
        <v>15025</v>
      </c>
      <c r="G4009">
        <v>106</v>
      </c>
      <c r="H4009">
        <v>6</v>
      </c>
      <c r="I4009" t="s">
        <v>445</v>
      </c>
      <c r="J4009" t="s">
        <v>15026</v>
      </c>
      <c r="K4009" t="s">
        <v>466</v>
      </c>
      <c r="L4009" t="s">
        <v>27</v>
      </c>
      <c r="M4009" t="s">
        <v>28</v>
      </c>
      <c r="N4009" t="s">
        <v>15027</v>
      </c>
      <c r="O4009" t="s">
        <v>27</v>
      </c>
      <c r="P4009" t="s">
        <v>39</v>
      </c>
      <c r="Q4009" t="s">
        <v>31</v>
      </c>
      <c r="R4009" t="s">
        <v>32</v>
      </c>
      <c r="S4009" t="s">
        <v>28</v>
      </c>
      <c r="T4009" t="s">
        <v>15028</v>
      </c>
      <c r="U4009" t="s">
        <v>15027</v>
      </c>
    </row>
    <row r="4010" spans="1:21" x14ac:dyDescent="0.25">
      <c r="A4010" t="s">
        <v>2703</v>
      </c>
      <c r="B4010" t="s">
        <v>5909</v>
      </c>
      <c r="C4010">
        <v>420</v>
      </c>
      <c r="D4010">
        <v>1</v>
      </c>
      <c r="E4010">
        <v>0</v>
      </c>
      <c r="F4010" t="s">
        <v>15029</v>
      </c>
      <c r="G4010">
        <v>495</v>
      </c>
      <c r="H4010">
        <v>75</v>
      </c>
      <c r="I4010" t="s">
        <v>24</v>
      </c>
      <c r="J4010" t="s">
        <v>7760</v>
      </c>
      <c r="K4010" t="s">
        <v>10712</v>
      </c>
      <c r="L4010" t="s">
        <v>3447</v>
      </c>
      <c r="M4010" t="s">
        <v>191</v>
      </c>
      <c r="N4010" t="s">
        <v>15030</v>
      </c>
      <c r="O4010" t="s">
        <v>27</v>
      </c>
      <c r="P4010" t="s">
        <v>193</v>
      </c>
      <c r="Q4010" t="s">
        <v>85</v>
      </c>
      <c r="R4010" t="s">
        <v>86</v>
      </c>
      <c r="S4010" t="s">
        <v>28</v>
      </c>
      <c r="T4010" t="s">
        <v>15031</v>
      </c>
      <c r="U4010" t="s">
        <v>15030</v>
      </c>
    </row>
    <row r="4011" spans="1:21" x14ac:dyDescent="0.25">
      <c r="A4011" t="s">
        <v>33</v>
      </c>
      <c r="B4011" t="s">
        <v>34</v>
      </c>
      <c r="C4011">
        <v>200</v>
      </c>
      <c r="D4011">
        <v>2</v>
      </c>
      <c r="E4011">
        <v>0</v>
      </c>
      <c r="F4011" t="s">
        <v>15032</v>
      </c>
      <c r="G4011">
        <v>400</v>
      </c>
      <c r="H4011">
        <v>0</v>
      </c>
      <c r="I4011" t="s">
        <v>445</v>
      </c>
      <c r="J4011" t="s">
        <v>10286</v>
      </c>
      <c r="K4011" t="s">
        <v>1190</v>
      </c>
      <c r="L4011" t="s">
        <v>27</v>
      </c>
      <c r="M4011" t="s">
        <v>28</v>
      </c>
      <c r="N4011" t="s">
        <v>15033</v>
      </c>
      <c r="O4011" t="s">
        <v>27</v>
      </c>
      <c r="P4011" t="s">
        <v>39</v>
      </c>
      <c r="Q4011" t="s">
        <v>31</v>
      </c>
      <c r="R4011" t="s">
        <v>32</v>
      </c>
      <c r="S4011" t="s">
        <v>28</v>
      </c>
      <c r="T4011" t="s">
        <v>15034</v>
      </c>
      <c r="U4011" t="s">
        <v>15033</v>
      </c>
    </row>
    <row r="4012" spans="1:21" x14ac:dyDescent="0.25">
      <c r="A4012" t="s">
        <v>63</v>
      </c>
      <c r="B4012" t="s">
        <v>64</v>
      </c>
      <c r="C4012">
        <v>100</v>
      </c>
      <c r="D4012">
        <v>1</v>
      </c>
      <c r="E4012">
        <v>0</v>
      </c>
      <c r="F4012" t="s">
        <v>15035</v>
      </c>
      <c r="G4012">
        <v>106</v>
      </c>
      <c r="H4012">
        <v>6</v>
      </c>
      <c r="I4012" t="s">
        <v>24</v>
      </c>
      <c r="J4012" t="s">
        <v>15036</v>
      </c>
      <c r="K4012" t="s">
        <v>67</v>
      </c>
      <c r="L4012" t="s">
        <v>27</v>
      </c>
      <c r="M4012" t="s">
        <v>28</v>
      </c>
      <c r="N4012" t="s">
        <v>15037</v>
      </c>
      <c r="O4012" t="s">
        <v>27</v>
      </c>
      <c r="P4012" t="s">
        <v>39</v>
      </c>
      <c r="Q4012" t="s">
        <v>31</v>
      </c>
      <c r="R4012" t="s">
        <v>32</v>
      </c>
      <c r="S4012" t="s">
        <v>28</v>
      </c>
      <c r="T4012" t="s">
        <v>15038</v>
      </c>
      <c r="U4012" t="s">
        <v>15037</v>
      </c>
    </row>
    <row r="4013" spans="1:21" x14ac:dyDescent="0.25">
      <c r="A4013" t="s">
        <v>2307</v>
      </c>
      <c r="B4013" t="s">
        <v>2308</v>
      </c>
      <c r="C4013">
        <v>330</v>
      </c>
      <c r="D4013">
        <v>1</v>
      </c>
      <c r="E4013">
        <v>0</v>
      </c>
      <c r="F4013" t="s">
        <v>15039</v>
      </c>
      <c r="G4013">
        <v>660</v>
      </c>
      <c r="H4013">
        <v>0</v>
      </c>
      <c r="I4013" t="s">
        <v>140</v>
      </c>
      <c r="J4013" t="s">
        <v>15040</v>
      </c>
      <c r="K4013" t="s">
        <v>331</v>
      </c>
      <c r="L4013" t="s">
        <v>27</v>
      </c>
      <c r="M4013" t="s">
        <v>28</v>
      </c>
      <c r="N4013" t="s">
        <v>15041</v>
      </c>
      <c r="O4013" t="s">
        <v>27</v>
      </c>
      <c r="P4013" t="s">
        <v>30</v>
      </c>
      <c r="Q4013" t="s">
        <v>31</v>
      </c>
      <c r="R4013" t="s">
        <v>32</v>
      </c>
      <c r="S4013" t="s">
        <v>28</v>
      </c>
      <c r="T4013" t="s">
        <v>15042</v>
      </c>
      <c r="U4013" t="s">
        <v>15041</v>
      </c>
    </row>
    <row r="4014" spans="1:21" x14ac:dyDescent="0.25">
      <c r="A4014" t="s">
        <v>1513</v>
      </c>
      <c r="B4014" t="s">
        <v>1514</v>
      </c>
      <c r="C4014">
        <v>330</v>
      </c>
      <c r="D4014">
        <v>1</v>
      </c>
      <c r="E4014">
        <v>0</v>
      </c>
      <c r="F4014" t="s">
        <v>15039</v>
      </c>
      <c r="G4014">
        <v>660</v>
      </c>
      <c r="H4014">
        <v>0</v>
      </c>
      <c r="I4014" t="s">
        <v>140</v>
      </c>
      <c r="J4014" t="s">
        <v>15040</v>
      </c>
      <c r="K4014" t="s">
        <v>331</v>
      </c>
      <c r="L4014" t="s">
        <v>27</v>
      </c>
      <c r="M4014" t="s">
        <v>28</v>
      </c>
      <c r="N4014" t="s">
        <v>15041</v>
      </c>
      <c r="O4014" t="s">
        <v>27</v>
      </c>
      <c r="P4014" t="s">
        <v>30</v>
      </c>
      <c r="Q4014" t="s">
        <v>31</v>
      </c>
      <c r="R4014" t="s">
        <v>32</v>
      </c>
      <c r="S4014" t="s">
        <v>28</v>
      </c>
      <c r="T4014" t="s">
        <v>15042</v>
      </c>
      <c r="U4014" t="s">
        <v>15041</v>
      </c>
    </row>
    <row r="4015" spans="1:21" x14ac:dyDescent="0.25">
      <c r="A4015" t="s">
        <v>3739</v>
      </c>
      <c r="B4015" t="s">
        <v>2854</v>
      </c>
      <c r="C4015">
        <v>327.25</v>
      </c>
      <c r="D4015">
        <v>1</v>
      </c>
      <c r="E4015">
        <v>0</v>
      </c>
      <c r="F4015" t="s">
        <v>15043</v>
      </c>
      <c r="G4015">
        <v>332.25</v>
      </c>
      <c r="H4015">
        <v>5</v>
      </c>
      <c r="I4015" t="s">
        <v>2856</v>
      </c>
      <c r="J4015" t="s">
        <v>2147</v>
      </c>
      <c r="K4015" t="s">
        <v>2148</v>
      </c>
      <c r="L4015" t="s">
        <v>2149</v>
      </c>
      <c r="M4015" t="s">
        <v>2150</v>
      </c>
      <c r="N4015" t="s">
        <v>15044</v>
      </c>
      <c r="O4015" t="s">
        <v>27</v>
      </c>
      <c r="P4015" t="s">
        <v>48</v>
      </c>
      <c r="Q4015" t="s">
        <v>49</v>
      </c>
      <c r="R4015" t="s">
        <v>50</v>
      </c>
      <c r="S4015" t="s">
        <v>28</v>
      </c>
      <c r="T4015" t="s">
        <v>15045</v>
      </c>
      <c r="U4015" t="s">
        <v>15044</v>
      </c>
    </row>
    <row r="4016" spans="1:21" x14ac:dyDescent="0.25">
      <c r="A4016" t="s">
        <v>33</v>
      </c>
      <c r="B4016" t="s">
        <v>34</v>
      </c>
      <c r="C4016">
        <v>200</v>
      </c>
      <c r="D4016">
        <v>1</v>
      </c>
      <c r="E4016">
        <v>0</v>
      </c>
      <c r="F4016" t="s">
        <v>15046</v>
      </c>
      <c r="G4016">
        <v>200</v>
      </c>
      <c r="H4016">
        <v>0</v>
      </c>
      <c r="I4016" t="s">
        <v>445</v>
      </c>
      <c r="J4016" t="s">
        <v>15047</v>
      </c>
      <c r="K4016" t="s">
        <v>936</v>
      </c>
      <c r="L4016" t="s">
        <v>27</v>
      </c>
      <c r="M4016" t="s">
        <v>28</v>
      </c>
      <c r="N4016" t="s">
        <v>15048</v>
      </c>
      <c r="O4016" t="s">
        <v>27</v>
      </c>
      <c r="P4016" t="s">
        <v>39</v>
      </c>
      <c r="Q4016" t="s">
        <v>31</v>
      </c>
      <c r="R4016" t="s">
        <v>32</v>
      </c>
      <c r="S4016" t="s">
        <v>28</v>
      </c>
      <c r="T4016" t="s">
        <v>15049</v>
      </c>
      <c r="U4016" t="s">
        <v>15048</v>
      </c>
    </row>
    <row r="4017" spans="1:21" x14ac:dyDescent="0.25">
      <c r="A4017" t="s">
        <v>13290</v>
      </c>
      <c r="B4017" t="s">
        <v>13291</v>
      </c>
      <c r="C4017">
        <v>100</v>
      </c>
      <c r="D4017">
        <v>1</v>
      </c>
      <c r="E4017">
        <v>0</v>
      </c>
      <c r="F4017" t="s">
        <v>15050</v>
      </c>
      <c r="G4017">
        <v>248</v>
      </c>
      <c r="H4017">
        <v>0</v>
      </c>
      <c r="I4017" t="s">
        <v>445</v>
      </c>
      <c r="J4017" t="s">
        <v>15051</v>
      </c>
      <c r="K4017" t="s">
        <v>1420</v>
      </c>
      <c r="L4017" t="s">
        <v>27</v>
      </c>
      <c r="M4017" t="s">
        <v>28</v>
      </c>
      <c r="N4017" t="s">
        <v>15052</v>
      </c>
      <c r="O4017" t="s">
        <v>27</v>
      </c>
      <c r="P4017" t="s">
        <v>39</v>
      </c>
      <c r="Q4017" t="s">
        <v>31</v>
      </c>
      <c r="R4017" t="s">
        <v>32</v>
      </c>
      <c r="S4017" t="s">
        <v>28</v>
      </c>
      <c r="T4017" t="s">
        <v>15053</v>
      </c>
      <c r="U4017" t="s">
        <v>15054</v>
      </c>
    </row>
    <row r="4018" spans="1:21" x14ac:dyDescent="0.25">
      <c r="A4018" t="s">
        <v>58</v>
      </c>
      <c r="B4018" t="s">
        <v>58</v>
      </c>
      <c r="C4018">
        <v>100</v>
      </c>
      <c r="D4018">
        <v>1</v>
      </c>
      <c r="E4018">
        <v>0</v>
      </c>
      <c r="F4018" t="s">
        <v>15050</v>
      </c>
      <c r="G4018">
        <v>248</v>
      </c>
      <c r="H4018">
        <v>0</v>
      </c>
      <c r="I4018" t="s">
        <v>445</v>
      </c>
      <c r="J4018" t="s">
        <v>15051</v>
      </c>
      <c r="K4018" t="s">
        <v>1420</v>
      </c>
      <c r="L4018" t="s">
        <v>27</v>
      </c>
      <c r="M4018" t="s">
        <v>28</v>
      </c>
      <c r="N4018" t="s">
        <v>15052</v>
      </c>
      <c r="O4018" t="s">
        <v>27</v>
      </c>
      <c r="P4018" t="s">
        <v>39</v>
      </c>
      <c r="Q4018" t="s">
        <v>31</v>
      </c>
      <c r="R4018" t="s">
        <v>32</v>
      </c>
      <c r="S4018" t="s">
        <v>28</v>
      </c>
      <c r="T4018" t="s">
        <v>15053</v>
      </c>
      <c r="U4018" t="s">
        <v>15054</v>
      </c>
    </row>
    <row r="4019" spans="1:21" x14ac:dyDescent="0.25">
      <c r="A4019" t="s">
        <v>58</v>
      </c>
      <c r="B4019" t="s">
        <v>58</v>
      </c>
      <c r="C4019">
        <v>100</v>
      </c>
      <c r="D4019">
        <v>2</v>
      </c>
      <c r="E4019">
        <v>0</v>
      </c>
      <c r="F4019" t="s">
        <v>15055</v>
      </c>
      <c r="G4019">
        <v>229</v>
      </c>
      <c r="H4019">
        <v>29</v>
      </c>
      <c r="I4019" t="s">
        <v>445</v>
      </c>
      <c r="J4019" t="s">
        <v>14256</v>
      </c>
      <c r="K4019" t="s">
        <v>15056</v>
      </c>
      <c r="L4019" t="s">
        <v>2519</v>
      </c>
      <c r="M4019" t="s">
        <v>1343</v>
      </c>
      <c r="N4019" t="s">
        <v>15054</v>
      </c>
      <c r="O4019" t="s">
        <v>27</v>
      </c>
      <c r="P4019" t="s">
        <v>84</v>
      </c>
      <c r="Q4019" t="s">
        <v>85</v>
      </c>
      <c r="R4019" t="s">
        <v>86</v>
      </c>
      <c r="S4019" t="s">
        <v>28</v>
      </c>
      <c r="T4019" t="s">
        <v>15057</v>
      </c>
      <c r="U4019" t="s">
        <v>15054</v>
      </c>
    </row>
    <row r="4020" spans="1:21" x14ac:dyDescent="0.25">
      <c r="A4020" t="s">
        <v>63</v>
      </c>
      <c r="B4020" t="s">
        <v>64</v>
      </c>
      <c r="C4020">
        <v>100</v>
      </c>
      <c r="D4020">
        <v>4</v>
      </c>
      <c r="E4020">
        <v>0</v>
      </c>
      <c r="F4020" t="s">
        <v>15058</v>
      </c>
      <c r="G4020">
        <v>900</v>
      </c>
      <c r="H4020">
        <v>0</v>
      </c>
      <c r="I4020" t="s">
        <v>24</v>
      </c>
      <c r="J4020" t="s">
        <v>10824</v>
      </c>
      <c r="K4020" t="s">
        <v>61</v>
      </c>
      <c r="L4020" t="s">
        <v>27</v>
      </c>
      <c r="M4020" t="s">
        <v>28</v>
      </c>
      <c r="N4020" t="s">
        <v>15059</v>
      </c>
      <c r="O4020" t="s">
        <v>27</v>
      </c>
      <c r="P4020" t="s">
        <v>39</v>
      </c>
      <c r="Q4020" t="s">
        <v>31</v>
      </c>
      <c r="R4020" t="s">
        <v>32</v>
      </c>
      <c r="S4020" t="s">
        <v>28</v>
      </c>
      <c r="T4020" t="s">
        <v>15060</v>
      </c>
      <c r="U4020" t="s">
        <v>15054</v>
      </c>
    </row>
    <row r="4021" spans="1:21" x14ac:dyDescent="0.25">
      <c r="A4021" t="s">
        <v>134</v>
      </c>
      <c r="B4021" t="s">
        <v>64</v>
      </c>
      <c r="C4021">
        <v>100</v>
      </c>
      <c r="D4021">
        <v>5</v>
      </c>
      <c r="E4021">
        <v>0</v>
      </c>
      <c r="F4021" t="s">
        <v>15058</v>
      </c>
      <c r="G4021">
        <v>900</v>
      </c>
      <c r="H4021">
        <v>0</v>
      </c>
      <c r="I4021" t="s">
        <v>24</v>
      </c>
      <c r="J4021" t="s">
        <v>10824</v>
      </c>
      <c r="K4021" t="s">
        <v>61</v>
      </c>
      <c r="L4021" t="s">
        <v>27</v>
      </c>
      <c r="M4021" t="s">
        <v>28</v>
      </c>
      <c r="N4021" t="s">
        <v>15059</v>
      </c>
      <c r="O4021" t="s">
        <v>27</v>
      </c>
      <c r="P4021" t="s">
        <v>39</v>
      </c>
      <c r="Q4021" t="s">
        <v>31</v>
      </c>
      <c r="R4021" t="s">
        <v>32</v>
      </c>
      <c r="S4021" t="s">
        <v>28</v>
      </c>
      <c r="T4021" t="s">
        <v>15060</v>
      </c>
      <c r="U4021" t="s">
        <v>15054</v>
      </c>
    </row>
    <row r="4022" spans="1:21" x14ac:dyDescent="0.25">
      <c r="A4022" t="s">
        <v>134</v>
      </c>
      <c r="B4022" t="s">
        <v>64</v>
      </c>
      <c r="C4022">
        <v>100</v>
      </c>
      <c r="D4022">
        <v>1</v>
      </c>
      <c r="E4022">
        <v>0</v>
      </c>
      <c r="F4022" t="s">
        <v>15061</v>
      </c>
      <c r="G4022">
        <v>106</v>
      </c>
      <c r="H4022">
        <v>6</v>
      </c>
      <c r="I4022" t="s">
        <v>24</v>
      </c>
      <c r="J4022" t="s">
        <v>15062</v>
      </c>
      <c r="K4022" t="s">
        <v>346</v>
      </c>
      <c r="L4022" t="s">
        <v>27</v>
      </c>
      <c r="M4022" t="s">
        <v>28</v>
      </c>
      <c r="N4022" t="s">
        <v>15063</v>
      </c>
      <c r="O4022" t="s">
        <v>27</v>
      </c>
      <c r="P4022" t="s">
        <v>39</v>
      </c>
      <c r="Q4022" t="s">
        <v>31</v>
      </c>
      <c r="R4022" t="s">
        <v>32</v>
      </c>
      <c r="S4022" t="s">
        <v>28</v>
      </c>
      <c r="T4022" t="s">
        <v>15064</v>
      </c>
      <c r="U4022" t="s">
        <v>15065</v>
      </c>
    </row>
    <row r="4023" spans="1:21" x14ac:dyDescent="0.25">
      <c r="A4023" t="s">
        <v>63</v>
      </c>
      <c r="B4023" t="s">
        <v>64</v>
      </c>
      <c r="C4023">
        <v>100</v>
      </c>
      <c r="D4023">
        <v>1</v>
      </c>
      <c r="E4023">
        <v>0</v>
      </c>
      <c r="F4023" t="s">
        <v>15066</v>
      </c>
      <c r="G4023">
        <v>100</v>
      </c>
      <c r="H4023">
        <v>0</v>
      </c>
      <c r="I4023" t="s">
        <v>24</v>
      </c>
      <c r="J4023" t="s">
        <v>15067</v>
      </c>
      <c r="K4023" t="s">
        <v>3578</v>
      </c>
      <c r="L4023" t="s">
        <v>27</v>
      </c>
      <c r="M4023" t="s">
        <v>28</v>
      </c>
      <c r="N4023" t="s">
        <v>15068</v>
      </c>
      <c r="O4023" t="s">
        <v>27</v>
      </c>
      <c r="P4023" t="s">
        <v>39</v>
      </c>
      <c r="Q4023" t="s">
        <v>31</v>
      </c>
      <c r="R4023" t="s">
        <v>32</v>
      </c>
      <c r="S4023" t="s">
        <v>28</v>
      </c>
      <c r="T4023" t="s">
        <v>15069</v>
      </c>
      <c r="U4023" t="s">
        <v>15065</v>
      </c>
    </row>
    <row r="4024" spans="1:21" x14ac:dyDescent="0.25">
      <c r="A4024" t="s">
        <v>33</v>
      </c>
      <c r="B4024" t="s">
        <v>34</v>
      </c>
      <c r="C4024">
        <v>200</v>
      </c>
      <c r="D4024">
        <v>1</v>
      </c>
      <c r="E4024">
        <v>0</v>
      </c>
      <c r="F4024" t="s">
        <v>15070</v>
      </c>
      <c r="G4024">
        <v>200</v>
      </c>
      <c r="H4024">
        <v>0</v>
      </c>
      <c r="I4024" t="s">
        <v>24</v>
      </c>
      <c r="J4024" t="s">
        <v>15071</v>
      </c>
      <c r="K4024" t="s">
        <v>250</v>
      </c>
      <c r="L4024" t="s">
        <v>27</v>
      </c>
      <c r="M4024" t="s">
        <v>28</v>
      </c>
      <c r="N4024" t="s">
        <v>15072</v>
      </c>
      <c r="O4024" t="s">
        <v>27</v>
      </c>
      <c r="P4024" t="s">
        <v>56</v>
      </c>
      <c r="Q4024" t="s">
        <v>31</v>
      </c>
      <c r="R4024" t="s">
        <v>57</v>
      </c>
      <c r="S4024" t="s">
        <v>28</v>
      </c>
      <c r="T4024" t="s">
        <v>15073</v>
      </c>
      <c r="U4024" t="s">
        <v>15065</v>
      </c>
    </row>
    <row r="4025" spans="1:21" x14ac:dyDescent="0.25">
      <c r="A4025" t="s">
        <v>2144</v>
      </c>
      <c r="B4025" t="s">
        <v>15074</v>
      </c>
      <c r="C4025">
        <v>160</v>
      </c>
      <c r="D4025">
        <v>1</v>
      </c>
      <c r="E4025">
        <v>0</v>
      </c>
      <c r="F4025" t="s">
        <v>15075</v>
      </c>
      <c r="G4025">
        <v>195</v>
      </c>
      <c r="H4025">
        <v>35</v>
      </c>
      <c r="I4025" t="s">
        <v>24</v>
      </c>
      <c r="J4025" t="s">
        <v>859</v>
      </c>
      <c r="K4025" t="s">
        <v>15076</v>
      </c>
      <c r="L4025" t="s">
        <v>2530</v>
      </c>
      <c r="M4025" t="s">
        <v>9367</v>
      </c>
      <c r="N4025" t="s">
        <v>15052</v>
      </c>
      <c r="O4025" t="s">
        <v>27</v>
      </c>
      <c r="P4025" t="s">
        <v>193</v>
      </c>
      <c r="Q4025" t="s">
        <v>85</v>
      </c>
      <c r="R4025" t="s">
        <v>86</v>
      </c>
      <c r="S4025" t="s">
        <v>28</v>
      </c>
      <c r="T4025" t="s">
        <v>15077</v>
      </c>
      <c r="U4025" t="s">
        <v>15052</v>
      </c>
    </row>
    <row r="4026" spans="1:21" x14ac:dyDescent="0.25">
      <c r="A4026" t="s">
        <v>63</v>
      </c>
      <c r="B4026" t="s">
        <v>64</v>
      </c>
      <c r="C4026">
        <v>100</v>
      </c>
      <c r="D4026">
        <v>1</v>
      </c>
      <c r="E4026">
        <v>0</v>
      </c>
      <c r="F4026" t="s">
        <v>15078</v>
      </c>
      <c r="G4026">
        <v>200</v>
      </c>
      <c r="H4026">
        <v>0</v>
      </c>
      <c r="I4026" t="s">
        <v>140</v>
      </c>
      <c r="J4026" t="s">
        <v>15079</v>
      </c>
      <c r="K4026" t="s">
        <v>15080</v>
      </c>
      <c r="L4026" t="s">
        <v>27</v>
      </c>
      <c r="M4026" t="s">
        <v>28</v>
      </c>
      <c r="N4026" t="s">
        <v>15081</v>
      </c>
      <c r="O4026" t="s">
        <v>27</v>
      </c>
      <c r="P4026" t="s">
        <v>30</v>
      </c>
      <c r="Q4026" t="s">
        <v>31</v>
      </c>
      <c r="R4026" t="s">
        <v>32</v>
      </c>
      <c r="S4026" t="s">
        <v>28</v>
      </c>
      <c r="T4026" t="s">
        <v>15082</v>
      </c>
      <c r="U4026" t="s">
        <v>15083</v>
      </c>
    </row>
    <row r="4027" spans="1:21" x14ac:dyDescent="0.25">
      <c r="A4027" t="s">
        <v>58</v>
      </c>
      <c r="B4027" t="s">
        <v>58</v>
      </c>
      <c r="C4027">
        <v>100</v>
      </c>
      <c r="D4027">
        <v>1</v>
      </c>
      <c r="E4027">
        <v>0</v>
      </c>
      <c r="F4027" t="s">
        <v>15078</v>
      </c>
      <c r="G4027">
        <v>200</v>
      </c>
      <c r="H4027">
        <v>0</v>
      </c>
      <c r="I4027" t="s">
        <v>140</v>
      </c>
      <c r="J4027" t="s">
        <v>15079</v>
      </c>
      <c r="K4027" t="s">
        <v>15080</v>
      </c>
      <c r="L4027" t="s">
        <v>27</v>
      </c>
      <c r="M4027" t="s">
        <v>28</v>
      </c>
      <c r="N4027" t="s">
        <v>15081</v>
      </c>
      <c r="O4027" t="s">
        <v>27</v>
      </c>
      <c r="P4027" t="s">
        <v>30</v>
      </c>
      <c r="Q4027" t="s">
        <v>31</v>
      </c>
      <c r="R4027" t="s">
        <v>32</v>
      </c>
      <c r="S4027" t="s">
        <v>28</v>
      </c>
      <c r="T4027" t="s">
        <v>15082</v>
      </c>
      <c r="U4027" t="s">
        <v>15083</v>
      </c>
    </row>
    <row r="4028" spans="1:21" x14ac:dyDescent="0.25">
      <c r="A4028" t="s">
        <v>58</v>
      </c>
      <c r="B4028" t="s">
        <v>58</v>
      </c>
      <c r="C4028">
        <v>100</v>
      </c>
      <c r="D4028">
        <v>1</v>
      </c>
      <c r="E4028">
        <v>0</v>
      </c>
      <c r="F4028" t="s">
        <v>15084</v>
      </c>
      <c r="G4028">
        <v>106</v>
      </c>
      <c r="H4028">
        <v>6</v>
      </c>
      <c r="I4028" t="s">
        <v>140</v>
      </c>
      <c r="J4028" t="s">
        <v>15085</v>
      </c>
      <c r="K4028" t="s">
        <v>37</v>
      </c>
      <c r="L4028" t="s">
        <v>27</v>
      </c>
      <c r="M4028" t="s">
        <v>28</v>
      </c>
      <c r="N4028" t="s">
        <v>15086</v>
      </c>
      <c r="O4028" t="s">
        <v>27</v>
      </c>
      <c r="P4028" t="s">
        <v>30</v>
      </c>
      <c r="Q4028" t="s">
        <v>31</v>
      </c>
      <c r="R4028" t="s">
        <v>32</v>
      </c>
      <c r="S4028" t="s">
        <v>28</v>
      </c>
      <c r="T4028" t="s">
        <v>15087</v>
      </c>
      <c r="U4028" t="s">
        <v>15083</v>
      </c>
    </row>
    <row r="4029" spans="1:21" x14ac:dyDescent="0.25">
      <c r="A4029" t="s">
        <v>2307</v>
      </c>
      <c r="B4029" t="s">
        <v>2308</v>
      </c>
      <c r="C4029">
        <v>330</v>
      </c>
      <c r="D4029">
        <v>1</v>
      </c>
      <c r="E4029">
        <v>0</v>
      </c>
      <c r="F4029" t="s">
        <v>15088</v>
      </c>
      <c r="G4029">
        <v>330</v>
      </c>
      <c r="H4029">
        <v>0</v>
      </c>
      <c r="I4029" t="s">
        <v>140</v>
      </c>
      <c r="J4029" t="s">
        <v>15089</v>
      </c>
      <c r="K4029" t="s">
        <v>147</v>
      </c>
      <c r="L4029" t="s">
        <v>27</v>
      </c>
      <c r="M4029" t="s">
        <v>28</v>
      </c>
      <c r="N4029" t="s">
        <v>15072</v>
      </c>
      <c r="O4029" t="s">
        <v>27</v>
      </c>
      <c r="P4029" t="s">
        <v>30</v>
      </c>
      <c r="Q4029" t="s">
        <v>31</v>
      </c>
      <c r="R4029" t="s">
        <v>32</v>
      </c>
      <c r="S4029" t="s">
        <v>28</v>
      </c>
      <c r="T4029" t="s">
        <v>15090</v>
      </c>
      <c r="U4029" t="s">
        <v>15083</v>
      </c>
    </row>
    <row r="4030" spans="1:21" x14ac:dyDescent="0.25">
      <c r="A4030" t="s">
        <v>33</v>
      </c>
      <c r="B4030" t="s">
        <v>34</v>
      </c>
      <c r="C4030">
        <v>200</v>
      </c>
      <c r="D4030">
        <v>1</v>
      </c>
      <c r="E4030">
        <v>0</v>
      </c>
      <c r="F4030" t="s">
        <v>15091</v>
      </c>
      <c r="G4030">
        <v>200</v>
      </c>
      <c r="H4030">
        <v>0</v>
      </c>
      <c r="I4030" t="s">
        <v>445</v>
      </c>
      <c r="J4030" t="s">
        <v>10032</v>
      </c>
      <c r="K4030" t="s">
        <v>89</v>
      </c>
      <c r="L4030" t="s">
        <v>27</v>
      </c>
      <c r="M4030" t="s">
        <v>28</v>
      </c>
      <c r="N4030" t="s">
        <v>15092</v>
      </c>
      <c r="O4030" t="s">
        <v>27</v>
      </c>
      <c r="P4030" t="s">
        <v>39</v>
      </c>
      <c r="Q4030" t="s">
        <v>31</v>
      </c>
      <c r="R4030" t="s">
        <v>32</v>
      </c>
      <c r="S4030" t="s">
        <v>28</v>
      </c>
      <c r="T4030" t="s">
        <v>15093</v>
      </c>
      <c r="U4030" t="s">
        <v>15094</v>
      </c>
    </row>
    <row r="4031" spans="1:21" x14ac:dyDescent="0.25">
      <c r="A4031" t="s">
        <v>33</v>
      </c>
      <c r="B4031" t="s">
        <v>34</v>
      </c>
      <c r="C4031">
        <v>200</v>
      </c>
      <c r="D4031">
        <v>1</v>
      </c>
      <c r="E4031">
        <v>0</v>
      </c>
      <c r="F4031" t="s">
        <v>15095</v>
      </c>
      <c r="G4031">
        <v>200</v>
      </c>
      <c r="H4031">
        <v>0</v>
      </c>
      <c r="I4031" t="s">
        <v>445</v>
      </c>
      <c r="J4031" t="s">
        <v>15096</v>
      </c>
      <c r="K4031" t="s">
        <v>54</v>
      </c>
      <c r="L4031" t="s">
        <v>27</v>
      </c>
      <c r="M4031" t="s">
        <v>28</v>
      </c>
      <c r="N4031" t="s">
        <v>15081</v>
      </c>
      <c r="O4031" t="s">
        <v>27</v>
      </c>
      <c r="P4031" t="s">
        <v>39</v>
      </c>
      <c r="Q4031" t="s">
        <v>31</v>
      </c>
      <c r="R4031" t="s">
        <v>32</v>
      </c>
      <c r="S4031" t="s">
        <v>28</v>
      </c>
      <c r="T4031" t="s">
        <v>15097</v>
      </c>
      <c r="U4031" t="s">
        <v>15098</v>
      </c>
    </row>
    <row r="4032" spans="1:21" x14ac:dyDescent="0.25">
      <c r="A4032" t="s">
        <v>143</v>
      </c>
      <c r="B4032" t="s">
        <v>144</v>
      </c>
      <c r="C4032">
        <v>200</v>
      </c>
      <c r="D4032">
        <v>1</v>
      </c>
      <c r="E4032">
        <v>0</v>
      </c>
      <c r="F4032" t="s">
        <v>15099</v>
      </c>
      <c r="G4032">
        <v>200</v>
      </c>
      <c r="H4032">
        <v>0</v>
      </c>
      <c r="I4032" t="s">
        <v>445</v>
      </c>
      <c r="J4032" t="s">
        <v>15100</v>
      </c>
      <c r="K4032" t="s">
        <v>250</v>
      </c>
      <c r="L4032" t="s">
        <v>27</v>
      </c>
      <c r="M4032" t="s">
        <v>28</v>
      </c>
      <c r="N4032" t="s">
        <v>15101</v>
      </c>
      <c r="O4032" t="s">
        <v>27</v>
      </c>
      <c r="P4032" t="s">
        <v>39</v>
      </c>
      <c r="Q4032" t="s">
        <v>31</v>
      </c>
      <c r="R4032" t="s">
        <v>32</v>
      </c>
      <c r="S4032" t="s">
        <v>28</v>
      </c>
      <c r="T4032" t="s">
        <v>15102</v>
      </c>
      <c r="U4032" t="s">
        <v>15098</v>
      </c>
    </row>
    <row r="4033" spans="1:21" x14ac:dyDescent="0.25">
      <c r="A4033" t="s">
        <v>33</v>
      </c>
      <c r="B4033" t="s">
        <v>34</v>
      </c>
      <c r="C4033">
        <v>200</v>
      </c>
      <c r="D4033">
        <v>1</v>
      </c>
      <c r="E4033">
        <v>0</v>
      </c>
      <c r="F4033" t="s">
        <v>15103</v>
      </c>
      <c r="G4033">
        <v>245</v>
      </c>
      <c r="H4033">
        <v>45</v>
      </c>
      <c r="I4033" t="s">
        <v>445</v>
      </c>
      <c r="J4033" t="s">
        <v>146</v>
      </c>
      <c r="K4033" t="s">
        <v>147</v>
      </c>
      <c r="L4033" t="s">
        <v>27</v>
      </c>
      <c r="M4033" t="s">
        <v>28</v>
      </c>
      <c r="N4033" t="s">
        <v>15104</v>
      </c>
      <c r="O4033" t="s">
        <v>27</v>
      </c>
      <c r="P4033" t="s">
        <v>39</v>
      </c>
      <c r="Q4033" t="s">
        <v>31</v>
      </c>
      <c r="R4033" t="s">
        <v>32</v>
      </c>
      <c r="S4033" t="s">
        <v>28</v>
      </c>
      <c r="T4033" t="s">
        <v>15105</v>
      </c>
      <c r="U4033" t="s">
        <v>15098</v>
      </c>
    </row>
    <row r="4034" spans="1:21" x14ac:dyDescent="0.25">
      <c r="A4034" t="s">
        <v>456</v>
      </c>
      <c r="B4034" t="s">
        <v>457</v>
      </c>
      <c r="C4034">
        <v>199</v>
      </c>
      <c r="D4034">
        <v>2</v>
      </c>
      <c r="E4034">
        <v>0</v>
      </c>
      <c r="F4034" t="s">
        <v>15106</v>
      </c>
      <c r="G4034">
        <v>456</v>
      </c>
      <c r="H4034">
        <v>58</v>
      </c>
      <c r="I4034" t="s">
        <v>24</v>
      </c>
      <c r="J4034" t="s">
        <v>15107</v>
      </c>
      <c r="K4034" t="s">
        <v>15108</v>
      </c>
      <c r="L4034" t="s">
        <v>2042</v>
      </c>
      <c r="M4034" t="s">
        <v>7919</v>
      </c>
      <c r="N4034" t="s">
        <v>15109</v>
      </c>
      <c r="O4034" t="s">
        <v>27</v>
      </c>
      <c r="P4034" t="s">
        <v>84</v>
      </c>
      <c r="Q4034" t="s">
        <v>85</v>
      </c>
      <c r="R4034" t="s">
        <v>86</v>
      </c>
      <c r="S4034" t="s">
        <v>28</v>
      </c>
      <c r="T4034" t="s">
        <v>15110</v>
      </c>
      <c r="U4034" t="s">
        <v>15111</v>
      </c>
    </row>
    <row r="4035" spans="1:21" x14ac:dyDescent="0.25">
      <c r="A4035" t="s">
        <v>33</v>
      </c>
      <c r="B4035" t="s">
        <v>34</v>
      </c>
      <c r="C4035">
        <v>200</v>
      </c>
      <c r="D4035">
        <v>1</v>
      </c>
      <c r="E4035">
        <v>0</v>
      </c>
      <c r="F4035" t="s">
        <v>15112</v>
      </c>
      <c r="G4035">
        <v>200</v>
      </c>
      <c r="H4035">
        <v>0</v>
      </c>
      <c r="I4035" t="s">
        <v>140</v>
      </c>
      <c r="J4035" t="s">
        <v>15113</v>
      </c>
      <c r="K4035" t="s">
        <v>1315</v>
      </c>
      <c r="L4035" t="s">
        <v>27</v>
      </c>
      <c r="M4035" t="s">
        <v>28</v>
      </c>
      <c r="N4035" t="s">
        <v>15114</v>
      </c>
      <c r="O4035" t="s">
        <v>27</v>
      </c>
      <c r="P4035" t="s">
        <v>369</v>
      </c>
      <c r="Q4035" t="s">
        <v>31</v>
      </c>
      <c r="R4035" t="s">
        <v>57</v>
      </c>
      <c r="S4035" t="s">
        <v>28</v>
      </c>
      <c r="T4035" t="s">
        <v>15115</v>
      </c>
      <c r="U4035" t="s">
        <v>15081</v>
      </c>
    </row>
    <row r="4036" spans="1:21" x14ac:dyDescent="0.25">
      <c r="A4036" t="s">
        <v>143</v>
      </c>
      <c r="B4036" t="s">
        <v>144</v>
      </c>
      <c r="C4036">
        <v>200</v>
      </c>
      <c r="D4036">
        <v>1</v>
      </c>
      <c r="E4036">
        <v>0</v>
      </c>
      <c r="F4036" t="s">
        <v>15116</v>
      </c>
      <c r="G4036">
        <v>200</v>
      </c>
      <c r="H4036">
        <v>0</v>
      </c>
      <c r="I4036" t="s">
        <v>445</v>
      </c>
      <c r="J4036" t="s">
        <v>15117</v>
      </c>
      <c r="K4036" t="s">
        <v>936</v>
      </c>
      <c r="L4036" t="s">
        <v>27</v>
      </c>
      <c r="M4036" t="s">
        <v>28</v>
      </c>
      <c r="N4036" t="s">
        <v>15118</v>
      </c>
      <c r="O4036" t="s">
        <v>27</v>
      </c>
      <c r="P4036" t="s">
        <v>39</v>
      </c>
      <c r="Q4036" t="s">
        <v>31</v>
      </c>
      <c r="R4036" t="s">
        <v>32</v>
      </c>
      <c r="S4036" t="s">
        <v>28</v>
      </c>
      <c r="T4036" t="s">
        <v>15119</v>
      </c>
      <c r="U4036" t="s">
        <v>15118</v>
      </c>
    </row>
    <row r="4037" spans="1:21" x14ac:dyDescent="0.25">
      <c r="A4037" t="s">
        <v>58</v>
      </c>
      <c r="B4037" t="s">
        <v>58</v>
      </c>
      <c r="C4037">
        <v>100</v>
      </c>
      <c r="D4037">
        <v>1</v>
      </c>
      <c r="E4037">
        <v>0</v>
      </c>
      <c r="F4037" t="s">
        <v>15120</v>
      </c>
      <c r="G4037">
        <v>129</v>
      </c>
      <c r="H4037">
        <v>29</v>
      </c>
      <c r="I4037" t="s">
        <v>445</v>
      </c>
      <c r="J4037" t="s">
        <v>15121</v>
      </c>
      <c r="K4037" t="s">
        <v>15122</v>
      </c>
      <c r="L4037" t="s">
        <v>2476</v>
      </c>
      <c r="M4037" t="s">
        <v>1708</v>
      </c>
      <c r="N4037" t="s">
        <v>15123</v>
      </c>
      <c r="O4037" t="s">
        <v>27</v>
      </c>
      <c r="P4037" t="s">
        <v>193</v>
      </c>
      <c r="Q4037" t="s">
        <v>85</v>
      </c>
      <c r="R4037" t="s">
        <v>86</v>
      </c>
      <c r="S4037" t="s">
        <v>28</v>
      </c>
      <c r="T4037" t="s">
        <v>15124</v>
      </c>
      <c r="U4037" t="s">
        <v>15123</v>
      </c>
    </row>
    <row r="4038" spans="1:21" x14ac:dyDescent="0.25">
      <c r="A4038" t="s">
        <v>13290</v>
      </c>
      <c r="B4038" t="s">
        <v>13291</v>
      </c>
      <c r="C4038">
        <v>100</v>
      </c>
      <c r="D4038">
        <v>1</v>
      </c>
      <c r="E4038">
        <v>0</v>
      </c>
      <c r="F4038" t="s">
        <v>15125</v>
      </c>
      <c r="G4038">
        <v>125</v>
      </c>
      <c r="H4038">
        <v>25</v>
      </c>
      <c r="I4038" t="s">
        <v>24</v>
      </c>
      <c r="J4038" t="s">
        <v>15126</v>
      </c>
      <c r="K4038" t="s">
        <v>54</v>
      </c>
      <c r="L4038" t="s">
        <v>27</v>
      </c>
      <c r="M4038" t="s">
        <v>28</v>
      </c>
      <c r="N4038" t="s">
        <v>15127</v>
      </c>
      <c r="O4038" t="s">
        <v>27</v>
      </c>
      <c r="P4038" t="s">
        <v>39</v>
      </c>
      <c r="Q4038" t="s">
        <v>31</v>
      </c>
      <c r="R4038" t="s">
        <v>32</v>
      </c>
      <c r="S4038" t="s">
        <v>28</v>
      </c>
      <c r="T4038" t="s">
        <v>15128</v>
      </c>
      <c r="U4038" t="s">
        <v>15123</v>
      </c>
    </row>
    <row r="4039" spans="1:21" x14ac:dyDescent="0.25">
      <c r="A4039" t="s">
        <v>13290</v>
      </c>
      <c r="B4039" t="s">
        <v>13291</v>
      </c>
      <c r="C4039">
        <v>100</v>
      </c>
      <c r="D4039">
        <v>1</v>
      </c>
      <c r="E4039">
        <v>0</v>
      </c>
      <c r="F4039" t="s">
        <v>15129</v>
      </c>
      <c r="G4039">
        <v>199</v>
      </c>
      <c r="H4039">
        <v>0</v>
      </c>
      <c r="I4039" t="s">
        <v>140</v>
      </c>
      <c r="J4039" t="s">
        <v>15130</v>
      </c>
      <c r="K4039" t="s">
        <v>285</v>
      </c>
      <c r="L4039" t="s">
        <v>27</v>
      </c>
      <c r="M4039" t="s">
        <v>28</v>
      </c>
      <c r="N4039" t="s">
        <v>15131</v>
      </c>
      <c r="O4039" t="s">
        <v>27</v>
      </c>
      <c r="P4039" t="s">
        <v>30</v>
      </c>
      <c r="Q4039" t="s">
        <v>31</v>
      </c>
      <c r="R4039" t="s">
        <v>32</v>
      </c>
      <c r="S4039" t="s">
        <v>28</v>
      </c>
      <c r="T4039" t="s">
        <v>15132</v>
      </c>
      <c r="U4039" t="s">
        <v>15131</v>
      </c>
    </row>
    <row r="4040" spans="1:21" x14ac:dyDescent="0.25">
      <c r="A4040" t="s">
        <v>134</v>
      </c>
      <c r="B4040" t="s">
        <v>64</v>
      </c>
      <c r="C4040">
        <v>100</v>
      </c>
      <c r="D4040">
        <v>1</v>
      </c>
      <c r="E4040">
        <v>0</v>
      </c>
      <c r="F4040" t="s">
        <v>15133</v>
      </c>
      <c r="G4040">
        <v>106</v>
      </c>
      <c r="H4040">
        <v>6</v>
      </c>
      <c r="I4040" t="s">
        <v>140</v>
      </c>
      <c r="J4040" t="s">
        <v>15134</v>
      </c>
      <c r="K4040" t="s">
        <v>466</v>
      </c>
      <c r="L4040" t="s">
        <v>27</v>
      </c>
      <c r="M4040" t="s">
        <v>28</v>
      </c>
      <c r="N4040" t="s">
        <v>15131</v>
      </c>
      <c r="O4040" t="s">
        <v>27</v>
      </c>
      <c r="P4040" t="s">
        <v>30</v>
      </c>
      <c r="Q4040" t="s">
        <v>31</v>
      </c>
      <c r="R4040" t="s">
        <v>32</v>
      </c>
      <c r="S4040" t="s">
        <v>28</v>
      </c>
      <c r="T4040" t="s">
        <v>15135</v>
      </c>
      <c r="U4040" t="s">
        <v>15131</v>
      </c>
    </row>
    <row r="4041" spans="1:21" x14ac:dyDescent="0.25">
      <c r="A4041" t="s">
        <v>134</v>
      </c>
      <c r="B4041" t="s">
        <v>64</v>
      </c>
      <c r="C4041">
        <v>100</v>
      </c>
      <c r="D4041">
        <v>3</v>
      </c>
      <c r="E4041">
        <v>0</v>
      </c>
      <c r="F4041" t="s">
        <v>15136</v>
      </c>
      <c r="G4041">
        <v>300</v>
      </c>
      <c r="H4041">
        <v>0</v>
      </c>
      <c r="I4041" t="s">
        <v>24</v>
      </c>
      <c r="J4041" t="s">
        <v>15137</v>
      </c>
      <c r="K4041" t="s">
        <v>67</v>
      </c>
      <c r="L4041" t="s">
        <v>27</v>
      </c>
      <c r="M4041" t="s">
        <v>28</v>
      </c>
      <c r="N4041" t="s">
        <v>15138</v>
      </c>
      <c r="O4041" t="s">
        <v>27</v>
      </c>
      <c r="P4041" t="s">
        <v>39</v>
      </c>
      <c r="Q4041" t="s">
        <v>31</v>
      </c>
      <c r="R4041" t="s">
        <v>32</v>
      </c>
      <c r="S4041" t="s">
        <v>28</v>
      </c>
      <c r="T4041" t="s">
        <v>15139</v>
      </c>
      <c r="U4041" t="s">
        <v>15140</v>
      </c>
    </row>
    <row r="4042" spans="1:21" x14ac:dyDescent="0.25">
      <c r="A4042" t="s">
        <v>143</v>
      </c>
      <c r="B4042" t="s">
        <v>144</v>
      </c>
      <c r="C4042">
        <v>200</v>
      </c>
      <c r="D4042">
        <v>1</v>
      </c>
      <c r="E4042">
        <v>0</v>
      </c>
      <c r="F4042" t="s">
        <v>15141</v>
      </c>
      <c r="G4042">
        <v>200</v>
      </c>
      <c r="H4042">
        <v>0</v>
      </c>
      <c r="I4042" t="s">
        <v>140</v>
      </c>
      <c r="J4042" t="s">
        <v>15142</v>
      </c>
      <c r="K4042" t="s">
        <v>151</v>
      </c>
      <c r="L4042" t="s">
        <v>27</v>
      </c>
      <c r="M4042" t="s">
        <v>28</v>
      </c>
      <c r="N4042" t="s">
        <v>15143</v>
      </c>
      <c r="O4042" t="s">
        <v>27</v>
      </c>
      <c r="P4042" t="s">
        <v>30</v>
      </c>
      <c r="Q4042" t="s">
        <v>31</v>
      </c>
      <c r="R4042" t="s">
        <v>32</v>
      </c>
      <c r="S4042" t="s">
        <v>28</v>
      </c>
      <c r="T4042" t="s">
        <v>15144</v>
      </c>
      <c r="U4042" t="s">
        <v>15143</v>
      </c>
    </row>
    <row r="4043" spans="1:21" x14ac:dyDescent="0.25">
      <c r="A4043" t="s">
        <v>493</v>
      </c>
      <c r="B4043" t="s">
        <v>494</v>
      </c>
      <c r="C4043">
        <v>149</v>
      </c>
      <c r="D4043">
        <v>1</v>
      </c>
      <c r="E4043">
        <v>0</v>
      </c>
      <c r="F4043" t="s">
        <v>15145</v>
      </c>
      <c r="G4043">
        <v>249</v>
      </c>
      <c r="H4043">
        <v>0</v>
      </c>
      <c r="I4043" t="s">
        <v>445</v>
      </c>
      <c r="J4043" t="s">
        <v>15146</v>
      </c>
      <c r="K4043" t="s">
        <v>346</v>
      </c>
      <c r="L4043" t="s">
        <v>27</v>
      </c>
      <c r="M4043" t="s">
        <v>28</v>
      </c>
      <c r="N4043" t="s">
        <v>15147</v>
      </c>
      <c r="O4043" t="s">
        <v>27</v>
      </c>
      <c r="P4043" t="s">
        <v>39</v>
      </c>
      <c r="Q4043" t="s">
        <v>31</v>
      </c>
      <c r="R4043" t="s">
        <v>32</v>
      </c>
      <c r="S4043" t="s">
        <v>28</v>
      </c>
      <c r="T4043" t="s">
        <v>15148</v>
      </c>
      <c r="U4043" t="s">
        <v>15147</v>
      </c>
    </row>
    <row r="4044" spans="1:21" x14ac:dyDescent="0.25">
      <c r="A4044" t="s">
        <v>58</v>
      </c>
      <c r="B4044" t="s">
        <v>58</v>
      </c>
      <c r="C4044">
        <v>100</v>
      </c>
      <c r="D4044">
        <v>1</v>
      </c>
      <c r="E4044">
        <v>0</v>
      </c>
      <c r="F4044" t="s">
        <v>15145</v>
      </c>
      <c r="G4044">
        <v>249</v>
      </c>
      <c r="H4044">
        <v>0</v>
      </c>
      <c r="I4044" t="s">
        <v>445</v>
      </c>
      <c r="J4044" t="s">
        <v>15146</v>
      </c>
      <c r="K4044" t="s">
        <v>346</v>
      </c>
      <c r="L4044" t="s">
        <v>27</v>
      </c>
      <c r="M4044" t="s">
        <v>28</v>
      </c>
      <c r="N4044" t="s">
        <v>15147</v>
      </c>
      <c r="O4044" t="s">
        <v>27</v>
      </c>
      <c r="P4044" t="s">
        <v>39</v>
      </c>
      <c r="Q4044" t="s">
        <v>31</v>
      </c>
      <c r="R4044" t="s">
        <v>32</v>
      </c>
      <c r="S4044" t="s">
        <v>28</v>
      </c>
      <c r="T4044" t="s">
        <v>15148</v>
      </c>
      <c r="U4044" t="s">
        <v>15147</v>
      </c>
    </row>
    <row r="4045" spans="1:21" x14ac:dyDescent="0.25">
      <c r="A4045" t="s">
        <v>63</v>
      </c>
      <c r="B4045" t="s">
        <v>64</v>
      </c>
      <c r="C4045">
        <v>100</v>
      </c>
      <c r="D4045">
        <v>2</v>
      </c>
      <c r="E4045">
        <v>0</v>
      </c>
      <c r="F4045" t="s">
        <v>15149</v>
      </c>
      <c r="G4045">
        <v>200</v>
      </c>
      <c r="H4045">
        <v>0</v>
      </c>
      <c r="I4045" t="s">
        <v>24</v>
      </c>
      <c r="J4045" t="s">
        <v>15150</v>
      </c>
      <c r="K4045" t="s">
        <v>2243</v>
      </c>
      <c r="L4045" t="s">
        <v>27</v>
      </c>
      <c r="M4045" t="s">
        <v>28</v>
      </c>
      <c r="N4045" t="s">
        <v>15147</v>
      </c>
      <c r="O4045" t="s">
        <v>27</v>
      </c>
      <c r="P4045" t="s">
        <v>39</v>
      </c>
      <c r="Q4045" t="s">
        <v>31</v>
      </c>
      <c r="R4045" t="s">
        <v>32</v>
      </c>
      <c r="S4045" t="s">
        <v>28</v>
      </c>
      <c r="T4045" t="s">
        <v>15151</v>
      </c>
      <c r="U4045" t="s">
        <v>15147</v>
      </c>
    </row>
    <row r="4046" spans="1:21" x14ac:dyDescent="0.25">
      <c r="A4046" t="s">
        <v>2295</v>
      </c>
      <c r="B4046" t="s">
        <v>2296</v>
      </c>
      <c r="C4046">
        <v>199</v>
      </c>
      <c r="D4046">
        <v>1</v>
      </c>
      <c r="E4046">
        <v>0</v>
      </c>
      <c r="F4046" t="s">
        <v>15152</v>
      </c>
      <c r="G4046">
        <v>199</v>
      </c>
      <c r="H4046">
        <v>0</v>
      </c>
      <c r="I4046" t="s">
        <v>720</v>
      </c>
      <c r="J4046" t="s">
        <v>15153</v>
      </c>
      <c r="K4046" t="s">
        <v>15154</v>
      </c>
      <c r="L4046" t="s">
        <v>13015</v>
      </c>
      <c r="M4046" t="s">
        <v>15155</v>
      </c>
      <c r="N4046" t="s">
        <v>15143</v>
      </c>
      <c r="O4046" t="s">
        <v>27</v>
      </c>
      <c r="P4046" t="s">
        <v>48</v>
      </c>
      <c r="Q4046" t="s">
        <v>49</v>
      </c>
      <c r="R4046" t="s">
        <v>50</v>
      </c>
      <c r="S4046" t="s">
        <v>28</v>
      </c>
      <c r="T4046" t="s">
        <v>15156</v>
      </c>
      <c r="U4046" t="s">
        <v>15157</v>
      </c>
    </row>
    <row r="4047" spans="1:21" x14ac:dyDescent="0.25">
      <c r="A4047" t="s">
        <v>635</v>
      </c>
      <c r="B4047" t="s">
        <v>636</v>
      </c>
      <c r="C4047">
        <v>800</v>
      </c>
      <c r="D4047">
        <v>1</v>
      </c>
      <c r="E4047">
        <v>0</v>
      </c>
      <c r="F4047" t="s">
        <v>15158</v>
      </c>
      <c r="G4047">
        <v>1133</v>
      </c>
      <c r="H4047">
        <v>134</v>
      </c>
      <c r="I4047" t="s">
        <v>24</v>
      </c>
      <c r="J4047" t="s">
        <v>15159</v>
      </c>
      <c r="K4047" t="s">
        <v>15160</v>
      </c>
      <c r="L4047" t="s">
        <v>5567</v>
      </c>
      <c r="M4047" t="s">
        <v>8502</v>
      </c>
      <c r="N4047" t="s">
        <v>15161</v>
      </c>
      <c r="O4047" t="s">
        <v>27</v>
      </c>
      <c r="P4047" t="s">
        <v>84</v>
      </c>
      <c r="Q4047" t="s">
        <v>85</v>
      </c>
      <c r="R4047" t="s">
        <v>86</v>
      </c>
      <c r="S4047" t="s">
        <v>28</v>
      </c>
      <c r="T4047" t="s">
        <v>15162</v>
      </c>
      <c r="U4047" t="s">
        <v>15157</v>
      </c>
    </row>
    <row r="4048" spans="1:21" x14ac:dyDescent="0.25">
      <c r="A4048" t="s">
        <v>456</v>
      </c>
      <c r="B4048" t="s">
        <v>457</v>
      </c>
      <c r="C4048">
        <v>199</v>
      </c>
      <c r="D4048">
        <v>1</v>
      </c>
      <c r="E4048">
        <v>0</v>
      </c>
      <c r="F4048" t="s">
        <v>15158</v>
      </c>
      <c r="G4048">
        <v>1133</v>
      </c>
      <c r="H4048">
        <v>134</v>
      </c>
      <c r="I4048" t="s">
        <v>24</v>
      </c>
      <c r="J4048" t="s">
        <v>15159</v>
      </c>
      <c r="K4048" t="s">
        <v>15160</v>
      </c>
      <c r="L4048" t="s">
        <v>5567</v>
      </c>
      <c r="M4048" t="s">
        <v>8502</v>
      </c>
      <c r="N4048" t="s">
        <v>15161</v>
      </c>
      <c r="O4048" t="s">
        <v>27</v>
      </c>
      <c r="P4048" t="s">
        <v>84</v>
      </c>
      <c r="Q4048" t="s">
        <v>85</v>
      </c>
      <c r="R4048" t="s">
        <v>86</v>
      </c>
      <c r="S4048" t="s">
        <v>28</v>
      </c>
      <c r="T4048" t="s">
        <v>15162</v>
      </c>
      <c r="U4048" t="s">
        <v>15157</v>
      </c>
    </row>
    <row r="4049" spans="1:21" x14ac:dyDescent="0.25">
      <c r="A4049" t="s">
        <v>134</v>
      </c>
      <c r="B4049" t="s">
        <v>64</v>
      </c>
      <c r="C4049">
        <v>120</v>
      </c>
      <c r="D4049">
        <v>1</v>
      </c>
      <c r="E4049">
        <v>0</v>
      </c>
      <c r="F4049" t="s">
        <v>15163</v>
      </c>
      <c r="G4049">
        <v>120</v>
      </c>
      <c r="H4049">
        <v>0</v>
      </c>
      <c r="I4049" t="s">
        <v>445</v>
      </c>
      <c r="J4049" t="s">
        <v>15164</v>
      </c>
      <c r="K4049" t="s">
        <v>15165</v>
      </c>
      <c r="L4049" t="s">
        <v>1397</v>
      </c>
      <c r="M4049" t="s">
        <v>3343</v>
      </c>
      <c r="N4049" t="s">
        <v>15157</v>
      </c>
      <c r="O4049" t="s">
        <v>27</v>
      </c>
      <c r="P4049" t="s">
        <v>193</v>
      </c>
      <c r="Q4049" t="s">
        <v>85</v>
      </c>
      <c r="R4049" t="s">
        <v>86</v>
      </c>
      <c r="S4049" t="s">
        <v>28</v>
      </c>
      <c r="T4049" t="s">
        <v>15166</v>
      </c>
      <c r="U4049" t="s">
        <v>15157</v>
      </c>
    </row>
    <row r="4050" spans="1:21" x14ac:dyDescent="0.25">
      <c r="A4050" t="s">
        <v>58</v>
      </c>
      <c r="B4050" t="s">
        <v>58</v>
      </c>
      <c r="C4050">
        <v>100</v>
      </c>
      <c r="D4050">
        <v>2</v>
      </c>
      <c r="E4050">
        <v>0</v>
      </c>
      <c r="F4050" t="s">
        <v>15167</v>
      </c>
      <c r="G4050">
        <v>200</v>
      </c>
      <c r="H4050">
        <v>0</v>
      </c>
      <c r="I4050" t="s">
        <v>140</v>
      </c>
      <c r="J4050" t="s">
        <v>15168</v>
      </c>
      <c r="K4050" t="s">
        <v>89</v>
      </c>
      <c r="L4050" t="s">
        <v>27</v>
      </c>
      <c r="M4050" t="s">
        <v>28</v>
      </c>
      <c r="N4050" t="s">
        <v>15169</v>
      </c>
      <c r="O4050" t="s">
        <v>27</v>
      </c>
      <c r="P4050" t="s">
        <v>30</v>
      </c>
      <c r="Q4050" t="s">
        <v>31</v>
      </c>
      <c r="R4050" t="s">
        <v>32</v>
      </c>
      <c r="S4050" t="s">
        <v>28</v>
      </c>
      <c r="T4050" t="s">
        <v>15170</v>
      </c>
      <c r="U4050" t="s">
        <v>15169</v>
      </c>
    </row>
    <row r="4051" spans="1:21" x14ac:dyDescent="0.25">
      <c r="A4051" t="s">
        <v>58</v>
      </c>
      <c r="B4051" t="s">
        <v>58</v>
      </c>
      <c r="C4051">
        <v>100</v>
      </c>
      <c r="D4051">
        <v>2</v>
      </c>
      <c r="E4051">
        <v>0</v>
      </c>
      <c r="F4051" t="s">
        <v>15171</v>
      </c>
      <c r="G4051">
        <v>229</v>
      </c>
      <c r="H4051">
        <v>29</v>
      </c>
      <c r="I4051" t="s">
        <v>445</v>
      </c>
      <c r="J4051" t="s">
        <v>11783</v>
      </c>
      <c r="K4051" t="s">
        <v>15172</v>
      </c>
      <c r="L4051" t="s">
        <v>2410</v>
      </c>
      <c r="M4051" t="s">
        <v>7030</v>
      </c>
      <c r="N4051" t="s">
        <v>15104</v>
      </c>
      <c r="O4051" t="s">
        <v>27</v>
      </c>
      <c r="P4051" t="s">
        <v>193</v>
      </c>
      <c r="Q4051" t="s">
        <v>85</v>
      </c>
      <c r="R4051" t="s">
        <v>86</v>
      </c>
      <c r="S4051" t="s">
        <v>28</v>
      </c>
      <c r="T4051" t="s">
        <v>15173</v>
      </c>
      <c r="U4051" t="s">
        <v>15174</v>
      </c>
    </row>
    <row r="4052" spans="1:21" x14ac:dyDescent="0.25">
      <c r="A4052" t="s">
        <v>2295</v>
      </c>
      <c r="B4052" t="s">
        <v>2854</v>
      </c>
      <c r="C4052">
        <v>170.05</v>
      </c>
      <c r="D4052">
        <v>1</v>
      </c>
      <c r="E4052">
        <v>0</v>
      </c>
      <c r="F4052" t="s">
        <v>15175</v>
      </c>
      <c r="G4052">
        <v>175.05</v>
      </c>
      <c r="H4052">
        <v>5</v>
      </c>
      <c r="I4052" t="s">
        <v>2856</v>
      </c>
      <c r="J4052" t="s">
        <v>15176</v>
      </c>
      <c r="K4052" t="s">
        <v>15177</v>
      </c>
      <c r="L4052" t="s">
        <v>1730</v>
      </c>
      <c r="M4052" t="s">
        <v>15178</v>
      </c>
      <c r="N4052" t="s">
        <v>15179</v>
      </c>
      <c r="O4052" t="s">
        <v>27</v>
      </c>
      <c r="P4052" t="s">
        <v>48</v>
      </c>
      <c r="Q4052" t="s">
        <v>49</v>
      </c>
      <c r="R4052" t="s">
        <v>50</v>
      </c>
      <c r="S4052" t="s">
        <v>28</v>
      </c>
      <c r="T4052" t="s">
        <v>15180</v>
      </c>
      <c r="U4052" t="s">
        <v>15179</v>
      </c>
    </row>
    <row r="4053" spans="1:21" x14ac:dyDescent="0.25">
      <c r="A4053" t="s">
        <v>63</v>
      </c>
      <c r="B4053" t="s">
        <v>64</v>
      </c>
      <c r="C4053">
        <v>100</v>
      </c>
      <c r="D4053">
        <v>1</v>
      </c>
      <c r="E4053">
        <v>0</v>
      </c>
      <c r="F4053" t="s">
        <v>15181</v>
      </c>
      <c r="G4053">
        <v>129</v>
      </c>
      <c r="H4053">
        <v>29</v>
      </c>
      <c r="I4053" t="s">
        <v>445</v>
      </c>
      <c r="J4053" t="s">
        <v>15182</v>
      </c>
      <c r="K4053" t="s">
        <v>247</v>
      </c>
      <c r="L4053" t="s">
        <v>27</v>
      </c>
      <c r="M4053" t="s">
        <v>28</v>
      </c>
      <c r="N4053" t="s">
        <v>15183</v>
      </c>
      <c r="O4053" t="s">
        <v>27</v>
      </c>
      <c r="P4053" t="s">
        <v>39</v>
      </c>
      <c r="Q4053" t="s">
        <v>31</v>
      </c>
      <c r="R4053" t="s">
        <v>32</v>
      </c>
      <c r="S4053" t="s">
        <v>28</v>
      </c>
      <c r="T4053" t="s">
        <v>15184</v>
      </c>
      <c r="U4053" t="s">
        <v>15183</v>
      </c>
    </row>
    <row r="4054" spans="1:21" x14ac:dyDescent="0.25">
      <c r="A4054" t="s">
        <v>33</v>
      </c>
      <c r="B4054" t="s">
        <v>34</v>
      </c>
      <c r="C4054">
        <v>200</v>
      </c>
      <c r="D4054">
        <v>1</v>
      </c>
      <c r="E4054">
        <v>0</v>
      </c>
      <c r="F4054" t="s">
        <v>15185</v>
      </c>
      <c r="G4054">
        <v>200</v>
      </c>
      <c r="H4054">
        <v>0</v>
      </c>
      <c r="I4054" t="s">
        <v>445</v>
      </c>
      <c r="J4054" t="s">
        <v>15186</v>
      </c>
      <c r="K4054" t="s">
        <v>67</v>
      </c>
      <c r="L4054" t="s">
        <v>27</v>
      </c>
      <c r="M4054" t="s">
        <v>28</v>
      </c>
      <c r="N4054" t="s">
        <v>15183</v>
      </c>
      <c r="O4054" t="s">
        <v>27</v>
      </c>
      <c r="P4054" t="s">
        <v>39</v>
      </c>
      <c r="Q4054" t="s">
        <v>31</v>
      </c>
      <c r="R4054" t="s">
        <v>32</v>
      </c>
      <c r="S4054" t="s">
        <v>28</v>
      </c>
      <c r="T4054" t="s">
        <v>15187</v>
      </c>
      <c r="U4054" t="s">
        <v>15183</v>
      </c>
    </row>
    <row r="4055" spans="1:21" x14ac:dyDescent="0.25">
      <c r="A4055" t="s">
        <v>58</v>
      </c>
      <c r="B4055" t="s">
        <v>58</v>
      </c>
      <c r="C4055">
        <v>100</v>
      </c>
      <c r="D4055">
        <v>1</v>
      </c>
      <c r="E4055">
        <v>0</v>
      </c>
      <c r="F4055" t="s">
        <v>15188</v>
      </c>
      <c r="G4055">
        <v>106</v>
      </c>
      <c r="H4055">
        <v>6</v>
      </c>
      <c r="I4055" t="s">
        <v>140</v>
      </c>
      <c r="J4055" t="s">
        <v>15189</v>
      </c>
      <c r="K4055" t="s">
        <v>89</v>
      </c>
      <c r="L4055" t="s">
        <v>27</v>
      </c>
      <c r="M4055" t="s">
        <v>28</v>
      </c>
      <c r="N4055" t="s">
        <v>15190</v>
      </c>
      <c r="O4055" t="s">
        <v>27</v>
      </c>
      <c r="P4055" t="s">
        <v>369</v>
      </c>
      <c r="Q4055" t="s">
        <v>31</v>
      </c>
      <c r="R4055" t="s">
        <v>57</v>
      </c>
      <c r="S4055" t="s">
        <v>28</v>
      </c>
      <c r="T4055" t="s">
        <v>15191</v>
      </c>
      <c r="U4055" t="s">
        <v>15192</v>
      </c>
    </row>
    <row r="4056" spans="1:21" x14ac:dyDescent="0.25">
      <c r="A4056" t="s">
        <v>58</v>
      </c>
      <c r="B4056" t="s">
        <v>58</v>
      </c>
      <c r="C4056">
        <v>100</v>
      </c>
      <c r="D4056">
        <v>2</v>
      </c>
      <c r="E4056">
        <v>0</v>
      </c>
      <c r="F4056" t="s">
        <v>15193</v>
      </c>
      <c r="G4056">
        <v>200</v>
      </c>
      <c r="H4056">
        <v>0</v>
      </c>
      <c r="I4056" t="s">
        <v>140</v>
      </c>
      <c r="J4056" t="s">
        <v>15194</v>
      </c>
      <c r="K4056" t="s">
        <v>67</v>
      </c>
      <c r="L4056" t="s">
        <v>27</v>
      </c>
      <c r="M4056" t="s">
        <v>28</v>
      </c>
      <c r="N4056" t="s">
        <v>15195</v>
      </c>
      <c r="O4056" t="s">
        <v>27</v>
      </c>
      <c r="P4056" t="s">
        <v>369</v>
      </c>
      <c r="Q4056" t="s">
        <v>31</v>
      </c>
      <c r="R4056" t="s">
        <v>57</v>
      </c>
      <c r="S4056" t="s">
        <v>28</v>
      </c>
      <c r="T4056" t="s">
        <v>15196</v>
      </c>
      <c r="U4056" t="s">
        <v>15195</v>
      </c>
    </row>
    <row r="4057" spans="1:21" x14ac:dyDescent="0.25">
      <c r="A4057" t="s">
        <v>456</v>
      </c>
      <c r="B4057" t="s">
        <v>457</v>
      </c>
      <c r="C4057">
        <v>199</v>
      </c>
      <c r="D4057">
        <v>1</v>
      </c>
      <c r="E4057">
        <v>0</v>
      </c>
      <c r="F4057" t="s">
        <v>15197</v>
      </c>
      <c r="G4057">
        <v>234</v>
      </c>
      <c r="H4057">
        <v>35</v>
      </c>
      <c r="I4057" t="s">
        <v>24</v>
      </c>
      <c r="J4057" t="s">
        <v>15198</v>
      </c>
      <c r="K4057" t="s">
        <v>15199</v>
      </c>
      <c r="L4057" t="s">
        <v>7252</v>
      </c>
      <c r="M4057" t="s">
        <v>886</v>
      </c>
      <c r="N4057" t="s">
        <v>15200</v>
      </c>
      <c r="O4057" t="s">
        <v>27</v>
      </c>
      <c r="P4057" t="s">
        <v>193</v>
      </c>
      <c r="Q4057" t="s">
        <v>85</v>
      </c>
      <c r="R4057" t="s">
        <v>86</v>
      </c>
      <c r="S4057" t="s">
        <v>28</v>
      </c>
      <c r="T4057" t="s">
        <v>15201</v>
      </c>
      <c r="U4057" t="s">
        <v>15200</v>
      </c>
    </row>
    <row r="4058" spans="1:21" x14ac:dyDescent="0.25">
      <c r="A4058" t="s">
        <v>143</v>
      </c>
      <c r="B4058" t="s">
        <v>144</v>
      </c>
      <c r="C4058">
        <v>200</v>
      </c>
      <c r="D4058">
        <v>1</v>
      </c>
      <c r="E4058">
        <v>0</v>
      </c>
      <c r="F4058" t="s">
        <v>15202</v>
      </c>
      <c r="G4058">
        <v>200</v>
      </c>
      <c r="H4058">
        <v>0</v>
      </c>
      <c r="I4058" t="s">
        <v>445</v>
      </c>
      <c r="J4058" t="s">
        <v>15203</v>
      </c>
      <c r="K4058" t="s">
        <v>54</v>
      </c>
      <c r="L4058" t="s">
        <v>27</v>
      </c>
      <c r="M4058" t="s">
        <v>28</v>
      </c>
      <c r="N4058" t="s">
        <v>15200</v>
      </c>
      <c r="O4058" t="s">
        <v>27</v>
      </c>
      <c r="P4058" t="s">
        <v>39</v>
      </c>
      <c r="Q4058" t="s">
        <v>31</v>
      </c>
      <c r="R4058" t="s">
        <v>32</v>
      </c>
      <c r="S4058" t="s">
        <v>28</v>
      </c>
      <c r="T4058" t="s">
        <v>15204</v>
      </c>
      <c r="U4058" t="s">
        <v>15200</v>
      </c>
    </row>
    <row r="4059" spans="1:21" x14ac:dyDescent="0.25">
      <c r="A4059" t="s">
        <v>134</v>
      </c>
      <c r="B4059" t="s">
        <v>64</v>
      </c>
      <c r="C4059">
        <v>100</v>
      </c>
      <c r="D4059">
        <v>1</v>
      </c>
      <c r="E4059">
        <v>0</v>
      </c>
      <c r="F4059" t="s">
        <v>15205</v>
      </c>
      <c r="G4059">
        <v>106</v>
      </c>
      <c r="H4059">
        <v>6</v>
      </c>
      <c r="I4059" t="s">
        <v>445</v>
      </c>
      <c r="J4059" t="s">
        <v>15206</v>
      </c>
      <c r="K4059" t="s">
        <v>5378</v>
      </c>
      <c r="L4059" t="s">
        <v>27</v>
      </c>
      <c r="M4059" t="s">
        <v>28</v>
      </c>
      <c r="N4059" t="s">
        <v>15207</v>
      </c>
      <c r="O4059" t="s">
        <v>27</v>
      </c>
      <c r="P4059" t="s">
        <v>39</v>
      </c>
      <c r="Q4059" t="s">
        <v>31</v>
      </c>
      <c r="R4059" t="s">
        <v>32</v>
      </c>
      <c r="S4059" t="s">
        <v>28</v>
      </c>
      <c r="T4059" t="s">
        <v>15208</v>
      </c>
      <c r="U4059" t="s">
        <v>15207</v>
      </c>
    </row>
    <row r="4060" spans="1:21" x14ac:dyDescent="0.25">
      <c r="A4060" t="s">
        <v>13290</v>
      </c>
      <c r="B4060" t="s">
        <v>13291</v>
      </c>
      <c r="C4060">
        <v>100</v>
      </c>
      <c r="D4060">
        <v>1</v>
      </c>
      <c r="E4060">
        <v>0</v>
      </c>
      <c r="F4060" t="s">
        <v>15209</v>
      </c>
      <c r="G4060">
        <v>125</v>
      </c>
      <c r="H4060">
        <v>25</v>
      </c>
      <c r="I4060" t="s">
        <v>445</v>
      </c>
      <c r="J4060" t="s">
        <v>15210</v>
      </c>
      <c r="K4060" t="s">
        <v>5225</v>
      </c>
      <c r="L4060" t="s">
        <v>27</v>
      </c>
      <c r="M4060" t="s">
        <v>28</v>
      </c>
      <c r="N4060" t="s">
        <v>15211</v>
      </c>
      <c r="O4060" t="s">
        <v>27</v>
      </c>
      <c r="P4060" t="s">
        <v>39</v>
      </c>
      <c r="Q4060" t="s">
        <v>31</v>
      </c>
      <c r="R4060" t="s">
        <v>32</v>
      </c>
      <c r="S4060" t="s">
        <v>28</v>
      </c>
      <c r="T4060" t="s">
        <v>15212</v>
      </c>
      <c r="U4060" t="s">
        <v>15211</v>
      </c>
    </row>
    <row r="4061" spans="1:21" x14ac:dyDescent="0.25">
      <c r="A4061" t="s">
        <v>33</v>
      </c>
      <c r="B4061" t="s">
        <v>34</v>
      </c>
      <c r="C4061">
        <v>200</v>
      </c>
      <c r="D4061">
        <v>1</v>
      </c>
      <c r="E4061">
        <v>0</v>
      </c>
      <c r="F4061" t="s">
        <v>15213</v>
      </c>
      <c r="G4061">
        <v>200</v>
      </c>
      <c r="H4061">
        <v>0</v>
      </c>
      <c r="I4061" t="s">
        <v>445</v>
      </c>
      <c r="J4061" t="s">
        <v>2090</v>
      </c>
      <c r="K4061" t="s">
        <v>14775</v>
      </c>
      <c r="L4061" t="s">
        <v>27</v>
      </c>
      <c r="M4061" t="s">
        <v>28</v>
      </c>
      <c r="N4061" t="s">
        <v>15211</v>
      </c>
      <c r="O4061" t="s">
        <v>27</v>
      </c>
      <c r="P4061" t="s">
        <v>39</v>
      </c>
      <c r="Q4061" t="s">
        <v>31</v>
      </c>
      <c r="R4061" t="s">
        <v>32</v>
      </c>
      <c r="S4061" t="s">
        <v>28</v>
      </c>
      <c r="T4061" t="s">
        <v>15214</v>
      </c>
      <c r="U4061" t="s">
        <v>15211</v>
      </c>
    </row>
    <row r="4062" spans="1:21" x14ac:dyDescent="0.25">
      <c r="A4062" t="s">
        <v>58</v>
      </c>
      <c r="B4062" t="s">
        <v>58</v>
      </c>
      <c r="C4062">
        <v>100</v>
      </c>
      <c r="D4062">
        <v>1</v>
      </c>
      <c r="E4062">
        <v>0</v>
      </c>
      <c r="F4062" t="s">
        <v>15215</v>
      </c>
      <c r="G4062">
        <v>100</v>
      </c>
      <c r="H4062">
        <v>0</v>
      </c>
      <c r="I4062" t="s">
        <v>140</v>
      </c>
      <c r="J4062" t="s">
        <v>15216</v>
      </c>
      <c r="K4062" t="s">
        <v>247</v>
      </c>
      <c r="L4062" t="s">
        <v>27</v>
      </c>
      <c r="M4062" t="s">
        <v>28</v>
      </c>
      <c r="N4062" t="s">
        <v>15217</v>
      </c>
      <c r="O4062" t="s">
        <v>27</v>
      </c>
      <c r="P4062" t="s">
        <v>30</v>
      </c>
      <c r="Q4062" t="s">
        <v>31</v>
      </c>
      <c r="R4062" t="s">
        <v>32</v>
      </c>
      <c r="S4062" t="s">
        <v>28</v>
      </c>
      <c r="T4062" t="s">
        <v>15218</v>
      </c>
      <c r="U4062" t="s">
        <v>15217</v>
      </c>
    </row>
    <row r="4063" spans="1:21" x14ac:dyDescent="0.25">
      <c r="A4063" t="s">
        <v>33</v>
      </c>
      <c r="B4063" t="s">
        <v>34</v>
      </c>
      <c r="C4063">
        <v>200</v>
      </c>
      <c r="D4063">
        <v>1</v>
      </c>
      <c r="E4063">
        <v>0</v>
      </c>
      <c r="F4063" t="s">
        <v>15219</v>
      </c>
      <c r="G4063">
        <v>300</v>
      </c>
      <c r="H4063">
        <v>0</v>
      </c>
      <c r="I4063" t="s">
        <v>24</v>
      </c>
      <c r="J4063" t="s">
        <v>8120</v>
      </c>
      <c r="K4063" t="s">
        <v>118</v>
      </c>
      <c r="L4063" t="s">
        <v>27</v>
      </c>
      <c r="M4063" t="s">
        <v>28</v>
      </c>
      <c r="N4063" t="s">
        <v>15217</v>
      </c>
      <c r="O4063" t="s">
        <v>27</v>
      </c>
      <c r="P4063" t="s">
        <v>39</v>
      </c>
      <c r="Q4063" t="s">
        <v>31</v>
      </c>
      <c r="R4063" t="s">
        <v>32</v>
      </c>
      <c r="S4063" t="s">
        <v>28</v>
      </c>
      <c r="T4063" t="s">
        <v>15220</v>
      </c>
      <c r="U4063" t="s">
        <v>15217</v>
      </c>
    </row>
    <row r="4064" spans="1:21" x14ac:dyDescent="0.25">
      <c r="A4064" t="s">
        <v>63</v>
      </c>
      <c r="B4064" t="s">
        <v>64</v>
      </c>
      <c r="C4064">
        <v>100</v>
      </c>
      <c r="D4064">
        <v>1</v>
      </c>
      <c r="E4064">
        <v>0</v>
      </c>
      <c r="F4064" t="s">
        <v>15219</v>
      </c>
      <c r="G4064">
        <v>300</v>
      </c>
      <c r="H4064">
        <v>0</v>
      </c>
      <c r="I4064" t="s">
        <v>24</v>
      </c>
      <c r="J4064" t="s">
        <v>8120</v>
      </c>
      <c r="K4064" t="s">
        <v>118</v>
      </c>
      <c r="L4064" t="s">
        <v>27</v>
      </c>
      <c r="M4064" t="s">
        <v>28</v>
      </c>
      <c r="N4064" t="s">
        <v>15217</v>
      </c>
      <c r="O4064" t="s">
        <v>27</v>
      </c>
      <c r="P4064" t="s">
        <v>39</v>
      </c>
      <c r="Q4064" t="s">
        <v>31</v>
      </c>
      <c r="R4064" t="s">
        <v>32</v>
      </c>
      <c r="S4064" t="s">
        <v>28</v>
      </c>
      <c r="T4064" t="s">
        <v>15220</v>
      </c>
      <c r="U4064" t="s">
        <v>15217</v>
      </c>
    </row>
    <row r="4065" spans="1:21" x14ac:dyDescent="0.25">
      <c r="A4065" t="s">
        <v>134</v>
      </c>
      <c r="B4065" t="s">
        <v>64</v>
      </c>
      <c r="C4065">
        <v>100</v>
      </c>
      <c r="D4065">
        <v>1</v>
      </c>
      <c r="E4065">
        <v>0</v>
      </c>
      <c r="F4065" t="s">
        <v>15221</v>
      </c>
      <c r="G4065">
        <v>106</v>
      </c>
      <c r="H4065">
        <v>6</v>
      </c>
      <c r="I4065" t="s">
        <v>24</v>
      </c>
      <c r="J4065" t="s">
        <v>15222</v>
      </c>
      <c r="K4065" t="s">
        <v>37</v>
      </c>
      <c r="L4065" t="s">
        <v>27</v>
      </c>
      <c r="M4065" t="s">
        <v>28</v>
      </c>
      <c r="N4065" t="s">
        <v>15223</v>
      </c>
      <c r="O4065" t="s">
        <v>27</v>
      </c>
      <c r="P4065" t="s">
        <v>39</v>
      </c>
      <c r="Q4065" t="s">
        <v>31</v>
      </c>
      <c r="R4065" t="s">
        <v>32</v>
      </c>
      <c r="S4065" t="s">
        <v>28</v>
      </c>
      <c r="T4065" t="s">
        <v>15224</v>
      </c>
      <c r="U4065" t="s">
        <v>15223</v>
      </c>
    </row>
    <row r="4066" spans="1:21" x14ac:dyDescent="0.25">
      <c r="A4066" t="s">
        <v>63</v>
      </c>
      <c r="B4066" t="s">
        <v>64</v>
      </c>
      <c r="C4066">
        <v>100</v>
      </c>
      <c r="D4066">
        <v>1</v>
      </c>
      <c r="E4066">
        <v>0</v>
      </c>
      <c r="F4066" t="s">
        <v>15225</v>
      </c>
      <c r="G4066">
        <v>100</v>
      </c>
      <c r="H4066">
        <v>0</v>
      </c>
      <c r="I4066" t="s">
        <v>24</v>
      </c>
      <c r="J4066" t="s">
        <v>6179</v>
      </c>
      <c r="K4066" t="s">
        <v>26</v>
      </c>
      <c r="L4066" t="s">
        <v>27</v>
      </c>
      <c r="M4066" t="s">
        <v>28</v>
      </c>
      <c r="N4066" t="s">
        <v>15226</v>
      </c>
      <c r="O4066" t="s">
        <v>27</v>
      </c>
      <c r="P4066" t="s">
        <v>39</v>
      </c>
      <c r="Q4066" t="s">
        <v>31</v>
      </c>
      <c r="R4066" t="s">
        <v>32</v>
      </c>
      <c r="S4066" t="s">
        <v>28</v>
      </c>
      <c r="T4066" t="s">
        <v>15227</v>
      </c>
      <c r="U4066" t="s">
        <v>15226</v>
      </c>
    </row>
    <row r="4067" spans="1:21" x14ac:dyDescent="0.25">
      <c r="A4067" t="s">
        <v>143</v>
      </c>
      <c r="B4067" t="s">
        <v>144</v>
      </c>
      <c r="C4067">
        <v>200</v>
      </c>
      <c r="D4067">
        <v>1</v>
      </c>
      <c r="E4067">
        <v>0</v>
      </c>
      <c r="F4067" t="s">
        <v>15228</v>
      </c>
      <c r="G4067">
        <v>200</v>
      </c>
      <c r="H4067">
        <v>0</v>
      </c>
      <c r="I4067" t="s">
        <v>445</v>
      </c>
      <c r="J4067" t="s">
        <v>15229</v>
      </c>
      <c r="K4067" t="s">
        <v>73</v>
      </c>
      <c r="L4067" t="s">
        <v>27</v>
      </c>
      <c r="M4067" t="s">
        <v>28</v>
      </c>
      <c r="N4067" t="s">
        <v>15230</v>
      </c>
      <c r="O4067" t="s">
        <v>27</v>
      </c>
      <c r="P4067" t="s">
        <v>39</v>
      </c>
      <c r="Q4067" t="s">
        <v>31</v>
      </c>
      <c r="R4067" t="s">
        <v>32</v>
      </c>
      <c r="S4067" t="s">
        <v>28</v>
      </c>
      <c r="T4067" t="s">
        <v>15231</v>
      </c>
      <c r="U4067" t="s">
        <v>15232</v>
      </c>
    </row>
    <row r="4068" spans="1:21" x14ac:dyDescent="0.25">
      <c r="A4068" t="s">
        <v>58</v>
      </c>
      <c r="B4068" t="s">
        <v>58</v>
      </c>
      <c r="C4068">
        <v>100</v>
      </c>
      <c r="D4068">
        <v>1</v>
      </c>
      <c r="E4068">
        <v>0</v>
      </c>
      <c r="F4068" t="s">
        <v>15233</v>
      </c>
      <c r="G4068">
        <v>100</v>
      </c>
      <c r="H4068">
        <v>0</v>
      </c>
      <c r="I4068" t="s">
        <v>24</v>
      </c>
      <c r="J4068" t="s">
        <v>15234</v>
      </c>
      <c r="K4068" t="s">
        <v>653</v>
      </c>
      <c r="L4068" t="s">
        <v>27</v>
      </c>
      <c r="M4068" t="s">
        <v>28</v>
      </c>
      <c r="N4068" t="s">
        <v>15235</v>
      </c>
      <c r="O4068" t="s">
        <v>27</v>
      </c>
      <c r="P4068" t="s">
        <v>39</v>
      </c>
      <c r="Q4068" t="s">
        <v>31</v>
      </c>
      <c r="R4068" t="s">
        <v>32</v>
      </c>
      <c r="S4068" t="s">
        <v>28</v>
      </c>
      <c r="T4068" t="s">
        <v>15236</v>
      </c>
      <c r="U4068" t="s">
        <v>15235</v>
      </c>
    </row>
    <row r="4069" spans="1:21" x14ac:dyDescent="0.25">
      <c r="A4069" t="s">
        <v>33</v>
      </c>
      <c r="B4069" t="s">
        <v>34</v>
      </c>
      <c r="C4069">
        <v>200</v>
      </c>
      <c r="D4069">
        <v>1</v>
      </c>
      <c r="E4069">
        <v>0</v>
      </c>
      <c r="F4069" t="s">
        <v>15237</v>
      </c>
      <c r="G4069">
        <v>200</v>
      </c>
      <c r="H4069">
        <v>0</v>
      </c>
      <c r="I4069" t="s">
        <v>140</v>
      </c>
      <c r="J4069" t="s">
        <v>8036</v>
      </c>
      <c r="K4069" t="s">
        <v>466</v>
      </c>
      <c r="L4069" t="s">
        <v>27</v>
      </c>
      <c r="M4069" t="s">
        <v>28</v>
      </c>
      <c r="N4069" t="s">
        <v>15238</v>
      </c>
      <c r="O4069" t="s">
        <v>27</v>
      </c>
      <c r="P4069" t="s">
        <v>30</v>
      </c>
      <c r="Q4069" t="s">
        <v>31</v>
      </c>
      <c r="R4069" t="s">
        <v>32</v>
      </c>
      <c r="S4069" t="s">
        <v>28</v>
      </c>
      <c r="T4069" t="s">
        <v>15239</v>
      </c>
      <c r="U4069" t="s">
        <v>15238</v>
      </c>
    </row>
    <row r="4070" spans="1:21" x14ac:dyDescent="0.25">
      <c r="A4070" t="s">
        <v>58</v>
      </c>
      <c r="B4070" t="s">
        <v>58</v>
      </c>
      <c r="C4070">
        <v>100</v>
      </c>
      <c r="D4070">
        <v>2</v>
      </c>
      <c r="E4070">
        <v>0</v>
      </c>
      <c r="F4070" t="s">
        <v>15240</v>
      </c>
      <c r="G4070">
        <v>200</v>
      </c>
      <c r="H4070">
        <v>0</v>
      </c>
      <c r="I4070" t="s">
        <v>24</v>
      </c>
      <c r="J4070" t="s">
        <v>6407</v>
      </c>
      <c r="K4070" t="s">
        <v>451</v>
      </c>
      <c r="L4070" t="s">
        <v>27</v>
      </c>
      <c r="M4070" t="s">
        <v>28</v>
      </c>
      <c r="N4070" t="s">
        <v>15241</v>
      </c>
      <c r="O4070" t="s">
        <v>27</v>
      </c>
      <c r="P4070" t="s">
        <v>39</v>
      </c>
      <c r="Q4070" t="s">
        <v>31</v>
      </c>
      <c r="R4070" t="s">
        <v>32</v>
      </c>
      <c r="S4070" t="s">
        <v>28</v>
      </c>
      <c r="T4070" t="s">
        <v>15242</v>
      </c>
      <c r="U4070" t="s">
        <v>15241</v>
      </c>
    </row>
    <row r="4071" spans="1:21" x14ac:dyDescent="0.25">
      <c r="A4071" t="s">
        <v>143</v>
      </c>
      <c r="B4071" t="s">
        <v>144</v>
      </c>
      <c r="C4071">
        <v>200</v>
      </c>
      <c r="D4071">
        <v>1</v>
      </c>
      <c r="E4071">
        <v>0</v>
      </c>
      <c r="F4071" t="s">
        <v>15243</v>
      </c>
      <c r="G4071">
        <v>200</v>
      </c>
      <c r="H4071">
        <v>0</v>
      </c>
      <c r="I4071" t="s">
        <v>445</v>
      </c>
      <c r="J4071" t="s">
        <v>15244</v>
      </c>
      <c r="K4071" t="s">
        <v>15245</v>
      </c>
      <c r="L4071" t="s">
        <v>27</v>
      </c>
      <c r="M4071" t="s">
        <v>28</v>
      </c>
      <c r="N4071" t="s">
        <v>15241</v>
      </c>
      <c r="O4071" t="s">
        <v>27</v>
      </c>
      <c r="P4071" t="s">
        <v>39</v>
      </c>
      <c r="Q4071" t="s">
        <v>31</v>
      </c>
      <c r="R4071" t="s">
        <v>32</v>
      </c>
      <c r="S4071" t="s">
        <v>28</v>
      </c>
      <c r="T4071" t="s">
        <v>15246</v>
      </c>
      <c r="U4071" t="s">
        <v>15241</v>
      </c>
    </row>
    <row r="4072" spans="1:21" x14ac:dyDescent="0.25">
      <c r="A4072" t="s">
        <v>33</v>
      </c>
      <c r="B4072" t="s">
        <v>34</v>
      </c>
      <c r="C4072">
        <v>200</v>
      </c>
      <c r="D4072">
        <v>1</v>
      </c>
      <c r="E4072">
        <v>0</v>
      </c>
      <c r="F4072" t="s">
        <v>15247</v>
      </c>
      <c r="G4072">
        <v>200</v>
      </c>
      <c r="H4072">
        <v>0</v>
      </c>
      <c r="I4072" t="s">
        <v>24</v>
      </c>
      <c r="J4072" t="s">
        <v>15248</v>
      </c>
      <c r="K4072" t="s">
        <v>346</v>
      </c>
      <c r="L4072" t="s">
        <v>27</v>
      </c>
      <c r="M4072" t="s">
        <v>28</v>
      </c>
      <c r="N4072" t="s">
        <v>15241</v>
      </c>
      <c r="O4072" t="s">
        <v>27</v>
      </c>
      <c r="P4072" t="s">
        <v>39</v>
      </c>
      <c r="Q4072" t="s">
        <v>31</v>
      </c>
      <c r="R4072" t="s">
        <v>32</v>
      </c>
      <c r="S4072" t="s">
        <v>28</v>
      </c>
      <c r="T4072" t="s">
        <v>15249</v>
      </c>
      <c r="U4072" t="s">
        <v>15241</v>
      </c>
    </row>
    <row r="4073" spans="1:21" x14ac:dyDescent="0.25">
      <c r="A4073" t="s">
        <v>33</v>
      </c>
      <c r="B4073" t="s">
        <v>34</v>
      </c>
      <c r="C4073">
        <v>200</v>
      </c>
      <c r="D4073">
        <v>1</v>
      </c>
      <c r="E4073">
        <v>0</v>
      </c>
      <c r="F4073" t="s">
        <v>15250</v>
      </c>
      <c r="G4073">
        <v>200</v>
      </c>
      <c r="H4073">
        <v>0</v>
      </c>
      <c r="I4073" t="s">
        <v>445</v>
      </c>
      <c r="J4073" t="s">
        <v>15251</v>
      </c>
      <c r="K4073" t="s">
        <v>753</v>
      </c>
      <c r="L4073" t="s">
        <v>27</v>
      </c>
      <c r="M4073" t="s">
        <v>28</v>
      </c>
      <c r="N4073" t="s">
        <v>15252</v>
      </c>
      <c r="O4073" t="s">
        <v>27</v>
      </c>
      <c r="P4073" t="s">
        <v>39</v>
      </c>
      <c r="Q4073" t="s">
        <v>31</v>
      </c>
      <c r="R4073" t="s">
        <v>32</v>
      </c>
      <c r="S4073" t="s">
        <v>28</v>
      </c>
      <c r="T4073" t="s">
        <v>15253</v>
      </c>
      <c r="U4073" t="s">
        <v>15252</v>
      </c>
    </row>
    <row r="4074" spans="1:21" x14ac:dyDescent="0.25">
      <c r="A4074" t="s">
        <v>143</v>
      </c>
      <c r="B4074" t="s">
        <v>144</v>
      </c>
      <c r="C4074">
        <v>200</v>
      </c>
      <c r="D4074">
        <v>1</v>
      </c>
      <c r="E4074">
        <v>0</v>
      </c>
      <c r="F4074" t="s">
        <v>15254</v>
      </c>
      <c r="G4074">
        <v>200</v>
      </c>
      <c r="H4074">
        <v>0</v>
      </c>
      <c r="I4074" t="s">
        <v>140</v>
      </c>
      <c r="J4074" t="s">
        <v>796</v>
      </c>
      <c r="K4074" t="s">
        <v>466</v>
      </c>
      <c r="L4074" t="s">
        <v>27</v>
      </c>
      <c r="M4074" t="s">
        <v>28</v>
      </c>
      <c r="N4074" t="s">
        <v>15255</v>
      </c>
      <c r="O4074" t="s">
        <v>27</v>
      </c>
      <c r="P4074" t="s">
        <v>30</v>
      </c>
      <c r="Q4074" t="s">
        <v>31</v>
      </c>
      <c r="R4074" t="s">
        <v>32</v>
      </c>
      <c r="S4074" t="s">
        <v>28</v>
      </c>
      <c r="T4074" t="s">
        <v>15256</v>
      </c>
      <c r="U4074" t="s">
        <v>15255</v>
      </c>
    </row>
    <row r="4075" spans="1:21" x14ac:dyDescent="0.25">
      <c r="A4075" t="s">
        <v>456</v>
      </c>
      <c r="B4075" t="s">
        <v>457</v>
      </c>
      <c r="C4075">
        <v>199</v>
      </c>
      <c r="D4075">
        <v>1</v>
      </c>
      <c r="E4075">
        <v>0</v>
      </c>
      <c r="F4075" t="s">
        <v>15257</v>
      </c>
      <c r="G4075">
        <v>244</v>
      </c>
      <c r="H4075">
        <v>45</v>
      </c>
      <c r="I4075" t="s">
        <v>24</v>
      </c>
      <c r="J4075" t="s">
        <v>15258</v>
      </c>
      <c r="K4075" t="s">
        <v>15259</v>
      </c>
      <c r="L4075" t="s">
        <v>4984</v>
      </c>
      <c r="M4075" t="s">
        <v>886</v>
      </c>
      <c r="N4075" t="s">
        <v>15260</v>
      </c>
      <c r="O4075" t="s">
        <v>27</v>
      </c>
      <c r="P4075" t="s">
        <v>193</v>
      </c>
      <c r="Q4075" t="s">
        <v>85</v>
      </c>
      <c r="R4075" t="s">
        <v>86</v>
      </c>
      <c r="S4075" t="s">
        <v>28</v>
      </c>
      <c r="T4075" t="s">
        <v>15261</v>
      </c>
      <c r="U4075" t="s">
        <v>15260</v>
      </c>
    </row>
    <row r="4076" spans="1:21" x14ac:dyDescent="0.25">
      <c r="A4076" t="s">
        <v>13290</v>
      </c>
      <c r="B4076" t="s">
        <v>13291</v>
      </c>
      <c r="C4076">
        <v>100</v>
      </c>
      <c r="D4076">
        <v>2</v>
      </c>
      <c r="E4076">
        <v>0</v>
      </c>
      <c r="F4076" t="s">
        <v>15262</v>
      </c>
      <c r="G4076">
        <v>200</v>
      </c>
      <c r="H4076">
        <v>0</v>
      </c>
      <c r="I4076" t="s">
        <v>140</v>
      </c>
      <c r="J4076" t="s">
        <v>13843</v>
      </c>
      <c r="K4076" t="s">
        <v>346</v>
      </c>
      <c r="L4076" t="s">
        <v>27</v>
      </c>
      <c r="M4076" t="s">
        <v>28</v>
      </c>
      <c r="N4076" t="s">
        <v>15260</v>
      </c>
      <c r="O4076" t="s">
        <v>27</v>
      </c>
      <c r="P4076" t="s">
        <v>30</v>
      </c>
      <c r="Q4076" t="s">
        <v>31</v>
      </c>
      <c r="R4076" t="s">
        <v>32</v>
      </c>
      <c r="S4076" t="s">
        <v>28</v>
      </c>
      <c r="T4076" t="s">
        <v>15263</v>
      </c>
      <c r="U4076" t="s">
        <v>15260</v>
      </c>
    </row>
    <row r="4077" spans="1:21" x14ac:dyDescent="0.25">
      <c r="A4077" t="s">
        <v>58</v>
      </c>
      <c r="B4077" t="s">
        <v>58</v>
      </c>
      <c r="C4077">
        <v>100</v>
      </c>
      <c r="D4077">
        <v>1</v>
      </c>
      <c r="E4077">
        <v>0</v>
      </c>
      <c r="F4077" t="s">
        <v>15264</v>
      </c>
      <c r="G4077">
        <v>100</v>
      </c>
      <c r="H4077">
        <v>0</v>
      </c>
      <c r="I4077" t="s">
        <v>140</v>
      </c>
      <c r="J4077" t="s">
        <v>15265</v>
      </c>
      <c r="K4077" t="s">
        <v>2243</v>
      </c>
      <c r="L4077" t="s">
        <v>27</v>
      </c>
      <c r="M4077" t="s">
        <v>28</v>
      </c>
      <c r="N4077" t="s">
        <v>15266</v>
      </c>
      <c r="O4077" t="s">
        <v>27</v>
      </c>
      <c r="P4077" t="s">
        <v>369</v>
      </c>
      <c r="Q4077" t="s">
        <v>31</v>
      </c>
      <c r="R4077" t="s">
        <v>57</v>
      </c>
      <c r="S4077" t="s">
        <v>28</v>
      </c>
      <c r="T4077" t="s">
        <v>15267</v>
      </c>
      <c r="U4077" t="s">
        <v>15266</v>
      </c>
    </row>
    <row r="4078" spans="1:21" x14ac:dyDescent="0.25">
      <c r="A4078" t="s">
        <v>33</v>
      </c>
      <c r="B4078" t="s">
        <v>34</v>
      </c>
      <c r="C4078">
        <v>200</v>
      </c>
      <c r="D4078">
        <v>1</v>
      </c>
      <c r="E4078">
        <v>0</v>
      </c>
      <c r="F4078" t="s">
        <v>15268</v>
      </c>
      <c r="G4078">
        <v>200</v>
      </c>
      <c r="H4078">
        <v>0</v>
      </c>
      <c r="I4078" t="s">
        <v>140</v>
      </c>
      <c r="J4078" t="s">
        <v>15269</v>
      </c>
      <c r="K4078" t="s">
        <v>711</v>
      </c>
      <c r="L4078" t="s">
        <v>27</v>
      </c>
      <c r="M4078" t="s">
        <v>28</v>
      </c>
      <c r="N4078" t="s">
        <v>15270</v>
      </c>
      <c r="O4078" t="s">
        <v>27</v>
      </c>
      <c r="P4078" t="s">
        <v>369</v>
      </c>
      <c r="Q4078" t="s">
        <v>31</v>
      </c>
      <c r="R4078" t="s">
        <v>57</v>
      </c>
      <c r="S4078" t="s">
        <v>15271</v>
      </c>
      <c r="T4078" t="s">
        <v>15272</v>
      </c>
      <c r="U4078" t="s">
        <v>15270</v>
      </c>
    </row>
    <row r="4079" spans="1:21" x14ac:dyDescent="0.25">
      <c r="A4079" t="s">
        <v>76</v>
      </c>
      <c r="B4079" t="s">
        <v>77</v>
      </c>
      <c r="C4079">
        <v>199</v>
      </c>
      <c r="D4079">
        <v>1</v>
      </c>
      <c r="E4079">
        <v>0</v>
      </c>
      <c r="F4079" t="s">
        <v>15273</v>
      </c>
      <c r="G4079">
        <v>477</v>
      </c>
      <c r="H4079">
        <v>79</v>
      </c>
      <c r="I4079" t="s">
        <v>24</v>
      </c>
      <c r="J4079" t="s">
        <v>15258</v>
      </c>
      <c r="K4079" t="s">
        <v>15259</v>
      </c>
      <c r="L4079" t="s">
        <v>4984</v>
      </c>
      <c r="M4079" t="s">
        <v>886</v>
      </c>
      <c r="N4079" t="s">
        <v>15270</v>
      </c>
      <c r="O4079" t="s">
        <v>27</v>
      </c>
      <c r="P4079" t="s">
        <v>193</v>
      </c>
      <c r="Q4079" t="s">
        <v>85</v>
      </c>
      <c r="R4079" t="s">
        <v>86</v>
      </c>
      <c r="S4079" t="s">
        <v>28</v>
      </c>
      <c r="T4079" t="s">
        <v>15274</v>
      </c>
      <c r="U4079" t="s">
        <v>15270</v>
      </c>
    </row>
    <row r="4080" spans="1:21" x14ac:dyDescent="0.25">
      <c r="A4080" t="s">
        <v>456</v>
      </c>
      <c r="B4080" t="s">
        <v>457</v>
      </c>
      <c r="C4080">
        <v>199</v>
      </c>
      <c r="D4080">
        <v>1</v>
      </c>
      <c r="E4080">
        <v>0</v>
      </c>
      <c r="F4080" t="s">
        <v>15273</v>
      </c>
      <c r="G4080">
        <v>477</v>
      </c>
      <c r="H4080">
        <v>79</v>
      </c>
      <c r="I4080" t="s">
        <v>24</v>
      </c>
      <c r="J4080" t="s">
        <v>15258</v>
      </c>
      <c r="K4080" t="s">
        <v>15259</v>
      </c>
      <c r="L4080" t="s">
        <v>4984</v>
      </c>
      <c r="M4080" t="s">
        <v>886</v>
      </c>
      <c r="N4080" t="s">
        <v>15270</v>
      </c>
      <c r="O4080" t="s">
        <v>27</v>
      </c>
      <c r="P4080" t="s">
        <v>193</v>
      </c>
      <c r="Q4080" t="s">
        <v>85</v>
      </c>
      <c r="R4080" t="s">
        <v>86</v>
      </c>
      <c r="S4080" t="s">
        <v>28</v>
      </c>
      <c r="T4080" t="s">
        <v>15274</v>
      </c>
      <c r="U4080" t="s">
        <v>15270</v>
      </c>
    </row>
    <row r="4081" spans="1:21" x14ac:dyDescent="0.25">
      <c r="A4081" t="s">
        <v>1513</v>
      </c>
      <c r="B4081" t="s">
        <v>1514</v>
      </c>
      <c r="C4081">
        <v>330</v>
      </c>
      <c r="D4081">
        <v>1</v>
      </c>
      <c r="E4081">
        <v>0</v>
      </c>
      <c r="F4081" t="s">
        <v>15275</v>
      </c>
      <c r="G4081">
        <v>680</v>
      </c>
      <c r="H4081">
        <v>0</v>
      </c>
      <c r="I4081" t="s">
        <v>140</v>
      </c>
      <c r="J4081" t="s">
        <v>15276</v>
      </c>
      <c r="K4081" t="s">
        <v>418</v>
      </c>
      <c r="L4081" t="s">
        <v>27</v>
      </c>
      <c r="M4081" t="s">
        <v>28</v>
      </c>
      <c r="N4081" t="s">
        <v>15277</v>
      </c>
      <c r="O4081" t="s">
        <v>27</v>
      </c>
      <c r="P4081" t="s">
        <v>30</v>
      </c>
      <c r="Q4081" t="s">
        <v>31</v>
      </c>
      <c r="R4081" t="s">
        <v>32</v>
      </c>
      <c r="S4081" t="s">
        <v>28</v>
      </c>
      <c r="T4081" t="s">
        <v>15278</v>
      </c>
      <c r="U4081" t="s">
        <v>15277</v>
      </c>
    </row>
    <row r="4082" spans="1:21" x14ac:dyDescent="0.25">
      <c r="A4082" t="s">
        <v>70</v>
      </c>
      <c r="B4082" t="s">
        <v>70</v>
      </c>
      <c r="C4082">
        <v>350</v>
      </c>
      <c r="D4082">
        <v>1</v>
      </c>
      <c r="E4082">
        <v>0</v>
      </c>
      <c r="F4082" t="s">
        <v>15275</v>
      </c>
      <c r="G4082">
        <v>680</v>
      </c>
      <c r="H4082">
        <v>0</v>
      </c>
      <c r="I4082" t="s">
        <v>140</v>
      </c>
      <c r="J4082" t="s">
        <v>15276</v>
      </c>
      <c r="K4082" t="s">
        <v>418</v>
      </c>
      <c r="L4082" t="s">
        <v>27</v>
      </c>
      <c r="M4082" t="s">
        <v>28</v>
      </c>
      <c r="N4082" t="s">
        <v>15277</v>
      </c>
      <c r="O4082" t="s">
        <v>27</v>
      </c>
      <c r="P4082" t="s">
        <v>30</v>
      </c>
      <c r="Q4082" t="s">
        <v>31</v>
      </c>
      <c r="R4082" t="s">
        <v>32</v>
      </c>
      <c r="S4082" t="s">
        <v>28</v>
      </c>
      <c r="T4082" t="s">
        <v>15278</v>
      </c>
      <c r="U4082" t="s">
        <v>15277</v>
      </c>
    </row>
    <row r="4083" spans="1:21" x14ac:dyDescent="0.25">
      <c r="A4083" t="s">
        <v>63</v>
      </c>
      <c r="B4083" t="s">
        <v>64</v>
      </c>
      <c r="C4083">
        <v>100</v>
      </c>
      <c r="D4083">
        <v>1</v>
      </c>
      <c r="E4083">
        <v>0</v>
      </c>
      <c r="F4083" t="s">
        <v>15279</v>
      </c>
      <c r="G4083">
        <v>106</v>
      </c>
      <c r="H4083">
        <v>6</v>
      </c>
      <c r="I4083" t="s">
        <v>24</v>
      </c>
      <c r="J4083" t="s">
        <v>15280</v>
      </c>
      <c r="K4083" t="s">
        <v>37</v>
      </c>
      <c r="L4083" t="s">
        <v>27</v>
      </c>
      <c r="M4083" t="s">
        <v>28</v>
      </c>
      <c r="N4083" t="s">
        <v>15281</v>
      </c>
      <c r="O4083" t="s">
        <v>27</v>
      </c>
      <c r="P4083" t="s">
        <v>39</v>
      </c>
      <c r="Q4083" t="s">
        <v>31</v>
      </c>
      <c r="R4083" t="s">
        <v>32</v>
      </c>
      <c r="S4083" t="s">
        <v>28</v>
      </c>
      <c r="T4083" t="s">
        <v>15282</v>
      </c>
      <c r="U4083" t="s">
        <v>15281</v>
      </c>
    </row>
    <row r="4084" spans="1:21" x14ac:dyDescent="0.25">
      <c r="A4084" t="s">
        <v>58</v>
      </c>
      <c r="B4084" t="s">
        <v>58</v>
      </c>
      <c r="C4084">
        <v>100</v>
      </c>
      <c r="D4084">
        <v>3</v>
      </c>
      <c r="E4084">
        <v>0</v>
      </c>
      <c r="F4084" t="s">
        <v>15283</v>
      </c>
      <c r="G4084">
        <v>345</v>
      </c>
      <c r="H4084">
        <v>45</v>
      </c>
      <c r="I4084" t="s">
        <v>445</v>
      </c>
      <c r="J4084" t="s">
        <v>13064</v>
      </c>
      <c r="K4084" t="s">
        <v>13065</v>
      </c>
      <c r="L4084" t="s">
        <v>3743</v>
      </c>
      <c r="M4084" t="s">
        <v>8994</v>
      </c>
      <c r="N4084" t="s">
        <v>15284</v>
      </c>
      <c r="O4084" t="s">
        <v>27</v>
      </c>
      <c r="P4084" t="s">
        <v>193</v>
      </c>
      <c r="Q4084" t="s">
        <v>85</v>
      </c>
      <c r="R4084" t="s">
        <v>86</v>
      </c>
      <c r="S4084" t="s">
        <v>28</v>
      </c>
      <c r="T4084" t="s">
        <v>15285</v>
      </c>
      <c r="U4084" t="s">
        <v>15281</v>
      </c>
    </row>
    <row r="4085" spans="1:21" x14ac:dyDescent="0.25">
      <c r="A4085" t="s">
        <v>63</v>
      </c>
      <c r="B4085" t="s">
        <v>64</v>
      </c>
      <c r="C4085">
        <v>100</v>
      </c>
      <c r="D4085">
        <v>2</v>
      </c>
      <c r="E4085">
        <v>0</v>
      </c>
      <c r="F4085" t="s">
        <v>15286</v>
      </c>
      <c r="G4085">
        <v>200</v>
      </c>
      <c r="H4085">
        <v>0</v>
      </c>
      <c r="I4085" t="s">
        <v>24</v>
      </c>
      <c r="J4085" t="s">
        <v>15287</v>
      </c>
      <c r="K4085" t="s">
        <v>89</v>
      </c>
      <c r="L4085" t="s">
        <v>27</v>
      </c>
      <c r="M4085" t="s">
        <v>28</v>
      </c>
      <c r="N4085" t="s">
        <v>15288</v>
      </c>
      <c r="O4085" t="s">
        <v>27</v>
      </c>
      <c r="P4085" t="s">
        <v>56</v>
      </c>
      <c r="Q4085" t="s">
        <v>31</v>
      </c>
      <c r="R4085" t="s">
        <v>57</v>
      </c>
      <c r="S4085" t="s">
        <v>28</v>
      </c>
      <c r="T4085" t="s">
        <v>15289</v>
      </c>
      <c r="U4085" t="s">
        <v>15288</v>
      </c>
    </row>
    <row r="4086" spans="1:21" x14ac:dyDescent="0.25">
      <c r="A4086" t="s">
        <v>2873</v>
      </c>
      <c r="B4086" t="s">
        <v>3106</v>
      </c>
      <c r="C4086">
        <v>251.25</v>
      </c>
      <c r="D4086">
        <v>1</v>
      </c>
      <c r="E4086">
        <v>0</v>
      </c>
      <c r="F4086" t="s">
        <v>15290</v>
      </c>
      <c r="G4086">
        <v>251.25</v>
      </c>
      <c r="H4086">
        <v>0</v>
      </c>
      <c r="I4086" t="s">
        <v>720</v>
      </c>
      <c r="J4086" t="s">
        <v>15291</v>
      </c>
      <c r="K4086" t="s">
        <v>15292</v>
      </c>
      <c r="L4086" t="s">
        <v>2042</v>
      </c>
      <c r="M4086" t="s">
        <v>15293</v>
      </c>
      <c r="N4086" t="s">
        <v>15294</v>
      </c>
      <c r="O4086" t="s">
        <v>27</v>
      </c>
      <c r="P4086" t="s">
        <v>48</v>
      </c>
      <c r="Q4086" t="s">
        <v>49</v>
      </c>
      <c r="R4086" t="s">
        <v>50</v>
      </c>
      <c r="S4086" t="s">
        <v>28</v>
      </c>
      <c r="T4086" t="s">
        <v>15295</v>
      </c>
      <c r="U4086" t="s">
        <v>15294</v>
      </c>
    </row>
    <row r="4087" spans="1:21" x14ac:dyDescent="0.25">
      <c r="A4087" t="s">
        <v>33</v>
      </c>
      <c r="B4087" t="s">
        <v>34</v>
      </c>
      <c r="C4087">
        <v>200</v>
      </c>
      <c r="D4087">
        <v>1</v>
      </c>
      <c r="E4087">
        <v>0</v>
      </c>
      <c r="F4087" t="s">
        <v>15296</v>
      </c>
      <c r="G4087">
        <v>200</v>
      </c>
      <c r="H4087">
        <v>0</v>
      </c>
      <c r="I4087" t="s">
        <v>445</v>
      </c>
      <c r="J4087" t="s">
        <v>15297</v>
      </c>
      <c r="K4087" t="s">
        <v>73</v>
      </c>
      <c r="L4087" t="s">
        <v>27</v>
      </c>
      <c r="M4087" t="s">
        <v>28</v>
      </c>
      <c r="N4087" t="s">
        <v>15298</v>
      </c>
      <c r="O4087" t="s">
        <v>27</v>
      </c>
      <c r="P4087" t="s">
        <v>39</v>
      </c>
      <c r="Q4087" t="s">
        <v>31</v>
      </c>
      <c r="R4087" t="s">
        <v>32</v>
      </c>
      <c r="S4087" t="s">
        <v>28</v>
      </c>
      <c r="T4087" t="s">
        <v>15299</v>
      </c>
      <c r="U4087" t="s">
        <v>15298</v>
      </c>
    </row>
    <row r="4088" spans="1:21" x14ac:dyDescent="0.25">
      <c r="A4088" t="s">
        <v>2307</v>
      </c>
      <c r="B4088" t="s">
        <v>2308</v>
      </c>
      <c r="C4088">
        <v>330</v>
      </c>
      <c r="D4088">
        <v>1</v>
      </c>
      <c r="E4088">
        <v>0</v>
      </c>
      <c r="F4088" t="s">
        <v>15300</v>
      </c>
      <c r="G4088">
        <v>330</v>
      </c>
      <c r="H4088">
        <v>0</v>
      </c>
      <c r="I4088" t="s">
        <v>24</v>
      </c>
      <c r="J4088" t="s">
        <v>15301</v>
      </c>
      <c r="K4088" t="s">
        <v>37</v>
      </c>
      <c r="L4088" t="s">
        <v>27</v>
      </c>
      <c r="M4088" t="s">
        <v>28</v>
      </c>
      <c r="N4088" t="s">
        <v>15298</v>
      </c>
      <c r="O4088" t="s">
        <v>27</v>
      </c>
      <c r="P4088" t="s">
        <v>56</v>
      </c>
      <c r="Q4088" t="s">
        <v>31</v>
      </c>
      <c r="R4088" t="s">
        <v>57</v>
      </c>
      <c r="S4088" t="s">
        <v>28</v>
      </c>
      <c r="T4088" t="s">
        <v>15302</v>
      </c>
      <c r="U4088" t="s">
        <v>15298</v>
      </c>
    </row>
    <row r="4089" spans="1:21" x14ac:dyDescent="0.25">
      <c r="A4089" t="s">
        <v>58</v>
      </c>
      <c r="B4089" t="s">
        <v>58</v>
      </c>
      <c r="C4089">
        <v>100</v>
      </c>
      <c r="D4089">
        <v>1</v>
      </c>
      <c r="E4089">
        <v>0</v>
      </c>
      <c r="F4089" t="s">
        <v>15303</v>
      </c>
      <c r="G4089">
        <v>106</v>
      </c>
      <c r="H4089">
        <v>6</v>
      </c>
      <c r="I4089" t="s">
        <v>140</v>
      </c>
      <c r="J4089" t="s">
        <v>15304</v>
      </c>
      <c r="K4089" t="s">
        <v>311</v>
      </c>
      <c r="L4089" t="s">
        <v>27</v>
      </c>
      <c r="M4089" t="s">
        <v>28</v>
      </c>
      <c r="N4089" t="s">
        <v>15305</v>
      </c>
      <c r="O4089" t="s">
        <v>27</v>
      </c>
      <c r="P4089" t="s">
        <v>30</v>
      </c>
      <c r="Q4089" t="s">
        <v>31</v>
      </c>
      <c r="R4089" t="s">
        <v>32</v>
      </c>
      <c r="S4089" t="s">
        <v>28</v>
      </c>
      <c r="T4089" t="s">
        <v>15306</v>
      </c>
      <c r="U4089" t="s">
        <v>15305</v>
      </c>
    </row>
    <row r="4090" spans="1:21" x14ac:dyDescent="0.25">
      <c r="A4090" t="s">
        <v>134</v>
      </c>
      <c r="B4090" t="s">
        <v>64</v>
      </c>
      <c r="C4090">
        <v>100</v>
      </c>
      <c r="D4090">
        <v>1</v>
      </c>
      <c r="E4090">
        <v>0</v>
      </c>
      <c r="F4090" t="s">
        <v>15307</v>
      </c>
      <c r="G4090">
        <v>100</v>
      </c>
      <c r="H4090">
        <v>0</v>
      </c>
      <c r="I4090" t="s">
        <v>24</v>
      </c>
      <c r="J4090" t="s">
        <v>15308</v>
      </c>
      <c r="K4090" t="s">
        <v>247</v>
      </c>
      <c r="L4090" t="s">
        <v>27</v>
      </c>
      <c r="M4090" t="s">
        <v>28</v>
      </c>
      <c r="N4090" t="s">
        <v>15309</v>
      </c>
      <c r="O4090" t="s">
        <v>27</v>
      </c>
      <c r="P4090" t="s">
        <v>39</v>
      </c>
      <c r="Q4090" t="s">
        <v>31</v>
      </c>
      <c r="R4090" t="s">
        <v>32</v>
      </c>
      <c r="S4090" t="s">
        <v>28</v>
      </c>
      <c r="T4090" t="s">
        <v>15310</v>
      </c>
      <c r="U4090" t="s">
        <v>15309</v>
      </c>
    </row>
    <row r="4091" spans="1:21" x14ac:dyDescent="0.25">
      <c r="A4091" t="s">
        <v>58</v>
      </c>
      <c r="B4091" t="s">
        <v>58</v>
      </c>
      <c r="C4091">
        <v>100</v>
      </c>
      <c r="D4091">
        <v>1</v>
      </c>
      <c r="E4091">
        <v>0</v>
      </c>
      <c r="F4091" t="s">
        <v>15311</v>
      </c>
      <c r="G4091">
        <v>100</v>
      </c>
      <c r="H4091">
        <v>0</v>
      </c>
      <c r="I4091" t="s">
        <v>140</v>
      </c>
      <c r="J4091" t="s">
        <v>15312</v>
      </c>
      <c r="K4091" t="s">
        <v>384</v>
      </c>
      <c r="L4091" t="s">
        <v>27</v>
      </c>
      <c r="M4091" t="s">
        <v>28</v>
      </c>
      <c r="N4091" t="s">
        <v>15313</v>
      </c>
      <c r="O4091" t="s">
        <v>27</v>
      </c>
      <c r="P4091" t="s">
        <v>30</v>
      </c>
      <c r="Q4091" t="s">
        <v>31</v>
      </c>
      <c r="R4091" t="s">
        <v>32</v>
      </c>
      <c r="S4091" t="s">
        <v>28</v>
      </c>
      <c r="T4091" t="s">
        <v>15314</v>
      </c>
      <c r="U4091" t="s">
        <v>15313</v>
      </c>
    </row>
    <row r="4092" spans="1:21" x14ac:dyDescent="0.25">
      <c r="A4092" t="s">
        <v>143</v>
      </c>
      <c r="B4092" t="s">
        <v>144</v>
      </c>
      <c r="C4092">
        <v>200</v>
      </c>
      <c r="D4092">
        <v>1</v>
      </c>
      <c r="E4092">
        <v>0</v>
      </c>
      <c r="F4092" t="s">
        <v>15315</v>
      </c>
      <c r="G4092">
        <v>200</v>
      </c>
      <c r="H4092">
        <v>0</v>
      </c>
      <c r="I4092" t="s">
        <v>24</v>
      </c>
      <c r="J4092" t="s">
        <v>15316</v>
      </c>
      <c r="K4092" t="s">
        <v>67</v>
      </c>
      <c r="L4092" t="s">
        <v>27</v>
      </c>
      <c r="M4092" t="s">
        <v>28</v>
      </c>
      <c r="N4092" t="s">
        <v>15313</v>
      </c>
      <c r="O4092" t="s">
        <v>27</v>
      </c>
      <c r="P4092" t="s">
        <v>39</v>
      </c>
      <c r="Q4092" t="s">
        <v>31</v>
      </c>
      <c r="R4092" t="s">
        <v>32</v>
      </c>
      <c r="S4092" t="s">
        <v>28</v>
      </c>
      <c r="T4092" t="s">
        <v>15317</v>
      </c>
      <c r="U4092" t="s">
        <v>15313</v>
      </c>
    </row>
    <row r="4093" spans="1:21" x14ac:dyDescent="0.25">
      <c r="A4093" t="s">
        <v>63</v>
      </c>
      <c r="B4093" t="s">
        <v>64</v>
      </c>
      <c r="C4093">
        <v>100</v>
      </c>
      <c r="D4093">
        <v>1</v>
      </c>
      <c r="E4093">
        <v>0</v>
      </c>
      <c r="F4093" t="s">
        <v>15318</v>
      </c>
      <c r="G4093">
        <v>106</v>
      </c>
      <c r="H4093">
        <v>6</v>
      </c>
      <c r="I4093" t="s">
        <v>24</v>
      </c>
      <c r="J4093" t="s">
        <v>15319</v>
      </c>
      <c r="K4093" t="s">
        <v>118</v>
      </c>
      <c r="L4093" t="s">
        <v>27</v>
      </c>
      <c r="M4093" t="s">
        <v>28</v>
      </c>
      <c r="N4093" t="s">
        <v>15320</v>
      </c>
      <c r="O4093" t="s">
        <v>27</v>
      </c>
      <c r="P4093" t="s">
        <v>39</v>
      </c>
      <c r="Q4093" t="s">
        <v>31</v>
      </c>
      <c r="R4093" t="s">
        <v>32</v>
      </c>
      <c r="S4093" t="s">
        <v>28</v>
      </c>
      <c r="T4093" t="s">
        <v>15321</v>
      </c>
      <c r="U4093" t="s">
        <v>15320</v>
      </c>
    </row>
    <row r="4094" spans="1:21" x14ac:dyDescent="0.25">
      <c r="A4094" t="s">
        <v>33</v>
      </c>
      <c r="B4094" t="s">
        <v>34</v>
      </c>
      <c r="C4094">
        <v>200</v>
      </c>
      <c r="D4094">
        <v>1</v>
      </c>
      <c r="E4094">
        <v>0</v>
      </c>
      <c r="F4094" t="s">
        <v>15322</v>
      </c>
      <c r="G4094">
        <v>200</v>
      </c>
      <c r="H4094">
        <v>0</v>
      </c>
      <c r="I4094" t="s">
        <v>24</v>
      </c>
      <c r="J4094" t="s">
        <v>15323</v>
      </c>
      <c r="K4094" t="s">
        <v>247</v>
      </c>
      <c r="L4094" t="s">
        <v>27</v>
      </c>
      <c r="M4094" t="s">
        <v>28</v>
      </c>
      <c r="N4094" t="s">
        <v>15324</v>
      </c>
      <c r="O4094" t="s">
        <v>27</v>
      </c>
      <c r="P4094" t="s">
        <v>39</v>
      </c>
      <c r="Q4094" t="s">
        <v>31</v>
      </c>
      <c r="R4094" t="s">
        <v>32</v>
      </c>
      <c r="S4094" t="s">
        <v>28</v>
      </c>
      <c r="T4094" t="s">
        <v>15325</v>
      </c>
      <c r="U4094" t="s">
        <v>15324</v>
      </c>
    </row>
    <row r="4095" spans="1:21" x14ac:dyDescent="0.25">
      <c r="A4095" t="s">
        <v>70</v>
      </c>
      <c r="B4095" t="s">
        <v>70</v>
      </c>
      <c r="C4095">
        <v>350</v>
      </c>
      <c r="D4095">
        <v>1</v>
      </c>
      <c r="E4095">
        <v>0</v>
      </c>
      <c r="F4095" t="s">
        <v>15326</v>
      </c>
      <c r="G4095">
        <v>350</v>
      </c>
      <c r="H4095">
        <v>0</v>
      </c>
      <c r="I4095" t="s">
        <v>140</v>
      </c>
      <c r="J4095" t="s">
        <v>947</v>
      </c>
      <c r="K4095" t="s">
        <v>350</v>
      </c>
      <c r="L4095" t="s">
        <v>27</v>
      </c>
      <c r="M4095" t="s">
        <v>28</v>
      </c>
      <c r="N4095" t="s">
        <v>15327</v>
      </c>
      <c r="O4095" t="s">
        <v>27</v>
      </c>
      <c r="P4095" t="s">
        <v>30</v>
      </c>
      <c r="Q4095" t="s">
        <v>31</v>
      </c>
      <c r="R4095" t="s">
        <v>32</v>
      </c>
      <c r="S4095" t="s">
        <v>28</v>
      </c>
      <c r="T4095" t="s">
        <v>15328</v>
      </c>
      <c r="U4095" t="s">
        <v>15329</v>
      </c>
    </row>
    <row r="4096" spans="1:21" x14ac:dyDescent="0.25">
      <c r="A4096" t="s">
        <v>63</v>
      </c>
      <c r="B4096" t="s">
        <v>64</v>
      </c>
      <c r="C4096">
        <v>100</v>
      </c>
      <c r="D4096">
        <v>1</v>
      </c>
      <c r="E4096">
        <v>0</v>
      </c>
      <c r="F4096" t="s">
        <v>15330</v>
      </c>
      <c r="G4096">
        <v>200</v>
      </c>
      <c r="H4096">
        <v>0</v>
      </c>
      <c r="I4096" t="s">
        <v>24</v>
      </c>
      <c r="J4096" t="s">
        <v>15331</v>
      </c>
      <c r="K4096" t="s">
        <v>466</v>
      </c>
      <c r="L4096" t="s">
        <v>27</v>
      </c>
      <c r="M4096" t="s">
        <v>28</v>
      </c>
      <c r="N4096" t="s">
        <v>15332</v>
      </c>
      <c r="O4096" t="s">
        <v>27</v>
      </c>
      <c r="P4096" t="s">
        <v>39</v>
      </c>
      <c r="Q4096" t="s">
        <v>31</v>
      </c>
      <c r="R4096" t="s">
        <v>32</v>
      </c>
      <c r="S4096" t="s">
        <v>28</v>
      </c>
      <c r="T4096" t="s">
        <v>15333</v>
      </c>
      <c r="U4096" t="s">
        <v>15327</v>
      </c>
    </row>
    <row r="4097" spans="1:21" x14ac:dyDescent="0.25">
      <c r="A4097" t="s">
        <v>134</v>
      </c>
      <c r="B4097" t="s">
        <v>64</v>
      </c>
      <c r="C4097">
        <v>100</v>
      </c>
      <c r="D4097">
        <v>1</v>
      </c>
      <c r="E4097">
        <v>0</v>
      </c>
      <c r="F4097" t="s">
        <v>15330</v>
      </c>
      <c r="G4097">
        <v>200</v>
      </c>
      <c r="H4097">
        <v>0</v>
      </c>
      <c r="I4097" t="s">
        <v>24</v>
      </c>
      <c r="J4097" t="s">
        <v>15331</v>
      </c>
      <c r="K4097" t="s">
        <v>466</v>
      </c>
      <c r="L4097" t="s">
        <v>27</v>
      </c>
      <c r="M4097" t="s">
        <v>28</v>
      </c>
      <c r="N4097" t="s">
        <v>15332</v>
      </c>
      <c r="O4097" t="s">
        <v>27</v>
      </c>
      <c r="P4097" t="s">
        <v>39</v>
      </c>
      <c r="Q4097" t="s">
        <v>31</v>
      </c>
      <c r="R4097" t="s">
        <v>32</v>
      </c>
      <c r="S4097" t="s">
        <v>28</v>
      </c>
      <c r="T4097" t="s">
        <v>15333</v>
      </c>
      <c r="U4097" t="s">
        <v>15327</v>
      </c>
    </row>
    <row r="4098" spans="1:21" x14ac:dyDescent="0.25">
      <c r="A4098" t="s">
        <v>70</v>
      </c>
      <c r="B4098" t="s">
        <v>70</v>
      </c>
      <c r="C4098">
        <v>350</v>
      </c>
      <c r="D4098">
        <v>1</v>
      </c>
      <c r="E4098">
        <v>0</v>
      </c>
      <c r="F4098" t="s">
        <v>15334</v>
      </c>
      <c r="G4098">
        <v>350</v>
      </c>
      <c r="H4098">
        <v>0</v>
      </c>
      <c r="I4098" t="s">
        <v>140</v>
      </c>
      <c r="J4098" t="s">
        <v>15335</v>
      </c>
      <c r="K4098" t="s">
        <v>771</v>
      </c>
      <c r="L4098" t="s">
        <v>27</v>
      </c>
      <c r="M4098" t="s">
        <v>28</v>
      </c>
      <c r="N4098" t="s">
        <v>15332</v>
      </c>
      <c r="O4098" t="s">
        <v>27</v>
      </c>
      <c r="P4098" t="s">
        <v>30</v>
      </c>
      <c r="Q4098" t="s">
        <v>31</v>
      </c>
      <c r="R4098" t="s">
        <v>32</v>
      </c>
      <c r="S4098" t="s">
        <v>28</v>
      </c>
      <c r="T4098" t="s">
        <v>15336</v>
      </c>
      <c r="U4098" t="s">
        <v>15332</v>
      </c>
    </row>
    <row r="4099" spans="1:21" x14ac:dyDescent="0.25">
      <c r="A4099" t="s">
        <v>58</v>
      </c>
      <c r="B4099" t="s">
        <v>103</v>
      </c>
      <c r="C4099">
        <v>99.75</v>
      </c>
      <c r="D4099">
        <v>1</v>
      </c>
      <c r="E4099">
        <v>0</v>
      </c>
      <c r="F4099" t="s">
        <v>15337</v>
      </c>
      <c r="G4099">
        <v>99.75</v>
      </c>
      <c r="H4099">
        <v>0</v>
      </c>
      <c r="I4099" t="s">
        <v>105</v>
      </c>
      <c r="J4099" t="s">
        <v>15338</v>
      </c>
      <c r="K4099" t="s">
        <v>15339</v>
      </c>
      <c r="L4099" t="s">
        <v>15340</v>
      </c>
      <c r="M4099" t="s">
        <v>15341</v>
      </c>
      <c r="N4099" t="s">
        <v>15332</v>
      </c>
      <c r="O4099" t="s">
        <v>27</v>
      </c>
      <c r="P4099" t="s">
        <v>48</v>
      </c>
      <c r="Q4099" t="s">
        <v>49</v>
      </c>
      <c r="R4099" t="s">
        <v>50</v>
      </c>
      <c r="S4099" t="s">
        <v>28</v>
      </c>
      <c r="T4099" t="s">
        <v>15342</v>
      </c>
      <c r="U4099" t="s">
        <v>15343</v>
      </c>
    </row>
    <row r="4100" spans="1:21" x14ac:dyDescent="0.25">
      <c r="A4100" t="s">
        <v>33</v>
      </c>
      <c r="B4100" t="s">
        <v>34</v>
      </c>
      <c r="C4100">
        <v>200</v>
      </c>
      <c r="D4100">
        <v>1</v>
      </c>
      <c r="E4100">
        <v>0</v>
      </c>
      <c r="F4100" t="s">
        <v>15344</v>
      </c>
      <c r="G4100">
        <v>200</v>
      </c>
      <c r="H4100">
        <v>0</v>
      </c>
      <c r="I4100" t="s">
        <v>24</v>
      </c>
      <c r="J4100" t="s">
        <v>2029</v>
      </c>
      <c r="K4100" t="s">
        <v>89</v>
      </c>
      <c r="L4100" t="s">
        <v>27</v>
      </c>
      <c r="M4100" t="s">
        <v>28</v>
      </c>
      <c r="N4100" t="s">
        <v>15343</v>
      </c>
      <c r="O4100" t="s">
        <v>27</v>
      </c>
      <c r="P4100" t="s">
        <v>39</v>
      </c>
      <c r="Q4100" t="s">
        <v>31</v>
      </c>
      <c r="R4100" t="s">
        <v>32</v>
      </c>
      <c r="S4100" t="s">
        <v>28</v>
      </c>
      <c r="T4100" t="s">
        <v>15345</v>
      </c>
      <c r="U4100" t="s">
        <v>15343</v>
      </c>
    </row>
    <row r="4101" spans="1:21" x14ac:dyDescent="0.25">
      <c r="A4101" t="s">
        <v>58</v>
      </c>
      <c r="B4101" t="s">
        <v>58</v>
      </c>
      <c r="C4101">
        <v>100</v>
      </c>
      <c r="D4101">
        <v>1</v>
      </c>
      <c r="E4101">
        <v>0</v>
      </c>
      <c r="F4101" t="s">
        <v>15346</v>
      </c>
      <c r="G4101">
        <v>107</v>
      </c>
      <c r="H4101">
        <v>7</v>
      </c>
      <c r="I4101" t="s">
        <v>445</v>
      </c>
      <c r="J4101" t="s">
        <v>15347</v>
      </c>
      <c r="K4101" t="s">
        <v>15348</v>
      </c>
      <c r="L4101" t="s">
        <v>1146</v>
      </c>
      <c r="M4101" t="s">
        <v>862</v>
      </c>
      <c r="N4101" t="s">
        <v>15255</v>
      </c>
      <c r="O4101" t="s">
        <v>27</v>
      </c>
      <c r="P4101" t="s">
        <v>193</v>
      </c>
      <c r="Q4101" t="s">
        <v>85</v>
      </c>
      <c r="R4101" t="s">
        <v>86</v>
      </c>
      <c r="S4101" t="s">
        <v>28</v>
      </c>
      <c r="T4101" t="s">
        <v>15349</v>
      </c>
      <c r="U4101" t="s">
        <v>15343</v>
      </c>
    </row>
    <row r="4102" spans="1:21" x14ac:dyDescent="0.25">
      <c r="A4102" t="s">
        <v>63</v>
      </c>
      <c r="B4102" t="s">
        <v>64</v>
      </c>
      <c r="C4102">
        <v>100</v>
      </c>
      <c r="D4102">
        <v>1</v>
      </c>
      <c r="E4102">
        <v>0</v>
      </c>
      <c r="F4102" t="s">
        <v>15350</v>
      </c>
      <c r="G4102">
        <v>100</v>
      </c>
      <c r="H4102">
        <v>0</v>
      </c>
      <c r="I4102" t="s">
        <v>24</v>
      </c>
      <c r="J4102" t="s">
        <v>15351</v>
      </c>
      <c r="K4102" t="s">
        <v>299</v>
      </c>
      <c r="L4102" t="s">
        <v>27</v>
      </c>
      <c r="M4102" t="s">
        <v>28</v>
      </c>
      <c r="N4102" t="s">
        <v>15352</v>
      </c>
      <c r="O4102" t="s">
        <v>27</v>
      </c>
      <c r="P4102" t="s">
        <v>39</v>
      </c>
      <c r="Q4102" t="s">
        <v>31</v>
      </c>
      <c r="R4102" t="s">
        <v>32</v>
      </c>
      <c r="S4102" t="s">
        <v>28</v>
      </c>
      <c r="T4102" t="s">
        <v>15353</v>
      </c>
      <c r="U4102" t="s">
        <v>15352</v>
      </c>
    </row>
    <row r="4103" spans="1:21" x14ac:dyDescent="0.25">
      <c r="A4103" t="s">
        <v>33</v>
      </c>
      <c r="B4103" t="s">
        <v>34</v>
      </c>
      <c r="C4103">
        <v>200</v>
      </c>
      <c r="D4103">
        <v>1</v>
      </c>
      <c r="E4103">
        <v>0</v>
      </c>
      <c r="F4103" t="s">
        <v>15354</v>
      </c>
      <c r="G4103">
        <v>200</v>
      </c>
      <c r="H4103">
        <v>0</v>
      </c>
      <c r="I4103" t="s">
        <v>24</v>
      </c>
      <c r="J4103" t="s">
        <v>15355</v>
      </c>
      <c r="K4103" t="s">
        <v>250</v>
      </c>
      <c r="L4103" t="s">
        <v>27</v>
      </c>
      <c r="M4103" t="s">
        <v>28</v>
      </c>
      <c r="N4103" t="s">
        <v>15356</v>
      </c>
      <c r="O4103" t="s">
        <v>27</v>
      </c>
      <c r="P4103" t="s">
        <v>39</v>
      </c>
      <c r="Q4103" t="s">
        <v>31</v>
      </c>
      <c r="R4103" t="s">
        <v>32</v>
      </c>
      <c r="S4103" t="s">
        <v>28</v>
      </c>
      <c r="T4103" t="s">
        <v>15357</v>
      </c>
      <c r="U4103" t="s">
        <v>15358</v>
      </c>
    </row>
    <row r="4104" spans="1:21" x14ac:dyDescent="0.25">
      <c r="A4104" t="s">
        <v>6801</v>
      </c>
      <c r="B4104" t="s">
        <v>6801</v>
      </c>
      <c r="C4104">
        <v>120</v>
      </c>
      <c r="D4104">
        <v>1</v>
      </c>
      <c r="E4104">
        <v>0</v>
      </c>
      <c r="F4104" t="s">
        <v>15359</v>
      </c>
      <c r="G4104">
        <v>126</v>
      </c>
      <c r="H4104">
        <v>6</v>
      </c>
      <c r="I4104" t="s">
        <v>140</v>
      </c>
      <c r="J4104" t="s">
        <v>15360</v>
      </c>
      <c r="K4104" t="s">
        <v>677</v>
      </c>
      <c r="L4104" t="s">
        <v>27</v>
      </c>
      <c r="M4104" t="s">
        <v>28</v>
      </c>
      <c r="N4104" t="s">
        <v>15356</v>
      </c>
      <c r="O4104" t="s">
        <v>27</v>
      </c>
      <c r="P4104" t="s">
        <v>30</v>
      </c>
      <c r="Q4104" t="s">
        <v>31</v>
      </c>
      <c r="R4104" t="s">
        <v>32</v>
      </c>
      <c r="S4104" t="s">
        <v>28</v>
      </c>
      <c r="T4104" t="s">
        <v>15361</v>
      </c>
      <c r="U4104" t="s">
        <v>15356</v>
      </c>
    </row>
    <row r="4105" spans="1:21" x14ac:dyDescent="0.25">
      <c r="A4105" t="s">
        <v>33</v>
      </c>
      <c r="B4105" t="s">
        <v>34</v>
      </c>
      <c r="C4105">
        <v>200</v>
      </c>
      <c r="D4105">
        <v>1</v>
      </c>
      <c r="E4105">
        <v>0</v>
      </c>
      <c r="F4105" t="s">
        <v>15362</v>
      </c>
      <c r="G4105">
        <v>200</v>
      </c>
      <c r="H4105">
        <v>0</v>
      </c>
      <c r="I4105" t="s">
        <v>24</v>
      </c>
      <c r="J4105" t="s">
        <v>15363</v>
      </c>
      <c r="K4105" t="s">
        <v>791</v>
      </c>
      <c r="L4105" t="s">
        <v>27</v>
      </c>
      <c r="M4105" t="s">
        <v>28</v>
      </c>
      <c r="N4105" t="s">
        <v>15364</v>
      </c>
      <c r="O4105" t="s">
        <v>27</v>
      </c>
      <c r="P4105" t="s">
        <v>39</v>
      </c>
      <c r="Q4105" t="s">
        <v>31</v>
      </c>
      <c r="R4105" t="s">
        <v>32</v>
      </c>
      <c r="S4105" t="s">
        <v>28</v>
      </c>
      <c r="T4105" t="s">
        <v>15365</v>
      </c>
      <c r="U4105" t="s">
        <v>15364</v>
      </c>
    </row>
    <row r="4106" spans="1:21" x14ac:dyDescent="0.25">
      <c r="A4106" t="s">
        <v>70</v>
      </c>
      <c r="B4106" t="s">
        <v>70</v>
      </c>
      <c r="C4106">
        <v>330</v>
      </c>
      <c r="D4106">
        <v>1</v>
      </c>
      <c r="E4106">
        <v>0</v>
      </c>
      <c r="F4106" t="s">
        <v>15366</v>
      </c>
      <c r="G4106">
        <v>330</v>
      </c>
      <c r="H4106">
        <v>0</v>
      </c>
      <c r="I4106" t="s">
        <v>24</v>
      </c>
      <c r="J4106" t="s">
        <v>15367</v>
      </c>
      <c r="K4106" t="s">
        <v>247</v>
      </c>
      <c r="L4106" t="s">
        <v>27</v>
      </c>
      <c r="M4106" t="s">
        <v>28</v>
      </c>
      <c r="N4106" t="s">
        <v>15368</v>
      </c>
      <c r="O4106" t="s">
        <v>27</v>
      </c>
      <c r="P4106" t="s">
        <v>39</v>
      </c>
      <c r="Q4106" t="s">
        <v>31</v>
      </c>
      <c r="R4106" t="s">
        <v>32</v>
      </c>
      <c r="S4106" t="s">
        <v>28</v>
      </c>
      <c r="T4106" t="s">
        <v>15369</v>
      </c>
      <c r="U4106" t="s">
        <v>15368</v>
      </c>
    </row>
    <row r="4107" spans="1:21" x14ac:dyDescent="0.25">
      <c r="A4107" t="s">
        <v>143</v>
      </c>
      <c r="B4107" t="s">
        <v>144</v>
      </c>
      <c r="C4107">
        <v>200</v>
      </c>
      <c r="D4107">
        <v>2</v>
      </c>
      <c r="E4107">
        <v>0</v>
      </c>
      <c r="F4107" t="s">
        <v>15370</v>
      </c>
      <c r="G4107">
        <v>400</v>
      </c>
      <c r="H4107">
        <v>0</v>
      </c>
      <c r="I4107" t="s">
        <v>445</v>
      </c>
      <c r="J4107" t="s">
        <v>15371</v>
      </c>
      <c r="K4107" t="s">
        <v>67</v>
      </c>
      <c r="L4107" t="s">
        <v>27</v>
      </c>
      <c r="M4107" t="s">
        <v>28</v>
      </c>
      <c r="N4107" t="s">
        <v>15368</v>
      </c>
      <c r="O4107" t="s">
        <v>27</v>
      </c>
      <c r="P4107" t="s">
        <v>56</v>
      </c>
      <c r="Q4107" t="s">
        <v>31</v>
      </c>
      <c r="R4107" t="s">
        <v>57</v>
      </c>
      <c r="S4107" t="s">
        <v>28</v>
      </c>
      <c r="T4107" t="s">
        <v>15372</v>
      </c>
      <c r="U4107" t="s">
        <v>15368</v>
      </c>
    </row>
    <row r="4108" spans="1:21" x14ac:dyDescent="0.25">
      <c r="A4108" t="s">
        <v>58</v>
      </c>
      <c r="B4108" t="s">
        <v>58</v>
      </c>
      <c r="C4108">
        <v>100</v>
      </c>
      <c r="D4108">
        <v>1</v>
      </c>
      <c r="E4108">
        <v>0</v>
      </c>
      <c r="F4108" t="s">
        <v>15373</v>
      </c>
      <c r="G4108">
        <v>106</v>
      </c>
      <c r="H4108">
        <v>6</v>
      </c>
      <c r="I4108" t="s">
        <v>24</v>
      </c>
      <c r="J4108" t="s">
        <v>15374</v>
      </c>
      <c r="K4108" t="s">
        <v>1878</v>
      </c>
      <c r="L4108" t="s">
        <v>27</v>
      </c>
      <c r="M4108" t="s">
        <v>28</v>
      </c>
      <c r="N4108" t="s">
        <v>15375</v>
      </c>
      <c r="O4108" t="s">
        <v>27</v>
      </c>
      <c r="P4108" t="s">
        <v>56</v>
      </c>
      <c r="Q4108" t="s">
        <v>31</v>
      </c>
      <c r="R4108" t="s">
        <v>57</v>
      </c>
      <c r="S4108" t="s">
        <v>28</v>
      </c>
      <c r="T4108" t="s">
        <v>15376</v>
      </c>
      <c r="U4108" t="s">
        <v>15377</v>
      </c>
    </row>
    <row r="4109" spans="1:21" x14ac:dyDescent="0.25">
      <c r="A4109" t="s">
        <v>456</v>
      </c>
      <c r="B4109" t="s">
        <v>718</v>
      </c>
      <c r="C4109">
        <v>199</v>
      </c>
      <c r="D4109">
        <v>1</v>
      </c>
      <c r="E4109">
        <v>0</v>
      </c>
      <c r="F4109" t="s">
        <v>15378</v>
      </c>
      <c r="G4109">
        <v>398</v>
      </c>
      <c r="H4109">
        <v>0</v>
      </c>
      <c r="I4109" t="s">
        <v>720</v>
      </c>
      <c r="J4109" t="s">
        <v>15379</v>
      </c>
      <c r="K4109" t="s">
        <v>15380</v>
      </c>
      <c r="L4109" t="s">
        <v>108</v>
      </c>
      <c r="M4109" t="s">
        <v>15381</v>
      </c>
      <c r="N4109" t="s">
        <v>15382</v>
      </c>
      <c r="O4109" t="s">
        <v>27</v>
      </c>
      <c r="P4109" t="s">
        <v>48</v>
      </c>
      <c r="Q4109" t="s">
        <v>49</v>
      </c>
      <c r="R4109" t="s">
        <v>50</v>
      </c>
      <c r="S4109" t="s">
        <v>28</v>
      </c>
      <c r="T4109" t="s">
        <v>15383</v>
      </c>
      <c r="U4109" t="s">
        <v>15382</v>
      </c>
    </row>
    <row r="4110" spans="1:21" x14ac:dyDescent="0.25">
      <c r="A4110" t="s">
        <v>456</v>
      </c>
      <c r="B4110" t="s">
        <v>718</v>
      </c>
      <c r="C4110">
        <v>199</v>
      </c>
      <c r="D4110">
        <v>1</v>
      </c>
      <c r="E4110">
        <v>0</v>
      </c>
      <c r="F4110" t="s">
        <v>15378</v>
      </c>
      <c r="G4110">
        <v>398</v>
      </c>
      <c r="H4110">
        <v>0</v>
      </c>
      <c r="I4110" t="s">
        <v>720</v>
      </c>
      <c r="J4110" t="s">
        <v>15379</v>
      </c>
      <c r="K4110" t="s">
        <v>15380</v>
      </c>
      <c r="L4110" t="s">
        <v>108</v>
      </c>
      <c r="M4110" t="s">
        <v>15381</v>
      </c>
      <c r="N4110" t="s">
        <v>15382</v>
      </c>
      <c r="O4110" t="s">
        <v>27</v>
      </c>
      <c r="P4110" t="s">
        <v>48</v>
      </c>
      <c r="Q4110" t="s">
        <v>49</v>
      </c>
      <c r="R4110" t="s">
        <v>50</v>
      </c>
      <c r="S4110" t="s">
        <v>28</v>
      </c>
      <c r="T4110" t="s">
        <v>15383</v>
      </c>
      <c r="U4110" t="s">
        <v>15382</v>
      </c>
    </row>
    <row r="4111" spans="1:21" x14ac:dyDescent="0.25">
      <c r="A4111" t="s">
        <v>63</v>
      </c>
      <c r="B4111" t="s">
        <v>64</v>
      </c>
      <c r="C4111">
        <v>100</v>
      </c>
      <c r="D4111">
        <v>1</v>
      </c>
      <c r="E4111">
        <v>0</v>
      </c>
      <c r="F4111" t="s">
        <v>15384</v>
      </c>
      <c r="G4111">
        <v>106</v>
      </c>
      <c r="H4111">
        <v>6</v>
      </c>
      <c r="I4111" t="s">
        <v>24</v>
      </c>
      <c r="J4111" t="s">
        <v>15385</v>
      </c>
      <c r="K4111" t="s">
        <v>273</v>
      </c>
      <c r="L4111" t="s">
        <v>27</v>
      </c>
      <c r="M4111" t="s">
        <v>28</v>
      </c>
      <c r="N4111" t="s">
        <v>15386</v>
      </c>
      <c r="O4111" t="s">
        <v>27</v>
      </c>
      <c r="P4111" t="s">
        <v>56</v>
      </c>
      <c r="Q4111" t="s">
        <v>31</v>
      </c>
      <c r="R4111" t="s">
        <v>57</v>
      </c>
      <c r="S4111" t="s">
        <v>28</v>
      </c>
      <c r="T4111" t="s">
        <v>15387</v>
      </c>
      <c r="U4111" t="s">
        <v>15386</v>
      </c>
    </row>
    <row r="4112" spans="1:21" x14ac:dyDescent="0.25">
      <c r="A4112" t="s">
        <v>58</v>
      </c>
      <c r="B4112" t="s">
        <v>58</v>
      </c>
      <c r="C4112">
        <v>100</v>
      </c>
      <c r="D4112">
        <v>1</v>
      </c>
      <c r="E4112">
        <v>0</v>
      </c>
      <c r="F4112" t="s">
        <v>15388</v>
      </c>
      <c r="G4112">
        <v>145</v>
      </c>
      <c r="H4112">
        <v>45</v>
      </c>
      <c r="I4112" t="s">
        <v>445</v>
      </c>
      <c r="J4112" t="s">
        <v>15389</v>
      </c>
      <c r="K4112" t="s">
        <v>118</v>
      </c>
      <c r="L4112" t="s">
        <v>27</v>
      </c>
      <c r="M4112" t="s">
        <v>28</v>
      </c>
      <c r="N4112" t="s">
        <v>15390</v>
      </c>
      <c r="O4112" t="s">
        <v>27</v>
      </c>
      <c r="P4112" t="s">
        <v>56</v>
      </c>
      <c r="Q4112" t="s">
        <v>31</v>
      </c>
      <c r="R4112" t="s">
        <v>57</v>
      </c>
      <c r="S4112" t="s">
        <v>28</v>
      </c>
      <c r="T4112" t="s">
        <v>15391</v>
      </c>
      <c r="U4112" t="s">
        <v>15390</v>
      </c>
    </row>
    <row r="4113" spans="1:21" x14ac:dyDescent="0.25">
      <c r="A4113" t="s">
        <v>58</v>
      </c>
      <c r="B4113" t="s">
        <v>103</v>
      </c>
      <c r="C4113">
        <v>99.75</v>
      </c>
      <c r="D4113">
        <v>1</v>
      </c>
      <c r="E4113">
        <v>0</v>
      </c>
      <c r="F4113" t="s">
        <v>15392</v>
      </c>
      <c r="G4113">
        <v>104.75</v>
      </c>
      <c r="H4113">
        <v>5</v>
      </c>
      <c r="I4113" t="s">
        <v>105</v>
      </c>
      <c r="J4113" t="s">
        <v>15393</v>
      </c>
      <c r="K4113" t="s">
        <v>15394</v>
      </c>
      <c r="L4113" t="s">
        <v>925</v>
      </c>
      <c r="M4113" t="s">
        <v>15395</v>
      </c>
      <c r="N4113" t="s">
        <v>15390</v>
      </c>
      <c r="O4113" t="s">
        <v>27</v>
      </c>
      <c r="P4113" t="s">
        <v>48</v>
      </c>
      <c r="Q4113" t="s">
        <v>49</v>
      </c>
      <c r="R4113" t="s">
        <v>50</v>
      </c>
      <c r="S4113" t="s">
        <v>28</v>
      </c>
      <c r="T4113" t="s">
        <v>15396</v>
      </c>
      <c r="U4113" t="s">
        <v>15390</v>
      </c>
    </row>
    <row r="4114" spans="1:21" x14ac:dyDescent="0.25">
      <c r="A4114" t="s">
        <v>58</v>
      </c>
      <c r="B4114" t="s">
        <v>58</v>
      </c>
      <c r="C4114">
        <v>100</v>
      </c>
      <c r="D4114">
        <v>1</v>
      </c>
      <c r="E4114">
        <v>0</v>
      </c>
      <c r="F4114" t="s">
        <v>15397</v>
      </c>
      <c r="G4114">
        <v>106</v>
      </c>
      <c r="H4114">
        <v>6</v>
      </c>
      <c r="I4114" t="s">
        <v>24</v>
      </c>
      <c r="J4114" t="s">
        <v>15398</v>
      </c>
      <c r="K4114" t="s">
        <v>54</v>
      </c>
      <c r="L4114" t="s">
        <v>27</v>
      </c>
      <c r="M4114" t="s">
        <v>28</v>
      </c>
      <c r="N4114" t="s">
        <v>15399</v>
      </c>
      <c r="O4114" t="s">
        <v>27</v>
      </c>
      <c r="P4114" t="s">
        <v>56</v>
      </c>
      <c r="Q4114" t="s">
        <v>31</v>
      </c>
      <c r="R4114" t="s">
        <v>57</v>
      </c>
      <c r="S4114" t="s">
        <v>28</v>
      </c>
      <c r="T4114" t="s">
        <v>15400</v>
      </c>
      <c r="U4114" t="s">
        <v>15399</v>
      </c>
    </row>
    <row r="4115" spans="1:21" x14ac:dyDescent="0.25">
      <c r="A4115" t="s">
        <v>70</v>
      </c>
      <c r="B4115" t="s">
        <v>70</v>
      </c>
      <c r="C4115">
        <v>350</v>
      </c>
      <c r="D4115">
        <v>1</v>
      </c>
      <c r="E4115">
        <v>0</v>
      </c>
      <c r="F4115" t="s">
        <v>15401</v>
      </c>
      <c r="G4115">
        <v>350</v>
      </c>
      <c r="H4115">
        <v>0</v>
      </c>
      <c r="I4115" t="s">
        <v>140</v>
      </c>
      <c r="J4115" t="s">
        <v>15402</v>
      </c>
      <c r="K4115" t="s">
        <v>797</v>
      </c>
      <c r="L4115" t="s">
        <v>27</v>
      </c>
      <c r="M4115" t="s">
        <v>28</v>
      </c>
      <c r="N4115" t="s">
        <v>15403</v>
      </c>
      <c r="O4115" t="s">
        <v>27</v>
      </c>
      <c r="P4115" t="s">
        <v>30</v>
      </c>
      <c r="Q4115" t="s">
        <v>31</v>
      </c>
      <c r="R4115" t="s">
        <v>32</v>
      </c>
      <c r="S4115" t="s">
        <v>28</v>
      </c>
      <c r="T4115" t="s">
        <v>15404</v>
      </c>
      <c r="U4115" t="s">
        <v>15403</v>
      </c>
    </row>
    <row r="4116" spans="1:21" x14ac:dyDescent="0.25">
      <c r="A4116" t="s">
        <v>33</v>
      </c>
      <c r="B4116" t="s">
        <v>34</v>
      </c>
      <c r="C4116">
        <v>200</v>
      </c>
      <c r="D4116">
        <v>1</v>
      </c>
      <c r="E4116">
        <v>0</v>
      </c>
      <c r="F4116" t="s">
        <v>15405</v>
      </c>
      <c r="G4116">
        <v>200</v>
      </c>
      <c r="H4116">
        <v>0</v>
      </c>
      <c r="I4116" t="s">
        <v>24</v>
      </c>
      <c r="J4116" t="s">
        <v>15406</v>
      </c>
      <c r="K4116" t="s">
        <v>346</v>
      </c>
      <c r="L4116" t="s">
        <v>27</v>
      </c>
      <c r="M4116" t="s">
        <v>28</v>
      </c>
      <c r="N4116" t="s">
        <v>15407</v>
      </c>
      <c r="O4116" t="s">
        <v>27</v>
      </c>
      <c r="P4116" t="s">
        <v>39</v>
      </c>
      <c r="Q4116" t="s">
        <v>31</v>
      </c>
      <c r="R4116" t="s">
        <v>32</v>
      </c>
      <c r="S4116" t="s">
        <v>28</v>
      </c>
      <c r="T4116" t="s">
        <v>15408</v>
      </c>
      <c r="U4116" t="s">
        <v>15407</v>
      </c>
    </row>
    <row r="4117" spans="1:21" x14ac:dyDescent="0.25">
      <c r="A4117" t="s">
        <v>63</v>
      </c>
      <c r="B4117" t="s">
        <v>64</v>
      </c>
      <c r="C4117">
        <v>100</v>
      </c>
      <c r="D4117">
        <v>1</v>
      </c>
      <c r="E4117">
        <v>0</v>
      </c>
      <c r="F4117" t="s">
        <v>15409</v>
      </c>
      <c r="G4117">
        <v>106</v>
      </c>
      <c r="H4117">
        <v>6</v>
      </c>
      <c r="I4117" t="s">
        <v>24</v>
      </c>
      <c r="J4117" t="s">
        <v>15410</v>
      </c>
      <c r="K4117" t="s">
        <v>250</v>
      </c>
      <c r="L4117" t="s">
        <v>27</v>
      </c>
      <c r="M4117" t="s">
        <v>28</v>
      </c>
      <c r="N4117" t="s">
        <v>15407</v>
      </c>
      <c r="O4117" t="s">
        <v>27</v>
      </c>
      <c r="P4117" t="s">
        <v>39</v>
      </c>
      <c r="Q4117" t="s">
        <v>31</v>
      </c>
      <c r="R4117" t="s">
        <v>32</v>
      </c>
      <c r="S4117" t="s">
        <v>28</v>
      </c>
      <c r="T4117" t="s">
        <v>15411</v>
      </c>
      <c r="U4117" t="s">
        <v>15407</v>
      </c>
    </row>
    <row r="4118" spans="1:21" x14ac:dyDescent="0.25">
      <c r="A4118" t="s">
        <v>2873</v>
      </c>
      <c r="B4118" t="s">
        <v>2874</v>
      </c>
      <c r="C4118">
        <v>280</v>
      </c>
      <c r="D4118">
        <v>1</v>
      </c>
      <c r="E4118">
        <v>0</v>
      </c>
      <c r="F4118" t="s">
        <v>15412</v>
      </c>
      <c r="G4118">
        <v>321</v>
      </c>
      <c r="H4118">
        <v>41</v>
      </c>
      <c r="I4118" t="s">
        <v>24</v>
      </c>
      <c r="J4118" t="s">
        <v>2876</v>
      </c>
      <c r="K4118" t="s">
        <v>2877</v>
      </c>
      <c r="L4118" t="s">
        <v>2878</v>
      </c>
      <c r="M4118" t="s">
        <v>2879</v>
      </c>
      <c r="N4118" t="s">
        <v>15327</v>
      </c>
      <c r="O4118" t="s">
        <v>27</v>
      </c>
      <c r="P4118" t="s">
        <v>84</v>
      </c>
      <c r="Q4118" t="s">
        <v>85</v>
      </c>
      <c r="R4118" t="s">
        <v>86</v>
      </c>
      <c r="S4118" t="s">
        <v>28</v>
      </c>
      <c r="T4118" t="s">
        <v>15413</v>
      </c>
      <c r="U4118" t="s">
        <v>15414</v>
      </c>
    </row>
    <row r="4119" spans="1:21" x14ac:dyDescent="0.25">
      <c r="A4119" t="s">
        <v>143</v>
      </c>
      <c r="B4119" t="s">
        <v>144</v>
      </c>
      <c r="C4119">
        <v>200</v>
      </c>
      <c r="D4119">
        <v>1</v>
      </c>
      <c r="E4119">
        <v>0</v>
      </c>
      <c r="F4119" t="s">
        <v>15415</v>
      </c>
      <c r="G4119">
        <v>200</v>
      </c>
      <c r="H4119">
        <v>0</v>
      </c>
      <c r="I4119" t="s">
        <v>24</v>
      </c>
      <c r="J4119" t="s">
        <v>15416</v>
      </c>
      <c r="K4119" t="s">
        <v>137</v>
      </c>
      <c r="L4119" t="s">
        <v>27</v>
      </c>
      <c r="M4119" t="s">
        <v>28</v>
      </c>
      <c r="N4119" t="s">
        <v>15417</v>
      </c>
      <c r="O4119" t="s">
        <v>27</v>
      </c>
      <c r="P4119" t="s">
        <v>39</v>
      </c>
      <c r="Q4119" t="s">
        <v>31</v>
      </c>
      <c r="R4119" t="s">
        <v>32</v>
      </c>
      <c r="S4119" t="s">
        <v>28</v>
      </c>
      <c r="T4119" t="s">
        <v>15418</v>
      </c>
      <c r="U4119" t="s">
        <v>15417</v>
      </c>
    </row>
    <row r="4120" spans="1:21" x14ac:dyDescent="0.25">
      <c r="A4120" t="s">
        <v>2873</v>
      </c>
      <c r="B4120" t="s">
        <v>2874</v>
      </c>
      <c r="C4120">
        <v>280</v>
      </c>
      <c r="D4120">
        <v>1</v>
      </c>
      <c r="E4120">
        <v>0</v>
      </c>
      <c r="F4120" t="s">
        <v>15419</v>
      </c>
      <c r="G4120">
        <v>321</v>
      </c>
      <c r="H4120">
        <v>41</v>
      </c>
      <c r="I4120" t="s">
        <v>24</v>
      </c>
      <c r="J4120" t="s">
        <v>2876</v>
      </c>
      <c r="K4120" t="s">
        <v>2877</v>
      </c>
      <c r="L4120" t="s">
        <v>2878</v>
      </c>
      <c r="M4120" t="s">
        <v>2879</v>
      </c>
      <c r="N4120" t="s">
        <v>15343</v>
      </c>
      <c r="O4120" t="s">
        <v>27</v>
      </c>
      <c r="P4120" t="s">
        <v>84</v>
      </c>
      <c r="Q4120" t="s">
        <v>85</v>
      </c>
      <c r="R4120" t="s">
        <v>86</v>
      </c>
      <c r="S4120" t="s">
        <v>28</v>
      </c>
      <c r="T4120" t="s">
        <v>15420</v>
      </c>
      <c r="U4120" t="s">
        <v>15421</v>
      </c>
    </row>
    <row r="4121" spans="1:21" x14ac:dyDescent="0.25">
      <c r="A4121" t="s">
        <v>63</v>
      </c>
      <c r="B4121" t="s">
        <v>64</v>
      </c>
      <c r="C4121">
        <v>100</v>
      </c>
      <c r="D4121">
        <v>1</v>
      </c>
      <c r="E4121">
        <v>0</v>
      </c>
      <c r="F4121" t="s">
        <v>15422</v>
      </c>
      <c r="G4121">
        <v>106</v>
      </c>
      <c r="H4121">
        <v>6</v>
      </c>
      <c r="I4121" t="s">
        <v>24</v>
      </c>
      <c r="J4121" t="s">
        <v>15423</v>
      </c>
      <c r="K4121" t="s">
        <v>331</v>
      </c>
      <c r="L4121" t="s">
        <v>27</v>
      </c>
      <c r="M4121" t="s">
        <v>28</v>
      </c>
      <c r="N4121" t="s">
        <v>15424</v>
      </c>
      <c r="O4121" t="s">
        <v>27</v>
      </c>
      <c r="P4121" t="s">
        <v>39</v>
      </c>
      <c r="Q4121" t="s">
        <v>31</v>
      </c>
      <c r="R4121" t="s">
        <v>32</v>
      </c>
      <c r="S4121" t="s">
        <v>28</v>
      </c>
      <c r="T4121" t="s">
        <v>15425</v>
      </c>
      <c r="U4121" t="s">
        <v>15424</v>
      </c>
    </row>
    <row r="4122" spans="1:21" x14ac:dyDescent="0.25">
      <c r="A4122" t="s">
        <v>499</v>
      </c>
      <c r="B4122" t="s">
        <v>500</v>
      </c>
      <c r="C4122">
        <v>130</v>
      </c>
      <c r="D4122">
        <v>2</v>
      </c>
      <c r="E4122">
        <v>0</v>
      </c>
      <c r="F4122" t="s">
        <v>15426</v>
      </c>
      <c r="G4122">
        <v>289</v>
      </c>
      <c r="H4122">
        <v>29</v>
      </c>
      <c r="I4122" t="s">
        <v>24</v>
      </c>
      <c r="J4122" t="s">
        <v>15427</v>
      </c>
      <c r="K4122" t="s">
        <v>15428</v>
      </c>
      <c r="L4122" t="s">
        <v>14344</v>
      </c>
      <c r="M4122" t="s">
        <v>6076</v>
      </c>
      <c r="N4122" t="s">
        <v>15429</v>
      </c>
      <c r="O4122" t="s">
        <v>27</v>
      </c>
      <c r="P4122" t="s">
        <v>193</v>
      </c>
      <c r="Q4122" t="s">
        <v>85</v>
      </c>
      <c r="R4122" t="s">
        <v>86</v>
      </c>
      <c r="S4122" t="s">
        <v>28</v>
      </c>
      <c r="T4122" t="s">
        <v>15430</v>
      </c>
      <c r="U4122" t="s">
        <v>15429</v>
      </c>
    </row>
    <row r="4123" spans="1:21" x14ac:dyDescent="0.25">
      <c r="A4123" t="s">
        <v>2307</v>
      </c>
      <c r="B4123" t="s">
        <v>2308</v>
      </c>
      <c r="C4123">
        <v>330</v>
      </c>
      <c r="D4123">
        <v>1</v>
      </c>
      <c r="E4123">
        <v>0</v>
      </c>
      <c r="F4123" t="s">
        <v>15431</v>
      </c>
      <c r="G4123">
        <v>330</v>
      </c>
      <c r="H4123">
        <v>0</v>
      </c>
      <c r="I4123" t="s">
        <v>24</v>
      </c>
      <c r="J4123" t="s">
        <v>15432</v>
      </c>
      <c r="K4123" t="s">
        <v>677</v>
      </c>
      <c r="L4123" t="s">
        <v>27</v>
      </c>
      <c r="M4123" t="s">
        <v>28</v>
      </c>
      <c r="N4123" t="s">
        <v>15433</v>
      </c>
      <c r="O4123" t="s">
        <v>27</v>
      </c>
      <c r="P4123" t="s">
        <v>39</v>
      </c>
      <c r="Q4123" t="s">
        <v>31</v>
      </c>
      <c r="R4123" t="s">
        <v>32</v>
      </c>
      <c r="S4123" t="s">
        <v>28</v>
      </c>
      <c r="T4123" t="s">
        <v>15434</v>
      </c>
      <c r="U4123" t="s">
        <v>15435</v>
      </c>
    </row>
    <row r="4124" spans="1:21" x14ac:dyDescent="0.25">
      <c r="A4124" t="s">
        <v>3739</v>
      </c>
      <c r="B4124" t="s">
        <v>3774</v>
      </c>
      <c r="C4124">
        <v>360</v>
      </c>
      <c r="D4124">
        <v>1</v>
      </c>
      <c r="E4124">
        <v>0</v>
      </c>
      <c r="F4124" t="s">
        <v>15436</v>
      </c>
      <c r="G4124">
        <v>399</v>
      </c>
      <c r="H4124">
        <v>39</v>
      </c>
      <c r="I4124" t="s">
        <v>24</v>
      </c>
      <c r="J4124" t="s">
        <v>15437</v>
      </c>
      <c r="K4124" t="s">
        <v>15438</v>
      </c>
      <c r="L4124" t="s">
        <v>1955</v>
      </c>
      <c r="M4124" t="s">
        <v>15439</v>
      </c>
      <c r="N4124" t="s">
        <v>15433</v>
      </c>
      <c r="O4124" t="s">
        <v>27</v>
      </c>
      <c r="P4124" t="s">
        <v>48</v>
      </c>
      <c r="Q4124" t="s">
        <v>49</v>
      </c>
      <c r="R4124" t="s">
        <v>50</v>
      </c>
      <c r="S4124" t="s">
        <v>28</v>
      </c>
      <c r="T4124" t="s">
        <v>15440</v>
      </c>
      <c r="U4124" t="s">
        <v>15433</v>
      </c>
    </row>
    <row r="4125" spans="1:21" x14ac:dyDescent="0.25">
      <c r="A4125" t="s">
        <v>2307</v>
      </c>
      <c r="B4125" t="s">
        <v>2308</v>
      </c>
      <c r="C4125">
        <v>330</v>
      </c>
      <c r="D4125">
        <v>1</v>
      </c>
      <c r="E4125">
        <v>0</v>
      </c>
      <c r="F4125" t="s">
        <v>15441</v>
      </c>
      <c r="G4125">
        <v>330</v>
      </c>
      <c r="H4125">
        <v>0</v>
      </c>
      <c r="I4125" t="s">
        <v>140</v>
      </c>
      <c r="J4125" t="s">
        <v>15442</v>
      </c>
      <c r="K4125" t="s">
        <v>358</v>
      </c>
      <c r="L4125" t="s">
        <v>27</v>
      </c>
      <c r="M4125" t="s">
        <v>28</v>
      </c>
      <c r="N4125" t="s">
        <v>15443</v>
      </c>
      <c r="O4125" t="s">
        <v>27</v>
      </c>
      <c r="P4125" t="s">
        <v>30</v>
      </c>
      <c r="Q4125" t="s">
        <v>31</v>
      </c>
      <c r="R4125" t="s">
        <v>32</v>
      </c>
      <c r="S4125" t="s">
        <v>28</v>
      </c>
      <c r="T4125" t="s">
        <v>15444</v>
      </c>
      <c r="U4125" t="s">
        <v>15445</v>
      </c>
    </row>
    <row r="4126" spans="1:21" x14ac:dyDescent="0.25">
      <c r="A4126" t="s">
        <v>70</v>
      </c>
      <c r="B4126" t="s">
        <v>70</v>
      </c>
      <c r="C4126">
        <v>350</v>
      </c>
      <c r="D4126">
        <v>1</v>
      </c>
      <c r="E4126">
        <v>0</v>
      </c>
      <c r="F4126" t="s">
        <v>15446</v>
      </c>
      <c r="G4126">
        <v>350</v>
      </c>
      <c r="H4126">
        <v>0</v>
      </c>
      <c r="I4126" t="s">
        <v>140</v>
      </c>
      <c r="J4126" t="s">
        <v>15447</v>
      </c>
      <c r="K4126" t="s">
        <v>124</v>
      </c>
      <c r="L4126" t="s">
        <v>27</v>
      </c>
      <c r="M4126" t="s">
        <v>28</v>
      </c>
      <c r="N4126" t="s">
        <v>15448</v>
      </c>
      <c r="O4126" t="s">
        <v>27</v>
      </c>
      <c r="P4126" t="s">
        <v>30</v>
      </c>
      <c r="Q4126" t="s">
        <v>31</v>
      </c>
      <c r="R4126" t="s">
        <v>32</v>
      </c>
      <c r="S4126" t="s">
        <v>28</v>
      </c>
      <c r="T4126" t="s">
        <v>15449</v>
      </c>
      <c r="U4126" t="s">
        <v>15448</v>
      </c>
    </row>
    <row r="4127" spans="1:21" x14ac:dyDescent="0.25">
      <c r="A4127" t="s">
        <v>134</v>
      </c>
      <c r="B4127" t="s">
        <v>64</v>
      </c>
      <c r="C4127">
        <v>100</v>
      </c>
      <c r="D4127">
        <v>1</v>
      </c>
      <c r="E4127">
        <v>0</v>
      </c>
      <c r="F4127" t="s">
        <v>15450</v>
      </c>
      <c r="G4127">
        <v>106</v>
      </c>
      <c r="H4127">
        <v>6</v>
      </c>
      <c r="I4127" t="s">
        <v>24</v>
      </c>
      <c r="J4127" t="s">
        <v>15451</v>
      </c>
      <c r="K4127" t="s">
        <v>273</v>
      </c>
      <c r="L4127" t="s">
        <v>27</v>
      </c>
      <c r="M4127" t="s">
        <v>28</v>
      </c>
      <c r="N4127" t="s">
        <v>15452</v>
      </c>
      <c r="O4127" t="s">
        <v>27</v>
      </c>
      <c r="P4127" t="s">
        <v>39</v>
      </c>
      <c r="Q4127" t="s">
        <v>31</v>
      </c>
      <c r="R4127" t="s">
        <v>32</v>
      </c>
      <c r="S4127" t="s">
        <v>28</v>
      </c>
      <c r="T4127" t="s">
        <v>15453</v>
      </c>
      <c r="U4127" t="s">
        <v>15452</v>
      </c>
    </row>
    <row r="4128" spans="1:21" x14ac:dyDescent="0.25">
      <c r="A4128" t="s">
        <v>134</v>
      </c>
      <c r="B4128" t="s">
        <v>64</v>
      </c>
      <c r="C4128">
        <v>100</v>
      </c>
      <c r="D4128">
        <v>1</v>
      </c>
      <c r="E4128">
        <v>0</v>
      </c>
      <c r="F4128" t="s">
        <v>15454</v>
      </c>
      <c r="G4128">
        <v>106</v>
      </c>
      <c r="H4128">
        <v>6</v>
      </c>
      <c r="I4128" t="s">
        <v>24</v>
      </c>
      <c r="J4128" t="s">
        <v>15455</v>
      </c>
      <c r="K4128" t="s">
        <v>346</v>
      </c>
      <c r="L4128" t="s">
        <v>27</v>
      </c>
      <c r="M4128" t="s">
        <v>28</v>
      </c>
      <c r="N4128" t="s">
        <v>15456</v>
      </c>
      <c r="O4128" t="s">
        <v>27</v>
      </c>
      <c r="P4128" t="s">
        <v>39</v>
      </c>
      <c r="Q4128" t="s">
        <v>31</v>
      </c>
      <c r="R4128" t="s">
        <v>32</v>
      </c>
      <c r="S4128" t="s">
        <v>28</v>
      </c>
      <c r="T4128" t="s">
        <v>15457</v>
      </c>
      <c r="U4128" t="s">
        <v>15456</v>
      </c>
    </row>
    <row r="4129" spans="1:21" x14ac:dyDescent="0.25">
      <c r="A4129" t="s">
        <v>2307</v>
      </c>
      <c r="B4129" t="s">
        <v>2308</v>
      </c>
      <c r="C4129">
        <v>330</v>
      </c>
      <c r="D4129">
        <v>1</v>
      </c>
      <c r="E4129">
        <v>0</v>
      </c>
      <c r="F4129" t="s">
        <v>15458</v>
      </c>
      <c r="G4129">
        <v>430</v>
      </c>
      <c r="H4129">
        <v>0</v>
      </c>
      <c r="I4129" t="s">
        <v>140</v>
      </c>
      <c r="J4129" t="s">
        <v>15459</v>
      </c>
      <c r="K4129" t="s">
        <v>273</v>
      </c>
      <c r="L4129" t="s">
        <v>27</v>
      </c>
      <c r="M4129" t="s">
        <v>28</v>
      </c>
      <c r="N4129" t="s">
        <v>15460</v>
      </c>
      <c r="O4129" t="s">
        <v>27</v>
      </c>
      <c r="P4129" t="s">
        <v>30</v>
      </c>
      <c r="Q4129" t="s">
        <v>31</v>
      </c>
      <c r="R4129" t="s">
        <v>32</v>
      </c>
      <c r="S4129" t="s">
        <v>28</v>
      </c>
      <c r="T4129" t="s">
        <v>15461</v>
      </c>
      <c r="U4129" t="s">
        <v>15460</v>
      </c>
    </row>
    <row r="4130" spans="1:21" x14ac:dyDescent="0.25">
      <c r="A4130" t="s">
        <v>134</v>
      </c>
      <c r="B4130" t="s">
        <v>64</v>
      </c>
      <c r="C4130">
        <v>100</v>
      </c>
      <c r="D4130">
        <v>1</v>
      </c>
      <c r="E4130">
        <v>0</v>
      </c>
      <c r="F4130" t="s">
        <v>15458</v>
      </c>
      <c r="G4130">
        <v>430</v>
      </c>
      <c r="H4130">
        <v>0</v>
      </c>
      <c r="I4130" t="s">
        <v>140</v>
      </c>
      <c r="J4130" t="s">
        <v>15459</v>
      </c>
      <c r="K4130" t="s">
        <v>273</v>
      </c>
      <c r="L4130" t="s">
        <v>27</v>
      </c>
      <c r="M4130" t="s">
        <v>28</v>
      </c>
      <c r="N4130" t="s">
        <v>15460</v>
      </c>
      <c r="O4130" t="s">
        <v>27</v>
      </c>
      <c r="P4130" t="s">
        <v>30</v>
      </c>
      <c r="Q4130" t="s">
        <v>31</v>
      </c>
      <c r="R4130" t="s">
        <v>32</v>
      </c>
      <c r="S4130" t="s">
        <v>28</v>
      </c>
      <c r="T4130" t="s">
        <v>15461</v>
      </c>
      <c r="U4130" t="s">
        <v>15460</v>
      </c>
    </row>
    <row r="4131" spans="1:21" x14ac:dyDescent="0.25">
      <c r="A4131" t="s">
        <v>63</v>
      </c>
      <c r="B4131" t="s">
        <v>64</v>
      </c>
      <c r="C4131">
        <v>100</v>
      </c>
      <c r="D4131">
        <v>1</v>
      </c>
      <c r="E4131">
        <v>0</v>
      </c>
      <c r="F4131" t="s">
        <v>15462</v>
      </c>
      <c r="G4131">
        <v>106</v>
      </c>
      <c r="H4131">
        <v>6</v>
      </c>
      <c r="I4131" t="s">
        <v>24</v>
      </c>
      <c r="J4131" t="s">
        <v>15463</v>
      </c>
      <c r="K4131" t="s">
        <v>73</v>
      </c>
      <c r="L4131" t="s">
        <v>27</v>
      </c>
      <c r="M4131" t="s">
        <v>28</v>
      </c>
      <c r="N4131" t="s">
        <v>15464</v>
      </c>
      <c r="O4131" t="s">
        <v>27</v>
      </c>
      <c r="P4131" t="s">
        <v>39</v>
      </c>
      <c r="Q4131" t="s">
        <v>31</v>
      </c>
      <c r="R4131" t="s">
        <v>32</v>
      </c>
      <c r="S4131" t="s">
        <v>28</v>
      </c>
      <c r="T4131" t="s">
        <v>15465</v>
      </c>
      <c r="U4131" t="s">
        <v>15464</v>
      </c>
    </row>
    <row r="4132" spans="1:21" x14ac:dyDescent="0.25">
      <c r="A4132" t="s">
        <v>134</v>
      </c>
      <c r="B4132" t="s">
        <v>64</v>
      </c>
      <c r="C4132">
        <v>100</v>
      </c>
      <c r="D4132">
        <v>1</v>
      </c>
      <c r="E4132">
        <v>0</v>
      </c>
      <c r="F4132" t="s">
        <v>15466</v>
      </c>
      <c r="G4132">
        <v>106</v>
      </c>
      <c r="H4132">
        <v>6</v>
      </c>
      <c r="I4132" t="s">
        <v>24</v>
      </c>
      <c r="J4132" t="s">
        <v>15467</v>
      </c>
      <c r="K4132" t="s">
        <v>209</v>
      </c>
      <c r="L4132" t="s">
        <v>27</v>
      </c>
      <c r="M4132" t="s">
        <v>28</v>
      </c>
      <c r="N4132" t="s">
        <v>15464</v>
      </c>
      <c r="O4132" t="s">
        <v>27</v>
      </c>
      <c r="P4132" t="s">
        <v>39</v>
      </c>
      <c r="Q4132" t="s">
        <v>31</v>
      </c>
      <c r="R4132" t="s">
        <v>32</v>
      </c>
      <c r="S4132" t="s">
        <v>28</v>
      </c>
      <c r="T4132" t="s">
        <v>15468</v>
      </c>
      <c r="U4132" t="s">
        <v>15464</v>
      </c>
    </row>
    <row r="4133" spans="1:21" x14ac:dyDescent="0.25">
      <c r="A4133" t="s">
        <v>635</v>
      </c>
      <c r="B4133" t="s">
        <v>636</v>
      </c>
      <c r="C4133">
        <v>800</v>
      </c>
      <c r="D4133">
        <v>1</v>
      </c>
      <c r="E4133">
        <v>0</v>
      </c>
      <c r="F4133" t="s">
        <v>15469</v>
      </c>
      <c r="G4133">
        <v>909</v>
      </c>
      <c r="H4133">
        <v>109</v>
      </c>
      <c r="I4133" t="s">
        <v>24</v>
      </c>
      <c r="J4133" t="s">
        <v>15470</v>
      </c>
      <c r="K4133" t="s">
        <v>15471</v>
      </c>
      <c r="L4133" t="s">
        <v>3704</v>
      </c>
      <c r="M4133" t="s">
        <v>8699</v>
      </c>
      <c r="N4133" t="s">
        <v>15472</v>
      </c>
      <c r="O4133" t="s">
        <v>27</v>
      </c>
      <c r="P4133" t="s">
        <v>84</v>
      </c>
      <c r="Q4133" t="s">
        <v>85</v>
      </c>
      <c r="R4133" t="s">
        <v>86</v>
      </c>
      <c r="S4133" t="s">
        <v>28</v>
      </c>
      <c r="T4133" t="s">
        <v>15473</v>
      </c>
      <c r="U4133" t="s">
        <v>15472</v>
      </c>
    </row>
    <row r="4134" spans="1:21" x14ac:dyDescent="0.25">
      <c r="A4134" t="s">
        <v>143</v>
      </c>
      <c r="B4134" t="s">
        <v>144</v>
      </c>
      <c r="C4134">
        <v>200</v>
      </c>
      <c r="D4134">
        <v>1</v>
      </c>
      <c r="E4134">
        <v>0</v>
      </c>
      <c r="F4134" t="s">
        <v>15474</v>
      </c>
      <c r="G4134">
        <v>200</v>
      </c>
      <c r="H4134">
        <v>0</v>
      </c>
      <c r="I4134" t="s">
        <v>24</v>
      </c>
      <c r="J4134" t="s">
        <v>6213</v>
      </c>
      <c r="K4134" t="s">
        <v>797</v>
      </c>
      <c r="L4134" t="s">
        <v>27</v>
      </c>
      <c r="M4134" t="s">
        <v>28</v>
      </c>
      <c r="N4134" t="s">
        <v>15475</v>
      </c>
      <c r="O4134" t="s">
        <v>27</v>
      </c>
      <c r="P4134" t="s">
        <v>39</v>
      </c>
      <c r="Q4134" t="s">
        <v>31</v>
      </c>
      <c r="R4134" t="s">
        <v>32</v>
      </c>
      <c r="S4134" t="s">
        <v>28</v>
      </c>
      <c r="T4134" t="s">
        <v>15476</v>
      </c>
      <c r="U4134" t="s">
        <v>15475</v>
      </c>
    </row>
    <row r="4135" spans="1:21" x14ac:dyDescent="0.25">
      <c r="A4135" t="s">
        <v>33</v>
      </c>
      <c r="B4135" t="s">
        <v>34</v>
      </c>
      <c r="C4135">
        <v>200</v>
      </c>
      <c r="D4135">
        <v>1</v>
      </c>
      <c r="E4135">
        <v>0</v>
      </c>
      <c r="F4135" t="s">
        <v>15477</v>
      </c>
      <c r="G4135">
        <v>200</v>
      </c>
      <c r="H4135">
        <v>0</v>
      </c>
      <c r="I4135" t="s">
        <v>24</v>
      </c>
      <c r="J4135" t="s">
        <v>15478</v>
      </c>
      <c r="K4135" t="s">
        <v>677</v>
      </c>
      <c r="L4135" t="s">
        <v>27</v>
      </c>
      <c r="M4135" t="s">
        <v>28</v>
      </c>
      <c r="N4135" t="s">
        <v>15479</v>
      </c>
      <c r="O4135" t="s">
        <v>27</v>
      </c>
      <c r="P4135" t="s">
        <v>39</v>
      </c>
      <c r="Q4135" t="s">
        <v>31</v>
      </c>
      <c r="R4135" t="s">
        <v>32</v>
      </c>
      <c r="S4135" t="s">
        <v>28</v>
      </c>
      <c r="T4135" t="s">
        <v>15480</v>
      </c>
      <c r="U4135" t="s">
        <v>15479</v>
      </c>
    </row>
    <row r="4136" spans="1:21" x14ac:dyDescent="0.25">
      <c r="A4136" t="s">
        <v>70</v>
      </c>
      <c r="B4136" t="s">
        <v>70</v>
      </c>
      <c r="C4136">
        <v>350</v>
      </c>
      <c r="D4136">
        <v>1</v>
      </c>
      <c r="E4136">
        <v>0</v>
      </c>
      <c r="F4136" t="s">
        <v>15481</v>
      </c>
      <c r="G4136">
        <v>350</v>
      </c>
      <c r="H4136">
        <v>0</v>
      </c>
      <c r="I4136" t="s">
        <v>140</v>
      </c>
      <c r="J4136" t="s">
        <v>15482</v>
      </c>
      <c r="K4136" t="s">
        <v>466</v>
      </c>
      <c r="L4136" t="s">
        <v>27</v>
      </c>
      <c r="M4136" t="s">
        <v>28</v>
      </c>
      <c r="N4136" t="s">
        <v>15483</v>
      </c>
      <c r="O4136" t="s">
        <v>27</v>
      </c>
      <c r="P4136" t="s">
        <v>30</v>
      </c>
      <c r="Q4136" t="s">
        <v>31</v>
      </c>
      <c r="R4136" t="s">
        <v>32</v>
      </c>
      <c r="S4136" t="s">
        <v>28</v>
      </c>
      <c r="T4136" t="s">
        <v>15484</v>
      </c>
      <c r="U4136" t="s">
        <v>15485</v>
      </c>
    </row>
    <row r="4137" spans="1:21" x14ac:dyDescent="0.25">
      <c r="A4137" t="s">
        <v>13290</v>
      </c>
      <c r="B4137" t="s">
        <v>13291</v>
      </c>
      <c r="C4137">
        <v>100</v>
      </c>
      <c r="D4137">
        <v>2</v>
      </c>
      <c r="E4137">
        <v>0</v>
      </c>
      <c r="F4137" t="s">
        <v>15486</v>
      </c>
      <c r="G4137">
        <v>200</v>
      </c>
      <c r="H4137">
        <v>0</v>
      </c>
      <c r="I4137" t="s">
        <v>24</v>
      </c>
      <c r="J4137" t="s">
        <v>15487</v>
      </c>
      <c r="K4137" t="s">
        <v>250</v>
      </c>
      <c r="L4137" t="s">
        <v>27</v>
      </c>
      <c r="M4137" t="s">
        <v>28</v>
      </c>
      <c r="N4137" t="s">
        <v>15488</v>
      </c>
      <c r="O4137" t="s">
        <v>27</v>
      </c>
      <c r="P4137" t="s">
        <v>39</v>
      </c>
      <c r="Q4137" t="s">
        <v>31</v>
      </c>
      <c r="R4137" t="s">
        <v>32</v>
      </c>
      <c r="S4137" t="s">
        <v>28</v>
      </c>
      <c r="T4137" t="s">
        <v>15489</v>
      </c>
      <c r="U4137" t="s">
        <v>15488</v>
      </c>
    </row>
    <row r="4138" spans="1:21" x14ac:dyDescent="0.25">
      <c r="A4138" t="s">
        <v>143</v>
      </c>
      <c r="B4138" t="s">
        <v>144</v>
      </c>
      <c r="C4138">
        <v>200</v>
      </c>
      <c r="D4138">
        <v>1</v>
      </c>
      <c r="E4138">
        <v>0</v>
      </c>
      <c r="F4138" t="s">
        <v>15490</v>
      </c>
      <c r="G4138">
        <v>200</v>
      </c>
      <c r="H4138">
        <v>0</v>
      </c>
      <c r="I4138" t="s">
        <v>445</v>
      </c>
      <c r="J4138" t="s">
        <v>15491</v>
      </c>
      <c r="K4138" t="s">
        <v>118</v>
      </c>
      <c r="L4138" t="s">
        <v>27</v>
      </c>
      <c r="M4138" t="s">
        <v>28</v>
      </c>
      <c r="N4138" t="s">
        <v>15492</v>
      </c>
      <c r="O4138" t="s">
        <v>27</v>
      </c>
      <c r="P4138" t="s">
        <v>39</v>
      </c>
      <c r="Q4138" t="s">
        <v>31</v>
      </c>
      <c r="R4138" t="s">
        <v>32</v>
      </c>
      <c r="S4138" t="s">
        <v>28</v>
      </c>
      <c r="T4138" t="s">
        <v>15493</v>
      </c>
      <c r="U4138" t="s">
        <v>15492</v>
      </c>
    </row>
    <row r="4139" spans="1:21" x14ac:dyDescent="0.25">
      <c r="A4139" t="s">
        <v>33</v>
      </c>
      <c r="B4139" t="s">
        <v>34</v>
      </c>
      <c r="C4139">
        <v>200</v>
      </c>
      <c r="D4139">
        <v>1</v>
      </c>
      <c r="E4139">
        <v>0</v>
      </c>
      <c r="F4139" t="s">
        <v>15494</v>
      </c>
      <c r="G4139">
        <v>200</v>
      </c>
      <c r="H4139">
        <v>0</v>
      </c>
      <c r="I4139" t="s">
        <v>24</v>
      </c>
      <c r="J4139" t="s">
        <v>15495</v>
      </c>
      <c r="K4139" t="s">
        <v>791</v>
      </c>
      <c r="L4139" t="s">
        <v>27</v>
      </c>
      <c r="M4139" t="s">
        <v>28</v>
      </c>
      <c r="N4139" t="s">
        <v>15496</v>
      </c>
      <c r="O4139" t="s">
        <v>27</v>
      </c>
      <c r="P4139" t="s">
        <v>56</v>
      </c>
      <c r="Q4139" t="s">
        <v>31</v>
      </c>
      <c r="R4139" t="s">
        <v>57</v>
      </c>
      <c r="S4139" t="s">
        <v>28</v>
      </c>
      <c r="T4139" t="s">
        <v>15497</v>
      </c>
      <c r="U4139" t="s">
        <v>15496</v>
      </c>
    </row>
    <row r="4140" spans="1:21" x14ac:dyDescent="0.25">
      <c r="A4140" t="s">
        <v>2307</v>
      </c>
      <c r="B4140" t="s">
        <v>2308</v>
      </c>
      <c r="C4140">
        <v>330</v>
      </c>
      <c r="D4140">
        <v>1</v>
      </c>
      <c r="E4140">
        <v>0</v>
      </c>
      <c r="F4140" t="s">
        <v>15498</v>
      </c>
      <c r="G4140">
        <v>330</v>
      </c>
      <c r="H4140">
        <v>0</v>
      </c>
      <c r="I4140" t="s">
        <v>24</v>
      </c>
      <c r="J4140" t="s">
        <v>15499</v>
      </c>
      <c r="K4140" t="s">
        <v>758</v>
      </c>
      <c r="L4140" t="s">
        <v>27</v>
      </c>
      <c r="M4140" t="s">
        <v>28</v>
      </c>
      <c r="N4140" t="s">
        <v>15496</v>
      </c>
      <c r="O4140" t="s">
        <v>27</v>
      </c>
      <c r="P4140" t="s">
        <v>56</v>
      </c>
      <c r="Q4140" t="s">
        <v>31</v>
      </c>
      <c r="R4140" t="s">
        <v>57</v>
      </c>
      <c r="S4140" t="s">
        <v>28</v>
      </c>
      <c r="T4140" t="s">
        <v>15500</v>
      </c>
      <c r="U4140" t="s">
        <v>15496</v>
      </c>
    </row>
    <row r="4141" spans="1:21" x14ac:dyDescent="0.25">
      <c r="A4141" t="s">
        <v>58</v>
      </c>
      <c r="B4141" t="s">
        <v>58</v>
      </c>
      <c r="C4141">
        <v>100</v>
      </c>
      <c r="D4141">
        <v>2</v>
      </c>
      <c r="E4141">
        <v>0</v>
      </c>
      <c r="F4141" t="s">
        <v>15501</v>
      </c>
      <c r="G4141">
        <v>200</v>
      </c>
      <c r="H4141">
        <v>0</v>
      </c>
      <c r="I4141" t="s">
        <v>24</v>
      </c>
      <c r="J4141" t="s">
        <v>15502</v>
      </c>
      <c r="K4141" t="s">
        <v>2243</v>
      </c>
      <c r="L4141" t="s">
        <v>27</v>
      </c>
      <c r="M4141" t="s">
        <v>28</v>
      </c>
      <c r="N4141" t="s">
        <v>15496</v>
      </c>
      <c r="O4141" t="s">
        <v>27</v>
      </c>
      <c r="P4141" t="s">
        <v>39</v>
      </c>
      <c r="Q4141" t="s">
        <v>31</v>
      </c>
      <c r="R4141" t="s">
        <v>32</v>
      </c>
      <c r="S4141" t="s">
        <v>28</v>
      </c>
      <c r="T4141" t="s">
        <v>15503</v>
      </c>
      <c r="U4141" t="s">
        <v>15496</v>
      </c>
    </row>
    <row r="4142" spans="1:21" x14ac:dyDescent="0.25">
      <c r="A4142" t="s">
        <v>58</v>
      </c>
      <c r="B4142" t="s">
        <v>103</v>
      </c>
      <c r="C4142">
        <v>84</v>
      </c>
      <c r="D4142">
        <v>1</v>
      </c>
      <c r="E4142">
        <v>0</v>
      </c>
      <c r="F4142" t="s">
        <v>15504</v>
      </c>
      <c r="G4142">
        <v>173</v>
      </c>
      <c r="H4142">
        <v>5</v>
      </c>
      <c r="I4142" t="s">
        <v>105</v>
      </c>
      <c r="J4142" t="s">
        <v>15505</v>
      </c>
      <c r="K4142" t="s">
        <v>15506</v>
      </c>
      <c r="L4142" t="s">
        <v>258</v>
      </c>
      <c r="M4142" t="s">
        <v>15507</v>
      </c>
      <c r="N4142" t="s">
        <v>15052</v>
      </c>
      <c r="O4142" t="s">
        <v>27</v>
      </c>
      <c r="P4142" t="s">
        <v>48</v>
      </c>
      <c r="Q4142" t="s">
        <v>49</v>
      </c>
      <c r="R4142" t="s">
        <v>50</v>
      </c>
      <c r="S4142" t="s">
        <v>28</v>
      </c>
      <c r="T4142" t="s">
        <v>15508</v>
      </c>
      <c r="U4142" t="s">
        <v>15509</v>
      </c>
    </row>
    <row r="4143" spans="1:21" x14ac:dyDescent="0.25">
      <c r="A4143" t="s">
        <v>58</v>
      </c>
      <c r="B4143" t="s">
        <v>103</v>
      </c>
      <c r="C4143">
        <v>84</v>
      </c>
      <c r="D4143">
        <v>1</v>
      </c>
      <c r="E4143">
        <v>0</v>
      </c>
      <c r="F4143" t="s">
        <v>15504</v>
      </c>
      <c r="G4143">
        <v>173</v>
      </c>
      <c r="H4143">
        <v>5</v>
      </c>
      <c r="I4143" t="s">
        <v>105</v>
      </c>
      <c r="J4143" t="s">
        <v>15505</v>
      </c>
      <c r="K4143" t="s">
        <v>15506</v>
      </c>
      <c r="L4143" t="s">
        <v>258</v>
      </c>
      <c r="M4143" t="s">
        <v>15507</v>
      </c>
      <c r="N4143" t="s">
        <v>15052</v>
      </c>
      <c r="O4143" t="s">
        <v>27</v>
      </c>
      <c r="P4143" t="s">
        <v>48</v>
      </c>
      <c r="Q4143" t="s">
        <v>49</v>
      </c>
      <c r="R4143" t="s">
        <v>50</v>
      </c>
      <c r="S4143" t="s">
        <v>28</v>
      </c>
      <c r="T4143" t="s">
        <v>15508</v>
      </c>
      <c r="U4143" t="s">
        <v>15509</v>
      </c>
    </row>
    <row r="4144" spans="1:21" x14ac:dyDescent="0.25">
      <c r="A4144" t="s">
        <v>63</v>
      </c>
      <c r="B4144" t="s">
        <v>64</v>
      </c>
      <c r="C4144">
        <v>100</v>
      </c>
      <c r="D4144">
        <v>1</v>
      </c>
      <c r="E4144">
        <v>0</v>
      </c>
      <c r="F4144" t="s">
        <v>15510</v>
      </c>
      <c r="G4144">
        <v>100</v>
      </c>
      <c r="H4144">
        <v>0</v>
      </c>
      <c r="I4144" t="s">
        <v>24</v>
      </c>
      <c r="J4144" t="s">
        <v>15511</v>
      </c>
      <c r="K4144" t="s">
        <v>247</v>
      </c>
      <c r="L4144" t="s">
        <v>27</v>
      </c>
      <c r="M4144" t="s">
        <v>28</v>
      </c>
      <c r="N4144" t="s">
        <v>15512</v>
      </c>
      <c r="O4144" t="s">
        <v>27</v>
      </c>
      <c r="P4144" t="s">
        <v>56</v>
      </c>
      <c r="Q4144" t="s">
        <v>31</v>
      </c>
      <c r="R4144" t="s">
        <v>57</v>
      </c>
      <c r="S4144" t="s">
        <v>28</v>
      </c>
      <c r="T4144" t="s">
        <v>15513</v>
      </c>
      <c r="U4144" t="s">
        <v>15512</v>
      </c>
    </row>
    <row r="4145" spans="1:21" x14ac:dyDescent="0.25">
      <c r="A4145" t="s">
        <v>134</v>
      </c>
      <c r="B4145" t="s">
        <v>64</v>
      </c>
      <c r="C4145">
        <v>100</v>
      </c>
      <c r="D4145">
        <v>2</v>
      </c>
      <c r="E4145">
        <v>0</v>
      </c>
      <c r="F4145" t="s">
        <v>15514</v>
      </c>
      <c r="G4145">
        <v>200</v>
      </c>
      <c r="H4145">
        <v>0</v>
      </c>
      <c r="I4145" t="s">
        <v>445</v>
      </c>
      <c r="J4145" t="s">
        <v>15515</v>
      </c>
      <c r="K4145" t="s">
        <v>273</v>
      </c>
      <c r="L4145" t="s">
        <v>27</v>
      </c>
      <c r="M4145" t="s">
        <v>28</v>
      </c>
      <c r="N4145" t="s">
        <v>15516</v>
      </c>
      <c r="O4145" t="s">
        <v>27</v>
      </c>
      <c r="P4145" t="s">
        <v>30</v>
      </c>
      <c r="Q4145" t="s">
        <v>31</v>
      </c>
      <c r="R4145" t="s">
        <v>32</v>
      </c>
      <c r="S4145" t="s">
        <v>28</v>
      </c>
      <c r="T4145" t="s">
        <v>15517</v>
      </c>
      <c r="U4145" t="s">
        <v>15512</v>
      </c>
    </row>
    <row r="4146" spans="1:21" x14ac:dyDescent="0.25">
      <c r="A4146" t="s">
        <v>63</v>
      </c>
      <c r="B4146" t="s">
        <v>64</v>
      </c>
      <c r="C4146">
        <v>100</v>
      </c>
      <c r="D4146">
        <v>2</v>
      </c>
      <c r="E4146">
        <v>0</v>
      </c>
      <c r="F4146" t="s">
        <v>15518</v>
      </c>
      <c r="G4146">
        <v>200</v>
      </c>
      <c r="H4146">
        <v>0</v>
      </c>
      <c r="I4146" t="s">
        <v>24</v>
      </c>
      <c r="J4146" t="s">
        <v>15519</v>
      </c>
      <c r="K4146" t="s">
        <v>358</v>
      </c>
      <c r="L4146" t="s">
        <v>27</v>
      </c>
      <c r="M4146" t="s">
        <v>28</v>
      </c>
      <c r="N4146" t="s">
        <v>15516</v>
      </c>
      <c r="O4146" t="s">
        <v>27</v>
      </c>
      <c r="P4146" t="s">
        <v>39</v>
      </c>
      <c r="Q4146" t="s">
        <v>31</v>
      </c>
      <c r="R4146" t="s">
        <v>32</v>
      </c>
      <c r="S4146" t="s">
        <v>28</v>
      </c>
      <c r="T4146" t="s">
        <v>15520</v>
      </c>
      <c r="U4146" t="s">
        <v>15516</v>
      </c>
    </row>
    <row r="4147" spans="1:21" x14ac:dyDescent="0.25">
      <c r="A4147" t="s">
        <v>33</v>
      </c>
      <c r="B4147" t="s">
        <v>34</v>
      </c>
      <c r="C4147">
        <v>200</v>
      </c>
      <c r="D4147">
        <v>1</v>
      </c>
      <c r="E4147">
        <v>0</v>
      </c>
      <c r="F4147" t="s">
        <v>15521</v>
      </c>
      <c r="G4147">
        <v>200</v>
      </c>
      <c r="H4147">
        <v>0</v>
      </c>
      <c r="I4147" t="s">
        <v>140</v>
      </c>
      <c r="J4147" t="s">
        <v>15522</v>
      </c>
      <c r="K4147" t="s">
        <v>753</v>
      </c>
      <c r="L4147" t="s">
        <v>27</v>
      </c>
      <c r="M4147" t="s">
        <v>28</v>
      </c>
      <c r="N4147" t="s">
        <v>15523</v>
      </c>
      <c r="O4147" t="s">
        <v>27</v>
      </c>
      <c r="P4147" t="s">
        <v>369</v>
      </c>
      <c r="Q4147" t="s">
        <v>31</v>
      </c>
      <c r="R4147" t="s">
        <v>57</v>
      </c>
      <c r="S4147" t="s">
        <v>28</v>
      </c>
      <c r="T4147" t="s">
        <v>15524</v>
      </c>
      <c r="U4147" t="s">
        <v>15523</v>
      </c>
    </row>
    <row r="4148" spans="1:21" x14ac:dyDescent="0.25">
      <c r="A4148" t="s">
        <v>33</v>
      </c>
      <c r="B4148" t="s">
        <v>34</v>
      </c>
      <c r="C4148">
        <v>200</v>
      </c>
      <c r="D4148">
        <v>1</v>
      </c>
      <c r="E4148">
        <v>0</v>
      </c>
      <c r="F4148" t="s">
        <v>15525</v>
      </c>
      <c r="G4148">
        <v>200</v>
      </c>
      <c r="H4148">
        <v>0</v>
      </c>
      <c r="I4148" t="s">
        <v>24</v>
      </c>
      <c r="J4148" t="s">
        <v>931</v>
      </c>
      <c r="K4148" t="s">
        <v>384</v>
      </c>
      <c r="L4148" t="s">
        <v>27</v>
      </c>
      <c r="M4148" t="s">
        <v>28</v>
      </c>
      <c r="N4148" t="s">
        <v>15523</v>
      </c>
      <c r="O4148" t="s">
        <v>27</v>
      </c>
      <c r="P4148" t="s">
        <v>39</v>
      </c>
      <c r="Q4148" t="s">
        <v>31</v>
      </c>
      <c r="R4148" t="s">
        <v>32</v>
      </c>
      <c r="S4148" t="s">
        <v>28</v>
      </c>
      <c r="T4148" t="s">
        <v>15526</v>
      </c>
      <c r="U4148" t="s">
        <v>15523</v>
      </c>
    </row>
    <row r="4149" spans="1:21" x14ac:dyDescent="0.25">
      <c r="A4149" t="s">
        <v>134</v>
      </c>
      <c r="B4149" t="s">
        <v>64</v>
      </c>
      <c r="C4149">
        <v>100</v>
      </c>
      <c r="D4149">
        <v>1</v>
      </c>
      <c r="E4149">
        <v>0</v>
      </c>
      <c r="F4149" t="s">
        <v>15527</v>
      </c>
      <c r="G4149">
        <v>106</v>
      </c>
      <c r="H4149">
        <v>6</v>
      </c>
      <c r="I4149" t="s">
        <v>445</v>
      </c>
      <c r="J4149" t="s">
        <v>15528</v>
      </c>
      <c r="K4149" t="s">
        <v>1198</v>
      </c>
      <c r="L4149" t="s">
        <v>27</v>
      </c>
      <c r="M4149" t="s">
        <v>28</v>
      </c>
      <c r="N4149" t="s">
        <v>15529</v>
      </c>
      <c r="O4149" t="s">
        <v>27</v>
      </c>
      <c r="P4149" t="s">
        <v>39</v>
      </c>
      <c r="Q4149" t="s">
        <v>31</v>
      </c>
      <c r="R4149" t="s">
        <v>32</v>
      </c>
      <c r="S4149" t="s">
        <v>28</v>
      </c>
      <c r="T4149" t="s">
        <v>15530</v>
      </c>
      <c r="U4149" t="s">
        <v>15529</v>
      </c>
    </row>
    <row r="4150" spans="1:21" x14ac:dyDescent="0.25">
      <c r="A4150" t="s">
        <v>143</v>
      </c>
      <c r="B4150" t="s">
        <v>144</v>
      </c>
      <c r="C4150">
        <v>200</v>
      </c>
      <c r="D4150">
        <v>1</v>
      </c>
      <c r="E4150">
        <v>0</v>
      </c>
      <c r="F4150" t="s">
        <v>15531</v>
      </c>
      <c r="G4150">
        <v>200</v>
      </c>
      <c r="H4150">
        <v>0</v>
      </c>
      <c r="I4150" t="s">
        <v>445</v>
      </c>
      <c r="J4150" t="s">
        <v>2354</v>
      </c>
      <c r="K4150" t="s">
        <v>89</v>
      </c>
      <c r="L4150" t="s">
        <v>27</v>
      </c>
      <c r="M4150" t="s">
        <v>28</v>
      </c>
      <c r="N4150" t="s">
        <v>15532</v>
      </c>
      <c r="O4150" t="s">
        <v>27</v>
      </c>
      <c r="P4150" t="s">
        <v>39</v>
      </c>
      <c r="Q4150" t="s">
        <v>31</v>
      </c>
      <c r="R4150" t="s">
        <v>32</v>
      </c>
      <c r="S4150" t="s">
        <v>28</v>
      </c>
      <c r="T4150" t="s">
        <v>15533</v>
      </c>
      <c r="U4150" t="s">
        <v>15532</v>
      </c>
    </row>
    <row r="4151" spans="1:21" x14ac:dyDescent="0.25">
      <c r="A4151" t="s">
        <v>134</v>
      </c>
      <c r="B4151" t="s">
        <v>64</v>
      </c>
      <c r="C4151">
        <v>100</v>
      </c>
      <c r="D4151">
        <v>1</v>
      </c>
      <c r="E4151">
        <v>0</v>
      </c>
      <c r="F4151" t="s">
        <v>15534</v>
      </c>
      <c r="G4151">
        <v>200</v>
      </c>
      <c r="H4151">
        <v>0</v>
      </c>
      <c r="I4151" t="s">
        <v>24</v>
      </c>
      <c r="J4151" t="s">
        <v>15535</v>
      </c>
      <c r="K4151" t="s">
        <v>89</v>
      </c>
      <c r="L4151" t="s">
        <v>27</v>
      </c>
      <c r="M4151" t="s">
        <v>28</v>
      </c>
      <c r="N4151" t="s">
        <v>15536</v>
      </c>
      <c r="O4151" t="s">
        <v>27</v>
      </c>
      <c r="P4151" t="s">
        <v>39</v>
      </c>
      <c r="Q4151" t="s">
        <v>31</v>
      </c>
      <c r="R4151" t="s">
        <v>32</v>
      </c>
      <c r="S4151" t="s">
        <v>28</v>
      </c>
      <c r="T4151" t="s">
        <v>15537</v>
      </c>
      <c r="U4151" t="s">
        <v>15532</v>
      </c>
    </row>
    <row r="4152" spans="1:21" x14ac:dyDescent="0.25">
      <c r="A4152" t="s">
        <v>63</v>
      </c>
      <c r="B4152" t="s">
        <v>64</v>
      </c>
      <c r="C4152">
        <v>100</v>
      </c>
      <c r="D4152">
        <v>1</v>
      </c>
      <c r="E4152">
        <v>0</v>
      </c>
      <c r="F4152" t="s">
        <v>15534</v>
      </c>
      <c r="G4152">
        <v>200</v>
      </c>
      <c r="H4152">
        <v>0</v>
      </c>
      <c r="I4152" t="s">
        <v>24</v>
      </c>
      <c r="J4152" t="s">
        <v>15535</v>
      </c>
      <c r="K4152" t="s">
        <v>89</v>
      </c>
      <c r="L4152" t="s">
        <v>27</v>
      </c>
      <c r="M4152" t="s">
        <v>28</v>
      </c>
      <c r="N4152" t="s">
        <v>15536</v>
      </c>
      <c r="O4152" t="s">
        <v>27</v>
      </c>
      <c r="P4152" t="s">
        <v>39</v>
      </c>
      <c r="Q4152" t="s">
        <v>31</v>
      </c>
      <c r="R4152" t="s">
        <v>32</v>
      </c>
      <c r="S4152" t="s">
        <v>28</v>
      </c>
      <c r="T4152" t="s">
        <v>15537</v>
      </c>
      <c r="U4152" t="s">
        <v>15532</v>
      </c>
    </row>
    <row r="4153" spans="1:21" x14ac:dyDescent="0.25">
      <c r="A4153" t="s">
        <v>456</v>
      </c>
      <c r="B4153" t="s">
        <v>457</v>
      </c>
      <c r="C4153">
        <v>199</v>
      </c>
      <c r="D4153">
        <v>1</v>
      </c>
      <c r="E4153">
        <v>0</v>
      </c>
      <c r="F4153" t="s">
        <v>15538</v>
      </c>
      <c r="G4153">
        <v>244</v>
      </c>
      <c r="H4153">
        <v>45</v>
      </c>
      <c r="I4153" t="s">
        <v>24</v>
      </c>
      <c r="J4153" t="s">
        <v>11721</v>
      </c>
      <c r="K4153" t="s">
        <v>11722</v>
      </c>
      <c r="L4153" t="s">
        <v>3844</v>
      </c>
      <c r="M4153" t="s">
        <v>9257</v>
      </c>
      <c r="N4153" t="s">
        <v>15539</v>
      </c>
      <c r="O4153" t="s">
        <v>27</v>
      </c>
      <c r="P4153" t="s">
        <v>193</v>
      </c>
      <c r="Q4153" t="s">
        <v>85</v>
      </c>
      <c r="R4153" t="s">
        <v>86</v>
      </c>
      <c r="S4153" t="s">
        <v>28</v>
      </c>
      <c r="T4153" t="s">
        <v>15540</v>
      </c>
      <c r="U4153" t="s">
        <v>15536</v>
      </c>
    </row>
    <row r="4154" spans="1:21" x14ac:dyDescent="0.25">
      <c r="A4154" t="s">
        <v>58</v>
      </c>
      <c r="B4154" t="s">
        <v>103</v>
      </c>
      <c r="C4154">
        <v>77.400000000000006</v>
      </c>
      <c r="D4154">
        <v>1</v>
      </c>
      <c r="E4154">
        <v>0</v>
      </c>
      <c r="F4154" t="s">
        <v>15541</v>
      </c>
      <c r="G4154">
        <v>77.400000000000006</v>
      </c>
      <c r="H4154">
        <v>0</v>
      </c>
      <c r="I4154" t="s">
        <v>105</v>
      </c>
      <c r="J4154" t="s">
        <v>15542</v>
      </c>
      <c r="K4154" t="s">
        <v>15543</v>
      </c>
      <c r="L4154" t="s">
        <v>14133</v>
      </c>
      <c r="M4154" t="s">
        <v>15544</v>
      </c>
      <c r="N4154" t="s">
        <v>15545</v>
      </c>
      <c r="O4154" t="s">
        <v>27</v>
      </c>
      <c r="P4154" t="s">
        <v>48</v>
      </c>
      <c r="Q4154" t="s">
        <v>49</v>
      </c>
      <c r="R4154" t="s">
        <v>50</v>
      </c>
      <c r="S4154" t="s">
        <v>28</v>
      </c>
      <c r="T4154" t="s">
        <v>15546</v>
      </c>
      <c r="U4154" t="s">
        <v>15545</v>
      </c>
    </row>
    <row r="4155" spans="1:21" x14ac:dyDescent="0.25">
      <c r="A4155" t="s">
        <v>143</v>
      </c>
      <c r="B4155" t="s">
        <v>144</v>
      </c>
      <c r="C4155">
        <v>200</v>
      </c>
      <c r="D4155">
        <v>1</v>
      </c>
      <c r="E4155">
        <v>0</v>
      </c>
      <c r="F4155" t="s">
        <v>15547</v>
      </c>
      <c r="G4155">
        <v>200</v>
      </c>
      <c r="H4155">
        <v>0</v>
      </c>
      <c r="I4155" t="s">
        <v>24</v>
      </c>
      <c r="J4155" t="s">
        <v>15548</v>
      </c>
      <c r="K4155" t="s">
        <v>171</v>
      </c>
      <c r="L4155" t="s">
        <v>27</v>
      </c>
      <c r="M4155" t="s">
        <v>28</v>
      </c>
      <c r="N4155" t="s">
        <v>15549</v>
      </c>
      <c r="O4155" t="s">
        <v>27</v>
      </c>
      <c r="P4155" t="s">
        <v>39</v>
      </c>
      <c r="Q4155" t="s">
        <v>31</v>
      </c>
      <c r="R4155" t="s">
        <v>32</v>
      </c>
      <c r="S4155" t="s">
        <v>28</v>
      </c>
      <c r="T4155" t="s">
        <v>15550</v>
      </c>
      <c r="U4155" t="s">
        <v>15549</v>
      </c>
    </row>
    <row r="4156" spans="1:21" x14ac:dyDescent="0.25">
      <c r="A4156" t="s">
        <v>63</v>
      </c>
      <c r="B4156" t="s">
        <v>64</v>
      </c>
      <c r="C4156">
        <v>100</v>
      </c>
      <c r="D4156">
        <v>1</v>
      </c>
      <c r="E4156">
        <v>0</v>
      </c>
      <c r="F4156" t="s">
        <v>15551</v>
      </c>
      <c r="G4156">
        <v>106</v>
      </c>
      <c r="H4156">
        <v>6</v>
      </c>
      <c r="I4156" t="s">
        <v>445</v>
      </c>
      <c r="J4156" t="s">
        <v>10646</v>
      </c>
      <c r="K4156" t="s">
        <v>61</v>
      </c>
      <c r="L4156" t="s">
        <v>27</v>
      </c>
      <c r="M4156" t="s">
        <v>28</v>
      </c>
      <c r="N4156" t="s">
        <v>15552</v>
      </c>
      <c r="O4156" t="s">
        <v>27</v>
      </c>
      <c r="P4156" t="s">
        <v>39</v>
      </c>
      <c r="Q4156" t="s">
        <v>31</v>
      </c>
      <c r="R4156" t="s">
        <v>32</v>
      </c>
      <c r="S4156" t="s">
        <v>28</v>
      </c>
      <c r="T4156" t="s">
        <v>15553</v>
      </c>
      <c r="U4156" t="s">
        <v>15552</v>
      </c>
    </row>
    <row r="4157" spans="1:21" x14ac:dyDescent="0.25">
      <c r="A4157" t="s">
        <v>1513</v>
      </c>
      <c r="B4157" t="s">
        <v>1514</v>
      </c>
      <c r="C4157">
        <v>330</v>
      </c>
      <c r="D4157">
        <v>1</v>
      </c>
      <c r="E4157">
        <v>0</v>
      </c>
      <c r="F4157" t="s">
        <v>15554</v>
      </c>
      <c r="G4157">
        <v>330</v>
      </c>
      <c r="H4157">
        <v>0</v>
      </c>
      <c r="I4157" t="s">
        <v>140</v>
      </c>
      <c r="J4157" t="s">
        <v>13055</v>
      </c>
      <c r="K4157" t="s">
        <v>418</v>
      </c>
      <c r="L4157" t="s">
        <v>27</v>
      </c>
      <c r="M4157" t="s">
        <v>28</v>
      </c>
      <c r="N4157" t="s">
        <v>15555</v>
      </c>
      <c r="O4157" t="s">
        <v>27</v>
      </c>
      <c r="P4157" t="s">
        <v>30</v>
      </c>
      <c r="Q4157" t="s">
        <v>31</v>
      </c>
      <c r="R4157" t="s">
        <v>32</v>
      </c>
      <c r="S4157" t="s">
        <v>28</v>
      </c>
      <c r="T4157" t="s">
        <v>15556</v>
      </c>
      <c r="U4157" t="s">
        <v>15557</v>
      </c>
    </row>
    <row r="4158" spans="1:21" x14ac:dyDescent="0.25">
      <c r="A4158" t="s">
        <v>40</v>
      </c>
      <c r="B4158" t="s">
        <v>11384</v>
      </c>
      <c r="C4158">
        <v>100</v>
      </c>
      <c r="D4158">
        <v>1</v>
      </c>
      <c r="E4158">
        <v>0</v>
      </c>
      <c r="F4158" t="s">
        <v>15558</v>
      </c>
      <c r="G4158">
        <v>106</v>
      </c>
      <c r="H4158">
        <v>6</v>
      </c>
      <c r="I4158" t="s">
        <v>140</v>
      </c>
      <c r="J4158" t="s">
        <v>15559</v>
      </c>
      <c r="K4158" t="s">
        <v>311</v>
      </c>
      <c r="L4158" t="s">
        <v>27</v>
      </c>
      <c r="M4158" t="s">
        <v>28</v>
      </c>
      <c r="N4158" t="s">
        <v>15555</v>
      </c>
      <c r="O4158" t="s">
        <v>27</v>
      </c>
      <c r="P4158" t="s">
        <v>30</v>
      </c>
      <c r="Q4158" t="s">
        <v>31</v>
      </c>
      <c r="R4158" t="s">
        <v>32</v>
      </c>
      <c r="S4158" t="s">
        <v>28</v>
      </c>
      <c r="T4158" t="s">
        <v>15560</v>
      </c>
      <c r="U4158" t="s">
        <v>15555</v>
      </c>
    </row>
    <row r="4159" spans="1:21" x14ac:dyDescent="0.25">
      <c r="A4159" t="s">
        <v>70</v>
      </c>
      <c r="B4159" t="s">
        <v>70</v>
      </c>
      <c r="C4159">
        <v>330</v>
      </c>
      <c r="D4159">
        <v>1</v>
      </c>
      <c r="E4159">
        <v>0</v>
      </c>
      <c r="F4159" t="s">
        <v>15561</v>
      </c>
      <c r="G4159">
        <v>330</v>
      </c>
      <c r="H4159">
        <v>0</v>
      </c>
      <c r="I4159" t="s">
        <v>24</v>
      </c>
      <c r="J4159" t="s">
        <v>10359</v>
      </c>
      <c r="K4159" t="s">
        <v>1198</v>
      </c>
      <c r="L4159" t="s">
        <v>27</v>
      </c>
      <c r="M4159" t="s">
        <v>28</v>
      </c>
      <c r="N4159" t="s">
        <v>15562</v>
      </c>
      <c r="O4159" t="s">
        <v>27</v>
      </c>
      <c r="P4159" t="s">
        <v>39</v>
      </c>
      <c r="Q4159" t="s">
        <v>31</v>
      </c>
      <c r="R4159" t="s">
        <v>32</v>
      </c>
      <c r="S4159" t="s">
        <v>28</v>
      </c>
      <c r="T4159" t="s">
        <v>15563</v>
      </c>
      <c r="U4159" t="s">
        <v>15562</v>
      </c>
    </row>
    <row r="4160" spans="1:21" x14ac:dyDescent="0.25">
      <c r="A4160" t="s">
        <v>134</v>
      </c>
      <c r="B4160" t="s">
        <v>64</v>
      </c>
      <c r="C4160">
        <v>100</v>
      </c>
      <c r="D4160">
        <v>1</v>
      </c>
      <c r="E4160">
        <v>0</v>
      </c>
      <c r="F4160" t="s">
        <v>15564</v>
      </c>
      <c r="G4160">
        <v>100</v>
      </c>
      <c r="H4160">
        <v>0</v>
      </c>
      <c r="I4160" t="s">
        <v>445</v>
      </c>
      <c r="J4160" t="s">
        <v>15565</v>
      </c>
      <c r="K4160" t="s">
        <v>183</v>
      </c>
      <c r="L4160" t="s">
        <v>27</v>
      </c>
      <c r="M4160" t="s">
        <v>28</v>
      </c>
      <c r="N4160" t="s">
        <v>15566</v>
      </c>
      <c r="O4160" t="s">
        <v>27</v>
      </c>
      <c r="P4160" t="s">
        <v>39</v>
      </c>
      <c r="Q4160" t="s">
        <v>31</v>
      </c>
      <c r="R4160" t="s">
        <v>32</v>
      </c>
      <c r="S4160" t="s">
        <v>28</v>
      </c>
      <c r="T4160" t="s">
        <v>15567</v>
      </c>
      <c r="U4160" t="s">
        <v>15566</v>
      </c>
    </row>
    <row r="4161" spans="1:21" x14ac:dyDescent="0.25">
      <c r="A4161" t="s">
        <v>58</v>
      </c>
      <c r="B4161" t="s">
        <v>58</v>
      </c>
      <c r="C4161">
        <v>100</v>
      </c>
      <c r="D4161">
        <v>1</v>
      </c>
      <c r="E4161">
        <v>0</v>
      </c>
      <c r="F4161" t="s">
        <v>15568</v>
      </c>
      <c r="G4161">
        <v>106</v>
      </c>
      <c r="H4161">
        <v>6</v>
      </c>
      <c r="I4161" t="s">
        <v>140</v>
      </c>
      <c r="J4161" t="s">
        <v>15569</v>
      </c>
      <c r="K4161" t="s">
        <v>1029</v>
      </c>
      <c r="L4161" t="s">
        <v>27</v>
      </c>
      <c r="M4161" t="s">
        <v>28</v>
      </c>
      <c r="N4161" t="s">
        <v>15570</v>
      </c>
      <c r="O4161" t="s">
        <v>27</v>
      </c>
      <c r="P4161" t="s">
        <v>30</v>
      </c>
      <c r="Q4161" t="s">
        <v>31</v>
      </c>
      <c r="R4161" t="s">
        <v>32</v>
      </c>
      <c r="S4161" t="s">
        <v>28</v>
      </c>
      <c r="T4161" t="s">
        <v>15571</v>
      </c>
      <c r="U4161" t="s">
        <v>15570</v>
      </c>
    </row>
    <row r="4162" spans="1:21" x14ac:dyDescent="0.25">
      <c r="A4162" t="s">
        <v>33</v>
      </c>
      <c r="B4162" t="s">
        <v>34</v>
      </c>
      <c r="C4162">
        <v>200</v>
      </c>
      <c r="D4162">
        <v>1</v>
      </c>
      <c r="E4162">
        <v>0</v>
      </c>
      <c r="F4162" t="s">
        <v>15572</v>
      </c>
      <c r="G4162">
        <v>200</v>
      </c>
      <c r="H4162">
        <v>0</v>
      </c>
      <c r="I4162" t="s">
        <v>24</v>
      </c>
      <c r="J4162" t="s">
        <v>15573</v>
      </c>
      <c r="K4162" t="s">
        <v>10412</v>
      </c>
      <c r="L4162" t="s">
        <v>27</v>
      </c>
      <c r="M4162" t="s">
        <v>28</v>
      </c>
      <c r="N4162" t="s">
        <v>15574</v>
      </c>
      <c r="O4162" t="s">
        <v>27</v>
      </c>
      <c r="P4162" t="s">
        <v>39</v>
      </c>
      <c r="Q4162" t="s">
        <v>31</v>
      </c>
      <c r="R4162" t="s">
        <v>32</v>
      </c>
      <c r="S4162" t="s">
        <v>28</v>
      </c>
      <c r="T4162" t="s">
        <v>15575</v>
      </c>
      <c r="U4162" t="s">
        <v>15570</v>
      </c>
    </row>
    <row r="4163" spans="1:21" x14ac:dyDescent="0.25">
      <c r="A4163" t="s">
        <v>70</v>
      </c>
      <c r="B4163" t="s">
        <v>70</v>
      </c>
      <c r="C4163">
        <v>330</v>
      </c>
      <c r="D4163">
        <v>1</v>
      </c>
      <c r="E4163">
        <v>0</v>
      </c>
      <c r="F4163" t="s">
        <v>15576</v>
      </c>
      <c r="G4163">
        <v>330</v>
      </c>
      <c r="H4163">
        <v>0</v>
      </c>
      <c r="I4163" t="s">
        <v>24</v>
      </c>
      <c r="J4163" t="s">
        <v>15577</v>
      </c>
      <c r="K4163" t="s">
        <v>61</v>
      </c>
      <c r="L4163" t="s">
        <v>27</v>
      </c>
      <c r="M4163" t="s">
        <v>28</v>
      </c>
      <c r="N4163" t="s">
        <v>15578</v>
      </c>
      <c r="O4163" t="s">
        <v>27</v>
      </c>
      <c r="P4163" t="s">
        <v>39</v>
      </c>
      <c r="Q4163" t="s">
        <v>31</v>
      </c>
      <c r="R4163" t="s">
        <v>32</v>
      </c>
      <c r="S4163" t="s">
        <v>28</v>
      </c>
      <c r="T4163" t="s">
        <v>15579</v>
      </c>
      <c r="U4163" t="s">
        <v>15578</v>
      </c>
    </row>
    <row r="4164" spans="1:21" x14ac:dyDescent="0.25">
      <c r="A4164" t="s">
        <v>63</v>
      </c>
      <c r="B4164" t="s">
        <v>64</v>
      </c>
      <c r="C4164">
        <v>100</v>
      </c>
      <c r="D4164">
        <v>1</v>
      </c>
      <c r="E4164">
        <v>0</v>
      </c>
      <c r="F4164" t="s">
        <v>15580</v>
      </c>
      <c r="G4164">
        <v>200</v>
      </c>
      <c r="H4164">
        <v>0</v>
      </c>
      <c r="I4164" t="s">
        <v>24</v>
      </c>
      <c r="J4164" t="s">
        <v>15581</v>
      </c>
      <c r="K4164" t="s">
        <v>474</v>
      </c>
      <c r="L4164" t="s">
        <v>27</v>
      </c>
      <c r="M4164" t="s">
        <v>28</v>
      </c>
      <c r="N4164" t="s">
        <v>15582</v>
      </c>
      <c r="O4164" t="s">
        <v>27</v>
      </c>
      <c r="P4164" t="s">
        <v>39</v>
      </c>
      <c r="Q4164" t="s">
        <v>31</v>
      </c>
      <c r="R4164" t="s">
        <v>32</v>
      </c>
      <c r="S4164" t="s">
        <v>28</v>
      </c>
      <c r="T4164" t="s">
        <v>15583</v>
      </c>
      <c r="U4164" t="s">
        <v>15582</v>
      </c>
    </row>
    <row r="4165" spans="1:21" x14ac:dyDescent="0.25">
      <c r="A4165" t="s">
        <v>134</v>
      </c>
      <c r="B4165" t="s">
        <v>64</v>
      </c>
      <c r="C4165">
        <v>100</v>
      </c>
      <c r="D4165">
        <v>1</v>
      </c>
      <c r="E4165">
        <v>0</v>
      </c>
      <c r="F4165" t="s">
        <v>15580</v>
      </c>
      <c r="G4165">
        <v>200</v>
      </c>
      <c r="H4165">
        <v>0</v>
      </c>
      <c r="I4165" t="s">
        <v>24</v>
      </c>
      <c r="J4165" t="s">
        <v>15581</v>
      </c>
      <c r="K4165" t="s">
        <v>474</v>
      </c>
      <c r="L4165" t="s">
        <v>27</v>
      </c>
      <c r="M4165" t="s">
        <v>28</v>
      </c>
      <c r="N4165" t="s">
        <v>15582</v>
      </c>
      <c r="O4165" t="s">
        <v>27</v>
      </c>
      <c r="P4165" t="s">
        <v>39</v>
      </c>
      <c r="Q4165" t="s">
        <v>31</v>
      </c>
      <c r="R4165" t="s">
        <v>32</v>
      </c>
      <c r="S4165" t="s">
        <v>28</v>
      </c>
      <c r="T4165" t="s">
        <v>15583</v>
      </c>
      <c r="U4165" t="s">
        <v>15582</v>
      </c>
    </row>
    <row r="4166" spans="1:21" x14ac:dyDescent="0.25">
      <c r="A4166" t="s">
        <v>134</v>
      </c>
      <c r="B4166" t="s">
        <v>64</v>
      </c>
      <c r="C4166">
        <v>100</v>
      </c>
      <c r="D4166">
        <v>1</v>
      </c>
      <c r="E4166">
        <v>0</v>
      </c>
      <c r="F4166" t="s">
        <v>15584</v>
      </c>
      <c r="G4166">
        <v>106</v>
      </c>
      <c r="H4166">
        <v>6</v>
      </c>
      <c r="I4166" t="s">
        <v>24</v>
      </c>
      <c r="J4166" t="s">
        <v>15585</v>
      </c>
      <c r="K4166" t="s">
        <v>67</v>
      </c>
      <c r="L4166" t="s">
        <v>27</v>
      </c>
      <c r="M4166" t="s">
        <v>28</v>
      </c>
      <c r="N4166" t="s">
        <v>15586</v>
      </c>
      <c r="O4166" t="s">
        <v>27</v>
      </c>
      <c r="P4166" t="s">
        <v>39</v>
      </c>
      <c r="Q4166" t="s">
        <v>31</v>
      </c>
      <c r="R4166" t="s">
        <v>32</v>
      </c>
      <c r="S4166" t="s">
        <v>28</v>
      </c>
      <c r="T4166" t="s">
        <v>15587</v>
      </c>
      <c r="U4166" t="s">
        <v>15582</v>
      </c>
    </row>
    <row r="4167" spans="1:21" x14ac:dyDescent="0.25">
      <c r="A4167" t="s">
        <v>63</v>
      </c>
      <c r="B4167" t="s">
        <v>64</v>
      </c>
      <c r="C4167">
        <v>100</v>
      </c>
      <c r="D4167">
        <v>2</v>
      </c>
      <c r="E4167">
        <v>0</v>
      </c>
      <c r="F4167" t="s">
        <v>15588</v>
      </c>
      <c r="G4167">
        <v>1000</v>
      </c>
      <c r="H4167">
        <v>0</v>
      </c>
      <c r="I4167" t="s">
        <v>140</v>
      </c>
      <c r="J4167" t="s">
        <v>15589</v>
      </c>
      <c r="K4167" t="s">
        <v>118</v>
      </c>
      <c r="L4167" t="s">
        <v>27</v>
      </c>
      <c r="M4167" t="s">
        <v>28</v>
      </c>
      <c r="N4167" t="s">
        <v>15590</v>
      </c>
      <c r="O4167" t="s">
        <v>27</v>
      </c>
      <c r="P4167" t="s">
        <v>30</v>
      </c>
      <c r="Q4167" t="s">
        <v>31</v>
      </c>
      <c r="R4167" t="s">
        <v>32</v>
      </c>
      <c r="S4167" t="s">
        <v>28</v>
      </c>
      <c r="T4167" t="s">
        <v>15591</v>
      </c>
      <c r="U4167" t="s">
        <v>15590</v>
      </c>
    </row>
    <row r="4168" spans="1:21" x14ac:dyDescent="0.25">
      <c r="A4168" t="s">
        <v>134</v>
      </c>
      <c r="B4168" t="s">
        <v>64</v>
      </c>
      <c r="C4168">
        <v>100</v>
      </c>
      <c r="D4168">
        <v>8</v>
      </c>
      <c r="E4168">
        <v>0</v>
      </c>
      <c r="F4168" t="s">
        <v>15588</v>
      </c>
      <c r="G4168">
        <v>1000</v>
      </c>
      <c r="H4168">
        <v>0</v>
      </c>
      <c r="I4168" t="s">
        <v>140</v>
      </c>
      <c r="J4168" t="s">
        <v>15589</v>
      </c>
      <c r="K4168" t="s">
        <v>118</v>
      </c>
      <c r="L4168" t="s">
        <v>27</v>
      </c>
      <c r="M4168" t="s">
        <v>28</v>
      </c>
      <c r="N4168" t="s">
        <v>15590</v>
      </c>
      <c r="O4168" t="s">
        <v>27</v>
      </c>
      <c r="P4168" t="s">
        <v>30</v>
      </c>
      <c r="Q4168" t="s">
        <v>31</v>
      </c>
      <c r="R4168" t="s">
        <v>32</v>
      </c>
      <c r="S4168" t="s">
        <v>28</v>
      </c>
      <c r="T4168" t="s">
        <v>15591</v>
      </c>
      <c r="U4168" t="s">
        <v>15590</v>
      </c>
    </row>
    <row r="4169" spans="1:21" x14ac:dyDescent="0.25">
      <c r="A4169" t="s">
        <v>2307</v>
      </c>
      <c r="B4169" t="s">
        <v>2308</v>
      </c>
      <c r="C4169">
        <v>330</v>
      </c>
      <c r="D4169">
        <v>1</v>
      </c>
      <c r="E4169">
        <v>0</v>
      </c>
      <c r="F4169" t="s">
        <v>15592</v>
      </c>
      <c r="G4169">
        <v>330</v>
      </c>
      <c r="H4169">
        <v>0</v>
      </c>
      <c r="I4169" t="s">
        <v>24</v>
      </c>
      <c r="J4169" t="s">
        <v>15593</v>
      </c>
      <c r="K4169" t="s">
        <v>67</v>
      </c>
      <c r="L4169" t="s">
        <v>27</v>
      </c>
      <c r="M4169" t="s">
        <v>28</v>
      </c>
      <c r="N4169" t="s">
        <v>15594</v>
      </c>
      <c r="O4169" t="s">
        <v>27</v>
      </c>
      <c r="P4169" t="s">
        <v>39</v>
      </c>
      <c r="Q4169" t="s">
        <v>31</v>
      </c>
      <c r="R4169" t="s">
        <v>32</v>
      </c>
      <c r="S4169" t="s">
        <v>28</v>
      </c>
      <c r="T4169" t="s">
        <v>15595</v>
      </c>
      <c r="U4169" t="s">
        <v>15594</v>
      </c>
    </row>
    <row r="4170" spans="1:21" x14ac:dyDescent="0.25">
      <c r="A4170" t="s">
        <v>63</v>
      </c>
      <c r="B4170" t="s">
        <v>64</v>
      </c>
      <c r="C4170">
        <v>100</v>
      </c>
      <c r="D4170">
        <v>1</v>
      </c>
      <c r="E4170">
        <v>0</v>
      </c>
      <c r="F4170" t="s">
        <v>15596</v>
      </c>
      <c r="G4170">
        <v>298</v>
      </c>
      <c r="H4170">
        <v>0</v>
      </c>
      <c r="I4170" t="s">
        <v>140</v>
      </c>
      <c r="J4170" t="s">
        <v>15597</v>
      </c>
      <c r="K4170" t="s">
        <v>358</v>
      </c>
      <c r="L4170" t="s">
        <v>27</v>
      </c>
      <c r="M4170" t="s">
        <v>28</v>
      </c>
      <c r="N4170" t="s">
        <v>15594</v>
      </c>
      <c r="O4170" t="s">
        <v>27</v>
      </c>
      <c r="P4170" t="s">
        <v>369</v>
      </c>
      <c r="Q4170" t="s">
        <v>31</v>
      </c>
      <c r="R4170" t="s">
        <v>57</v>
      </c>
      <c r="S4170" t="s">
        <v>28</v>
      </c>
      <c r="T4170" t="s">
        <v>15598</v>
      </c>
      <c r="U4170" t="s">
        <v>15594</v>
      </c>
    </row>
    <row r="4171" spans="1:21" x14ac:dyDescent="0.25">
      <c r="A4171" t="s">
        <v>33</v>
      </c>
      <c r="B4171" t="s">
        <v>34</v>
      </c>
      <c r="C4171">
        <v>200</v>
      </c>
      <c r="D4171">
        <v>1</v>
      </c>
      <c r="E4171">
        <v>0</v>
      </c>
      <c r="F4171" t="s">
        <v>15599</v>
      </c>
      <c r="G4171">
        <v>200</v>
      </c>
      <c r="H4171">
        <v>0</v>
      </c>
      <c r="I4171" t="s">
        <v>24</v>
      </c>
      <c r="J4171" t="s">
        <v>15600</v>
      </c>
      <c r="K4171" t="s">
        <v>67</v>
      </c>
      <c r="L4171" t="s">
        <v>27</v>
      </c>
      <c r="M4171" t="s">
        <v>28</v>
      </c>
      <c r="N4171" t="s">
        <v>15601</v>
      </c>
      <c r="O4171" t="s">
        <v>27</v>
      </c>
      <c r="P4171" t="s">
        <v>39</v>
      </c>
      <c r="Q4171" t="s">
        <v>31</v>
      </c>
      <c r="R4171" t="s">
        <v>32</v>
      </c>
      <c r="S4171" t="s">
        <v>28</v>
      </c>
      <c r="T4171" t="s">
        <v>15602</v>
      </c>
      <c r="U4171" t="s">
        <v>15601</v>
      </c>
    </row>
    <row r="4172" spans="1:21" x14ac:dyDescent="0.25">
      <c r="A4172" t="s">
        <v>13290</v>
      </c>
      <c r="B4172" t="s">
        <v>13291</v>
      </c>
      <c r="C4172">
        <v>100</v>
      </c>
      <c r="D4172">
        <v>1</v>
      </c>
      <c r="E4172">
        <v>0</v>
      </c>
      <c r="F4172" t="s">
        <v>15603</v>
      </c>
      <c r="G4172">
        <v>125</v>
      </c>
      <c r="H4172">
        <v>25</v>
      </c>
      <c r="I4172" t="s">
        <v>445</v>
      </c>
      <c r="J4172" t="s">
        <v>15604</v>
      </c>
      <c r="K4172" t="s">
        <v>250</v>
      </c>
      <c r="L4172" t="s">
        <v>27</v>
      </c>
      <c r="M4172" t="s">
        <v>28</v>
      </c>
      <c r="N4172" t="s">
        <v>15605</v>
      </c>
      <c r="O4172" t="s">
        <v>27</v>
      </c>
      <c r="P4172" t="s">
        <v>39</v>
      </c>
      <c r="Q4172" t="s">
        <v>31</v>
      </c>
      <c r="R4172" t="s">
        <v>32</v>
      </c>
      <c r="S4172" t="s">
        <v>28</v>
      </c>
      <c r="T4172" t="s">
        <v>15606</v>
      </c>
      <c r="U4172" t="s">
        <v>15605</v>
      </c>
    </row>
    <row r="4173" spans="1:21" x14ac:dyDescent="0.25">
      <c r="A4173" t="s">
        <v>134</v>
      </c>
      <c r="B4173" t="s">
        <v>64</v>
      </c>
      <c r="C4173">
        <v>100</v>
      </c>
      <c r="D4173">
        <v>1</v>
      </c>
      <c r="E4173">
        <v>0</v>
      </c>
      <c r="F4173" t="s">
        <v>15607</v>
      </c>
      <c r="G4173">
        <v>100</v>
      </c>
      <c r="H4173">
        <v>0</v>
      </c>
      <c r="I4173" t="s">
        <v>140</v>
      </c>
      <c r="J4173" t="s">
        <v>15608</v>
      </c>
      <c r="K4173" t="s">
        <v>8487</v>
      </c>
      <c r="L4173" t="s">
        <v>27</v>
      </c>
      <c r="M4173" t="s">
        <v>28</v>
      </c>
      <c r="N4173" t="s">
        <v>15609</v>
      </c>
      <c r="O4173" t="s">
        <v>27</v>
      </c>
      <c r="P4173" t="s">
        <v>30</v>
      </c>
      <c r="Q4173" t="s">
        <v>31</v>
      </c>
      <c r="R4173" t="s">
        <v>32</v>
      </c>
      <c r="S4173" t="s">
        <v>28</v>
      </c>
      <c r="T4173" t="s">
        <v>15610</v>
      </c>
      <c r="U4173" t="s">
        <v>15609</v>
      </c>
    </row>
    <row r="4174" spans="1:21" x14ac:dyDescent="0.25">
      <c r="A4174" t="s">
        <v>70</v>
      </c>
      <c r="B4174" t="s">
        <v>70</v>
      </c>
      <c r="C4174">
        <v>330</v>
      </c>
      <c r="D4174">
        <v>1</v>
      </c>
      <c r="E4174">
        <v>0</v>
      </c>
      <c r="F4174" t="s">
        <v>15611</v>
      </c>
      <c r="G4174">
        <v>330</v>
      </c>
      <c r="H4174">
        <v>0</v>
      </c>
      <c r="I4174" t="s">
        <v>445</v>
      </c>
      <c r="J4174" t="s">
        <v>15612</v>
      </c>
      <c r="K4174" t="s">
        <v>346</v>
      </c>
      <c r="L4174" t="s">
        <v>27</v>
      </c>
      <c r="M4174" t="s">
        <v>28</v>
      </c>
      <c r="N4174" t="s">
        <v>15613</v>
      </c>
      <c r="O4174" t="s">
        <v>27</v>
      </c>
      <c r="P4174" t="s">
        <v>39</v>
      </c>
      <c r="Q4174" t="s">
        <v>31</v>
      </c>
      <c r="R4174" t="s">
        <v>32</v>
      </c>
      <c r="S4174" t="s">
        <v>28</v>
      </c>
      <c r="T4174" t="s">
        <v>15614</v>
      </c>
      <c r="U4174" t="s">
        <v>15613</v>
      </c>
    </row>
    <row r="4175" spans="1:21" x14ac:dyDescent="0.25">
      <c r="A4175" t="s">
        <v>70</v>
      </c>
      <c r="B4175" t="s">
        <v>70</v>
      </c>
      <c r="C4175">
        <v>330</v>
      </c>
      <c r="D4175">
        <v>1</v>
      </c>
      <c r="E4175">
        <v>0</v>
      </c>
      <c r="F4175" t="s">
        <v>15615</v>
      </c>
      <c r="G4175">
        <v>330</v>
      </c>
      <c r="H4175">
        <v>0</v>
      </c>
      <c r="I4175" t="s">
        <v>445</v>
      </c>
      <c r="J4175" t="s">
        <v>15616</v>
      </c>
      <c r="K4175" t="s">
        <v>26</v>
      </c>
      <c r="L4175" t="s">
        <v>27</v>
      </c>
      <c r="M4175" t="s">
        <v>28</v>
      </c>
      <c r="N4175" t="s">
        <v>15613</v>
      </c>
      <c r="O4175" t="s">
        <v>27</v>
      </c>
      <c r="P4175" t="s">
        <v>39</v>
      </c>
      <c r="Q4175" t="s">
        <v>31</v>
      </c>
      <c r="R4175" t="s">
        <v>32</v>
      </c>
      <c r="S4175" t="s">
        <v>28</v>
      </c>
      <c r="T4175" t="s">
        <v>15617</v>
      </c>
      <c r="U4175" t="s">
        <v>15613</v>
      </c>
    </row>
    <row r="4176" spans="1:21" x14ac:dyDescent="0.25">
      <c r="A4176" t="s">
        <v>58</v>
      </c>
      <c r="B4176" t="s">
        <v>103</v>
      </c>
      <c r="C4176">
        <v>96.3</v>
      </c>
      <c r="D4176">
        <v>1</v>
      </c>
      <c r="E4176">
        <v>0</v>
      </c>
      <c r="F4176" t="s">
        <v>15618</v>
      </c>
      <c r="G4176">
        <v>197.6</v>
      </c>
      <c r="H4176">
        <v>5</v>
      </c>
      <c r="I4176" t="s">
        <v>105</v>
      </c>
      <c r="J4176" t="s">
        <v>15619</v>
      </c>
      <c r="K4176" t="s">
        <v>15620</v>
      </c>
      <c r="L4176" t="s">
        <v>1522</v>
      </c>
      <c r="M4176" t="s">
        <v>15621</v>
      </c>
      <c r="N4176" t="s">
        <v>15622</v>
      </c>
      <c r="O4176" t="s">
        <v>27</v>
      </c>
      <c r="P4176" t="s">
        <v>48</v>
      </c>
      <c r="Q4176" t="s">
        <v>49</v>
      </c>
      <c r="R4176" t="s">
        <v>50</v>
      </c>
      <c r="S4176" t="s">
        <v>28</v>
      </c>
      <c r="T4176" t="s">
        <v>15623</v>
      </c>
      <c r="U4176" t="s">
        <v>15622</v>
      </c>
    </row>
    <row r="4177" spans="1:21" x14ac:dyDescent="0.25">
      <c r="A4177" t="s">
        <v>58</v>
      </c>
      <c r="B4177" t="s">
        <v>103</v>
      </c>
      <c r="C4177">
        <v>96.3</v>
      </c>
      <c r="D4177">
        <v>1</v>
      </c>
      <c r="E4177">
        <v>0</v>
      </c>
      <c r="F4177" t="s">
        <v>15618</v>
      </c>
      <c r="G4177">
        <v>197.6</v>
      </c>
      <c r="H4177">
        <v>5</v>
      </c>
      <c r="I4177" t="s">
        <v>105</v>
      </c>
      <c r="J4177" t="s">
        <v>15619</v>
      </c>
      <c r="K4177" t="s">
        <v>15620</v>
      </c>
      <c r="L4177" t="s">
        <v>1522</v>
      </c>
      <c r="M4177" t="s">
        <v>15621</v>
      </c>
      <c r="N4177" t="s">
        <v>15622</v>
      </c>
      <c r="O4177" t="s">
        <v>27</v>
      </c>
      <c r="P4177" t="s">
        <v>48</v>
      </c>
      <c r="Q4177" t="s">
        <v>49</v>
      </c>
      <c r="R4177" t="s">
        <v>50</v>
      </c>
      <c r="S4177" t="s">
        <v>28</v>
      </c>
      <c r="T4177" t="s">
        <v>15623</v>
      </c>
      <c r="U4177" t="s">
        <v>15622</v>
      </c>
    </row>
    <row r="4178" spans="1:21" x14ac:dyDescent="0.25">
      <c r="A4178" t="s">
        <v>21</v>
      </c>
      <c r="B4178" t="s">
        <v>22</v>
      </c>
      <c r="C4178">
        <v>100</v>
      </c>
      <c r="D4178">
        <v>1</v>
      </c>
      <c r="E4178">
        <v>0</v>
      </c>
      <c r="F4178" t="s">
        <v>15624</v>
      </c>
      <c r="G4178">
        <v>106</v>
      </c>
      <c r="H4178">
        <v>6</v>
      </c>
      <c r="I4178" t="s">
        <v>445</v>
      </c>
      <c r="J4178" t="s">
        <v>15625</v>
      </c>
      <c r="K4178" t="s">
        <v>54</v>
      </c>
      <c r="L4178" t="s">
        <v>27</v>
      </c>
      <c r="M4178" t="s">
        <v>28</v>
      </c>
      <c r="N4178" t="s">
        <v>15626</v>
      </c>
      <c r="O4178" t="s">
        <v>27</v>
      </c>
      <c r="P4178" t="s">
        <v>39</v>
      </c>
      <c r="Q4178" t="s">
        <v>31</v>
      </c>
      <c r="R4178" t="s">
        <v>32</v>
      </c>
      <c r="S4178" t="s">
        <v>28</v>
      </c>
      <c r="T4178" t="s">
        <v>15627</v>
      </c>
      <c r="U4178" t="s">
        <v>15626</v>
      </c>
    </row>
    <row r="4179" spans="1:21" x14ac:dyDescent="0.25">
      <c r="A4179" t="s">
        <v>2307</v>
      </c>
      <c r="B4179" t="s">
        <v>2308</v>
      </c>
      <c r="C4179">
        <v>330</v>
      </c>
      <c r="D4179">
        <v>1</v>
      </c>
      <c r="E4179">
        <v>0</v>
      </c>
      <c r="F4179" t="s">
        <v>15628</v>
      </c>
      <c r="G4179">
        <v>530</v>
      </c>
      <c r="H4179">
        <v>0</v>
      </c>
      <c r="I4179" t="s">
        <v>140</v>
      </c>
      <c r="J4179" t="s">
        <v>15629</v>
      </c>
      <c r="K4179" t="s">
        <v>466</v>
      </c>
      <c r="L4179" t="s">
        <v>27</v>
      </c>
      <c r="M4179" t="s">
        <v>28</v>
      </c>
      <c r="N4179" t="s">
        <v>15626</v>
      </c>
      <c r="O4179" t="s">
        <v>27</v>
      </c>
      <c r="P4179" t="s">
        <v>30</v>
      </c>
      <c r="Q4179" t="s">
        <v>31</v>
      </c>
      <c r="R4179" t="s">
        <v>32</v>
      </c>
      <c r="S4179" t="s">
        <v>28</v>
      </c>
      <c r="T4179" t="s">
        <v>15630</v>
      </c>
      <c r="U4179" t="s">
        <v>15626</v>
      </c>
    </row>
    <row r="4180" spans="1:21" x14ac:dyDescent="0.25">
      <c r="A4180" t="s">
        <v>143</v>
      </c>
      <c r="B4180" t="s">
        <v>144</v>
      </c>
      <c r="C4180">
        <v>200</v>
      </c>
      <c r="D4180">
        <v>1</v>
      </c>
      <c r="E4180">
        <v>0</v>
      </c>
      <c r="F4180" t="s">
        <v>15628</v>
      </c>
      <c r="G4180">
        <v>530</v>
      </c>
      <c r="H4180">
        <v>0</v>
      </c>
      <c r="I4180" t="s">
        <v>140</v>
      </c>
      <c r="J4180" t="s">
        <v>15629</v>
      </c>
      <c r="K4180" t="s">
        <v>466</v>
      </c>
      <c r="L4180" t="s">
        <v>27</v>
      </c>
      <c r="M4180" t="s">
        <v>28</v>
      </c>
      <c r="N4180" t="s">
        <v>15626</v>
      </c>
      <c r="O4180" t="s">
        <v>27</v>
      </c>
      <c r="P4180" t="s">
        <v>30</v>
      </c>
      <c r="Q4180" t="s">
        <v>31</v>
      </c>
      <c r="R4180" t="s">
        <v>32</v>
      </c>
      <c r="S4180" t="s">
        <v>28</v>
      </c>
      <c r="T4180" t="s">
        <v>15630</v>
      </c>
      <c r="U4180" t="s">
        <v>15626</v>
      </c>
    </row>
    <row r="4181" spans="1:21" x14ac:dyDescent="0.25">
      <c r="A4181" t="s">
        <v>21</v>
      </c>
      <c r="B4181" t="s">
        <v>22</v>
      </c>
      <c r="C4181">
        <v>100</v>
      </c>
      <c r="D4181">
        <v>1</v>
      </c>
      <c r="E4181">
        <v>0</v>
      </c>
      <c r="F4181" t="s">
        <v>15631</v>
      </c>
      <c r="G4181">
        <v>100</v>
      </c>
      <c r="H4181">
        <v>0</v>
      </c>
      <c r="I4181" t="s">
        <v>140</v>
      </c>
      <c r="J4181" t="s">
        <v>15632</v>
      </c>
      <c r="K4181" t="s">
        <v>247</v>
      </c>
      <c r="L4181" t="s">
        <v>27</v>
      </c>
      <c r="M4181" t="s">
        <v>28</v>
      </c>
      <c r="N4181" t="s">
        <v>15633</v>
      </c>
      <c r="O4181" t="s">
        <v>27</v>
      </c>
      <c r="P4181" t="s">
        <v>30</v>
      </c>
      <c r="Q4181" t="s">
        <v>31</v>
      </c>
      <c r="R4181" t="s">
        <v>32</v>
      </c>
      <c r="S4181" t="s">
        <v>28</v>
      </c>
      <c r="T4181" t="s">
        <v>15634</v>
      </c>
      <c r="U4181" t="s">
        <v>15633</v>
      </c>
    </row>
    <row r="4182" spans="1:21" x14ac:dyDescent="0.25">
      <c r="A4182" t="s">
        <v>21</v>
      </c>
      <c r="B4182" t="s">
        <v>22</v>
      </c>
      <c r="C4182">
        <v>100</v>
      </c>
      <c r="D4182">
        <v>1</v>
      </c>
      <c r="E4182">
        <v>0</v>
      </c>
      <c r="F4182" t="s">
        <v>15635</v>
      </c>
      <c r="G4182">
        <v>100</v>
      </c>
      <c r="H4182">
        <v>0</v>
      </c>
      <c r="I4182" t="s">
        <v>24</v>
      </c>
      <c r="J4182" t="s">
        <v>15636</v>
      </c>
      <c r="K4182" t="s">
        <v>384</v>
      </c>
      <c r="L4182" t="s">
        <v>27</v>
      </c>
      <c r="M4182" t="s">
        <v>28</v>
      </c>
      <c r="N4182" t="s">
        <v>15637</v>
      </c>
      <c r="O4182" t="s">
        <v>27</v>
      </c>
      <c r="P4182" t="s">
        <v>39</v>
      </c>
      <c r="Q4182" t="s">
        <v>31</v>
      </c>
      <c r="R4182" t="s">
        <v>32</v>
      </c>
      <c r="S4182" t="s">
        <v>28</v>
      </c>
      <c r="T4182" t="s">
        <v>15638</v>
      </c>
      <c r="U4182" t="s">
        <v>15637</v>
      </c>
    </row>
    <row r="4183" spans="1:21" x14ac:dyDescent="0.25">
      <c r="A4183" t="s">
        <v>70</v>
      </c>
      <c r="B4183" t="s">
        <v>70</v>
      </c>
      <c r="C4183">
        <v>350</v>
      </c>
      <c r="D4183">
        <v>3</v>
      </c>
      <c r="E4183">
        <v>0</v>
      </c>
      <c r="F4183" t="s">
        <v>15639</v>
      </c>
      <c r="G4183">
        <v>1050</v>
      </c>
      <c r="H4183">
        <v>0</v>
      </c>
      <c r="I4183" t="s">
        <v>140</v>
      </c>
      <c r="J4183" t="s">
        <v>15640</v>
      </c>
      <c r="K4183" t="s">
        <v>37</v>
      </c>
      <c r="L4183" t="s">
        <v>27</v>
      </c>
      <c r="M4183" t="s">
        <v>28</v>
      </c>
      <c r="N4183" t="s">
        <v>15641</v>
      </c>
      <c r="O4183" t="s">
        <v>27</v>
      </c>
      <c r="P4183" t="s">
        <v>30</v>
      </c>
      <c r="Q4183" t="s">
        <v>31</v>
      </c>
      <c r="R4183" t="s">
        <v>32</v>
      </c>
      <c r="S4183" t="s">
        <v>28</v>
      </c>
      <c r="T4183" t="s">
        <v>15642</v>
      </c>
      <c r="U4183" t="s">
        <v>15641</v>
      </c>
    </row>
    <row r="4184" spans="1:21" x14ac:dyDescent="0.25">
      <c r="A4184" t="s">
        <v>143</v>
      </c>
      <c r="B4184" t="s">
        <v>144</v>
      </c>
      <c r="C4184">
        <v>200</v>
      </c>
      <c r="D4184">
        <v>2</v>
      </c>
      <c r="E4184">
        <v>0</v>
      </c>
      <c r="F4184" t="s">
        <v>15643</v>
      </c>
      <c r="G4184">
        <v>400</v>
      </c>
      <c r="H4184">
        <v>0</v>
      </c>
      <c r="I4184" t="s">
        <v>24</v>
      </c>
      <c r="J4184" t="s">
        <v>367</v>
      </c>
      <c r="K4184" t="s">
        <v>171</v>
      </c>
      <c r="L4184" t="s">
        <v>27</v>
      </c>
      <c r="M4184" t="s">
        <v>28</v>
      </c>
      <c r="N4184" t="s">
        <v>15641</v>
      </c>
      <c r="O4184" t="s">
        <v>27</v>
      </c>
      <c r="P4184" t="s">
        <v>56</v>
      </c>
      <c r="Q4184" t="s">
        <v>31</v>
      </c>
      <c r="R4184" t="s">
        <v>57</v>
      </c>
      <c r="S4184" t="s">
        <v>28</v>
      </c>
      <c r="T4184" t="s">
        <v>15644</v>
      </c>
      <c r="U4184" t="s">
        <v>15641</v>
      </c>
    </row>
    <row r="4185" spans="1:21" x14ac:dyDescent="0.25">
      <c r="A4185" t="s">
        <v>21</v>
      </c>
      <c r="B4185" t="s">
        <v>22</v>
      </c>
      <c r="C4185">
        <v>100</v>
      </c>
      <c r="D4185">
        <v>2</v>
      </c>
      <c r="E4185">
        <v>0</v>
      </c>
      <c r="F4185" t="s">
        <v>15645</v>
      </c>
      <c r="G4185">
        <v>200</v>
      </c>
      <c r="H4185">
        <v>0</v>
      </c>
      <c r="I4185" t="s">
        <v>24</v>
      </c>
      <c r="J4185" t="s">
        <v>15646</v>
      </c>
      <c r="K4185" t="s">
        <v>388</v>
      </c>
      <c r="L4185" t="s">
        <v>27</v>
      </c>
      <c r="M4185" t="s">
        <v>28</v>
      </c>
      <c r="N4185" t="s">
        <v>15647</v>
      </c>
      <c r="O4185" t="s">
        <v>27</v>
      </c>
      <c r="P4185" t="s">
        <v>56</v>
      </c>
      <c r="Q4185" t="s">
        <v>31</v>
      </c>
      <c r="R4185" t="s">
        <v>57</v>
      </c>
      <c r="S4185" t="s">
        <v>28</v>
      </c>
      <c r="T4185" t="s">
        <v>15648</v>
      </c>
      <c r="U4185" t="s">
        <v>15647</v>
      </c>
    </row>
    <row r="4186" spans="1:21" x14ac:dyDescent="0.25">
      <c r="A4186" t="s">
        <v>58</v>
      </c>
      <c r="B4186" t="s">
        <v>103</v>
      </c>
      <c r="C4186">
        <v>99.75</v>
      </c>
      <c r="D4186">
        <v>1</v>
      </c>
      <c r="E4186">
        <v>0</v>
      </c>
      <c r="F4186" t="s">
        <v>15649</v>
      </c>
      <c r="G4186">
        <v>104.75</v>
      </c>
      <c r="H4186">
        <v>5</v>
      </c>
      <c r="I4186" t="s">
        <v>105</v>
      </c>
      <c r="J4186" t="s">
        <v>15650</v>
      </c>
      <c r="K4186" t="s">
        <v>15651</v>
      </c>
      <c r="L4186" t="s">
        <v>748</v>
      </c>
      <c r="M4186" t="s">
        <v>15652</v>
      </c>
      <c r="N4186" t="s">
        <v>15653</v>
      </c>
      <c r="O4186" t="s">
        <v>27</v>
      </c>
      <c r="P4186" t="s">
        <v>48</v>
      </c>
      <c r="Q4186" t="s">
        <v>49</v>
      </c>
      <c r="R4186" t="s">
        <v>50</v>
      </c>
      <c r="S4186" t="s">
        <v>28</v>
      </c>
      <c r="T4186" t="s">
        <v>15654</v>
      </c>
      <c r="U4186" t="s">
        <v>15653</v>
      </c>
    </row>
    <row r="4187" spans="1:21" x14ac:dyDescent="0.25">
      <c r="A4187" t="s">
        <v>134</v>
      </c>
      <c r="B4187" t="s">
        <v>64</v>
      </c>
      <c r="C4187">
        <v>100</v>
      </c>
      <c r="D4187">
        <v>1</v>
      </c>
      <c r="E4187">
        <v>0</v>
      </c>
      <c r="F4187" t="s">
        <v>15655</v>
      </c>
      <c r="G4187">
        <v>106</v>
      </c>
      <c r="H4187">
        <v>6</v>
      </c>
      <c r="I4187" t="s">
        <v>140</v>
      </c>
      <c r="J4187" t="s">
        <v>15656</v>
      </c>
      <c r="K4187" t="s">
        <v>89</v>
      </c>
      <c r="L4187" t="s">
        <v>27</v>
      </c>
      <c r="M4187" t="s">
        <v>28</v>
      </c>
      <c r="N4187" t="s">
        <v>15657</v>
      </c>
      <c r="O4187" t="s">
        <v>27</v>
      </c>
      <c r="P4187" t="s">
        <v>30</v>
      </c>
      <c r="Q4187" t="s">
        <v>31</v>
      </c>
      <c r="R4187" t="s">
        <v>32</v>
      </c>
      <c r="S4187" t="s">
        <v>28</v>
      </c>
      <c r="T4187" t="s">
        <v>15658</v>
      </c>
      <c r="U4187" t="s">
        <v>15657</v>
      </c>
    </row>
    <row r="4188" spans="1:21" x14ac:dyDescent="0.25">
      <c r="A4188" t="s">
        <v>21</v>
      </c>
      <c r="B4188" t="s">
        <v>22</v>
      </c>
      <c r="C4188">
        <v>100</v>
      </c>
      <c r="D4188">
        <v>1</v>
      </c>
      <c r="E4188">
        <v>0</v>
      </c>
      <c r="F4188" t="s">
        <v>15659</v>
      </c>
      <c r="G4188">
        <v>106</v>
      </c>
      <c r="H4188">
        <v>6</v>
      </c>
      <c r="I4188" t="s">
        <v>24</v>
      </c>
      <c r="J4188" t="s">
        <v>15660</v>
      </c>
      <c r="K4188" t="s">
        <v>15661</v>
      </c>
      <c r="L4188" t="s">
        <v>27</v>
      </c>
      <c r="M4188" t="s">
        <v>28</v>
      </c>
      <c r="N4188" t="s">
        <v>15662</v>
      </c>
      <c r="O4188" t="s">
        <v>27</v>
      </c>
      <c r="P4188" t="s">
        <v>56</v>
      </c>
      <c r="Q4188" t="s">
        <v>31</v>
      </c>
      <c r="R4188" t="s">
        <v>57</v>
      </c>
      <c r="S4188" t="s">
        <v>28</v>
      </c>
      <c r="T4188" t="s">
        <v>15663</v>
      </c>
      <c r="U4188" t="s">
        <v>15662</v>
      </c>
    </row>
    <row r="4189" spans="1:21" x14ac:dyDescent="0.25">
      <c r="A4189" t="s">
        <v>143</v>
      </c>
      <c r="B4189" t="s">
        <v>144</v>
      </c>
      <c r="C4189">
        <v>200</v>
      </c>
      <c r="D4189">
        <v>1</v>
      </c>
      <c r="E4189">
        <v>0</v>
      </c>
      <c r="F4189" t="s">
        <v>15664</v>
      </c>
      <c r="G4189">
        <v>200</v>
      </c>
      <c r="H4189">
        <v>0</v>
      </c>
      <c r="I4189" t="s">
        <v>24</v>
      </c>
      <c r="J4189" t="s">
        <v>15665</v>
      </c>
      <c r="K4189" t="s">
        <v>418</v>
      </c>
      <c r="L4189" t="s">
        <v>27</v>
      </c>
      <c r="M4189" t="s">
        <v>28</v>
      </c>
      <c r="N4189" t="s">
        <v>15666</v>
      </c>
      <c r="O4189" t="s">
        <v>27</v>
      </c>
      <c r="P4189" t="s">
        <v>39</v>
      </c>
      <c r="Q4189" t="s">
        <v>31</v>
      </c>
      <c r="R4189" t="s">
        <v>32</v>
      </c>
      <c r="S4189" t="s">
        <v>28</v>
      </c>
      <c r="T4189" t="s">
        <v>15667</v>
      </c>
      <c r="U4189" t="s">
        <v>15666</v>
      </c>
    </row>
    <row r="4190" spans="1:21" x14ac:dyDescent="0.25">
      <c r="A4190" t="s">
        <v>21</v>
      </c>
      <c r="B4190" t="s">
        <v>22</v>
      </c>
      <c r="C4190">
        <v>100</v>
      </c>
      <c r="D4190">
        <v>1</v>
      </c>
      <c r="E4190">
        <v>0</v>
      </c>
      <c r="F4190" t="s">
        <v>15668</v>
      </c>
      <c r="G4190">
        <v>100</v>
      </c>
      <c r="H4190">
        <v>0</v>
      </c>
      <c r="I4190" t="s">
        <v>24</v>
      </c>
      <c r="J4190" t="s">
        <v>15669</v>
      </c>
      <c r="K4190" t="s">
        <v>384</v>
      </c>
      <c r="L4190" t="s">
        <v>27</v>
      </c>
      <c r="M4190" t="s">
        <v>28</v>
      </c>
      <c r="N4190" t="s">
        <v>15666</v>
      </c>
      <c r="O4190" t="s">
        <v>27</v>
      </c>
      <c r="P4190" t="s">
        <v>39</v>
      </c>
      <c r="Q4190" t="s">
        <v>31</v>
      </c>
      <c r="R4190" t="s">
        <v>32</v>
      </c>
      <c r="S4190" t="s">
        <v>28</v>
      </c>
      <c r="T4190" t="s">
        <v>15670</v>
      </c>
      <c r="U4190" t="s">
        <v>15666</v>
      </c>
    </row>
    <row r="4191" spans="1:21" x14ac:dyDescent="0.25">
      <c r="A4191" t="s">
        <v>63</v>
      </c>
      <c r="B4191" t="s">
        <v>64</v>
      </c>
      <c r="C4191">
        <v>100</v>
      </c>
      <c r="D4191">
        <v>3</v>
      </c>
      <c r="E4191">
        <v>0</v>
      </c>
      <c r="F4191" t="s">
        <v>15671</v>
      </c>
      <c r="G4191">
        <v>480</v>
      </c>
      <c r="H4191">
        <v>0</v>
      </c>
      <c r="I4191" t="s">
        <v>24</v>
      </c>
      <c r="J4191" t="s">
        <v>8799</v>
      </c>
      <c r="K4191" t="s">
        <v>37</v>
      </c>
      <c r="L4191" t="s">
        <v>27</v>
      </c>
      <c r="M4191" t="s">
        <v>28</v>
      </c>
      <c r="N4191" t="s">
        <v>15672</v>
      </c>
      <c r="O4191" t="s">
        <v>27</v>
      </c>
      <c r="P4191" t="s">
        <v>56</v>
      </c>
      <c r="Q4191" t="s">
        <v>31</v>
      </c>
      <c r="R4191" t="s">
        <v>57</v>
      </c>
      <c r="S4191" t="s">
        <v>28</v>
      </c>
      <c r="T4191" t="s">
        <v>15673</v>
      </c>
      <c r="U4191" t="s">
        <v>15672</v>
      </c>
    </row>
    <row r="4192" spans="1:21" x14ac:dyDescent="0.25">
      <c r="A4192" t="s">
        <v>21</v>
      </c>
      <c r="B4192" t="s">
        <v>22</v>
      </c>
      <c r="C4192">
        <v>100</v>
      </c>
      <c r="D4192">
        <v>1</v>
      </c>
      <c r="E4192">
        <v>0</v>
      </c>
      <c r="F4192" t="s">
        <v>15674</v>
      </c>
      <c r="G4192">
        <v>106</v>
      </c>
      <c r="H4192">
        <v>6</v>
      </c>
      <c r="I4192" t="s">
        <v>140</v>
      </c>
      <c r="J4192" t="s">
        <v>15675</v>
      </c>
      <c r="K4192" t="s">
        <v>358</v>
      </c>
      <c r="L4192" t="s">
        <v>27</v>
      </c>
      <c r="M4192" t="s">
        <v>28</v>
      </c>
      <c r="N4192" t="s">
        <v>15676</v>
      </c>
      <c r="O4192" t="s">
        <v>27</v>
      </c>
      <c r="P4192" t="s">
        <v>30</v>
      </c>
      <c r="Q4192" t="s">
        <v>31</v>
      </c>
      <c r="R4192" t="s">
        <v>32</v>
      </c>
      <c r="S4192" t="s">
        <v>28</v>
      </c>
      <c r="T4192" t="s">
        <v>15677</v>
      </c>
      <c r="U4192" t="s">
        <v>15676</v>
      </c>
    </row>
    <row r="4193" spans="1:21" x14ac:dyDescent="0.25">
      <c r="A4193" t="s">
        <v>2307</v>
      </c>
      <c r="B4193" t="s">
        <v>2308</v>
      </c>
      <c r="C4193">
        <v>330</v>
      </c>
      <c r="D4193">
        <v>1</v>
      </c>
      <c r="E4193">
        <v>0</v>
      </c>
      <c r="F4193" t="s">
        <v>15678</v>
      </c>
      <c r="G4193">
        <v>530</v>
      </c>
      <c r="H4193">
        <v>0</v>
      </c>
      <c r="I4193" t="s">
        <v>445</v>
      </c>
      <c r="J4193" t="s">
        <v>15679</v>
      </c>
      <c r="K4193" t="s">
        <v>151</v>
      </c>
      <c r="L4193" t="s">
        <v>27</v>
      </c>
      <c r="M4193" t="s">
        <v>28</v>
      </c>
      <c r="N4193" t="s">
        <v>15680</v>
      </c>
      <c r="O4193" t="s">
        <v>27</v>
      </c>
      <c r="P4193" t="s">
        <v>56</v>
      </c>
      <c r="Q4193" t="s">
        <v>31</v>
      </c>
      <c r="R4193" t="s">
        <v>57</v>
      </c>
      <c r="S4193" t="s">
        <v>28</v>
      </c>
      <c r="T4193" t="s">
        <v>15681</v>
      </c>
      <c r="U4193" t="s">
        <v>15682</v>
      </c>
    </row>
    <row r="4194" spans="1:21" x14ac:dyDescent="0.25">
      <c r="A4194" t="s">
        <v>63</v>
      </c>
      <c r="B4194" t="s">
        <v>64</v>
      </c>
      <c r="C4194">
        <v>100</v>
      </c>
      <c r="D4194">
        <v>2</v>
      </c>
      <c r="E4194">
        <v>0</v>
      </c>
      <c r="F4194" t="s">
        <v>15678</v>
      </c>
      <c r="G4194">
        <v>530</v>
      </c>
      <c r="H4194">
        <v>0</v>
      </c>
      <c r="I4194" t="s">
        <v>445</v>
      </c>
      <c r="J4194" t="s">
        <v>15679</v>
      </c>
      <c r="K4194" t="s">
        <v>151</v>
      </c>
      <c r="L4194" t="s">
        <v>27</v>
      </c>
      <c r="M4194" t="s">
        <v>28</v>
      </c>
      <c r="N4194" t="s">
        <v>15680</v>
      </c>
      <c r="O4194" t="s">
        <v>27</v>
      </c>
      <c r="P4194" t="s">
        <v>56</v>
      </c>
      <c r="Q4194" t="s">
        <v>31</v>
      </c>
      <c r="R4194" t="s">
        <v>57</v>
      </c>
      <c r="S4194" t="s">
        <v>28</v>
      </c>
      <c r="T4194" t="s">
        <v>15681</v>
      </c>
      <c r="U4194" t="s">
        <v>15682</v>
      </c>
    </row>
    <row r="4195" spans="1:21" x14ac:dyDescent="0.25">
      <c r="A4195" t="s">
        <v>21</v>
      </c>
      <c r="B4195" t="s">
        <v>22</v>
      </c>
      <c r="C4195">
        <v>100</v>
      </c>
      <c r="D4195">
        <v>1</v>
      </c>
      <c r="E4195">
        <v>0</v>
      </c>
      <c r="F4195" t="s">
        <v>15683</v>
      </c>
      <c r="G4195">
        <v>100</v>
      </c>
      <c r="H4195">
        <v>0</v>
      </c>
      <c r="I4195" t="s">
        <v>140</v>
      </c>
      <c r="J4195" t="s">
        <v>15684</v>
      </c>
      <c r="K4195" t="s">
        <v>213</v>
      </c>
      <c r="L4195" t="s">
        <v>27</v>
      </c>
      <c r="M4195" t="s">
        <v>28</v>
      </c>
      <c r="N4195" t="s">
        <v>15685</v>
      </c>
      <c r="O4195" t="s">
        <v>27</v>
      </c>
      <c r="P4195" t="s">
        <v>30</v>
      </c>
      <c r="Q4195" t="s">
        <v>31</v>
      </c>
      <c r="R4195" t="s">
        <v>32</v>
      </c>
      <c r="S4195" t="s">
        <v>28</v>
      </c>
      <c r="T4195" t="s">
        <v>15686</v>
      </c>
      <c r="U4195" t="s">
        <v>15682</v>
      </c>
    </row>
    <row r="4196" spans="1:21" x14ac:dyDescent="0.25">
      <c r="A4196" t="s">
        <v>13290</v>
      </c>
      <c r="B4196" t="s">
        <v>13291</v>
      </c>
      <c r="C4196">
        <v>100</v>
      </c>
      <c r="D4196">
        <v>1</v>
      </c>
      <c r="E4196">
        <v>0</v>
      </c>
      <c r="F4196" t="s">
        <v>15687</v>
      </c>
      <c r="G4196">
        <v>125</v>
      </c>
      <c r="H4196">
        <v>25</v>
      </c>
      <c r="I4196" t="s">
        <v>140</v>
      </c>
      <c r="J4196" t="s">
        <v>15688</v>
      </c>
      <c r="K4196" t="s">
        <v>2243</v>
      </c>
      <c r="L4196" t="s">
        <v>27</v>
      </c>
      <c r="M4196" t="s">
        <v>28</v>
      </c>
      <c r="N4196" t="s">
        <v>15689</v>
      </c>
      <c r="O4196" t="s">
        <v>27</v>
      </c>
      <c r="P4196" t="s">
        <v>30</v>
      </c>
      <c r="Q4196" t="s">
        <v>31</v>
      </c>
      <c r="R4196" t="s">
        <v>32</v>
      </c>
      <c r="S4196" t="s">
        <v>28</v>
      </c>
      <c r="T4196" t="s">
        <v>15690</v>
      </c>
      <c r="U4196" t="s">
        <v>15689</v>
      </c>
    </row>
    <row r="4197" spans="1:21" x14ac:dyDescent="0.25">
      <c r="A4197" t="s">
        <v>63</v>
      </c>
      <c r="B4197" t="s">
        <v>64</v>
      </c>
      <c r="C4197">
        <v>100</v>
      </c>
      <c r="D4197">
        <v>1</v>
      </c>
      <c r="E4197">
        <v>0</v>
      </c>
      <c r="F4197" t="s">
        <v>15691</v>
      </c>
      <c r="G4197">
        <v>200</v>
      </c>
      <c r="H4197">
        <v>0</v>
      </c>
      <c r="I4197" t="s">
        <v>445</v>
      </c>
      <c r="J4197" t="s">
        <v>15692</v>
      </c>
      <c r="K4197" t="s">
        <v>89</v>
      </c>
      <c r="L4197" t="s">
        <v>27</v>
      </c>
      <c r="M4197" t="s">
        <v>28</v>
      </c>
      <c r="N4197" t="s">
        <v>15693</v>
      </c>
      <c r="O4197" t="s">
        <v>27</v>
      </c>
      <c r="P4197" t="s">
        <v>56</v>
      </c>
      <c r="Q4197" t="s">
        <v>31</v>
      </c>
      <c r="R4197" t="s">
        <v>57</v>
      </c>
      <c r="S4197" t="s">
        <v>28</v>
      </c>
      <c r="T4197" t="s">
        <v>15694</v>
      </c>
      <c r="U4197" t="s">
        <v>15695</v>
      </c>
    </row>
    <row r="4198" spans="1:21" x14ac:dyDescent="0.25">
      <c r="A4198" t="s">
        <v>134</v>
      </c>
      <c r="B4198" t="s">
        <v>64</v>
      </c>
      <c r="C4198">
        <v>100</v>
      </c>
      <c r="D4198">
        <v>1</v>
      </c>
      <c r="E4198">
        <v>0</v>
      </c>
      <c r="F4198" t="s">
        <v>15691</v>
      </c>
      <c r="G4198">
        <v>200</v>
      </c>
      <c r="H4198">
        <v>0</v>
      </c>
      <c r="I4198" t="s">
        <v>445</v>
      </c>
      <c r="J4198" t="s">
        <v>15692</v>
      </c>
      <c r="K4198" t="s">
        <v>89</v>
      </c>
      <c r="L4198" t="s">
        <v>27</v>
      </c>
      <c r="M4198" t="s">
        <v>28</v>
      </c>
      <c r="N4198" t="s">
        <v>15693</v>
      </c>
      <c r="O4198" t="s">
        <v>27</v>
      </c>
      <c r="P4198" t="s">
        <v>56</v>
      </c>
      <c r="Q4198" t="s">
        <v>31</v>
      </c>
      <c r="R4198" t="s">
        <v>57</v>
      </c>
      <c r="S4198" t="s">
        <v>28</v>
      </c>
      <c r="T4198" t="s">
        <v>15694</v>
      </c>
      <c r="U4198" t="s">
        <v>15695</v>
      </c>
    </row>
    <row r="4199" spans="1:21" x14ac:dyDescent="0.25">
      <c r="A4199" t="s">
        <v>21</v>
      </c>
      <c r="B4199" t="s">
        <v>22</v>
      </c>
      <c r="C4199">
        <v>100</v>
      </c>
      <c r="D4199">
        <v>1</v>
      </c>
      <c r="E4199">
        <v>0</v>
      </c>
      <c r="F4199" t="s">
        <v>15696</v>
      </c>
      <c r="G4199">
        <v>106</v>
      </c>
      <c r="H4199">
        <v>6</v>
      </c>
      <c r="I4199" t="s">
        <v>24</v>
      </c>
      <c r="J4199" t="s">
        <v>15697</v>
      </c>
      <c r="K4199" t="s">
        <v>273</v>
      </c>
      <c r="L4199" t="s">
        <v>27</v>
      </c>
      <c r="M4199" t="s">
        <v>28</v>
      </c>
      <c r="N4199" t="s">
        <v>15695</v>
      </c>
      <c r="O4199" t="s">
        <v>27</v>
      </c>
      <c r="P4199" t="s">
        <v>39</v>
      </c>
      <c r="Q4199" t="s">
        <v>31</v>
      </c>
      <c r="R4199" t="s">
        <v>32</v>
      </c>
      <c r="S4199" t="s">
        <v>28</v>
      </c>
      <c r="T4199" t="s">
        <v>15698</v>
      </c>
      <c r="U4199" t="s">
        <v>15695</v>
      </c>
    </row>
    <row r="4200" spans="1:21" x14ac:dyDescent="0.25">
      <c r="A4200" t="s">
        <v>13290</v>
      </c>
      <c r="B4200" t="s">
        <v>13291</v>
      </c>
      <c r="C4200">
        <v>100</v>
      </c>
      <c r="D4200">
        <v>2</v>
      </c>
      <c r="E4200">
        <v>0</v>
      </c>
      <c r="F4200" t="s">
        <v>15699</v>
      </c>
      <c r="G4200">
        <v>200</v>
      </c>
      <c r="H4200">
        <v>0</v>
      </c>
      <c r="I4200" t="s">
        <v>24</v>
      </c>
      <c r="J4200" t="s">
        <v>15700</v>
      </c>
      <c r="K4200" t="s">
        <v>299</v>
      </c>
      <c r="L4200" t="s">
        <v>27</v>
      </c>
      <c r="M4200" t="s">
        <v>28</v>
      </c>
      <c r="N4200" t="s">
        <v>15701</v>
      </c>
      <c r="O4200" t="s">
        <v>27</v>
      </c>
      <c r="P4200" t="s">
        <v>39</v>
      </c>
      <c r="Q4200" t="s">
        <v>31</v>
      </c>
      <c r="R4200" t="s">
        <v>32</v>
      </c>
      <c r="S4200" t="s">
        <v>28</v>
      </c>
      <c r="T4200" t="s">
        <v>15702</v>
      </c>
      <c r="U4200" t="s">
        <v>15695</v>
      </c>
    </row>
    <row r="4201" spans="1:21" x14ac:dyDescent="0.25">
      <c r="A4201" t="s">
        <v>70</v>
      </c>
      <c r="B4201" t="s">
        <v>70</v>
      </c>
      <c r="C4201">
        <v>330</v>
      </c>
      <c r="D4201">
        <v>1</v>
      </c>
      <c r="E4201">
        <v>0</v>
      </c>
      <c r="F4201" t="s">
        <v>15703</v>
      </c>
      <c r="G4201">
        <v>530</v>
      </c>
      <c r="H4201">
        <v>0</v>
      </c>
      <c r="I4201" t="s">
        <v>24</v>
      </c>
      <c r="J4201" t="s">
        <v>15704</v>
      </c>
      <c r="K4201" t="s">
        <v>15705</v>
      </c>
      <c r="L4201" t="s">
        <v>27</v>
      </c>
      <c r="M4201" t="s">
        <v>28</v>
      </c>
      <c r="N4201" t="s">
        <v>15706</v>
      </c>
      <c r="O4201" t="s">
        <v>27</v>
      </c>
      <c r="P4201" t="s">
        <v>56</v>
      </c>
      <c r="Q4201" t="s">
        <v>31</v>
      </c>
      <c r="R4201" t="s">
        <v>57</v>
      </c>
      <c r="S4201" t="s">
        <v>28</v>
      </c>
      <c r="T4201" t="s">
        <v>15707</v>
      </c>
      <c r="U4201" t="s">
        <v>15708</v>
      </c>
    </row>
    <row r="4202" spans="1:21" x14ac:dyDescent="0.25">
      <c r="A4202" t="s">
        <v>33</v>
      </c>
      <c r="B4202" t="s">
        <v>34</v>
      </c>
      <c r="C4202">
        <v>200</v>
      </c>
      <c r="D4202">
        <v>1</v>
      </c>
      <c r="E4202">
        <v>0</v>
      </c>
      <c r="F4202" t="s">
        <v>15703</v>
      </c>
      <c r="G4202">
        <v>530</v>
      </c>
      <c r="H4202">
        <v>0</v>
      </c>
      <c r="I4202" t="s">
        <v>24</v>
      </c>
      <c r="J4202" t="s">
        <v>15704</v>
      </c>
      <c r="K4202" t="s">
        <v>15705</v>
      </c>
      <c r="L4202" t="s">
        <v>27</v>
      </c>
      <c r="M4202" t="s">
        <v>28</v>
      </c>
      <c r="N4202" t="s">
        <v>15706</v>
      </c>
      <c r="O4202" t="s">
        <v>27</v>
      </c>
      <c r="P4202" t="s">
        <v>56</v>
      </c>
      <c r="Q4202" t="s">
        <v>31</v>
      </c>
      <c r="R4202" t="s">
        <v>57</v>
      </c>
      <c r="S4202" t="s">
        <v>28</v>
      </c>
      <c r="T4202" t="s">
        <v>15707</v>
      </c>
      <c r="U4202" t="s">
        <v>15708</v>
      </c>
    </row>
    <row r="4203" spans="1:21" x14ac:dyDescent="0.25">
      <c r="A4203" t="s">
        <v>21</v>
      </c>
      <c r="B4203" t="s">
        <v>22</v>
      </c>
      <c r="C4203">
        <v>100</v>
      </c>
      <c r="D4203">
        <v>1</v>
      </c>
      <c r="E4203">
        <v>0</v>
      </c>
      <c r="F4203" t="s">
        <v>15709</v>
      </c>
      <c r="G4203">
        <v>106</v>
      </c>
      <c r="H4203">
        <v>6</v>
      </c>
      <c r="I4203" t="s">
        <v>445</v>
      </c>
      <c r="J4203" t="s">
        <v>15710</v>
      </c>
      <c r="K4203" t="s">
        <v>118</v>
      </c>
      <c r="L4203" t="s">
        <v>27</v>
      </c>
      <c r="M4203" t="s">
        <v>28</v>
      </c>
      <c r="N4203" t="s">
        <v>15708</v>
      </c>
      <c r="O4203" t="s">
        <v>27</v>
      </c>
      <c r="P4203" t="s">
        <v>39</v>
      </c>
      <c r="Q4203" t="s">
        <v>31</v>
      </c>
      <c r="R4203" t="s">
        <v>32</v>
      </c>
      <c r="S4203" t="s">
        <v>28</v>
      </c>
      <c r="T4203" t="s">
        <v>15711</v>
      </c>
      <c r="U4203" t="s">
        <v>15708</v>
      </c>
    </row>
    <row r="4204" spans="1:21" x14ac:dyDescent="0.25">
      <c r="A4204" t="s">
        <v>261</v>
      </c>
      <c r="B4204" t="s">
        <v>262</v>
      </c>
      <c r="C4204">
        <v>250</v>
      </c>
      <c r="D4204">
        <v>1</v>
      </c>
      <c r="E4204">
        <v>0</v>
      </c>
      <c r="F4204" t="s">
        <v>15712</v>
      </c>
      <c r="G4204">
        <v>250</v>
      </c>
      <c r="H4204">
        <v>0</v>
      </c>
      <c r="I4204" t="s">
        <v>140</v>
      </c>
      <c r="J4204" t="s">
        <v>15713</v>
      </c>
      <c r="K4204" t="s">
        <v>1989</v>
      </c>
      <c r="L4204" t="s">
        <v>27</v>
      </c>
      <c r="M4204" t="s">
        <v>28</v>
      </c>
      <c r="N4204" t="s">
        <v>15714</v>
      </c>
      <c r="O4204" t="s">
        <v>27</v>
      </c>
      <c r="P4204" t="s">
        <v>30</v>
      </c>
      <c r="Q4204" t="s">
        <v>31</v>
      </c>
      <c r="R4204" t="s">
        <v>32</v>
      </c>
      <c r="S4204" t="s">
        <v>28</v>
      </c>
      <c r="T4204" t="s">
        <v>15715</v>
      </c>
      <c r="U4204" t="s">
        <v>15714</v>
      </c>
    </row>
    <row r="4205" spans="1:21" x14ac:dyDescent="0.25">
      <c r="A4205" t="s">
        <v>456</v>
      </c>
      <c r="B4205" t="s">
        <v>457</v>
      </c>
      <c r="C4205">
        <v>199</v>
      </c>
      <c r="D4205">
        <v>1</v>
      </c>
      <c r="E4205">
        <v>0</v>
      </c>
      <c r="F4205" t="s">
        <v>15716</v>
      </c>
      <c r="G4205">
        <v>244</v>
      </c>
      <c r="H4205">
        <v>45</v>
      </c>
      <c r="I4205" t="s">
        <v>24</v>
      </c>
      <c r="J4205" t="s">
        <v>1970</v>
      </c>
      <c r="K4205" t="s">
        <v>1971</v>
      </c>
      <c r="L4205" t="s">
        <v>1972</v>
      </c>
      <c r="M4205" t="s">
        <v>1973</v>
      </c>
      <c r="N4205" t="s">
        <v>15717</v>
      </c>
      <c r="O4205" t="s">
        <v>27</v>
      </c>
      <c r="P4205" t="s">
        <v>193</v>
      </c>
      <c r="Q4205" t="s">
        <v>85</v>
      </c>
      <c r="R4205" t="s">
        <v>86</v>
      </c>
      <c r="S4205" t="s">
        <v>28</v>
      </c>
      <c r="T4205" t="s">
        <v>15718</v>
      </c>
      <c r="U4205" t="s">
        <v>15719</v>
      </c>
    </row>
    <row r="4206" spans="1:21" x14ac:dyDescent="0.25">
      <c r="A4206" t="s">
        <v>1513</v>
      </c>
      <c r="B4206" t="s">
        <v>1514</v>
      </c>
      <c r="C4206">
        <v>330</v>
      </c>
      <c r="D4206">
        <v>2</v>
      </c>
      <c r="E4206">
        <v>0</v>
      </c>
      <c r="F4206" t="s">
        <v>15720</v>
      </c>
      <c r="G4206">
        <v>1320</v>
      </c>
      <c r="H4206">
        <v>0</v>
      </c>
      <c r="I4206" t="s">
        <v>140</v>
      </c>
      <c r="J4206" t="s">
        <v>15721</v>
      </c>
      <c r="K4206" t="s">
        <v>73</v>
      </c>
      <c r="L4206" t="s">
        <v>27</v>
      </c>
      <c r="M4206" t="s">
        <v>28</v>
      </c>
      <c r="N4206" t="s">
        <v>15722</v>
      </c>
      <c r="O4206" t="s">
        <v>27</v>
      </c>
      <c r="P4206" t="s">
        <v>30</v>
      </c>
      <c r="Q4206" t="s">
        <v>31</v>
      </c>
      <c r="R4206" t="s">
        <v>32</v>
      </c>
      <c r="S4206" t="s">
        <v>28</v>
      </c>
      <c r="T4206" t="s">
        <v>15723</v>
      </c>
      <c r="U4206" t="s">
        <v>15722</v>
      </c>
    </row>
    <row r="4207" spans="1:21" x14ac:dyDescent="0.25">
      <c r="A4207" t="s">
        <v>2307</v>
      </c>
      <c r="B4207" t="s">
        <v>2308</v>
      </c>
      <c r="C4207">
        <v>330</v>
      </c>
      <c r="D4207">
        <v>2</v>
      </c>
      <c r="E4207">
        <v>0</v>
      </c>
      <c r="F4207" t="s">
        <v>15720</v>
      </c>
      <c r="G4207">
        <v>1320</v>
      </c>
      <c r="H4207">
        <v>0</v>
      </c>
      <c r="I4207" t="s">
        <v>140</v>
      </c>
      <c r="J4207" t="s">
        <v>15721</v>
      </c>
      <c r="K4207" t="s">
        <v>73</v>
      </c>
      <c r="L4207" t="s">
        <v>27</v>
      </c>
      <c r="M4207" t="s">
        <v>28</v>
      </c>
      <c r="N4207" t="s">
        <v>15722</v>
      </c>
      <c r="O4207" t="s">
        <v>27</v>
      </c>
      <c r="P4207" t="s">
        <v>30</v>
      </c>
      <c r="Q4207" t="s">
        <v>31</v>
      </c>
      <c r="R4207" t="s">
        <v>32</v>
      </c>
      <c r="S4207" t="s">
        <v>28</v>
      </c>
      <c r="T4207" t="s">
        <v>15723</v>
      </c>
      <c r="U4207" t="s">
        <v>15722</v>
      </c>
    </row>
    <row r="4208" spans="1:21" x14ac:dyDescent="0.25">
      <c r="A4208" t="s">
        <v>70</v>
      </c>
      <c r="B4208" t="s">
        <v>70</v>
      </c>
      <c r="C4208">
        <v>330</v>
      </c>
      <c r="D4208">
        <v>1</v>
      </c>
      <c r="E4208">
        <v>0</v>
      </c>
      <c r="F4208" t="s">
        <v>15724</v>
      </c>
      <c r="G4208">
        <v>330</v>
      </c>
      <c r="H4208">
        <v>0</v>
      </c>
      <c r="I4208" t="s">
        <v>24</v>
      </c>
      <c r="J4208" t="s">
        <v>15725</v>
      </c>
      <c r="K4208" t="s">
        <v>936</v>
      </c>
      <c r="L4208" t="s">
        <v>27</v>
      </c>
      <c r="M4208" t="s">
        <v>28</v>
      </c>
      <c r="N4208" t="s">
        <v>15722</v>
      </c>
      <c r="O4208" t="s">
        <v>27</v>
      </c>
      <c r="P4208" t="s">
        <v>56</v>
      </c>
      <c r="Q4208" t="s">
        <v>31</v>
      </c>
      <c r="R4208" t="s">
        <v>57</v>
      </c>
      <c r="S4208" t="s">
        <v>28</v>
      </c>
      <c r="T4208" t="s">
        <v>15726</v>
      </c>
      <c r="U4208" t="s">
        <v>15722</v>
      </c>
    </row>
    <row r="4209" spans="1:21" x14ac:dyDescent="0.25">
      <c r="A4209" t="s">
        <v>13290</v>
      </c>
      <c r="B4209" t="s">
        <v>13291</v>
      </c>
      <c r="C4209">
        <v>100</v>
      </c>
      <c r="D4209">
        <v>2</v>
      </c>
      <c r="E4209">
        <v>0</v>
      </c>
      <c r="F4209" t="s">
        <v>15727</v>
      </c>
      <c r="G4209">
        <v>200</v>
      </c>
      <c r="H4209">
        <v>0</v>
      </c>
      <c r="I4209" t="s">
        <v>140</v>
      </c>
      <c r="J4209" t="s">
        <v>15728</v>
      </c>
      <c r="K4209" t="s">
        <v>247</v>
      </c>
      <c r="L4209" t="s">
        <v>27</v>
      </c>
      <c r="M4209" t="s">
        <v>28</v>
      </c>
      <c r="N4209" t="s">
        <v>15729</v>
      </c>
      <c r="O4209" t="s">
        <v>27</v>
      </c>
      <c r="P4209" t="s">
        <v>30</v>
      </c>
      <c r="Q4209" t="s">
        <v>31</v>
      </c>
      <c r="R4209" t="s">
        <v>32</v>
      </c>
      <c r="S4209" t="s">
        <v>28</v>
      </c>
      <c r="T4209" t="s">
        <v>15730</v>
      </c>
      <c r="U4209" t="s">
        <v>15729</v>
      </c>
    </row>
    <row r="4210" spans="1:21" x14ac:dyDescent="0.25">
      <c r="A4210" t="s">
        <v>33</v>
      </c>
      <c r="B4210" t="s">
        <v>34</v>
      </c>
      <c r="C4210">
        <v>200</v>
      </c>
      <c r="D4210">
        <v>1</v>
      </c>
      <c r="E4210">
        <v>0</v>
      </c>
      <c r="F4210" t="s">
        <v>15731</v>
      </c>
      <c r="G4210">
        <v>200</v>
      </c>
      <c r="H4210">
        <v>0</v>
      </c>
      <c r="I4210" t="s">
        <v>140</v>
      </c>
      <c r="J4210" t="s">
        <v>15732</v>
      </c>
      <c r="K4210" t="s">
        <v>753</v>
      </c>
      <c r="L4210" t="s">
        <v>27</v>
      </c>
      <c r="M4210" t="s">
        <v>28</v>
      </c>
      <c r="N4210" t="s">
        <v>15729</v>
      </c>
      <c r="O4210" t="s">
        <v>27</v>
      </c>
      <c r="P4210" t="s">
        <v>369</v>
      </c>
      <c r="Q4210" t="s">
        <v>31</v>
      </c>
      <c r="R4210" t="s">
        <v>57</v>
      </c>
      <c r="S4210" t="s">
        <v>28</v>
      </c>
      <c r="T4210" t="s">
        <v>15733</v>
      </c>
      <c r="U4210" t="s">
        <v>15734</v>
      </c>
    </row>
    <row r="4211" spans="1:21" x14ac:dyDescent="0.25">
      <c r="A4211" t="s">
        <v>21</v>
      </c>
      <c r="B4211" t="s">
        <v>22</v>
      </c>
      <c r="C4211">
        <v>100</v>
      </c>
      <c r="D4211">
        <v>1</v>
      </c>
      <c r="E4211">
        <v>0</v>
      </c>
      <c r="F4211" t="s">
        <v>15735</v>
      </c>
      <c r="G4211">
        <v>100</v>
      </c>
      <c r="H4211">
        <v>0</v>
      </c>
      <c r="I4211" t="s">
        <v>24</v>
      </c>
      <c r="J4211" t="s">
        <v>15736</v>
      </c>
      <c r="K4211" t="s">
        <v>124</v>
      </c>
      <c r="L4211" t="s">
        <v>27</v>
      </c>
      <c r="M4211" t="s">
        <v>28</v>
      </c>
      <c r="N4211" t="s">
        <v>15737</v>
      </c>
      <c r="O4211" t="s">
        <v>27</v>
      </c>
      <c r="P4211" t="s">
        <v>39</v>
      </c>
      <c r="Q4211" t="s">
        <v>31</v>
      </c>
      <c r="R4211" t="s">
        <v>32</v>
      </c>
      <c r="S4211" t="s">
        <v>28</v>
      </c>
      <c r="T4211" t="s">
        <v>15738</v>
      </c>
      <c r="U4211" t="s">
        <v>15737</v>
      </c>
    </row>
    <row r="4212" spans="1:21" x14ac:dyDescent="0.25">
      <c r="A4212" t="s">
        <v>456</v>
      </c>
      <c r="B4212" t="s">
        <v>457</v>
      </c>
      <c r="C4212">
        <v>199</v>
      </c>
      <c r="D4212">
        <v>3</v>
      </c>
      <c r="E4212">
        <v>0</v>
      </c>
      <c r="F4212" t="s">
        <v>15739</v>
      </c>
      <c r="G4212">
        <v>676</v>
      </c>
      <c r="H4212">
        <v>79</v>
      </c>
      <c r="I4212" t="s">
        <v>24</v>
      </c>
      <c r="J4212" t="s">
        <v>2408</v>
      </c>
      <c r="K4212" t="s">
        <v>2409</v>
      </c>
      <c r="L4212" t="s">
        <v>2410</v>
      </c>
      <c r="M4212" t="s">
        <v>2411</v>
      </c>
      <c r="N4212" t="s">
        <v>15740</v>
      </c>
      <c r="O4212" t="s">
        <v>27</v>
      </c>
      <c r="P4212" t="s">
        <v>193</v>
      </c>
      <c r="Q4212" t="s">
        <v>85</v>
      </c>
      <c r="R4212" t="s">
        <v>86</v>
      </c>
      <c r="S4212" t="s">
        <v>28</v>
      </c>
      <c r="T4212" t="s">
        <v>15741</v>
      </c>
      <c r="U4212" t="s">
        <v>15742</v>
      </c>
    </row>
    <row r="4213" spans="1:21" x14ac:dyDescent="0.25">
      <c r="A4213" t="s">
        <v>21</v>
      </c>
      <c r="B4213" t="s">
        <v>22</v>
      </c>
      <c r="C4213">
        <v>100</v>
      </c>
      <c r="D4213">
        <v>1</v>
      </c>
      <c r="E4213">
        <v>0</v>
      </c>
      <c r="F4213" t="s">
        <v>15743</v>
      </c>
      <c r="G4213">
        <v>106</v>
      </c>
      <c r="H4213">
        <v>6</v>
      </c>
      <c r="I4213" t="s">
        <v>24</v>
      </c>
      <c r="J4213" t="s">
        <v>15744</v>
      </c>
      <c r="K4213" t="s">
        <v>350</v>
      </c>
      <c r="L4213" t="s">
        <v>27</v>
      </c>
      <c r="M4213" t="s">
        <v>28</v>
      </c>
      <c r="N4213" t="s">
        <v>15740</v>
      </c>
      <c r="O4213" t="s">
        <v>27</v>
      </c>
      <c r="P4213" t="s">
        <v>56</v>
      </c>
      <c r="Q4213" t="s">
        <v>31</v>
      </c>
      <c r="R4213" t="s">
        <v>57</v>
      </c>
      <c r="S4213" t="s">
        <v>28</v>
      </c>
      <c r="T4213" t="s">
        <v>15745</v>
      </c>
      <c r="U4213" t="s">
        <v>15742</v>
      </c>
    </row>
    <row r="4214" spans="1:21" x14ac:dyDescent="0.25">
      <c r="A4214" t="s">
        <v>21</v>
      </c>
      <c r="B4214" t="s">
        <v>22</v>
      </c>
      <c r="C4214">
        <v>100</v>
      </c>
      <c r="D4214">
        <v>1</v>
      </c>
      <c r="E4214">
        <v>0</v>
      </c>
      <c r="F4214" t="s">
        <v>15746</v>
      </c>
      <c r="G4214">
        <v>106</v>
      </c>
      <c r="H4214">
        <v>6</v>
      </c>
      <c r="I4214" t="s">
        <v>24</v>
      </c>
      <c r="J4214" t="s">
        <v>15747</v>
      </c>
      <c r="K4214" t="s">
        <v>4596</v>
      </c>
      <c r="L4214" t="s">
        <v>27</v>
      </c>
      <c r="M4214" t="s">
        <v>28</v>
      </c>
      <c r="N4214" t="s">
        <v>15742</v>
      </c>
      <c r="O4214" t="s">
        <v>27</v>
      </c>
      <c r="P4214" t="s">
        <v>39</v>
      </c>
      <c r="Q4214" t="s">
        <v>31</v>
      </c>
      <c r="R4214" t="s">
        <v>32</v>
      </c>
      <c r="S4214" t="s">
        <v>28</v>
      </c>
      <c r="T4214" t="s">
        <v>15748</v>
      </c>
      <c r="U4214" t="s">
        <v>15742</v>
      </c>
    </row>
    <row r="4215" spans="1:21" x14ac:dyDescent="0.25">
      <c r="A4215" t="s">
        <v>21</v>
      </c>
      <c r="B4215" t="s">
        <v>22</v>
      </c>
      <c r="C4215">
        <v>100</v>
      </c>
      <c r="D4215">
        <v>1</v>
      </c>
      <c r="E4215">
        <v>0</v>
      </c>
      <c r="F4215" t="s">
        <v>15749</v>
      </c>
      <c r="G4215">
        <v>106</v>
      </c>
      <c r="H4215">
        <v>6</v>
      </c>
      <c r="I4215" t="s">
        <v>445</v>
      </c>
      <c r="J4215" t="s">
        <v>15750</v>
      </c>
      <c r="K4215" t="s">
        <v>273</v>
      </c>
      <c r="L4215" t="s">
        <v>27</v>
      </c>
      <c r="M4215" t="s">
        <v>28</v>
      </c>
      <c r="N4215" t="s">
        <v>15751</v>
      </c>
      <c r="O4215" t="s">
        <v>27</v>
      </c>
      <c r="P4215" t="s">
        <v>30</v>
      </c>
      <c r="Q4215" t="s">
        <v>31</v>
      </c>
      <c r="R4215" t="s">
        <v>32</v>
      </c>
      <c r="S4215" t="s">
        <v>28</v>
      </c>
      <c r="T4215" t="s">
        <v>15752</v>
      </c>
      <c r="U4215" t="s">
        <v>15751</v>
      </c>
    </row>
    <row r="4216" spans="1:21" x14ac:dyDescent="0.25">
      <c r="A4216" t="s">
        <v>21</v>
      </c>
      <c r="B4216" t="s">
        <v>22</v>
      </c>
      <c r="C4216">
        <v>100</v>
      </c>
      <c r="D4216">
        <v>1</v>
      </c>
      <c r="E4216">
        <v>0</v>
      </c>
      <c r="F4216" t="s">
        <v>15753</v>
      </c>
      <c r="G4216">
        <v>106</v>
      </c>
      <c r="H4216">
        <v>6</v>
      </c>
      <c r="I4216" t="s">
        <v>24</v>
      </c>
      <c r="J4216" t="s">
        <v>15754</v>
      </c>
      <c r="K4216" t="s">
        <v>1038</v>
      </c>
      <c r="L4216" t="s">
        <v>27</v>
      </c>
      <c r="M4216" t="s">
        <v>28</v>
      </c>
      <c r="N4216" t="s">
        <v>15755</v>
      </c>
      <c r="O4216" t="s">
        <v>27</v>
      </c>
      <c r="P4216" t="s">
        <v>39</v>
      </c>
      <c r="Q4216" t="s">
        <v>31</v>
      </c>
      <c r="R4216" t="s">
        <v>32</v>
      </c>
      <c r="S4216" t="s">
        <v>28</v>
      </c>
      <c r="T4216" t="s">
        <v>15756</v>
      </c>
      <c r="U4216" t="s">
        <v>15751</v>
      </c>
    </row>
    <row r="4217" spans="1:21" x14ac:dyDescent="0.25">
      <c r="A4217" t="s">
        <v>134</v>
      </c>
      <c r="B4217" t="s">
        <v>64</v>
      </c>
      <c r="C4217">
        <v>100</v>
      </c>
      <c r="D4217">
        <v>1</v>
      </c>
      <c r="E4217">
        <v>0</v>
      </c>
      <c r="F4217" t="s">
        <v>15757</v>
      </c>
      <c r="G4217">
        <v>100</v>
      </c>
      <c r="H4217">
        <v>0</v>
      </c>
      <c r="I4217" t="s">
        <v>24</v>
      </c>
      <c r="J4217" t="s">
        <v>15758</v>
      </c>
      <c r="K4217" t="s">
        <v>4082</v>
      </c>
      <c r="L4217" t="s">
        <v>27</v>
      </c>
      <c r="M4217" t="s">
        <v>28</v>
      </c>
      <c r="N4217" t="s">
        <v>15759</v>
      </c>
      <c r="O4217" t="s">
        <v>27</v>
      </c>
      <c r="P4217" t="s">
        <v>39</v>
      </c>
      <c r="Q4217" t="s">
        <v>31</v>
      </c>
      <c r="R4217" t="s">
        <v>32</v>
      </c>
      <c r="S4217" t="s">
        <v>28</v>
      </c>
      <c r="T4217" t="s">
        <v>15760</v>
      </c>
      <c r="U4217" t="s">
        <v>15759</v>
      </c>
    </row>
    <row r="4218" spans="1:21" x14ac:dyDescent="0.25">
      <c r="A4218" t="s">
        <v>2703</v>
      </c>
      <c r="B4218" t="s">
        <v>2704</v>
      </c>
      <c r="C4218">
        <v>305.5</v>
      </c>
      <c r="D4218">
        <v>1</v>
      </c>
      <c r="E4218">
        <v>0</v>
      </c>
      <c r="F4218" t="s">
        <v>15761</v>
      </c>
      <c r="G4218">
        <v>344.5</v>
      </c>
      <c r="H4218">
        <v>39</v>
      </c>
      <c r="I4218" t="s">
        <v>24</v>
      </c>
      <c r="J4218" t="s">
        <v>3560</v>
      </c>
      <c r="K4218" t="s">
        <v>3561</v>
      </c>
      <c r="L4218" t="s">
        <v>3562</v>
      </c>
      <c r="M4218" t="s">
        <v>3563</v>
      </c>
      <c r="N4218" t="s">
        <v>15751</v>
      </c>
      <c r="O4218" t="s">
        <v>27</v>
      </c>
      <c r="P4218" t="s">
        <v>48</v>
      </c>
      <c r="Q4218" t="s">
        <v>49</v>
      </c>
      <c r="R4218" t="s">
        <v>50</v>
      </c>
      <c r="S4218" t="s">
        <v>28</v>
      </c>
      <c r="T4218" t="s">
        <v>15762</v>
      </c>
      <c r="U4218" t="s">
        <v>15759</v>
      </c>
    </row>
    <row r="4219" spans="1:21" x14ac:dyDescent="0.25">
      <c r="A4219" t="s">
        <v>21</v>
      </c>
      <c r="B4219" t="s">
        <v>22</v>
      </c>
      <c r="C4219">
        <v>100</v>
      </c>
      <c r="D4219">
        <v>1</v>
      </c>
      <c r="E4219">
        <v>0</v>
      </c>
      <c r="F4219" t="s">
        <v>15763</v>
      </c>
      <c r="G4219">
        <v>100</v>
      </c>
      <c r="H4219">
        <v>0</v>
      </c>
      <c r="I4219" t="s">
        <v>140</v>
      </c>
      <c r="J4219" t="s">
        <v>15764</v>
      </c>
      <c r="K4219" t="s">
        <v>672</v>
      </c>
      <c r="L4219" t="s">
        <v>27</v>
      </c>
      <c r="M4219" t="s">
        <v>28</v>
      </c>
      <c r="N4219" t="s">
        <v>15765</v>
      </c>
      <c r="O4219" t="s">
        <v>27</v>
      </c>
      <c r="P4219" t="s">
        <v>369</v>
      </c>
      <c r="Q4219" t="s">
        <v>31</v>
      </c>
      <c r="R4219" t="s">
        <v>57</v>
      </c>
      <c r="S4219" t="s">
        <v>28</v>
      </c>
      <c r="T4219" t="s">
        <v>15766</v>
      </c>
      <c r="U4219" t="s">
        <v>15765</v>
      </c>
    </row>
    <row r="4220" spans="1:21" x14ac:dyDescent="0.25">
      <c r="A4220" t="s">
        <v>456</v>
      </c>
      <c r="B4220" t="s">
        <v>457</v>
      </c>
      <c r="C4220">
        <v>250</v>
      </c>
      <c r="D4220">
        <v>1</v>
      </c>
      <c r="E4220">
        <v>0</v>
      </c>
      <c r="F4220" t="s">
        <v>15767</v>
      </c>
      <c r="G4220">
        <v>250</v>
      </c>
      <c r="H4220">
        <v>0</v>
      </c>
      <c r="I4220" t="s">
        <v>140</v>
      </c>
      <c r="J4220" t="s">
        <v>15768</v>
      </c>
      <c r="K4220" t="s">
        <v>487</v>
      </c>
      <c r="L4220" t="s">
        <v>27</v>
      </c>
      <c r="M4220" t="s">
        <v>28</v>
      </c>
      <c r="N4220" t="s">
        <v>15769</v>
      </c>
      <c r="O4220" t="s">
        <v>27</v>
      </c>
      <c r="P4220" t="s">
        <v>30</v>
      </c>
      <c r="Q4220" t="s">
        <v>31</v>
      </c>
      <c r="R4220" t="s">
        <v>32</v>
      </c>
      <c r="S4220" t="s">
        <v>28</v>
      </c>
      <c r="T4220" t="s">
        <v>15770</v>
      </c>
      <c r="U4220" t="s">
        <v>15769</v>
      </c>
    </row>
    <row r="4221" spans="1:21" x14ac:dyDescent="0.25">
      <c r="A4221" t="s">
        <v>63</v>
      </c>
      <c r="B4221" t="s">
        <v>64</v>
      </c>
      <c r="C4221">
        <v>100</v>
      </c>
      <c r="D4221">
        <v>1</v>
      </c>
      <c r="E4221">
        <v>0</v>
      </c>
      <c r="F4221" t="s">
        <v>15771</v>
      </c>
      <c r="G4221">
        <v>200</v>
      </c>
      <c r="H4221">
        <v>0</v>
      </c>
      <c r="I4221" t="s">
        <v>445</v>
      </c>
      <c r="J4221" t="s">
        <v>15772</v>
      </c>
      <c r="K4221" t="s">
        <v>67</v>
      </c>
      <c r="L4221" t="s">
        <v>27</v>
      </c>
      <c r="M4221" t="s">
        <v>28</v>
      </c>
      <c r="N4221" t="s">
        <v>15773</v>
      </c>
      <c r="O4221" t="s">
        <v>27</v>
      </c>
      <c r="P4221" t="s">
        <v>39</v>
      </c>
      <c r="Q4221" t="s">
        <v>31</v>
      </c>
      <c r="R4221" t="s">
        <v>32</v>
      </c>
      <c r="S4221" t="s">
        <v>28</v>
      </c>
      <c r="T4221" t="s">
        <v>15774</v>
      </c>
      <c r="U4221" t="s">
        <v>15775</v>
      </c>
    </row>
    <row r="4222" spans="1:21" x14ac:dyDescent="0.25">
      <c r="A4222" t="s">
        <v>134</v>
      </c>
      <c r="B4222" t="s">
        <v>64</v>
      </c>
      <c r="C4222">
        <v>100</v>
      </c>
      <c r="D4222">
        <v>1</v>
      </c>
      <c r="E4222">
        <v>0</v>
      </c>
      <c r="F4222" t="s">
        <v>15771</v>
      </c>
      <c r="G4222">
        <v>200</v>
      </c>
      <c r="H4222">
        <v>0</v>
      </c>
      <c r="I4222" t="s">
        <v>445</v>
      </c>
      <c r="J4222" t="s">
        <v>15772</v>
      </c>
      <c r="K4222" t="s">
        <v>67</v>
      </c>
      <c r="L4222" t="s">
        <v>27</v>
      </c>
      <c r="M4222" t="s">
        <v>28</v>
      </c>
      <c r="N4222" t="s">
        <v>15773</v>
      </c>
      <c r="O4222" t="s">
        <v>27</v>
      </c>
      <c r="P4222" t="s">
        <v>39</v>
      </c>
      <c r="Q4222" t="s">
        <v>31</v>
      </c>
      <c r="R4222" t="s">
        <v>32</v>
      </c>
      <c r="S4222" t="s">
        <v>28</v>
      </c>
      <c r="T4222" t="s">
        <v>15774</v>
      </c>
      <c r="U4222" t="s">
        <v>15775</v>
      </c>
    </row>
    <row r="4223" spans="1:21" x14ac:dyDescent="0.25">
      <c r="A4223" t="s">
        <v>134</v>
      </c>
      <c r="B4223" t="s">
        <v>64</v>
      </c>
      <c r="C4223">
        <v>100</v>
      </c>
      <c r="D4223">
        <v>1</v>
      </c>
      <c r="E4223">
        <v>0</v>
      </c>
      <c r="F4223" t="s">
        <v>15776</v>
      </c>
      <c r="G4223">
        <v>300</v>
      </c>
      <c r="H4223">
        <v>0</v>
      </c>
      <c r="I4223" t="s">
        <v>140</v>
      </c>
      <c r="J4223" t="s">
        <v>15777</v>
      </c>
      <c r="K4223" t="s">
        <v>89</v>
      </c>
      <c r="L4223" t="s">
        <v>27</v>
      </c>
      <c r="M4223" t="s">
        <v>28</v>
      </c>
      <c r="N4223" t="s">
        <v>15775</v>
      </c>
      <c r="O4223" t="s">
        <v>27</v>
      </c>
      <c r="P4223" t="s">
        <v>369</v>
      </c>
      <c r="Q4223" t="s">
        <v>31</v>
      </c>
      <c r="R4223" t="s">
        <v>57</v>
      </c>
      <c r="S4223" t="s">
        <v>28</v>
      </c>
      <c r="T4223" t="s">
        <v>15778</v>
      </c>
      <c r="U4223" t="s">
        <v>15773</v>
      </c>
    </row>
    <row r="4224" spans="1:21" x14ac:dyDescent="0.25">
      <c r="A4224" t="s">
        <v>63</v>
      </c>
      <c r="B4224" t="s">
        <v>64</v>
      </c>
      <c r="C4224">
        <v>100</v>
      </c>
      <c r="D4224">
        <v>2</v>
      </c>
      <c r="E4224">
        <v>0</v>
      </c>
      <c r="F4224" t="s">
        <v>15776</v>
      </c>
      <c r="G4224">
        <v>300</v>
      </c>
      <c r="H4224">
        <v>0</v>
      </c>
      <c r="I4224" t="s">
        <v>140</v>
      </c>
      <c r="J4224" t="s">
        <v>15777</v>
      </c>
      <c r="K4224" t="s">
        <v>89</v>
      </c>
      <c r="L4224" t="s">
        <v>27</v>
      </c>
      <c r="M4224" t="s">
        <v>28</v>
      </c>
      <c r="N4224" t="s">
        <v>15775</v>
      </c>
      <c r="O4224" t="s">
        <v>27</v>
      </c>
      <c r="P4224" t="s">
        <v>369</v>
      </c>
      <c r="Q4224" t="s">
        <v>31</v>
      </c>
      <c r="R4224" t="s">
        <v>57</v>
      </c>
      <c r="S4224" t="s">
        <v>28</v>
      </c>
      <c r="T4224" t="s">
        <v>15778</v>
      </c>
      <c r="U4224" t="s">
        <v>15773</v>
      </c>
    </row>
    <row r="4225" spans="1:21" x14ac:dyDescent="0.25">
      <c r="A4225" t="s">
        <v>21</v>
      </c>
      <c r="B4225" t="s">
        <v>22</v>
      </c>
      <c r="C4225">
        <v>100</v>
      </c>
      <c r="D4225">
        <v>1</v>
      </c>
      <c r="E4225">
        <v>0</v>
      </c>
      <c r="F4225" t="s">
        <v>15779</v>
      </c>
      <c r="G4225">
        <v>100</v>
      </c>
      <c r="H4225">
        <v>0</v>
      </c>
      <c r="I4225" t="s">
        <v>140</v>
      </c>
      <c r="J4225" t="s">
        <v>15780</v>
      </c>
      <c r="K4225" t="s">
        <v>2243</v>
      </c>
      <c r="L4225" t="s">
        <v>27</v>
      </c>
      <c r="M4225" t="s">
        <v>28</v>
      </c>
      <c r="N4225" t="s">
        <v>15773</v>
      </c>
      <c r="O4225" t="s">
        <v>27</v>
      </c>
      <c r="P4225" t="s">
        <v>369</v>
      </c>
      <c r="Q4225" t="s">
        <v>31</v>
      </c>
      <c r="R4225" t="s">
        <v>57</v>
      </c>
      <c r="S4225" t="s">
        <v>28</v>
      </c>
      <c r="T4225" t="s">
        <v>15781</v>
      </c>
      <c r="U4225" t="s">
        <v>15773</v>
      </c>
    </row>
    <row r="4226" spans="1:21" x14ac:dyDescent="0.25">
      <c r="A4226" t="s">
        <v>58</v>
      </c>
      <c r="B4226" t="s">
        <v>103</v>
      </c>
      <c r="C4226">
        <v>69.650000000000006</v>
      </c>
      <c r="D4226">
        <v>1</v>
      </c>
      <c r="E4226">
        <v>0</v>
      </c>
      <c r="F4226" t="s">
        <v>15782</v>
      </c>
      <c r="G4226">
        <v>74.650000000000006</v>
      </c>
      <c r="H4226">
        <v>5</v>
      </c>
      <c r="I4226" t="s">
        <v>105</v>
      </c>
      <c r="J4226" t="s">
        <v>15783</v>
      </c>
      <c r="K4226" t="s">
        <v>15784</v>
      </c>
      <c r="L4226" t="s">
        <v>1234</v>
      </c>
      <c r="M4226" t="s">
        <v>15785</v>
      </c>
      <c r="N4226" t="s">
        <v>15775</v>
      </c>
      <c r="O4226" t="s">
        <v>27</v>
      </c>
      <c r="P4226" t="s">
        <v>48</v>
      </c>
      <c r="Q4226" t="s">
        <v>49</v>
      </c>
      <c r="R4226" t="s">
        <v>50</v>
      </c>
      <c r="S4226" t="s">
        <v>28</v>
      </c>
      <c r="T4226" t="s">
        <v>15786</v>
      </c>
      <c r="U4226" t="s">
        <v>15787</v>
      </c>
    </row>
    <row r="4227" spans="1:21" x14ac:dyDescent="0.25">
      <c r="A4227" t="s">
        <v>63</v>
      </c>
      <c r="B4227" t="s">
        <v>64</v>
      </c>
      <c r="C4227">
        <v>100</v>
      </c>
      <c r="D4227">
        <v>1</v>
      </c>
      <c r="E4227">
        <v>0</v>
      </c>
      <c r="F4227" t="s">
        <v>15788</v>
      </c>
      <c r="G4227">
        <v>200</v>
      </c>
      <c r="H4227">
        <v>0</v>
      </c>
      <c r="I4227" t="s">
        <v>445</v>
      </c>
      <c r="J4227" t="s">
        <v>15789</v>
      </c>
      <c r="K4227" t="s">
        <v>285</v>
      </c>
      <c r="L4227" t="s">
        <v>27</v>
      </c>
      <c r="M4227" t="s">
        <v>28</v>
      </c>
      <c r="N4227" t="s">
        <v>15787</v>
      </c>
      <c r="O4227" t="s">
        <v>27</v>
      </c>
      <c r="P4227" t="s">
        <v>39</v>
      </c>
      <c r="Q4227" t="s">
        <v>31</v>
      </c>
      <c r="R4227" t="s">
        <v>32</v>
      </c>
      <c r="S4227" t="s">
        <v>28</v>
      </c>
      <c r="T4227" t="s">
        <v>15790</v>
      </c>
      <c r="U4227" t="s">
        <v>15787</v>
      </c>
    </row>
    <row r="4228" spans="1:21" x14ac:dyDescent="0.25">
      <c r="A4228" t="s">
        <v>134</v>
      </c>
      <c r="B4228" t="s">
        <v>64</v>
      </c>
      <c r="C4228">
        <v>100</v>
      </c>
      <c r="D4228">
        <v>1</v>
      </c>
      <c r="E4228">
        <v>0</v>
      </c>
      <c r="F4228" t="s">
        <v>15788</v>
      </c>
      <c r="G4228">
        <v>200</v>
      </c>
      <c r="H4228">
        <v>0</v>
      </c>
      <c r="I4228" t="s">
        <v>445</v>
      </c>
      <c r="J4228" t="s">
        <v>15789</v>
      </c>
      <c r="K4228" t="s">
        <v>285</v>
      </c>
      <c r="L4228" t="s">
        <v>27</v>
      </c>
      <c r="M4228" t="s">
        <v>28</v>
      </c>
      <c r="N4228" t="s">
        <v>15787</v>
      </c>
      <c r="O4228" t="s">
        <v>27</v>
      </c>
      <c r="P4228" t="s">
        <v>39</v>
      </c>
      <c r="Q4228" t="s">
        <v>31</v>
      </c>
      <c r="R4228" t="s">
        <v>32</v>
      </c>
      <c r="S4228" t="s">
        <v>28</v>
      </c>
      <c r="T4228" t="s">
        <v>15790</v>
      </c>
      <c r="U4228" t="s">
        <v>15787</v>
      </c>
    </row>
    <row r="4229" spans="1:21" x14ac:dyDescent="0.25">
      <c r="A4229" t="s">
        <v>63</v>
      </c>
      <c r="B4229" t="s">
        <v>64</v>
      </c>
      <c r="C4229">
        <v>100</v>
      </c>
      <c r="D4229">
        <v>2</v>
      </c>
      <c r="E4229">
        <v>0</v>
      </c>
      <c r="F4229" t="s">
        <v>15791</v>
      </c>
      <c r="G4229">
        <v>206</v>
      </c>
      <c r="H4229">
        <v>6</v>
      </c>
      <c r="I4229" t="s">
        <v>445</v>
      </c>
      <c r="J4229" t="s">
        <v>12088</v>
      </c>
      <c r="K4229" t="s">
        <v>2191</v>
      </c>
      <c r="L4229" t="s">
        <v>27</v>
      </c>
      <c r="M4229" t="s">
        <v>28</v>
      </c>
      <c r="N4229" t="s">
        <v>15792</v>
      </c>
      <c r="O4229" t="s">
        <v>27</v>
      </c>
      <c r="P4229" t="s">
        <v>39</v>
      </c>
      <c r="Q4229" t="s">
        <v>31</v>
      </c>
      <c r="R4229" t="s">
        <v>32</v>
      </c>
      <c r="S4229" t="s">
        <v>28</v>
      </c>
      <c r="T4229" t="s">
        <v>15793</v>
      </c>
      <c r="U4229" t="s">
        <v>15792</v>
      </c>
    </row>
    <row r="4230" spans="1:21" x14ac:dyDescent="0.25">
      <c r="A4230" t="s">
        <v>143</v>
      </c>
      <c r="B4230" t="s">
        <v>144</v>
      </c>
      <c r="C4230">
        <v>200</v>
      </c>
      <c r="D4230">
        <v>1</v>
      </c>
      <c r="E4230">
        <v>0</v>
      </c>
      <c r="F4230" t="s">
        <v>15794</v>
      </c>
      <c r="G4230">
        <v>200</v>
      </c>
      <c r="H4230">
        <v>0</v>
      </c>
      <c r="I4230" t="s">
        <v>24</v>
      </c>
      <c r="J4230" t="s">
        <v>1757</v>
      </c>
      <c r="K4230" t="s">
        <v>250</v>
      </c>
      <c r="L4230" t="s">
        <v>27</v>
      </c>
      <c r="M4230" t="s">
        <v>28</v>
      </c>
      <c r="N4230" t="s">
        <v>15792</v>
      </c>
      <c r="O4230" t="s">
        <v>27</v>
      </c>
      <c r="P4230" t="s">
        <v>39</v>
      </c>
      <c r="Q4230" t="s">
        <v>31</v>
      </c>
      <c r="R4230" t="s">
        <v>32</v>
      </c>
      <c r="S4230" t="s">
        <v>28</v>
      </c>
      <c r="T4230" t="s">
        <v>15795</v>
      </c>
      <c r="U4230" t="s">
        <v>15792</v>
      </c>
    </row>
    <row r="4231" spans="1:21" x14ac:dyDescent="0.25">
      <c r="A4231" t="s">
        <v>63</v>
      </c>
      <c r="B4231" t="s">
        <v>64</v>
      </c>
      <c r="C4231">
        <v>100</v>
      </c>
      <c r="D4231">
        <v>1</v>
      </c>
      <c r="E4231">
        <v>0</v>
      </c>
      <c r="F4231" t="s">
        <v>15796</v>
      </c>
      <c r="G4231">
        <v>200</v>
      </c>
      <c r="H4231">
        <v>0</v>
      </c>
      <c r="I4231" t="s">
        <v>24</v>
      </c>
      <c r="J4231" t="s">
        <v>15797</v>
      </c>
      <c r="K4231" t="s">
        <v>37</v>
      </c>
      <c r="L4231" t="s">
        <v>27</v>
      </c>
      <c r="M4231" t="s">
        <v>28</v>
      </c>
      <c r="N4231" t="s">
        <v>15798</v>
      </c>
      <c r="O4231" t="s">
        <v>27</v>
      </c>
      <c r="P4231" t="s">
        <v>39</v>
      </c>
      <c r="Q4231" t="s">
        <v>31</v>
      </c>
      <c r="R4231" t="s">
        <v>32</v>
      </c>
      <c r="S4231" t="s">
        <v>28</v>
      </c>
      <c r="T4231" t="s">
        <v>15799</v>
      </c>
      <c r="U4231" t="s">
        <v>15800</v>
      </c>
    </row>
    <row r="4232" spans="1:21" x14ac:dyDescent="0.25">
      <c r="A4232" t="s">
        <v>134</v>
      </c>
      <c r="B4232" t="s">
        <v>64</v>
      </c>
      <c r="C4232">
        <v>100</v>
      </c>
      <c r="D4232">
        <v>1</v>
      </c>
      <c r="E4232">
        <v>0</v>
      </c>
      <c r="F4232" t="s">
        <v>15796</v>
      </c>
      <c r="G4232">
        <v>200</v>
      </c>
      <c r="H4232">
        <v>0</v>
      </c>
      <c r="I4232" t="s">
        <v>24</v>
      </c>
      <c r="J4232" t="s">
        <v>15797</v>
      </c>
      <c r="K4232" t="s">
        <v>37</v>
      </c>
      <c r="L4232" t="s">
        <v>27</v>
      </c>
      <c r="M4232" t="s">
        <v>28</v>
      </c>
      <c r="N4232" t="s">
        <v>15798</v>
      </c>
      <c r="O4232" t="s">
        <v>27</v>
      </c>
      <c r="P4232" t="s">
        <v>39</v>
      </c>
      <c r="Q4232" t="s">
        <v>31</v>
      </c>
      <c r="R4232" t="s">
        <v>32</v>
      </c>
      <c r="S4232" t="s">
        <v>28</v>
      </c>
      <c r="T4232" t="s">
        <v>15799</v>
      </c>
      <c r="U4232" t="s">
        <v>15800</v>
      </c>
    </row>
    <row r="4233" spans="1:21" x14ac:dyDescent="0.25">
      <c r="A4233" t="s">
        <v>21</v>
      </c>
      <c r="B4233" t="s">
        <v>22</v>
      </c>
      <c r="C4233">
        <v>100</v>
      </c>
      <c r="D4233">
        <v>1</v>
      </c>
      <c r="E4233">
        <v>0</v>
      </c>
      <c r="F4233" t="s">
        <v>15801</v>
      </c>
      <c r="G4233">
        <v>129</v>
      </c>
      <c r="H4233">
        <v>29</v>
      </c>
      <c r="I4233" t="s">
        <v>140</v>
      </c>
      <c r="J4233" t="s">
        <v>15802</v>
      </c>
      <c r="K4233" t="s">
        <v>388</v>
      </c>
      <c r="L4233" t="s">
        <v>27</v>
      </c>
      <c r="M4233" t="s">
        <v>28</v>
      </c>
      <c r="N4233" t="s">
        <v>15803</v>
      </c>
      <c r="O4233" t="s">
        <v>27</v>
      </c>
      <c r="P4233" t="s">
        <v>30</v>
      </c>
      <c r="Q4233" t="s">
        <v>31</v>
      </c>
      <c r="R4233" t="s">
        <v>32</v>
      </c>
      <c r="S4233" t="s">
        <v>28</v>
      </c>
      <c r="T4233" t="s">
        <v>15804</v>
      </c>
      <c r="U4233" t="s">
        <v>15803</v>
      </c>
    </row>
    <row r="4234" spans="1:21" x14ac:dyDescent="0.25">
      <c r="A4234" t="s">
        <v>2295</v>
      </c>
      <c r="B4234" t="s">
        <v>3286</v>
      </c>
      <c r="C4234">
        <v>199</v>
      </c>
      <c r="D4234">
        <v>1</v>
      </c>
      <c r="E4234">
        <v>0</v>
      </c>
      <c r="F4234" t="s">
        <v>15805</v>
      </c>
      <c r="G4234">
        <v>240</v>
      </c>
      <c r="H4234">
        <v>41</v>
      </c>
      <c r="I4234" t="s">
        <v>24</v>
      </c>
      <c r="J4234" t="s">
        <v>7670</v>
      </c>
      <c r="K4234" t="s">
        <v>7671</v>
      </c>
      <c r="L4234" t="s">
        <v>7672</v>
      </c>
      <c r="M4234" t="s">
        <v>6681</v>
      </c>
      <c r="N4234" t="s">
        <v>15706</v>
      </c>
      <c r="O4234" t="s">
        <v>27</v>
      </c>
      <c r="P4234" t="s">
        <v>193</v>
      </c>
      <c r="Q4234" t="s">
        <v>85</v>
      </c>
      <c r="R4234" t="s">
        <v>86</v>
      </c>
      <c r="S4234" t="s">
        <v>28</v>
      </c>
      <c r="T4234" t="s">
        <v>15806</v>
      </c>
      <c r="U4234" t="s">
        <v>15807</v>
      </c>
    </row>
    <row r="4235" spans="1:21" x14ac:dyDescent="0.25">
      <c r="A4235" t="s">
        <v>63</v>
      </c>
      <c r="B4235" t="s">
        <v>64</v>
      </c>
      <c r="C4235">
        <v>150</v>
      </c>
      <c r="D4235">
        <v>2</v>
      </c>
      <c r="E4235">
        <v>0</v>
      </c>
      <c r="F4235" t="s">
        <v>15808</v>
      </c>
      <c r="G4235">
        <v>345</v>
      </c>
      <c r="H4235">
        <v>45</v>
      </c>
      <c r="I4235" t="s">
        <v>24</v>
      </c>
      <c r="J4235" t="s">
        <v>10224</v>
      </c>
      <c r="K4235" t="s">
        <v>10225</v>
      </c>
      <c r="L4235" t="s">
        <v>10226</v>
      </c>
      <c r="M4235" t="s">
        <v>2987</v>
      </c>
      <c r="N4235" t="s">
        <v>15708</v>
      </c>
      <c r="O4235" t="s">
        <v>27</v>
      </c>
      <c r="P4235" t="s">
        <v>193</v>
      </c>
      <c r="Q4235" t="s">
        <v>85</v>
      </c>
      <c r="R4235" t="s">
        <v>86</v>
      </c>
      <c r="S4235" t="s">
        <v>28</v>
      </c>
      <c r="T4235" t="s">
        <v>15809</v>
      </c>
      <c r="U4235" t="s">
        <v>15807</v>
      </c>
    </row>
    <row r="4236" spans="1:21" x14ac:dyDescent="0.25">
      <c r="A4236" t="s">
        <v>13290</v>
      </c>
      <c r="B4236" t="s">
        <v>13291</v>
      </c>
      <c r="C4236">
        <v>100</v>
      </c>
      <c r="D4236">
        <v>1</v>
      </c>
      <c r="E4236">
        <v>0</v>
      </c>
      <c r="F4236" t="s">
        <v>15810</v>
      </c>
      <c r="G4236">
        <v>125</v>
      </c>
      <c r="H4236">
        <v>25</v>
      </c>
      <c r="I4236" t="s">
        <v>140</v>
      </c>
      <c r="J4236" t="s">
        <v>15811</v>
      </c>
      <c r="K4236" t="s">
        <v>1878</v>
      </c>
      <c r="L4236" t="s">
        <v>27</v>
      </c>
      <c r="M4236" t="s">
        <v>28</v>
      </c>
      <c r="N4236" t="s">
        <v>15812</v>
      </c>
      <c r="O4236" t="s">
        <v>27</v>
      </c>
      <c r="P4236" t="s">
        <v>30</v>
      </c>
      <c r="Q4236" t="s">
        <v>31</v>
      </c>
      <c r="R4236" t="s">
        <v>32</v>
      </c>
      <c r="S4236" t="s">
        <v>28</v>
      </c>
      <c r="T4236" t="s">
        <v>15813</v>
      </c>
      <c r="U4236" t="s">
        <v>15812</v>
      </c>
    </row>
    <row r="4237" spans="1:21" x14ac:dyDescent="0.25">
      <c r="A4237" t="s">
        <v>13290</v>
      </c>
      <c r="B4237" t="s">
        <v>13291</v>
      </c>
      <c r="C4237">
        <v>100</v>
      </c>
      <c r="D4237">
        <v>1</v>
      </c>
      <c r="E4237">
        <v>0</v>
      </c>
      <c r="F4237" t="s">
        <v>15814</v>
      </c>
      <c r="G4237">
        <v>125</v>
      </c>
      <c r="H4237">
        <v>25</v>
      </c>
      <c r="I4237" t="s">
        <v>140</v>
      </c>
      <c r="J4237" t="s">
        <v>15815</v>
      </c>
      <c r="K4237" t="s">
        <v>4310</v>
      </c>
      <c r="L4237" t="s">
        <v>27</v>
      </c>
      <c r="M4237" t="s">
        <v>28</v>
      </c>
      <c r="N4237" t="s">
        <v>15816</v>
      </c>
      <c r="O4237" t="s">
        <v>27</v>
      </c>
      <c r="P4237" t="s">
        <v>30</v>
      </c>
      <c r="Q4237" t="s">
        <v>31</v>
      </c>
      <c r="R4237" t="s">
        <v>32</v>
      </c>
      <c r="S4237" t="s">
        <v>28</v>
      </c>
      <c r="T4237" t="s">
        <v>15817</v>
      </c>
      <c r="U4237" t="s">
        <v>15812</v>
      </c>
    </row>
    <row r="4238" spans="1:21" x14ac:dyDescent="0.25">
      <c r="A4238" t="s">
        <v>13290</v>
      </c>
      <c r="B4238" t="s">
        <v>13291</v>
      </c>
      <c r="C4238">
        <v>100</v>
      </c>
      <c r="D4238">
        <v>1</v>
      </c>
      <c r="E4238">
        <v>0</v>
      </c>
      <c r="F4238" t="s">
        <v>15818</v>
      </c>
      <c r="G4238">
        <v>125</v>
      </c>
      <c r="H4238">
        <v>25</v>
      </c>
      <c r="I4238" t="s">
        <v>140</v>
      </c>
      <c r="J4238" t="s">
        <v>15819</v>
      </c>
      <c r="K4238" t="s">
        <v>677</v>
      </c>
      <c r="L4238" t="s">
        <v>27</v>
      </c>
      <c r="M4238" t="s">
        <v>28</v>
      </c>
      <c r="N4238" t="s">
        <v>15816</v>
      </c>
      <c r="O4238" t="s">
        <v>27</v>
      </c>
      <c r="P4238" t="s">
        <v>30</v>
      </c>
      <c r="Q4238" t="s">
        <v>31</v>
      </c>
      <c r="R4238" t="s">
        <v>32</v>
      </c>
      <c r="S4238" t="s">
        <v>28</v>
      </c>
      <c r="T4238" t="s">
        <v>15820</v>
      </c>
      <c r="U4238" t="s">
        <v>15812</v>
      </c>
    </row>
    <row r="4239" spans="1:21" x14ac:dyDescent="0.25">
      <c r="A4239" t="s">
        <v>13290</v>
      </c>
      <c r="B4239" t="s">
        <v>13291</v>
      </c>
      <c r="C4239">
        <v>100</v>
      </c>
      <c r="D4239">
        <v>1</v>
      </c>
      <c r="E4239">
        <v>0</v>
      </c>
      <c r="F4239" t="s">
        <v>15821</v>
      </c>
      <c r="G4239">
        <v>125</v>
      </c>
      <c r="H4239">
        <v>25</v>
      </c>
      <c r="I4239" t="s">
        <v>24</v>
      </c>
      <c r="J4239" t="s">
        <v>15822</v>
      </c>
      <c r="K4239" t="s">
        <v>418</v>
      </c>
      <c r="L4239" t="s">
        <v>27</v>
      </c>
      <c r="M4239" t="s">
        <v>28</v>
      </c>
      <c r="N4239" t="s">
        <v>15823</v>
      </c>
      <c r="O4239" t="s">
        <v>27</v>
      </c>
      <c r="P4239" t="s">
        <v>39</v>
      </c>
      <c r="Q4239" t="s">
        <v>31</v>
      </c>
      <c r="R4239" t="s">
        <v>32</v>
      </c>
      <c r="S4239" t="s">
        <v>28</v>
      </c>
      <c r="T4239" t="s">
        <v>15824</v>
      </c>
      <c r="U4239" t="s">
        <v>15823</v>
      </c>
    </row>
    <row r="4240" spans="1:21" x14ac:dyDescent="0.25">
      <c r="A4240" t="s">
        <v>195</v>
      </c>
      <c r="B4240" t="s">
        <v>1003</v>
      </c>
      <c r="C4240">
        <v>179.85</v>
      </c>
      <c r="D4240">
        <v>1</v>
      </c>
      <c r="E4240">
        <v>0</v>
      </c>
      <c r="F4240" t="s">
        <v>15825</v>
      </c>
      <c r="G4240">
        <v>184.85</v>
      </c>
      <c r="H4240">
        <v>5</v>
      </c>
      <c r="I4240" t="s">
        <v>628</v>
      </c>
      <c r="J4240" t="s">
        <v>5791</v>
      </c>
      <c r="K4240" t="s">
        <v>5792</v>
      </c>
      <c r="L4240" t="s">
        <v>5793</v>
      </c>
      <c r="M4240" t="s">
        <v>5794</v>
      </c>
      <c r="N4240" t="s">
        <v>15826</v>
      </c>
      <c r="O4240" t="s">
        <v>27</v>
      </c>
      <c r="P4240" t="s">
        <v>48</v>
      </c>
      <c r="Q4240" t="s">
        <v>49</v>
      </c>
      <c r="R4240" t="s">
        <v>50</v>
      </c>
      <c r="S4240" t="s">
        <v>28</v>
      </c>
      <c r="T4240" t="s">
        <v>15827</v>
      </c>
      <c r="U4240" t="s">
        <v>15826</v>
      </c>
    </row>
    <row r="4241" spans="1:21" x14ac:dyDescent="0.25">
      <c r="A4241" t="s">
        <v>21</v>
      </c>
      <c r="B4241" t="s">
        <v>22</v>
      </c>
      <c r="C4241">
        <v>100</v>
      </c>
      <c r="D4241">
        <v>3</v>
      </c>
      <c r="E4241">
        <v>0</v>
      </c>
      <c r="F4241" t="s">
        <v>15828</v>
      </c>
      <c r="G4241">
        <v>300</v>
      </c>
      <c r="H4241">
        <v>0</v>
      </c>
      <c r="I4241" t="s">
        <v>140</v>
      </c>
      <c r="J4241" t="s">
        <v>522</v>
      </c>
      <c r="K4241" t="s">
        <v>388</v>
      </c>
      <c r="L4241" t="s">
        <v>27</v>
      </c>
      <c r="M4241" t="s">
        <v>28</v>
      </c>
      <c r="N4241" t="s">
        <v>15829</v>
      </c>
      <c r="O4241" t="s">
        <v>27</v>
      </c>
      <c r="P4241" t="s">
        <v>30</v>
      </c>
      <c r="Q4241" t="s">
        <v>31</v>
      </c>
      <c r="R4241" t="s">
        <v>32</v>
      </c>
      <c r="S4241" t="s">
        <v>28</v>
      </c>
      <c r="T4241" t="s">
        <v>15830</v>
      </c>
      <c r="U4241" t="s">
        <v>15829</v>
      </c>
    </row>
    <row r="4242" spans="1:21" x14ac:dyDescent="0.25">
      <c r="A4242" t="s">
        <v>63</v>
      </c>
      <c r="B4242" t="s">
        <v>64</v>
      </c>
      <c r="C4242">
        <v>100</v>
      </c>
      <c r="D4242">
        <v>2</v>
      </c>
      <c r="E4242">
        <v>0</v>
      </c>
      <c r="F4242" t="s">
        <v>15831</v>
      </c>
      <c r="G4242">
        <v>206</v>
      </c>
      <c r="H4242">
        <v>6</v>
      </c>
      <c r="I4242" t="s">
        <v>24</v>
      </c>
      <c r="J4242" t="s">
        <v>15832</v>
      </c>
      <c r="K4242" t="s">
        <v>67</v>
      </c>
      <c r="L4242" t="s">
        <v>27</v>
      </c>
      <c r="M4242" t="s">
        <v>28</v>
      </c>
      <c r="N4242" t="s">
        <v>15829</v>
      </c>
      <c r="O4242" t="s">
        <v>27</v>
      </c>
      <c r="P4242" t="s">
        <v>56</v>
      </c>
      <c r="Q4242" t="s">
        <v>31</v>
      </c>
      <c r="R4242" t="s">
        <v>57</v>
      </c>
      <c r="S4242" t="s">
        <v>28</v>
      </c>
      <c r="T4242" t="s">
        <v>15833</v>
      </c>
      <c r="U4242" t="s">
        <v>15829</v>
      </c>
    </row>
    <row r="4243" spans="1:21" x14ac:dyDescent="0.25">
      <c r="A4243" t="s">
        <v>456</v>
      </c>
      <c r="B4243" t="s">
        <v>457</v>
      </c>
      <c r="C4243">
        <v>199</v>
      </c>
      <c r="D4243">
        <v>1</v>
      </c>
      <c r="E4243">
        <v>0</v>
      </c>
      <c r="F4243" t="s">
        <v>15834</v>
      </c>
      <c r="G4243">
        <v>244</v>
      </c>
      <c r="H4243">
        <v>45</v>
      </c>
      <c r="I4243" t="s">
        <v>24</v>
      </c>
      <c r="J4243" t="s">
        <v>15835</v>
      </c>
      <c r="K4243" t="s">
        <v>15836</v>
      </c>
      <c r="L4243" t="s">
        <v>1730</v>
      </c>
      <c r="M4243" t="s">
        <v>3343</v>
      </c>
      <c r="N4243" t="s">
        <v>15737</v>
      </c>
      <c r="O4243" t="s">
        <v>27</v>
      </c>
      <c r="P4243" t="s">
        <v>193</v>
      </c>
      <c r="Q4243" t="s">
        <v>85</v>
      </c>
      <c r="R4243" t="s">
        <v>86</v>
      </c>
      <c r="S4243" t="s">
        <v>28</v>
      </c>
      <c r="T4243" t="s">
        <v>15837</v>
      </c>
      <c r="U4243" t="s">
        <v>15838</v>
      </c>
    </row>
    <row r="4244" spans="1:21" x14ac:dyDescent="0.25">
      <c r="A4244" t="s">
        <v>143</v>
      </c>
      <c r="B4244" t="s">
        <v>144</v>
      </c>
      <c r="C4244">
        <v>200</v>
      </c>
      <c r="D4244">
        <v>1</v>
      </c>
      <c r="E4244">
        <v>0</v>
      </c>
      <c r="F4244" t="s">
        <v>15839</v>
      </c>
      <c r="G4244">
        <v>200</v>
      </c>
      <c r="H4244">
        <v>0</v>
      </c>
      <c r="I4244" t="s">
        <v>140</v>
      </c>
      <c r="J4244" t="s">
        <v>15840</v>
      </c>
      <c r="K4244" t="s">
        <v>89</v>
      </c>
      <c r="L4244" t="s">
        <v>27</v>
      </c>
      <c r="M4244" t="s">
        <v>28</v>
      </c>
      <c r="N4244" t="s">
        <v>15838</v>
      </c>
      <c r="O4244" t="s">
        <v>27</v>
      </c>
      <c r="P4244" t="s">
        <v>30</v>
      </c>
      <c r="Q4244" t="s">
        <v>31</v>
      </c>
      <c r="R4244" t="s">
        <v>32</v>
      </c>
      <c r="S4244" t="s">
        <v>28</v>
      </c>
      <c r="T4244" t="s">
        <v>15841</v>
      </c>
      <c r="U4244" t="s">
        <v>15838</v>
      </c>
    </row>
    <row r="4245" spans="1:21" x14ac:dyDescent="0.25">
      <c r="A4245" t="s">
        <v>13290</v>
      </c>
      <c r="B4245" t="s">
        <v>13291</v>
      </c>
      <c r="C4245">
        <v>100</v>
      </c>
      <c r="D4245">
        <v>2</v>
      </c>
      <c r="E4245">
        <v>0</v>
      </c>
      <c r="F4245" t="s">
        <v>15842</v>
      </c>
      <c r="G4245">
        <v>200</v>
      </c>
      <c r="H4245">
        <v>0</v>
      </c>
      <c r="I4245" t="s">
        <v>140</v>
      </c>
      <c r="J4245" t="s">
        <v>15843</v>
      </c>
      <c r="K4245" t="s">
        <v>677</v>
      </c>
      <c r="L4245" t="s">
        <v>27</v>
      </c>
      <c r="M4245" t="s">
        <v>28</v>
      </c>
      <c r="N4245" t="s">
        <v>15844</v>
      </c>
      <c r="O4245" t="s">
        <v>27</v>
      </c>
      <c r="P4245" t="s">
        <v>30</v>
      </c>
      <c r="Q4245" t="s">
        <v>31</v>
      </c>
      <c r="R4245" t="s">
        <v>32</v>
      </c>
      <c r="S4245" t="s">
        <v>28</v>
      </c>
      <c r="T4245" t="s">
        <v>15845</v>
      </c>
      <c r="U4245" t="s">
        <v>15838</v>
      </c>
    </row>
    <row r="4246" spans="1:21" x14ac:dyDescent="0.25">
      <c r="A4246" t="s">
        <v>21</v>
      </c>
      <c r="B4246" t="s">
        <v>22</v>
      </c>
      <c r="C4246">
        <v>100</v>
      </c>
      <c r="D4246">
        <v>1</v>
      </c>
      <c r="E4246">
        <v>0</v>
      </c>
      <c r="F4246" t="s">
        <v>15846</v>
      </c>
      <c r="G4246">
        <v>106</v>
      </c>
      <c r="H4246">
        <v>6</v>
      </c>
      <c r="I4246" t="s">
        <v>24</v>
      </c>
      <c r="J4246" t="s">
        <v>15847</v>
      </c>
      <c r="K4246" t="s">
        <v>67</v>
      </c>
      <c r="L4246" t="s">
        <v>27</v>
      </c>
      <c r="M4246" t="s">
        <v>28</v>
      </c>
      <c r="N4246" t="s">
        <v>15844</v>
      </c>
      <c r="O4246" t="s">
        <v>27</v>
      </c>
      <c r="P4246" t="s">
        <v>39</v>
      </c>
      <c r="Q4246" t="s">
        <v>31</v>
      </c>
      <c r="R4246" t="s">
        <v>32</v>
      </c>
      <c r="S4246" t="s">
        <v>28</v>
      </c>
      <c r="T4246" t="s">
        <v>15848</v>
      </c>
      <c r="U4246" t="s">
        <v>15844</v>
      </c>
    </row>
    <row r="4247" spans="1:21" x14ac:dyDescent="0.25">
      <c r="A4247" t="s">
        <v>63</v>
      </c>
      <c r="B4247" t="s">
        <v>64</v>
      </c>
      <c r="C4247">
        <v>100</v>
      </c>
      <c r="D4247">
        <v>1</v>
      </c>
      <c r="E4247">
        <v>0</v>
      </c>
      <c r="F4247" t="s">
        <v>15849</v>
      </c>
      <c r="G4247">
        <v>200</v>
      </c>
      <c r="H4247">
        <v>0</v>
      </c>
      <c r="I4247" t="s">
        <v>24</v>
      </c>
      <c r="J4247" t="s">
        <v>15850</v>
      </c>
      <c r="K4247" t="s">
        <v>241</v>
      </c>
      <c r="L4247" t="s">
        <v>27</v>
      </c>
      <c r="M4247" t="s">
        <v>28</v>
      </c>
      <c r="N4247" t="s">
        <v>15851</v>
      </c>
      <c r="O4247" t="s">
        <v>27</v>
      </c>
      <c r="P4247" t="s">
        <v>39</v>
      </c>
      <c r="Q4247" t="s">
        <v>31</v>
      </c>
      <c r="R4247" t="s">
        <v>32</v>
      </c>
      <c r="S4247" t="s">
        <v>28</v>
      </c>
      <c r="T4247" t="s">
        <v>15852</v>
      </c>
      <c r="U4247" t="s">
        <v>15853</v>
      </c>
    </row>
    <row r="4248" spans="1:21" x14ac:dyDescent="0.25">
      <c r="A4248" t="s">
        <v>134</v>
      </c>
      <c r="B4248" t="s">
        <v>64</v>
      </c>
      <c r="C4248">
        <v>100</v>
      </c>
      <c r="D4248">
        <v>1</v>
      </c>
      <c r="E4248">
        <v>0</v>
      </c>
      <c r="F4248" t="s">
        <v>15849</v>
      </c>
      <c r="G4248">
        <v>200</v>
      </c>
      <c r="H4248">
        <v>0</v>
      </c>
      <c r="I4248" t="s">
        <v>24</v>
      </c>
      <c r="J4248" t="s">
        <v>15850</v>
      </c>
      <c r="K4248" t="s">
        <v>241</v>
      </c>
      <c r="L4248" t="s">
        <v>27</v>
      </c>
      <c r="M4248" t="s">
        <v>28</v>
      </c>
      <c r="N4248" t="s">
        <v>15851</v>
      </c>
      <c r="O4248" t="s">
        <v>27</v>
      </c>
      <c r="P4248" t="s">
        <v>39</v>
      </c>
      <c r="Q4248" t="s">
        <v>31</v>
      </c>
      <c r="R4248" t="s">
        <v>32</v>
      </c>
      <c r="S4248" t="s">
        <v>28</v>
      </c>
      <c r="T4248" t="s">
        <v>15852</v>
      </c>
      <c r="U4248" t="s">
        <v>15853</v>
      </c>
    </row>
    <row r="4249" spans="1:21" x14ac:dyDescent="0.25">
      <c r="A4249" t="s">
        <v>58</v>
      </c>
      <c r="B4249" t="s">
        <v>103</v>
      </c>
      <c r="C4249">
        <v>84</v>
      </c>
      <c r="D4249">
        <v>1</v>
      </c>
      <c r="E4249">
        <v>0</v>
      </c>
      <c r="F4249" t="s">
        <v>15854</v>
      </c>
      <c r="G4249">
        <v>103</v>
      </c>
      <c r="H4249">
        <v>0</v>
      </c>
      <c r="I4249" t="s">
        <v>105</v>
      </c>
      <c r="J4249" t="s">
        <v>15855</v>
      </c>
      <c r="K4249" t="s">
        <v>15856</v>
      </c>
      <c r="L4249" t="s">
        <v>1437</v>
      </c>
      <c r="M4249" t="s">
        <v>15857</v>
      </c>
      <c r="N4249" t="s">
        <v>15851</v>
      </c>
      <c r="O4249" t="s">
        <v>27</v>
      </c>
      <c r="P4249" t="s">
        <v>48</v>
      </c>
      <c r="Q4249" t="s">
        <v>49</v>
      </c>
      <c r="R4249" t="s">
        <v>50</v>
      </c>
      <c r="S4249" t="s">
        <v>28</v>
      </c>
      <c r="T4249" t="s">
        <v>15858</v>
      </c>
      <c r="U4249" t="s">
        <v>15851</v>
      </c>
    </row>
    <row r="4250" spans="1:21" x14ac:dyDescent="0.25">
      <c r="A4250" t="s">
        <v>40</v>
      </c>
      <c r="B4250" t="s">
        <v>11384</v>
      </c>
      <c r="C4250">
        <v>100</v>
      </c>
      <c r="D4250">
        <v>2</v>
      </c>
      <c r="E4250">
        <v>0</v>
      </c>
      <c r="F4250" t="s">
        <v>15859</v>
      </c>
      <c r="G4250">
        <v>200</v>
      </c>
      <c r="H4250">
        <v>0</v>
      </c>
      <c r="I4250" t="s">
        <v>140</v>
      </c>
      <c r="J4250" t="s">
        <v>15860</v>
      </c>
      <c r="K4250" t="s">
        <v>113</v>
      </c>
      <c r="L4250" t="s">
        <v>27</v>
      </c>
      <c r="M4250" t="s">
        <v>28</v>
      </c>
      <c r="N4250" t="s">
        <v>15851</v>
      </c>
      <c r="O4250" t="s">
        <v>27</v>
      </c>
      <c r="P4250" t="s">
        <v>369</v>
      </c>
      <c r="Q4250" t="s">
        <v>31</v>
      </c>
      <c r="R4250" t="s">
        <v>57</v>
      </c>
      <c r="S4250" t="s">
        <v>28</v>
      </c>
      <c r="T4250" t="s">
        <v>15861</v>
      </c>
      <c r="U4250" t="s">
        <v>15851</v>
      </c>
    </row>
    <row r="4251" spans="1:21" x14ac:dyDescent="0.25">
      <c r="A4251" t="s">
        <v>33</v>
      </c>
      <c r="B4251" t="s">
        <v>34</v>
      </c>
      <c r="C4251">
        <v>200</v>
      </c>
      <c r="D4251">
        <v>1</v>
      </c>
      <c r="E4251">
        <v>0</v>
      </c>
      <c r="F4251" t="s">
        <v>15862</v>
      </c>
      <c r="G4251">
        <v>200</v>
      </c>
      <c r="H4251">
        <v>0</v>
      </c>
      <c r="I4251" t="s">
        <v>24</v>
      </c>
      <c r="J4251" t="s">
        <v>15863</v>
      </c>
      <c r="K4251" t="s">
        <v>67</v>
      </c>
      <c r="L4251" t="s">
        <v>27</v>
      </c>
      <c r="M4251" t="s">
        <v>28</v>
      </c>
      <c r="N4251" t="s">
        <v>15864</v>
      </c>
      <c r="O4251" t="s">
        <v>27</v>
      </c>
      <c r="P4251" t="s">
        <v>39</v>
      </c>
      <c r="Q4251" t="s">
        <v>31</v>
      </c>
      <c r="R4251" t="s">
        <v>32</v>
      </c>
      <c r="S4251" t="s">
        <v>28</v>
      </c>
      <c r="T4251" t="s">
        <v>15865</v>
      </c>
      <c r="U4251" t="s">
        <v>15864</v>
      </c>
    </row>
    <row r="4252" spans="1:21" x14ac:dyDescent="0.25">
      <c r="A4252" t="s">
        <v>635</v>
      </c>
      <c r="B4252" t="s">
        <v>8000</v>
      </c>
      <c r="C4252">
        <v>539.5</v>
      </c>
      <c r="D4252">
        <v>1</v>
      </c>
      <c r="E4252">
        <v>0</v>
      </c>
      <c r="F4252" t="s">
        <v>15866</v>
      </c>
      <c r="G4252">
        <v>578.5</v>
      </c>
      <c r="H4252">
        <v>39</v>
      </c>
      <c r="I4252" t="s">
        <v>24</v>
      </c>
      <c r="J4252" t="s">
        <v>15619</v>
      </c>
      <c r="K4252" t="s">
        <v>15620</v>
      </c>
      <c r="L4252" t="s">
        <v>1522</v>
      </c>
      <c r="M4252" t="s">
        <v>15621</v>
      </c>
      <c r="N4252" t="s">
        <v>15867</v>
      </c>
      <c r="O4252" t="s">
        <v>27</v>
      </c>
      <c r="P4252" t="s">
        <v>48</v>
      </c>
      <c r="Q4252" t="s">
        <v>49</v>
      </c>
      <c r="R4252" t="s">
        <v>50</v>
      </c>
      <c r="S4252" t="s">
        <v>28</v>
      </c>
      <c r="T4252" t="s">
        <v>15868</v>
      </c>
      <c r="U4252" t="s">
        <v>15867</v>
      </c>
    </row>
    <row r="4253" spans="1:21" x14ac:dyDescent="0.25">
      <c r="A4253" t="s">
        <v>5037</v>
      </c>
      <c r="B4253" t="s">
        <v>276</v>
      </c>
      <c r="C4253">
        <v>450</v>
      </c>
      <c r="D4253">
        <v>1</v>
      </c>
      <c r="E4253">
        <v>0</v>
      </c>
      <c r="F4253" t="s">
        <v>15869</v>
      </c>
      <c r="G4253">
        <v>495</v>
      </c>
      <c r="H4253">
        <v>45</v>
      </c>
      <c r="I4253" t="s">
        <v>24</v>
      </c>
      <c r="J4253" t="s">
        <v>15870</v>
      </c>
      <c r="K4253" t="s">
        <v>15871</v>
      </c>
      <c r="L4253" t="s">
        <v>3493</v>
      </c>
      <c r="M4253" t="s">
        <v>15872</v>
      </c>
      <c r="N4253" t="s">
        <v>15873</v>
      </c>
      <c r="O4253" t="s">
        <v>27</v>
      </c>
      <c r="P4253" t="s">
        <v>48</v>
      </c>
      <c r="Q4253" t="s">
        <v>49</v>
      </c>
      <c r="R4253" t="s">
        <v>50</v>
      </c>
      <c r="S4253" t="s">
        <v>28</v>
      </c>
      <c r="T4253" t="s">
        <v>15874</v>
      </c>
      <c r="U4253" t="s">
        <v>15873</v>
      </c>
    </row>
    <row r="4254" spans="1:21" x14ac:dyDescent="0.25">
      <c r="A4254" t="s">
        <v>58</v>
      </c>
      <c r="B4254" t="s">
        <v>103</v>
      </c>
      <c r="C4254">
        <v>84</v>
      </c>
      <c r="D4254">
        <v>1</v>
      </c>
      <c r="E4254">
        <v>0</v>
      </c>
      <c r="F4254" t="s">
        <v>15875</v>
      </c>
      <c r="G4254">
        <v>257</v>
      </c>
      <c r="H4254">
        <v>5</v>
      </c>
      <c r="I4254" t="s">
        <v>105</v>
      </c>
      <c r="J4254" t="s">
        <v>15876</v>
      </c>
      <c r="K4254" t="s">
        <v>15877</v>
      </c>
      <c r="L4254" t="s">
        <v>640</v>
      </c>
      <c r="M4254" t="s">
        <v>15878</v>
      </c>
      <c r="N4254" t="s">
        <v>15879</v>
      </c>
      <c r="O4254" t="s">
        <v>27</v>
      </c>
      <c r="P4254" t="s">
        <v>48</v>
      </c>
      <c r="Q4254" t="s">
        <v>49</v>
      </c>
      <c r="R4254" t="s">
        <v>50</v>
      </c>
      <c r="S4254" t="s">
        <v>28</v>
      </c>
      <c r="T4254" t="s">
        <v>15880</v>
      </c>
      <c r="U4254" t="s">
        <v>15879</v>
      </c>
    </row>
    <row r="4255" spans="1:21" x14ac:dyDescent="0.25">
      <c r="A4255" t="s">
        <v>58</v>
      </c>
      <c r="B4255" t="s">
        <v>103</v>
      </c>
      <c r="C4255">
        <v>84</v>
      </c>
      <c r="D4255">
        <v>1</v>
      </c>
      <c r="E4255">
        <v>0</v>
      </c>
      <c r="F4255" t="s">
        <v>15875</v>
      </c>
      <c r="G4255">
        <v>257</v>
      </c>
      <c r="H4255">
        <v>5</v>
      </c>
      <c r="I4255" t="s">
        <v>105</v>
      </c>
      <c r="J4255" t="s">
        <v>15876</v>
      </c>
      <c r="K4255" t="s">
        <v>15877</v>
      </c>
      <c r="L4255" t="s">
        <v>640</v>
      </c>
      <c r="M4255" t="s">
        <v>15878</v>
      </c>
      <c r="N4255" t="s">
        <v>15879</v>
      </c>
      <c r="O4255" t="s">
        <v>27</v>
      </c>
      <c r="P4255" t="s">
        <v>48</v>
      </c>
      <c r="Q4255" t="s">
        <v>49</v>
      </c>
      <c r="R4255" t="s">
        <v>50</v>
      </c>
      <c r="S4255" t="s">
        <v>28</v>
      </c>
      <c r="T4255" t="s">
        <v>15880</v>
      </c>
      <c r="U4255" t="s">
        <v>15879</v>
      </c>
    </row>
    <row r="4256" spans="1:21" x14ac:dyDescent="0.25">
      <c r="A4256" t="s">
        <v>58</v>
      </c>
      <c r="B4256" t="s">
        <v>103</v>
      </c>
      <c r="C4256">
        <v>84</v>
      </c>
      <c r="D4256">
        <v>1</v>
      </c>
      <c r="E4256">
        <v>0</v>
      </c>
      <c r="F4256" t="s">
        <v>15875</v>
      </c>
      <c r="G4256">
        <v>257</v>
      </c>
      <c r="H4256">
        <v>5</v>
      </c>
      <c r="I4256" t="s">
        <v>105</v>
      </c>
      <c r="J4256" t="s">
        <v>15876</v>
      </c>
      <c r="K4256" t="s">
        <v>15877</v>
      </c>
      <c r="L4256" t="s">
        <v>640</v>
      </c>
      <c r="M4256" t="s">
        <v>15878</v>
      </c>
      <c r="N4256" t="s">
        <v>15879</v>
      </c>
      <c r="O4256" t="s">
        <v>27</v>
      </c>
      <c r="P4256" t="s">
        <v>48</v>
      </c>
      <c r="Q4256" t="s">
        <v>49</v>
      </c>
      <c r="R4256" t="s">
        <v>50</v>
      </c>
      <c r="S4256" t="s">
        <v>28</v>
      </c>
      <c r="T4256" t="s">
        <v>15880</v>
      </c>
      <c r="U4256" t="s">
        <v>15879</v>
      </c>
    </row>
    <row r="4257" spans="1:21" x14ac:dyDescent="0.25">
      <c r="A4257" t="s">
        <v>456</v>
      </c>
      <c r="B4257" t="s">
        <v>457</v>
      </c>
      <c r="C4257">
        <v>199</v>
      </c>
      <c r="D4257">
        <v>2</v>
      </c>
      <c r="E4257">
        <v>0</v>
      </c>
      <c r="F4257" t="s">
        <v>15881</v>
      </c>
      <c r="G4257">
        <v>433</v>
      </c>
      <c r="H4257">
        <v>35</v>
      </c>
      <c r="I4257" t="s">
        <v>24</v>
      </c>
      <c r="J4257" t="s">
        <v>15882</v>
      </c>
      <c r="K4257" t="s">
        <v>15883</v>
      </c>
      <c r="L4257" t="s">
        <v>15884</v>
      </c>
      <c r="M4257" t="s">
        <v>8254</v>
      </c>
      <c r="N4257" t="s">
        <v>15885</v>
      </c>
      <c r="O4257" t="s">
        <v>27</v>
      </c>
      <c r="P4257" t="s">
        <v>193</v>
      </c>
      <c r="Q4257" t="s">
        <v>85</v>
      </c>
      <c r="R4257" t="s">
        <v>86</v>
      </c>
      <c r="S4257" t="s">
        <v>28</v>
      </c>
      <c r="T4257" t="s">
        <v>15886</v>
      </c>
      <c r="U4257" t="s">
        <v>15879</v>
      </c>
    </row>
    <row r="4258" spans="1:21" x14ac:dyDescent="0.25">
      <c r="A4258" t="s">
        <v>1513</v>
      </c>
      <c r="B4258" t="s">
        <v>1514</v>
      </c>
      <c r="C4258">
        <v>330</v>
      </c>
      <c r="D4258">
        <v>1</v>
      </c>
      <c r="E4258">
        <v>0</v>
      </c>
      <c r="F4258" t="s">
        <v>15887</v>
      </c>
      <c r="G4258">
        <v>330</v>
      </c>
      <c r="H4258">
        <v>0</v>
      </c>
      <c r="I4258" t="s">
        <v>140</v>
      </c>
      <c r="J4258" t="s">
        <v>15888</v>
      </c>
      <c r="K4258" t="s">
        <v>37</v>
      </c>
      <c r="L4258" t="s">
        <v>27</v>
      </c>
      <c r="M4258" t="s">
        <v>28</v>
      </c>
      <c r="N4258" t="s">
        <v>15889</v>
      </c>
      <c r="O4258" t="s">
        <v>27</v>
      </c>
      <c r="P4258" t="s">
        <v>369</v>
      </c>
      <c r="Q4258" t="s">
        <v>31</v>
      </c>
      <c r="R4258" t="s">
        <v>57</v>
      </c>
      <c r="S4258" t="s">
        <v>28</v>
      </c>
      <c r="T4258" t="s">
        <v>15890</v>
      </c>
      <c r="U4258" t="s">
        <v>15889</v>
      </c>
    </row>
    <row r="4259" spans="1:21" x14ac:dyDescent="0.25">
      <c r="A4259" t="s">
        <v>134</v>
      </c>
      <c r="B4259" t="s">
        <v>64</v>
      </c>
      <c r="C4259">
        <v>100</v>
      </c>
      <c r="D4259">
        <v>1</v>
      </c>
      <c r="E4259">
        <v>0</v>
      </c>
      <c r="F4259" t="s">
        <v>15891</v>
      </c>
      <c r="G4259">
        <v>106</v>
      </c>
      <c r="H4259">
        <v>6</v>
      </c>
      <c r="I4259" t="s">
        <v>24</v>
      </c>
      <c r="J4259" t="s">
        <v>15892</v>
      </c>
      <c r="K4259" t="s">
        <v>67</v>
      </c>
      <c r="L4259" t="s">
        <v>27</v>
      </c>
      <c r="M4259" t="s">
        <v>28</v>
      </c>
      <c r="N4259" t="s">
        <v>15893</v>
      </c>
      <c r="O4259" t="s">
        <v>27</v>
      </c>
      <c r="P4259" t="s">
        <v>39</v>
      </c>
      <c r="Q4259" t="s">
        <v>31</v>
      </c>
      <c r="R4259" t="s">
        <v>32</v>
      </c>
      <c r="S4259" t="s">
        <v>28</v>
      </c>
      <c r="T4259" t="s">
        <v>15894</v>
      </c>
      <c r="U4259" t="s">
        <v>15895</v>
      </c>
    </row>
    <row r="4260" spans="1:21" x14ac:dyDescent="0.25">
      <c r="A4260" t="s">
        <v>134</v>
      </c>
      <c r="B4260" t="s">
        <v>64</v>
      </c>
      <c r="C4260">
        <v>100</v>
      </c>
      <c r="D4260">
        <v>3</v>
      </c>
      <c r="E4260">
        <v>0</v>
      </c>
      <c r="F4260" t="s">
        <v>15896</v>
      </c>
      <c r="G4260">
        <v>300</v>
      </c>
      <c r="H4260">
        <v>0</v>
      </c>
      <c r="I4260" t="s">
        <v>445</v>
      </c>
      <c r="J4260" t="s">
        <v>15897</v>
      </c>
      <c r="K4260" t="s">
        <v>26</v>
      </c>
      <c r="L4260" t="s">
        <v>27</v>
      </c>
      <c r="M4260" t="s">
        <v>28</v>
      </c>
      <c r="N4260" t="s">
        <v>15898</v>
      </c>
      <c r="O4260" t="s">
        <v>27</v>
      </c>
      <c r="P4260" t="s">
        <v>39</v>
      </c>
      <c r="Q4260" t="s">
        <v>31</v>
      </c>
      <c r="R4260" t="s">
        <v>32</v>
      </c>
      <c r="S4260" t="s">
        <v>28</v>
      </c>
      <c r="T4260" t="s">
        <v>15899</v>
      </c>
      <c r="U4260" t="s">
        <v>15898</v>
      </c>
    </row>
    <row r="4261" spans="1:21" x14ac:dyDescent="0.25">
      <c r="A4261" t="s">
        <v>70</v>
      </c>
      <c r="B4261" t="s">
        <v>70</v>
      </c>
      <c r="C4261">
        <v>330</v>
      </c>
      <c r="D4261">
        <v>1</v>
      </c>
      <c r="E4261">
        <v>0</v>
      </c>
      <c r="F4261" t="s">
        <v>15900</v>
      </c>
      <c r="G4261">
        <v>330</v>
      </c>
      <c r="H4261">
        <v>0</v>
      </c>
      <c r="I4261" t="s">
        <v>445</v>
      </c>
      <c r="J4261" t="s">
        <v>15901</v>
      </c>
      <c r="K4261" t="s">
        <v>384</v>
      </c>
      <c r="L4261" t="s">
        <v>27</v>
      </c>
      <c r="M4261" t="s">
        <v>28</v>
      </c>
      <c r="N4261" t="s">
        <v>15902</v>
      </c>
      <c r="O4261" t="s">
        <v>27</v>
      </c>
      <c r="P4261" t="s">
        <v>39</v>
      </c>
      <c r="Q4261" t="s">
        <v>31</v>
      </c>
      <c r="R4261" t="s">
        <v>32</v>
      </c>
      <c r="S4261" t="s">
        <v>28</v>
      </c>
      <c r="T4261" t="s">
        <v>15903</v>
      </c>
      <c r="U4261" t="s">
        <v>15902</v>
      </c>
    </row>
    <row r="4262" spans="1:21" x14ac:dyDescent="0.25">
      <c r="A4262" t="s">
        <v>58</v>
      </c>
      <c r="B4262" t="s">
        <v>103</v>
      </c>
      <c r="C4262">
        <v>91.2</v>
      </c>
      <c r="D4262">
        <v>1</v>
      </c>
      <c r="E4262">
        <v>0</v>
      </c>
      <c r="F4262" t="s">
        <v>15904</v>
      </c>
      <c r="G4262">
        <v>96.2</v>
      </c>
      <c r="H4262">
        <v>5</v>
      </c>
      <c r="I4262" t="s">
        <v>105</v>
      </c>
      <c r="J4262" t="s">
        <v>15905</v>
      </c>
      <c r="K4262" t="s">
        <v>15906</v>
      </c>
      <c r="L4262" t="s">
        <v>3424</v>
      </c>
      <c r="M4262" t="s">
        <v>15907</v>
      </c>
      <c r="N4262" t="s">
        <v>15902</v>
      </c>
      <c r="O4262" t="s">
        <v>27</v>
      </c>
      <c r="P4262" t="s">
        <v>48</v>
      </c>
      <c r="Q4262" t="s">
        <v>49</v>
      </c>
      <c r="R4262" t="s">
        <v>50</v>
      </c>
      <c r="S4262" t="s">
        <v>28</v>
      </c>
      <c r="T4262" t="s">
        <v>15908</v>
      </c>
      <c r="U4262" t="s">
        <v>15909</v>
      </c>
    </row>
    <row r="4263" spans="1:21" x14ac:dyDescent="0.25">
      <c r="A4263" t="s">
        <v>15910</v>
      </c>
      <c r="B4263" t="s">
        <v>15911</v>
      </c>
      <c r="C4263">
        <v>100</v>
      </c>
      <c r="D4263">
        <v>1</v>
      </c>
      <c r="E4263">
        <v>0</v>
      </c>
      <c r="F4263" t="s">
        <v>15912</v>
      </c>
      <c r="G4263">
        <v>300</v>
      </c>
      <c r="H4263">
        <v>0</v>
      </c>
      <c r="I4263" t="s">
        <v>140</v>
      </c>
      <c r="J4263" t="s">
        <v>15913</v>
      </c>
      <c r="K4263" t="s">
        <v>350</v>
      </c>
      <c r="L4263" t="s">
        <v>27</v>
      </c>
      <c r="M4263" t="s">
        <v>28</v>
      </c>
      <c r="N4263" t="s">
        <v>15914</v>
      </c>
      <c r="O4263" t="s">
        <v>27</v>
      </c>
      <c r="P4263" t="s">
        <v>30</v>
      </c>
      <c r="Q4263" t="s">
        <v>31</v>
      </c>
      <c r="R4263" t="s">
        <v>32</v>
      </c>
      <c r="S4263" t="s">
        <v>28</v>
      </c>
      <c r="T4263" t="s">
        <v>15915</v>
      </c>
      <c r="U4263" t="s">
        <v>15914</v>
      </c>
    </row>
    <row r="4264" spans="1:21" x14ac:dyDescent="0.25">
      <c r="A4264" t="s">
        <v>15916</v>
      </c>
      <c r="B4264" t="s">
        <v>15911</v>
      </c>
      <c r="C4264">
        <v>100</v>
      </c>
      <c r="D4264">
        <v>1</v>
      </c>
      <c r="E4264">
        <v>0</v>
      </c>
      <c r="F4264" t="s">
        <v>15912</v>
      </c>
      <c r="G4264">
        <v>300</v>
      </c>
      <c r="H4264">
        <v>0</v>
      </c>
      <c r="I4264" t="s">
        <v>140</v>
      </c>
      <c r="J4264" t="s">
        <v>15913</v>
      </c>
      <c r="K4264" t="s">
        <v>350</v>
      </c>
      <c r="L4264" t="s">
        <v>27</v>
      </c>
      <c r="M4264" t="s">
        <v>28</v>
      </c>
      <c r="N4264" t="s">
        <v>15914</v>
      </c>
      <c r="O4264" t="s">
        <v>27</v>
      </c>
      <c r="P4264" t="s">
        <v>30</v>
      </c>
      <c r="Q4264" t="s">
        <v>31</v>
      </c>
      <c r="R4264" t="s">
        <v>32</v>
      </c>
      <c r="S4264" t="s">
        <v>28</v>
      </c>
      <c r="T4264" t="s">
        <v>15915</v>
      </c>
      <c r="U4264" t="s">
        <v>15914</v>
      </c>
    </row>
    <row r="4265" spans="1:21" x14ac:dyDescent="0.25">
      <c r="A4265" t="s">
        <v>15917</v>
      </c>
      <c r="B4265" t="s">
        <v>15911</v>
      </c>
      <c r="C4265">
        <v>100</v>
      </c>
      <c r="D4265">
        <v>1</v>
      </c>
      <c r="E4265">
        <v>0</v>
      </c>
      <c r="F4265" t="s">
        <v>15912</v>
      </c>
      <c r="G4265">
        <v>300</v>
      </c>
      <c r="H4265">
        <v>0</v>
      </c>
      <c r="I4265" t="s">
        <v>140</v>
      </c>
      <c r="J4265" t="s">
        <v>15913</v>
      </c>
      <c r="K4265" t="s">
        <v>350</v>
      </c>
      <c r="L4265" t="s">
        <v>27</v>
      </c>
      <c r="M4265" t="s">
        <v>28</v>
      </c>
      <c r="N4265" t="s">
        <v>15914</v>
      </c>
      <c r="O4265" t="s">
        <v>27</v>
      </c>
      <c r="P4265" t="s">
        <v>30</v>
      </c>
      <c r="Q4265" t="s">
        <v>31</v>
      </c>
      <c r="R4265" t="s">
        <v>32</v>
      </c>
      <c r="S4265" t="s">
        <v>28</v>
      </c>
      <c r="T4265" t="s">
        <v>15915</v>
      </c>
      <c r="U4265" t="s">
        <v>15914</v>
      </c>
    </row>
    <row r="4266" spans="1:21" x14ac:dyDescent="0.25">
      <c r="A4266" t="s">
        <v>134</v>
      </c>
      <c r="B4266" t="s">
        <v>64</v>
      </c>
      <c r="C4266">
        <v>100</v>
      </c>
      <c r="D4266">
        <v>1</v>
      </c>
      <c r="E4266">
        <v>0</v>
      </c>
      <c r="F4266" t="s">
        <v>15918</v>
      </c>
      <c r="G4266">
        <v>106</v>
      </c>
      <c r="H4266">
        <v>6</v>
      </c>
      <c r="I4266" t="s">
        <v>24</v>
      </c>
      <c r="J4266" t="s">
        <v>15919</v>
      </c>
      <c r="K4266" t="s">
        <v>11077</v>
      </c>
      <c r="L4266" t="s">
        <v>27</v>
      </c>
      <c r="M4266" t="s">
        <v>28</v>
      </c>
      <c r="N4266" t="s">
        <v>15920</v>
      </c>
      <c r="O4266" t="s">
        <v>27</v>
      </c>
      <c r="P4266" t="s">
        <v>39</v>
      </c>
      <c r="Q4266" t="s">
        <v>31</v>
      </c>
      <c r="R4266" t="s">
        <v>32</v>
      </c>
      <c r="S4266" t="s">
        <v>28</v>
      </c>
      <c r="T4266" t="s">
        <v>15921</v>
      </c>
      <c r="U4266" t="s">
        <v>15922</v>
      </c>
    </row>
    <row r="4267" spans="1:21" x14ac:dyDescent="0.25">
      <c r="A4267" t="s">
        <v>70</v>
      </c>
      <c r="B4267" t="s">
        <v>70</v>
      </c>
      <c r="C4267">
        <v>330</v>
      </c>
      <c r="D4267">
        <v>1</v>
      </c>
      <c r="E4267">
        <v>0</v>
      </c>
      <c r="F4267" t="s">
        <v>15923</v>
      </c>
      <c r="G4267">
        <v>330</v>
      </c>
      <c r="H4267">
        <v>0</v>
      </c>
      <c r="I4267" t="s">
        <v>24</v>
      </c>
      <c r="J4267" t="s">
        <v>15924</v>
      </c>
      <c r="K4267" t="s">
        <v>753</v>
      </c>
      <c r="L4267" t="s">
        <v>27</v>
      </c>
      <c r="M4267" t="s">
        <v>28</v>
      </c>
      <c r="N4267" t="s">
        <v>15920</v>
      </c>
      <c r="O4267" t="s">
        <v>27</v>
      </c>
      <c r="P4267" t="s">
        <v>56</v>
      </c>
      <c r="Q4267" t="s">
        <v>31</v>
      </c>
      <c r="R4267" t="s">
        <v>57</v>
      </c>
      <c r="S4267" t="s">
        <v>28</v>
      </c>
      <c r="T4267" t="s">
        <v>15925</v>
      </c>
      <c r="U4267" t="s">
        <v>15920</v>
      </c>
    </row>
    <row r="4268" spans="1:21" x14ac:dyDescent="0.25">
      <c r="A4268" t="s">
        <v>143</v>
      </c>
      <c r="B4268" t="s">
        <v>144</v>
      </c>
      <c r="C4268">
        <v>200</v>
      </c>
      <c r="D4268">
        <v>1</v>
      </c>
      <c r="E4268">
        <v>0</v>
      </c>
      <c r="F4268" t="s">
        <v>15926</v>
      </c>
      <c r="G4268">
        <v>200</v>
      </c>
      <c r="H4268">
        <v>0</v>
      </c>
      <c r="I4268" t="s">
        <v>24</v>
      </c>
      <c r="J4268" t="s">
        <v>15927</v>
      </c>
      <c r="K4268" t="s">
        <v>711</v>
      </c>
      <c r="L4268" t="s">
        <v>27</v>
      </c>
      <c r="M4268" t="s">
        <v>28</v>
      </c>
      <c r="N4268" t="s">
        <v>15928</v>
      </c>
      <c r="O4268" t="s">
        <v>27</v>
      </c>
      <c r="P4268" t="s">
        <v>39</v>
      </c>
      <c r="Q4268" t="s">
        <v>31</v>
      </c>
      <c r="R4268" t="s">
        <v>32</v>
      </c>
      <c r="S4268" t="s">
        <v>28</v>
      </c>
      <c r="T4268" t="s">
        <v>15929</v>
      </c>
      <c r="U4268" t="s">
        <v>15920</v>
      </c>
    </row>
    <row r="4269" spans="1:21" x14ac:dyDescent="0.25">
      <c r="A4269" t="s">
        <v>13290</v>
      </c>
      <c r="B4269" t="s">
        <v>13291</v>
      </c>
      <c r="C4269">
        <v>100</v>
      </c>
      <c r="D4269">
        <v>1</v>
      </c>
      <c r="E4269">
        <v>0</v>
      </c>
      <c r="F4269" t="s">
        <v>15930</v>
      </c>
      <c r="G4269">
        <v>125</v>
      </c>
      <c r="H4269">
        <v>25</v>
      </c>
      <c r="I4269" t="s">
        <v>24</v>
      </c>
      <c r="J4269" t="s">
        <v>15931</v>
      </c>
      <c r="K4269" t="s">
        <v>61</v>
      </c>
      <c r="L4269" t="s">
        <v>27</v>
      </c>
      <c r="M4269" t="s">
        <v>28</v>
      </c>
      <c r="N4269" t="s">
        <v>15932</v>
      </c>
      <c r="O4269" t="s">
        <v>27</v>
      </c>
      <c r="P4269" t="s">
        <v>39</v>
      </c>
      <c r="Q4269" t="s">
        <v>31</v>
      </c>
      <c r="R4269" t="s">
        <v>32</v>
      </c>
      <c r="S4269" t="s">
        <v>28</v>
      </c>
      <c r="T4269" t="s">
        <v>15933</v>
      </c>
      <c r="U4269" t="s">
        <v>15932</v>
      </c>
    </row>
    <row r="4270" spans="1:21" x14ac:dyDescent="0.25">
      <c r="A4270" t="s">
        <v>63</v>
      </c>
      <c r="B4270" t="s">
        <v>64</v>
      </c>
      <c r="C4270">
        <v>100</v>
      </c>
      <c r="D4270">
        <v>1</v>
      </c>
      <c r="E4270">
        <v>0</v>
      </c>
      <c r="F4270" t="s">
        <v>15934</v>
      </c>
      <c r="G4270">
        <v>200</v>
      </c>
      <c r="H4270">
        <v>0</v>
      </c>
      <c r="I4270" t="s">
        <v>445</v>
      </c>
      <c r="J4270" t="s">
        <v>15935</v>
      </c>
      <c r="K4270" t="s">
        <v>137</v>
      </c>
      <c r="L4270" t="s">
        <v>27</v>
      </c>
      <c r="M4270" t="s">
        <v>28</v>
      </c>
      <c r="N4270" t="s">
        <v>15936</v>
      </c>
      <c r="O4270" t="s">
        <v>27</v>
      </c>
      <c r="P4270" t="s">
        <v>39</v>
      </c>
      <c r="Q4270" t="s">
        <v>31</v>
      </c>
      <c r="R4270" t="s">
        <v>32</v>
      </c>
      <c r="S4270" t="s">
        <v>28</v>
      </c>
      <c r="T4270" t="s">
        <v>15937</v>
      </c>
      <c r="U4270" t="s">
        <v>15936</v>
      </c>
    </row>
    <row r="4271" spans="1:21" x14ac:dyDescent="0.25">
      <c r="A4271" t="s">
        <v>134</v>
      </c>
      <c r="B4271" t="s">
        <v>64</v>
      </c>
      <c r="C4271">
        <v>100</v>
      </c>
      <c r="D4271">
        <v>1</v>
      </c>
      <c r="E4271">
        <v>0</v>
      </c>
      <c r="F4271" t="s">
        <v>15934</v>
      </c>
      <c r="G4271">
        <v>200</v>
      </c>
      <c r="H4271">
        <v>0</v>
      </c>
      <c r="I4271" t="s">
        <v>445</v>
      </c>
      <c r="J4271" t="s">
        <v>15935</v>
      </c>
      <c r="K4271" t="s">
        <v>137</v>
      </c>
      <c r="L4271" t="s">
        <v>27</v>
      </c>
      <c r="M4271" t="s">
        <v>28</v>
      </c>
      <c r="N4271" t="s">
        <v>15936</v>
      </c>
      <c r="O4271" t="s">
        <v>27</v>
      </c>
      <c r="P4271" t="s">
        <v>39</v>
      </c>
      <c r="Q4271" t="s">
        <v>31</v>
      </c>
      <c r="R4271" t="s">
        <v>32</v>
      </c>
      <c r="S4271" t="s">
        <v>28</v>
      </c>
      <c r="T4271" t="s">
        <v>15937</v>
      </c>
      <c r="U4271" t="s">
        <v>15936</v>
      </c>
    </row>
    <row r="4272" spans="1:21" x14ac:dyDescent="0.25">
      <c r="A4272" t="s">
        <v>635</v>
      </c>
      <c r="B4272" t="s">
        <v>15938</v>
      </c>
      <c r="C4272">
        <v>783.61</v>
      </c>
      <c r="D4272">
        <v>1</v>
      </c>
      <c r="E4272">
        <v>0</v>
      </c>
      <c r="F4272" t="s">
        <v>15939</v>
      </c>
      <c r="G4272">
        <v>965.3</v>
      </c>
      <c r="H4272">
        <v>64</v>
      </c>
      <c r="I4272" t="s">
        <v>445</v>
      </c>
      <c r="J4272" t="s">
        <v>15940</v>
      </c>
      <c r="K4272" t="s">
        <v>15941</v>
      </c>
      <c r="L4272" t="s">
        <v>15942</v>
      </c>
      <c r="M4272" t="s">
        <v>15943</v>
      </c>
      <c r="N4272" t="s">
        <v>15944</v>
      </c>
      <c r="O4272" t="s">
        <v>27</v>
      </c>
      <c r="P4272" t="s">
        <v>48</v>
      </c>
      <c r="Q4272" t="s">
        <v>49</v>
      </c>
      <c r="R4272" t="s">
        <v>50</v>
      </c>
      <c r="S4272" t="s">
        <v>28</v>
      </c>
      <c r="T4272" t="s">
        <v>15945</v>
      </c>
      <c r="U4272" t="s">
        <v>15944</v>
      </c>
    </row>
    <row r="4273" spans="1:21" x14ac:dyDescent="0.25">
      <c r="A4273" t="s">
        <v>6041</v>
      </c>
      <c r="B4273" t="s">
        <v>6042</v>
      </c>
      <c r="C4273">
        <v>74.400000000000006</v>
      </c>
      <c r="D4273">
        <v>1</v>
      </c>
      <c r="E4273">
        <v>0</v>
      </c>
      <c r="F4273" t="s">
        <v>15946</v>
      </c>
      <c r="G4273">
        <v>98.4</v>
      </c>
      <c r="H4273">
        <v>24</v>
      </c>
      <c r="I4273" t="s">
        <v>24</v>
      </c>
      <c r="J4273" t="s">
        <v>15947</v>
      </c>
      <c r="K4273" t="s">
        <v>15948</v>
      </c>
      <c r="L4273" t="s">
        <v>15949</v>
      </c>
      <c r="M4273" t="s">
        <v>15950</v>
      </c>
      <c r="N4273" t="s">
        <v>15951</v>
      </c>
      <c r="O4273" t="s">
        <v>27</v>
      </c>
      <c r="P4273" t="s">
        <v>48</v>
      </c>
      <c r="Q4273" t="s">
        <v>49</v>
      </c>
      <c r="R4273" t="s">
        <v>50</v>
      </c>
      <c r="S4273" t="s">
        <v>28</v>
      </c>
      <c r="T4273" t="s">
        <v>15952</v>
      </c>
      <c r="U4273" t="s">
        <v>15951</v>
      </c>
    </row>
    <row r="4274" spans="1:21" x14ac:dyDescent="0.25">
      <c r="A4274" t="s">
        <v>143</v>
      </c>
      <c r="B4274" t="s">
        <v>144</v>
      </c>
      <c r="C4274">
        <v>200</v>
      </c>
      <c r="D4274">
        <v>1</v>
      </c>
      <c r="E4274">
        <v>0</v>
      </c>
      <c r="F4274" t="s">
        <v>15953</v>
      </c>
      <c r="G4274">
        <v>200</v>
      </c>
      <c r="H4274">
        <v>0</v>
      </c>
      <c r="I4274" t="s">
        <v>24</v>
      </c>
      <c r="J4274" t="s">
        <v>15954</v>
      </c>
      <c r="K4274" t="s">
        <v>919</v>
      </c>
      <c r="L4274" t="s">
        <v>27</v>
      </c>
      <c r="M4274" t="s">
        <v>28</v>
      </c>
      <c r="N4274" t="s">
        <v>15955</v>
      </c>
      <c r="O4274" t="s">
        <v>27</v>
      </c>
      <c r="P4274" t="s">
        <v>56</v>
      </c>
      <c r="Q4274" t="s">
        <v>31</v>
      </c>
      <c r="R4274" t="s">
        <v>57</v>
      </c>
      <c r="S4274" t="s">
        <v>28</v>
      </c>
      <c r="T4274" t="s">
        <v>15956</v>
      </c>
      <c r="U4274" t="s">
        <v>15955</v>
      </c>
    </row>
    <row r="4275" spans="1:21" x14ac:dyDescent="0.25">
      <c r="A4275" t="s">
        <v>456</v>
      </c>
      <c r="B4275" t="s">
        <v>457</v>
      </c>
      <c r="C4275">
        <v>197</v>
      </c>
      <c r="D4275">
        <v>1</v>
      </c>
      <c r="E4275">
        <v>0</v>
      </c>
      <c r="F4275" t="s">
        <v>15957</v>
      </c>
      <c r="G4275">
        <v>197</v>
      </c>
      <c r="H4275">
        <v>0</v>
      </c>
      <c r="I4275" t="s">
        <v>445</v>
      </c>
      <c r="J4275" t="s">
        <v>12468</v>
      </c>
      <c r="K4275" t="s">
        <v>15958</v>
      </c>
      <c r="L4275" t="s">
        <v>15959</v>
      </c>
      <c r="M4275" t="s">
        <v>10581</v>
      </c>
      <c r="N4275" t="s">
        <v>15960</v>
      </c>
      <c r="O4275" t="s">
        <v>27</v>
      </c>
      <c r="P4275" t="s">
        <v>193</v>
      </c>
      <c r="Q4275" t="s">
        <v>85</v>
      </c>
      <c r="R4275" t="s">
        <v>86</v>
      </c>
      <c r="S4275" t="s">
        <v>28</v>
      </c>
      <c r="T4275" t="s">
        <v>15961</v>
      </c>
      <c r="U4275" t="s">
        <v>15962</v>
      </c>
    </row>
    <row r="4276" spans="1:21" x14ac:dyDescent="0.25">
      <c r="A4276" t="s">
        <v>13290</v>
      </c>
      <c r="B4276" t="s">
        <v>13291</v>
      </c>
      <c r="C4276">
        <v>100</v>
      </c>
      <c r="D4276">
        <v>2</v>
      </c>
      <c r="E4276">
        <v>0</v>
      </c>
      <c r="F4276" t="s">
        <v>15963</v>
      </c>
      <c r="G4276">
        <v>200</v>
      </c>
      <c r="H4276">
        <v>0</v>
      </c>
      <c r="I4276" t="s">
        <v>24</v>
      </c>
      <c r="J4276" t="s">
        <v>15964</v>
      </c>
      <c r="K4276" t="s">
        <v>1038</v>
      </c>
      <c r="L4276" t="s">
        <v>27</v>
      </c>
      <c r="M4276" t="s">
        <v>28</v>
      </c>
      <c r="N4276" t="s">
        <v>15965</v>
      </c>
      <c r="O4276" t="s">
        <v>27</v>
      </c>
      <c r="P4276" t="s">
        <v>39</v>
      </c>
      <c r="Q4276" t="s">
        <v>31</v>
      </c>
      <c r="R4276" t="s">
        <v>32</v>
      </c>
      <c r="S4276" t="s">
        <v>28</v>
      </c>
      <c r="T4276" t="s">
        <v>15966</v>
      </c>
      <c r="U4276" t="s">
        <v>15965</v>
      </c>
    </row>
    <row r="4277" spans="1:21" x14ac:dyDescent="0.25">
      <c r="A4277" t="s">
        <v>76</v>
      </c>
      <c r="B4277" t="s">
        <v>77</v>
      </c>
      <c r="C4277">
        <v>199</v>
      </c>
      <c r="D4277">
        <v>2</v>
      </c>
      <c r="E4277">
        <v>0</v>
      </c>
      <c r="F4277" t="s">
        <v>15967</v>
      </c>
      <c r="G4277">
        <v>427</v>
      </c>
      <c r="H4277">
        <v>29</v>
      </c>
      <c r="I4277" t="s">
        <v>445</v>
      </c>
      <c r="J4277" t="s">
        <v>313</v>
      </c>
      <c r="K4277" t="s">
        <v>15968</v>
      </c>
      <c r="L4277" t="s">
        <v>5315</v>
      </c>
      <c r="M4277" t="s">
        <v>7491</v>
      </c>
      <c r="N4277" t="s">
        <v>15969</v>
      </c>
      <c r="O4277" t="s">
        <v>27</v>
      </c>
      <c r="P4277" t="s">
        <v>193</v>
      </c>
      <c r="Q4277" t="s">
        <v>85</v>
      </c>
      <c r="R4277" t="s">
        <v>86</v>
      </c>
      <c r="S4277" t="s">
        <v>28</v>
      </c>
      <c r="T4277" t="s">
        <v>15970</v>
      </c>
      <c r="U4277" t="s">
        <v>15971</v>
      </c>
    </row>
    <row r="4278" spans="1:21" x14ac:dyDescent="0.25">
      <c r="A4278" t="s">
        <v>2307</v>
      </c>
      <c r="B4278" t="s">
        <v>2308</v>
      </c>
      <c r="C4278">
        <v>330</v>
      </c>
      <c r="D4278">
        <v>1</v>
      </c>
      <c r="E4278">
        <v>0</v>
      </c>
      <c r="F4278" t="s">
        <v>15972</v>
      </c>
      <c r="G4278">
        <v>1830</v>
      </c>
      <c r="H4278">
        <v>0</v>
      </c>
      <c r="I4278" t="s">
        <v>140</v>
      </c>
      <c r="J4278" t="s">
        <v>15973</v>
      </c>
      <c r="K4278" t="s">
        <v>247</v>
      </c>
      <c r="L4278" t="s">
        <v>27</v>
      </c>
      <c r="M4278" t="s">
        <v>28</v>
      </c>
      <c r="N4278" t="s">
        <v>15974</v>
      </c>
      <c r="O4278" t="s">
        <v>27</v>
      </c>
      <c r="P4278" t="s">
        <v>369</v>
      </c>
      <c r="Q4278" t="s">
        <v>31</v>
      </c>
      <c r="R4278" t="s">
        <v>57</v>
      </c>
      <c r="S4278" t="s">
        <v>28</v>
      </c>
      <c r="T4278" t="s">
        <v>15975</v>
      </c>
      <c r="U4278" t="s">
        <v>15976</v>
      </c>
    </row>
    <row r="4279" spans="1:21" x14ac:dyDescent="0.25">
      <c r="A4279" t="s">
        <v>456</v>
      </c>
      <c r="B4279" t="s">
        <v>457</v>
      </c>
      <c r="C4279">
        <v>250</v>
      </c>
      <c r="D4279">
        <v>6</v>
      </c>
      <c r="E4279">
        <v>0</v>
      </c>
      <c r="F4279" t="s">
        <v>15972</v>
      </c>
      <c r="G4279">
        <v>1830</v>
      </c>
      <c r="H4279">
        <v>0</v>
      </c>
      <c r="I4279" t="s">
        <v>140</v>
      </c>
      <c r="J4279" t="s">
        <v>15973</v>
      </c>
      <c r="K4279" t="s">
        <v>247</v>
      </c>
      <c r="L4279" t="s">
        <v>27</v>
      </c>
      <c r="M4279" t="s">
        <v>28</v>
      </c>
      <c r="N4279" t="s">
        <v>15974</v>
      </c>
      <c r="O4279" t="s">
        <v>27</v>
      </c>
      <c r="P4279" t="s">
        <v>369</v>
      </c>
      <c r="Q4279" t="s">
        <v>31</v>
      </c>
      <c r="R4279" t="s">
        <v>57</v>
      </c>
      <c r="S4279" t="s">
        <v>28</v>
      </c>
      <c r="T4279" t="s">
        <v>15975</v>
      </c>
      <c r="U4279" t="s">
        <v>15976</v>
      </c>
    </row>
    <row r="4280" spans="1:21" x14ac:dyDescent="0.25">
      <c r="A4280" t="s">
        <v>2820</v>
      </c>
      <c r="B4280" t="s">
        <v>2821</v>
      </c>
      <c r="C4280">
        <v>100</v>
      </c>
      <c r="D4280">
        <v>2</v>
      </c>
      <c r="E4280">
        <v>0</v>
      </c>
      <c r="F4280" t="s">
        <v>15977</v>
      </c>
      <c r="G4280">
        <v>200</v>
      </c>
      <c r="H4280">
        <v>0</v>
      </c>
      <c r="I4280" t="s">
        <v>445</v>
      </c>
      <c r="J4280" t="s">
        <v>15978</v>
      </c>
      <c r="K4280" t="s">
        <v>237</v>
      </c>
      <c r="L4280" t="s">
        <v>27</v>
      </c>
      <c r="M4280" t="s">
        <v>28</v>
      </c>
      <c r="N4280" t="s">
        <v>15979</v>
      </c>
      <c r="O4280" t="s">
        <v>27</v>
      </c>
      <c r="P4280" t="s">
        <v>39</v>
      </c>
      <c r="Q4280" t="s">
        <v>31</v>
      </c>
      <c r="R4280" t="s">
        <v>32</v>
      </c>
      <c r="S4280" t="s">
        <v>28</v>
      </c>
      <c r="T4280" t="s">
        <v>15980</v>
      </c>
      <c r="U4280" t="s">
        <v>15979</v>
      </c>
    </row>
    <row r="4281" spans="1:21" x14ac:dyDescent="0.25">
      <c r="A4281" t="s">
        <v>143</v>
      </c>
      <c r="B4281" t="s">
        <v>144</v>
      </c>
      <c r="C4281">
        <v>200</v>
      </c>
      <c r="D4281">
        <v>1</v>
      </c>
      <c r="E4281">
        <v>0</v>
      </c>
      <c r="F4281" t="s">
        <v>15981</v>
      </c>
      <c r="G4281">
        <v>200</v>
      </c>
      <c r="H4281">
        <v>0</v>
      </c>
      <c r="I4281" t="s">
        <v>140</v>
      </c>
      <c r="J4281" t="s">
        <v>15982</v>
      </c>
      <c r="K4281" t="s">
        <v>61</v>
      </c>
      <c r="L4281" t="s">
        <v>27</v>
      </c>
      <c r="M4281" t="s">
        <v>28</v>
      </c>
      <c r="N4281" t="s">
        <v>15983</v>
      </c>
      <c r="O4281" t="s">
        <v>27</v>
      </c>
      <c r="P4281" t="s">
        <v>30</v>
      </c>
      <c r="Q4281" t="s">
        <v>31</v>
      </c>
      <c r="R4281" t="s">
        <v>32</v>
      </c>
      <c r="S4281" t="s">
        <v>28</v>
      </c>
      <c r="T4281" t="s">
        <v>15984</v>
      </c>
      <c r="U4281" t="s">
        <v>15983</v>
      </c>
    </row>
    <row r="4282" spans="1:21" x14ac:dyDescent="0.25">
      <c r="A4282" t="s">
        <v>134</v>
      </c>
      <c r="B4282" t="s">
        <v>64</v>
      </c>
      <c r="C4282">
        <v>100</v>
      </c>
      <c r="D4282">
        <v>1</v>
      </c>
      <c r="E4282">
        <v>0</v>
      </c>
      <c r="F4282" t="s">
        <v>15985</v>
      </c>
      <c r="G4282">
        <v>100</v>
      </c>
      <c r="H4282">
        <v>0</v>
      </c>
      <c r="I4282" t="s">
        <v>24</v>
      </c>
      <c r="J4282" t="s">
        <v>15986</v>
      </c>
      <c r="K4282" t="s">
        <v>372</v>
      </c>
      <c r="L4282" t="s">
        <v>27</v>
      </c>
      <c r="M4282" t="s">
        <v>28</v>
      </c>
      <c r="N4282" t="s">
        <v>15987</v>
      </c>
      <c r="O4282" t="s">
        <v>27</v>
      </c>
      <c r="P4282" t="s">
        <v>39</v>
      </c>
      <c r="Q4282" t="s">
        <v>31</v>
      </c>
      <c r="R4282" t="s">
        <v>32</v>
      </c>
      <c r="S4282" t="s">
        <v>28</v>
      </c>
      <c r="T4282" t="s">
        <v>15988</v>
      </c>
      <c r="U4282" t="s">
        <v>15987</v>
      </c>
    </row>
    <row r="4283" spans="1:21" x14ac:dyDescent="0.25">
      <c r="A4283" t="s">
        <v>134</v>
      </c>
      <c r="B4283" t="s">
        <v>64</v>
      </c>
      <c r="C4283">
        <v>100</v>
      </c>
      <c r="D4283">
        <v>1</v>
      </c>
      <c r="E4283">
        <v>0</v>
      </c>
      <c r="F4283" t="s">
        <v>15989</v>
      </c>
      <c r="G4283">
        <v>106</v>
      </c>
      <c r="H4283">
        <v>6</v>
      </c>
      <c r="I4283" t="s">
        <v>445</v>
      </c>
      <c r="J4283" t="s">
        <v>15990</v>
      </c>
      <c r="K4283" t="s">
        <v>1629</v>
      </c>
      <c r="L4283" t="s">
        <v>27</v>
      </c>
      <c r="M4283" t="s">
        <v>28</v>
      </c>
      <c r="N4283" t="s">
        <v>15987</v>
      </c>
      <c r="O4283" t="s">
        <v>27</v>
      </c>
      <c r="P4283" t="s">
        <v>39</v>
      </c>
      <c r="Q4283" t="s">
        <v>31</v>
      </c>
      <c r="R4283" t="s">
        <v>32</v>
      </c>
      <c r="S4283" t="s">
        <v>28</v>
      </c>
      <c r="T4283" t="s">
        <v>15991</v>
      </c>
      <c r="U4283" t="s">
        <v>15987</v>
      </c>
    </row>
    <row r="4284" spans="1:21" x14ac:dyDescent="0.25">
      <c r="A4284" t="s">
        <v>76</v>
      </c>
      <c r="B4284" t="s">
        <v>11207</v>
      </c>
      <c r="C4284">
        <v>217.82</v>
      </c>
      <c r="D4284">
        <v>1</v>
      </c>
      <c r="E4284">
        <v>0</v>
      </c>
      <c r="F4284" t="s">
        <v>15992</v>
      </c>
      <c r="G4284">
        <v>1287.7</v>
      </c>
      <c r="H4284">
        <v>94</v>
      </c>
      <c r="I4284" t="s">
        <v>24</v>
      </c>
      <c r="J4284" t="s">
        <v>15993</v>
      </c>
      <c r="K4284" t="s">
        <v>15994</v>
      </c>
      <c r="L4284" t="s">
        <v>15995</v>
      </c>
      <c r="M4284" t="s">
        <v>15996</v>
      </c>
      <c r="N4284" t="s">
        <v>15997</v>
      </c>
      <c r="O4284" t="s">
        <v>27</v>
      </c>
      <c r="P4284" t="s">
        <v>48</v>
      </c>
      <c r="Q4284" t="s">
        <v>49</v>
      </c>
      <c r="R4284" t="s">
        <v>50</v>
      </c>
      <c r="S4284" t="s">
        <v>28</v>
      </c>
      <c r="T4284" t="s">
        <v>15998</v>
      </c>
      <c r="U4284" t="s">
        <v>15997</v>
      </c>
    </row>
    <row r="4285" spans="1:21" x14ac:dyDescent="0.25">
      <c r="A4285" t="s">
        <v>76</v>
      </c>
      <c r="B4285" t="s">
        <v>11207</v>
      </c>
      <c r="C4285">
        <v>217.83</v>
      </c>
      <c r="D4285">
        <v>1</v>
      </c>
      <c r="E4285">
        <v>0</v>
      </c>
      <c r="F4285" t="s">
        <v>15992</v>
      </c>
      <c r="G4285">
        <v>1287.7</v>
      </c>
      <c r="H4285">
        <v>94</v>
      </c>
      <c r="I4285" t="s">
        <v>24</v>
      </c>
      <c r="J4285" t="s">
        <v>15993</v>
      </c>
      <c r="K4285" t="s">
        <v>15994</v>
      </c>
      <c r="L4285" t="s">
        <v>15995</v>
      </c>
      <c r="M4285" t="s">
        <v>15996</v>
      </c>
      <c r="N4285" t="s">
        <v>15997</v>
      </c>
      <c r="O4285" t="s">
        <v>27</v>
      </c>
      <c r="P4285" t="s">
        <v>48</v>
      </c>
      <c r="Q4285" t="s">
        <v>49</v>
      </c>
      <c r="R4285" t="s">
        <v>50</v>
      </c>
      <c r="S4285" t="s">
        <v>28</v>
      </c>
      <c r="T4285" t="s">
        <v>15998</v>
      </c>
      <c r="U4285" t="s">
        <v>15997</v>
      </c>
    </row>
    <row r="4286" spans="1:21" x14ac:dyDescent="0.25">
      <c r="A4286" t="s">
        <v>76</v>
      </c>
      <c r="B4286" t="s">
        <v>11207</v>
      </c>
      <c r="C4286">
        <v>217.83</v>
      </c>
      <c r="D4286">
        <v>1</v>
      </c>
      <c r="E4286">
        <v>0</v>
      </c>
      <c r="F4286" t="s">
        <v>15992</v>
      </c>
      <c r="G4286">
        <v>1287.7</v>
      </c>
      <c r="H4286">
        <v>94</v>
      </c>
      <c r="I4286" t="s">
        <v>24</v>
      </c>
      <c r="J4286" t="s">
        <v>15993</v>
      </c>
      <c r="K4286" t="s">
        <v>15994</v>
      </c>
      <c r="L4286" t="s">
        <v>15995</v>
      </c>
      <c r="M4286" t="s">
        <v>15996</v>
      </c>
      <c r="N4286" t="s">
        <v>15997</v>
      </c>
      <c r="O4286" t="s">
        <v>27</v>
      </c>
      <c r="P4286" t="s">
        <v>48</v>
      </c>
      <c r="Q4286" t="s">
        <v>49</v>
      </c>
      <c r="R4286" t="s">
        <v>50</v>
      </c>
      <c r="S4286" t="s">
        <v>28</v>
      </c>
      <c r="T4286" t="s">
        <v>15998</v>
      </c>
      <c r="U4286" t="s">
        <v>15997</v>
      </c>
    </row>
    <row r="4287" spans="1:21" x14ac:dyDescent="0.25">
      <c r="A4287" t="s">
        <v>261</v>
      </c>
      <c r="B4287" t="s">
        <v>1592</v>
      </c>
      <c r="C4287">
        <v>217.83</v>
      </c>
      <c r="D4287">
        <v>1</v>
      </c>
      <c r="E4287">
        <v>0</v>
      </c>
      <c r="F4287" t="s">
        <v>15992</v>
      </c>
      <c r="G4287">
        <v>1287.7</v>
      </c>
      <c r="H4287">
        <v>94</v>
      </c>
      <c r="I4287" t="s">
        <v>24</v>
      </c>
      <c r="J4287" t="s">
        <v>15993</v>
      </c>
      <c r="K4287" t="s">
        <v>15994</v>
      </c>
      <c r="L4287" t="s">
        <v>15995</v>
      </c>
      <c r="M4287" t="s">
        <v>15996</v>
      </c>
      <c r="N4287" t="s">
        <v>15997</v>
      </c>
      <c r="O4287" t="s">
        <v>27</v>
      </c>
      <c r="P4287" t="s">
        <v>48</v>
      </c>
      <c r="Q4287" t="s">
        <v>49</v>
      </c>
      <c r="R4287" t="s">
        <v>50</v>
      </c>
      <c r="S4287" t="s">
        <v>28</v>
      </c>
      <c r="T4287" t="s">
        <v>15998</v>
      </c>
      <c r="U4287" t="s">
        <v>15997</v>
      </c>
    </row>
    <row r="4288" spans="1:21" x14ac:dyDescent="0.25">
      <c r="A4288" t="s">
        <v>261</v>
      </c>
      <c r="B4288" t="s">
        <v>1592</v>
      </c>
      <c r="C4288">
        <v>217.83</v>
      </c>
      <c r="D4288">
        <v>1</v>
      </c>
      <c r="E4288">
        <v>0</v>
      </c>
      <c r="F4288" t="s">
        <v>15992</v>
      </c>
      <c r="G4288">
        <v>1287.7</v>
      </c>
      <c r="H4288">
        <v>94</v>
      </c>
      <c r="I4288" t="s">
        <v>24</v>
      </c>
      <c r="J4288" t="s">
        <v>15993</v>
      </c>
      <c r="K4288" t="s">
        <v>15994</v>
      </c>
      <c r="L4288" t="s">
        <v>15995</v>
      </c>
      <c r="M4288" t="s">
        <v>15996</v>
      </c>
      <c r="N4288" t="s">
        <v>15997</v>
      </c>
      <c r="O4288" t="s">
        <v>27</v>
      </c>
      <c r="P4288" t="s">
        <v>48</v>
      </c>
      <c r="Q4288" t="s">
        <v>49</v>
      </c>
      <c r="R4288" t="s">
        <v>50</v>
      </c>
      <c r="S4288" t="s">
        <v>28</v>
      </c>
      <c r="T4288" t="s">
        <v>15998</v>
      </c>
      <c r="U4288" t="s">
        <v>15997</v>
      </c>
    </row>
    <row r="4289" spans="1:21" x14ac:dyDescent="0.25">
      <c r="A4289" t="s">
        <v>40</v>
      </c>
      <c r="B4289" t="s">
        <v>41</v>
      </c>
      <c r="C4289">
        <v>104.56</v>
      </c>
      <c r="D4289">
        <v>1</v>
      </c>
      <c r="E4289">
        <v>0</v>
      </c>
      <c r="F4289" t="s">
        <v>15992</v>
      </c>
      <c r="G4289">
        <v>1287.7</v>
      </c>
      <c r="H4289">
        <v>94</v>
      </c>
      <c r="I4289" t="s">
        <v>24</v>
      </c>
      <c r="J4289" t="s">
        <v>15993</v>
      </c>
      <c r="K4289" t="s">
        <v>15994</v>
      </c>
      <c r="L4289" t="s">
        <v>15995</v>
      </c>
      <c r="M4289" t="s">
        <v>15996</v>
      </c>
      <c r="N4289" t="s">
        <v>15997</v>
      </c>
      <c r="O4289" t="s">
        <v>27</v>
      </c>
      <c r="P4289" t="s">
        <v>48</v>
      </c>
      <c r="Q4289" t="s">
        <v>49</v>
      </c>
      <c r="R4289" t="s">
        <v>50</v>
      </c>
      <c r="S4289" t="s">
        <v>28</v>
      </c>
      <c r="T4289" t="s">
        <v>15998</v>
      </c>
      <c r="U4289" t="s">
        <v>15997</v>
      </c>
    </row>
    <row r="4290" spans="1:21" x14ac:dyDescent="0.25">
      <c r="A4290" t="s">
        <v>63</v>
      </c>
      <c r="B4290" t="s">
        <v>64</v>
      </c>
      <c r="C4290">
        <v>100</v>
      </c>
      <c r="D4290">
        <v>1</v>
      </c>
      <c r="E4290">
        <v>0</v>
      </c>
      <c r="F4290" t="s">
        <v>15999</v>
      </c>
      <c r="G4290">
        <v>100</v>
      </c>
      <c r="H4290">
        <v>0</v>
      </c>
      <c r="I4290" t="s">
        <v>24</v>
      </c>
      <c r="J4290" t="s">
        <v>16000</v>
      </c>
      <c r="K4290" t="s">
        <v>388</v>
      </c>
      <c r="L4290" t="s">
        <v>27</v>
      </c>
      <c r="M4290" t="s">
        <v>28</v>
      </c>
      <c r="N4290" t="s">
        <v>16001</v>
      </c>
      <c r="O4290" t="s">
        <v>27</v>
      </c>
      <c r="P4290" t="s">
        <v>39</v>
      </c>
      <c r="Q4290" t="s">
        <v>31</v>
      </c>
      <c r="R4290" t="s">
        <v>32</v>
      </c>
      <c r="S4290" t="s">
        <v>28</v>
      </c>
      <c r="T4290" t="s">
        <v>16002</v>
      </c>
      <c r="U4290" t="s">
        <v>16001</v>
      </c>
    </row>
    <row r="4291" spans="1:21" x14ac:dyDescent="0.25">
      <c r="A4291" t="s">
        <v>13290</v>
      </c>
      <c r="B4291" t="s">
        <v>13291</v>
      </c>
      <c r="C4291">
        <v>100</v>
      </c>
      <c r="D4291">
        <v>2</v>
      </c>
      <c r="E4291">
        <v>0</v>
      </c>
      <c r="F4291" t="s">
        <v>16003</v>
      </c>
      <c r="G4291">
        <v>200</v>
      </c>
      <c r="H4291">
        <v>0</v>
      </c>
      <c r="I4291" t="s">
        <v>24</v>
      </c>
      <c r="J4291" t="s">
        <v>16004</v>
      </c>
      <c r="K4291" t="s">
        <v>213</v>
      </c>
      <c r="L4291" t="s">
        <v>27</v>
      </c>
      <c r="M4291" t="s">
        <v>28</v>
      </c>
      <c r="N4291" t="s">
        <v>16001</v>
      </c>
      <c r="O4291" t="s">
        <v>27</v>
      </c>
      <c r="P4291" t="s">
        <v>39</v>
      </c>
      <c r="Q4291" t="s">
        <v>31</v>
      </c>
      <c r="R4291" t="s">
        <v>32</v>
      </c>
      <c r="S4291" t="s">
        <v>28</v>
      </c>
      <c r="T4291" t="s">
        <v>16005</v>
      </c>
      <c r="U4291" t="s">
        <v>16001</v>
      </c>
    </row>
    <row r="4292" spans="1:21" x14ac:dyDescent="0.25">
      <c r="A4292" t="s">
        <v>185</v>
      </c>
      <c r="B4292" t="s">
        <v>186</v>
      </c>
      <c r="C4292">
        <v>160</v>
      </c>
      <c r="D4292">
        <v>1</v>
      </c>
      <c r="E4292">
        <v>0</v>
      </c>
      <c r="F4292" t="s">
        <v>16006</v>
      </c>
      <c r="G4292">
        <v>160</v>
      </c>
      <c r="H4292">
        <v>0</v>
      </c>
      <c r="I4292" t="s">
        <v>24</v>
      </c>
      <c r="J4292" t="s">
        <v>79</v>
      </c>
      <c r="K4292" t="s">
        <v>16007</v>
      </c>
      <c r="L4292" t="s">
        <v>16008</v>
      </c>
      <c r="M4292" t="s">
        <v>8502</v>
      </c>
      <c r="N4292" t="s">
        <v>16009</v>
      </c>
      <c r="O4292" t="s">
        <v>27</v>
      </c>
      <c r="P4292" t="s">
        <v>193</v>
      </c>
      <c r="Q4292" t="s">
        <v>85</v>
      </c>
      <c r="R4292" t="s">
        <v>86</v>
      </c>
      <c r="S4292" t="s">
        <v>28</v>
      </c>
      <c r="T4292" t="s">
        <v>16010</v>
      </c>
      <c r="U4292" t="s">
        <v>16011</v>
      </c>
    </row>
    <row r="4293" spans="1:21" x14ac:dyDescent="0.25">
      <c r="A4293" t="s">
        <v>143</v>
      </c>
      <c r="B4293" t="s">
        <v>144</v>
      </c>
      <c r="C4293">
        <v>200</v>
      </c>
      <c r="D4293">
        <v>1</v>
      </c>
      <c r="E4293">
        <v>0</v>
      </c>
      <c r="F4293" t="s">
        <v>16012</v>
      </c>
      <c r="G4293">
        <v>200</v>
      </c>
      <c r="H4293">
        <v>0</v>
      </c>
      <c r="I4293" t="s">
        <v>24</v>
      </c>
      <c r="J4293" t="s">
        <v>16013</v>
      </c>
      <c r="K4293" t="s">
        <v>753</v>
      </c>
      <c r="L4293" t="s">
        <v>27</v>
      </c>
      <c r="M4293" t="s">
        <v>28</v>
      </c>
      <c r="N4293" t="s">
        <v>16014</v>
      </c>
      <c r="O4293" t="s">
        <v>27</v>
      </c>
      <c r="P4293" t="s">
        <v>39</v>
      </c>
      <c r="Q4293" t="s">
        <v>31</v>
      </c>
      <c r="R4293" t="s">
        <v>32</v>
      </c>
      <c r="S4293" t="s">
        <v>28</v>
      </c>
      <c r="T4293" t="s">
        <v>16015</v>
      </c>
      <c r="U4293" t="s">
        <v>16014</v>
      </c>
    </row>
    <row r="4294" spans="1:21" x14ac:dyDescent="0.25">
      <c r="A4294" t="s">
        <v>456</v>
      </c>
      <c r="B4294" t="s">
        <v>457</v>
      </c>
      <c r="C4294">
        <v>199</v>
      </c>
      <c r="D4294">
        <v>1</v>
      </c>
      <c r="E4294">
        <v>0</v>
      </c>
      <c r="F4294" t="s">
        <v>16016</v>
      </c>
      <c r="G4294">
        <v>199</v>
      </c>
      <c r="H4294">
        <v>0</v>
      </c>
      <c r="I4294" t="s">
        <v>24</v>
      </c>
      <c r="J4294" t="s">
        <v>16017</v>
      </c>
      <c r="K4294" t="s">
        <v>16018</v>
      </c>
      <c r="L4294" t="s">
        <v>3290</v>
      </c>
      <c r="M4294" t="s">
        <v>1147</v>
      </c>
      <c r="N4294" t="s">
        <v>16019</v>
      </c>
      <c r="O4294" t="s">
        <v>27</v>
      </c>
      <c r="P4294" t="s">
        <v>84</v>
      </c>
      <c r="Q4294" t="s">
        <v>85</v>
      </c>
      <c r="R4294" t="s">
        <v>86</v>
      </c>
      <c r="S4294" t="s">
        <v>28</v>
      </c>
      <c r="T4294" t="s">
        <v>16020</v>
      </c>
      <c r="U4294" t="s">
        <v>16019</v>
      </c>
    </row>
    <row r="4295" spans="1:21" x14ac:dyDescent="0.25">
      <c r="A4295" t="s">
        <v>63</v>
      </c>
      <c r="B4295" t="s">
        <v>64</v>
      </c>
      <c r="C4295">
        <v>100</v>
      </c>
      <c r="D4295">
        <v>1</v>
      </c>
      <c r="E4295">
        <v>0</v>
      </c>
      <c r="F4295" t="s">
        <v>16021</v>
      </c>
      <c r="G4295">
        <v>200</v>
      </c>
      <c r="H4295">
        <v>0</v>
      </c>
      <c r="I4295" t="s">
        <v>24</v>
      </c>
      <c r="J4295" t="s">
        <v>16022</v>
      </c>
      <c r="K4295" t="s">
        <v>241</v>
      </c>
      <c r="L4295" t="s">
        <v>27</v>
      </c>
      <c r="M4295" t="s">
        <v>28</v>
      </c>
      <c r="N4295" t="s">
        <v>16023</v>
      </c>
      <c r="O4295" t="s">
        <v>27</v>
      </c>
      <c r="P4295" t="s">
        <v>56</v>
      </c>
      <c r="Q4295" t="s">
        <v>31</v>
      </c>
      <c r="R4295" t="s">
        <v>57</v>
      </c>
      <c r="S4295" t="s">
        <v>28</v>
      </c>
      <c r="T4295" t="s">
        <v>16024</v>
      </c>
      <c r="U4295" t="s">
        <v>16025</v>
      </c>
    </row>
    <row r="4296" spans="1:21" x14ac:dyDescent="0.25">
      <c r="A4296" t="s">
        <v>134</v>
      </c>
      <c r="B4296" t="s">
        <v>64</v>
      </c>
      <c r="C4296">
        <v>100</v>
      </c>
      <c r="D4296">
        <v>1</v>
      </c>
      <c r="E4296">
        <v>0</v>
      </c>
      <c r="F4296" t="s">
        <v>16021</v>
      </c>
      <c r="G4296">
        <v>200</v>
      </c>
      <c r="H4296">
        <v>0</v>
      </c>
      <c r="I4296" t="s">
        <v>24</v>
      </c>
      <c r="J4296" t="s">
        <v>16022</v>
      </c>
      <c r="K4296" t="s">
        <v>241</v>
      </c>
      <c r="L4296" t="s">
        <v>27</v>
      </c>
      <c r="M4296" t="s">
        <v>28</v>
      </c>
      <c r="N4296" t="s">
        <v>16023</v>
      </c>
      <c r="O4296" t="s">
        <v>27</v>
      </c>
      <c r="P4296" t="s">
        <v>56</v>
      </c>
      <c r="Q4296" t="s">
        <v>31</v>
      </c>
      <c r="R4296" t="s">
        <v>57</v>
      </c>
      <c r="S4296" t="s">
        <v>28</v>
      </c>
      <c r="T4296" t="s">
        <v>16024</v>
      </c>
      <c r="U4296" t="s">
        <v>16025</v>
      </c>
    </row>
    <row r="4297" spans="1:21" x14ac:dyDescent="0.25">
      <c r="A4297" t="s">
        <v>456</v>
      </c>
      <c r="B4297" t="s">
        <v>457</v>
      </c>
      <c r="C4297">
        <v>199</v>
      </c>
      <c r="D4297">
        <v>1</v>
      </c>
      <c r="E4297">
        <v>0</v>
      </c>
      <c r="F4297" t="s">
        <v>16026</v>
      </c>
      <c r="G4297">
        <v>228</v>
      </c>
      <c r="H4297">
        <v>29</v>
      </c>
      <c r="I4297" t="s">
        <v>24</v>
      </c>
      <c r="J4297" t="s">
        <v>7836</v>
      </c>
      <c r="K4297" t="s">
        <v>7873</v>
      </c>
      <c r="L4297" t="s">
        <v>7838</v>
      </c>
      <c r="M4297" t="s">
        <v>7874</v>
      </c>
      <c r="N4297" t="s">
        <v>16027</v>
      </c>
      <c r="O4297" t="s">
        <v>27</v>
      </c>
      <c r="P4297" t="s">
        <v>193</v>
      </c>
      <c r="Q4297" t="s">
        <v>85</v>
      </c>
      <c r="R4297" t="s">
        <v>86</v>
      </c>
      <c r="S4297" t="s">
        <v>28</v>
      </c>
      <c r="T4297" t="s">
        <v>16028</v>
      </c>
      <c r="U4297" t="s">
        <v>16025</v>
      </c>
    </row>
    <row r="4298" spans="1:21" x14ac:dyDescent="0.25">
      <c r="A4298" t="s">
        <v>13290</v>
      </c>
      <c r="B4298" t="s">
        <v>13291</v>
      </c>
      <c r="C4298">
        <v>100</v>
      </c>
      <c r="D4298">
        <v>2</v>
      </c>
      <c r="E4298">
        <v>0</v>
      </c>
      <c r="F4298" t="s">
        <v>16029</v>
      </c>
      <c r="G4298">
        <v>200</v>
      </c>
      <c r="H4298">
        <v>0</v>
      </c>
      <c r="I4298" t="s">
        <v>24</v>
      </c>
      <c r="J4298" t="s">
        <v>16030</v>
      </c>
      <c r="K4298" t="s">
        <v>147</v>
      </c>
      <c r="L4298" t="s">
        <v>27</v>
      </c>
      <c r="M4298" t="s">
        <v>28</v>
      </c>
      <c r="N4298" t="s">
        <v>16031</v>
      </c>
      <c r="O4298" t="s">
        <v>27</v>
      </c>
      <c r="P4298" t="s">
        <v>39</v>
      </c>
      <c r="Q4298" t="s">
        <v>31</v>
      </c>
      <c r="R4298" t="s">
        <v>32</v>
      </c>
      <c r="S4298" t="s">
        <v>28</v>
      </c>
      <c r="T4298" t="s">
        <v>16032</v>
      </c>
      <c r="U4298" t="s">
        <v>16023</v>
      </c>
    </row>
    <row r="4299" spans="1:21" x14ac:dyDescent="0.25">
      <c r="A4299" t="s">
        <v>63</v>
      </c>
      <c r="B4299" t="s">
        <v>64</v>
      </c>
      <c r="C4299">
        <v>100</v>
      </c>
      <c r="D4299">
        <v>1</v>
      </c>
      <c r="E4299">
        <v>0</v>
      </c>
      <c r="F4299" t="s">
        <v>16033</v>
      </c>
      <c r="G4299">
        <v>106</v>
      </c>
      <c r="H4299">
        <v>6</v>
      </c>
      <c r="I4299" t="s">
        <v>24</v>
      </c>
      <c r="J4299" t="s">
        <v>16034</v>
      </c>
      <c r="K4299" t="s">
        <v>4146</v>
      </c>
      <c r="L4299" t="s">
        <v>27</v>
      </c>
      <c r="M4299" t="s">
        <v>28</v>
      </c>
      <c r="N4299" t="s">
        <v>16035</v>
      </c>
      <c r="O4299" t="s">
        <v>27</v>
      </c>
      <c r="P4299" t="s">
        <v>39</v>
      </c>
      <c r="Q4299" t="s">
        <v>31</v>
      </c>
      <c r="R4299" t="s">
        <v>32</v>
      </c>
      <c r="S4299" t="s">
        <v>28</v>
      </c>
      <c r="T4299" t="s">
        <v>16036</v>
      </c>
      <c r="U4299" t="s">
        <v>16023</v>
      </c>
    </row>
    <row r="4300" spans="1:21" x14ac:dyDescent="0.25">
      <c r="A4300" t="s">
        <v>261</v>
      </c>
      <c r="B4300" t="s">
        <v>1592</v>
      </c>
      <c r="C4300">
        <v>232.5</v>
      </c>
      <c r="D4300">
        <v>1</v>
      </c>
      <c r="E4300">
        <v>0</v>
      </c>
      <c r="F4300" t="s">
        <v>16037</v>
      </c>
      <c r="G4300">
        <v>256.5</v>
      </c>
      <c r="H4300">
        <v>24</v>
      </c>
      <c r="I4300" t="s">
        <v>24</v>
      </c>
      <c r="J4300" t="s">
        <v>16038</v>
      </c>
      <c r="K4300" t="s">
        <v>16039</v>
      </c>
      <c r="L4300" t="s">
        <v>7854</v>
      </c>
      <c r="M4300" t="s">
        <v>16040</v>
      </c>
      <c r="N4300" t="s">
        <v>16023</v>
      </c>
      <c r="O4300" t="s">
        <v>27</v>
      </c>
      <c r="P4300" t="s">
        <v>48</v>
      </c>
      <c r="Q4300" t="s">
        <v>49</v>
      </c>
      <c r="R4300" t="s">
        <v>50</v>
      </c>
      <c r="S4300" t="s">
        <v>28</v>
      </c>
      <c r="T4300" t="s">
        <v>16041</v>
      </c>
      <c r="U4300" t="s">
        <v>16023</v>
      </c>
    </row>
    <row r="4301" spans="1:21" x14ac:dyDescent="0.25">
      <c r="A4301" t="s">
        <v>63</v>
      </c>
      <c r="B4301" t="s">
        <v>64</v>
      </c>
      <c r="C4301">
        <v>100</v>
      </c>
      <c r="D4301">
        <v>1</v>
      </c>
      <c r="E4301">
        <v>0</v>
      </c>
      <c r="F4301" t="s">
        <v>16042</v>
      </c>
      <c r="G4301">
        <v>106</v>
      </c>
      <c r="H4301">
        <v>6</v>
      </c>
      <c r="I4301" t="s">
        <v>24</v>
      </c>
      <c r="J4301" t="s">
        <v>16043</v>
      </c>
      <c r="K4301" t="s">
        <v>37</v>
      </c>
      <c r="L4301" t="s">
        <v>27</v>
      </c>
      <c r="M4301" t="s">
        <v>28</v>
      </c>
      <c r="N4301" t="s">
        <v>16044</v>
      </c>
      <c r="O4301" t="s">
        <v>27</v>
      </c>
      <c r="P4301" t="s">
        <v>39</v>
      </c>
      <c r="Q4301" t="s">
        <v>31</v>
      </c>
      <c r="R4301" t="s">
        <v>32</v>
      </c>
      <c r="S4301" t="s">
        <v>28</v>
      </c>
      <c r="T4301" t="s">
        <v>16045</v>
      </c>
      <c r="U4301" t="s">
        <v>16035</v>
      </c>
    </row>
    <row r="4302" spans="1:21" x14ac:dyDescent="0.25">
      <c r="A4302" t="s">
        <v>635</v>
      </c>
      <c r="B4302" t="s">
        <v>636</v>
      </c>
      <c r="C4302">
        <v>800</v>
      </c>
      <c r="D4302">
        <v>2</v>
      </c>
      <c r="E4302">
        <v>0</v>
      </c>
      <c r="F4302" t="s">
        <v>16046</v>
      </c>
      <c r="G4302">
        <v>1675</v>
      </c>
      <c r="H4302">
        <v>75</v>
      </c>
      <c r="I4302" t="s">
        <v>24</v>
      </c>
      <c r="J4302" t="s">
        <v>2408</v>
      </c>
      <c r="K4302" t="s">
        <v>16047</v>
      </c>
      <c r="L4302" t="s">
        <v>1437</v>
      </c>
      <c r="M4302" t="s">
        <v>6718</v>
      </c>
      <c r="N4302" t="s">
        <v>16009</v>
      </c>
      <c r="O4302" t="s">
        <v>27</v>
      </c>
      <c r="P4302" t="s">
        <v>193</v>
      </c>
      <c r="Q4302" t="s">
        <v>85</v>
      </c>
      <c r="R4302" t="s">
        <v>86</v>
      </c>
      <c r="S4302" t="s">
        <v>28</v>
      </c>
      <c r="T4302" t="s">
        <v>16048</v>
      </c>
      <c r="U4302" t="s">
        <v>16049</v>
      </c>
    </row>
    <row r="4303" spans="1:21" x14ac:dyDescent="0.25">
      <c r="A4303" t="s">
        <v>13290</v>
      </c>
      <c r="B4303" t="s">
        <v>13291</v>
      </c>
      <c r="C4303">
        <v>100</v>
      </c>
      <c r="D4303">
        <v>1</v>
      </c>
      <c r="E4303">
        <v>0</v>
      </c>
      <c r="F4303" t="s">
        <v>16050</v>
      </c>
      <c r="G4303">
        <v>125</v>
      </c>
      <c r="H4303">
        <v>25</v>
      </c>
      <c r="I4303" t="s">
        <v>24</v>
      </c>
      <c r="J4303" t="s">
        <v>16051</v>
      </c>
      <c r="K4303" t="s">
        <v>209</v>
      </c>
      <c r="L4303" t="s">
        <v>27</v>
      </c>
      <c r="M4303" t="s">
        <v>28</v>
      </c>
      <c r="N4303" t="s">
        <v>16052</v>
      </c>
      <c r="O4303" t="s">
        <v>27</v>
      </c>
      <c r="P4303" t="s">
        <v>39</v>
      </c>
      <c r="Q4303" t="s">
        <v>31</v>
      </c>
      <c r="R4303" t="s">
        <v>32</v>
      </c>
      <c r="S4303" t="s">
        <v>28</v>
      </c>
      <c r="T4303" t="s">
        <v>16053</v>
      </c>
      <c r="U4303" t="s">
        <v>16052</v>
      </c>
    </row>
    <row r="4304" spans="1:21" x14ac:dyDescent="0.25">
      <c r="A4304" t="s">
        <v>456</v>
      </c>
      <c r="B4304" t="s">
        <v>457</v>
      </c>
      <c r="C4304">
        <v>199</v>
      </c>
      <c r="D4304">
        <v>1</v>
      </c>
      <c r="E4304">
        <v>0</v>
      </c>
      <c r="F4304" t="s">
        <v>16054</v>
      </c>
      <c r="G4304">
        <v>228</v>
      </c>
      <c r="H4304">
        <v>29</v>
      </c>
      <c r="I4304" t="s">
        <v>24</v>
      </c>
      <c r="J4304" t="s">
        <v>7836</v>
      </c>
      <c r="K4304" t="s">
        <v>7873</v>
      </c>
      <c r="L4304" t="s">
        <v>7838</v>
      </c>
      <c r="M4304" t="s">
        <v>7874</v>
      </c>
      <c r="N4304" t="s">
        <v>16023</v>
      </c>
      <c r="O4304" t="s">
        <v>27</v>
      </c>
      <c r="P4304" t="s">
        <v>193</v>
      </c>
      <c r="Q4304" t="s">
        <v>85</v>
      </c>
      <c r="R4304" t="s">
        <v>86</v>
      </c>
      <c r="S4304" t="s">
        <v>28</v>
      </c>
      <c r="T4304" t="s">
        <v>16055</v>
      </c>
      <c r="U4304" t="s">
        <v>16056</v>
      </c>
    </row>
    <row r="4305" spans="1:21" x14ac:dyDescent="0.25">
      <c r="A4305" t="s">
        <v>63</v>
      </c>
      <c r="B4305" t="s">
        <v>64</v>
      </c>
      <c r="C4305">
        <v>100</v>
      </c>
      <c r="D4305">
        <v>1</v>
      </c>
      <c r="E4305">
        <v>0</v>
      </c>
      <c r="F4305" t="s">
        <v>16057</v>
      </c>
      <c r="G4305">
        <v>100</v>
      </c>
      <c r="H4305">
        <v>0</v>
      </c>
      <c r="I4305" t="s">
        <v>24</v>
      </c>
      <c r="J4305" t="s">
        <v>16058</v>
      </c>
      <c r="K4305" t="s">
        <v>491</v>
      </c>
      <c r="L4305" t="s">
        <v>27</v>
      </c>
      <c r="M4305" t="s">
        <v>28</v>
      </c>
      <c r="N4305" t="s">
        <v>16059</v>
      </c>
      <c r="O4305" t="s">
        <v>27</v>
      </c>
      <c r="P4305" t="s">
        <v>56</v>
      </c>
      <c r="Q4305" t="s">
        <v>31</v>
      </c>
      <c r="R4305" t="s">
        <v>57</v>
      </c>
      <c r="S4305" t="s">
        <v>28</v>
      </c>
      <c r="T4305" t="s">
        <v>16060</v>
      </c>
      <c r="U4305" t="s">
        <v>16061</v>
      </c>
    </row>
    <row r="4306" spans="1:21" x14ac:dyDescent="0.25">
      <c r="A4306" t="s">
        <v>143</v>
      </c>
      <c r="B4306" t="s">
        <v>144</v>
      </c>
      <c r="C4306">
        <v>200</v>
      </c>
      <c r="D4306">
        <v>1</v>
      </c>
      <c r="E4306">
        <v>0</v>
      </c>
      <c r="F4306" t="s">
        <v>16062</v>
      </c>
      <c r="G4306">
        <v>200</v>
      </c>
      <c r="H4306">
        <v>0</v>
      </c>
      <c r="I4306" t="s">
        <v>24</v>
      </c>
      <c r="J4306" t="s">
        <v>11027</v>
      </c>
      <c r="K4306" t="s">
        <v>1797</v>
      </c>
      <c r="L4306" t="s">
        <v>27</v>
      </c>
      <c r="M4306" t="s">
        <v>28</v>
      </c>
      <c r="N4306" t="s">
        <v>16063</v>
      </c>
      <c r="O4306" t="s">
        <v>27</v>
      </c>
      <c r="P4306" t="s">
        <v>39</v>
      </c>
      <c r="Q4306" t="s">
        <v>31</v>
      </c>
      <c r="R4306" t="s">
        <v>32</v>
      </c>
      <c r="S4306" t="s">
        <v>28</v>
      </c>
      <c r="T4306" t="s">
        <v>16064</v>
      </c>
      <c r="U4306" t="s">
        <v>16063</v>
      </c>
    </row>
    <row r="4307" spans="1:21" x14ac:dyDescent="0.25">
      <c r="A4307" t="s">
        <v>40</v>
      </c>
      <c r="B4307" t="s">
        <v>41</v>
      </c>
      <c r="C4307">
        <v>105.8</v>
      </c>
      <c r="D4307">
        <v>1</v>
      </c>
      <c r="E4307">
        <v>0</v>
      </c>
      <c r="F4307" t="s">
        <v>16065</v>
      </c>
      <c r="G4307">
        <v>110.8</v>
      </c>
      <c r="H4307">
        <v>5</v>
      </c>
      <c r="I4307" t="s">
        <v>24</v>
      </c>
      <c r="J4307" t="s">
        <v>2850</v>
      </c>
      <c r="K4307" t="s">
        <v>2851</v>
      </c>
      <c r="L4307" t="s">
        <v>190</v>
      </c>
      <c r="M4307" t="s">
        <v>2852</v>
      </c>
      <c r="N4307" t="s">
        <v>16066</v>
      </c>
      <c r="O4307" t="s">
        <v>27</v>
      </c>
      <c r="P4307" t="s">
        <v>48</v>
      </c>
      <c r="Q4307" t="s">
        <v>49</v>
      </c>
      <c r="R4307" t="s">
        <v>50</v>
      </c>
      <c r="S4307" t="s">
        <v>28</v>
      </c>
      <c r="T4307" t="s">
        <v>16067</v>
      </c>
      <c r="U4307" t="s">
        <v>16066</v>
      </c>
    </row>
    <row r="4308" spans="1:21" x14ac:dyDescent="0.25">
      <c r="A4308" t="s">
        <v>63</v>
      </c>
      <c r="B4308" t="s">
        <v>64</v>
      </c>
      <c r="C4308">
        <v>100</v>
      </c>
      <c r="D4308">
        <v>1</v>
      </c>
      <c r="E4308">
        <v>0</v>
      </c>
      <c r="F4308" t="s">
        <v>16068</v>
      </c>
      <c r="G4308">
        <v>100</v>
      </c>
      <c r="H4308">
        <v>0</v>
      </c>
      <c r="I4308" t="s">
        <v>24</v>
      </c>
      <c r="J4308" t="s">
        <v>16069</v>
      </c>
      <c r="K4308" t="s">
        <v>213</v>
      </c>
      <c r="L4308" t="s">
        <v>27</v>
      </c>
      <c r="M4308" t="s">
        <v>28</v>
      </c>
      <c r="N4308" t="s">
        <v>16070</v>
      </c>
      <c r="O4308" t="s">
        <v>27</v>
      </c>
      <c r="P4308" t="s">
        <v>39</v>
      </c>
      <c r="Q4308" t="s">
        <v>31</v>
      </c>
      <c r="R4308" t="s">
        <v>32</v>
      </c>
      <c r="S4308" t="s">
        <v>28</v>
      </c>
      <c r="T4308" t="s">
        <v>16071</v>
      </c>
      <c r="U4308" t="s">
        <v>16070</v>
      </c>
    </row>
    <row r="4309" spans="1:21" x14ac:dyDescent="0.25">
      <c r="A4309" t="s">
        <v>134</v>
      </c>
      <c r="B4309" t="s">
        <v>64</v>
      </c>
      <c r="C4309">
        <v>100</v>
      </c>
      <c r="D4309">
        <v>1</v>
      </c>
      <c r="E4309">
        <v>0</v>
      </c>
      <c r="F4309" t="s">
        <v>16072</v>
      </c>
      <c r="G4309">
        <v>106</v>
      </c>
      <c r="H4309">
        <v>6</v>
      </c>
      <c r="I4309" t="s">
        <v>445</v>
      </c>
      <c r="J4309" t="s">
        <v>16073</v>
      </c>
      <c r="K4309" t="s">
        <v>67</v>
      </c>
      <c r="L4309" t="s">
        <v>27</v>
      </c>
      <c r="M4309" t="s">
        <v>28</v>
      </c>
      <c r="N4309" t="s">
        <v>16074</v>
      </c>
      <c r="O4309" t="s">
        <v>27</v>
      </c>
      <c r="P4309" t="s">
        <v>39</v>
      </c>
      <c r="Q4309" t="s">
        <v>31</v>
      </c>
      <c r="R4309" t="s">
        <v>32</v>
      </c>
      <c r="S4309" t="s">
        <v>28</v>
      </c>
      <c r="T4309" t="s">
        <v>16075</v>
      </c>
      <c r="U4309" t="s">
        <v>16074</v>
      </c>
    </row>
    <row r="4310" spans="1:21" x14ac:dyDescent="0.25">
      <c r="A4310" t="s">
        <v>214</v>
      </c>
      <c r="B4310" t="s">
        <v>215</v>
      </c>
      <c r="C4310">
        <v>74.400000000000006</v>
      </c>
      <c r="D4310">
        <v>1</v>
      </c>
      <c r="E4310">
        <v>0</v>
      </c>
      <c r="F4310" t="s">
        <v>16076</v>
      </c>
      <c r="G4310">
        <v>98.4</v>
      </c>
      <c r="H4310">
        <v>24</v>
      </c>
      <c r="I4310" t="s">
        <v>24</v>
      </c>
      <c r="J4310" t="s">
        <v>16077</v>
      </c>
      <c r="K4310" t="s">
        <v>16078</v>
      </c>
      <c r="L4310" t="s">
        <v>640</v>
      </c>
      <c r="M4310" t="s">
        <v>16079</v>
      </c>
      <c r="N4310" t="s">
        <v>16080</v>
      </c>
      <c r="O4310" t="s">
        <v>27</v>
      </c>
      <c r="P4310" t="s">
        <v>48</v>
      </c>
      <c r="Q4310" t="s">
        <v>49</v>
      </c>
      <c r="R4310" t="s">
        <v>50</v>
      </c>
      <c r="S4310" t="s">
        <v>28</v>
      </c>
      <c r="T4310" t="s">
        <v>16081</v>
      </c>
      <c r="U4310" t="s">
        <v>16080</v>
      </c>
    </row>
    <row r="4311" spans="1:21" x14ac:dyDescent="0.25">
      <c r="A4311" t="s">
        <v>63</v>
      </c>
      <c r="B4311" t="s">
        <v>64</v>
      </c>
      <c r="C4311">
        <v>100</v>
      </c>
      <c r="D4311">
        <v>1</v>
      </c>
      <c r="E4311">
        <v>0</v>
      </c>
      <c r="F4311" t="s">
        <v>16082</v>
      </c>
      <c r="G4311">
        <v>100</v>
      </c>
      <c r="H4311">
        <v>0</v>
      </c>
      <c r="I4311" t="s">
        <v>24</v>
      </c>
      <c r="J4311" t="s">
        <v>16083</v>
      </c>
      <c r="K4311" t="s">
        <v>960</v>
      </c>
      <c r="L4311" t="s">
        <v>27</v>
      </c>
      <c r="M4311" t="s">
        <v>28</v>
      </c>
      <c r="N4311" t="s">
        <v>16084</v>
      </c>
      <c r="O4311" t="s">
        <v>27</v>
      </c>
      <c r="P4311" t="s">
        <v>39</v>
      </c>
      <c r="Q4311" t="s">
        <v>31</v>
      </c>
      <c r="R4311" t="s">
        <v>32</v>
      </c>
      <c r="S4311" t="s">
        <v>28</v>
      </c>
      <c r="T4311" t="s">
        <v>16085</v>
      </c>
      <c r="U4311" t="s">
        <v>16084</v>
      </c>
    </row>
    <row r="4312" spans="1:21" x14ac:dyDescent="0.25">
      <c r="A4312" t="s">
        <v>63</v>
      </c>
      <c r="B4312" t="s">
        <v>64</v>
      </c>
      <c r="C4312">
        <v>100</v>
      </c>
      <c r="D4312">
        <v>1</v>
      </c>
      <c r="E4312">
        <v>0</v>
      </c>
      <c r="F4312" t="s">
        <v>16086</v>
      </c>
      <c r="G4312">
        <v>106</v>
      </c>
      <c r="H4312">
        <v>6</v>
      </c>
      <c r="I4312" t="s">
        <v>24</v>
      </c>
      <c r="J4312" t="s">
        <v>16087</v>
      </c>
      <c r="K4312" t="s">
        <v>273</v>
      </c>
      <c r="L4312" t="s">
        <v>27</v>
      </c>
      <c r="M4312" t="s">
        <v>28</v>
      </c>
      <c r="N4312" t="s">
        <v>16088</v>
      </c>
      <c r="O4312" t="s">
        <v>27</v>
      </c>
      <c r="P4312" t="s">
        <v>39</v>
      </c>
      <c r="Q4312" t="s">
        <v>31</v>
      </c>
      <c r="R4312" t="s">
        <v>32</v>
      </c>
      <c r="S4312" t="s">
        <v>28</v>
      </c>
      <c r="T4312" t="s">
        <v>16089</v>
      </c>
      <c r="U4312" t="s">
        <v>16090</v>
      </c>
    </row>
    <row r="4313" spans="1:21" x14ac:dyDescent="0.25">
      <c r="A4313" t="s">
        <v>63</v>
      </c>
      <c r="B4313" t="s">
        <v>64</v>
      </c>
      <c r="C4313">
        <v>100</v>
      </c>
      <c r="D4313">
        <v>1</v>
      </c>
      <c r="E4313">
        <v>0</v>
      </c>
      <c r="F4313" t="s">
        <v>16091</v>
      </c>
      <c r="G4313">
        <v>106</v>
      </c>
      <c r="H4313">
        <v>6</v>
      </c>
      <c r="I4313" t="s">
        <v>445</v>
      </c>
      <c r="J4313" t="s">
        <v>16092</v>
      </c>
      <c r="K4313" t="s">
        <v>147</v>
      </c>
      <c r="L4313" t="s">
        <v>27</v>
      </c>
      <c r="M4313" t="s">
        <v>28</v>
      </c>
      <c r="N4313" t="s">
        <v>16093</v>
      </c>
      <c r="O4313" t="s">
        <v>27</v>
      </c>
      <c r="P4313" t="s">
        <v>56</v>
      </c>
      <c r="Q4313" t="s">
        <v>31</v>
      </c>
      <c r="R4313" t="s">
        <v>57</v>
      </c>
      <c r="S4313" t="s">
        <v>28</v>
      </c>
      <c r="T4313" t="s">
        <v>16094</v>
      </c>
      <c r="U4313" t="s">
        <v>16095</v>
      </c>
    </row>
    <row r="4314" spans="1:21" x14ac:dyDescent="0.25">
      <c r="A4314" t="s">
        <v>70</v>
      </c>
      <c r="B4314" t="s">
        <v>70</v>
      </c>
      <c r="C4314">
        <v>350</v>
      </c>
      <c r="D4314">
        <v>1</v>
      </c>
      <c r="E4314">
        <v>0</v>
      </c>
      <c r="F4314" t="s">
        <v>16096</v>
      </c>
      <c r="G4314">
        <v>350</v>
      </c>
      <c r="H4314">
        <v>0</v>
      </c>
      <c r="I4314" t="s">
        <v>140</v>
      </c>
      <c r="J4314" t="s">
        <v>8326</v>
      </c>
      <c r="K4314" t="s">
        <v>250</v>
      </c>
      <c r="L4314" t="s">
        <v>27</v>
      </c>
      <c r="M4314" t="s">
        <v>28</v>
      </c>
      <c r="N4314" t="s">
        <v>16097</v>
      </c>
      <c r="O4314" t="s">
        <v>27</v>
      </c>
      <c r="P4314" t="s">
        <v>30</v>
      </c>
      <c r="Q4314" t="s">
        <v>31</v>
      </c>
      <c r="R4314" t="s">
        <v>32</v>
      </c>
      <c r="S4314" t="s">
        <v>28</v>
      </c>
      <c r="T4314" t="s">
        <v>16098</v>
      </c>
      <c r="U4314" t="s">
        <v>16097</v>
      </c>
    </row>
    <row r="4315" spans="1:21" x14ac:dyDescent="0.25">
      <c r="A4315" t="s">
        <v>70</v>
      </c>
      <c r="B4315" t="s">
        <v>70</v>
      </c>
      <c r="C4315">
        <v>350</v>
      </c>
      <c r="D4315">
        <v>1</v>
      </c>
      <c r="E4315">
        <v>0</v>
      </c>
      <c r="F4315" t="s">
        <v>16099</v>
      </c>
      <c r="G4315">
        <v>350</v>
      </c>
      <c r="H4315">
        <v>0</v>
      </c>
      <c r="I4315" t="s">
        <v>140</v>
      </c>
      <c r="J4315" t="s">
        <v>16100</v>
      </c>
      <c r="K4315" t="s">
        <v>273</v>
      </c>
      <c r="L4315" t="s">
        <v>27</v>
      </c>
      <c r="M4315" t="s">
        <v>28</v>
      </c>
      <c r="N4315" t="s">
        <v>16101</v>
      </c>
      <c r="O4315" t="s">
        <v>27</v>
      </c>
      <c r="P4315" t="s">
        <v>30</v>
      </c>
      <c r="Q4315" t="s">
        <v>31</v>
      </c>
      <c r="R4315" t="s">
        <v>32</v>
      </c>
      <c r="S4315" t="s">
        <v>28</v>
      </c>
      <c r="T4315" t="s">
        <v>16102</v>
      </c>
      <c r="U4315" t="s">
        <v>16101</v>
      </c>
    </row>
    <row r="4316" spans="1:21" x14ac:dyDescent="0.25">
      <c r="A4316" t="s">
        <v>63</v>
      </c>
      <c r="B4316" t="s">
        <v>64</v>
      </c>
      <c r="C4316">
        <v>100</v>
      </c>
      <c r="D4316">
        <v>1</v>
      </c>
      <c r="E4316">
        <v>0</v>
      </c>
      <c r="F4316" t="s">
        <v>16103</v>
      </c>
      <c r="G4316">
        <v>106</v>
      </c>
      <c r="H4316">
        <v>6</v>
      </c>
      <c r="I4316" t="s">
        <v>140</v>
      </c>
      <c r="J4316" t="s">
        <v>16104</v>
      </c>
      <c r="K4316" t="s">
        <v>285</v>
      </c>
      <c r="L4316" t="s">
        <v>27</v>
      </c>
      <c r="M4316" t="s">
        <v>28</v>
      </c>
      <c r="N4316" t="s">
        <v>16105</v>
      </c>
      <c r="O4316" t="s">
        <v>27</v>
      </c>
      <c r="P4316" t="s">
        <v>30</v>
      </c>
      <c r="Q4316" t="s">
        <v>31</v>
      </c>
      <c r="R4316" t="s">
        <v>32</v>
      </c>
      <c r="S4316" t="s">
        <v>28</v>
      </c>
      <c r="T4316" t="s">
        <v>16106</v>
      </c>
      <c r="U4316" t="s">
        <v>16105</v>
      </c>
    </row>
    <row r="4317" spans="1:21" x14ac:dyDescent="0.25">
      <c r="A4317" t="s">
        <v>63</v>
      </c>
      <c r="B4317" t="s">
        <v>64</v>
      </c>
      <c r="C4317">
        <v>100</v>
      </c>
      <c r="D4317">
        <v>1</v>
      </c>
      <c r="E4317">
        <v>0</v>
      </c>
      <c r="F4317" t="s">
        <v>16107</v>
      </c>
      <c r="G4317">
        <v>106</v>
      </c>
      <c r="H4317">
        <v>6</v>
      </c>
      <c r="I4317" t="s">
        <v>24</v>
      </c>
      <c r="J4317" t="s">
        <v>4712</v>
      </c>
      <c r="K4317" t="s">
        <v>250</v>
      </c>
      <c r="L4317" t="s">
        <v>27</v>
      </c>
      <c r="M4317" t="s">
        <v>28</v>
      </c>
      <c r="N4317" t="s">
        <v>16108</v>
      </c>
      <c r="O4317" t="s">
        <v>27</v>
      </c>
      <c r="P4317" t="s">
        <v>39</v>
      </c>
      <c r="Q4317" t="s">
        <v>31</v>
      </c>
      <c r="R4317" t="s">
        <v>32</v>
      </c>
      <c r="S4317" t="s">
        <v>28</v>
      </c>
      <c r="T4317" t="s">
        <v>16109</v>
      </c>
      <c r="U4317" t="s">
        <v>16108</v>
      </c>
    </row>
    <row r="4318" spans="1:21" x14ac:dyDescent="0.25">
      <c r="A4318" t="s">
        <v>1513</v>
      </c>
      <c r="B4318" t="s">
        <v>1514</v>
      </c>
      <c r="C4318">
        <v>330</v>
      </c>
      <c r="D4318">
        <v>1</v>
      </c>
      <c r="E4318">
        <v>0</v>
      </c>
      <c r="F4318" t="s">
        <v>16110</v>
      </c>
      <c r="G4318">
        <v>330</v>
      </c>
      <c r="H4318">
        <v>0</v>
      </c>
      <c r="I4318" t="s">
        <v>140</v>
      </c>
      <c r="J4318" t="s">
        <v>11265</v>
      </c>
      <c r="K4318" t="s">
        <v>451</v>
      </c>
      <c r="L4318" t="s">
        <v>27</v>
      </c>
      <c r="M4318" t="s">
        <v>28</v>
      </c>
      <c r="N4318" t="s">
        <v>16111</v>
      </c>
      <c r="O4318" t="s">
        <v>27</v>
      </c>
      <c r="P4318" t="s">
        <v>30</v>
      </c>
      <c r="Q4318" t="s">
        <v>31</v>
      </c>
      <c r="R4318" t="s">
        <v>32</v>
      </c>
      <c r="S4318" t="s">
        <v>28</v>
      </c>
      <c r="T4318" t="s">
        <v>16112</v>
      </c>
      <c r="U4318" t="s">
        <v>16111</v>
      </c>
    </row>
    <row r="4319" spans="1:21" x14ac:dyDescent="0.25">
      <c r="A4319" t="s">
        <v>143</v>
      </c>
      <c r="B4319" t="s">
        <v>144</v>
      </c>
      <c r="C4319">
        <v>200</v>
      </c>
      <c r="D4319">
        <v>1</v>
      </c>
      <c r="E4319">
        <v>0</v>
      </c>
      <c r="F4319" t="s">
        <v>16113</v>
      </c>
      <c r="G4319">
        <v>200</v>
      </c>
      <c r="H4319">
        <v>0</v>
      </c>
      <c r="I4319" t="s">
        <v>445</v>
      </c>
      <c r="J4319" t="s">
        <v>16114</v>
      </c>
      <c r="K4319" t="s">
        <v>1038</v>
      </c>
      <c r="L4319" t="s">
        <v>27</v>
      </c>
      <c r="M4319" t="s">
        <v>28</v>
      </c>
      <c r="N4319" t="s">
        <v>16115</v>
      </c>
      <c r="O4319" t="s">
        <v>27</v>
      </c>
      <c r="P4319" t="s">
        <v>39</v>
      </c>
      <c r="Q4319" t="s">
        <v>31</v>
      </c>
      <c r="R4319" t="s">
        <v>32</v>
      </c>
      <c r="S4319" t="s">
        <v>28</v>
      </c>
      <c r="T4319" t="s">
        <v>16116</v>
      </c>
      <c r="U4319" t="s">
        <v>16115</v>
      </c>
    </row>
    <row r="4320" spans="1:21" x14ac:dyDescent="0.25">
      <c r="A4320" t="s">
        <v>63</v>
      </c>
      <c r="B4320" t="s">
        <v>64</v>
      </c>
      <c r="C4320">
        <v>100</v>
      </c>
      <c r="D4320">
        <v>1</v>
      </c>
      <c r="E4320">
        <v>0</v>
      </c>
      <c r="F4320" t="s">
        <v>16117</v>
      </c>
      <c r="G4320">
        <v>100</v>
      </c>
      <c r="H4320">
        <v>0</v>
      </c>
      <c r="I4320" t="s">
        <v>24</v>
      </c>
      <c r="J4320" t="s">
        <v>16118</v>
      </c>
      <c r="K4320" t="s">
        <v>2243</v>
      </c>
      <c r="L4320" t="s">
        <v>27</v>
      </c>
      <c r="M4320" t="s">
        <v>28</v>
      </c>
      <c r="N4320" t="s">
        <v>16119</v>
      </c>
      <c r="O4320" t="s">
        <v>27</v>
      </c>
      <c r="P4320" t="s">
        <v>56</v>
      </c>
      <c r="Q4320" t="s">
        <v>31</v>
      </c>
      <c r="R4320" t="s">
        <v>57</v>
      </c>
      <c r="S4320" t="s">
        <v>28</v>
      </c>
      <c r="T4320" t="s">
        <v>16120</v>
      </c>
      <c r="U4320" t="s">
        <v>16119</v>
      </c>
    </row>
    <row r="4321" spans="1:21" x14ac:dyDescent="0.25">
      <c r="A4321" t="s">
        <v>63</v>
      </c>
      <c r="B4321" t="s">
        <v>64</v>
      </c>
      <c r="C4321">
        <v>100</v>
      </c>
      <c r="D4321">
        <v>3</v>
      </c>
      <c r="E4321">
        <v>0</v>
      </c>
      <c r="F4321" t="s">
        <v>16121</v>
      </c>
      <c r="G4321">
        <v>300</v>
      </c>
      <c r="H4321">
        <v>0</v>
      </c>
      <c r="I4321" t="s">
        <v>24</v>
      </c>
      <c r="J4321" t="s">
        <v>16122</v>
      </c>
      <c r="K4321" t="s">
        <v>16123</v>
      </c>
      <c r="L4321" t="s">
        <v>27</v>
      </c>
      <c r="M4321" t="s">
        <v>28</v>
      </c>
      <c r="N4321" t="s">
        <v>16124</v>
      </c>
      <c r="O4321" t="s">
        <v>27</v>
      </c>
      <c r="P4321" t="s">
        <v>39</v>
      </c>
      <c r="Q4321" t="s">
        <v>31</v>
      </c>
      <c r="R4321" t="s">
        <v>32</v>
      </c>
      <c r="S4321" t="s">
        <v>28</v>
      </c>
      <c r="T4321" t="s">
        <v>16125</v>
      </c>
      <c r="U4321" t="s">
        <v>16124</v>
      </c>
    </row>
    <row r="4322" spans="1:21" x14ac:dyDescent="0.25">
      <c r="A4322" t="s">
        <v>70</v>
      </c>
      <c r="B4322" t="s">
        <v>70</v>
      </c>
      <c r="C4322">
        <v>330</v>
      </c>
      <c r="D4322">
        <v>1</v>
      </c>
      <c r="E4322">
        <v>0</v>
      </c>
      <c r="F4322" t="s">
        <v>16126</v>
      </c>
      <c r="G4322">
        <v>330</v>
      </c>
      <c r="H4322">
        <v>0</v>
      </c>
      <c r="I4322" t="s">
        <v>445</v>
      </c>
      <c r="J4322" t="s">
        <v>16127</v>
      </c>
      <c r="K4322" t="s">
        <v>653</v>
      </c>
      <c r="L4322" t="s">
        <v>27</v>
      </c>
      <c r="M4322" t="s">
        <v>28</v>
      </c>
      <c r="N4322" t="s">
        <v>16128</v>
      </c>
      <c r="O4322" t="s">
        <v>27</v>
      </c>
      <c r="P4322" t="s">
        <v>39</v>
      </c>
      <c r="Q4322" t="s">
        <v>31</v>
      </c>
      <c r="R4322" t="s">
        <v>32</v>
      </c>
      <c r="S4322" t="s">
        <v>28</v>
      </c>
      <c r="T4322" t="s">
        <v>16129</v>
      </c>
      <c r="U4322" t="s">
        <v>16128</v>
      </c>
    </row>
    <row r="4323" spans="1:21" x14ac:dyDescent="0.25">
      <c r="A4323" t="s">
        <v>13290</v>
      </c>
      <c r="B4323" t="s">
        <v>13291</v>
      </c>
      <c r="C4323">
        <v>100</v>
      </c>
      <c r="D4323">
        <v>1</v>
      </c>
      <c r="E4323">
        <v>0</v>
      </c>
      <c r="F4323" t="s">
        <v>16130</v>
      </c>
      <c r="G4323">
        <v>150</v>
      </c>
      <c r="H4323">
        <v>0</v>
      </c>
      <c r="I4323" t="s">
        <v>445</v>
      </c>
      <c r="J4323" t="s">
        <v>16131</v>
      </c>
      <c r="K4323" t="s">
        <v>285</v>
      </c>
      <c r="L4323" t="s">
        <v>27</v>
      </c>
      <c r="M4323" t="s">
        <v>28</v>
      </c>
      <c r="N4323" t="s">
        <v>16132</v>
      </c>
      <c r="O4323" t="s">
        <v>27</v>
      </c>
      <c r="P4323" t="s">
        <v>39</v>
      </c>
      <c r="Q4323" t="s">
        <v>31</v>
      </c>
      <c r="R4323" t="s">
        <v>32</v>
      </c>
      <c r="S4323" t="s">
        <v>28</v>
      </c>
      <c r="T4323" t="s">
        <v>16133</v>
      </c>
      <c r="U4323" t="s">
        <v>16132</v>
      </c>
    </row>
    <row r="4324" spans="1:21" x14ac:dyDescent="0.25">
      <c r="A4324" t="s">
        <v>134</v>
      </c>
      <c r="B4324" t="s">
        <v>64</v>
      </c>
      <c r="C4324">
        <v>100</v>
      </c>
      <c r="D4324">
        <v>1</v>
      </c>
      <c r="E4324">
        <v>0</v>
      </c>
      <c r="F4324" t="s">
        <v>16134</v>
      </c>
      <c r="G4324">
        <v>106</v>
      </c>
      <c r="H4324">
        <v>6</v>
      </c>
      <c r="I4324" t="s">
        <v>445</v>
      </c>
      <c r="J4324" t="s">
        <v>16135</v>
      </c>
      <c r="K4324" t="s">
        <v>61</v>
      </c>
      <c r="L4324" t="s">
        <v>27</v>
      </c>
      <c r="M4324" t="s">
        <v>28</v>
      </c>
      <c r="N4324" t="s">
        <v>16136</v>
      </c>
      <c r="O4324" t="s">
        <v>27</v>
      </c>
      <c r="P4324" t="s">
        <v>39</v>
      </c>
      <c r="Q4324" t="s">
        <v>31</v>
      </c>
      <c r="R4324" t="s">
        <v>32</v>
      </c>
      <c r="S4324" t="s">
        <v>28</v>
      </c>
      <c r="T4324" t="s">
        <v>16137</v>
      </c>
      <c r="U4324" t="s">
        <v>16138</v>
      </c>
    </row>
    <row r="4325" spans="1:21" x14ac:dyDescent="0.25">
      <c r="A4325" t="s">
        <v>63</v>
      </c>
      <c r="B4325" t="s">
        <v>64</v>
      </c>
      <c r="C4325">
        <v>100</v>
      </c>
      <c r="D4325">
        <v>1</v>
      </c>
      <c r="E4325">
        <v>0</v>
      </c>
      <c r="F4325" t="s">
        <v>16139</v>
      </c>
      <c r="G4325">
        <v>106</v>
      </c>
      <c r="H4325">
        <v>6</v>
      </c>
      <c r="I4325" t="s">
        <v>140</v>
      </c>
      <c r="J4325" t="s">
        <v>16140</v>
      </c>
      <c r="K4325" t="s">
        <v>1038</v>
      </c>
      <c r="L4325" t="s">
        <v>27</v>
      </c>
      <c r="M4325" t="s">
        <v>28</v>
      </c>
      <c r="N4325" t="s">
        <v>16141</v>
      </c>
      <c r="O4325" t="s">
        <v>27</v>
      </c>
      <c r="P4325" t="s">
        <v>30</v>
      </c>
      <c r="Q4325" t="s">
        <v>31</v>
      </c>
      <c r="R4325" t="s">
        <v>32</v>
      </c>
      <c r="S4325" t="s">
        <v>28</v>
      </c>
      <c r="T4325" t="s">
        <v>16142</v>
      </c>
      <c r="U4325" t="s">
        <v>16143</v>
      </c>
    </row>
    <row r="4326" spans="1:21" x14ac:dyDescent="0.25">
      <c r="A4326" t="s">
        <v>456</v>
      </c>
      <c r="B4326" t="s">
        <v>457</v>
      </c>
      <c r="C4326">
        <v>199</v>
      </c>
      <c r="D4326">
        <v>3</v>
      </c>
      <c r="E4326">
        <v>0</v>
      </c>
      <c r="F4326" t="s">
        <v>16144</v>
      </c>
      <c r="G4326">
        <v>676</v>
      </c>
      <c r="H4326">
        <v>79</v>
      </c>
      <c r="I4326" t="s">
        <v>24</v>
      </c>
      <c r="J4326" t="s">
        <v>16145</v>
      </c>
      <c r="K4326" t="s">
        <v>16146</v>
      </c>
      <c r="L4326" t="s">
        <v>3316</v>
      </c>
      <c r="M4326" t="s">
        <v>10581</v>
      </c>
      <c r="N4326" t="s">
        <v>16147</v>
      </c>
      <c r="O4326" t="s">
        <v>27</v>
      </c>
      <c r="P4326" t="s">
        <v>84</v>
      </c>
      <c r="Q4326" t="s">
        <v>85</v>
      </c>
      <c r="R4326" t="s">
        <v>86</v>
      </c>
      <c r="S4326" t="s">
        <v>28</v>
      </c>
      <c r="T4326" t="s">
        <v>16148</v>
      </c>
      <c r="U4326" t="s">
        <v>16149</v>
      </c>
    </row>
    <row r="4327" spans="1:21" x14ac:dyDescent="0.25">
      <c r="A4327" t="s">
        <v>134</v>
      </c>
      <c r="B4327" t="s">
        <v>64</v>
      </c>
      <c r="C4327">
        <v>100</v>
      </c>
      <c r="D4327">
        <v>1</v>
      </c>
      <c r="E4327">
        <v>0</v>
      </c>
      <c r="F4327" t="s">
        <v>16150</v>
      </c>
      <c r="G4327">
        <v>100</v>
      </c>
      <c r="H4327">
        <v>0</v>
      </c>
      <c r="I4327" t="s">
        <v>24</v>
      </c>
      <c r="J4327" t="s">
        <v>16151</v>
      </c>
      <c r="K4327" t="s">
        <v>26</v>
      </c>
      <c r="L4327" t="s">
        <v>27</v>
      </c>
      <c r="M4327" t="s">
        <v>28</v>
      </c>
      <c r="N4327" t="s">
        <v>16152</v>
      </c>
      <c r="O4327" t="s">
        <v>27</v>
      </c>
      <c r="P4327" t="s">
        <v>56</v>
      </c>
      <c r="Q4327" t="s">
        <v>31</v>
      </c>
      <c r="R4327" t="s">
        <v>57</v>
      </c>
      <c r="S4327" t="s">
        <v>28</v>
      </c>
      <c r="T4327" t="s">
        <v>16153</v>
      </c>
      <c r="U4327" t="s">
        <v>16154</v>
      </c>
    </row>
    <row r="4328" spans="1:21" x14ac:dyDescent="0.25">
      <c r="A4328" t="s">
        <v>134</v>
      </c>
      <c r="B4328" t="s">
        <v>64</v>
      </c>
      <c r="C4328">
        <v>100</v>
      </c>
      <c r="D4328">
        <v>1</v>
      </c>
      <c r="E4328">
        <v>0</v>
      </c>
      <c r="F4328" t="s">
        <v>16155</v>
      </c>
      <c r="G4328">
        <v>106</v>
      </c>
      <c r="H4328">
        <v>6</v>
      </c>
      <c r="I4328" t="s">
        <v>24</v>
      </c>
      <c r="J4328" t="s">
        <v>16156</v>
      </c>
      <c r="K4328" t="s">
        <v>325</v>
      </c>
      <c r="L4328" t="s">
        <v>27</v>
      </c>
      <c r="M4328" t="s">
        <v>28</v>
      </c>
      <c r="N4328" t="s">
        <v>16157</v>
      </c>
      <c r="O4328" t="s">
        <v>27</v>
      </c>
      <c r="P4328" t="s">
        <v>39</v>
      </c>
      <c r="Q4328" t="s">
        <v>31</v>
      </c>
      <c r="R4328" t="s">
        <v>32</v>
      </c>
      <c r="S4328" t="s">
        <v>28</v>
      </c>
      <c r="T4328" t="s">
        <v>16158</v>
      </c>
      <c r="U4328" t="s">
        <v>16159</v>
      </c>
    </row>
    <row r="4329" spans="1:21" x14ac:dyDescent="0.25">
      <c r="A4329" t="s">
        <v>143</v>
      </c>
      <c r="B4329" t="s">
        <v>144</v>
      </c>
      <c r="C4329">
        <v>200</v>
      </c>
      <c r="D4329">
        <v>1</v>
      </c>
      <c r="E4329">
        <v>0</v>
      </c>
      <c r="F4329" t="s">
        <v>16160</v>
      </c>
      <c r="G4329">
        <v>200</v>
      </c>
      <c r="H4329">
        <v>0</v>
      </c>
      <c r="I4329" t="s">
        <v>24</v>
      </c>
      <c r="J4329" t="s">
        <v>16161</v>
      </c>
      <c r="K4329" t="s">
        <v>37</v>
      </c>
      <c r="L4329" t="s">
        <v>27</v>
      </c>
      <c r="M4329" t="s">
        <v>28</v>
      </c>
      <c r="N4329" t="s">
        <v>16162</v>
      </c>
      <c r="O4329" t="s">
        <v>27</v>
      </c>
      <c r="P4329" t="s">
        <v>56</v>
      </c>
      <c r="Q4329" t="s">
        <v>31</v>
      </c>
      <c r="R4329" t="s">
        <v>57</v>
      </c>
      <c r="S4329" t="s">
        <v>28</v>
      </c>
      <c r="T4329" t="s">
        <v>16163</v>
      </c>
      <c r="U4329" t="s">
        <v>16164</v>
      </c>
    </row>
    <row r="4330" spans="1:21" x14ac:dyDescent="0.25">
      <c r="A4330" t="s">
        <v>63</v>
      </c>
      <c r="B4330" t="s">
        <v>64</v>
      </c>
      <c r="C4330">
        <v>100</v>
      </c>
      <c r="D4330">
        <v>1</v>
      </c>
      <c r="E4330">
        <v>0</v>
      </c>
      <c r="F4330" t="s">
        <v>16165</v>
      </c>
      <c r="G4330">
        <v>106</v>
      </c>
      <c r="H4330">
        <v>6</v>
      </c>
      <c r="I4330" t="s">
        <v>24</v>
      </c>
      <c r="J4330" t="s">
        <v>16166</v>
      </c>
      <c r="K4330" t="s">
        <v>250</v>
      </c>
      <c r="L4330" t="s">
        <v>27</v>
      </c>
      <c r="M4330" t="s">
        <v>28</v>
      </c>
      <c r="N4330" t="s">
        <v>16167</v>
      </c>
      <c r="O4330" t="s">
        <v>27</v>
      </c>
      <c r="P4330" t="s">
        <v>56</v>
      </c>
      <c r="Q4330" t="s">
        <v>31</v>
      </c>
      <c r="R4330" t="s">
        <v>57</v>
      </c>
      <c r="S4330" t="s">
        <v>28</v>
      </c>
      <c r="T4330" t="s">
        <v>16168</v>
      </c>
      <c r="U4330" t="s">
        <v>16164</v>
      </c>
    </row>
    <row r="4331" spans="1:21" x14ac:dyDescent="0.25">
      <c r="A4331" t="s">
        <v>63</v>
      </c>
      <c r="B4331" t="s">
        <v>64</v>
      </c>
      <c r="C4331">
        <v>100</v>
      </c>
      <c r="D4331">
        <v>2</v>
      </c>
      <c r="E4331">
        <v>0</v>
      </c>
      <c r="F4331" t="s">
        <v>16169</v>
      </c>
      <c r="G4331">
        <v>200</v>
      </c>
      <c r="H4331">
        <v>0</v>
      </c>
      <c r="I4331" t="s">
        <v>445</v>
      </c>
      <c r="J4331" t="s">
        <v>16170</v>
      </c>
      <c r="K4331" t="s">
        <v>61</v>
      </c>
      <c r="L4331" t="s">
        <v>27</v>
      </c>
      <c r="M4331" t="s">
        <v>28</v>
      </c>
      <c r="N4331" t="s">
        <v>16171</v>
      </c>
      <c r="O4331" t="s">
        <v>27</v>
      </c>
      <c r="P4331" t="s">
        <v>39</v>
      </c>
      <c r="Q4331" t="s">
        <v>31</v>
      </c>
      <c r="R4331" t="s">
        <v>32</v>
      </c>
      <c r="S4331" t="s">
        <v>28</v>
      </c>
      <c r="T4331" t="s">
        <v>16172</v>
      </c>
      <c r="U4331" t="s">
        <v>16164</v>
      </c>
    </row>
    <row r="4332" spans="1:21" x14ac:dyDescent="0.25">
      <c r="A4332" t="s">
        <v>63</v>
      </c>
      <c r="B4332" t="s">
        <v>64</v>
      </c>
      <c r="C4332">
        <v>100</v>
      </c>
      <c r="D4332">
        <v>1</v>
      </c>
      <c r="E4332">
        <v>0</v>
      </c>
      <c r="F4332" t="s">
        <v>16173</v>
      </c>
      <c r="G4332">
        <v>200</v>
      </c>
      <c r="H4332">
        <v>0</v>
      </c>
      <c r="I4332" t="s">
        <v>24</v>
      </c>
      <c r="J4332" t="s">
        <v>16174</v>
      </c>
      <c r="K4332" t="s">
        <v>89</v>
      </c>
      <c r="L4332" t="s">
        <v>27</v>
      </c>
      <c r="M4332" t="s">
        <v>28</v>
      </c>
      <c r="N4332" t="s">
        <v>16171</v>
      </c>
      <c r="O4332" t="s">
        <v>27</v>
      </c>
      <c r="P4332" t="s">
        <v>39</v>
      </c>
      <c r="Q4332" t="s">
        <v>31</v>
      </c>
      <c r="R4332" t="s">
        <v>32</v>
      </c>
      <c r="S4332" t="s">
        <v>28</v>
      </c>
      <c r="T4332" t="s">
        <v>16175</v>
      </c>
      <c r="U4332" t="s">
        <v>16164</v>
      </c>
    </row>
    <row r="4333" spans="1:21" x14ac:dyDescent="0.25">
      <c r="A4333" t="s">
        <v>134</v>
      </c>
      <c r="B4333" t="s">
        <v>64</v>
      </c>
      <c r="C4333">
        <v>100</v>
      </c>
      <c r="D4333">
        <v>1</v>
      </c>
      <c r="E4333">
        <v>0</v>
      </c>
      <c r="F4333" t="s">
        <v>16173</v>
      </c>
      <c r="G4333">
        <v>200</v>
      </c>
      <c r="H4333">
        <v>0</v>
      </c>
      <c r="I4333" t="s">
        <v>24</v>
      </c>
      <c r="J4333" t="s">
        <v>16174</v>
      </c>
      <c r="K4333" t="s">
        <v>89</v>
      </c>
      <c r="L4333" t="s">
        <v>27</v>
      </c>
      <c r="M4333" t="s">
        <v>28</v>
      </c>
      <c r="N4333" t="s">
        <v>16171</v>
      </c>
      <c r="O4333" t="s">
        <v>27</v>
      </c>
      <c r="P4333" t="s">
        <v>39</v>
      </c>
      <c r="Q4333" t="s">
        <v>31</v>
      </c>
      <c r="R4333" t="s">
        <v>32</v>
      </c>
      <c r="S4333" t="s">
        <v>28</v>
      </c>
      <c r="T4333" t="s">
        <v>16175</v>
      </c>
      <c r="U4333" t="s">
        <v>16164</v>
      </c>
    </row>
    <row r="4334" spans="1:21" x14ac:dyDescent="0.25">
      <c r="A4334" t="s">
        <v>134</v>
      </c>
      <c r="B4334" t="s">
        <v>64</v>
      </c>
      <c r="C4334">
        <v>100</v>
      </c>
      <c r="D4334">
        <v>1</v>
      </c>
      <c r="E4334">
        <v>0</v>
      </c>
      <c r="F4334" t="s">
        <v>16176</v>
      </c>
      <c r="G4334">
        <v>106</v>
      </c>
      <c r="H4334">
        <v>6</v>
      </c>
      <c r="I4334" t="s">
        <v>24</v>
      </c>
      <c r="J4334" t="s">
        <v>16177</v>
      </c>
      <c r="K4334" t="s">
        <v>37</v>
      </c>
      <c r="L4334" t="s">
        <v>27</v>
      </c>
      <c r="M4334" t="s">
        <v>28</v>
      </c>
      <c r="N4334" t="s">
        <v>16178</v>
      </c>
      <c r="O4334" t="s">
        <v>27</v>
      </c>
      <c r="P4334" t="s">
        <v>39</v>
      </c>
      <c r="Q4334" t="s">
        <v>31</v>
      </c>
      <c r="R4334" t="s">
        <v>32</v>
      </c>
      <c r="S4334" t="s">
        <v>28</v>
      </c>
      <c r="T4334" t="s">
        <v>16179</v>
      </c>
      <c r="U4334" t="s">
        <v>16180</v>
      </c>
    </row>
    <row r="4335" spans="1:21" x14ac:dyDescent="0.25">
      <c r="A4335" t="s">
        <v>2873</v>
      </c>
      <c r="B4335" t="s">
        <v>2874</v>
      </c>
      <c r="C4335">
        <v>280</v>
      </c>
      <c r="D4335">
        <v>1</v>
      </c>
      <c r="E4335">
        <v>0</v>
      </c>
      <c r="F4335" t="s">
        <v>16181</v>
      </c>
      <c r="G4335">
        <v>325</v>
      </c>
      <c r="H4335">
        <v>45</v>
      </c>
      <c r="I4335" t="s">
        <v>24</v>
      </c>
      <c r="J4335" t="s">
        <v>16182</v>
      </c>
      <c r="K4335" t="s">
        <v>16183</v>
      </c>
      <c r="L4335" t="s">
        <v>7854</v>
      </c>
      <c r="M4335" t="s">
        <v>9257</v>
      </c>
      <c r="N4335" t="s">
        <v>16184</v>
      </c>
      <c r="O4335" t="s">
        <v>27</v>
      </c>
      <c r="P4335" t="s">
        <v>193</v>
      </c>
      <c r="Q4335" t="s">
        <v>85</v>
      </c>
      <c r="R4335" t="s">
        <v>86</v>
      </c>
      <c r="S4335" t="s">
        <v>28</v>
      </c>
      <c r="T4335" t="s">
        <v>16185</v>
      </c>
      <c r="U4335" t="s">
        <v>16180</v>
      </c>
    </row>
    <row r="4336" spans="1:21" x14ac:dyDescent="0.25">
      <c r="A4336" t="s">
        <v>143</v>
      </c>
      <c r="B4336" t="s">
        <v>144</v>
      </c>
      <c r="C4336">
        <v>200</v>
      </c>
      <c r="D4336">
        <v>1</v>
      </c>
      <c r="E4336">
        <v>0</v>
      </c>
      <c r="F4336" t="s">
        <v>16186</v>
      </c>
      <c r="G4336">
        <v>200</v>
      </c>
      <c r="H4336">
        <v>0</v>
      </c>
      <c r="I4336" t="s">
        <v>24</v>
      </c>
      <c r="J4336" t="s">
        <v>16187</v>
      </c>
      <c r="K4336" t="s">
        <v>797</v>
      </c>
      <c r="L4336" t="s">
        <v>27</v>
      </c>
      <c r="M4336" t="s">
        <v>28</v>
      </c>
      <c r="N4336" t="s">
        <v>16188</v>
      </c>
      <c r="O4336" t="s">
        <v>27</v>
      </c>
      <c r="P4336" t="s">
        <v>39</v>
      </c>
      <c r="Q4336" t="s">
        <v>31</v>
      </c>
      <c r="R4336" t="s">
        <v>32</v>
      </c>
      <c r="S4336" t="s">
        <v>28</v>
      </c>
      <c r="T4336" t="s">
        <v>16189</v>
      </c>
      <c r="U4336" t="s">
        <v>16190</v>
      </c>
    </row>
    <row r="4337" spans="1:21" x14ac:dyDescent="0.25">
      <c r="A4337" t="s">
        <v>13290</v>
      </c>
      <c r="B4337" t="s">
        <v>13291</v>
      </c>
      <c r="C4337">
        <v>100</v>
      </c>
      <c r="D4337">
        <v>2</v>
      </c>
      <c r="E4337">
        <v>0</v>
      </c>
      <c r="F4337" t="s">
        <v>16191</v>
      </c>
      <c r="G4337">
        <v>200</v>
      </c>
      <c r="H4337">
        <v>0</v>
      </c>
      <c r="I4337" t="s">
        <v>24</v>
      </c>
      <c r="J4337" t="s">
        <v>16192</v>
      </c>
      <c r="K4337" t="s">
        <v>311</v>
      </c>
      <c r="L4337" t="s">
        <v>27</v>
      </c>
      <c r="M4337" t="s">
        <v>28</v>
      </c>
      <c r="N4337" t="s">
        <v>16193</v>
      </c>
      <c r="O4337" t="s">
        <v>27</v>
      </c>
      <c r="P4337" t="s">
        <v>39</v>
      </c>
      <c r="Q4337" t="s">
        <v>31</v>
      </c>
      <c r="R4337" t="s">
        <v>32</v>
      </c>
      <c r="S4337" t="s">
        <v>28</v>
      </c>
      <c r="T4337" t="s">
        <v>16194</v>
      </c>
      <c r="U4337" t="s">
        <v>16190</v>
      </c>
    </row>
    <row r="4338" spans="1:21" x14ac:dyDescent="0.25">
      <c r="A4338" t="s">
        <v>143</v>
      </c>
      <c r="B4338" t="s">
        <v>144</v>
      </c>
      <c r="C4338">
        <v>200</v>
      </c>
      <c r="D4338">
        <v>1</v>
      </c>
      <c r="E4338">
        <v>0</v>
      </c>
      <c r="F4338" t="s">
        <v>16195</v>
      </c>
      <c r="G4338">
        <v>200</v>
      </c>
      <c r="H4338">
        <v>0</v>
      </c>
      <c r="I4338" t="s">
        <v>24</v>
      </c>
      <c r="J4338" t="s">
        <v>16196</v>
      </c>
      <c r="K4338" t="s">
        <v>331</v>
      </c>
      <c r="L4338" t="s">
        <v>27</v>
      </c>
      <c r="M4338" t="s">
        <v>28</v>
      </c>
      <c r="N4338" t="s">
        <v>16197</v>
      </c>
      <c r="O4338" t="s">
        <v>27</v>
      </c>
      <c r="P4338" t="s">
        <v>39</v>
      </c>
      <c r="Q4338" t="s">
        <v>31</v>
      </c>
      <c r="R4338" t="s">
        <v>32</v>
      </c>
      <c r="S4338" t="s">
        <v>28</v>
      </c>
      <c r="T4338" t="s">
        <v>16198</v>
      </c>
      <c r="U4338" t="s">
        <v>16190</v>
      </c>
    </row>
    <row r="4339" spans="1:21" x14ac:dyDescent="0.25">
      <c r="A4339" t="s">
        <v>2820</v>
      </c>
      <c r="B4339" t="s">
        <v>2821</v>
      </c>
      <c r="C4339">
        <v>100</v>
      </c>
      <c r="D4339">
        <v>1</v>
      </c>
      <c r="E4339">
        <v>0</v>
      </c>
      <c r="F4339" t="s">
        <v>16199</v>
      </c>
      <c r="G4339">
        <v>125</v>
      </c>
      <c r="H4339">
        <v>25</v>
      </c>
      <c r="I4339" t="s">
        <v>445</v>
      </c>
      <c r="J4339" t="s">
        <v>16200</v>
      </c>
      <c r="K4339" t="s">
        <v>73</v>
      </c>
      <c r="L4339" t="s">
        <v>27</v>
      </c>
      <c r="M4339" t="s">
        <v>28</v>
      </c>
      <c r="N4339" t="s">
        <v>14517</v>
      </c>
      <c r="O4339" t="s">
        <v>27</v>
      </c>
      <c r="P4339" t="s">
        <v>56</v>
      </c>
      <c r="Q4339" t="s">
        <v>31</v>
      </c>
      <c r="R4339" t="s">
        <v>57</v>
      </c>
      <c r="S4339" t="s">
        <v>28</v>
      </c>
      <c r="T4339" t="s">
        <v>16201</v>
      </c>
      <c r="U4339" t="s">
        <v>16202</v>
      </c>
    </row>
    <row r="4340" spans="1:21" x14ac:dyDescent="0.25">
      <c r="A4340" t="s">
        <v>13290</v>
      </c>
      <c r="B4340" t="s">
        <v>13291</v>
      </c>
      <c r="C4340">
        <v>100</v>
      </c>
      <c r="D4340">
        <v>2</v>
      </c>
      <c r="E4340">
        <v>0</v>
      </c>
      <c r="F4340" t="s">
        <v>16203</v>
      </c>
      <c r="G4340">
        <v>200</v>
      </c>
      <c r="H4340">
        <v>0</v>
      </c>
      <c r="I4340" t="s">
        <v>445</v>
      </c>
      <c r="J4340" t="s">
        <v>11313</v>
      </c>
      <c r="K4340" t="s">
        <v>1797</v>
      </c>
      <c r="L4340" t="s">
        <v>27</v>
      </c>
      <c r="M4340" t="s">
        <v>28</v>
      </c>
      <c r="N4340" t="s">
        <v>16204</v>
      </c>
      <c r="O4340" t="s">
        <v>27</v>
      </c>
      <c r="P4340" t="s">
        <v>39</v>
      </c>
      <c r="Q4340" t="s">
        <v>31</v>
      </c>
      <c r="R4340" t="s">
        <v>32</v>
      </c>
      <c r="S4340" t="s">
        <v>28</v>
      </c>
      <c r="T4340" t="s">
        <v>16205</v>
      </c>
      <c r="U4340" t="s">
        <v>16204</v>
      </c>
    </row>
    <row r="4341" spans="1:21" x14ac:dyDescent="0.25">
      <c r="A4341" t="s">
        <v>63</v>
      </c>
      <c r="B4341" t="s">
        <v>64</v>
      </c>
      <c r="C4341">
        <v>100</v>
      </c>
      <c r="D4341">
        <v>1</v>
      </c>
      <c r="E4341">
        <v>0</v>
      </c>
      <c r="F4341" t="s">
        <v>16206</v>
      </c>
      <c r="G4341">
        <v>106</v>
      </c>
      <c r="H4341">
        <v>6</v>
      </c>
      <c r="I4341" t="s">
        <v>24</v>
      </c>
      <c r="J4341" t="s">
        <v>16207</v>
      </c>
      <c r="K4341" t="s">
        <v>89</v>
      </c>
      <c r="L4341" t="s">
        <v>27</v>
      </c>
      <c r="M4341" t="s">
        <v>28</v>
      </c>
      <c r="N4341" t="s">
        <v>16204</v>
      </c>
      <c r="O4341" t="s">
        <v>27</v>
      </c>
      <c r="P4341" t="s">
        <v>39</v>
      </c>
      <c r="Q4341" t="s">
        <v>31</v>
      </c>
      <c r="R4341" t="s">
        <v>32</v>
      </c>
      <c r="S4341" t="s">
        <v>28</v>
      </c>
      <c r="T4341" t="s">
        <v>16208</v>
      </c>
      <c r="U4341" t="s">
        <v>16204</v>
      </c>
    </row>
    <row r="4342" spans="1:21" x14ac:dyDescent="0.25">
      <c r="A4342" t="s">
        <v>63</v>
      </c>
      <c r="B4342" t="s">
        <v>64</v>
      </c>
      <c r="C4342">
        <v>100</v>
      </c>
      <c r="D4342">
        <v>1</v>
      </c>
      <c r="E4342">
        <v>0</v>
      </c>
      <c r="F4342" t="s">
        <v>16209</v>
      </c>
      <c r="G4342">
        <v>106</v>
      </c>
      <c r="H4342">
        <v>6</v>
      </c>
      <c r="I4342" t="s">
        <v>140</v>
      </c>
      <c r="J4342" t="s">
        <v>16210</v>
      </c>
      <c r="K4342" t="s">
        <v>273</v>
      </c>
      <c r="L4342" t="s">
        <v>27</v>
      </c>
      <c r="M4342" t="s">
        <v>28</v>
      </c>
      <c r="N4342" t="s">
        <v>16204</v>
      </c>
      <c r="O4342" t="s">
        <v>27</v>
      </c>
      <c r="P4342" t="s">
        <v>369</v>
      </c>
      <c r="Q4342" t="s">
        <v>31</v>
      </c>
      <c r="R4342" t="s">
        <v>57</v>
      </c>
      <c r="S4342" t="s">
        <v>28</v>
      </c>
      <c r="T4342" t="s">
        <v>16211</v>
      </c>
      <c r="U4342" t="s">
        <v>16212</v>
      </c>
    </row>
    <row r="4343" spans="1:21" x14ac:dyDescent="0.25">
      <c r="A4343" t="s">
        <v>1513</v>
      </c>
      <c r="B4343" t="s">
        <v>1514</v>
      </c>
      <c r="C4343">
        <v>330</v>
      </c>
      <c r="D4343">
        <v>1</v>
      </c>
      <c r="E4343">
        <v>0</v>
      </c>
      <c r="F4343" t="s">
        <v>16213</v>
      </c>
      <c r="G4343">
        <v>330</v>
      </c>
      <c r="H4343">
        <v>0</v>
      </c>
      <c r="I4343" t="s">
        <v>24</v>
      </c>
      <c r="J4343" t="s">
        <v>16214</v>
      </c>
      <c r="K4343" t="s">
        <v>451</v>
      </c>
      <c r="L4343" t="s">
        <v>27</v>
      </c>
      <c r="M4343" t="s">
        <v>28</v>
      </c>
      <c r="N4343" t="s">
        <v>16215</v>
      </c>
      <c r="O4343" t="s">
        <v>27</v>
      </c>
      <c r="P4343" t="s">
        <v>56</v>
      </c>
      <c r="Q4343" t="s">
        <v>31</v>
      </c>
      <c r="R4343" t="s">
        <v>57</v>
      </c>
      <c r="S4343" t="s">
        <v>28</v>
      </c>
      <c r="T4343" t="s">
        <v>16216</v>
      </c>
      <c r="U4343" t="s">
        <v>16217</v>
      </c>
    </row>
    <row r="4344" spans="1:21" x14ac:dyDescent="0.25">
      <c r="A4344" t="s">
        <v>167</v>
      </c>
      <c r="B4344" t="s">
        <v>168</v>
      </c>
      <c r="C4344">
        <v>250</v>
      </c>
      <c r="D4344">
        <v>1</v>
      </c>
      <c r="E4344">
        <v>0</v>
      </c>
      <c r="F4344" t="s">
        <v>16218</v>
      </c>
      <c r="G4344">
        <v>250</v>
      </c>
      <c r="H4344">
        <v>0</v>
      </c>
      <c r="I4344" t="s">
        <v>140</v>
      </c>
      <c r="J4344" t="s">
        <v>16219</v>
      </c>
      <c r="K4344" t="s">
        <v>2243</v>
      </c>
      <c r="L4344" t="s">
        <v>27</v>
      </c>
      <c r="M4344" t="s">
        <v>28</v>
      </c>
      <c r="N4344" t="s">
        <v>16220</v>
      </c>
      <c r="O4344" t="s">
        <v>27</v>
      </c>
      <c r="P4344" t="s">
        <v>369</v>
      </c>
      <c r="Q4344" t="s">
        <v>31</v>
      </c>
      <c r="R4344" t="s">
        <v>57</v>
      </c>
      <c r="S4344" t="s">
        <v>28</v>
      </c>
      <c r="T4344" t="s">
        <v>16221</v>
      </c>
      <c r="U4344" t="s">
        <v>16217</v>
      </c>
    </row>
    <row r="4345" spans="1:21" x14ac:dyDescent="0.25">
      <c r="A4345" t="s">
        <v>63</v>
      </c>
      <c r="B4345" t="s">
        <v>64</v>
      </c>
      <c r="C4345">
        <v>100</v>
      </c>
      <c r="D4345">
        <v>1</v>
      </c>
      <c r="E4345">
        <v>0</v>
      </c>
      <c r="F4345" t="s">
        <v>16222</v>
      </c>
      <c r="G4345">
        <v>106</v>
      </c>
      <c r="H4345">
        <v>6</v>
      </c>
      <c r="I4345" t="s">
        <v>445</v>
      </c>
      <c r="J4345" t="s">
        <v>16223</v>
      </c>
      <c r="K4345" t="s">
        <v>241</v>
      </c>
      <c r="L4345" t="s">
        <v>27</v>
      </c>
      <c r="M4345" t="s">
        <v>28</v>
      </c>
      <c r="N4345" t="s">
        <v>16224</v>
      </c>
      <c r="O4345" t="s">
        <v>27</v>
      </c>
      <c r="P4345" t="s">
        <v>39</v>
      </c>
      <c r="Q4345" t="s">
        <v>31</v>
      </c>
      <c r="R4345" t="s">
        <v>32</v>
      </c>
      <c r="S4345" t="s">
        <v>28</v>
      </c>
      <c r="T4345" t="s">
        <v>16225</v>
      </c>
      <c r="U4345" t="s">
        <v>16217</v>
      </c>
    </row>
    <row r="4346" spans="1:21" x14ac:dyDescent="0.25">
      <c r="A4346" t="s">
        <v>13290</v>
      </c>
      <c r="B4346" t="s">
        <v>13291</v>
      </c>
      <c r="C4346">
        <v>100</v>
      </c>
      <c r="D4346">
        <v>2</v>
      </c>
      <c r="E4346">
        <v>0</v>
      </c>
      <c r="F4346" t="s">
        <v>16226</v>
      </c>
      <c r="G4346">
        <v>200</v>
      </c>
      <c r="H4346">
        <v>0</v>
      </c>
      <c r="I4346" t="s">
        <v>445</v>
      </c>
      <c r="J4346" t="s">
        <v>16227</v>
      </c>
      <c r="K4346" t="s">
        <v>8487</v>
      </c>
      <c r="L4346" t="s">
        <v>27</v>
      </c>
      <c r="M4346" t="s">
        <v>28</v>
      </c>
      <c r="N4346" t="s">
        <v>16228</v>
      </c>
      <c r="O4346" t="s">
        <v>27</v>
      </c>
      <c r="P4346" t="s">
        <v>56</v>
      </c>
      <c r="Q4346" t="s">
        <v>31</v>
      </c>
      <c r="R4346" t="s">
        <v>57</v>
      </c>
      <c r="S4346" t="s">
        <v>28</v>
      </c>
      <c r="T4346" t="s">
        <v>16229</v>
      </c>
      <c r="U4346" t="s">
        <v>16217</v>
      </c>
    </row>
    <row r="4347" spans="1:21" x14ac:dyDescent="0.25">
      <c r="A4347" t="s">
        <v>2307</v>
      </c>
      <c r="B4347" t="s">
        <v>2308</v>
      </c>
      <c r="C4347">
        <v>330</v>
      </c>
      <c r="D4347">
        <v>1</v>
      </c>
      <c r="E4347">
        <v>0</v>
      </c>
      <c r="F4347" t="s">
        <v>16230</v>
      </c>
      <c r="G4347">
        <v>330</v>
      </c>
      <c r="H4347">
        <v>0</v>
      </c>
      <c r="I4347" t="s">
        <v>24</v>
      </c>
      <c r="J4347" t="s">
        <v>16231</v>
      </c>
      <c r="K4347" t="s">
        <v>175</v>
      </c>
      <c r="L4347" t="s">
        <v>27</v>
      </c>
      <c r="M4347" t="s">
        <v>28</v>
      </c>
      <c r="N4347" t="s">
        <v>16232</v>
      </c>
      <c r="O4347" t="s">
        <v>27</v>
      </c>
      <c r="P4347" t="s">
        <v>39</v>
      </c>
      <c r="Q4347" t="s">
        <v>31</v>
      </c>
      <c r="R4347" t="s">
        <v>32</v>
      </c>
      <c r="S4347" t="s">
        <v>28</v>
      </c>
      <c r="T4347" t="s">
        <v>16233</v>
      </c>
      <c r="U4347" t="s">
        <v>16215</v>
      </c>
    </row>
    <row r="4348" spans="1:21" x14ac:dyDescent="0.25">
      <c r="A4348" t="s">
        <v>58</v>
      </c>
      <c r="B4348" t="s">
        <v>58</v>
      </c>
      <c r="C4348">
        <v>100</v>
      </c>
      <c r="D4348">
        <v>2</v>
      </c>
      <c r="E4348">
        <v>0</v>
      </c>
      <c r="F4348" t="s">
        <v>16234</v>
      </c>
      <c r="G4348">
        <v>200</v>
      </c>
      <c r="H4348">
        <v>0</v>
      </c>
      <c r="I4348" t="s">
        <v>445</v>
      </c>
      <c r="J4348" t="s">
        <v>16235</v>
      </c>
      <c r="K4348" t="s">
        <v>16236</v>
      </c>
      <c r="L4348" t="s">
        <v>3424</v>
      </c>
      <c r="M4348" t="s">
        <v>1708</v>
      </c>
      <c r="N4348" t="s">
        <v>16237</v>
      </c>
      <c r="O4348" t="s">
        <v>27</v>
      </c>
      <c r="P4348" t="s">
        <v>84</v>
      </c>
      <c r="Q4348" t="s">
        <v>85</v>
      </c>
      <c r="R4348" t="s">
        <v>86</v>
      </c>
      <c r="S4348" t="s">
        <v>28</v>
      </c>
      <c r="T4348" t="s">
        <v>16238</v>
      </c>
      <c r="U4348" t="s">
        <v>16237</v>
      </c>
    </row>
    <row r="4349" spans="1:21" x14ac:dyDescent="0.25">
      <c r="A4349" t="s">
        <v>143</v>
      </c>
      <c r="B4349" t="s">
        <v>144</v>
      </c>
      <c r="C4349">
        <v>200</v>
      </c>
      <c r="D4349">
        <v>1</v>
      </c>
      <c r="E4349">
        <v>0</v>
      </c>
      <c r="F4349" t="s">
        <v>16239</v>
      </c>
      <c r="G4349">
        <v>200</v>
      </c>
      <c r="H4349">
        <v>0</v>
      </c>
      <c r="I4349" t="s">
        <v>24</v>
      </c>
      <c r="J4349" t="s">
        <v>16240</v>
      </c>
      <c r="K4349" t="s">
        <v>919</v>
      </c>
      <c r="L4349" t="s">
        <v>27</v>
      </c>
      <c r="M4349" t="s">
        <v>28</v>
      </c>
      <c r="N4349" t="s">
        <v>16241</v>
      </c>
      <c r="O4349" t="s">
        <v>27</v>
      </c>
      <c r="P4349" t="s">
        <v>39</v>
      </c>
      <c r="Q4349" t="s">
        <v>31</v>
      </c>
      <c r="R4349" t="s">
        <v>32</v>
      </c>
      <c r="S4349" t="s">
        <v>28</v>
      </c>
      <c r="T4349" t="s">
        <v>16242</v>
      </c>
      <c r="U4349" t="s">
        <v>16243</v>
      </c>
    </row>
  </sheetData>
  <pageMargins left="0.19685039370078741" right="0.15748031496062992" top="0.74803149606299213" bottom="0.19685039370078741" header="0.31496062992125984" footer="0.15748031496062992"/>
  <pageSetup paperSize="9" scale="67" fitToHeight="0" orientation="portrait" r:id="rId2"/>
  <ignoredErrors>
    <ignoredError sqref="A1:U4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6EE0-903F-49B5-BD20-735BA948C37F}">
  <sheetPr>
    <tabColor rgb="FF92D050"/>
    <pageSetUpPr fitToPage="1"/>
  </sheetPr>
  <dimension ref="A1:W139"/>
  <sheetViews>
    <sheetView tabSelected="1" zoomScale="70" zoomScaleNormal="70" workbookViewId="0">
      <pane xSplit="1" ySplit="3" topLeftCell="D16" activePane="bottomRight" state="frozen"/>
      <selection pane="topRight" activeCell="B1" sqref="B1"/>
      <selection pane="bottomLeft" activeCell="A4" sqref="A4"/>
      <selection pane="bottomRight" activeCell="H32" sqref="H32"/>
    </sheetView>
  </sheetViews>
  <sheetFormatPr defaultColWidth="8.81640625" defaultRowHeight="26.4" x14ac:dyDescent="0.6"/>
  <cols>
    <col min="1" max="1" width="12.54296875" style="6" customWidth="1"/>
    <col min="2" max="2" width="38.1796875" style="4" bestFit="1" customWidth="1"/>
    <col min="3" max="3" width="84.90625" style="4" bestFit="1" customWidth="1"/>
    <col min="4" max="4" width="25.7265625" style="7" bestFit="1" customWidth="1"/>
    <col min="5" max="5" width="6.36328125" style="6" bestFit="1" customWidth="1"/>
    <col min="6" max="6" width="5.54296875" style="6" bestFit="1" customWidth="1"/>
    <col min="7" max="7" width="13.1796875" style="6" bestFit="1" customWidth="1"/>
    <col min="8" max="8" width="7.36328125" style="6" bestFit="1" customWidth="1"/>
    <col min="9" max="9" width="14.54296875" style="6" bestFit="1" customWidth="1"/>
    <col min="10" max="10" width="5.7265625" style="6" bestFit="1" customWidth="1"/>
    <col min="11" max="11" width="12.7265625" style="23" bestFit="1" customWidth="1"/>
    <col min="12" max="12" width="16" style="50" customWidth="1"/>
    <col min="13" max="13" width="16" style="45" customWidth="1"/>
    <col min="14" max="14" width="21.26953125" style="29" bestFit="1" customWidth="1"/>
    <col min="15" max="15" width="15.90625" style="50" customWidth="1"/>
    <col min="16" max="16" width="15.90625" style="45" customWidth="1"/>
    <col min="17" max="17" width="15.90625" style="29" customWidth="1"/>
    <col min="18" max="18" width="15.08984375" style="50" customWidth="1"/>
    <col min="19" max="19" width="15.08984375" style="45" customWidth="1"/>
    <col min="20" max="20" width="15.08984375" style="29" customWidth="1"/>
    <col min="21" max="21" width="16.6328125" style="50" bestFit="1" customWidth="1"/>
    <col min="22" max="22" width="16.6328125" style="45" customWidth="1"/>
    <col min="23" max="23" width="16.6328125" style="29" customWidth="1"/>
    <col min="24" max="16384" width="8.81640625" style="4"/>
  </cols>
  <sheetData>
    <row r="1" spans="1:23" ht="28.8" x14ac:dyDescent="0.75">
      <c r="A1" s="8" t="s">
        <v>16248</v>
      </c>
      <c r="K1" s="19"/>
      <c r="L1" s="5"/>
      <c r="M1" s="46"/>
      <c r="N1" s="25"/>
      <c r="O1" s="24"/>
      <c r="P1" s="41"/>
      <c r="Q1" s="25"/>
      <c r="R1" s="24"/>
      <c r="S1" s="41"/>
      <c r="T1" s="25"/>
      <c r="U1" s="24"/>
      <c r="V1" s="41"/>
      <c r="W1" s="25"/>
    </row>
    <row r="2" spans="1:23" s="5" customFormat="1" ht="22.2" customHeight="1" x14ac:dyDescent="0.25">
      <c r="A2" s="61" t="s">
        <v>16249</v>
      </c>
      <c r="B2" s="61" t="s">
        <v>16250</v>
      </c>
      <c r="C2" s="61" t="s">
        <v>16251</v>
      </c>
      <c r="D2" s="61" t="s">
        <v>16252</v>
      </c>
      <c r="E2" s="61" t="s">
        <v>3</v>
      </c>
      <c r="F2" s="61" t="s">
        <v>16256</v>
      </c>
      <c r="G2" s="62" t="s">
        <v>16275</v>
      </c>
      <c r="H2" s="63" t="s">
        <v>16279</v>
      </c>
      <c r="I2" s="57" t="s">
        <v>16280</v>
      </c>
      <c r="J2" s="57" t="s">
        <v>16281</v>
      </c>
      <c r="K2" s="59" t="s">
        <v>16282</v>
      </c>
      <c r="L2" s="103" t="s">
        <v>16253</v>
      </c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</row>
    <row r="3" spans="1:23" s="5" customFormat="1" ht="23.4" x14ac:dyDescent="0.25">
      <c r="A3" s="61"/>
      <c r="B3" s="61"/>
      <c r="C3" s="61"/>
      <c r="D3" s="61"/>
      <c r="E3" s="61"/>
      <c r="F3" s="61"/>
      <c r="G3" s="62"/>
      <c r="H3" s="64"/>
      <c r="I3" s="58"/>
      <c r="J3" s="58"/>
      <c r="K3" s="60"/>
      <c r="L3" s="9" t="s">
        <v>49</v>
      </c>
      <c r="M3" s="38" t="s">
        <v>16283</v>
      </c>
      <c r="N3" s="26" t="s">
        <v>16284</v>
      </c>
      <c r="O3" s="10" t="s">
        <v>85</v>
      </c>
      <c r="P3" s="37" t="s">
        <v>16283</v>
      </c>
      <c r="Q3" s="30" t="s">
        <v>16284</v>
      </c>
      <c r="R3" s="11" t="s">
        <v>31</v>
      </c>
      <c r="S3" s="39" t="s">
        <v>16283</v>
      </c>
      <c r="T3" s="34" t="s">
        <v>16284</v>
      </c>
      <c r="U3" s="12" t="s">
        <v>16254</v>
      </c>
      <c r="V3" s="40" t="s">
        <v>16283</v>
      </c>
      <c r="W3" s="36" t="s">
        <v>16284</v>
      </c>
    </row>
    <row r="4" spans="1:23" ht="23.4" customHeight="1" x14ac:dyDescent="0.6">
      <c r="A4" s="13">
        <v>1</v>
      </c>
      <c r="B4" s="14" t="s">
        <v>58</v>
      </c>
      <c r="C4" s="14" t="s">
        <v>58</v>
      </c>
      <c r="D4" s="15" t="s">
        <v>16255</v>
      </c>
      <c r="E4" s="13">
        <v>3</v>
      </c>
      <c r="F4" s="13" t="s">
        <v>16257</v>
      </c>
      <c r="G4" s="13">
        <f>17.45+16.79+17.52</f>
        <v>51.759999999999991</v>
      </c>
      <c r="H4" s="56">
        <v>12</v>
      </c>
      <c r="I4" s="13">
        <f>+H4*E4</f>
        <v>36</v>
      </c>
      <c r="J4" s="13">
        <f>+I4+G4</f>
        <v>87.759999999999991</v>
      </c>
      <c r="K4" s="20">
        <f>+J4</f>
        <v>87.759999999999991</v>
      </c>
      <c r="L4" s="9">
        <v>150</v>
      </c>
      <c r="M4" s="38">
        <f>+L4-K4</f>
        <v>62.240000000000009</v>
      </c>
      <c r="N4" s="26">
        <f>+M4/L4</f>
        <v>0.41493333333333338</v>
      </c>
      <c r="O4" s="10">
        <v>150</v>
      </c>
      <c r="P4" s="37">
        <f>+O4-K4</f>
        <v>62.240000000000009</v>
      </c>
      <c r="Q4" s="30">
        <f>+P4/O4</f>
        <v>0.41493333333333338</v>
      </c>
      <c r="R4" s="11">
        <v>100</v>
      </c>
      <c r="S4" s="39">
        <f>+R4-K4</f>
        <v>12.240000000000009</v>
      </c>
      <c r="T4" s="35">
        <f>+S4/R4</f>
        <v>0.12240000000000009</v>
      </c>
      <c r="U4" s="12">
        <v>100</v>
      </c>
      <c r="V4" s="40">
        <f>+U4-K4</f>
        <v>12.240000000000009</v>
      </c>
      <c r="W4" s="36">
        <f>+V4/U4</f>
        <v>0.12240000000000009</v>
      </c>
    </row>
    <row r="5" spans="1:23" ht="23.4" customHeight="1" x14ac:dyDescent="0.6">
      <c r="A5" s="13"/>
      <c r="B5" s="14"/>
      <c r="C5" s="14" t="s">
        <v>103</v>
      </c>
      <c r="D5" s="15" t="s">
        <v>16255</v>
      </c>
      <c r="E5" s="13">
        <v>3</v>
      </c>
      <c r="F5" s="13" t="s">
        <v>16257</v>
      </c>
      <c r="G5" s="13">
        <f t="shared" ref="G5:G7" si="0">17.45+16.79+17.52</f>
        <v>51.759999999999991</v>
      </c>
      <c r="H5" s="56">
        <v>12</v>
      </c>
      <c r="I5" s="13">
        <f t="shared" ref="I5:I7" si="1">+H5*E5</f>
        <v>36</v>
      </c>
      <c r="J5" s="13">
        <f t="shared" ref="J5:J7" si="2">+I5+G5</f>
        <v>87.759999999999991</v>
      </c>
      <c r="K5" s="20">
        <f t="shared" ref="K5:K7" si="3">+J5</f>
        <v>87.759999999999991</v>
      </c>
      <c r="L5" s="9">
        <v>150</v>
      </c>
      <c r="M5" s="38">
        <f t="shared" ref="M5:M68" si="4">+L5-K5</f>
        <v>62.240000000000009</v>
      </c>
      <c r="N5" s="26">
        <f t="shared" ref="N5:N68" si="5">+M5/L5</f>
        <v>0.41493333333333338</v>
      </c>
      <c r="O5" s="10">
        <v>150</v>
      </c>
      <c r="P5" s="37">
        <f t="shared" ref="P5:P68" si="6">+O5-K5</f>
        <v>62.240000000000009</v>
      </c>
      <c r="Q5" s="30">
        <f t="shared" ref="Q5:Q12" si="7">+P5/O5</f>
        <v>0.41493333333333338</v>
      </c>
      <c r="R5" s="11">
        <v>100</v>
      </c>
      <c r="S5" s="39">
        <f t="shared" ref="S5:S64" si="8">+R5-K5</f>
        <v>12.240000000000009</v>
      </c>
      <c r="T5" s="35">
        <f t="shared" ref="T5:T68" si="9">+S5/R5</f>
        <v>0.12240000000000009</v>
      </c>
      <c r="U5" s="12">
        <v>100</v>
      </c>
      <c r="V5" s="40">
        <f t="shared" ref="V5:V68" si="10">+U5-K5</f>
        <v>12.240000000000009</v>
      </c>
      <c r="W5" s="36">
        <f t="shared" ref="W5:W68" si="11">+V5/U5</f>
        <v>0.12240000000000009</v>
      </c>
    </row>
    <row r="6" spans="1:23" ht="23.4" customHeight="1" x14ac:dyDescent="0.6">
      <c r="A6" s="13"/>
      <c r="B6" s="14"/>
      <c r="C6" s="14" t="s">
        <v>2423</v>
      </c>
      <c r="D6" s="15" t="s">
        <v>16255</v>
      </c>
      <c r="E6" s="13">
        <v>3</v>
      </c>
      <c r="F6" s="13" t="s">
        <v>16257</v>
      </c>
      <c r="G6" s="13">
        <f t="shared" si="0"/>
        <v>51.759999999999991</v>
      </c>
      <c r="H6" s="56">
        <v>12</v>
      </c>
      <c r="I6" s="13">
        <f t="shared" si="1"/>
        <v>36</v>
      </c>
      <c r="J6" s="13">
        <f t="shared" si="2"/>
        <v>87.759999999999991</v>
      </c>
      <c r="K6" s="20">
        <f t="shared" si="3"/>
        <v>87.759999999999991</v>
      </c>
      <c r="L6" s="9">
        <v>150</v>
      </c>
      <c r="M6" s="38">
        <f t="shared" si="4"/>
        <v>62.240000000000009</v>
      </c>
      <c r="N6" s="26">
        <f t="shared" si="5"/>
        <v>0.41493333333333338</v>
      </c>
      <c r="O6" s="10">
        <v>150</v>
      </c>
      <c r="P6" s="37">
        <f t="shared" si="6"/>
        <v>62.240000000000009</v>
      </c>
      <c r="Q6" s="30">
        <f t="shared" si="7"/>
        <v>0.41493333333333338</v>
      </c>
      <c r="R6" s="11">
        <v>100</v>
      </c>
      <c r="S6" s="39">
        <f t="shared" si="8"/>
        <v>12.240000000000009</v>
      </c>
      <c r="T6" s="35">
        <f t="shared" si="9"/>
        <v>0.12240000000000009</v>
      </c>
      <c r="U6" s="12">
        <v>100</v>
      </c>
      <c r="V6" s="40">
        <f t="shared" si="10"/>
        <v>12.240000000000009</v>
      </c>
      <c r="W6" s="36">
        <f t="shared" si="11"/>
        <v>0.12240000000000009</v>
      </c>
    </row>
    <row r="7" spans="1:23" ht="23.4" customHeight="1" x14ac:dyDescent="0.6">
      <c r="A7" s="13"/>
      <c r="B7" s="14"/>
      <c r="C7" s="14" t="s">
        <v>545</v>
      </c>
      <c r="D7" s="15" t="s">
        <v>16255</v>
      </c>
      <c r="E7" s="13">
        <v>3</v>
      </c>
      <c r="F7" s="13" t="s">
        <v>16257</v>
      </c>
      <c r="G7" s="13">
        <f t="shared" si="0"/>
        <v>51.759999999999991</v>
      </c>
      <c r="H7" s="56">
        <v>12</v>
      </c>
      <c r="I7" s="13">
        <f t="shared" si="1"/>
        <v>36</v>
      </c>
      <c r="J7" s="13">
        <f t="shared" si="2"/>
        <v>87.759999999999991</v>
      </c>
      <c r="K7" s="20">
        <f t="shared" si="3"/>
        <v>87.759999999999991</v>
      </c>
      <c r="L7" s="9">
        <v>150</v>
      </c>
      <c r="M7" s="38">
        <f t="shared" si="4"/>
        <v>62.240000000000009</v>
      </c>
      <c r="N7" s="26">
        <f t="shared" si="5"/>
        <v>0.41493333333333338</v>
      </c>
      <c r="O7" s="10">
        <v>150</v>
      </c>
      <c r="P7" s="37">
        <f t="shared" si="6"/>
        <v>62.240000000000009</v>
      </c>
      <c r="Q7" s="30">
        <f t="shared" si="7"/>
        <v>0.41493333333333338</v>
      </c>
      <c r="R7" s="11">
        <v>100</v>
      </c>
      <c r="S7" s="39">
        <f t="shared" si="8"/>
        <v>12.240000000000009</v>
      </c>
      <c r="T7" s="35">
        <f t="shared" si="9"/>
        <v>0.12240000000000009</v>
      </c>
      <c r="U7" s="12">
        <v>100</v>
      </c>
      <c r="V7" s="40">
        <f t="shared" si="10"/>
        <v>12.240000000000009</v>
      </c>
      <c r="W7" s="36">
        <f t="shared" si="11"/>
        <v>0.12240000000000009</v>
      </c>
    </row>
    <row r="8" spans="1:23" ht="23.4" customHeight="1" x14ac:dyDescent="0.6">
      <c r="A8" s="16">
        <v>2</v>
      </c>
      <c r="B8" s="17" t="s">
        <v>3739</v>
      </c>
      <c r="C8" s="17" t="s">
        <v>2854</v>
      </c>
      <c r="D8" s="18" t="s">
        <v>16258</v>
      </c>
      <c r="E8" s="16">
        <v>12</v>
      </c>
      <c r="F8" s="16" t="s">
        <v>16259</v>
      </c>
      <c r="G8" s="16">
        <f>15.43*12</f>
        <v>185.16</v>
      </c>
      <c r="H8" s="56">
        <v>12</v>
      </c>
      <c r="I8" s="16">
        <f>+H8*E8</f>
        <v>144</v>
      </c>
      <c r="J8" s="16">
        <f>+G8+I8</f>
        <v>329.15999999999997</v>
      </c>
      <c r="K8" s="20">
        <f>+J8</f>
        <v>329.15999999999997</v>
      </c>
      <c r="L8" s="9">
        <v>399</v>
      </c>
      <c r="M8" s="38">
        <f t="shared" si="4"/>
        <v>69.840000000000032</v>
      </c>
      <c r="N8" s="26">
        <f t="shared" si="5"/>
        <v>0.17503759398496249</v>
      </c>
      <c r="O8" s="10">
        <v>399</v>
      </c>
      <c r="P8" s="37">
        <f t="shared" si="6"/>
        <v>69.840000000000032</v>
      </c>
      <c r="Q8" s="30">
        <f t="shared" si="7"/>
        <v>0.17503759398496249</v>
      </c>
      <c r="R8" s="11">
        <v>0</v>
      </c>
      <c r="S8" s="39">
        <f t="shared" si="8"/>
        <v>-329.15999999999997</v>
      </c>
      <c r="T8" s="35" t="e">
        <f t="shared" si="9"/>
        <v>#DIV/0!</v>
      </c>
      <c r="U8" s="12">
        <v>0</v>
      </c>
      <c r="V8" s="40">
        <f t="shared" si="10"/>
        <v>-329.15999999999997</v>
      </c>
      <c r="W8" s="36" t="e">
        <f t="shared" si="11"/>
        <v>#DIV/0!</v>
      </c>
    </row>
    <row r="9" spans="1:23" ht="23.4" customHeight="1" x14ac:dyDescent="0.6">
      <c r="A9" s="16"/>
      <c r="B9" s="17"/>
      <c r="C9" s="17" t="s">
        <v>3774</v>
      </c>
      <c r="D9" s="18" t="s">
        <v>16258</v>
      </c>
      <c r="E9" s="16">
        <v>12</v>
      </c>
      <c r="F9" s="16" t="s">
        <v>16259</v>
      </c>
      <c r="G9" s="16">
        <f>15.43*12</f>
        <v>185.16</v>
      </c>
      <c r="H9" s="56">
        <v>12</v>
      </c>
      <c r="I9" s="16">
        <f>+H9*E9</f>
        <v>144</v>
      </c>
      <c r="J9" s="16">
        <f>+G9+I9</f>
        <v>329.15999999999997</v>
      </c>
      <c r="K9" s="20">
        <f>+J9</f>
        <v>329.15999999999997</v>
      </c>
      <c r="L9" s="9">
        <v>399</v>
      </c>
      <c r="M9" s="38">
        <f t="shared" si="4"/>
        <v>69.840000000000032</v>
      </c>
      <c r="N9" s="26">
        <f t="shared" si="5"/>
        <v>0.17503759398496249</v>
      </c>
      <c r="O9" s="10">
        <v>399</v>
      </c>
      <c r="P9" s="37">
        <f t="shared" si="6"/>
        <v>69.840000000000032</v>
      </c>
      <c r="Q9" s="30">
        <f t="shared" si="7"/>
        <v>0.17503759398496249</v>
      </c>
      <c r="R9" s="11">
        <v>0</v>
      </c>
      <c r="S9" s="39">
        <f t="shared" si="8"/>
        <v>-329.15999999999997</v>
      </c>
      <c r="T9" s="35" t="e">
        <f t="shared" si="9"/>
        <v>#DIV/0!</v>
      </c>
      <c r="U9" s="12">
        <v>0</v>
      </c>
      <c r="V9" s="40">
        <f t="shared" si="10"/>
        <v>-329.15999999999997</v>
      </c>
      <c r="W9" s="36" t="e">
        <f t="shared" si="11"/>
        <v>#DIV/0!</v>
      </c>
    </row>
    <row r="10" spans="1:23" ht="26.4" customHeight="1" x14ac:dyDescent="0.6">
      <c r="A10" s="13">
        <v>3</v>
      </c>
      <c r="B10" s="14" t="s">
        <v>3543</v>
      </c>
      <c r="C10" s="14" t="s">
        <v>3683</v>
      </c>
      <c r="D10" s="15" t="s">
        <v>16258</v>
      </c>
      <c r="E10" s="13">
        <v>12</v>
      </c>
      <c r="F10" s="13" t="s">
        <v>16259</v>
      </c>
      <c r="G10" s="13">
        <f>15.43*12</f>
        <v>185.16</v>
      </c>
      <c r="H10" s="56">
        <v>12</v>
      </c>
      <c r="I10" s="13">
        <f t="shared" ref="I10:I11" si="12">+H10*E10</f>
        <v>144</v>
      </c>
      <c r="J10" s="13">
        <f t="shared" ref="J10:J11" si="13">+I10+G10</f>
        <v>329.15999999999997</v>
      </c>
      <c r="K10" s="20">
        <f>+J10</f>
        <v>329.15999999999997</v>
      </c>
      <c r="L10" s="9">
        <v>399</v>
      </c>
      <c r="M10" s="38">
        <f t="shared" si="4"/>
        <v>69.840000000000032</v>
      </c>
      <c r="N10" s="26">
        <f t="shared" si="5"/>
        <v>0.17503759398496249</v>
      </c>
      <c r="O10" s="10">
        <v>399</v>
      </c>
      <c r="P10" s="37">
        <f t="shared" si="6"/>
        <v>69.840000000000032</v>
      </c>
      <c r="Q10" s="30">
        <f t="shared" si="7"/>
        <v>0.17503759398496249</v>
      </c>
      <c r="R10" s="11">
        <v>0</v>
      </c>
      <c r="S10" s="39">
        <f t="shared" si="8"/>
        <v>-329.15999999999997</v>
      </c>
      <c r="T10" s="35" t="e">
        <f t="shared" si="9"/>
        <v>#DIV/0!</v>
      </c>
      <c r="U10" s="12">
        <v>0</v>
      </c>
      <c r="V10" s="40">
        <f t="shared" si="10"/>
        <v>-329.15999999999997</v>
      </c>
      <c r="W10" s="36" t="e">
        <f t="shared" si="11"/>
        <v>#DIV/0!</v>
      </c>
    </row>
    <row r="11" spans="1:23" ht="26.4" customHeight="1" x14ac:dyDescent="0.6">
      <c r="A11" s="13"/>
      <c r="B11" s="14"/>
      <c r="C11" s="14" t="s">
        <v>3544</v>
      </c>
      <c r="D11" s="15" t="s">
        <v>16258</v>
      </c>
      <c r="E11" s="13">
        <v>12</v>
      </c>
      <c r="F11" s="13" t="s">
        <v>16259</v>
      </c>
      <c r="G11" s="13">
        <f>15.43*12</f>
        <v>185.16</v>
      </c>
      <c r="H11" s="56">
        <v>12</v>
      </c>
      <c r="I11" s="13">
        <f t="shared" si="12"/>
        <v>144</v>
      </c>
      <c r="J11" s="13">
        <f t="shared" si="13"/>
        <v>329.15999999999997</v>
      </c>
      <c r="K11" s="20">
        <f>+J11</f>
        <v>329.15999999999997</v>
      </c>
      <c r="L11" s="9">
        <v>399</v>
      </c>
      <c r="M11" s="38">
        <f t="shared" si="4"/>
        <v>69.840000000000032</v>
      </c>
      <c r="N11" s="26">
        <f t="shared" si="5"/>
        <v>0.17503759398496249</v>
      </c>
      <c r="O11" s="10">
        <v>399</v>
      </c>
      <c r="P11" s="37">
        <f t="shared" si="6"/>
        <v>69.840000000000032</v>
      </c>
      <c r="Q11" s="30">
        <f t="shared" si="7"/>
        <v>0.17503759398496249</v>
      </c>
      <c r="R11" s="11">
        <v>0</v>
      </c>
      <c r="S11" s="39">
        <f t="shared" si="8"/>
        <v>-329.15999999999997</v>
      </c>
      <c r="T11" s="35" t="e">
        <f t="shared" si="9"/>
        <v>#DIV/0!</v>
      </c>
      <c r="U11" s="12">
        <v>0</v>
      </c>
      <c r="V11" s="40">
        <f t="shared" si="10"/>
        <v>-329.15999999999997</v>
      </c>
      <c r="W11" s="36" t="e">
        <f t="shared" si="11"/>
        <v>#DIV/0!</v>
      </c>
    </row>
    <row r="12" spans="1:23" x14ac:dyDescent="0.6">
      <c r="A12" s="16">
        <v>4</v>
      </c>
      <c r="B12" s="17" t="s">
        <v>13290</v>
      </c>
      <c r="C12" s="17" t="s">
        <v>13291</v>
      </c>
      <c r="D12" s="18" t="s">
        <v>16258</v>
      </c>
      <c r="E12" s="16">
        <v>4</v>
      </c>
      <c r="F12" s="16" t="s">
        <v>16259</v>
      </c>
      <c r="G12" s="16">
        <f>15.43*4</f>
        <v>61.72</v>
      </c>
      <c r="H12" s="56">
        <v>12</v>
      </c>
      <c r="I12" s="16">
        <f>+H12*E12</f>
        <v>48</v>
      </c>
      <c r="J12" s="16">
        <f>+G12+I12</f>
        <v>109.72</v>
      </c>
      <c r="K12" s="21">
        <f>+J12</f>
        <v>109.72</v>
      </c>
      <c r="L12" s="9">
        <v>135</v>
      </c>
      <c r="M12" s="38">
        <f t="shared" si="4"/>
        <v>25.28</v>
      </c>
      <c r="N12" s="26">
        <f t="shared" si="5"/>
        <v>0.18725925925925926</v>
      </c>
      <c r="O12" s="10">
        <v>160</v>
      </c>
      <c r="P12" s="37">
        <f t="shared" si="6"/>
        <v>50.28</v>
      </c>
      <c r="Q12" s="30">
        <f t="shared" si="7"/>
        <v>0.31425000000000003</v>
      </c>
      <c r="R12" s="11">
        <v>0</v>
      </c>
      <c r="S12" s="39">
        <f t="shared" si="8"/>
        <v>-109.72</v>
      </c>
      <c r="T12" s="35" t="e">
        <f t="shared" si="9"/>
        <v>#DIV/0!</v>
      </c>
      <c r="U12" s="12">
        <v>0</v>
      </c>
      <c r="V12" s="40">
        <f t="shared" si="10"/>
        <v>-109.72</v>
      </c>
      <c r="W12" s="36" t="e">
        <f t="shared" si="11"/>
        <v>#DIV/0!</v>
      </c>
    </row>
    <row r="13" spans="1:23" ht="26.4" customHeight="1" x14ac:dyDescent="0.6">
      <c r="A13" s="13">
        <v>5</v>
      </c>
      <c r="B13" s="14" t="s">
        <v>2946</v>
      </c>
      <c r="C13" s="14" t="s">
        <v>2947</v>
      </c>
      <c r="D13" s="15" t="s">
        <v>16278</v>
      </c>
      <c r="E13" s="13">
        <v>1</v>
      </c>
      <c r="F13" s="13" t="s">
        <v>16257</v>
      </c>
      <c r="G13" s="13">
        <v>13.37</v>
      </c>
      <c r="H13" s="56">
        <v>12</v>
      </c>
      <c r="I13" s="13">
        <f t="shared" ref="I13:I15" si="14">+H13*E13</f>
        <v>12</v>
      </c>
      <c r="J13" s="13">
        <f t="shared" ref="J13:J15" si="15">+I13+G13</f>
        <v>25.369999999999997</v>
      </c>
      <c r="K13" s="65">
        <f>+J13+J14+J15</f>
        <v>79.389999999999986</v>
      </c>
      <c r="L13" s="67">
        <v>0</v>
      </c>
      <c r="M13" s="77">
        <f t="shared" si="4"/>
        <v>-79.389999999999986</v>
      </c>
      <c r="N13" s="86" t="e">
        <f t="shared" si="5"/>
        <v>#DIV/0!</v>
      </c>
      <c r="O13" s="71">
        <v>0</v>
      </c>
      <c r="P13" s="80">
        <f t="shared" si="6"/>
        <v>-79.389999999999986</v>
      </c>
      <c r="Q13" s="89" t="e">
        <f>+P13/O13</f>
        <v>#DIV/0!</v>
      </c>
      <c r="R13" s="74">
        <v>0</v>
      </c>
      <c r="S13" s="92">
        <f t="shared" si="8"/>
        <v>-79.389999999999986</v>
      </c>
      <c r="T13" s="95" t="e">
        <f t="shared" si="9"/>
        <v>#DIV/0!</v>
      </c>
      <c r="U13" s="83">
        <v>130</v>
      </c>
      <c r="V13" s="98">
        <f t="shared" si="10"/>
        <v>50.610000000000014</v>
      </c>
      <c r="W13" s="101">
        <f t="shared" si="11"/>
        <v>0.38930769230769241</v>
      </c>
    </row>
    <row r="14" spans="1:23" ht="26.4" customHeight="1" x14ac:dyDescent="0.6">
      <c r="A14" s="13"/>
      <c r="B14" s="14"/>
      <c r="C14" s="14"/>
      <c r="D14" s="15" t="s">
        <v>16261</v>
      </c>
      <c r="E14" s="13">
        <v>1</v>
      </c>
      <c r="F14" s="13" t="s">
        <v>16257</v>
      </c>
      <c r="G14" s="13">
        <v>13.37</v>
      </c>
      <c r="H14" s="56">
        <v>12</v>
      </c>
      <c r="I14" s="13">
        <f t="shared" si="14"/>
        <v>12</v>
      </c>
      <c r="J14" s="13">
        <f t="shared" si="15"/>
        <v>25.369999999999997</v>
      </c>
      <c r="K14" s="70"/>
      <c r="L14" s="68"/>
      <c r="M14" s="78">
        <f t="shared" si="4"/>
        <v>0</v>
      </c>
      <c r="N14" s="87" t="e">
        <f t="shared" si="5"/>
        <v>#DIV/0!</v>
      </c>
      <c r="O14" s="72"/>
      <c r="P14" s="81">
        <f t="shared" si="6"/>
        <v>0</v>
      </c>
      <c r="Q14" s="90"/>
      <c r="R14" s="75"/>
      <c r="S14" s="93">
        <f t="shared" si="8"/>
        <v>0</v>
      </c>
      <c r="T14" s="96"/>
      <c r="U14" s="84"/>
      <c r="V14" s="99">
        <f t="shared" si="10"/>
        <v>0</v>
      </c>
      <c r="W14" s="105" t="e">
        <f t="shared" si="11"/>
        <v>#DIV/0!</v>
      </c>
    </row>
    <row r="15" spans="1:23" ht="26.4" customHeight="1" x14ac:dyDescent="0.6">
      <c r="A15" s="13"/>
      <c r="B15" s="14"/>
      <c r="C15" s="14"/>
      <c r="D15" s="15" t="s">
        <v>16260</v>
      </c>
      <c r="E15" s="13">
        <v>1</v>
      </c>
      <c r="F15" s="13" t="s">
        <v>16257</v>
      </c>
      <c r="G15" s="13">
        <v>16.649999999999999</v>
      </c>
      <c r="H15" s="56">
        <v>12</v>
      </c>
      <c r="I15" s="13">
        <f t="shared" si="14"/>
        <v>12</v>
      </c>
      <c r="J15" s="13">
        <f t="shared" si="15"/>
        <v>28.65</v>
      </c>
      <c r="K15" s="66"/>
      <c r="L15" s="69"/>
      <c r="M15" s="79">
        <f t="shared" si="4"/>
        <v>0</v>
      </c>
      <c r="N15" s="88" t="e">
        <f t="shared" si="5"/>
        <v>#DIV/0!</v>
      </c>
      <c r="O15" s="73"/>
      <c r="P15" s="82">
        <f t="shared" si="6"/>
        <v>0</v>
      </c>
      <c r="Q15" s="91"/>
      <c r="R15" s="76"/>
      <c r="S15" s="94">
        <f t="shared" si="8"/>
        <v>0</v>
      </c>
      <c r="T15" s="97"/>
      <c r="U15" s="85"/>
      <c r="V15" s="100">
        <f t="shared" si="10"/>
        <v>0</v>
      </c>
      <c r="W15" s="102" t="e">
        <f t="shared" si="11"/>
        <v>#DIV/0!</v>
      </c>
    </row>
    <row r="16" spans="1:23" x14ac:dyDescent="0.6">
      <c r="A16" s="16">
        <v>6</v>
      </c>
      <c r="B16" s="17" t="s">
        <v>2820</v>
      </c>
      <c r="C16" s="17" t="s">
        <v>2821</v>
      </c>
      <c r="D16" s="18" t="s">
        <v>16258</v>
      </c>
      <c r="E16" s="16">
        <v>3</v>
      </c>
      <c r="F16" s="16" t="s">
        <v>16259</v>
      </c>
      <c r="G16" s="16">
        <f>15.43*3</f>
        <v>46.29</v>
      </c>
      <c r="H16" s="56">
        <v>12</v>
      </c>
      <c r="I16" s="16">
        <f>+H16*E16</f>
        <v>36</v>
      </c>
      <c r="J16" s="16">
        <f>+G16+I16</f>
        <v>82.289999999999992</v>
      </c>
      <c r="K16" s="21">
        <f>+J16</f>
        <v>82.289999999999992</v>
      </c>
      <c r="L16" s="9">
        <v>0</v>
      </c>
      <c r="M16" s="38">
        <f t="shared" si="4"/>
        <v>-82.289999999999992</v>
      </c>
      <c r="N16" s="26" t="e">
        <f t="shared" si="5"/>
        <v>#DIV/0!</v>
      </c>
      <c r="O16" s="10">
        <v>0</v>
      </c>
      <c r="P16" s="37">
        <f t="shared" si="6"/>
        <v>-82.289999999999992</v>
      </c>
      <c r="Q16" s="30" t="e">
        <f>+P16/O16</f>
        <v>#DIV/0!</v>
      </c>
      <c r="R16" s="11">
        <v>100</v>
      </c>
      <c r="S16" s="39">
        <f t="shared" si="8"/>
        <v>17.710000000000008</v>
      </c>
      <c r="T16" s="35">
        <f t="shared" si="9"/>
        <v>0.17710000000000009</v>
      </c>
      <c r="U16" s="12">
        <v>100</v>
      </c>
      <c r="V16" s="40">
        <f t="shared" si="10"/>
        <v>17.710000000000008</v>
      </c>
      <c r="W16" s="36">
        <f t="shared" si="11"/>
        <v>0.17710000000000009</v>
      </c>
    </row>
    <row r="17" spans="1:23" x14ac:dyDescent="0.6">
      <c r="A17" s="13">
        <v>7</v>
      </c>
      <c r="B17" s="14" t="s">
        <v>243</v>
      </c>
      <c r="C17" s="14" t="s">
        <v>244</v>
      </c>
      <c r="D17" s="15" t="s">
        <v>16262</v>
      </c>
      <c r="E17" s="13">
        <v>6</v>
      </c>
      <c r="F17" s="13" t="s">
        <v>16257</v>
      </c>
      <c r="G17" s="13">
        <f>14.6*6</f>
        <v>87.6</v>
      </c>
      <c r="H17" s="56">
        <v>12</v>
      </c>
      <c r="I17" s="13">
        <f>+H17*E17</f>
        <v>72</v>
      </c>
      <c r="J17" s="13">
        <f>+I17+G17</f>
        <v>159.6</v>
      </c>
      <c r="K17" s="21">
        <f>+J17</f>
        <v>159.6</v>
      </c>
      <c r="L17" s="9">
        <v>0</v>
      </c>
      <c r="M17" s="38">
        <f t="shared" si="4"/>
        <v>-159.6</v>
      </c>
      <c r="N17" s="26" t="e">
        <f t="shared" si="5"/>
        <v>#DIV/0!</v>
      </c>
      <c r="O17" s="10">
        <v>0</v>
      </c>
      <c r="P17" s="37">
        <f t="shared" si="6"/>
        <v>-159.6</v>
      </c>
      <c r="Q17" s="30" t="e">
        <f t="shared" ref="Q17:Q80" si="16">+P17/O17</f>
        <v>#DIV/0!</v>
      </c>
      <c r="R17" s="11">
        <v>200</v>
      </c>
      <c r="S17" s="39">
        <f t="shared" si="8"/>
        <v>40.400000000000006</v>
      </c>
      <c r="T17" s="35">
        <f t="shared" si="9"/>
        <v>0.20200000000000004</v>
      </c>
      <c r="U17" s="12">
        <v>260</v>
      </c>
      <c r="V17" s="40">
        <f t="shared" si="10"/>
        <v>100.4</v>
      </c>
      <c r="W17" s="36">
        <f t="shared" si="11"/>
        <v>0.38615384615384618</v>
      </c>
    </row>
    <row r="18" spans="1:23" ht="26.4" customHeight="1" x14ac:dyDescent="0.6">
      <c r="A18" s="16">
        <v>8</v>
      </c>
      <c r="B18" s="17" t="s">
        <v>21</v>
      </c>
      <c r="C18" s="17" t="s">
        <v>1072</v>
      </c>
      <c r="D18" s="18" t="s">
        <v>16262</v>
      </c>
      <c r="E18" s="16">
        <v>3</v>
      </c>
      <c r="F18" s="16" t="s">
        <v>16257</v>
      </c>
      <c r="G18" s="16">
        <f t="shared" ref="G18:G23" si="17">14.6*3</f>
        <v>43.8</v>
      </c>
      <c r="H18" s="56">
        <v>12</v>
      </c>
      <c r="I18" s="16">
        <f t="shared" ref="I18:I21" si="18">+H18*E18</f>
        <v>36</v>
      </c>
      <c r="J18" s="16">
        <f t="shared" ref="J18:J21" si="19">+G18+I18</f>
        <v>79.8</v>
      </c>
      <c r="K18" s="20">
        <f>+J18</f>
        <v>79.8</v>
      </c>
      <c r="L18" s="9">
        <v>130</v>
      </c>
      <c r="M18" s="38">
        <f t="shared" si="4"/>
        <v>50.2</v>
      </c>
      <c r="N18" s="26">
        <f t="shared" si="5"/>
        <v>0.38615384615384618</v>
      </c>
      <c r="O18" s="10">
        <v>180</v>
      </c>
      <c r="P18" s="37">
        <f t="shared" si="6"/>
        <v>100.2</v>
      </c>
      <c r="Q18" s="30">
        <f t="shared" si="16"/>
        <v>0.55666666666666664</v>
      </c>
      <c r="R18" s="11">
        <v>100</v>
      </c>
      <c r="S18" s="39">
        <f t="shared" si="8"/>
        <v>20.200000000000003</v>
      </c>
      <c r="T18" s="35">
        <f t="shared" si="9"/>
        <v>0.20200000000000004</v>
      </c>
      <c r="U18" s="12">
        <v>130</v>
      </c>
      <c r="V18" s="40">
        <f t="shared" si="10"/>
        <v>50.2</v>
      </c>
      <c r="W18" s="36">
        <f t="shared" si="11"/>
        <v>0.38615384615384618</v>
      </c>
    </row>
    <row r="19" spans="1:23" ht="26.4" customHeight="1" x14ac:dyDescent="0.6">
      <c r="A19" s="16"/>
      <c r="B19" s="17"/>
      <c r="C19" s="17" t="s">
        <v>3678</v>
      </c>
      <c r="D19" s="18" t="s">
        <v>16262</v>
      </c>
      <c r="E19" s="16">
        <v>3</v>
      </c>
      <c r="F19" s="16" t="s">
        <v>16257</v>
      </c>
      <c r="G19" s="16">
        <f t="shared" si="17"/>
        <v>43.8</v>
      </c>
      <c r="H19" s="56">
        <v>12</v>
      </c>
      <c r="I19" s="16">
        <f t="shared" si="18"/>
        <v>36</v>
      </c>
      <c r="J19" s="16">
        <f t="shared" si="19"/>
        <v>79.8</v>
      </c>
      <c r="K19" s="20">
        <f t="shared" ref="K19:K21" si="20">+J19</f>
        <v>79.8</v>
      </c>
      <c r="L19" s="9">
        <v>130</v>
      </c>
      <c r="M19" s="38">
        <f t="shared" si="4"/>
        <v>50.2</v>
      </c>
      <c r="N19" s="26">
        <f t="shared" si="5"/>
        <v>0.38615384615384618</v>
      </c>
      <c r="O19" s="10">
        <v>180</v>
      </c>
      <c r="P19" s="37">
        <f t="shared" si="6"/>
        <v>100.2</v>
      </c>
      <c r="Q19" s="30">
        <f t="shared" si="16"/>
        <v>0.55666666666666664</v>
      </c>
      <c r="R19" s="11">
        <v>100</v>
      </c>
      <c r="S19" s="39">
        <f t="shared" si="8"/>
        <v>20.200000000000003</v>
      </c>
      <c r="T19" s="35">
        <f t="shared" si="9"/>
        <v>0.20200000000000004</v>
      </c>
      <c r="U19" s="12">
        <v>130</v>
      </c>
      <c r="V19" s="40">
        <f t="shared" si="10"/>
        <v>50.2</v>
      </c>
      <c r="W19" s="36">
        <f t="shared" si="11"/>
        <v>0.38615384615384618</v>
      </c>
    </row>
    <row r="20" spans="1:23" ht="26.4" customHeight="1" x14ac:dyDescent="0.6">
      <c r="A20" s="16"/>
      <c r="B20" s="17"/>
      <c r="C20" s="17" t="s">
        <v>22</v>
      </c>
      <c r="D20" s="18" t="s">
        <v>16262</v>
      </c>
      <c r="E20" s="16">
        <v>3</v>
      </c>
      <c r="F20" s="16" t="s">
        <v>16257</v>
      </c>
      <c r="G20" s="16">
        <f t="shared" si="17"/>
        <v>43.8</v>
      </c>
      <c r="H20" s="56">
        <v>12</v>
      </c>
      <c r="I20" s="16">
        <f t="shared" si="18"/>
        <v>36</v>
      </c>
      <c r="J20" s="16">
        <f t="shared" si="19"/>
        <v>79.8</v>
      </c>
      <c r="K20" s="20">
        <f t="shared" si="20"/>
        <v>79.8</v>
      </c>
      <c r="L20" s="9">
        <v>130</v>
      </c>
      <c r="M20" s="38">
        <f t="shared" si="4"/>
        <v>50.2</v>
      </c>
      <c r="N20" s="26">
        <f t="shared" si="5"/>
        <v>0.38615384615384618</v>
      </c>
      <c r="O20" s="10">
        <v>180</v>
      </c>
      <c r="P20" s="37">
        <f t="shared" si="6"/>
        <v>100.2</v>
      </c>
      <c r="Q20" s="30">
        <f t="shared" si="16"/>
        <v>0.55666666666666664</v>
      </c>
      <c r="R20" s="11">
        <v>100</v>
      </c>
      <c r="S20" s="39">
        <f t="shared" si="8"/>
        <v>20.200000000000003</v>
      </c>
      <c r="T20" s="35">
        <f t="shared" si="9"/>
        <v>0.20200000000000004</v>
      </c>
      <c r="U20" s="12">
        <v>130</v>
      </c>
      <c r="V20" s="40">
        <f t="shared" si="10"/>
        <v>50.2</v>
      </c>
      <c r="W20" s="36">
        <f t="shared" si="11"/>
        <v>0.38615384615384618</v>
      </c>
    </row>
    <row r="21" spans="1:23" ht="26.4" customHeight="1" x14ac:dyDescent="0.6">
      <c r="A21" s="16"/>
      <c r="B21" s="17"/>
      <c r="C21" s="17" t="s">
        <v>5468</v>
      </c>
      <c r="D21" s="18" t="s">
        <v>16262</v>
      </c>
      <c r="E21" s="16">
        <v>3</v>
      </c>
      <c r="F21" s="16" t="s">
        <v>16257</v>
      </c>
      <c r="G21" s="16">
        <f t="shared" si="17"/>
        <v>43.8</v>
      </c>
      <c r="H21" s="56">
        <v>12</v>
      </c>
      <c r="I21" s="16">
        <f t="shared" si="18"/>
        <v>36</v>
      </c>
      <c r="J21" s="16">
        <f t="shared" si="19"/>
        <v>79.8</v>
      </c>
      <c r="K21" s="20">
        <f t="shared" si="20"/>
        <v>79.8</v>
      </c>
      <c r="L21" s="9">
        <v>130</v>
      </c>
      <c r="M21" s="38">
        <f t="shared" si="4"/>
        <v>50.2</v>
      </c>
      <c r="N21" s="26">
        <f t="shared" si="5"/>
        <v>0.38615384615384618</v>
      </c>
      <c r="O21" s="10">
        <v>180</v>
      </c>
      <c r="P21" s="37">
        <f t="shared" si="6"/>
        <v>100.2</v>
      </c>
      <c r="Q21" s="30">
        <f t="shared" si="16"/>
        <v>0.55666666666666664</v>
      </c>
      <c r="R21" s="11">
        <v>100</v>
      </c>
      <c r="S21" s="39">
        <f t="shared" si="8"/>
        <v>20.200000000000003</v>
      </c>
      <c r="T21" s="35">
        <f t="shared" si="9"/>
        <v>0.20200000000000004</v>
      </c>
      <c r="U21" s="12">
        <v>130</v>
      </c>
      <c r="V21" s="40">
        <f t="shared" si="10"/>
        <v>50.2</v>
      </c>
      <c r="W21" s="36">
        <f t="shared" si="11"/>
        <v>0.38615384615384618</v>
      </c>
    </row>
    <row r="22" spans="1:23" x14ac:dyDescent="0.6">
      <c r="A22" s="13">
        <v>9</v>
      </c>
      <c r="B22" s="14" t="s">
        <v>499</v>
      </c>
      <c r="C22" s="14" t="s">
        <v>500</v>
      </c>
      <c r="D22" s="15" t="s">
        <v>16262</v>
      </c>
      <c r="E22" s="13">
        <v>3</v>
      </c>
      <c r="F22" s="13" t="s">
        <v>16257</v>
      </c>
      <c r="G22" s="13">
        <f t="shared" si="17"/>
        <v>43.8</v>
      </c>
      <c r="H22" s="56">
        <v>12</v>
      </c>
      <c r="I22" s="13">
        <f>+H22*E22</f>
        <v>36</v>
      </c>
      <c r="J22" s="13">
        <f>+I22+G22</f>
        <v>79.8</v>
      </c>
      <c r="K22" s="21">
        <f t="shared" ref="K22:K30" si="21">+J22</f>
        <v>79.8</v>
      </c>
      <c r="L22" s="9">
        <v>130</v>
      </c>
      <c r="M22" s="38">
        <f t="shared" si="4"/>
        <v>50.2</v>
      </c>
      <c r="N22" s="26">
        <f t="shared" si="5"/>
        <v>0.38615384615384618</v>
      </c>
      <c r="O22" s="10">
        <v>180</v>
      </c>
      <c r="P22" s="37">
        <f t="shared" si="6"/>
        <v>100.2</v>
      </c>
      <c r="Q22" s="30">
        <f t="shared" si="16"/>
        <v>0.55666666666666664</v>
      </c>
      <c r="R22" s="11">
        <v>100</v>
      </c>
      <c r="S22" s="39">
        <f t="shared" si="8"/>
        <v>20.200000000000003</v>
      </c>
      <c r="T22" s="35">
        <f t="shared" si="9"/>
        <v>0.20200000000000004</v>
      </c>
      <c r="U22" s="12">
        <v>130</v>
      </c>
      <c r="V22" s="40">
        <f t="shared" si="10"/>
        <v>50.2</v>
      </c>
      <c r="W22" s="36">
        <f t="shared" si="11"/>
        <v>0.38615384615384618</v>
      </c>
    </row>
    <row r="23" spans="1:23" x14ac:dyDescent="0.6">
      <c r="A23" s="16">
        <v>10</v>
      </c>
      <c r="B23" s="17" t="s">
        <v>6039</v>
      </c>
      <c r="C23" s="17" t="s">
        <v>4980</v>
      </c>
      <c r="D23" s="18" t="s">
        <v>16262</v>
      </c>
      <c r="E23" s="16">
        <v>3</v>
      </c>
      <c r="F23" s="16" t="s">
        <v>16257</v>
      </c>
      <c r="G23" s="16">
        <f t="shared" si="17"/>
        <v>43.8</v>
      </c>
      <c r="H23" s="56">
        <v>12</v>
      </c>
      <c r="I23" s="16">
        <f t="shared" ref="I23:I24" si="22">+H23*E23</f>
        <v>36</v>
      </c>
      <c r="J23" s="16">
        <f t="shared" ref="J23:J24" si="23">+G23+I23</f>
        <v>79.8</v>
      </c>
      <c r="K23" s="21">
        <f t="shared" si="21"/>
        <v>79.8</v>
      </c>
      <c r="L23" s="9">
        <v>200</v>
      </c>
      <c r="M23" s="38">
        <f t="shared" si="4"/>
        <v>120.2</v>
      </c>
      <c r="N23" s="26">
        <f t="shared" si="5"/>
        <v>0.60099999999999998</v>
      </c>
      <c r="O23" s="10">
        <v>0</v>
      </c>
      <c r="P23" s="37">
        <f t="shared" si="6"/>
        <v>-79.8</v>
      </c>
      <c r="Q23" s="30" t="e">
        <f t="shared" si="16"/>
        <v>#DIV/0!</v>
      </c>
      <c r="R23" s="11">
        <v>0</v>
      </c>
      <c r="S23" s="39">
        <f t="shared" si="8"/>
        <v>-79.8</v>
      </c>
      <c r="T23" s="35" t="e">
        <f t="shared" si="9"/>
        <v>#DIV/0!</v>
      </c>
      <c r="U23" s="12">
        <v>0</v>
      </c>
      <c r="V23" s="40">
        <f t="shared" si="10"/>
        <v>-79.8</v>
      </c>
      <c r="W23" s="36" t="e">
        <f t="shared" si="11"/>
        <v>#DIV/0!</v>
      </c>
    </row>
    <row r="24" spans="1:23" x14ac:dyDescent="0.6">
      <c r="A24" s="16"/>
      <c r="B24" s="17"/>
      <c r="C24" s="17" t="s">
        <v>6040</v>
      </c>
      <c r="D24" s="18" t="s">
        <v>16260</v>
      </c>
      <c r="E24" s="16">
        <v>4</v>
      </c>
      <c r="F24" s="16" t="s">
        <v>16257</v>
      </c>
      <c r="G24" s="16">
        <f>16.65*4</f>
        <v>66.599999999999994</v>
      </c>
      <c r="H24" s="56">
        <v>12</v>
      </c>
      <c r="I24" s="16">
        <f t="shared" si="22"/>
        <v>48</v>
      </c>
      <c r="J24" s="16">
        <f t="shared" si="23"/>
        <v>114.6</v>
      </c>
      <c r="K24" s="21">
        <f t="shared" si="21"/>
        <v>114.6</v>
      </c>
      <c r="L24" s="9">
        <v>200</v>
      </c>
      <c r="M24" s="38">
        <f t="shared" si="4"/>
        <v>85.4</v>
      </c>
      <c r="N24" s="26">
        <f t="shared" si="5"/>
        <v>0.42700000000000005</v>
      </c>
      <c r="O24" s="10">
        <v>0</v>
      </c>
      <c r="P24" s="37">
        <f t="shared" si="6"/>
        <v>-114.6</v>
      </c>
      <c r="Q24" s="30" t="e">
        <f t="shared" si="16"/>
        <v>#DIV/0!</v>
      </c>
      <c r="R24" s="11">
        <v>0</v>
      </c>
      <c r="S24" s="39">
        <f t="shared" si="8"/>
        <v>-114.6</v>
      </c>
      <c r="T24" s="35" t="e">
        <f t="shared" si="9"/>
        <v>#DIV/0!</v>
      </c>
      <c r="U24" s="12">
        <v>0</v>
      </c>
      <c r="V24" s="40">
        <f t="shared" si="10"/>
        <v>-114.6</v>
      </c>
      <c r="W24" s="36" t="e">
        <f t="shared" si="11"/>
        <v>#DIV/0!</v>
      </c>
    </row>
    <row r="25" spans="1:23" ht="26.4" customHeight="1" x14ac:dyDescent="0.6">
      <c r="A25" s="13">
        <v>11</v>
      </c>
      <c r="B25" s="14" t="s">
        <v>6801</v>
      </c>
      <c r="C25" s="14" t="s">
        <v>6801</v>
      </c>
      <c r="D25" s="15" t="s">
        <v>16263</v>
      </c>
      <c r="E25" s="13">
        <v>10</v>
      </c>
      <c r="F25" s="13" t="s">
        <v>16265</v>
      </c>
      <c r="G25" s="13">
        <f>7.21*10</f>
        <v>72.099999999999994</v>
      </c>
      <c r="H25" s="56">
        <v>1.2</v>
      </c>
      <c r="I25" s="13">
        <f>+H25*E25</f>
        <v>12</v>
      </c>
      <c r="J25" s="13">
        <f t="shared" ref="J25:J26" si="24">+I25+G25</f>
        <v>84.1</v>
      </c>
      <c r="K25" s="20">
        <f t="shared" si="21"/>
        <v>84.1</v>
      </c>
      <c r="L25" s="55">
        <v>0</v>
      </c>
      <c r="M25" s="38">
        <f t="shared" si="4"/>
        <v>-84.1</v>
      </c>
      <c r="N25" s="26" t="e">
        <f t="shared" si="5"/>
        <v>#DIV/0!</v>
      </c>
      <c r="O25" s="54">
        <v>0</v>
      </c>
      <c r="P25" s="37">
        <f t="shared" si="6"/>
        <v>-84.1</v>
      </c>
      <c r="Q25" s="30" t="e">
        <f t="shared" si="16"/>
        <v>#DIV/0!</v>
      </c>
      <c r="R25" s="51">
        <v>100</v>
      </c>
      <c r="S25" s="39">
        <f t="shared" si="8"/>
        <v>15.900000000000006</v>
      </c>
      <c r="T25" s="35">
        <f t="shared" si="9"/>
        <v>0.15900000000000006</v>
      </c>
      <c r="U25" s="49">
        <v>0</v>
      </c>
      <c r="V25" s="40">
        <f t="shared" si="10"/>
        <v>-84.1</v>
      </c>
      <c r="W25" s="36" t="e">
        <f t="shared" si="11"/>
        <v>#DIV/0!</v>
      </c>
    </row>
    <row r="26" spans="1:23" ht="26.4" customHeight="1" x14ac:dyDescent="0.6">
      <c r="A26" s="13"/>
      <c r="B26" s="14"/>
      <c r="C26" s="14"/>
      <c r="D26" s="15" t="s">
        <v>16264</v>
      </c>
      <c r="E26" s="13">
        <v>10</v>
      </c>
      <c r="F26" s="13" t="s">
        <v>16265</v>
      </c>
      <c r="G26" s="13">
        <f>7.11*10</f>
        <v>71.100000000000009</v>
      </c>
      <c r="H26" s="56">
        <v>1.2</v>
      </c>
      <c r="I26" s="13">
        <f t="shared" ref="I26" si="25">+H26*E26</f>
        <v>12</v>
      </c>
      <c r="J26" s="13">
        <f t="shared" si="24"/>
        <v>83.100000000000009</v>
      </c>
      <c r="K26" s="20">
        <f t="shared" si="21"/>
        <v>83.100000000000009</v>
      </c>
      <c r="L26" s="55">
        <v>0</v>
      </c>
      <c r="M26" s="38">
        <f t="shared" si="4"/>
        <v>-83.100000000000009</v>
      </c>
      <c r="N26" s="26" t="e">
        <f t="shared" si="5"/>
        <v>#DIV/0!</v>
      </c>
      <c r="O26" s="54">
        <v>0</v>
      </c>
      <c r="P26" s="37">
        <f t="shared" si="6"/>
        <v>-83.100000000000009</v>
      </c>
      <c r="Q26" s="30" t="e">
        <f t="shared" si="16"/>
        <v>#DIV/0!</v>
      </c>
      <c r="R26" s="51">
        <v>100</v>
      </c>
      <c r="S26" s="39">
        <f t="shared" si="8"/>
        <v>16.899999999999991</v>
      </c>
      <c r="T26" s="35">
        <f t="shared" si="9"/>
        <v>0.16899999999999993</v>
      </c>
      <c r="U26" s="49">
        <v>0</v>
      </c>
      <c r="V26" s="40">
        <f t="shared" si="10"/>
        <v>-83.100000000000009</v>
      </c>
      <c r="W26" s="36" t="e">
        <f t="shared" si="11"/>
        <v>#DIV/0!</v>
      </c>
    </row>
    <row r="27" spans="1:23" x14ac:dyDescent="0.6">
      <c r="A27" s="16">
        <v>12</v>
      </c>
      <c r="B27" s="17" t="s">
        <v>10896</v>
      </c>
      <c r="C27" s="17" t="s">
        <v>10897</v>
      </c>
      <c r="D27" s="18" t="s">
        <v>16266</v>
      </c>
      <c r="E27" s="16">
        <v>100</v>
      </c>
      <c r="F27" s="16" t="s">
        <v>16265</v>
      </c>
      <c r="G27" s="16">
        <f>7.19*100</f>
        <v>719</v>
      </c>
      <c r="H27" s="56">
        <v>1.2</v>
      </c>
      <c r="I27" s="16">
        <f>+H27*E27</f>
        <v>120</v>
      </c>
      <c r="J27" s="16">
        <f>+G27+I27</f>
        <v>839</v>
      </c>
      <c r="K27" s="21">
        <f t="shared" si="21"/>
        <v>839</v>
      </c>
      <c r="L27" s="9">
        <v>1200</v>
      </c>
      <c r="M27" s="38">
        <f t="shared" si="4"/>
        <v>361</v>
      </c>
      <c r="N27" s="26">
        <f t="shared" si="5"/>
        <v>0.30083333333333334</v>
      </c>
      <c r="O27" s="10">
        <v>1200</v>
      </c>
      <c r="P27" s="37">
        <f t="shared" si="6"/>
        <v>361</v>
      </c>
      <c r="Q27" s="30">
        <f t="shared" si="16"/>
        <v>0.30083333333333334</v>
      </c>
      <c r="R27" s="11">
        <v>0</v>
      </c>
      <c r="S27" s="39">
        <f t="shared" si="8"/>
        <v>-839</v>
      </c>
      <c r="T27" s="35" t="e">
        <f t="shared" si="9"/>
        <v>#DIV/0!</v>
      </c>
      <c r="U27" s="12">
        <v>1000</v>
      </c>
      <c r="V27" s="40">
        <f t="shared" si="10"/>
        <v>161</v>
      </c>
      <c r="W27" s="36">
        <f t="shared" si="11"/>
        <v>0.161</v>
      </c>
    </row>
    <row r="28" spans="1:23" x14ac:dyDescent="0.6">
      <c r="A28" s="13">
        <v>13</v>
      </c>
      <c r="B28" s="14" t="s">
        <v>2168</v>
      </c>
      <c r="C28" s="14" t="s">
        <v>2169</v>
      </c>
      <c r="D28" s="15" t="s">
        <v>16266</v>
      </c>
      <c r="E28" s="13">
        <v>10</v>
      </c>
      <c r="F28" s="13" t="s">
        <v>16265</v>
      </c>
      <c r="G28" s="13">
        <f>7.19*10</f>
        <v>71.900000000000006</v>
      </c>
      <c r="H28" s="56">
        <v>1.2</v>
      </c>
      <c r="I28" s="13">
        <f>+H28*E28</f>
        <v>12</v>
      </c>
      <c r="J28" s="13">
        <f>+I28+G28</f>
        <v>83.9</v>
      </c>
      <c r="K28" s="21">
        <f t="shared" si="21"/>
        <v>83.9</v>
      </c>
      <c r="L28" s="9">
        <v>120</v>
      </c>
      <c r="M28" s="38">
        <f t="shared" si="4"/>
        <v>36.099999999999994</v>
      </c>
      <c r="N28" s="26">
        <f t="shared" si="5"/>
        <v>0.30083333333333329</v>
      </c>
      <c r="O28" s="10">
        <v>120</v>
      </c>
      <c r="P28" s="37">
        <f t="shared" si="6"/>
        <v>36.099999999999994</v>
      </c>
      <c r="Q28" s="30">
        <f t="shared" si="16"/>
        <v>0.30083333333333329</v>
      </c>
      <c r="R28" s="11">
        <v>100</v>
      </c>
      <c r="S28" s="39">
        <f t="shared" si="8"/>
        <v>16.099999999999994</v>
      </c>
      <c r="T28" s="35">
        <f t="shared" si="9"/>
        <v>0.16099999999999995</v>
      </c>
      <c r="U28" s="12">
        <v>0</v>
      </c>
      <c r="V28" s="40">
        <f t="shared" si="10"/>
        <v>-83.9</v>
      </c>
      <c r="W28" s="36" t="e">
        <f t="shared" si="11"/>
        <v>#DIV/0!</v>
      </c>
    </row>
    <row r="29" spans="1:23" ht="26.4" customHeight="1" x14ac:dyDescent="0.6">
      <c r="A29" s="16">
        <v>14</v>
      </c>
      <c r="B29" s="17" t="s">
        <v>2990</v>
      </c>
      <c r="C29" s="17" t="s">
        <v>2169</v>
      </c>
      <c r="D29" s="18" t="s">
        <v>16266</v>
      </c>
      <c r="E29" s="16">
        <v>20</v>
      </c>
      <c r="F29" s="16" t="s">
        <v>16265</v>
      </c>
      <c r="G29" s="16">
        <f>7.19*20</f>
        <v>143.80000000000001</v>
      </c>
      <c r="H29" s="56">
        <v>0.6</v>
      </c>
      <c r="I29" s="16">
        <f t="shared" ref="I29:I30" si="26">+H29*E29</f>
        <v>12</v>
      </c>
      <c r="J29" s="16">
        <f t="shared" ref="J29:J30" si="27">+G29+I29</f>
        <v>155.80000000000001</v>
      </c>
      <c r="K29" s="20">
        <f t="shared" si="21"/>
        <v>155.80000000000001</v>
      </c>
      <c r="L29" s="55">
        <v>240</v>
      </c>
      <c r="M29" s="38">
        <f t="shared" si="4"/>
        <v>84.199999999999989</v>
      </c>
      <c r="N29" s="26">
        <f t="shared" si="5"/>
        <v>0.35083333333333327</v>
      </c>
      <c r="O29" s="54">
        <v>200</v>
      </c>
      <c r="P29" s="37">
        <f t="shared" si="6"/>
        <v>44.199999999999989</v>
      </c>
      <c r="Q29" s="30">
        <f t="shared" si="16"/>
        <v>0.22099999999999995</v>
      </c>
      <c r="R29" s="51">
        <v>200</v>
      </c>
      <c r="S29" s="39">
        <f t="shared" si="8"/>
        <v>44.199999999999989</v>
      </c>
      <c r="T29" s="35">
        <f t="shared" si="9"/>
        <v>0.22099999999999995</v>
      </c>
      <c r="U29" s="49">
        <v>0</v>
      </c>
      <c r="V29" s="40">
        <f t="shared" si="10"/>
        <v>-155.80000000000001</v>
      </c>
      <c r="W29" s="36" t="e">
        <f t="shared" si="11"/>
        <v>#DIV/0!</v>
      </c>
    </row>
    <row r="30" spans="1:23" ht="26.4" customHeight="1" x14ac:dyDescent="0.6">
      <c r="A30" s="16"/>
      <c r="B30" s="17"/>
      <c r="C30" s="17" t="s">
        <v>2991</v>
      </c>
      <c r="D30" s="18" t="s">
        <v>16266</v>
      </c>
      <c r="E30" s="16">
        <v>20</v>
      </c>
      <c r="F30" s="16" t="s">
        <v>16265</v>
      </c>
      <c r="G30" s="16">
        <f>7.19*20</f>
        <v>143.80000000000001</v>
      </c>
      <c r="H30" s="56">
        <v>0.6</v>
      </c>
      <c r="I30" s="16">
        <f t="shared" si="26"/>
        <v>12</v>
      </c>
      <c r="J30" s="16">
        <f t="shared" si="27"/>
        <v>155.80000000000001</v>
      </c>
      <c r="K30" s="22">
        <f t="shared" si="21"/>
        <v>155.80000000000001</v>
      </c>
      <c r="L30" s="55">
        <v>240</v>
      </c>
      <c r="M30" s="38">
        <f t="shared" si="4"/>
        <v>84.199999999999989</v>
      </c>
      <c r="N30" s="26">
        <f t="shared" si="5"/>
        <v>0.35083333333333327</v>
      </c>
      <c r="O30" s="54">
        <v>200</v>
      </c>
      <c r="P30" s="37">
        <f t="shared" si="6"/>
        <v>44.199999999999989</v>
      </c>
      <c r="Q30" s="30">
        <f t="shared" si="16"/>
        <v>0.22099999999999995</v>
      </c>
      <c r="R30" s="51">
        <v>200</v>
      </c>
      <c r="S30" s="39">
        <f t="shared" si="8"/>
        <v>44.199999999999989</v>
      </c>
      <c r="T30" s="35">
        <f t="shared" si="9"/>
        <v>0.22099999999999995</v>
      </c>
      <c r="U30" s="49">
        <v>0</v>
      </c>
      <c r="V30" s="40">
        <f t="shared" si="10"/>
        <v>-155.80000000000001</v>
      </c>
      <c r="W30" s="36" t="e">
        <f t="shared" si="11"/>
        <v>#DIV/0!</v>
      </c>
    </row>
    <row r="31" spans="1:23" ht="26.4" customHeight="1" x14ac:dyDescent="0.6">
      <c r="A31" s="13">
        <v>15</v>
      </c>
      <c r="B31" s="14" t="s">
        <v>195</v>
      </c>
      <c r="C31" s="14" t="s">
        <v>4787</v>
      </c>
      <c r="D31" s="15" t="s">
        <v>16272</v>
      </c>
      <c r="E31" s="13">
        <v>1</v>
      </c>
      <c r="F31" s="13" t="s">
        <v>16257</v>
      </c>
      <c r="G31" s="13">
        <v>36.93</v>
      </c>
      <c r="H31" s="56">
        <v>12</v>
      </c>
      <c r="I31" s="13">
        <f t="shared" ref="I31:I42" si="28">+H31*E31</f>
        <v>12</v>
      </c>
      <c r="J31" s="13">
        <f t="shared" ref="J31:J42" si="29">+I31+G31</f>
        <v>48.93</v>
      </c>
      <c r="K31" s="65">
        <f>+J31+J32+J33</f>
        <v>132.48000000000002</v>
      </c>
      <c r="L31" s="67">
        <v>250</v>
      </c>
      <c r="M31" s="77">
        <f t="shared" si="4"/>
        <v>117.51999999999998</v>
      </c>
      <c r="N31" s="86">
        <f t="shared" si="5"/>
        <v>0.47007999999999994</v>
      </c>
      <c r="O31" s="71">
        <v>250</v>
      </c>
      <c r="P31" s="80">
        <f t="shared" si="6"/>
        <v>117.51999999999998</v>
      </c>
      <c r="Q31" s="89">
        <f t="shared" si="16"/>
        <v>0.47007999999999994</v>
      </c>
      <c r="R31" s="74">
        <v>250</v>
      </c>
      <c r="S31" s="92">
        <f t="shared" si="8"/>
        <v>117.51999999999998</v>
      </c>
      <c r="T31" s="95">
        <f t="shared" si="9"/>
        <v>0.47007999999999994</v>
      </c>
      <c r="U31" s="83">
        <v>250</v>
      </c>
      <c r="V31" s="98">
        <f t="shared" si="10"/>
        <v>117.51999999999998</v>
      </c>
      <c r="W31" s="101">
        <f t="shared" si="11"/>
        <v>0.47007999999999994</v>
      </c>
    </row>
    <row r="32" spans="1:23" ht="26.4" customHeight="1" x14ac:dyDescent="0.6">
      <c r="A32" s="13"/>
      <c r="B32" s="14"/>
      <c r="C32" s="14"/>
      <c r="D32" s="15" t="s">
        <v>16273</v>
      </c>
      <c r="E32" s="13">
        <v>1</v>
      </c>
      <c r="F32" s="13" t="s">
        <v>16257</v>
      </c>
      <c r="G32" s="13">
        <v>35.32</v>
      </c>
      <c r="H32" s="56">
        <v>12</v>
      </c>
      <c r="I32" s="13">
        <f t="shared" si="28"/>
        <v>12</v>
      </c>
      <c r="J32" s="13">
        <f t="shared" si="29"/>
        <v>47.32</v>
      </c>
      <c r="K32" s="70"/>
      <c r="L32" s="68"/>
      <c r="M32" s="78">
        <f t="shared" si="4"/>
        <v>0</v>
      </c>
      <c r="N32" s="87" t="e">
        <f t="shared" si="5"/>
        <v>#DIV/0!</v>
      </c>
      <c r="O32" s="72"/>
      <c r="P32" s="81">
        <f t="shared" si="6"/>
        <v>0</v>
      </c>
      <c r="Q32" s="90" t="e">
        <f t="shared" si="16"/>
        <v>#DIV/0!</v>
      </c>
      <c r="R32" s="75"/>
      <c r="S32" s="93"/>
      <c r="T32" s="96"/>
      <c r="U32" s="84"/>
      <c r="V32" s="99">
        <f t="shared" si="10"/>
        <v>0</v>
      </c>
      <c r="W32" s="105" t="e">
        <f t="shared" si="11"/>
        <v>#DIV/0!</v>
      </c>
    </row>
    <row r="33" spans="1:23" ht="26.4" customHeight="1" x14ac:dyDescent="0.6">
      <c r="A33" s="13"/>
      <c r="B33" s="14"/>
      <c r="C33" s="14"/>
      <c r="D33" s="15" t="s">
        <v>16274</v>
      </c>
      <c r="E33" s="13">
        <v>1</v>
      </c>
      <c r="F33" s="13" t="s">
        <v>16257</v>
      </c>
      <c r="G33" s="13">
        <v>24.23</v>
      </c>
      <c r="H33" s="56">
        <v>12</v>
      </c>
      <c r="I33" s="13">
        <f t="shared" si="28"/>
        <v>12</v>
      </c>
      <c r="J33" s="13">
        <f t="shared" si="29"/>
        <v>36.230000000000004</v>
      </c>
      <c r="K33" s="66"/>
      <c r="L33" s="69"/>
      <c r="M33" s="79">
        <f t="shared" si="4"/>
        <v>0</v>
      </c>
      <c r="N33" s="88" t="e">
        <f t="shared" si="5"/>
        <v>#DIV/0!</v>
      </c>
      <c r="O33" s="73"/>
      <c r="P33" s="82">
        <f t="shared" si="6"/>
        <v>0</v>
      </c>
      <c r="Q33" s="91" t="e">
        <f t="shared" si="16"/>
        <v>#DIV/0!</v>
      </c>
      <c r="R33" s="76"/>
      <c r="S33" s="94"/>
      <c r="T33" s="97"/>
      <c r="U33" s="85"/>
      <c r="V33" s="100">
        <f t="shared" si="10"/>
        <v>0</v>
      </c>
      <c r="W33" s="102" t="e">
        <f t="shared" si="11"/>
        <v>#DIV/0!</v>
      </c>
    </row>
    <row r="34" spans="1:23" ht="23.4" x14ac:dyDescent="0.6">
      <c r="A34" s="13"/>
      <c r="B34" s="14"/>
      <c r="C34" s="14" t="s">
        <v>1003</v>
      </c>
      <c r="D34" s="15" t="s">
        <v>16272</v>
      </c>
      <c r="E34" s="13">
        <v>1</v>
      </c>
      <c r="F34" s="13" t="s">
        <v>16257</v>
      </c>
      <c r="G34" s="13">
        <v>36.93</v>
      </c>
      <c r="H34" s="56">
        <v>12</v>
      </c>
      <c r="I34" s="13">
        <f t="shared" si="28"/>
        <v>12</v>
      </c>
      <c r="J34" s="13">
        <f t="shared" si="29"/>
        <v>48.93</v>
      </c>
      <c r="K34" s="65">
        <f>+J34+J35+J36</f>
        <v>132.48000000000002</v>
      </c>
      <c r="L34" s="67">
        <v>250</v>
      </c>
      <c r="M34" s="77">
        <f t="shared" si="4"/>
        <v>117.51999999999998</v>
      </c>
      <c r="N34" s="86">
        <f t="shared" si="5"/>
        <v>0.47007999999999994</v>
      </c>
      <c r="O34" s="71">
        <v>250</v>
      </c>
      <c r="P34" s="80">
        <f t="shared" si="6"/>
        <v>117.51999999999998</v>
      </c>
      <c r="Q34" s="89">
        <f t="shared" si="16"/>
        <v>0.47007999999999994</v>
      </c>
      <c r="R34" s="74">
        <v>250</v>
      </c>
      <c r="S34" s="92">
        <f t="shared" si="8"/>
        <v>117.51999999999998</v>
      </c>
      <c r="T34" s="95">
        <f t="shared" si="9"/>
        <v>0.47007999999999994</v>
      </c>
      <c r="U34" s="83">
        <v>250</v>
      </c>
      <c r="V34" s="98">
        <f t="shared" si="10"/>
        <v>117.51999999999998</v>
      </c>
      <c r="W34" s="101">
        <f t="shared" si="11"/>
        <v>0.47007999999999994</v>
      </c>
    </row>
    <row r="35" spans="1:23" ht="23.4" x14ac:dyDescent="0.6">
      <c r="A35" s="13"/>
      <c r="B35" s="14"/>
      <c r="C35" s="14"/>
      <c r="D35" s="15" t="s">
        <v>16273</v>
      </c>
      <c r="E35" s="13">
        <v>1</v>
      </c>
      <c r="F35" s="13" t="s">
        <v>16257</v>
      </c>
      <c r="G35" s="13">
        <v>35.32</v>
      </c>
      <c r="H35" s="56">
        <v>12</v>
      </c>
      <c r="I35" s="13">
        <f t="shared" si="28"/>
        <v>12</v>
      </c>
      <c r="J35" s="13">
        <f t="shared" si="29"/>
        <v>47.32</v>
      </c>
      <c r="K35" s="70"/>
      <c r="L35" s="68"/>
      <c r="M35" s="78">
        <f t="shared" si="4"/>
        <v>0</v>
      </c>
      <c r="N35" s="87" t="e">
        <f t="shared" si="5"/>
        <v>#DIV/0!</v>
      </c>
      <c r="O35" s="72"/>
      <c r="P35" s="81">
        <f t="shared" si="6"/>
        <v>0</v>
      </c>
      <c r="Q35" s="90" t="e">
        <f t="shared" si="16"/>
        <v>#DIV/0!</v>
      </c>
      <c r="R35" s="75"/>
      <c r="S35" s="93">
        <f t="shared" si="8"/>
        <v>0</v>
      </c>
      <c r="T35" s="96" t="e">
        <f t="shared" si="9"/>
        <v>#DIV/0!</v>
      </c>
      <c r="U35" s="84"/>
      <c r="V35" s="99">
        <f t="shared" si="10"/>
        <v>0</v>
      </c>
      <c r="W35" s="105" t="e">
        <f t="shared" si="11"/>
        <v>#DIV/0!</v>
      </c>
    </row>
    <row r="36" spans="1:23" ht="23.4" x14ac:dyDescent="0.6">
      <c r="A36" s="13"/>
      <c r="B36" s="14"/>
      <c r="C36" s="14"/>
      <c r="D36" s="15" t="s">
        <v>16274</v>
      </c>
      <c r="E36" s="13">
        <v>1</v>
      </c>
      <c r="F36" s="13" t="s">
        <v>16257</v>
      </c>
      <c r="G36" s="13">
        <v>24.23</v>
      </c>
      <c r="H36" s="56">
        <v>12</v>
      </c>
      <c r="I36" s="13">
        <f t="shared" si="28"/>
        <v>12</v>
      </c>
      <c r="J36" s="13">
        <f t="shared" si="29"/>
        <v>36.230000000000004</v>
      </c>
      <c r="K36" s="66"/>
      <c r="L36" s="69"/>
      <c r="M36" s="79">
        <f t="shared" si="4"/>
        <v>0</v>
      </c>
      <c r="N36" s="88" t="e">
        <f t="shared" si="5"/>
        <v>#DIV/0!</v>
      </c>
      <c r="O36" s="73"/>
      <c r="P36" s="82">
        <f t="shared" si="6"/>
        <v>0</v>
      </c>
      <c r="Q36" s="91" t="e">
        <f t="shared" si="16"/>
        <v>#DIV/0!</v>
      </c>
      <c r="R36" s="76"/>
      <c r="S36" s="94">
        <f t="shared" si="8"/>
        <v>0</v>
      </c>
      <c r="T36" s="97" t="e">
        <f t="shared" si="9"/>
        <v>#DIV/0!</v>
      </c>
      <c r="U36" s="85"/>
      <c r="V36" s="100">
        <f t="shared" si="10"/>
        <v>0</v>
      </c>
      <c r="W36" s="102" t="e">
        <f t="shared" si="11"/>
        <v>#DIV/0!</v>
      </c>
    </row>
    <row r="37" spans="1:23" ht="23.4" x14ac:dyDescent="0.6">
      <c r="A37" s="13"/>
      <c r="B37" s="14"/>
      <c r="C37" s="14" t="s">
        <v>196</v>
      </c>
      <c r="D37" s="15" t="s">
        <v>16272</v>
      </c>
      <c r="E37" s="13">
        <v>1</v>
      </c>
      <c r="F37" s="13" t="s">
        <v>16257</v>
      </c>
      <c r="G37" s="13">
        <v>36.93</v>
      </c>
      <c r="H37" s="56">
        <v>12</v>
      </c>
      <c r="I37" s="13">
        <f t="shared" si="28"/>
        <v>12</v>
      </c>
      <c r="J37" s="13">
        <f t="shared" si="29"/>
        <v>48.93</v>
      </c>
      <c r="K37" s="65">
        <f>+J37+J38+J39</f>
        <v>132.48000000000002</v>
      </c>
      <c r="L37" s="67">
        <v>250</v>
      </c>
      <c r="M37" s="77">
        <f t="shared" si="4"/>
        <v>117.51999999999998</v>
      </c>
      <c r="N37" s="86">
        <f t="shared" si="5"/>
        <v>0.47007999999999994</v>
      </c>
      <c r="O37" s="71">
        <v>250</v>
      </c>
      <c r="P37" s="80">
        <f t="shared" si="6"/>
        <v>117.51999999999998</v>
      </c>
      <c r="Q37" s="89">
        <f t="shared" si="16"/>
        <v>0.47007999999999994</v>
      </c>
      <c r="R37" s="74">
        <v>250</v>
      </c>
      <c r="S37" s="92">
        <f t="shared" si="8"/>
        <v>117.51999999999998</v>
      </c>
      <c r="T37" s="95">
        <f t="shared" si="9"/>
        <v>0.47007999999999994</v>
      </c>
      <c r="U37" s="83">
        <v>250</v>
      </c>
      <c r="V37" s="98">
        <f t="shared" si="10"/>
        <v>117.51999999999998</v>
      </c>
      <c r="W37" s="101">
        <f t="shared" si="11"/>
        <v>0.47007999999999994</v>
      </c>
    </row>
    <row r="38" spans="1:23" ht="23.4" x14ac:dyDescent="0.6">
      <c r="A38" s="13"/>
      <c r="B38" s="14"/>
      <c r="C38" s="14"/>
      <c r="D38" s="15" t="s">
        <v>16273</v>
      </c>
      <c r="E38" s="13">
        <v>1</v>
      </c>
      <c r="F38" s="13" t="s">
        <v>16257</v>
      </c>
      <c r="G38" s="13">
        <v>35.32</v>
      </c>
      <c r="H38" s="56">
        <v>12</v>
      </c>
      <c r="I38" s="13">
        <f t="shared" si="28"/>
        <v>12</v>
      </c>
      <c r="J38" s="13">
        <f t="shared" si="29"/>
        <v>47.32</v>
      </c>
      <c r="K38" s="70"/>
      <c r="L38" s="68"/>
      <c r="M38" s="78">
        <f t="shared" si="4"/>
        <v>0</v>
      </c>
      <c r="N38" s="87" t="e">
        <f t="shared" si="5"/>
        <v>#DIV/0!</v>
      </c>
      <c r="O38" s="72"/>
      <c r="P38" s="81">
        <f t="shared" si="6"/>
        <v>0</v>
      </c>
      <c r="Q38" s="90" t="e">
        <f t="shared" si="16"/>
        <v>#DIV/0!</v>
      </c>
      <c r="R38" s="75"/>
      <c r="S38" s="93">
        <f t="shared" si="8"/>
        <v>0</v>
      </c>
      <c r="T38" s="96" t="e">
        <f t="shared" si="9"/>
        <v>#DIV/0!</v>
      </c>
      <c r="U38" s="84"/>
      <c r="V38" s="99">
        <f t="shared" si="10"/>
        <v>0</v>
      </c>
      <c r="W38" s="105" t="e">
        <f t="shared" si="11"/>
        <v>#DIV/0!</v>
      </c>
    </row>
    <row r="39" spans="1:23" ht="23.4" x14ac:dyDescent="0.6">
      <c r="A39" s="13"/>
      <c r="B39" s="14"/>
      <c r="C39" s="14"/>
      <c r="D39" s="15" t="s">
        <v>16274</v>
      </c>
      <c r="E39" s="13">
        <v>1</v>
      </c>
      <c r="F39" s="13" t="s">
        <v>16257</v>
      </c>
      <c r="G39" s="13">
        <v>24.23</v>
      </c>
      <c r="H39" s="56">
        <v>12</v>
      </c>
      <c r="I39" s="13">
        <f t="shared" si="28"/>
        <v>12</v>
      </c>
      <c r="J39" s="13">
        <f t="shared" si="29"/>
        <v>36.230000000000004</v>
      </c>
      <c r="K39" s="66"/>
      <c r="L39" s="69"/>
      <c r="M39" s="79">
        <f t="shared" si="4"/>
        <v>0</v>
      </c>
      <c r="N39" s="88" t="e">
        <f t="shared" si="5"/>
        <v>#DIV/0!</v>
      </c>
      <c r="O39" s="73"/>
      <c r="P39" s="82">
        <f t="shared" si="6"/>
        <v>0</v>
      </c>
      <c r="Q39" s="91" t="e">
        <f t="shared" si="16"/>
        <v>#DIV/0!</v>
      </c>
      <c r="R39" s="76"/>
      <c r="S39" s="94">
        <f t="shared" si="8"/>
        <v>0</v>
      </c>
      <c r="T39" s="97" t="e">
        <f t="shared" si="9"/>
        <v>#DIV/0!</v>
      </c>
      <c r="U39" s="85"/>
      <c r="V39" s="100">
        <f t="shared" si="10"/>
        <v>0</v>
      </c>
      <c r="W39" s="102" t="e">
        <f t="shared" si="11"/>
        <v>#DIV/0!</v>
      </c>
    </row>
    <row r="40" spans="1:23" ht="23.4" x14ac:dyDescent="0.6">
      <c r="A40" s="13"/>
      <c r="B40" s="14"/>
      <c r="C40" s="14" t="s">
        <v>4382</v>
      </c>
      <c r="D40" s="15" t="s">
        <v>16272</v>
      </c>
      <c r="E40" s="13">
        <v>1</v>
      </c>
      <c r="F40" s="13" t="s">
        <v>16257</v>
      </c>
      <c r="G40" s="13">
        <v>36.93</v>
      </c>
      <c r="H40" s="56">
        <v>12</v>
      </c>
      <c r="I40" s="13">
        <f t="shared" si="28"/>
        <v>12</v>
      </c>
      <c r="J40" s="13">
        <f t="shared" si="29"/>
        <v>48.93</v>
      </c>
      <c r="K40" s="65">
        <f>+J40+J41+J42</f>
        <v>132.48000000000002</v>
      </c>
      <c r="L40" s="67">
        <v>250</v>
      </c>
      <c r="M40" s="77">
        <f t="shared" si="4"/>
        <v>117.51999999999998</v>
      </c>
      <c r="N40" s="86">
        <f t="shared" si="5"/>
        <v>0.47007999999999994</v>
      </c>
      <c r="O40" s="71">
        <v>250</v>
      </c>
      <c r="P40" s="80">
        <f t="shared" si="6"/>
        <v>117.51999999999998</v>
      </c>
      <c r="Q40" s="89">
        <f t="shared" si="16"/>
        <v>0.47007999999999994</v>
      </c>
      <c r="R40" s="74">
        <v>250</v>
      </c>
      <c r="S40" s="92">
        <f t="shared" si="8"/>
        <v>117.51999999999998</v>
      </c>
      <c r="T40" s="95">
        <f t="shared" si="9"/>
        <v>0.47007999999999994</v>
      </c>
      <c r="U40" s="83">
        <v>250</v>
      </c>
      <c r="V40" s="98">
        <f t="shared" si="10"/>
        <v>117.51999999999998</v>
      </c>
      <c r="W40" s="101">
        <f t="shared" si="11"/>
        <v>0.47007999999999994</v>
      </c>
    </row>
    <row r="41" spans="1:23" ht="23.4" x14ac:dyDescent="0.6">
      <c r="A41" s="13"/>
      <c r="B41" s="14"/>
      <c r="C41" s="14"/>
      <c r="D41" s="15" t="s">
        <v>16273</v>
      </c>
      <c r="E41" s="13">
        <v>1</v>
      </c>
      <c r="F41" s="13" t="s">
        <v>16257</v>
      </c>
      <c r="G41" s="13">
        <v>35.32</v>
      </c>
      <c r="H41" s="56">
        <v>12</v>
      </c>
      <c r="I41" s="13">
        <f t="shared" si="28"/>
        <v>12</v>
      </c>
      <c r="J41" s="13">
        <f t="shared" si="29"/>
        <v>47.32</v>
      </c>
      <c r="K41" s="70"/>
      <c r="L41" s="68"/>
      <c r="M41" s="78">
        <f t="shared" si="4"/>
        <v>0</v>
      </c>
      <c r="N41" s="87" t="e">
        <f t="shared" si="5"/>
        <v>#DIV/0!</v>
      </c>
      <c r="O41" s="72"/>
      <c r="P41" s="81">
        <f t="shared" si="6"/>
        <v>0</v>
      </c>
      <c r="Q41" s="90" t="e">
        <f t="shared" si="16"/>
        <v>#DIV/0!</v>
      </c>
      <c r="R41" s="75"/>
      <c r="S41" s="93">
        <f t="shared" si="8"/>
        <v>0</v>
      </c>
      <c r="T41" s="96" t="e">
        <f t="shared" si="9"/>
        <v>#DIV/0!</v>
      </c>
      <c r="U41" s="84"/>
      <c r="V41" s="99">
        <f t="shared" si="10"/>
        <v>0</v>
      </c>
      <c r="W41" s="105" t="e">
        <f t="shared" si="11"/>
        <v>#DIV/0!</v>
      </c>
    </row>
    <row r="42" spans="1:23" ht="23.4" x14ac:dyDescent="0.6">
      <c r="A42" s="13"/>
      <c r="B42" s="14"/>
      <c r="C42" s="14"/>
      <c r="D42" s="15" t="s">
        <v>16274</v>
      </c>
      <c r="E42" s="13">
        <v>1</v>
      </c>
      <c r="F42" s="13" t="s">
        <v>16257</v>
      </c>
      <c r="G42" s="13">
        <v>24.23</v>
      </c>
      <c r="H42" s="56">
        <v>12</v>
      </c>
      <c r="I42" s="13">
        <f t="shared" si="28"/>
        <v>12</v>
      </c>
      <c r="J42" s="13">
        <f t="shared" si="29"/>
        <v>36.230000000000004</v>
      </c>
      <c r="K42" s="66"/>
      <c r="L42" s="69"/>
      <c r="M42" s="79">
        <f t="shared" si="4"/>
        <v>0</v>
      </c>
      <c r="N42" s="88" t="e">
        <f t="shared" si="5"/>
        <v>#DIV/0!</v>
      </c>
      <c r="O42" s="73"/>
      <c r="P42" s="82">
        <f t="shared" si="6"/>
        <v>0</v>
      </c>
      <c r="Q42" s="91" t="e">
        <f t="shared" si="16"/>
        <v>#DIV/0!</v>
      </c>
      <c r="R42" s="76"/>
      <c r="S42" s="94">
        <f t="shared" si="8"/>
        <v>0</v>
      </c>
      <c r="T42" s="97" t="e">
        <f t="shared" si="9"/>
        <v>#DIV/0!</v>
      </c>
      <c r="U42" s="85"/>
      <c r="V42" s="100">
        <f t="shared" si="10"/>
        <v>0</v>
      </c>
      <c r="W42" s="102" t="e">
        <f t="shared" si="11"/>
        <v>#DIV/0!</v>
      </c>
    </row>
    <row r="43" spans="1:23" x14ac:dyDescent="0.6">
      <c r="A43" s="16">
        <v>16</v>
      </c>
      <c r="B43" s="17" t="s">
        <v>475</v>
      </c>
      <c r="C43" s="17" t="s">
        <v>476</v>
      </c>
      <c r="D43" s="18" t="s">
        <v>16276</v>
      </c>
      <c r="E43" s="16">
        <v>5</v>
      </c>
      <c r="F43" s="16" t="s">
        <v>16257</v>
      </c>
      <c r="G43" s="16">
        <f>19.48*5</f>
        <v>97.4</v>
      </c>
      <c r="H43" s="56">
        <v>12</v>
      </c>
      <c r="I43" s="16">
        <f>+H43*E43</f>
        <v>60</v>
      </c>
      <c r="J43" s="16">
        <f>+G43+I43</f>
        <v>157.4</v>
      </c>
      <c r="K43" s="21">
        <f t="shared" ref="K43:K63" si="30">+J43</f>
        <v>157.4</v>
      </c>
      <c r="L43" s="9">
        <v>200</v>
      </c>
      <c r="M43" s="38">
        <f t="shared" si="4"/>
        <v>42.599999999999994</v>
      </c>
      <c r="N43" s="26">
        <f t="shared" si="5"/>
        <v>0.21299999999999997</v>
      </c>
      <c r="O43" s="10">
        <v>199</v>
      </c>
      <c r="P43" s="37">
        <f t="shared" si="6"/>
        <v>41.599999999999994</v>
      </c>
      <c r="Q43" s="30">
        <f t="shared" si="16"/>
        <v>0.20904522613065324</v>
      </c>
      <c r="R43" s="11">
        <v>0</v>
      </c>
      <c r="S43" s="39">
        <f t="shared" si="8"/>
        <v>-157.4</v>
      </c>
      <c r="T43" s="35" t="e">
        <f t="shared" si="9"/>
        <v>#DIV/0!</v>
      </c>
      <c r="U43" s="12">
        <v>200</v>
      </c>
      <c r="V43" s="40">
        <f t="shared" si="10"/>
        <v>42.599999999999994</v>
      </c>
      <c r="W43" s="36">
        <f t="shared" si="11"/>
        <v>0.21299999999999997</v>
      </c>
    </row>
    <row r="44" spans="1:23" x14ac:dyDescent="0.6">
      <c r="A44" s="13">
        <v>17</v>
      </c>
      <c r="B44" s="14" t="s">
        <v>880</v>
      </c>
      <c r="C44" s="14" t="s">
        <v>881</v>
      </c>
      <c r="D44" s="15" t="s">
        <v>16266</v>
      </c>
      <c r="E44" s="13">
        <v>60</v>
      </c>
      <c r="F44" s="13" t="s">
        <v>16265</v>
      </c>
      <c r="G44" s="13">
        <f>7.19*60</f>
        <v>431.40000000000003</v>
      </c>
      <c r="H44" s="56">
        <f>12/60</f>
        <v>0.2</v>
      </c>
      <c r="I44" s="13">
        <f>+H44*E44</f>
        <v>12</v>
      </c>
      <c r="J44" s="13">
        <f>+I44+G44</f>
        <v>443.40000000000003</v>
      </c>
      <c r="K44" s="21">
        <f t="shared" si="30"/>
        <v>443.40000000000003</v>
      </c>
      <c r="L44" s="9">
        <v>720</v>
      </c>
      <c r="M44" s="38">
        <f t="shared" si="4"/>
        <v>276.59999999999997</v>
      </c>
      <c r="N44" s="26">
        <f t="shared" si="5"/>
        <v>0.3841666666666666</v>
      </c>
      <c r="O44" s="10">
        <v>600</v>
      </c>
      <c r="P44" s="37">
        <f t="shared" si="6"/>
        <v>156.59999999999997</v>
      </c>
      <c r="Q44" s="30">
        <f t="shared" si="16"/>
        <v>0.26099999999999995</v>
      </c>
      <c r="R44" s="11">
        <v>600</v>
      </c>
      <c r="S44" s="39">
        <f t="shared" si="8"/>
        <v>156.59999999999997</v>
      </c>
      <c r="T44" s="35">
        <f t="shared" si="9"/>
        <v>0.26099999999999995</v>
      </c>
      <c r="U44" s="12">
        <v>0</v>
      </c>
      <c r="V44" s="40">
        <f t="shared" si="10"/>
        <v>-443.40000000000003</v>
      </c>
      <c r="W44" s="36" t="e">
        <f t="shared" si="11"/>
        <v>#DIV/0!</v>
      </c>
    </row>
    <row r="45" spans="1:23" x14ac:dyDescent="0.6">
      <c r="A45" s="16">
        <v>18</v>
      </c>
      <c r="B45" s="17" t="s">
        <v>5357</v>
      </c>
      <c r="C45" s="17" t="s">
        <v>2169</v>
      </c>
      <c r="D45" s="18" t="s">
        <v>16266</v>
      </c>
      <c r="E45" s="16">
        <v>90</v>
      </c>
      <c r="F45" s="16" t="s">
        <v>16265</v>
      </c>
      <c r="G45" s="16">
        <f>7.19*90</f>
        <v>647.1</v>
      </c>
      <c r="H45" s="56">
        <f>12/90</f>
        <v>0.13333333333333333</v>
      </c>
      <c r="I45" s="16">
        <f>+H45*E45</f>
        <v>12</v>
      </c>
      <c r="J45" s="16">
        <f>+G45+I45</f>
        <v>659.1</v>
      </c>
      <c r="K45" s="21">
        <f t="shared" si="30"/>
        <v>659.1</v>
      </c>
      <c r="L45" s="9">
        <v>900</v>
      </c>
      <c r="M45" s="38">
        <f t="shared" si="4"/>
        <v>240.89999999999998</v>
      </c>
      <c r="N45" s="26">
        <f t="shared" si="5"/>
        <v>0.26766666666666666</v>
      </c>
      <c r="O45" s="10">
        <v>1080</v>
      </c>
      <c r="P45" s="37">
        <f t="shared" si="6"/>
        <v>420.9</v>
      </c>
      <c r="Q45" s="30">
        <f t="shared" si="16"/>
        <v>0.38972222222222219</v>
      </c>
      <c r="R45" s="11">
        <v>0</v>
      </c>
      <c r="S45" s="39">
        <f t="shared" si="8"/>
        <v>-659.1</v>
      </c>
      <c r="T45" s="35" t="e">
        <f t="shared" si="9"/>
        <v>#DIV/0!</v>
      </c>
      <c r="U45" s="12">
        <v>0</v>
      </c>
      <c r="V45" s="40">
        <f t="shared" si="10"/>
        <v>-659.1</v>
      </c>
      <c r="W45" s="36" t="e">
        <f t="shared" si="11"/>
        <v>#DIV/0!</v>
      </c>
    </row>
    <row r="46" spans="1:23" x14ac:dyDescent="0.6">
      <c r="A46" s="13">
        <v>19</v>
      </c>
      <c r="B46" s="14" t="s">
        <v>13954</v>
      </c>
      <c r="C46" s="14" t="s">
        <v>13955</v>
      </c>
      <c r="D46" s="15" t="s">
        <v>16276</v>
      </c>
      <c r="E46" s="13">
        <v>1</v>
      </c>
      <c r="F46" s="13" t="s">
        <v>16257</v>
      </c>
      <c r="G46" s="13">
        <v>19.48</v>
      </c>
      <c r="H46" s="56">
        <v>12</v>
      </c>
      <c r="I46" s="13">
        <f t="shared" ref="I46:I49" si="31">+H46*E46</f>
        <v>12</v>
      </c>
      <c r="J46" s="13">
        <f t="shared" ref="J46:J47" si="32">+I46+G46</f>
        <v>31.48</v>
      </c>
      <c r="K46" s="21">
        <f t="shared" si="30"/>
        <v>31.48</v>
      </c>
      <c r="L46" s="9">
        <v>0</v>
      </c>
      <c r="M46" s="38">
        <f t="shared" si="4"/>
        <v>-31.48</v>
      </c>
      <c r="N46" s="26" t="e">
        <f t="shared" si="5"/>
        <v>#DIV/0!</v>
      </c>
      <c r="O46" s="10">
        <v>0</v>
      </c>
      <c r="P46" s="37">
        <f t="shared" si="6"/>
        <v>-31.48</v>
      </c>
      <c r="Q46" s="30" t="e">
        <f t="shared" si="16"/>
        <v>#DIV/0!</v>
      </c>
      <c r="R46" s="11">
        <v>118</v>
      </c>
      <c r="S46" s="39">
        <f t="shared" si="8"/>
        <v>86.52</v>
      </c>
      <c r="T46" s="35">
        <f t="shared" si="9"/>
        <v>0.73322033898305083</v>
      </c>
      <c r="U46" s="12">
        <v>120</v>
      </c>
      <c r="V46" s="40">
        <f t="shared" si="10"/>
        <v>88.52</v>
      </c>
      <c r="W46" s="36">
        <f t="shared" si="11"/>
        <v>0.73766666666666658</v>
      </c>
    </row>
    <row r="47" spans="1:23" x14ac:dyDescent="0.6">
      <c r="A47" s="13"/>
      <c r="B47" s="14"/>
      <c r="C47" s="14"/>
      <c r="D47" s="15" t="s">
        <v>16272</v>
      </c>
      <c r="E47" s="13">
        <v>1</v>
      </c>
      <c r="F47" s="13" t="s">
        <v>16257</v>
      </c>
      <c r="G47" s="13">
        <v>36.93</v>
      </c>
      <c r="H47" s="56">
        <v>12</v>
      </c>
      <c r="I47" s="13">
        <f t="shared" si="31"/>
        <v>12</v>
      </c>
      <c r="J47" s="13">
        <f t="shared" si="32"/>
        <v>48.93</v>
      </c>
      <c r="K47" s="21">
        <f t="shared" si="30"/>
        <v>48.93</v>
      </c>
      <c r="L47" s="9">
        <v>0</v>
      </c>
      <c r="M47" s="38">
        <f t="shared" si="4"/>
        <v>-48.93</v>
      </c>
      <c r="N47" s="26" t="e">
        <f t="shared" si="5"/>
        <v>#DIV/0!</v>
      </c>
      <c r="O47" s="10">
        <v>0</v>
      </c>
      <c r="P47" s="37">
        <f t="shared" si="6"/>
        <v>-48.93</v>
      </c>
      <c r="Q47" s="30" t="e">
        <f t="shared" si="16"/>
        <v>#DIV/0!</v>
      </c>
      <c r="R47" s="11">
        <v>118</v>
      </c>
      <c r="S47" s="39">
        <f t="shared" si="8"/>
        <v>69.069999999999993</v>
      </c>
      <c r="T47" s="35">
        <f t="shared" si="9"/>
        <v>0.58533898305084742</v>
      </c>
      <c r="U47" s="12">
        <v>120</v>
      </c>
      <c r="V47" s="40">
        <f t="shared" si="10"/>
        <v>71.069999999999993</v>
      </c>
      <c r="W47" s="36">
        <f t="shared" si="11"/>
        <v>0.59224999999999994</v>
      </c>
    </row>
    <row r="48" spans="1:23" x14ac:dyDescent="0.6">
      <c r="A48" s="16">
        <v>20</v>
      </c>
      <c r="B48" s="17" t="s">
        <v>2703</v>
      </c>
      <c r="C48" s="17" t="s">
        <v>2704</v>
      </c>
      <c r="D48" s="18" t="s">
        <v>16276</v>
      </c>
      <c r="E48" s="16">
        <v>10</v>
      </c>
      <c r="F48" s="16" t="s">
        <v>16257</v>
      </c>
      <c r="G48" s="16">
        <f>19.48*10</f>
        <v>194.8</v>
      </c>
      <c r="H48" s="56">
        <v>12</v>
      </c>
      <c r="I48" s="16">
        <f t="shared" si="31"/>
        <v>120</v>
      </c>
      <c r="J48" s="16">
        <f t="shared" ref="J48:J49" si="33">+G48+I48</f>
        <v>314.8</v>
      </c>
      <c r="K48" s="21">
        <f t="shared" si="30"/>
        <v>314.8</v>
      </c>
      <c r="L48" s="9">
        <v>450</v>
      </c>
      <c r="M48" s="38">
        <f t="shared" si="4"/>
        <v>135.19999999999999</v>
      </c>
      <c r="N48" s="26">
        <f t="shared" si="5"/>
        <v>0.3004444444444444</v>
      </c>
      <c r="O48" s="10">
        <v>420</v>
      </c>
      <c r="P48" s="37">
        <f t="shared" si="6"/>
        <v>105.19999999999999</v>
      </c>
      <c r="Q48" s="30">
        <f t="shared" si="16"/>
        <v>0.25047619047619046</v>
      </c>
      <c r="R48" s="11">
        <v>0</v>
      </c>
      <c r="S48" s="39">
        <f t="shared" si="8"/>
        <v>-314.8</v>
      </c>
      <c r="T48" s="35" t="e">
        <f t="shared" si="9"/>
        <v>#DIV/0!</v>
      </c>
      <c r="U48" s="12">
        <v>450</v>
      </c>
      <c r="V48" s="40">
        <f t="shared" si="10"/>
        <v>135.19999999999999</v>
      </c>
      <c r="W48" s="36">
        <f t="shared" si="11"/>
        <v>0.3004444444444444</v>
      </c>
    </row>
    <row r="49" spans="1:23" x14ac:dyDescent="0.6">
      <c r="A49" s="16"/>
      <c r="B49" s="17"/>
      <c r="C49" s="17" t="s">
        <v>5909</v>
      </c>
      <c r="D49" s="18" t="s">
        <v>16276</v>
      </c>
      <c r="E49" s="16">
        <v>10</v>
      </c>
      <c r="F49" s="16" t="s">
        <v>16257</v>
      </c>
      <c r="G49" s="16">
        <f>19.48*10</f>
        <v>194.8</v>
      </c>
      <c r="H49" s="56">
        <v>12</v>
      </c>
      <c r="I49" s="16">
        <f t="shared" si="31"/>
        <v>120</v>
      </c>
      <c r="J49" s="16">
        <f t="shared" si="33"/>
        <v>314.8</v>
      </c>
      <c r="K49" s="21">
        <f t="shared" si="30"/>
        <v>314.8</v>
      </c>
      <c r="L49" s="9">
        <v>450</v>
      </c>
      <c r="M49" s="38">
        <f t="shared" si="4"/>
        <v>135.19999999999999</v>
      </c>
      <c r="N49" s="26">
        <f t="shared" si="5"/>
        <v>0.3004444444444444</v>
      </c>
      <c r="O49" s="10">
        <v>450</v>
      </c>
      <c r="P49" s="37">
        <f t="shared" si="6"/>
        <v>135.19999999999999</v>
      </c>
      <c r="Q49" s="30">
        <f t="shared" si="16"/>
        <v>0.3004444444444444</v>
      </c>
      <c r="R49" s="11">
        <v>0</v>
      </c>
      <c r="S49" s="39">
        <f t="shared" si="8"/>
        <v>-314.8</v>
      </c>
      <c r="T49" s="35" t="e">
        <f t="shared" si="9"/>
        <v>#DIV/0!</v>
      </c>
      <c r="U49" s="12">
        <v>450</v>
      </c>
      <c r="V49" s="40">
        <f t="shared" si="10"/>
        <v>135.19999999999999</v>
      </c>
      <c r="W49" s="36">
        <f t="shared" si="11"/>
        <v>0.3004444444444444</v>
      </c>
    </row>
    <row r="50" spans="1:23" x14ac:dyDescent="0.6">
      <c r="A50" s="13">
        <v>21</v>
      </c>
      <c r="B50" s="14" t="s">
        <v>143</v>
      </c>
      <c r="C50" s="14" t="s">
        <v>144</v>
      </c>
      <c r="D50" s="15" t="s">
        <v>16277</v>
      </c>
      <c r="E50" s="13">
        <v>6</v>
      </c>
      <c r="F50" s="13" t="s">
        <v>16257</v>
      </c>
      <c r="G50" s="13">
        <f>13.94*6</f>
        <v>83.64</v>
      </c>
      <c r="H50" s="56">
        <v>12</v>
      </c>
      <c r="I50" s="13">
        <f>+H50*E50</f>
        <v>72</v>
      </c>
      <c r="J50" s="13">
        <f>+I50+G50</f>
        <v>155.63999999999999</v>
      </c>
      <c r="K50" s="21">
        <f t="shared" si="30"/>
        <v>155.63999999999999</v>
      </c>
      <c r="L50" s="9">
        <v>0</v>
      </c>
      <c r="M50" s="38">
        <f t="shared" si="4"/>
        <v>-155.63999999999999</v>
      </c>
      <c r="N50" s="26" t="e">
        <f t="shared" si="5"/>
        <v>#DIV/0!</v>
      </c>
      <c r="O50" s="10">
        <v>0</v>
      </c>
      <c r="P50" s="37">
        <f t="shared" si="6"/>
        <v>-155.63999999999999</v>
      </c>
      <c r="Q50" s="30" t="e">
        <f t="shared" si="16"/>
        <v>#DIV/0!</v>
      </c>
      <c r="R50" s="11">
        <v>200</v>
      </c>
      <c r="S50" s="39">
        <f t="shared" si="8"/>
        <v>44.360000000000014</v>
      </c>
      <c r="T50" s="35">
        <f t="shared" si="9"/>
        <v>0.22180000000000008</v>
      </c>
      <c r="U50" s="12">
        <v>200</v>
      </c>
      <c r="V50" s="40">
        <f t="shared" si="10"/>
        <v>44.360000000000014</v>
      </c>
      <c r="W50" s="36">
        <f t="shared" si="11"/>
        <v>0.22180000000000008</v>
      </c>
    </row>
    <row r="51" spans="1:23" x14ac:dyDescent="0.6">
      <c r="A51" s="16">
        <v>22</v>
      </c>
      <c r="B51" s="17" t="s">
        <v>275</v>
      </c>
      <c r="C51" s="17" t="s">
        <v>1864</v>
      </c>
      <c r="D51" s="18" t="s">
        <v>16267</v>
      </c>
      <c r="E51" s="16">
        <v>10</v>
      </c>
      <c r="F51" s="16" t="s">
        <v>16265</v>
      </c>
      <c r="G51" s="16">
        <f>7.93*10</f>
        <v>79.3</v>
      </c>
      <c r="H51" s="56">
        <v>1.2</v>
      </c>
      <c r="I51" s="16">
        <f t="shared" ref="I51:I52" si="34">+H51*E51</f>
        <v>12</v>
      </c>
      <c r="J51" s="16">
        <f t="shared" ref="J51:J52" si="35">+G51+I51</f>
        <v>91.3</v>
      </c>
      <c r="K51" s="21">
        <f t="shared" si="30"/>
        <v>91.3</v>
      </c>
      <c r="L51" s="9">
        <v>150</v>
      </c>
      <c r="M51" s="38">
        <f t="shared" si="4"/>
        <v>58.7</v>
      </c>
      <c r="N51" s="26">
        <f t="shared" si="5"/>
        <v>0.39133333333333337</v>
      </c>
      <c r="O51" s="10">
        <v>140</v>
      </c>
      <c r="P51" s="37">
        <f t="shared" si="6"/>
        <v>48.7</v>
      </c>
      <c r="Q51" s="30">
        <f t="shared" si="16"/>
        <v>0.34785714285714286</v>
      </c>
      <c r="R51" s="11">
        <v>0</v>
      </c>
      <c r="S51" s="39">
        <f t="shared" si="8"/>
        <v>-91.3</v>
      </c>
      <c r="T51" s="35" t="e">
        <f t="shared" si="9"/>
        <v>#DIV/0!</v>
      </c>
      <c r="U51" s="12">
        <v>0</v>
      </c>
      <c r="V51" s="40">
        <f t="shared" si="10"/>
        <v>-91.3</v>
      </c>
      <c r="W51" s="36" t="e">
        <f t="shared" si="11"/>
        <v>#DIV/0!</v>
      </c>
    </row>
    <row r="52" spans="1:23" x14ac:dyDescent="0.6">
      <c r="A52" s="16"/>
      <c r="B52" s="17"/>
      <c r="C52" s="17" t="s">
        <v>276</v>
      </c>
      <c r="D52" s="18" t="s">
        <v>16267</v>
      </c>
      <c r="E52" s="16">
        <v>10</v>
      </c>
      <c r="F52" s="16" t="s">
        <v>16265</v>
      </c>
      <c r="G52" s="16">
        <f>7.93*10</f>
        <v>79.3</v>
      </c>
      <c r="H52" s="56">
        <v>1.2</v>
      </c>
      <c r="I52" s="16">
        <f t="shared" si="34"/>
        <v>12</v>
      </c>
      <c r="J52" s="16">
        <f t="shared" si="35"/>
        <v>91.3</v>
      </c>
      <c r="K52" s="21">
        <f t="shared" si="30"/>
        <v>91.3</v>
      </c>
      <c r="L52" s="9">
        <v>150</v>
      </c>
      <c r="M52" s="38">
        <f t="shared" si="4"/>
        <v>58.7</v>
      </c>
      <c r="N52" s="26">
        <f t="shared" si="5"/>
        <v>0.39133333333333337</v>
      </c>
      <c r="O52" s="10">
        <v>140</v>
      </c>
      <c r="P52" s="37">
        <f t="shared" si="6"/>
        <v>48.7</v>
      </c>
      <c r="Q52" s="30">
        <f t="shared" si="16"/>
        <v>0.34785714285714286</v>
      </c>
      <c r="R52" s="11">
        <v>0</v>
      </c>
      <c r="S52" s="39">
        <f t="shared" si="8"/>
        <v>-91.3</v>
      </c>
      <c r="T52" s="35" t="e">
        <f t="shared" si="9"/>
        <v>#DIV/0!</v>
      </c>
      <c r="U52" s="12">
        <v>0</v>
      </c>
      <c r="V52" s="40">
        <f t="shared" si="10"/>
        <v>-91.3</v>
      </c>
      <c r="W52" s="36" t="e">
        <f t="shared" si="11"/>
        <v>#DIV/0!</v>
      </c>
    </row>
    <row r="53" spans="1:23" x14ac:dyDescent="0.6">
      <c r="A53" s="13">
        <v>23</v>
      </c>
      <c r="B53" s="14" t="s">
        <v>909</v>
      </c>
      <c r="C53" s="14" t="s">
        <v>276</v>
      </c>
      <c r="D53" s="15" t="s">
        <v>16267</v>
      </c>
      <c r="E53" s="13">
        <v>20</v>
      </c>
      <c r="F53" s="13" t="s">
        <v>16265</v>
      </c>
      <c r="G53" s="13">
        <f>7.93*20</f>
        <v>158.6</v>
      </c>
      <c r="H53" s="56">
        <v>0.6</v>
      </c>
      <c r="I53" s="13">
        <f t="shared" ref="I53:I56" si="36">+H53*E53</f>
        <v>12</v>
      </c>
      <c r="J53" s="13">
        <f t="shared" ref="J53:J54" si="37">+I53+G53</f>
        <v>170.6</v>
      </c>
      <c r="K53" s="21">
        <f t="shared" si="30"/>
        <v>170.6</v>
      </c>
      <c r="L53" s="9">
        <v>300</v>
      </c>
      <c r="M53" s="38">
        <f t="shared" si="4"/>
        <v>129.4</v>
      </c>
      <c r="N53" s="26">
        <f t="shared" si="5"/>
        <v>0.43133333333333335</v>
      </c>
      <c r="O53" s="10">
        <v>280</v>
      </c>
      <c r="P53" s="37">
        <f t="shared" si="6"/>
        <v>109.4</v>
      </c>
      <c r="Q53" s="30">
        <f t="shared" si="16"/>
        <v>0.39071428571428574</v>
      </c>
      <c r="R53" s="11">
        <v>240</v>
      </c>
      <c r="S53" s="39">
        <f t="shared" si="8"/>
        <v>69.400000000000006</v>
      </c>
      <c r="T53" s="35">
        <f t="shared" si="9"/>
        <v>0.28916666666666668</v>
      </c>
      <c r="U53" s="12">
        <v>0</v>
      </c>
      <c r="V53" s="40">
        <f t="shared" si="10"/>
        <v>-170.6</v>
      </c>
      <c r="W53" s="36" t="e">
        <f t="shared" si="11"/>
        <v>#DIV/0!</v>
      </c>
    </row>
    <row r="54" spans="1:23" x14ac:dyDescent="0.6">
      <c r="A54" s="13"/>
      <c r="B54" s="14"/>
      <c r="C54" s="14" t="s">
        <v>3592</v>
      </c>
      <c r="D54" s="15" t="s">
        <v>16267</v>
      </c>
      <c r="E54" s="13">
        <v>20</v>
      </c>
      <c r="F54" s="13" t="s">
        <v>16265</v>
      </c>
      <c r="G54" s="13">
        <f>7.93*20</f>
        <v>158.6</v>
      </c>
      <c r="H54" s="56">
        <v>0.6</v>
      </c>
      <c r="I54" s="13">
        <f t="shared" si="36"/>
        <v>12</v>
      </c>
      <c r="J54" s="13">
        <f t="shared" si="37"/>
        <v>170.6</v>
      </c>
      <c r="K54" s="21">
        <f t="shared" si="30"/>
        <v>170.6</v>
      </c>
      <c r="L54" s="9">
        <v>300</v>
      </c>
      <c r="M54" s="38">
        <f t="shared" si="4"/>
        <v>129.4</v>
      </c>
      <c r="N54" s="26">
        <f t="shared" si="5"/>
        <v>0.43133333333333335</v>
      </c>
      <c r="O54" s="10">
        <v>280</v>
      </c>
      <c r="P54" s="37">
        <f t="shared" si="6"/>
        <v>109.4</v>
      </c>
      <c r="Q54" s="30">
        <f t="shared" si="16"/>
        <v>0.39071428571428574</v>
      </c>
      <c r="R54" s="11">
        <v>0</v>
      </c>
      <c r="S54" s="39">
        <f t="shared" si="8"/>
        <v>-170.6</v>
      </c>
      <c r="T54" s="35" t="e">
        <f t="shared" si="9"/>
        <v>#DIV/0!</v>
      </c>
      <c r="U54" s="12">
        <v>0</v>
      </c>
      <c r="V54" s="40">
        <f t="shared" si="10"/>
        <v>-170.6</v>
      </c>
      <c r="W54" s="36" t="e">
        <f t="shared" si="11"/>
        <v>#DIV/0!</v>
      </c>
    </row>
    <row r="55" spans="1:23" x14ac:dyDescent="0.6">
      <c r="A55" s="16">
        <v>24</v>
      </c>
      <c r="B55" s="17" t="s">
        <v>5037</v>
      </c>
      <c r="C55" s="17" t="s">
        <v>276</v>
      </c>
      <c r="D55" s="18" t="s">
        <v>16267</v>
      </c>
      <c r="E55" s="16">
        <v>30</v>
      </c>
      <c r="F55" s="16" t="s">
        <v>16265</v>
      </c>
      <c r="G55" s="16">
        <f>7.93*30</f>
        <v>237.89999999999998</v>
      </c>
      <c r="H55" s="56">
        <f>12/30</f>
        <v>0.4</v>
      </c>
      <c r="I55" s="16">
        <f t="shared" si="36"/>
        <v>12</v>
      </c>
      <c r="J55" s="16">
        <f t="shared" ref="J55:J56" si="38">+G55+I55</f>
        <v>249.89999999999998</v>
      </c>
      <c r="K55" s="21">
        <f t="shared" si="30"/>
        <v>249.89999999999998</v>
      </c>
      <c r="L55" s="9">
        <v>450</v>
      </c>
      <c r="M55" s="38">
        <f t="shared" si="4"/>
        <v>200.10000000000002</v>
      </c>
      <c r="N55" s="26">
        <f t="shared" si="5"/>
        <v>0.44466666666666671</v>
      </c>
      <c r="O55" s="10">
        <v>420</v>
      </c>
      <c r="P55" s="37">
        <f t="shared" si="6"/>
        <v>170.10000000000002</v>
      </c>
      <c r="Q55" s="30">
        <f t="shared" si="16"/>
        <v>0.40500000000000003</v>
      </c>
      <c r="R55" s="11">
        <v>0</v>
      </c>
      <c r="S55" s="39">
        <f t="shared" si="8"/>
        <v>-249.89999999999998</v>
      </c>
      <c r="T55" s="35" t="e">
        <f t="shared" si="9"/>
        <v>#DIV/0!</v>
      </c>
      <c r="U55" s="12">
        <v>0</v>
      </c>
      <c r="V55" s="40">
        <f t="shared" si="10"/>
        <v>-249.89999999999998</v>
      </c>
      <c r="W55" s="36" t="e">
        <f t="shared" si="11"/>
        <v>#DIV/0!</v>
      </c>
    </row>
    <row r="56" spans="1:23" x14ac:dyDescent="0.6">
      <c r="A56" s="16"/>
      <c r="B56" s="17"/>
      <c r="C56" s="17" t="s">
        <v>8622</v>
      </c>
      <c r="D56" s="18" t="s">
        <v>16267</v>
      </c>
      <c r="E56" s="16">
        <v>30</v>
      </c>
      <c r="F56" s="16" t="s">
        <v>16265</v>
      </c>
      <c r="G56" s="16">
        <f>7.93*30</f>
        <v>237.89999999999998</v>
      </c>
      <c r="H56" s="56">
        <v>0.4</v>
      </c>
      <c r="I56" s="16">
        <f t="shared" si="36"/>
        <v>12</v>
      </c>
      <c r="J56" s="16">
        <f t="shared" si="38"/>
        <v>249.89999999999998</v>
      </c>
      <c r="K56" s="21">
        <f t="shared" si="30"/>
        <v>249.89999999999998</v>
      </c>
      <c r="L56" s="9">
        <v>450</v>
      </c>
      <c r="M56" s="38">
        <f t="shared" si="4"/>
        <v>200.10000000000002</v>
      </c>
      <c r="N56" s="26">
        <f t="shared" si="5"/>
        <v>0.44466666666666671</v>
      </c>
      <c r="O56" s="10">
        <v>420</v>
      </c>
      <c r="P56" s="37">
        <f t="shared" si="6"/>
        <v>170.10000000000002</v>
      </c>
      <c r="Q56" s="30">
        <f t="shared" si="16"/>
        <v>0.40500000000000003</v>
      </c>
      <c r="R56" s="11">
        <v>0</v>
      </c>
      <c r="S56" s="39">
        <f t="shared" si="8"/>
        <v>-249.89999999999998</v>
      </c>
      <c r="T56" s="35" t="e">
        <f t="shared" si="9"/>
        <v>#DIV/0!</v>
      </c>
      <c r="U56" s="12">
        <v>0</v>
      </c>
      <c r="V56" s="40">
        <f t="shared" si="10"/>
        <v>-249.89999999999998</v>
      </c>
      <c r="W56" s="36" t="e">
        <f t="shared" si="11"/>
        <v>#DIV/0!</v>
      </c>
    </row>
    <row r="57" spans="1:23" x14ac:dyDescent="0.6">
      <c r="A57" s="13">
        <v>25</v>
      </c>
      <c r="B57" s="14" t="s">
        <v>3751</v>
      </c>
      <c r="C57" s="14" t="s">
        <v>276</v>
      </c>
      <c r="D57" s="15" t="s">
        <v>16267</v>
      </c>
      <c r="E57" s="13">
        <v>40</v>
      </c>
      <c r="F57" s="13" t="s">
        <v>16265</v>
      </c>
      <c r="G57" s="13">
        <f>7.93*40</f>
        <v>317.2</v>
      </c>
      <c r="H57" s="56">
        <f>12/40</f>
        <v>0.3</v>
      </c>
      <c r="I57" s="13">
        <f t="shared" ref="I57:I60" si="39">+H57*E57</f>
        <v>12</v>
      </c>
      <c r="J57" s="13">
        <f t="shared" ref="J57:J58" si="40">+I57+G57</f>
        <v>329.2</v>
      </c>
      <c r="K57" s="21">
        <f t="shared" si="30"/>
        <v>329.2</v>
      </c>
      <c r="L57" s="9">
        <v>600</v>
      </c>
      <c r="M57" s="38">
        <f t="shared" si="4"/>
        <v>270.8</v>
      </c>
      <c r="N57" s="26">
        <f t="shared" si="5"/>
        <v>0.45133333333333336</v>
      </c>
      <c r="O57" s="10">
        <v>560</v>
      </c>
      <c r="P57" s="37">
        <f t="shared" si="6"/>
        <v>230.8</v>
      </c>
      <c r="Q57" s="30">
        <f t="shared" si="16"/>
        <v>0.41214285714285714</v>
      </c>
      <c r="R57" s="11">
        <v>0</v>
      </c>
      <c r="S57" s="39">
        <f t="shared" si="8"/>
        <v>-329.2</v>
      </c>
      <c r="T57" s="35" t="e">
        <f t="shared" si="9"/>
        <v>#DIV/0!</v>
      </c>
      <c r="U57" s="12">
        <v>0</v>
      </c>
      <c r="V57" s="40">
        <f t="shared" si="10"/>
        <v>-329.2</v>
      </c>
      <c r="W57" s="36" t="e">
        <f t="shared" si="11"/>
        <v>#DIV/0!</v>
      </c>
    </row>
    <row r="58" spans="1:23" x14ac:dyDescent="0.6">
      <c r="A58" s="13"/>
      <c r="B58" s="14"/>
      <c r="C58" s="14" t="s">
        <v>13636</v>
      </c>
      <c r="D58" s="15" t="s">
        <v>16267</v>
      </c>
      <c r="E58" s="13">
        <v>40</v>
      </c>
      <c r="F58" s="13" t="s">
        <v>16265</v>
      </c>
      <c r="G58" s="13">
        <f>7.93*40</f>
        <v>317.2</v>
      </c>
      <c r="H58" s="56">
        <v>0.3</v>
      </c>
      <c r="I58" s="13">
        <f t="shared" si="39"/>
        <v>12</v>
      </c>
      <c r="J58" s="13">
        <f t="shared" si="40"/>
        <v>329.2</v>
      </c>
      <c r="K58" s="21">
        <f t="shared" si="30"/>
        <v>329.2</v>
      </c>
      <c r="L58" s="9">
        <v>600</v>
      </c>
      <c r="M58" s="38">
        <f t="shared" si="4"/>
        <v>270.8</v>
      </c>
      <c r="N58" s="26">
        <f t="shared" si="5"/>
        <v>0.45133333333333336</v>
      </c>
      <c r="O58" s="10">
        <v>560</v>
      </c>
      <c r="P58" s="37">
        <f t="shared" si="6"/>
        <v>230.8</v>
      </c>
      <c r="Q58" s="30">
        <f t="shared" si="16"/>
        <v>0.41214285714285714</v>
      </c>
      <c r="R58" s="11">
        <v>0</v>
      </c>
      <c r="S58" s="39">
        <f t="shared" si="8"/>
        <v>-329.2</v>
      </c>
      <c r="T58" s="35" t="e">
        <f t="shared" si="9"/>
        <v>#DIV/0!</v>
      </c>
      <c r="U58" s="12">
        <v>0</v>
      </c>
      <c r="V58" s="40">
        <f t="shared" si="10"/>
        <v>-329.2</v>
      </c>
      <c r="W58" s="36" t="e">
        <f t="shared" si="11"/>
        <v>#DIV/0!</v>
      </c>
    </row>
    <row r="59" spans="1:23" x14ac:dyDescent="0.6">
      <c r="A59" s="16">
        <v>26</v>
      </c>
      <c r="B59" s="17" t="s">
        <v>6095</v>
      </c>
      <c r="C59" s="17" t="s">
        <v>276</v>
      </c>
      <c r="D59" s="18" t="s">
        <v>16267</v>
      </c>
      <c r="E59" s="16">
        <v>50</v>
      </c>
      <c r="F59" s="16" t="s">
        <v>16265</v>
      </c>
      <c r="G59" s="16">
        <f>7.93*50</f>
        <v>396.5</v>
      </c>
      <c r="H59" s="56">
        <f>12/50</f>
        <v>0.24</v>
      </c>
      <c r="I59" s="16">
        <f t="shared" si="39"/>
        <v>12</v>
      </c>
      <c r="J59" s="16">
        <f t="shared" ref="J59:J60" si="41">+G59+I59</f>
        <v>408.5</v>
      </c>
      <c r="K59" s="21">
        <f t="shared" si="30"/>
        <v>408.5</v>
      </c>
      <c r="L59" s="9">
        <v>750</v>
      </c>
      <c r="M59" s="38">
        <f t="shared" si="4"/>
        <v>341.5</v>
      </c>
      <c r="N59" s="26">
        <f t="shared" si="5"/>
        <v>0.45533333333333331</v>
      </c>
      <c r="O59" s="10">
        <v>700</v>
      </c>
      <c r="P59" s="37">
        <f t="shared" si="6"/>
        <v>291.5</v>
      </c>
      <c r="Q59" s="30">
        <f t="shared" si="16"/>
        <v>0.41642857142857143</v>
      </c>
      <c r="R59" s="11">
        <v>0</v>
      </c>
      <c r="S59" s="39">
        <f t="shared" si="8"/>
        <v>-408.5</v>
      </c>
      <c r="T59" s="35" t="e">
        <f t="shared" si="9"/>
        <v>#DIV/0!</v>
      </c>
      <c r="U59" s="12">
        <v>0</v>
      </c>
      <c r="V59" s="40">
        <f t="shared" si="10"/>
        <v>-408.5</v>
      </c>
      <c r="W59" s="36" t="e">
        <f t="shared" si="11"/>
        <v>#DIV/0!</v>
      </c>
    </row>
    <row r="60" spans="1:23" x14ac:dyDescent="0.6">
      <c r="A60" s="16"/>
      <c r="B60" s="17"/>
      <c r="C60" s="17" t="s">
        <v>14016</v>
      </c>
      <c r="D60" s="18" t="s">
        <v>16267</v>
      </c>
      <c r="E60" s="16">
        <v>50</v>
      </c>
      <c r="F60" s="16" t="s">
        <v>16265</v>
      </c>
      <c r="G60" s="16">
        <f>7.93*50</f>
        <v>396.5</v>
      </c>
      <c r="H60" s="56">
        <v>0.24</v>
      </c>
      <c r="I60" s="16">
        <f t="shared" si="39"/>
        <v>12</v>
      </c>
      <c r="J60" s="16">
        <f t="shared" si="41"/>
        <v>408.5</v>
      </c>
      <c r="K60" s="21">
        <f t="shared" si="30"/>
        <v>408.5</v>
      </c>
      <c r="L60" s="9">
        <v>1200</v>
      </c>
      <c r="M60" s="38">
        <f t="shared" si="4"/>
        <v>791.5</v>
      </c>
      <c r="N60" s="26">
        <f t="shared" si="5"/>
        <v>0.6595833333333333</v>
      </c>
      <c r="O60" s="10">
        <v>700</v>
      </c>
      <c r="P60" s="37">
        <f t="shared" si="6"/>
        <v>291.5</v>
      </c>
      <c r="Q60" s="30">
        <f t="shared" si="16"/>
        <v>0.41642857142857143</v>
      </c>
      <c r="R60" s="11">
        <v>0</v>
      </c>
      <c r="S60" s="39">
        <f t="shared" si="8"/>
        <v>-408.5</v>
      </c>
      <c r="T60" s="35" t="e">
        <f t="shared" si="9"/>
        <v>#DIV/0!</v>
      </c>
      <c r="U60" s="12">
        <v>0</v>
      </c>
      <c r="V60" s="40">
        <f t="shared" si="10"/>
        <v>-408.5</v>
      </c>
      <c r="W60" s="36" t="e">
        <f t="shared" si="11"/>
        <v>#DIV/0!</v>
      </c>
    </row>
    <row r="61" spans="1:23" x14ac:dyDescent="0.6">
      <c r="A61" s="13">
        <v>27</v>
      </c>
      <c r="B61" s="14" t="s">
        <v>4934</v>
      </c>
      <c r="C61" s="14" t="s">
        <v>4935</v>
      </c>
      <c r="D61" s="15" t="s">
        <v>16267</v>
      </c>
      <c r="E61" s="13">
        <v>80</v>
      </c>
      <c r="F61" s="13" t="s">
        <v>16265</v>
      </c>
      <c r="G61" s="13">
        <f>7.93*80</f>
        <v>634.4</v>
      </c>
      <c r="H61" s="56">
        <f>12/80</f>
        <v>0.15</v>
      </c>
      <c r="I61" s="13">
        <f>+H61*E61</f>
        <v>12</v>
      </c>
      <c r="J61" s="13">
        <f>+I61+G61</f>
        <v>646.4</v>
      </c>
      <c r="K61" s="21">
        <f t="shared" si="30"/>
        <v>646.4</v>
      </c>
      <c r="L61" s="9">
        <v>0</v>
      </c>
      <c r="M61" s="38">
        <f t="shared" si="4"/>
        <v>-646.4</v>
      </c>
      <c r="N61" s="26" t="e">
        <f t="shared" si="5"/>
        <v>#DIV/0!</v>
      </c>
      <c r="O61" s="10">
        <v>1120</v>
      </c>
      <c r="P61" s="37">
        <f t="shared" si="6"/>
        <v>473.6</v>
      </c>
      <c r="Q61" s="30">
        <f t="shared" si="16"/>
        <v>0.42285714285714288</v>
      </c>
      <c r="R61" s="11">
        <v>0</v>
      </c>
      <c r="S61" s="39">
        <f t="shared" si="8"/>
        <v>-646.4</v>
      </c>
      <c r="T61" s="35" t="e">
        <f t="shared" si="9"/>
        <v>#DIV/0!</v>
      </c>
      <c r="U61" s="12">
        <v>0</v>
      </c>
      <c r="V61" s="40">
        <f t="shared" si="10"/>
        <v>-646.4</v>
      </c>
      <c r="W61" s="36" t="e">
        <f t="shared" si="11"/>
        <v>#DIV/0!</v>
      </c>
    </row>
    <row r="62" spans="1:23" x14ac:dyDescent="0.6">
      <c r="A62" s="16">
        <v>28</v>
      </c>
      <c r="B62" s="17" t="s">
        <v>14799</v>
      </c>
      <c r="C62" s="17" t="s">
        <v>14800</v>
      </c>
      <c r="D62" s="18" t="s">
        <v>16277</v>
      </c>
      <c r="E62" s="16">
        <v>1</v>
      </c>
      <c r="F62" s="16" t="s">
        <v>16257</v>
      </c>
      <c r="G62" s="16">
        <v>13.94</v>
      </c>
      <c r="H62" s="56">
        <v>12</v>
      </c>
      <c r="I62" s="16">
        <f t="shared" ref="I62:I63" si="42">+H62*E62</f>
        <v>12</v>
      </c>
      <c r="J62" s="16">
        <f t="shared" ref="J62:J63" si="43">+G62+I62</f>
        <v>25.939999999999998</v>
      </c>
      <c r="K62" s="21">
        <f t="shared" si="30"/>
        <v>25.939999999999998</v>
      </c>
      <c r="L62" s="9">
        <v>0</v>
      </c>
      <c r="M62" s="38">
        <f t="shared" si="4"/>
        <v>-25.939999999999998</v>
      </c>
      <c r="N62" s="26" t="e">
        <f t="shared" si="5"/>
        <v>#DIV/0!</v>
      </c>
      <c r="O62" s="10">
        <v>0</v>
      </c>
      <c r="P62" s="37">
        <f t="shared" si="6"/>
        <v>-25.939999999999998</v>
      </c>
      <c r="Q62" s="30" t="e">
        <f t="shared" si="16"/>
        <v>#DIV/0!</v>
      </c>
      <c r="R62" s="11">
        <v>0</v>
      </c>
      <c r="S62" s="39">
        <f t="shared" si="8"/>
        <v>-25.939999999999998</v>
      </c>
      <c r="T62" s="35" t="e">
        <f t="shared" si="9"/>
        <v>#DIV/0!</v>
      </c>
      <c r="U62" s="12">
        <v>120</v>
      </c>
      <c r="V62" s="40">
        <f t="shared" si="10"/>
        <v>94.06</v>
      </c>
      <c r="W62" s="36">
        <f t="shared" si="11"/>
        <v>0.78383333333333338</v>
      </c>
    </row>
    <row r="63" spans="1:23" x14ac:dyDescent="0.6">
      <c r="A63" s="16"/>
      <c r="B63" s="17"/>
      <c r="C63" s="17"/>
      <c r="D63" s="18" t="s">
        <v>16274</v>
      </c>
      <c r="E63" s="16">
        <v>1</v>
      </c>
      <c r="F63" s="16" t="s">
        <v>16257</v>
      </c>
      <c r="G63" s="16">
        <v>24.23</v>
      </c>
      <c r="H63" s="56">
        <v>12</v>
      </c>
      <c r="I63" s="16">
        <f t="shared" si="42"/>
        <v>12</v>
      </c>
      <c r="J63" s="16">
        <f t="shared" si="43"/>
        <v>36.230000000000004</v>
      </c>
      <c r="K63" s="21">
        <f t="shared" si="30"/>
        <v>36.230000000000004</v>
      </c>
      <c r="L63" s="9">
        <v>0</v>
      </c>
      <c r="M63" s="38">
        <f t="shared" si="4"/>
        <v>-36.230000000000004</v>
      </c>
      <c r="N63" s="26" t="e">
        <f t="shared" si="5"/>
        <v>#DIV/0!</v>
      </c>
      <c r="O63" s="10">
        <v>0</v>
      </c>
      <c r="P63" s="37">
        <f t="shared" si="6"/>
        <v>-36.230000000000004</v>
      </c>
      <c r="Q63" s="30" t="e">
        <f t="shared" si="16"/>
        <v>#DIV/0!</v>
      </c>
      <c r="R63" s="11">
        <v>0</v>
      </c>
      <c r="S63" s="39">
        <f t="shared" si="8"/>
        <v>-36.230000000000004</v>
      </c>
      <c r="T63" s="35" t="e">
        <f t="shared" si="9"/>
        <v>#DIV/0!</v>
      </c>
      <c r="U63" s="12">
        <v>120</v>
      </c>
      <c r="V63" s="40">
        <f t="shared" si="10"/>
        <v>83.77</v>
      </c>
      <c r="W63" s="36">
        <f t="shared" si="11"/>
        <v>0.69808333333333328</v>
      </c>
    </row>
    <row r="64" spans="1:23" ht="26.4" customHeight="1" x14ac:dyDescent="0.6">
      <c r="A64" s="13">
        <v>29</v>
      </c>
      <c r="B64" s="14" t="s">
        <v>120</v>
      </c>
      <c r="C64" s="14" t="s">
        <v>121</v>
      </c>
      <c r="D64" s="15" t="s">
        <v>16277</v>
      </c>
      <c r="E64" s="13">
        <v>1</v>
      </c>
      <c r="F64" s="13" t="s">
        <v>16257</v>
      </c>
      <c r="G64" s="13">
        <v>13.94</v>
      </c>
      <c r="H64" s="56">
        <v>12</v>
      </c>
      <c r="I64" s="13">
        <f t="shared" ref="I64:I70" si="44">+H64*E64</f>
        <v>12</v>
      </c>
      <c r="J64" s="13">
        <f t="shared" ref="J64:J68" si="45">+I64+G64</f>
        <v>25.939999999999998</v>
      </c>
      <c r="K64" s="65">
        <f>+J64+J65+J66+J67+J68</f>
        <v>149.84</v>
      </c>
      <c r="L64" s="67">
        <v>0</v>
      </c>
      <c r="M64" s="77">
        <f t="shared" si="4"/>
        <v>-149.84</v>
      </c>
      <c r="N64" s="86" t="e">
        <f t="shared" si="5"/>
        <v>#DIV/0!</v>
      </c>
      <c r="O64" s="71">
        <v>0</v>
      </c>
      <c r="P64" s="42">
        <f t="shared" si="6"/>
        <v>-149.84</v>
      </c>
      <c r="Q64" s="31" t="e">
        <f t="shared" si="16"/>
        <v>#DIV/0!</v>
      </c>
      <c r="R64" s="51">
        <v>0</v>
      </c>
      <c r="S64" s="92">
        <f t="shared" si="8"/>
        <v>-149.84</v>
      </c>
      <c r="T64" s="95" t="e">
        <f t="shared" si="9"/>
        <v>#DIV/0!</v>
      </c>
      <c r="U64" s="83">
        <v>288</v>
      </c>
      <c r="V64" s="98">
        <f t="shared" si="10"/>
        <v>138.16</v>
      </c>
      <c r="W64" s="101">
        <f t="shared" si="11"/>
        <v>0.47972222222222222</v>
      </c>
    </row>
    <row r="65" spans="1:23" ht="26.4" customHeight="1" x14ac:dyDescent="0.6">
      <c r="A65" s="13"/>
      <c r="B65" s="14"/>
      <c r="C65" s="14"/>
      <c r="D65" s="15" t="s">
        <v>16274</v>
      </c>
      <c r="E65" s="13">
        <v>1</v>
      </c>
      <c r="F65" s="13" t="s">
        <v>16257</v>
      </c>
      <c r="G65" s="13">
        <v>24.23</v>
      </c>
      <c r="H65" s="56">
        <v>12</v>
      </c>
      <c r="I65" s="13">
        <f t="shared" si="44"/>
        <v>12</v>
      </c>
      <c r="J65" s="13">
        <f t="shared" si="45"/>
        <v>36.230000000000004</v>
      </c>
      <c r="K65" s="70"/>
      <c r="L65" s="68"/>
      <c r="M65" s="78">
        <f t="shared" si="4"/>
        <v>0</v>
      </c>
      <c r="N65" s="87" t="e">
        <f t="shared" si="5"/>
        <v>#DIV/0!</v>
      </c>
      <c r="O65" s="72">
        <v>0</v>
      </c>
      <c r="P65" s="43">
        <f t="shared" si="6"/>
        <v>0</v>
      </c>
      <c r="Q65" s="32" t="e">
        <f t="shared" si="16"/>
        <v>#DIV/0!</v>
      </c>
      <c r="R65" s="52">
        <v>0</v>
      </c>
      <c r="S65" s="93"/>
      <c r="T65" s="96" t="e">
        <f t="shared" si="9"/>
        <v>#DIV/0!</v>
      </c>
      <c r="U65" s="84"/>
      <c r="V65" s="99">
        <f t="shared" si="10"/>
        <v>0</v>
      </c>
      <c r="W65" s="105" t="e">
        <f t="shared" si="11"/>
        <v>#DIV/0!</v>
      </c>
    </row>
    <row r="66" spans="1:23" ht="26.4" customHeight="1" x14ac:dyDescent="0.6">
      <c r="A66" s="13"/>
      <c r="B66" s="14"/>
      <c r="C66" s="14"/>
      <c r="D66" s="15" t="s">
        <v>16276</v>
      </c>
      <c r="E66" s="13">
        <v>1</v>
      </c>
      <c r="F66" s="13" t="s">
        <v>16257</v>
      </c>
      <c r="G66" s="13">
        <v>19.48</v>
      </c>
      <c r="H66" s="56">
        <v>12</v>
      </c>
      <c r="I66" s="13">
        <f t="shared" si="44"/>
        <v>12</v>
      </c>
      <c r="J66" s="13">
        <f t="shared" si="45"/>
        <v>31.48</v>
      </c>
      <c r="K66" s="70"/>
      <c r="L66" s="68"/>
      <c r="M66" s="78">
        <f t="shared" si="4"/>
        <v>0</v>
      </c>
      <c r="N66" s="87" t="e">
        <f t="shared" si="5"/>
        <v>#DIV/0!</v>
      </c>
      <c r="O66" s="72">
        <v>0</v>
      </c>
      <c r="P66" s="43">
        <f t="shared" si="6"/>
        <v>0</v>
      </c>
      <c r="Q66" s="32" t="e">
        <f t="shared" si="16"/>
        <v>#DIV/0!</v>
      </c>
      <c r="R66" s="52">
        <v>0</v>
      </c>
      <c r="S66" s="93"/>
      <c r="T66" s="96" t="e">
        <f t="shared" si="9"/>
        <v>#DIV/0!</v>
      </c>
      <c r="U66" s="84"/>
      <c r="V66" s="99">
        <f t="shared" si="10"/>
        <v>0</v>
      </c>
      <c r="W66" s="105" t="e">
        <f t="shared" si="11"/>
        <v>#DIV/0!</v>
      </c>
    </row>
    <row r="67" spans="1:23" ht="26.4" customHeight="1" x14ac:dyDescent="0.6">
      <c r="A67" s="13"/>
      <c r="B67" s="14"/>
      <c r="C67" s="14"/>
      <c r="D67" s="15" t="s">
        <v>16268</v>
      </c>
      <c r="E67" s="13">
        <v>1</v>
      </c>
      <c r="F67" s="13" t="s">
        <v>16257</v>
      </c>
      <c r="G67" s="13">
        <v>17.59</v>
      </c>
      <c r="H67" s="56">
        <v>12</v>
      </c>
      <c r="I67" s="13">
        <f t="shared" si="44"/>
        <v>12</v>
      </c>
      <c r="J67" s="13">
        <f t="shared" si="45"/>
        <v>29.59</v>
      </c>
      <c r="K67" s="70"/>
      <c r="L67" s="68"/>
      <c r="M67" s="78">
        <f t="shared" si="4"/>
        <v>0</v>
      </c>
      <c r="N67" s="87" t="e">
        <f t="shared" si="5"/>
        <v>#DIV/0!</v>
      </c>
      <c r="O67" s="72">
        <v>0</v>
      </c>
      <c r="P67" s="43">
        <f t="shared" si="6"/>
        <v>0</v>
      </c>
      <c r="Q67" s="32" t="e">
        <f t="shared" si="16"/>
        <v>#DIV/0!</v>
      </c>
      <c r="R67" s="52">
        <v>0</v>
      </c>
      <c r="S67" s="93"/>
      <c r="T67" s="96" t="e">
        <f t="shared" si="9"/>
        <v>#DIV/0!</v>
      </c>
      <c r="U67" s="84"/>
      <c r="V67" s="99">
        <f t="shared" si="10"/>
        <v>0</v>
      </c>
      <c r="W67" s="105" t="e">
        <f t="shared" si="11"/>
        <v>#DIV/0!</v>
      </c>
    </row>
    <row r="68" spans="1:23" ht="26.4" customHeight="1" x14ac:dyDescent="0.6">
      <c r="A68" s="13"/>
      <c r="B68" s="14"/>
      <c r="C68" s="14"/>
      <c r="D68" s="15" t="s">
        <v>16262</v>
      </c>
      <c r="E68" s="13">
        <v>1</v>
      </c>
      <c r="F68" s="13" t="s">
        <v>16257</v>
      </c>
      <c r="G68" s="13">
        <v>14.6</v>
      </c>
      <c r="H68" s="56">
        <v>12</v>
      </c>
      <c r="I68" s="13">
        <f t="shared" si="44"/>
        <v>12</v>
      </c>
      <c r="J68" s="13">
        <f t="shared" si="45"/>
        <v>26.6</v>
      </c>
      <c r="K68" s="66"/>
      <c r="L68" s="69"/>
      <c r="M68" s="79">
        <f t="shared" si="4"/>
        <v>0</v>
      </c>
      <c r="N68" s="88" t="e">
        <f t="shared" si="5"/>
        <v>#DIV/0!</v>
      </c>
      <c r="O68" s="73">
        <v>0</v>
      </c>
      <c r="P68" s="44">
        <f t="shared" si="6"/>
        <v>0</v>
      </c>
      <c r="Q68" s="33" t="e">
        <f t="shared" si="16"/>
        <v>#DIV/0!</v>
      </c>
      <c r="R68" s="53">
        <v>0</v>
      </c>
      <c r="S68" s="94"/>
      <c r="T68" s="97" t="e">
        <f t="shared" si="9"/>
        <v>#DIV/0!</v>
      </c>
      <c r="U68" s="85"/>
      <c r="V68" s="100">
        <f t="shared" si="10"/>
        <v>0</v>
      </c>
      <c r="W68" s="102" t="e">
        <f t="shared" si="11"/>
        <v>#DIV/0!</v>
      </c>
    </row>
    <row r="69" spans="1:23" x14ac:dyDescent="0.6">
      <c r="A69" s="16">
        <v>30</v>
      </c>
      <c r="B69" s="17" t="s">
        <v>40</v>
      </c>
      <c r="C69" s="17" t="s">
        <v>41</v>
      </c>
      <c r="D69" s="18" t="s">
        <v>16262</v>
      </c>
      <c r="E69" s="16">
        <v>3</v>
      </c>
      <c r="F69" s="16" t="s">
        <v>16257</v>
      </c>
      <c r="G69" s="16">
        <f>14.6*3</f>
        <v>43.8</v>
      </c>
      <c r="H69" s="56">
        <v>12</v>
      </c>
      <c r="I69" s="16">
        <f t="shared" si="44"/>
        <v>36</v>
      </c>
      <c r="J69" s="16">
        <f t="shared" ref="J69:J70" si="46">+G69+I69</f>
        <v>79.8</v>
      </c>
      <c r="K69" s="21">
        <f>+J69</f>
        <v>79.8</v>
      </c>
      <c r="L69" s="9">
        <v>0</v>
      </c>
      <c r="M69" s="38">
        <f t="shared" ref="M69:M132" si="47">+L69-K69</f>
        <v>-79.8</v>
      </c>
      <c r="N69" s="26" t="e">
        <f t="shared" ref="N69:N132" si="48">+M69/L69</f>
        <v>#DIV/0!</v>
      </c>
      <c r="O69" s="10">
        <v>0</v>
      </c>
      <c r="P69" s="37">
        <f t="shared" ref="P69:P132" si="49">+O69-K69</f>
        <v>-79.8</v>
      </c>
      <c r="Q69" s="30" t="e">
        <f t="shared" si="16"/>
        <v>#DIV/0!</v>
      </c>
      <c r="R69" s="11">
        <v>0</v>
      </c>
      <c r="S69" s="39">
        <f t="shared" ref="S69:S132" si="50">+R69-K69</f>
        <v>-79.8</v>
      </c>
      <c r="T69" s="35" t="e">
        <f t="shared" ref="T69:T132" si="51">+S69/R69</f>
        <v>#DIV/0!</v>
      </c>
      <c r="U69" s="12">
        <v>130</v>
      </c>
      <c r="V69" s="40">
        <f t="shared" ref="V69:V132" si="52">+U69-K69</f>
        <v>50.2</v>
      </c>
      <c r="W69" s="36">
        <f t="shared" ref="W69:W132" si="53">+V69/U69</f>
        <v>0.38615384615384618</v>
      </c>
    </row>
    <row r="70" spans="1:23" x14ac:dyDescent="0.6">
      <c r="A70" s="16"/>
      <c r="B70" s="17"/>
      <c r="C70" s="17" t="s">
        <v>11384</v>
      </c>
      <c r="D70" s="18" t="s">
        <v>16262</v>
      </c>
      <c r="E70" s="16">
        <v>3</v>
      </c>
      <c r="F70" s="16" t="s">
        <v>16257</v>
      </c>
      <c r="G70" s="16">
        <f>14.3*3</f>
        <v>42.900000000000006</v>
      </c>
      <c r="H70" s="56">
        <v>12</v>
      </c>
      <c r="I70" s="16">
        <f t="shared" si="44"/>
        <v>36</v>
      </c>
      <c r="J70" s="16">
        <f t="shared" si="46"/>
        <v>78.900000000000006</v>
      </c>
      <c r="K70" s="21">
        <f>+J70</f>
        <v>78.900000000000006</v>
      </c>
      <c r="L70" s="9">
        <v>0</v>
      </c>
      <c r="M70" s="38">
        <f t="shared" si="47"/>
        <v>-78.900000000000006</v>
      </c>
      <c r="N70" s="26" t="e">
        <f t="shared" si="48"/>
        <v>#DIV/0!</v>
      </c>
      <c r="O70" s="10">
        <v>0</v>
      </c>
      <c r="P70" s="37">
        <f t="shared" si="49"/>
        <v>-78.900000000000006</v>
      </c>
      <c r="Q70" s="30" t="e">
        <f t="shared" si="16"/>
        <v>#DIV/0!</v>
      </c>
      <c r="R70" s="11">
        <v>0</v>
      </c>
      <c r="S70" s="39">
        <f t="shared" si="50"/>
        <v>-78.900000000000006</v>
      </c>
      <c r="T70" s="35" t="e">
        <f t="shared" si="51"/>
        <v>#DIV/0!</v>
      </c>
      <c r="U70" s="12">
        <v>130</v>
      </c>
      <c r="V70" s="40">
        <f t="shared" si="52"/>
        <v>51.099999999999994</v>
      </c>
      <c r="W70" s="36">
        <f t="shared" si="53"/>
        <v>0.39307692307692305</v>
      </c>
    </row>
    <row r="71" spans="1:23" ht="26.4" customHeight="1" x14ac:dyDescent="0.6">
      <c r="A71" s="13">
        <v>31</v>
      </c>
      <c r="B71" s="14" t="s">
        <v>13432</v>
      </c>
      <c r="C71" s="14" t="s">
        <v>13433</v>
      </c>
      <c r="D71" s="15" t="s">
        <v>16272</v>
      </c>
      <c r="E71" s="13">
        <v>2</v>
      </c>
      <c r="F71" s="13" t="s">
        <v>16257</v>
      </c>
      <c r="G71" s="13">
        <v>36.93</v>
      </c>
      <c r="H71" s="56">
        <v>12</v>
      </c>
      <c r="I71" s="13">
        <f t="shared" ref="I71:I74" si="54">+H71*E71</f>
        <v>24</v>
      </c>
      <c r="J71" s="13">
        <f t="shared" ref="J71:J74" si="55">+I71+G71</f>
        <v>60.93</v>
      </c>
      <c r="K71" s="65">
        <f>+J71+J72+J73+J74</f>
        <v>149.69999999999999</v>
      </c>
      <c r="L71" s="67">
        <v>350</v>
      </c>
      <c r="M71" s="77">
        <f t="shared" si="47"/>
        <v>200.3</v>
      </c>
      <c r="N71" s="86">
        <f t="shared" si="48"/>
        <v>0.57228571428571429</v>
      </c>
      <c r="O71" s="71">
        <v>350</v>
      </c>
      <c r="P71" s="42">
        <f t="shared" si="49"/>
        <v>200.3</v>
      </c>
      <c r="Q71" s="89">
        <f t="shared" si="16"/>
        <v>0.57228571428571429</v>
      </c>
      <c r="R71" s="74">
        <v>0</v>
      </c>
      <c r="S71" s="92">
        <f t="shared" si="50"/>
        <v>-149.69999999999999</v>
      </c>
      <c r="T71" s="95" t="e">
        <f t="shared" si="51"/>
        <v>#DIV/0!</v>
      </c>
      <c r="U71" s="83">
        <v>0</v>
      </c>
      <c r="V71" s="98">
        <f t="shared" si="52"/>
        <v>-149.69999999999999</v>
      </c>
      <c r="W71" s="101" t="e">
        <f t="shared" si="53"/>
        <v>#DIV/0!</v>
      </c>
    </row>
    <row r="72" spans="1:23" ht="26.4" customHeight="1" x14ac:dyDescent="0.6">
      <c r="A72" s="13"/>
      <c r="B72" s="14"/>
      <c r="C72" s="14"/>
      <c r="D72" s="15" t="s">
        <v>16270</v>
      </c>
      <c r="E72" s="13">
        <v>1</v>
      </c>
      <c r="F72" s="13" t="s">
        <v>16257</v>
      </c>
      <c r="G72" s="13">
        <v>16.59</v>
      </c>
      <c r="H72" s="56">
        <v>12</v>
      </c>
      <c r="I72" s="13">
        <f t="shared" si="54"/>
        <v>12</v>
      </c>
      <c r="J72" s="13">
        <f t="shared" si="55"/>
        <v>28.59</v>
      </c>
      <c r="K72" s="70"/>
      <c r="L72" s="68"/>
      <c r="M72" s="78">
        <f t="shared" si="47"/>
        <v>0</v>
      </c>
      <c r="N72" s="87" t="e">
        <f t="shared" si="48"/>
        <v>#DIV/0!</v>
      </c>
      <c r="O72" s="72"/>
      <c r="P72" s="43">
        <f t="shared" si="49"/>
        <v>0</v>
      </c>
      <c r="Q72" s="90"/>
      <c r="R72" s="75"/>
      <c r="S72" s="93"/>
      <c r="T72" s="96" t="e">
        <f t="shared" si="51"/>
        <v>#DIV/0!</v>
      </c>
      <c r="U72" s="84"/>
      <c r="V72" s="99">
        <f t="shared" si="52"/>
        <v>0</v>
      </c>
      <c r="W72" s="105" t="e">
        <f t="shared" si="53"/>
        <v>#DIV/0!</v>
      </c>
    </row>
    <row r="73" spans="1:23" ht="26.4" customHeight="1" x14ac:dyDescent="0.6">
      <c r="A73" s="13"/>
      <c r="B73" s="14"/>
      <c r="C73" s="14"/>
      <c r="D73" s="15" t="s">
        <v>16269</v>
      </c>
      <c r="E73" s="13">
        <v>1</v>
      </c>
      <c r="F73" s="13" t="s">
        <v>16257</v>
      </c>
      <c r="G73" s="13">
        <v>18.239999999999998</v>
      </c>
      <c r="H73" s="56">
        <v>12</v>
      </c>
      <c r="I73" s="13">
        <f t="shared" si="54"/>
        <v>12</v>
      </c>
      <c r="J73" s="13">
        <f t="shared" si="55"/>
        <v>30.24</v>
      </c>
      <c r="K73" s="70"/>
      <c r="L73" s="68"/>
      <c r="M73" s="78">
        <f t="shared" si="47"/>
        <v>0</v>
      </c>
      <c r="N73" s="87" t="e">
        <f t="shared" si="48"/>
        <v>#DIV/0!</v>
      </c>
      <c r="O73" s="72"/>
      <c r="P73" s="43">
        <f t="shared" si="49"/>
        <v>0</v>
      </c>
      <c r="Q73" s="90"/>
      <c r="R73" s="75"/>
      <c r="S73" s="93"/>
      <c r="T73" s="96" t="e">
        <f t="shared" si="51"/>
        <v>#DIV/0!</v>
      </c>
      <c r="U73" s="84"/>
      <c r="V73" s="99">
        <f t="shared" si="52"/>
        <v>0</v>
      </c>
      <c r="W73" s="105" t="e">
        <f t="shared" si="53"/>
        <v>#DIV/0!</v>
      </c>
    </row>
    <row r="74" spans="1:23" ht="26.4" customHeight="1" x14ac:dyDescent="0.6">
      <c r="A74" s="13"/>
      <c r="B74" s="14"/>
      <c r="C74" s="14"/>
      <c r="D74" s="15" t="s">
        <v>16271</v>
      </c>
      <c r="E74" s="13">
        <v>1</v>
      </c>
      <c r="F74" s="13" t="s">
        <v>16257</v>
      </c>
      <c r="G74" s="13">
        <v>17.940000000000001</v>
      </c>
      <c r="H74" s="56">
        <v>12</v>
      </c>
      <c r="I74" s="13">
        <f t="shared" si="54"/>
        <v>12</v>
      </c>
      <c r="J74" s="13">
        <f t="shared" si="55"/>
        <v>29.94</v>
      </c>
      <c r="K74" s="66"/>
      <c r="L74" s="69"/>
      <c r="M74" s="79">
        <f t="shared" si="47"/>
        <v>0</v>
      </c>
      <c r="N74" s="88" t="e">
        <f t="shared" si="48"/>
        <v>#DIV/0!</v>
      </c>
      <c r="O74" s="73"/>
      <c r="P74" s="44">
        <f t="shared" si="49"/>
        <v>0</v>
      </c>
      <c r="Q74" s="91"/>
      <c r="R74" s="76"/>
      <c r="S74" s="94"/>
      <c r="T74" s="97" t="e">
        <f t="shared" si="51"/>
        <v>#DIV/0!</v>
      </c>
      <c r="U74" s="85"/>
      <c r="V74" s="100">
        <f t="shared" si="52"/>
        <v>0</v>
      </c>
      <c r="W74" s="102" t="e">
        <f t="shared" si="53"/>
        <v>#DIV/0!</v>
      </c>
    </row>
    <row r="75" spans="1:23" x14ac:dyDescent="0.6">
      <c r="A75" s="16">
        <v>32</v>
      </c>
      <c r="B75" s="17" t="s">
        <v>5625</v>
      </c>
      <c r="C75" s="17" t="s">
        <v>5626</v>
      </c>
      <c r="D75" s="18" t="s">
        <v>16268</v>
      </c>
      <c r="E75" s="16">
        <v>30</v>
      </c>
      <c r="F75" s="16" t="s">
        <v>16257</v>
      </c>
      <c r="G75" s="16">
        <f>17.59*30</f>
        <v>527.70000000000005</v>
      </c>
      <c r="H75" s="56">
        <v>12</v>
      </c>
      <c r="I75" s="16">
        <f>+H75*E75</f>
        <v>360</v>
      </c>
      <c r="J75" s="16">
        <f>+G75+I75</f>
        <v>887.7</v>
      </c>
      <c r="K75" s="21">
        <f t="shared" ref="K75:K87" si="56">+J75</f>
        <v>887.7</v>
      </c>
      <c r="L75" s="9">
        <v>0</v>
      </c>
      <c r="M75" s="38">
        <f t="shared" si="47"/>
        <v>-887.7</v>
      </c>
      <c r="N75" s="26" t="e">
        <f t="shared" si="48"/>
        <v>#DIV/0!</v>
      </c>
      <c r="O75" s="10">
        <v>0</v>
      </c>
      <c r="P75" s="37">
        <f t="shared" si="49"/>
        <v>-887.7</v>
      </c>
      <c r="Q75" s="30" t="e">
        <f t="shared" si="16"/>
        <v>#DIV/0!</v>
      </c>
      <c r="R75" s="11">
        <v>0</v>
      </c>
      <c r="S75" s="39">
        <f t="shared" si="50"/>
        <v>-887.7</v>
      </c>
      <c r="T75" s="35" t="e">
        <f t="shared" si="51"/>
        <v>#DIV/0!</v>
      </c>
      <c r="U75" s="12">
        <v>1200</v>
      </c>
      <c r="V75" s="40">
        <f t="shared" si="52"/>
        <v>312.29999999999995</v>
      </c>
      <c r="W75" s="36">
        <f t="shared" si="53"/>
        <v>0.26024999999999998</v>
      </c>
    </row>
    <row r="76" spans="1:23" x14ac:dyDescent="0.6">
      <c r="A76" s="13">
        <v>33</v>
      </c>
      <c r="B76" s="14" t="s">
        <v>33</v>
      </c>
      <c r="C76" s="14" t="s">
        <v>34</v>
      </c>
      <c r="D76" s="15" t="s">
        <v>16268</v>
      </c>
      <c r="E76" s="13">
        <v>6</v>
      </c>
      <c r="F76" s="13" t="s">
        <v>16257</v>
      </c>
      <c r="G76" s="13">
        <f>17.59*6</f>
        <v>105.53999999999999</v>
      </c>
      <c r="H76" s="56">
        <v>12</v>
      </c>
      <c r="I76" s="13">
        <f>+H76*E76</f>
        <v>72</v>
      </c>
      <c r="J76" s="13">
        <f>+I76+G76</f>
        <v>177.54</v>
      </c>
      <c r="K76" s="21">
        <f t="shared" si="56"/>
        <v>177.54</v>
      </c>
      <c r="L76" s="9">
        <v>250</v>
      </c>
      <c r="M76" s="38">
        <f t="shared" si="47"/>
        <v>72.460000000000008</v>
      </c>
      <c r="N76" s="26">
        <f t="shared" si="48"/>
        <v>0.28984000000000004</v>
      </c>
      <c r="O76" s="10">
        <v>0</v>
      </c>
      <c r="P76" s="37">
        <f t="shared" si="49"/>
        <v>-177.54</v>
      </c>
      <c r="Q76" s="30" t="e">
        <f t="shared" si="16"/>
        <v>#DIV/0!</v>
      </c>
      <c r="R76" s="11">
        <v>200</v>
      </c>
      <c r="S76" s="39">
        <f t="shared" si="50"/>
        <v>22.460000000000008</v>
      </c>
      <c r="T76" s="35">
        <f t="shared" si="51"/>
        <v>0.11230000000000004</v>
      </c>
      <c r="U76" s="12">
        <v>0</v>
      </c>
      <c r="V76" s="40">
        <f t="shared" si="52"/>
        <v>-177.54</v>
      </c>
      <c r="W76" s="36" t="e">
        <f t="shared" si="53"/>
        <v>#DIV/0!</v>
      </c>
    </row>
    <row r="77" spans="1:23" x14ac:dyDescent="0.6">
      <c r="A77" s="16">
        <v>34</v>
      </c>
      <c r="B77" s="17" t="s">
        <v>70</v>
      </c>
      <c r="C77" s="17" t="s">
        <v>70</v>
      </c>
      <c r="D77" s="18" t="s">
        <v>16268</v>
      </c>
      <c r="E77" s="16">
        <v>10</v>
      </c>
      <c r="F77" s="16" t="s">
        <v>16257</v>
      </c>
      <c r="G77" s="16">
        <f>17.59*10</f>
        <v>175.9</v>
      </c>
      <c r="H77" s="56">
        <v>12</v>
      </c>
      <c r="I77" s="16">
        <f>+H77*E77</f>
        <v>120</v>
      </c>
      <c r="J77" s="16">
        <f>+G77+I77</f>
        <v>295.89999999999998</v>
      </c>
      <c r="K77" s="21">
        <f t="shared" si="56"/>
        <v>295.89999999999998</v>
      </c>
      <c r="L77" s="9">
        <v>0</v>
      </c>
      <c r="M77" s="38">
        <f t="shared" si="47"/>
        <v>-295.89999999999998</v>
      </c>
      <c r="N77" s="26" t="e">
        <f t="shared" si="48"/>
        <v>#DIV/0!</v>
      </c>
      <c r="O77" s="10">
        <v>0</v>
      </c>
      <c r="P77" s="37">
        <f t="shared" si="49"/>
        <v>-295.89999999999998</v>
      </c>
      <c r="Q77" s="30" t="e">
        <f t="shared" si="16"/>
        <v>#DIV/0!</v>
      </c>
      <c r="R77" s="11">
        <v>330</v>
      </c>
      <c r="S77" s="39">
        <f t="shared" si="50"/>
        <v>34.100000000000023</v>
      </c>
      <c r="T77" s="35">
        <f t="shared" si="51"/>
        <v>0.1033333333333334</v>
      </c>
      <c r="U77" s="12">
        <v>400</v>
      </c>
      <c r="V77" s="40">
        <f t="shared" si="52"/>
        <v>104.10000000000002</v>
      </c>
      <c r="W77" s="36">
        <f t="shared" si="53"/>
        <v>0.26025000000000004</v>
      </c>
    </row>
    <row r="78" spans="1:23" x14ac:dyDescent="0.6">
      <c r="A78" s="13">
        <v>35</v>
      </c>
      <c r="B78" s="14" t="s">
        <v>2295</v>
      </c>
      <c r="C78" s="14" t="s">
        <v>2296</v>
      </c>
      <c r="D78" s="15" t="s">
        <v>16258</v>
      </c>
      <c r="E78" s="13">
        <v>6</v>
      </c>
      <c r="F78" s="13" t="s">
        <v>16259</v>
      </c>
      <c r="G78" s="13">
        <f>15.43*6</f>
        <v>92.58</v>
      </c>
      <c r="H78" s="56">
        <v>12</v>
      </c>
      <c r="I78" s="13">
        <f t="shared" ref="I78:I83" si="57">+H78*E78</f>
        <v>72</v>
      </c>
      <c r="J78" s="13">
        <f t="shared" ref="J78:J80" si="58">+I78+G78</f>
        <v>164.57999999999998</v>
      </c>
      <c r="K78" s="21">
        <f t="shared" si="56"/>
        <v>164.57999999999998</v>
      </c>
      <c r="L78" s="9">
        <v>199</v>
      </c>
      <c r="M78" s="38">
        <f t="shared" si="47"/>
        <v>34.420000000000016</v>
      </c>
      <c r="N78" s="26">
        <f t="shared" si="48"/>
        <v>0.1729648241206031</v>
      </c>
      <c r="O78" s="10">
        <v>199</v>
      </c>
      <c r="P78" s="37">
        <f t="shared" si="49"/>
        <v>34.420000000000016</v>
      </c>
      <c r="Q78" s="30">
        <f t="shared" si="16"/>
        <v>0.1729648241206031</v>
      </c>
      <c r="R78" s="11">
        <v>0</v>
      </c>
      <c r="S78" s="39">
        <f t="shared" si="50"/>
        <v>-164.57999999999998</v>
      </c>
      <c r="T78" s="35" t="e">
        <f t="shared" si="51"/>
        <v>#DIV/0!</v>
      </c>
      <c r="U78" s="12">
        <v>0</v>
      </c>
      <c r="V78" s="40">
        <f t="shared" si="52"/>
        <v>-164.57999999999998</v>
      </c>
      <c r="W78" s="36" t="e">
        <f t="shared" si="53"/>
        <v>#DIV/0!</v>
      </c>
    </row>
    <row r="79" spans="1:23" x14ac:dyDescent="0.6">
      <c r="A79" s="13"/>
      <c r="B79" s="14"/>
      <c r="C79" s="14" t="s">
        <v>2854</v>
      </c>
      <c r="D79" s="15" t="s">
        <v>16258</v>
      </c>
      <c r="E79" s="13">
        <v>6</v>
      </c>
      <c r="F79" s="13" t="s">
        <v>16259</v>
      </c>
      <c r="G79" s="13">
        <f>15.43*6</f>
        <v>92.58</v>
      </c>
      <c r="H79" s="56">
        <v>12</v>
      </c>
      <c r="I79" s="13">
        <f t="shared" si="57"/>
        <v>72</v>
      </c>
      <c r="J79" s="13">
        <f t="shared" si="58"/>
        <v>164.57999999999998</v>
      </c>
      <c r="K79" s="21">
        <f t="shared" si="56"/>
        <v>164.57999999999998</v>
      </c>
      <c r="L79" s="9">
        <v>199</v>
      </c>
      <c r="M79" s="38">
        <f t="shared" si="47"/>
        <v>34.420000000000016</v>
      </c>
      <c r="N79" s="26">
        <f t="shared" si="48"/>
        <v>0.1729648241206031</v>
      </c>
      <c r="O79" s="10">
        <v>199</v>
      </c>
      <c r="P79" s="37">
        <f t="shared" si="49"/>
        <v>34.420000000000016</v>
      </c>
      <c r="Q79" s="30">
        <f t="shared" si="16"/>
        <v>0.1729648241206031</v>
      </c>
      <c r="R79" s="11">
        <v>0</v>
      </c>
      <c r="S79" s="39">
        <f t="shared" si="50"/>
        <v>-164.57999999999998</v>
      </c>
      <c r="T79" s="35" t="e">
        <f t="shared" si="51"/>
        <v>#DIV/0!</v>
      </c>
      <c r="U79" s="12">
        <v>0</v>
      </c>
      <c r="V79" s="40">
        <f t="shared" si="52"/>
        <v>-164.57999999999998</v>
      </c>
      <c r="W79" s="36" t="e">
        <f t="shared" si="53"/>
        <v>#DIV/0!</v>
      </c>
    </row>
    <row r="80" spans="1:23" x14ac:dyDescent="0.6">
      <c r="A80" s="13"/>
      <c r="B80" s="14"/>
      <c r="C80" s="14" t="s">
        <v>3286</v>
      </c>
      <c r="D80" s="15" t="s">
        <v>16258</v>
      </c>
      <c r="E80" s="13">
        <v>6</v>
      </c>
      <c r="F80" s="13" t="s">
        <v>16259</v>
      </c>
      <c r="G80" s="13">
        <f>15.43*6</f>
        <v>92.58</v>
      </c>
      <c r="H80" s="56">
        <v>12</v>
      </c>
      <c r="I80" s="13">
        <f t="shared" si="57"/>
        <v>72</v>
      </c>
      <c r="J80" s="13">
        <f t="shared" si="58"/>
        <v>164.57999999999998</v>
      </c>
      <c r="K80" s="21">
        <f t="shared" si="56"/>
        <v>164.57999999999998</v>
      </c>
      <c r="L80" s="9">
        <v>199</v>
      </c>
      <c r="M80" s="38">
        <f t="shared" si="47"/>
        <v>34.420000000000016</v>
      </c>
      <c r="N80" s="26">
        <f t="shared" si="48"/>
        <v>0.1729648241206031</v>
      </c>
      <c r="O80" s="10">
        <v>199</v>
      </c>
      <c r="P80" s="37">
        <f t="shared" si="49"/>
        <v>34.420000000000016</v>
      </c>
      <c r="Q80" s="30">
        <f t="shared" si="16"/>
        <v>0.1729648241206031</v>
      </c>
      <c r="R80" s="11">
        <v>0</v>
      </c>
      <c r="S80" s="39">
        <f t="shared" si="50"/>
        <v>-164.57999999999998</v>
      </c>
      <c r="T80" s="35" t="e">
        <f t="shared" si="51"/>
        <v>#DIV/0!</v>
      </c>
      <c r="U80" s="12">
        <v>0</v>
      </c>
      <c r="V80" s="40">
        <f t="shared" si="52"/>
        <v>-164.57999999999998</v>
      </c>
      <c r="W80" s="36" t="e">
        <f t="shared" si="53"/>
        <v>#DIV/0!</v>
      </c>
    </row>
    <row r="81" spans="1:23" x14ac:dyDescent="0.6">
      <c r="A81" s="16">
        <v>36</v>
      </c>
      <c r="B81" s="17" t="s">
        <v>2144</v>
      </c>
      <c r="C81" s="17" t="s">
        <v>5394</v>
      </c>
      <c r="D81" s="18" t="s">
        <v>16258</v>
      </c>
      <c r="E81" s="16">
        <v>4</v>
      </c>
      <c r="F81" s="16" t="s">
        <v>16259</v>
      </c>
      <c r="G81" s="16">
        <f>15.43*4</f>
        <v>61.72</v>
      </c>
      <c r="H81" s="56">
        <v>12</v>
      </c>
      <c r="I81" s="16">
        <f t="shared" si="57"/>
        <v>48</v>
      </c>
      <c r="J81" s="16">
        <f t="shared" ref="J81:J83" si="59">+G81+I81</f>
        <v>109.72</v>
      </c>
      <c r="K81" s="21">
        <f t="shared" si="56"/>
        <v>109.72</v>
      </c>
      <c r="L81" s="9">
        <v>135</v>
      </c>
      <c r="M81" s="38">
        <f t="shared" si="47"/>
        <v>25.28</v>
      </c>
      <c r="N81" s="26">
        <f t="shared" si="48"/>
        <v>0.18725925925925926</v>
      </c>
      <c r="O81" s="10">
        <v>160</v>
      </c>
      <c r="P81" s="37">
        <f t="shared" si="49"/>
        <v>50.28</v>
      </c>
      <c r="Q81" s="30">
        <f t="shared" ref="Q81:Q139" si="60">+P81/O81</f>
        <v>0.31425000000000003</v>
      </c>
      <c r="R81" s="11">
        <v>0</v>
      </c>
      <c r="S81" s="39">
        <f t="shared" si="50"/>
        <v>-109.72</v>
      </c>
      <c r="T81" s="35" t="e">
        <f t="shared" si="51"/>
        <v>#DIV/0!</v>
      </c>
      <c r="U81" s="12">
        <v>0</v>
      </c>
      <c r="V81" s="40">
        <f t="shared" si="52"/>
        <v>-109.72</v>
      </c>
      <c r="W81" s="36" t="e">
        <f t="shared" si="53"/>
        <v>#DIV/0!</v>
      </c>
    </row>
    <row r="82" spans="1:23" x14ac:dyDescent="0.6">
      <c r="A82" s="16"/>
      <c r="B82" s="17"/>
      <c r="C82" s="17" t="s">
        <v>15074</v>
      </c>
      <c r="D82" s="18" t="s">
        <v>16258</v>
      </c>
      <c r="E82" s="16">
        <v>4</v>
      </c>
      <c r="F82" s="16" t="s">
        <v>16259</v>
      </c>
      <c r="G82" s="16">
        <f>15.43*4</f>
        <v>61.72</v>
      </c>
      <c r="H82" s="56">
        <v>12</v>
      </c>
      <c r="I82" s="16">
        <f t="shared" si="57"/>
        <v>48</v>
      </c>
      <c r="J82" s="16">
        <f t="shared" si="59"/>
        <v>109.72</v>
      </c>
      <c r="K82" s="21">
        <f t="shared" si="56"/>
        <v>109.72</v>
      </c>
      <c r="L82" s="9">
        <v>135</v>
      </c>
      <c r="M82" s="38">
        <f t="shared" si="47"/>
        <v>25.28</v>
      </c>
      <c r="N82" s="26">
        <f t="shared" si="48"/>
        <v>0.18725925925925926</v>
      </c>
      <c r="O82" s="10">
        <v>160</v>
      </c>
      <c r="P82" s="37">
        <f t="shared" si="49"/>
        <v>50.28</v>
      </c>
      <c r="Q82" s="30">
        <f t="shared" si="60"/>
        <v>0.31425000000000003</v>
      </c>
      <c r="R82" s="11">
        <v>0</v>
      </c>
      <c r="S82" s="39">
        <f t="shared" si="50"/>
        <v>-109.72</v>
      </c>
      <c r="T82" s="35" t="e">
        <f t="shared" si="51"/>
        <v>#DIV/0!</v>
      </c>
      <c r="U82" s="12">
        <v>0</v>
      </c>
      <c r="V82" s="40">
        <f t="shared" si="52"/>
        <v>-109.72</v>
      </c>
      <c r="W82" s="36" t="e">
        <f t="shared" si="53"/>
        <v>#DIV/0!</v>
      </c>
    </row>
    <row r="83" spans="1:23" x14ac:dyDescent="0.6">
      <c r="A83" s="16"/>
      <c r="B83" s="17"/>
      <c r="C83" s="17" t="s">
        <v>2145</v>
      </c>
      <c r="D83" s="18" t="s">
        <v>16258</v>
      </c>
      <c r="E83" s="16">
        <v>4</v>
      </c>
      <c r="F83" s="16" t="s">
        <v>16259</v>
      </c>
      <c r="G83" s="16">
        <f>15.43*4</f>
        <v>61.72</v>
      </c>
      <c r="H83" s="56">
        <v>12</v>
      </c>
      <c r="I83" s="16">
        <f t="shared" si="57"/>
        <v>48</v>
      </c>
      <c r="J83" s="16">
        <f t="shared" si="59"/>
        <v>109.72</v>
      </c>
      <c r="K83" s="21">
        <f t="shared" si="56"/>
        <v>109.72</v>
      </c>
      <c r="L83" s="9">
        <v>135</v>
      </c>
      <c r="M83" s="38">
        <f t="shared" si="47"/>
        <v>25.28</v>
      </c>
      <c r="N83" s="26">
        <f t="shared" si="48"/>
        <v>0.18725925925925926</v>
      </c>
      <c r="O83" s="10">
        <v>160</v>
      </c>
      <c r="P83" s="37">
        <f t="shared" si="49"/>
        <v>50.28</v>
      </c>
      <c r="Q83" s="30">
        <f t="shared" si="60"/>
        <v>0.31425000000000003</v>
      </c>
      <c r="R83" s="11">
        <v>0</v>
      </c>
      <c r="S83" s="39">
        <f t="shared" si="50"/>
        <v>-109.72</v>
      </c>
      <c r="T83" s="35" t="e">
        <f t="shared" si="51"/>
        <v>#DIV/0!</v>
      </c>
      <c r="U83" s="12">
        <v>0</v>
      </c>
      <c r="V83" s="40">
        <f t="shared" si="52"/>
        <v>-109.72</v>
      </c>
      <c r="W83" s="36" t="e">
        <f t="shared" si="53"/>
        <v>#DIV/0!</v>
      </c>
    </row>
    <row r="84" spans="1:23" x14ac:dyDescent="0.6">
      <c r="A84" s="13">
        <v>37</v>
      </c>
      <c r="B84" s="14" t="s">
        <v>2873</v>
      </c>
      <c r="C84" s="14" t="s">
        <v>5394</v>
      </c>
      <c r="D84" s="15" t="s">
        <v>16258</v>
      </c>
      <c r="E84" s="13">
        <v>8</v>
      </c>
      <c r="F84" s="13" t="s">
        <v>16259</v>
      </c>
      <c r="G84" s="13">
        <f>15.43*8</f>
        <v>123.44</v>
      </c>
      <c r="H84" s="56">
        <v>12</v>
      </c>
      <c r="I84" s="13">
        <f t="shared" ref="I84:I92" si="61">+H84*E84</f>
        <v>96</v>
      </c>
      <c r="J84" s="13">
        <f t="shared" ref="J84:J86" si="62">+I84+G84</f>
        <v>219.44</v>
      </c>
      <c r="K84" s="21">
        <f t="shared" si="56"/>
        <v>219.44</v>
      </c>
      <c r="L84" s="9">
        <v>275</v>
      </c>
      <c r="M84" s="38">
        <f t="shared" si="47"/>
        <v>55.56</v>
      </c>
      <c r="N84" s="26">
        <f t="shared" si="48"/>
        <v>0.20203636363636365</v>
      </c>
      <c r="O84" s="10">
        <v>280</v>
      </c>
      <c r="P84" s="37">
        <f t="shared" si="49"/>
        <v>60.56</v>
      </c>
      <c r="Q84" s="30">
        <f t="shared" si="60"/>
        <v>0.2162857142857143</v>
      </c>
      <c r="R84" s="11">
        <v>0</v>
      </c>
      <c r="S84" s="39">
        <f t="shared" si="50"/>
        <v>-219.44</v>
      </c>
      <c r="T84" s="35" t="e">
        <f t="shared" si="51"/>
        <v>#DIV/0!</v>
      </c>
      <c r="U84" s="12">
        <v>0</v>
      </c>
      <c r="V84" s="40">
        <f t="shared" si="52"/>
        <v>-219.44</v>
      </c>
      <c r="W84" s="36" t="e">
        <f t="shared" si="53"/>
        <v>#DIV/0!</v>
      </c>
    </row>
    <row r="85" spans="1:23" x14ac:dyDescent="0.6">
      <c r="A85" s="13"/>
      <c r="B85" s="14"/>
      <c r="C85" s="14" t="s">
        <v>2874</v>
      </c>
      <c r="D85" s="15" t="s">
        <v>16258</v>
      </c>
      <c r="E85" s="13">
        <v>8</v>
      </c>
      <c r="F85" s="13" t="s">
        <v>16259</v>
      </c>
      <c r="G85" s="13">
        <f>15.43*8</f>
        <v>123.44</v>
      </c>
      <c r="H85" s="56">
        <v>12</v>
      </c>
      <c r="I85" s="13">
        <f t="shared" si="61"/>
        <v>96</v>
      </c>
      <c r="J85" s="13">
        <f t="shared" si="62"/>
        <v>219.44</v>
      </c>
      <c r="K85" s="21">
        <f t="shared" si="56"/>
        <v>219.44</v>
      </c>
      <c r="L85" s="9">
        <v>275</v>
      </c>
      <c r="M85" s="38">
        <f t="shared" si="47"/>
        <v>55.56</v>
      </c>
      <c r="N85" s="26">
        <f t="shared" si="48"/>
        <v>0.20203636363636365</v>
      </c>
      <c r="O85" s="10">
        <v>280</v>
      </c>
      <c r="P85" s="37">
        <f t="shared" si="49"/>
        <v>60.56</v>
      </c>
      <c r="Q85" s="30">
        <f t="shared" si="60"/>
        <v>0.2162857142857143</v>
      </c>
      <c r="R85" s="11">
        <v>0</v>
      </c>
      <c r="S85" s="39">
        <f t="shared" si="50"/>
        <v>-219.44</v>
      </c>
      <c r="T85" s="35" t="e">
        <f t="shared" si="51"/>
        <v>#DIV/0!</v>
      </c>
      <c r="U85" s="12">
        <v>0</v>
      </c>
      <c r="V85" s="40">
        <f t="shared" si="52"/>
        <v>-219.44</v>
      </c>
      <c r="W85" s="36" t="e">
        <f t="shared" si="53"/>
        <v>#DIV/0!</v>
      </c>
    </row>
    <row r="86" spans="1:23" x14ac:dyDescent="0.6">
      <c r="A86" s="13"/>
      <c r="B86" s="14"/>
      <c r="C86" s="14" t="s">
        <v>3106</v>
      </c>
      <c r="D86" s="15" t="s">
        <v>16258</v>
      </c>
      <c r="E86" s="13">
        <v>8</v>
      </c>
      <c r="F86" s="13" t="s">
        <v>16259</v>
      </c>
      <c r="G86" s="13">
        <f>15.43*8</f>
        <v>123.44</v>
      </c>
      <c r="H86" s="56">
        <v>12</v>
      </c>
      <c r="I86" s="13">
        <f t="shared" si="61"/>
        <v>96</v>
      </c>
      <c r="J86" s="13">
        <f t="shared" si="62"/>
        <v>219.44</v>
      </c>
      <c r="K86" s="21">
        <f t="shared" si="56"/>
        <v>219.44</v>
      </c>
      <c r="L86" s="9">
        <v>275</v>
      </c>
      <c r="M86" s="38">
        <f t="shared" si="47"/>
        <v>55.56</v>
      </c>
      <c r="N86" s="26">
        <f t="shared" si="48"/>
        <v>0.20203636363636365</v>
      </c>
      <c r="O86" s="10">
        <v>280</v>
      </c>
      <c r="P86" s="37">
        <f t="shared" si="49"/>
        <v>60.56</v>
      </c>
      <c r="Q86" s="30">
        <f t="shared" si="60"/>
        <v>0.2162857142857143</v>
      </c>
      <c r="R86" s="11">
        <v>0</v>
      </c>
      <c r="S86" s="39">
        <f t="shared" si="50"/>
        <v>-219.44</v>
      </c>
      <c r="T86" s="35" t="e">
        <f t="shared" si="51"/>
        <v>#DIV/0!</v>
      </c>
      <c r="U86" s="12">
        <v>0</v>
      </c>
      <c r="V86" s="40">
        <f t="shared" si="52"/>
        <v>-219.44</v>
      </c>
      <c r="W86" s="36" t="e">
        <f t="shared" si="53"/>
        <v>#DIV/0!</v>
      </c>
    </row>
    <row r="87" spans="1:23" x14ac:dyDescent="0.6">
      <c r="A87" s="16">
        <v>38</v>
      </c>
      <c r="B87" s="17" t="s">
        <v>635</v>
      </c>
      <c r="C87" s="17" t="s">
        <v>8000</v>
      </c>
      <c r="D87" s="18" t="s">
        <v>16272</v>
      </c>
      <c r="E87" s="16">
        <v>10</v>
      </c>
      <c r="F87" s="16" t="s">
        <v>16257</v>
      </c>
      <c r="G87" s="16">
        <f>36.93*10</f>
        <v>369.3</v>
      </c>
      <c r="H87" s="56">
        <v>12</v>
      </c>
      <c r="I87" s="16">
        <f t="shared" si="61"/>
        <v>120</v>
      </c>
      <c r="J87" s="16">
        <f t="shared" ref="J87:J92" si="63">+G87+I87</f>
        <v>489.3</v>
      </c>
      <c r="K87" s="21">
        <f t="shared" si="56"/>
        <v>489.3</v>
      </c>
      <c r="L87" s="9">
        <v>750</v>
      </c>
      <c r="M87" s="38">
        <f t="shared" si="47"/>
        <v>260.7</v>
      </c>
      <c r="N87" s="26">
        <f t="shared" si="48"/>
        <v>0.34759999999999996</v>
      </c>
      <c r="O87" s="10">
        <v>800</v>
      </c>
      <c r="P87" s="37">
        <f t="shared" si="49"/>
        <v>310.7</v>
      </c>
      <c r="Q87" s="30">
        <f t="shared" si="60"/>
        <v>0.38837499999999997</v>
      </c>
      <c r="R87" s="11">
        <v>0</v>
      </c>
      <c r="S87" s="39">
        <f t="shared" si="50"/>
        <v>-489.3</v>
      </c>
      <c r="T87" s="35" t="e">
        <f t="shared" si="51"/>
        <v>#DIV/0!</v>
      </c>
      <c r="U87" s="12">
        <v>0</v>
      </c>
      <c r="V87" s="40">
        <f t="shared" si="52"/>
        <v>-489.3</v>
      </c>
      <c r="W87" s="36" t="e">
        <f t="shared" si="53"/>
        <v>#DIV/0!</v>
      </c>
    </row>
    <row r="88" spans="1:23" x14ac:dyDescent="0.6">
      <c r="A88" s="16"/>
      <c r="B88" s="17"/>
      <c r="C88" s="17" t="s">
        <v>3237</v>
      </c>
      <c r="D88" s="18" t="s">
        <v>16272</v>
      </c>
      <c r="E88" s="16">
        <v>10</v>
      </c>
      <c r="F88" s="16" t="s">
        <v>16257</v>
      </c>
      <c r="G88" s="16">
        <f t="shared" ref="G88:G92" si="64">36.93*10</f>
        <v>369.3</v>
      </c>
      <c r="H88" s="56">
        <v>12</v>
      </c>
      <c r="I88" s="16">
        <f t="shared" si="61"/>
        <v>120</v>
      </c>
      <c r="J88" s="16">
        <f t="shared" si="63"/>
        <v>489.3</v>
      </c>
      <c r="K88" s="21">
        <f t="shared" ref="K88:K92" si="65">+J88</f>
        <v>489.3</v>
      </c>
      <c r="L88" s="9">
        <v>750</v>
      </c>
      <c r="M88" s="38">
        <f t="shared" si="47"/>
        <v>260.7</v>
      </c>
      <c r="N88" s="26">
        <f t="shared" si="48"/>
        <v>0.34759999999999996</v>
      </c>
      <c r="O88" s="10">
        <v>800</v>
      </c>
      <c r="P88" s="37">
        <f t="shared" si="49"/>
        <v>310.7</v>
      </c>
      <c r="Q88" s="30">
        <f t="shared" si="60"/>
        <v>0.38837499999999997</v>
      </c>
      <c r="R88" s="11">
        <v>0</v>
      </c>
      <c r="S88" s="39">
        <f t="shared" si="50"/>
        <v>-489.3</v>
      </c>
      <c r="T88" s="35" t="e">
        <f t="shared" si="51"/>
        <v>#DIV/0!</v>
      </c>
      <c r="U88" s="12">
        <v>0</v>
      </c>
      <c r="V88" s="40">
        <f t="shared" si="52"/>
        <v>-489.3</v>
      </c>
      <c r="W88" s="36" t="e">
        <f t="shared" si="53"/>
        <v>#DIV/0!</v>
      </c>
    </row>
    <row r="89" spans="1:23" x14ac:dyDescent="0.6">
      <c r="A89" s="16"/>
      <c r="B89" s="17"/>
      <c r="C89" s="17" t="s">
        <v>714</v>
      </c>
      <c r="D89" s="18" t="s">
        <v>16272</v>
      </c>
      <c r="E89" s="16">
        <v>10</v>
      </c>
      <c r="F89" s="16" t="s">
        <v>16257</v>
      </c>
      <c r="G89" s="16">
        <f t="shared" si="64"/>
        <v>369.3</v>
      </c>
      <c r="H89" s="56">
        <v>12</v>
      </c>
      <c r="I89" s="16">
        <f t="shared" si="61"/>
        <v>120</v>
      </c>
      <c r="J89" s="16">
        <f t="shared" si="63"/>
        <v>489.3</v>
      </c>
      <c r="K89" s="21">
        <f t="shared" si="65"/>
        <v>489.3</v>
      </c>
      <c r="L89" s="9">
        <v>750</v>
      </c>
      <c r="M89" s="38">
        <f t="shared" si="47"/>
        <v>260.7</v>
      </c>
      <c r="N89" s="26">
        <f t="shared" si="48"/>
        <v>0.34759999999999996</v>
      </c>
      <c r="O89" s="10">
        <v>800</v>
      </c>
      <c r="P89" s="37">
        <f t="shared" si="49"/>
        <v>310.7</v>
      </c>
      <c r="Q89" s="30">
        <f t="shared" si="60"/>
        <v>0.38837499999999997</v>
      </c>
      <c r="R89" s="11">
        <v>0</v>
      </c>
      <c r="S89" s="39">
        <f t="shared" si="50"/>
        <v>-489.3</v>
      </c>
      <c r="T89" s="35" t="e">
        <f t="shared" si="51"/>
        <v>#DIV/0!</v>
      </c>
      <c r="U89" s="12">
        <v>0</v>
      </c>
      <c r="V89" s="40">
        <f t="shared" si="52"/>
        <v>-489.3</v>
      </c>
      <c r="W89" s="36" t="e">
        <f t="shared" si="53"/>
        <v>#DIV/0!</v>
      </c>
    </row>
    <row r="90" spans="1:23" x14ac:dyDescent="0.6">
      <c r="A90" s="16"/>
      <c r="B90" s="17"/>
      <c r="C90" s="17" t="s">
        <v>1129</v>
      </c>
      <c r="D90" s="18" t="s">
        <v>16272</v>
      </c>
      <c r="E90" s="16">
        <v>10</v>
      </c>
      <c r="F90" s="16" t="s">
        <v>16257</v>
      </c>
      <c r="G90" s="16">
        <f t="shared" si="64"/>
        <v>369.3</v>
      </c>
      <c r="H90" s="56">
        <v>12</v>
      </c>
      <c r="I90" s="16">
        <f t="shared" si="61"/>
        <v>120</v>
      </c>
      <c r="J90" s="16">
        <f t="shared" si="63"/>
        <v>489.3</v>
      </c>
      <c r="K90" s="21">
        <f t="shared" si="65"/>
        <v>489.3</v>
      </c>
      <c r="L90" s="9">
        <v>750</v>
      </c>
      <c r="M90" s="38">
        <f t="shared" si="47"/>
        <v>260.7</v>
      </c>
      <c r="N90" s="26">
        <f t="shared" si="48"/>
        <v>0.34759999999999996</v>
      </c>
      <c r="O90" s="10">
        <v>800</v>
      </c>
      <c r="P90" s="37">
        <f t="shared" si="49"/>
        <v>310.7</v>
      </c>
      <c r="Q90" s="30">
        <f t="shared" si="60"/>
        <v>0.38837499999999997</v>
      </c>
      <c r="R90" s="11">
        <v>0</v>
      </c>
      <c r="S90" s="39">
        <f t="shared" si="50"/>
        <v>-489.3</v>
      </c>
      <c r="T90" s="35" t="e">
        <f t="shared" si="51"/>
        <v>#DIV/0!</v>
      </c>
      <c r="U90" s="12">
        <v>0</v>
      </c>
      <c r="V90" s="40">
        <f t="shared" si="52"/>
        <v>-489.3</v>
      </c>
      <c r="W90" s="36" t="e">
        <f t="shared" si="53"/>
        <v>#DIV/0!</v>
      </c>
    </row>
    <row r="91" spans="1:23" x14ac:dyDescent="0.6">
      <c r="A91" s="16"/>
      <c r="B91" s="17"/>
      <c r="C91" s="17" t="s">
        <v>636</v>
      </c>
      <c r="D91" s="18" t="s">
        <v>16272</v>
      </c>
      <c r="E91" s="16">
        <v>10</v>
      </c>
      <c r="F91" s="16" t="s">
        <v>16257</v>
      </c>
      <c r="G91" s="16">
        <f t="shared" si="64"/>
        <v>369.3</v>
      </c>
      <c r="H91" s="56">
        <v>12</v>
      </c>
      <c r="I91" s="16">
        <f t="shared" si="61"/>
        <v>120</v>
      </c>
      <c r="J91" s="16">
        <f t="shared" si="63"/>
        <v>489.3</v>
      </c>
      <c r="K91" s="21">
        <f t="shared" si="65"/>
        <v>489.3</v>
      </c>
      <c r="L91" s="9">
        <v>750</v>
      </c>
      <c r="M91" s="38">
        <f t="shared" si="47"/>
        <v>260.7</v>
      </c>
      <c r="N91" s="26">
        <f t="shared" si="48"/>
        <v>0.34759999999999996</v>
      </c>
      <c r="O91" s="10">
        <v>800</v>
      </c>
      <c r="P91" s="37">
        <f t="shared" si="49"/>
        <v>310.7</v>
      </c>
      <c r="Q91" s="30">
        <f t="shared" si="60"/>
        <v>0.38837499999999997</v>
      </c>
      <c r="R91" s="11">
        <v>0</v>
      </c>
      <c r="S91" s="39">
        <f t="shared" si="50"/>
        <v>-489.3</v>
      </c>
      <c r="T91" s="35" t="e">
        <f t="shared" si="51"/>
        <v>#DIV/0!</v>
      </c>
      <c r="U91" s="12">
        <v>0</v>
      </c>
      <c r="V91" s="40">
        <f t="shared" si="52"/>
        <v>-489.3</v>
      </c>
      <c r="W91" s="36" t="e">
        <f t="shared" si="53"/>
        <v>#DIV/0!</v>
      </c>
    </row>
    <row r="92" spans="1:23" x14ac:dyDescent="0.6">
      <c r="A92" s="16"/>
      <c r="B92" s="17"/>
      <c r="C92" s="17" t="s">
        <v>15938</v>
      </c>
      <c r="D92" s="18" t="s">
        <v>16272</v>
      </c>
      <c r="E92" s="16">
        <v>10</v>
      </c>
      <c r="F92" s="16" t="s">
        <v>16257</v>
      </c>
      <c r="G92" s="16">
        <f t="shared" si="64"/>
        <v>369.3</v>
      </c>
      <c r="H92" s="56">
        <v>12</v>
      </c>
      <c r="I92" s="16">
        <f t="shared" si="61"/>
        <v>120</v>
      </c>
      <c r="J92" s="16">
        <f t="shared" si="63"/>
        <v>489.3</v>
      </c>
      <c r="K92" s="21">
        <f t="shared" si="65"/>
        <v>489.3</v>
      </c>
      <c r="L92" s="9">
        <v>750</v>
      </c>
      <c r="M92" s="38">
        <f t="shared" si="47"/>
        <v>260.7</v>
      </c>
      <c r="N92" s="26">
        <f t="shared" si="48"/>
        <v>0.34759999999999996</v>
      </c>
      <c r="O92" s="10">
        <v>800</v>
      </c>
      <c r="P92" s="37">
        <f t="shared" si="49"/>
        <v>310.7</v>
      </c>
      <c r="Q92" s="30">
        <f t="shared" si="60"/>
        <v>0.38837499999999997</v>
      </c>
      <c r="R92" s="11">
        <v>0</v>
      </c>
      <c r="S92" s="39">
        <f t="shared" si="50"/>
        <v>-489.3</v>
      </c>
      <c r="T92" s="35" t="e">
        <f t="shared" si="51"/>
        <v>#DIV/0!</v>
      </c>
      <c r="U92" s="12">
        <v>0</v>
      </c>
      <c r="V92" s="40">
        <f t="shared" si="52"/>
        <v>-489.3</v>
      </c>
      <c r="W92" s="36" t="e">
        <f t="shared" si="53"/>
        <v>#DIV/0!</v>
      </c>
    </row>
    <row r="93" spans="1:23" x14ac:dyDescent="0.6">
      <c r="A93" s="13">
        <v>39</v>
      </c>
      <c r="B93" s="14" t="s">
        <v>493</v>
      </c>
      <c r="C93" s="14" t="s">
        <v>494</v>
      </c>
      <c r="D93" s="15" t="s">
        <v>16269</v>
      </c>
      <c r="E93" s="13">
        <v>2</v>
      </c>
      <c r="F93" s="13" t="s">
        <v>16257</v>
      </c>
      <c r="G93" s="13">
        <f>18.24*2</f>
        <v>36.479999999999997</v>
      </c>
      <c r="H93" s="56">
        <v>12</v>
      </c>
      <c r="I93" s="13">
        <f>+H93*E93</f>
        <v>24</v>
      </c>
      <c r="J93" s="13">
        <f>+I93+G93</f>
        <v>60.48</v>
      </c>
      <c r="K93" s="21">
        <f>+J93</f>
        <v>60.48</v>
      </c>
      <c r="L93" s="9">
        <v>0</v>
      </c>
      <c r="M93" s="38">
        <f t="shared" si="47"/>
        <v>-60.48</v>
      </c>
      <c r="N93" s="26" t="e">
        <f t="shared" si="48"/>
        <v>#DIV/0!</v>
      </c>
      <c r="O93" s="10">
        <v>0</v>
      </c>
      <c r="P93" s="37">
        <f t="shared" si="49"/>
        <v>-60.48</v>
      </c>
      <c r="Q93" s="30" t="e">
        <f t="shared" si="60"/>
        <v>#DIV/0!</v>
      </c>
      <c r="R93" s="11">
        <v>149</v>
      </c>
      <c r="S93" s="39">
        <f t="shared" si="50"/>
        <v>88.52000000000001</v>
      </c>
      <c r="T93" s="35">
        <f t="shared" si="51"/>
        <v>0.59409395973154366</v>
      </c>
      <c r="U93" s="12">
        <v>0</v>
      </c>
      <c r="V93" s="40">
        <f t="shared" si="52"/>
        <v>-60.48</v>
      </c>
      <c r="W93" s="36" t="e">
        <f t="shared" si="53"/>
        <v>#DIV/0!</v>
      </c>
    </row>
    <row r="94" spans="1:23" x14ac:dyDescent="0.6">
      <c r="A94" s="16">
        <v>40</v>
      </c>
      <c r="B94" s="17" t="s">
        <v>6041</v>
      </c>
      <c r="C94" s="17" t="s">
        <v>6042</v>
      </c>
      <c r="D94" s="18" t="s">
        <v>16269</v>
      </c>
      <c r="E94" s="16">
        <v>2</v>
      </c>
      <c r="F94" s="16" t="s">
        <v>16257</v>
      </c>
      <c r="G94" s="16">
        <f>18.24*2</f>
        <v>36.479999999999997</v>
      </c>
      <c r="H94" s="56">
        <v>12</v>
      </c>
      <c r="I94" s="16">
        <f>+H94*E94</f>
        <v>24</v>
      </c>
      <c r="J94" s="16">
        <f>+G94+I94</f>
        <v>60.48</v>
      </c>
      <c r="K94" s="21">
        <f>+J94</f>
        <v>60.48</v>
      </c>
      <c r="L94" s="9">
        <v>80</v>
      </c>
      <c r="M94" s="38">
        <f t="shared" si="47"/>
        <v>19.520000000000003</v>
      </c>
      <c r="N94" s="26">
        <f t="shared" si="48"/>
        <v>0.24400000000000005</v>
      </c>
      <c r="O94" s="10">
        <v>0</v>
      </c>
      <c r="P94" s="37">
        <f t="shared" si="49"/>
        <v>-60.48</v>
      </c>
      <c r="Q94" s="30" t="e">
        <f t="shared" si="60"/>
        <v>#DIV/0!</v>
      </c>
      <c r="R94" s="11">
        <v>0</v>
      </c>
      <c r="S94" s="39">
        <f t="shared" si="50"/>
        <v>-60.48</v>
      </c>
      <c r="T94" s="35" t="e">
        <f t="shared" si="51"/>
        <v>#DIV/0!</v>
      </c>
      <c r="U94" s="12">
        <v>130</v>
      </c>
      <c r="V94" s="40">
        <f t="shared" si="52"/>
        <v>69.52000000000001</v>
      </c>
      <c r="W94" s="36">
        <f t="shared" si="53"/>
        <v>0.53476923076923089</v>
      </c>
    </row>
    <row r="95" spans="1:23" ht="26.4" customHeight="1" x14ac:dyDescent="0.6">
      <c r="A95" s="13">
        <v>41</v>
      </c>
      <c r="B95" s="14" t="s">
        <v>15916</v>
      </c>
      <c r="C95" s="14" t="s">
        <v>15911</v>
      </c>
      <c r="D95" s="15" t="s">
        <v>16269</v>
      </c>
      <c r="E95" s="13">
        <v>2</v>
      </c>
      <c r="F95" s="13" t="s">
        <v>16257</v>
      </c>
      <c r="G95" s="13">
        <f>18.24*2</f>
        <v>36.479999999999997</v>
      </c>
      <c r="H95" s="56">
        <v>12</v>
      </c>
      <c r="I95" s="13">
        <f t="shared" ref="I95:I98" si="66">+H95*E95</f>
        <v>24</v>
      </c>
      <c r="J95" s="13">
        <f t="shared" ref="J95:J96" si="67">+I95+G95</f>
        <v>60.48</v>
      </c>
      <c r="K95" s="65">
        <f>+J95+J96</f>
        <v>89.07</v>
      </c>
      <c r="L95" s="67">
        <v>0</v>
      </c>
      <c r="M95" s="47">
        <f t="shared" si="47"/>
        <v>-89.07</v>
      </c>
      <c r="N95" s="27" t="e">
        <f t="shared" si="48"/>
        <v>#DIV/0!</v>
      </c>
      <c r="O95" s="71">
        <v>0</v>
      </c>
      <c r="P95" s="80">
        <f t="shared" si="49"/>
        <v>-89.07</v>
      </c>
      <c r="Q95" s="89" t="e">
        <f t="shared" si="60"/>
        <v>#DIV/0!</v>
      </c>
      <c r="R95" s="74">
        <v>0</v>
      </c>
      <c r="S95" s="92">
        <f t="shared" si="50"/>
        <v>-89.07</v>
      </c>
      <c r="T95" s="95" t="e">
        <f t="shared" si="51"/>
        <v>#DIV/0!</v>
      </c>
      <c r="U95" s="83">
        <v>0</v>
      </c>
      <c r="V95" s="98">
        <f t="shared" si="52"/>
        <v>-89.07</v>
      </c>
      <c r="W95" s="101" t="e">
        <f t="shared" si="53"/>
        <v>#DIV/0!</v>
      </c>
    </row>
    <row r="96" spans="1:23" ht="26.4" customHeight="1" x14ac:dyDescent="0.6">
      <c r="A96" s="13"/>
      <c r="B96" s="14"/>
      <c r="C96" s="14"/>
      <c r="D96" s="15" t="s">
        <v>16270</v>
      </c>
      <c r="E96" s="13">
        <v>1</v>
      </c>
      <c r="F96" s="13" t="s">
        <v>16257</v>
      </c>
      <c r="G96" s="13">
        <v>16.59</v>
      </c>
      <c r="H96" s="56">
        <v>12</v>
      </c>
      <c r="I96" s="13">
        <f t="shared" si="66"/>
        <v>12</v>
      </c>
      <c r="J96" s="13">
        <f t="shared" si="67"/>
        <v>28.59</v>
      </c>
      <c r="K96" s="66"/>
      <c r="L96" s="69"/>
      <c r="M96" s="48">
        <f t="shared" si="47"/>
        <v>0</v>
      </c>
      <c r="N96" s="28" t="e">
        <f t="shared" si="48"/>
        <v>#DIV/0!</v>
      </c>
      <c r="O96" s="73"/>
      <c r="P96" s="82">
        <f t="shared" si="49"/>
        <v>0</v>
      </c>
      <c r="Q96" s="91" t="e">
        <f t="shared" si="60"/>
        <v>#DIV/0!</v>
      </c>
      <c r="R96" s="76"/>
      <c r="S96" s="94">
        <f t="shared" si="50"/>
        <v>0</v>
      </c>
      <c r="T96" s="97" t="e">
        <f t="shared" si="51"/>
        <v>#DIV/0!</v>
      </c>
      <c r="U96" s="85"/>
      <c r="V96" s="100">
        <f t="shared" si="52"/>
        <v>0</v>
      </c>
      <c r="W96" s="102" t="e">
        <f t="shared" si="53"/>
        <v>#DIV/0!</v>
      </c>
    </row>
    <row r="97" spans="1:23" x14ac:dyDescent="0.6">
      <c r="A97" s="16">
        <v>42</v>
      </c>
      <c r="B97" s="17" t="s">
        <v>94</v>
      </c>
      <c r="C97" s="17" t="s">
        <v>4455</v>
      </c>
      <c r="D97" s="18" t="s">
        <v>16269</v>
      </c>
      <c r="E97" s="16">
        <v>2</v>
      </c>
      <c r="F97" s="16" t="s">
        <v>16257</v>
      </c>
      <c r="G97" s="16">
        <f>18.24*2</f>
        <v>36.479999999999997</v>
      </c>
      <c r="H97" s="56">
        <v>12</v>
      </c>
      <c r="I97" s="16">
        <f t="shared" si="66"/>
        <v>24</v>
      </c>
      <c r="J97" s="16">
        <f t="shared" ref="J97:J98" si="68">+G97+I97</f>
        <v>60.48</v>
      </c>
      <c r="K97" s="21">
        <f>+J97</f>
        <v>60.48</v>
      </c>
      <c r="L97" s="9">
        <v>80</v>
      </c>
      <c r="M97" s="38">
        <f t="shared" si="47"/>
        <v>19.520000000000003</v>
      </c>
      <c r="N97" s="26">
        <f t="shared" si="48"/>
        <v>0.24400000000000005</v>
      </c>
      <c r="O97" s="10">
        <v>0</v>
      </c>
      <c r="P97" s="37">
        <f t="shared" si="49"/>
        <v>-60.48</v>
      </c>
      <c r="Q97" s="30" t="e">
        <f t="shared" si="60"/>
        <v>#DIV/0!</v>
      </c>
      <c r="R97" s="11">
        <v>0</v>
      </c>
      <c r="S97" s="39">
        <f t="shared" si="50"/>
        <v>-60.48</v>
      </c>
      <c r="T97" s="35" t="e">
        <f t="shared" si="51"/>
        <v>#DIV/0!</v>
      </c>
      <c r="U97" s="12">
        <v>130</v>
      </c>
      <c r="V97" s="40">
        <f t="shared" si="52"/>
        <v>69.52000000000001</v>
      </c>
      <c r="W97" s="36">
        <f t="shared" si="53"/>
        <v>0.53476923076923089</v>
      </c>
    </row>
    <row r="98" spans="1:23" x14ac:dyDescent="0.6">
      <c r="A98" s="16"/>
      <c r="B98" s="17"/>
      <c r="C98" s="17" t="s">
        <v>95</v>
      </c>
      <c r="D98" s="18" t="s">
        <v>16269</v>
      </c>
      <c r="E98" s="16">
        <v>2</v>
      </c>
      <c r="F98" s="16" t="s">
        <v>16257</v>
      </c>
      <c r="G98" s="16">
        <f>18.24*2</f>
        <v>36.479999999999997</v>
      </c>
      <c r="H98" s="56">
        <v>12</v>
      </c>
      <c r="I98" s="16">
        <f t="shared" si="66"/>
        <v>24</v>
      </c>
      <c r="J98" s="16">
        <f t="shared" si="68"/>
        <v>60.48</v>
      </c>
      <c r="K98" s="21">
        <f>+J98</f>
        <v>60.48</v>
      </c>
      <c r="L98" s="9">
        <v>80</v>
      </c>
      <c r="M98" s="38">
        <f t="shared" si="47"/>
        <v>19.520000000000003</v>
      </c>
      <c r="N98" s="26">
        <f t="shared" si="48"/>
        <v>0.24400000000000005</v>
      </c>
      <c r="O98" s="10">
        <v>0</v>
      </c>
      <c r="P98" s="37">
        <f t="shared" si="49"/>
        <v>-60.48</v>
      </c>
      <c r="Q98" s="30" t="e">
        <f t="shared" si="60"/>
        <v>#DIV/0!</v>
      </c>
      <c r="R98" s="11">
        <v>0</v>
      </c>
      <c r="S98" s="39">
        <f t="shared" si="50"/>
        <v>-60.48</v>
      </c>
      <c r="T98" s="35" t="e">
        <f t="shared" si="51"/>
        <v>#DIV/0!</v>
      </c>
      <c r="U98" s="12">
        <v>130</v>
      </c>
      <c r="V98" s="40">
        <f t="shared" si="52"/>
        <v>69.52000000000001</v>
      </c>
      <c r="W98" s="36">
        <f t="shared" si="53"/>
        <v>0.53476923076923089</v>
      </c>
    </row>
    <row r="99" spans="1:23" ht="26.4" customHeight="1" x14ac:dyDescent="0.6">
      <c r="A99" s="13">
        <v>43</v>
      </c>
      <c r="B99" s="14" t="s">
        <v>15917</v>
      </c>
      <c r="C99" s="14" t="s">
        <v>15911</v>
      </c>
      <c r="D99" s="15" t="s">
        <v>16269</v>
      </c>
      <c r="E99" s="13">
        <v>2</v>
      </c>
      <c r="F99" s="13" t="s">
        <v>16257</v>
      </c>
      <c r="G99" s="13">
        <f>18.24*2</f>
        <v>36.479999999999997</v>
      </c>
      <c r="H99" s="56">
        <v>12</v>
      </c>
      <c r="I99" s="13">
        <f t="shared" ref="I99:I102" si="69">+H99*E99</f>
        <v>24</v>
      </c>
      <c r="J99" s="13">
        <f t="shared" ref="J99:J100" si="70">+I99+G99</f>
        <v>60.48</v>
      </c>
      <c r="K99" s="65">
        <f>+J99+J100</f>
        <v>90.42</v>
      </c>
      <c r="L99" s="67">
        <v>0</v>
      </c>
      <c r="M99" s="77">
        <f t="shared" si="47"/>
        <v>-90.42</v>
      </c>
      <c r="N99" s="86" t="e">
        <f t="shared" si="48"/>
        <v>#DIV/0!</v>
      </c>
      <c r="O99" s="71">
        <v>0</v>
      </c>
      <c r="P99" s="80">
        <f t="shared" si="49"/>
        <v>-90.42</v>
      </c>
      <c r="Q99" s="89" t="e">
        <f t="shared" si="60"/>
        <v>#DIV/0!</v>
      </c>
      <c r="R99" s="74">
        <v>0</v>
      </c>
      <c r="S99" s="92">
        <f t="shared" si="50"/>
        <v>-90.42</v>
      </c>
      <c r="T99" s="95" t="e">
        <f t="shared" si="51"/>
        <v>#DIV/0!</v>
      </c>
      <c r="U99" s="83">
        <v>0</v>
      </c>
      <c r="V99" s="98">
        <f t="shared" si="52"/>
        <v>-90.42</v>
      </c>
      <c r="W99" s="101" t="e">
        <f t="shared" si="53"/>
        <v>#DIV/0!</v>
      </c>
    </row>
    <row r="100" spans="1:23" ht="26.4" customHeight="1" x14ac:dyDescent="0.6">
      <c r="A100" s="13"/>
      <c r="B100" s="14"/>
      <c r="C100" s="14"/>
      <c r="D100" s="15" t="s">
        <v>16271</v>
      </c>
      <c r="E100" s="13">
        <v>1</v>
      </c>
      <c r="F100" s="13" t="s">
        <v>16257</v>
      </c>
      <c r="G100" s="13">
        <v>17.940000000000001</v>
      </c>
      <c r="H100" s="56">
        <v>12</v>
      </c>
      <c r="I100" s="13">
        <f t="shared" si="69"/>
        <v>12</v>
      </c>
      <c r="J100" s="13">
        <f t="shared" si="70"/>
        <v>29.94</v>
      </c>
      <c r="K100" s="66"/>
      <c r="L100" s="69"/>
      <c r="M100" s="79">
        <f t="shared" si="47"/>
        <v>0</v>
      </c>
      <c r="N100" s="88" t="e">
        <f t="shared" si="48"/>
        <v>#DIV/0!</v>
      </c>
      <c r="O100" s="73"/>
      <c r="P100" s="82">
        <f t="shared" si="49"/>
        <v>0</v>
      </c>
      <c r="Q100" s="91" t="e">
        <f t="shared" si="60"/>
        <v>#DIV/0!</v>
      </c>
      <c r="R100" s="76"/>
      <c r="S100" s="94">
        <f t="shared" si="50"/>
        <v>0</v>
      </c>
      <c r="T100" s="97" t="e">
        <f t="shared" si="51"/>
        <v>#DIV/0!</v>
      </c>
      <c r="U100" s="85"/>
      <c r="V100" s="100">
        <f t="shared" si="52"/>
        <v>0</v>
      </c>
      <c r="W100" s="102" t="e">
        <f t="shared" si="53"/>
        <v>#DIV/0!</v>
      </c>
    </row>
    <row r="101" spans="1:23" x14ac:dyDescent="0.6">
      <c r="A101" s="16">
        <v>44</v>
      </c>
      <c r="B101" s="17" t="s">
        <v>214</v>
      </c>
      <c r="C101" s="17" t="s">
        <v>6551</v>
      </c>
      <c r="D101" s="18" t="s">
        <v>16271</v>
      </c>
      <c r="E101" s="16">
        <v>2</v>
      </c>
      <c r="F101" s="16" t="s">
        <v>16257</v>
      </c>
      <c r="G101" s="16">
        <f>17.94*2</f>
        <v>35.880000000000003</v>
      </c>
      <c r="H101" s="56">
        <v>12</v>
      </c>
      <c r="I101" s="16">
        <f t="shared" si="69"/>
        <v>24</v>
      </c>
      <c r="J101" s="16">
        <f t="shared" ref="J101:J102" si="71">+G101+I101</f>
        <v>59.88</v>
      </c>
      <c r="K101" s="21">
        <f>+J101</f>
        <v>59.88</v>
      </c>
      <c r="L101" s="9">
        <v>80</v>
      </c>
      <c r="M101" s="38">
        <f t="shared" si="47"/>
        <v>20.119999999999997</v>
      </c>
      <c r="N101" s="26">
        <f t="shared" si="48"/>
        <v>0.25149999999999995</v>
      </c>
      <c r="O101" s="54">
        <v>0</v>
      </c>
      <c r="P101" s="42">
        <f t="shared" si="49"/>
        <v>-59.88</v>
      </c>
      <c r="Q101" s="30" t="e">
        <f t="shared" si="60"/>
        <v>#DIV/0!</v>
      </c>
      <c r="R101" s="11">
        <v>0</v>
      </c>
      <c r="S101" s="39">
        <f t="shared" si="50"/>
        <v>-59.88</v>
      </c>
      <c r="T101" s="35" t="e">
        <f t="shared" si="51"/>
        <v>#DIV/0!</v>
      </c>
      <c r="U101" s="12">
        <v>130</v>
      </c>
      <c r="V101" s="40">
        <f t="shared" si="52"/>
        <v>70.12</v>
      </c>
      <c r="W101" s="36">
        <f t="shared" si="53"/>
        <v>0.53938461538461546</v>
      </c>
    </row>
    <row r="102" spans="1:23" x14ac:dyDescent="0.6">
      <c r="A102" s="16"/>
      <c r="B102" s="17"/>
      <c r="C102" s="17" t="s">
        <v>215</v>
      </c>
      <c r="D102" s="18" t="s">
        <v>16271</v>
      </c>
      <c r="E102" s="16">
        <v>2</v>
      </c>
      <c r="F102" s="16" t="s">
        <v>16257</v>
      </c>
      <c r="G102" s="16">
        <f>17.94*2</f>
        <v>35.880000000000003</v>
      </c>
      <c r="H102" s="56">
        <v>12</v>
      </c>
      <c r="I102" s="16">
        <f t="shared" si="69"/>
        <v>24</v>
      </c>
      <c r="J102" s="16">
        <f t="shared" si="71"/>
        <v>59.88</v>
      </c>
      <c r="K102" s="21">
        <f>+J102</f>
        <v>59.88</v>
      </c>
      <c r="L102" s="9">
        <v>80</v>
      </c>
      <c r="M102" s="38">
        <f t="shared" si="47"/>
        <v>20.119999999999997</v>
      </c>
      <c r="N102" s="26">
        <f t="shared" si="48"/>
        <v>0.25149999999999995</v>
      </c>
      <c r="O102" s="10">
        <v>0</v>
      </c>
      <c r="P102" s="37">
        <f t="shared" si="49"/>
        <v>-59.88</v>
      </c>
      <c r="Q102" s="30" t="e">
        <f t="shared" si="60"/>
        <v>#DIV/0!</v>
      </c>
      <c r="R102" s="11">
        <v>0</v>
      </c>
      <c r="S102" s="39">
        <f t="shared" si="50"/>
        <v>-59.88</v>
      </c>
      <c r="T102" s="35" t="e">
        <f t="shared" si="51"/>
        <v>#DIV/0!</v>
      </c>
      <c r="U102" s="12">
        <v>130</v>
      </c>
      <c r="V102" s="40">
        <f t="shared" si="52"/>
        <v>70.12</v>
      </c>
      <c r="W102" s="36">
        <f t="shared" si="53"/>
        <v>0.53938461538461546</v>
      </c>
    </row>
    <row r="103" spans="1:23" ht="26.4" customHeight="1" x14ac:dyDescent="0.6">
      <c r="A103" s="13">
        <v>45</v>
      </c>
      <c r="B103" s="14" t="s">
        <v>15910</v>
      </c>
      <c r="C103" s="14" t="s">
        <v>15911</v>
      </c>
      <c r="D103" s="15" t="s">
        <v>16271</v>
      </c>
      <c r="E103" s="13">
        <v>2</v>
      </c>
      <c r="F103" s="13" t="s">
        <v>16257</v>
      </c>
      <c r="G103" s="13">
        <f>17.94*2</f>
        <v>35.880000000000003</v>
      </c>
      <c r="H103" s="56">
        <v>12</v>
      </c>
      <c r="I103" s="13">
        <f t="shared" ref="I103:I104" si="72">+H103*E103</f>
        <v>24</v>
      </c>
      <c r="J103" s="13">
        <f t="shared" ref="J103:J104" si="73">+I103+G103</f>
        <v>59.88</v>
      </c>
      <c r="K103" s="65">
        <f>+J103+J104</f>
        <v>90.12</v>
      </c>
      <c r="L103" s="67">
        <v>0</v>
      </c>
      <c r="M103" s="77">
        <f t="shared" si="47"/>
        <v>-90.12</v>
      </c>
      <c r="N103" s="86" t="e">
        <f t="shared" si="48"/>
        <v>#DIV/0!</v>
      </c>
      <c r="O103" s="71">
        <v>0</v>
      </c>
      <c r="P103" s="42">
        <f t="shared" si="49"/>
        <v>-90.12</v>
      </c>
      <c r="Q103" s="31" t="e">
        <f t="shared" si="60"/>
        <v>#DIV/0!</v>
      </c>
      <c r="R103" s="74">
        <v>0</v>
      </c>
      <c r="S103" s="92">
        <f t="shared" si="50"/>
        <v>-90.12</v>
      </c>
      <c r="T103" s="95" t="e">
        <f t="shared" si="51"/>
        <v>#DIV/0!</v>
      </c>
      <c r="U103" s="83">
        <v>0</v>
      </c>
      <c r="V103" s="98">
        <f t="shared" si="52"/>
        <v>-90.12</v>
      </c>
      <c r="W103" s="101" t="e">
        <f t="shared" si="53"/>
        <v>#DIV/0!</v>
      </c>
    </row>
    <row r="104" spans="1:23" ht="26.4" customHeight="1" x14ac:dyDescent="0.6">
      <c r="A104" s="13"/>
      <c r="B104" s="14"/>
      <c r="C104" s="14"/>
      <c r="D104" s="15" t="s">
        <v>16269</v>
      </c>
      <c r="E104" s="13">
        <v>1</v>
      </c>
      <c r="F104" s="13" t="s">
        <v>16257</v>
      </c>
      <c r="G104" s="13">
        <v>18.239999999999998</v>
      </c>
      <c r="H104" s="56">
        <v>12</v>
      </c>
      <c r="I104" s="13">
        <f t="shared" si="72"/>
        <v>12</v>
      </c>
      <c r="J104" s="13">
        <f t="shared" si="73"/>
        <v>30.24</v>
      </c>
      <c r="K104" s="66"/>
      <c r="L104" s="69"/>
      <c r="M104" s="79">
        <f t="shared" si="47"/>
        <v>0</v>
      </c>
      <c r="N104" s="88" t="e">
        <f t="shared" si="48"/>
        <v>#DIV/0!</v>
      </c>
      <c r="O104" s="73"/>
      <c r="P104" s="44">
        <f t="shared" si="49"/>
        <v>0</v>
      </c>
      <c r="Q104" s="33" t="e">
        <f t="shared" si="60"/>
        <v>#DIV/0!</v>
      </c>
      <c r="R104" s="76"/>
      <c r="S104" s="94">
        <f t="shared" si="50"/>
        <v>0</v>
      </c>
      <c r="T104" s="97" t="e">
        <f t="shared" si="51"/>
        <v>#DIV/0!</v>
      </c>
      <c r="U104" s="85"/>
      <c r="V104" s="100">
        <f t="shared" si="52"/>
        <v>0</v>
      </c>
      <c r="W104" s="102" t="e">
        <f t="shared" si="53"/>
        <v>#DIV/0!</v>
      </c>
    </row>
    <row r="105" spans="1:23" x14ac:dyDescent="0.6">
      <c r="A105" s="16">
        <v>46</v>
      </c>
      <c r="B105" s="17" t="s">
        <v>2307</v>
      </c>
      <c r="C105" s="17" t="s">
        <v>2308</v>
      </c>
      <c r="D105" s="18" t="s">
        <v>16272</v>
      </c>
      <c r="E105" s="16">
        <v>10</v>
      </c>
      <c r="F105" s="16" t="s">
        <v>16257</v>
      </c>
      <c r="G105" s="16">
        <f>36.93*10</f>
        <v>369.3</v>
      </c>
      <c r="H105" s="56">
        <v>12</v>
      </c>
      <c r="I105" s="16">
        <f>+H105*E105</f>
        <v>120</v>
      </c>
      <c r="J105" s="16">
        <f>+G105+I105</f>
        <v>489.3</v>
      </c>
      <c r="K105" s="21">
        <f>+J105</f>
        <v>489.3</v>
      </c>
      <c r="L105" s="9">
        <v>0</v>
      </c>
      <c r="M105" s="38">
        <f t="shared" si="47"/>
        <v>-489.3</v>
      </c>
      <c r="N105" s="26" t="e">
        <f t="shared" si="48"/>
        <v>#DIV/0!</v>
      </c>
      <c r="O105" s="10">
        <v>0</v>
      </c>
      <c r="P105" s="37">
        <f t="shared" si="49"/>
        <v>-489.3</v>
      </c>
      <c r="Q105" s="30" t="e">
        <f t="shared" si="60"/>
        <v>#DIV/0!</v>
      </c>
      <c r="R105" s="11">
        <v>800</v>
      </c>
      <c r="S105" s="39">
        <f t="shared" si="50"/>
        <v>310.7</v>
      </c>
      <c r="T105" s="35">
        <f t="shared" si="51"/>
        <v>0.38837499999999997</v>
      </c>
      <c r="U105" s="12">
        <v>900</v>
      </c>
      <c r="V105" s="40">
        <f t="shared" si="52"/>
        <v>410.7</v>
      </c>
      <c r="W105" s="36">
        <f t="shared" si="53"/>
        <v>0.45633333333333331</v>
      </c>
    </row>
    <row r="106" spans="1:23" x14ac:dyDescent="0.6">
      <c r="A106" s="13">
        <v>47</v>
      </c>
      <c r="B106" s="14" t="s">
        <v>997</v>
      </c>
      <c r="C106" s="14" t="s">
        <v>998</v>
      </c>
      <c r="D106" s="15" t="s">
        <v>16272</v>
      </c>
      <c r="E106" s="13">
        <v>10</v>
      </c>
      <c r="F106" s="13" t="s">
        <v>16257</v>
      </c>
      <c r="G106" s="13">
        <f>36.93*10</f>
        <v>369.3</v>
      </c>
      <c r="H106" s="56">
        <v>12</v>
      </c>
      <c r="I106" s="13">
        <f>+H106*E106</f>
        <v>120</v>
      </c>
      <c r="J106" s="13">
        <f>+I106+G106</f>
        <v>489.3</v>
      </c>
      <c r="K106" s="21">
        <f>+J106</f>
        <v>489.3</v>
      </c>
      <c r="L106" s="9">
        <v>0</v>
      </c>
      <c r="M106" s="38">
        <f t="shared" si="47"/>
        <v>-489.3</v>
      </c>
      <c r="N106" s="26" t="e">
        <f t="shared" si="48"/>
        <v>#DIV/0!</v>
      </c>
      <c r="O106" s="10">
        <v>0</v>
      </c>
      <c r="P106" s="37">
        <f t="shared" si="49"/>
        <v>-489.3</v>
      </c>
      <c r="Q106" s="30" t="e">
        <f t="shared" si="60"/>
        <v>#DIV/0!</v>
      </c>
      <c r="R106" s="11">
        <v>800</v>
      </c>
      <c r="S106" s="39">
        <f t="shared" si="50"/>
        <v>310.7</v>
      </c>
      <c r="T106" s="35">
        <f t="shared" si="51"/>
        <v>0.38837499999999997</v>
      </c>
      <c r="U106" s="12">
        <v>900</v>
      </c>
      <c r="V106" s="40">
        <f t="shared" si="52"/>
        <v>410.7</v>
      </c>
      <c r="W106" s="36">
        <f t="shared" si="53"/>
        <v>0.45633333333333331</v>
      </c>
    </row>
    <row r="107" spans="1:23" ht="26.4" customHeight="1" x14ac:dyDescent="0.6">
      <c r="A107" s="16">
        <v>48</v>
      </c>
      <c r="B107" s="17" t="s">
        <v>167</v>
      </c>
      <c r="C107" s="17" t="s">
        <v>168</v>
      </c>
      <c r="D107" s="18" t="s">
        <v>16272</v>
      </c>
      <c r="E107" s="16">
        <v>2</v>
      </c>
      <c r="F107" s="16" t="s">
        <v>16257</v>
      </c>
      <c r="G107" s="16">
        <f>36.93*2</f>
        <v>73.86</v>
      </c>
      <c r="H107" s="56">
        <v>12</v>
      </c>
      <c r="I107" s="16">
        <f t="shared" ref="I107:I108" si="74">+H107*E107</f>
        <v>24</v>
      </c>
      <c r="J107" s="16">
        <f t="shared" ref="J107:J108" si="75">+G107+I107</f>
        <v>97.86</v>
      </c>
      <c r="K107" s="65">
        <f>+J107+J108</f>
        <v>145.18</v>
      </c>
      <c r="L107" s="67">
        <v>0</v>
      </c>
      <c r="M107" s="77">
        <f t="shared" si="47"/>
        <v>-145.18</v>
      </c>
      <c r="N107" s="86" t="e">
        <f t="shared" si="48"/>
        <v>#DIV/0!</v>
      </c>
      <c r="O107" s="71">
        <v>0</v>
      </c>
      <c r="P107" s="80">
        <f t="shared" si="49"/>
        <v>-145.18</v>
      </c>
      <c r="Q107" s="89" t="e">
        <f t="shared" si="60"/>
        <v>#DIV/0!</v>
      </c>
      <c r="R107" s="74">
        <v>250</v>
      </c>
      <c r="S107" s="92">
        <f t="shared" si="50"/>
        <v>104.82</v>
      </c>
      <c r="T107" s="95">
        <f t="shared" si="51"/>
        <v>0.41927999999999999</v>
      </c>
      <c r="U107" s="83">
        <v>250</v>
      </c>
      <c r="V107" s="98">
        <f t="shared" si="52"/>
        <v>104.82</v>
      </c>
      <c r="W107" s="101">
        <f t="shared" si="53"/>
        <v>0.41927999999999999</v>
      </c>
    </row>
    <row r="108" spans="1:23" ht="26.4" customHeight="1" x14ac:dyDescent="0.6">
      <c r="A108" s="16"/>
      <c r="B108" s="17"/>
      <c r="C108" s="17"/>
      <c r="D108" s="18" t="s">
        <v>16273</v>
      </c>
      <c r="E108" s="16">
        <v>1</v>
      </c>
      <c r="F108" s="16" t="s">
        <v>16257</v>
      </c>
      <c r="G108" s="16">
        <v>35.32</v>
      </c>
      <c r="H108" s="56">
        <v>12</v>
      </c>
      <c r="I108" s="16">
        <f t="shared" si="74"/>
        <v>12</v>
      </c>
      <c r="J108" s="16">
        <f t="shared" si="75"/>
        <v>47.32</v>
      </c>
      <c r="K108" s="66"/>
      <c r="L108" s="69"/>
      <c r="M108" s="79">
        <f t="shared" si="47"/>
        <v>0</v>
      </c>
      <c r="N108" s="88" t="e">
        <f t="shared" si="48"/>
        <v>#DIV/0!</v>
      </c>
      <c r="O108" s="73"/>
      <c r="P108" s="82">
        <f t="shared" si="49"/>
        <v>0</v>
      </c>
      <c r="Q108" s="91" t="e">
        <f t="shared" si="60"/>
        <v>#DIV/0!</v>
      </c>
      <c r="R108" s="76"/>
      <c r="S108" s="94">
        <f t="shared" si="50"/>
        <v>0</v>
      </c>
      <c r="T108" s="97" t="e">
        <f t="shared" si="51"/>
        <v>#DIV/0!</v>
      </c>
      <c r="U108" s="85"/>
      <c r="V108" s="100">
        <f t="shared" si="52"/>
        <v>0</v>
      </c>
      <c r="W108" s="102" t="e">
        <f t="shared" si="53"/>
        <v>#DIV/0!</v>
      </c>
    </row>
    <row r="109" spans="1:23" ht="26.4" customHeight="1" x14ac:dyDescent="0.6">
      <c r="A109" s="13">
        <v>49</v>
      </c>
      <c r="B109" s="14" t="s">
        <v>9705</v>
      </c>
      <c r="C109" s="14" t="s">
        <v>168</v>
      </c>
      <c r="D109" s="15" t="s">
        <v>16272</v>
      </c>
      <c r="E109" s="13">
        <v>2</v>
      </c>
      <c r="F109" s="13" t="s">
        <v>16257</v>
      </c>
      <c r="G109" s="13">
        <f>36.93*2</f>
        <v>73.86</v>
      </c>
      <c r="H109" s="56">
        <v>12</v>
      </c>
      <c r="I109" s="13">
        <f t="shared" ref="I109:I112" si="76">+H109*E109</f>
        <v>24</v>
      </c>
      <c r="J109" s="13">
        <f t="shared" ref="J109:J110" si="77">+I109+G109</f>
        <v>97.86</v>
      </c>
      <c r="K109" s="65">
        <f>+J109+J110</f>
        <v>134.09</v>
      </c>
      <c r="L109" s="67">
        <v>0</v>
      </c>
      <c r="M109" s="47">
        <f t="shared" si="47"/>
        <v>-134.09</v>
      </c>
      <c r="N109" s="27" t="e">
        <f t="shared" si="48"/>
        <v>#DIV/0!</v>
      </c>
      <c r="O109" s="71">
        <v>0</v>
      </c>
      <c r="P109" s="80">
        <f t="shared" si="49"/>
        <v>-134.09</v>
      </c>
      <c r="Q109" s="89" t="e">
        <f t="shared" si="60"/>
        <v>#DIV/0!</v>
      </c>
      <c r="R109" s="74">
        <v>250</v>
      </c>
      <c r="S109" s="92">
        <f t="shared" si="50"/>
        <v>115.91</v>
      </c>
      <c r="T109" s="95">
        <f t="shared" si="51"/>
        <v>0.46364</v>
      </c>
      <c r="U109" s="83">
        <v>250</v>
      </c>
      <c r="V109" s="98">
        <f t="shared" si="52"/>
        <v>115.91</v>
      </c>
      <c r="W109" s="101">
        <f t="shared" si="53"/>
        <v>0.46364</v>
      </c>
    </row>
    <row r="110" spans="1:23" ht="26.4" customHeight="1" x14ac:dyDescent="0.6">
      <c r="A110" s="13"/>
      <c r="B110" s="14"/>
      <c r="C110" s="14"/>
      <c r="D110" s="15" t="s">
        <v>16274</v>
      </c>
      <c r="E110" s="13">
        <v>1</v>
      </c>
      <c r="F110" s="13" t="s">
        <v>16257</v>
      </c>
      <c r="G110" s="13">
        <v>24.23</v>
      </c>
      <c r="H110" s="56">
        <v>12</v>
      </c>
      <c r="I110" s="13">
        <f t="shared" si="76"/>
        <v>12</v>
      </c>
      <c r="J110" s="13">
        <f t="shared" si="77"/>
        <v>36.230000000000004</v>
      </c>
      <c r="K110" s="66"/>
      <c r="L110" s="69"/>
      <c r="M110" s="48">
        <f t="shared" si="47"/>
        <v>0</v>
      </c>
      <c r="N110" s="28" t="e">
        <f t="shared" si="48"/>
        <v>#DIV/0!</v>
      </c>
      <c r="O110" s="73"/>
      <c r="P110" s="82">
        <f t="shared" si="49"/>
        <v>0</v>
      </c>
      <c r="Q110" s="91" t="e">
        <f t="shared" si="60"/>
        <v>#DIV/0!</v>
      </c>
      <c r="R110" s="76"/>
      <c r="S110" s="94">
        <f t="shared" si="50"/>
        <v>0</v>
      </c>
      <c r="T110" s="97" t="e">
        <f t="shared" si="51"/>
        <v>#DIV/0!</v>
      </c>
      <c r="U110" s="85"/>
      <c r="V110" s="100">
        <f t="shared" si="52"/>
        <v>0</v>
      </c>
      <c r="W110" s="102" t="e">
        <f t="shared" si="53"/>
        <v>#DIV/0!</v>
      </c>
    </row>
    <row r="111" spans="1:23" ht="26.4" customHeight="1" x14ac:dyDescent="0.6">
      <c r="A111" s="16">
        <v>50</v>
      </c>
      <c r="B111" s="17" t="s">
        <v>10305</v>
      </c>
      <c r="C111" s="17" t="s">
        <v>10306</v>
      </c>
      <c r="D111" s="18" t="s">
        <v>16273</v>
      </c>
      <c r="E111" s="16">
        <v>1</v>
      </c>
      <c r="F111" s="16" t="s">
        <v>16257</v>
      </c>
      <c r="G111" s="16">
        <v>35.32</v>
      </c>
      <c r="H111" s="56">
        <v>12</v>
      </c>
      <c r="I111" s="16">
        <f t="shared" si="76"/>
        <v>12</v>
      </c>
      <c r="J111" s="16">
        <f t="shared" ref="J111:J112" si="78">+G111+I111</f>
        <v>47.32</v>
      </c>
      <c r="K111" s="65">
        <f>+J111+J112</f>
        <v>119.78</v>
      </c>
      <c r="L111" s="67">
        <v>180</v>
      </c>
      <c r="M111" s="77">
        <f t="shared" si="47"/>
        <v>60.22</v>
      </c>
      <c r="N111" s="86">
        <f t="shared" si="48"/>
        <v>0.33455555555555555</v>
      </c>
      <c r="O111" s="71">
        <v>0</v>
      </c>
      <c r="P111" s="80">
        <f t="shared" si="49"/>
        <v>-119.78</v>
      </c>
      <c r="Q111" s="89" t="e">
        <f t="shared" si="60"/>
        <v>#DIV/0!</v>
      </c>
      <c r="R111" s="74">
        <v>180</v>
      </c>
      <c r="S111" s="92">
        <f t="shared" si="50"/>
        <v>60.22</v>
      </c>
      <c r="T111" s="95">
        <f t="shared" si="51"/>
        <v>0.33455555555555555</v>
      </c>
      <c r="U111" s="83">
        <v>180</v>
      </c>
      <c r="V111" s="98">
        <f t="shared" si="52"/>
        <v>60.22</v>
      </c>
      <c r="W111" s="101">
        <f t="shared" si="53"/>
        <v>0.33455555555555555</v>
      </c>
    </row>
    <row r="112" spans="1:23" ht="26.4" customHeight="1" x14ac:dyDescent="0.6">
      <c r="A112" s="16"/>
      <c r="B112" s="17"/>
      <c r="C112" s="17"/>
      <c r="D112" s="18" t="s">
        <v>16274</v>
      </c>
      <c r="E112" s="16">
        <v>2</v>
      </c>
      <c r="F112" s="16" t="s">
        <v>16257</v>
      </c>
      <c r="G112" s="16">
        <f>24.23*2</f>
        <v>48.46</v>
      </c>
      <c r="H112" s="56">
        <v>12</v>
      </c>
      <c r="I112" s="16">
        <f t="shared" si="76"/>
        <v>24</v>
      </c>
      <c r="J112" s="16">
        <f t="shared" si="78"/>
        <v>72.460000000000008</v>
      </c>
      <c r="K112" s="66"/>
      <c r="L112" s="69"/>
      <c r="M112" s="79">
        <f t="shared" si="47"/>
        <v>0</v>
      </c>
      <c r="N112" s="88" t="e">
        <f t="shared" si="48"/>
        <v>#DIV/0!</v>
      </c>
      <c r="O112" s="73"/>
      <c r="P112" s="82">
        <f t="shared" si="49"/>
        <v>0</v>
      </c>
      <c r="Q112" s="91" t="e">
        <f t="shared" si="60"/>
        <v>#DIV/0!</v>
      </c>
      <c r="R112" s="76"/>
      <c r="S112" s="94">
        <f t="shared" si="50"/>
        <v>0</v>
      </c>
      <c r="T112" s="97" t="e">
        <f t="shared" si="51"/>
        <v>#DIV/0!</v>
      </c>
      <c r="U112" s="85"/>
      <c r="V112" s="100">
        <f t="shared" si="52"/>
        <v>0</v>
      </c>
      <c r="W112" s="102" t="e">
        <f t="shared" si="53"/>
        <v>#DIV/0!</v>
      </c>
    </row>
    <row r="113" spans="1:23" x14ac:dyDescent="0.6">
      <c r="A113" s="13">
        <v>51</v>
      </c>
      <c r="B113" s="14" t="s">
        <v>76</v>
      </c>
      <c r="C113" s="14" t="s">
        <v>1167</v>
      </c>
      <c r="D113" s="15" t="s">
        <v>16273</v>
      </c>
      <c r="E113" s="13">
        <v>3</v>
      </c>
      <c r="F113" s="13" t="s">
        <v>16257</v>
      </c>
      <c r="G113" s="13">
        <f t="shared" ref="G113:G115" si="79">35.32*3</f>
        <v>105.96000000000001</v>
      </c>
      <c r="H113" s="56">
        <v>12</v>
      </c>
      <c r="I113" s="13">
        <f t="shared" ref="I113:I116" si="80">+H113*E113</f>
        <v>36</v>
      </c>
      <c r="J113" s="13">
        <f t="shared" ref="J113:J116" si="81">+I113+G113</f>
        <v>141.96</v>
      </c>
      <c r="K113" s="21">
        <f>+J113</f>
        <v>141.96</v>
      </c>
      <c r="L113" s="9">
        <v>250</v>
      </c>
      <c r="M113" s="38">
        <f t="shared" si="47"/>
        <v>108.03999999999999</v>
      </c>
      <c r="N113" s="26">
        <f t="shared" si="48"/>
        <v>0.43215999999999999</v>
      </c>
      <c r="O113" s="10">
        <v>250</v>
      </c>
      <c r="P113" s="37">
        <f t="shared" si="49"/>
        <v>108.03999999999999</v>
      </c>
      <c r="Q113" s="30">
        <f t="shared" si="60"/>
        <v>0.43215999999999999</v>
      </c>
      <c r="R113" s="11">
        <v>250</v>
      </c>
      <c r="S113" s="39">
        <f t="shared" si="50"/>
        <v>108.03999999999999</v>
      </c>
      <c r="T113" s="35">
        <f t="shared" si="51"/>
        <v>0.43215999999999999</v>
      </c>
      <c r="U113" s="12">
        <v>250</v>
      </c>
      <c r="V113" s="40">
        <f t="shared" si="52"/>
        <v>108.03999999999999</v>
      </c>
      <c r="W113" s="36">
        <f t="shared" si="53"/>
        <v>0.43215999999999999</v>
      </c>
    </row>
    <row r="114" spans="1:23" x14ac:dyDescent="0.6">
      <c r="A114" s="13"/>
      <c r="B114" s="14"/>
      <c r="C114" s="14" t="s">
        <v>77</v>
      </c>
      <c r="D114" s="15" t="s">
        <v>16273</v>
      </c>
      <c r="E114" s="13">
        <v>3</v>
      </c>
      <c r="F114" s="13" t="s">
        <v>16257</v>
      </c>
      <c r="G114" s="13">
        <f t="shared" si="79"/>
        <v>105.96000000000001</v>
      </c>
      <c r="H114" s="56">
        <v>12</v>
      </c>
      <c r="I114" s="13">
        <f t="shared" si="80"/>
        <v>36</v>
      </c>
      <c r="J114" s="13">
        <f t="shared" si="81"/>
        <v>141.96</v>
      </c>
      <c r="K114" s="21">
        <f t="shared" ref="K114:K116" si="82">+J114</f>
        <v>141.96</v>
      </c>
      <c r="L114" s="9">
        <v>250</v>
      </c>
      <c r="M114" s="38">
        <f t="shared" si="47"/>
        <v>108.03999999999999</v>
      </c>
      <c r="N114" s="26">
        <f t="shared" si="48"/>
        <v>0.43215999999999999</v>
      </c>
      <c r="O114" s="10">
        <v>250</v>
      </c>
      <c r="P114" s="37">
        <f t="shared" si="49"/>
        <v>108.03999999999999</v>
      </c>
      <c r="Q114" s="30">
        <f t="shared" si="60"/>
        <v>0.43215999999999999</v>
      </c>
      <c r="R114" s="11">
        <v>250</v>
      </c>
      <c r="S114" s="39">
        <f t="shared" si="50"/>
        <v>108.03999999999999</v>
      </c>
      <c r="T114" s="35">
        <f t="shared" si="51"/>
        <v>0.43215999999999999</v>
      </c>
      <c r="U114" s="12">
        <v>250</v>
      </c>
      <c r="V114" s="40">
        <f t="shared" si="52"/>
        <v>108.03999999999999</v>
      </c>
      <c r="W114" s="36">
        <f t="shared" si="53"/>
        <v>0.43215999999999999</v>
      </c>
    </row>
    <row r="115" spans="1:23" x14ac:dyDescent="0.6">
      <c r="A115" s="13"/>
      <c r="B115" s="14"/>
      <c r="C115" s="14" t="s">
        <v>11207</v>
      </c>
      <c r="D115" s="15" t="s">
        <v>16273</v>
      </c>
      <c r="E115" s="13">
        <v>3</v>
      </c>
      <c r="F115" s="13" t="s">
        <v>16257</v>
      </c>
      <c r="G115" s="13">
        <f t="shared" si="79"/>
        <v>105.96000000000001</v>
      </c>
      <c r="H115" s="56">
        <v>12</v>
      </c>
      <c r="I115" s="13">
        <f t="shared" si="80"/>
        <v>36</v>
      </c>
      <c r="J115" s="13">
        <f t="shared" si="81"/>
        <v>141.96</v>
      </c>
      <c r="K115" s="21">
        <f t="shared" si="82"/>
        <v>141.96</v>
      </c>
      <c r="L115" s="9">
        <v>250</v>
      </c>
      <c r="M115" s="38">
        <f t="shared" si="47"/>
        <v>108.03999999999999</v>
      </c>
      <c r="N115" s="26">
        <f t="shared" si="48"/>
        <v>0.43215999999999999</v>
      </c>
      <c r="O115" s="10">
        <v>250</v>
      </c>
      <c r="P115" s="37">
        <f t="shared" si="49"/>
        <v>108.03999999999999</v>
      </c>
      <c r="Q115" s="30">
        <f t="shared" si="60"/>
        <v>0.43215999999999999</v>
      </c>
      <c r="R115" s="11">
        <v>250</v>
      </c>
      <c r="S115" s="39">
        <f t="shared" si="50"/>
        <v>108.03999999999999</v>
      </c>
      <c r="T115" s="35">
        <f t="shared" si="51"/>
        <v>0.43215999999999999</v>
      </c>
      <c r="U115" s="12">
        <v>250</v>
      </c>
      <c r="V115" s="40">
        <f t="shared" si="52"/>
        <v>108.03999999999999</v>
      </c>
      <c r="W115" s="36">
        <f t="shared" si="53"/>
        <v>0.43215999999999999</v>
      </c>
    </row>
    <row r="116" spans="1:23" x14ac:dyDescent="0.6">
      <c r="A116" s="13"/>
      <c r="B116" s="14"/>
      <c r="C116" s="14" t="s">
        <v>1852</v>
      </c>
      <c r="D116" s="15" t="s">
        <v>16273</v>
      </c>
      <c r="E116" s="13">
        <v>3</v>
      </c>
      <c r="F116" s="13" t="s">
        <v>16257</v>
      </c>
      <c r="G116" s="13">
        <f>35.32*3</f>
        <v>105.96000000000001</v>
      </c>
      <c r="H116" s="56">
        <v>12</v>
      </c>
      <c r="I116" s="13">
        <f t="shared" si="80"/>
        <v>36</v>
      </c>
      <c r="J116" s="13">
        <f t="shared" si="81"/>
        <v>141.96</v>
      </c>
      <c r="K116" s="21">
        <f t="shared" si="82"/>
        <v>141.96</v>
      </c>
      <c r="L116" s="9">
        <v>250</v>
      </c>
      <c r="M116" s="38">
        <f t="shared" si="47"/>
        <v>108.03999999999999</v>
      </c>
      <c r="N116" s="26">
        <f t="shared" si="48"/>
        <v>0.43215999999999999</v>
      </c>
      <c r="O116" s="10">
        <v>250</v>
      </c>
      <c r="P116" s="37">
        <f t="shared" si="49"/>
        <v>108.03999999999999</v>
      </c>
      <c r="Q116" s="30">
        <f t="shared" si="60"/>
        <v>0.43215999999999999</v>
      </c>
      <c r="R116" s="11">
        <v>250</v>
      </c>
      <c r="S116" s="39">
        <f t="shared" si="50"/>
        <v>108.03999999999999</v>
      </c>
      <c r="T116" s="35">
        <f t="shared" si="51"/>
        <v>0.43215999999999999</v>
      </c>
      <c r="U116" s="12">
        <v>250</v>
      </c>
      <c r="V116" s="40">
        <f t="shared" si="52"/>
        <v>108.03999999999999</v>
      </c>
      <c r="W116" s="36">
        <f t="shared" si="53"/>
        <v>0.43215999999999999</v>
      </c>
    </row>
    <row r="117" spans="1:23" x14ac:dyDescent="0.6">
      <c r="A117" s="16">
        <v>52</v>
      </c>
      <c r="B117" s="17" t="s">
        <v>11908</v>
      </c>
      <c r="C117" s="17" t="s">
        <v>168</v>
      </c>
      <c r="D117" s="18" t="s">
        <v>16273</v>
      </c>
      <c r="E117" s="16">
        <v>3</v>
      </c>
      <c r="F117" s="16" t="s">
        <v>16257</v>
      </c>
      <c r="G117" s="16">
        <f>35.32*3</f>
        <v>105.96000000000001</v>
      </c>
      <c r="H117" s="56">
        <v>12</v>
      </c>
      <c r="I117" s="16">
        <f>+H117*E117</f>
        <v>36</v>
      </c>
      <c r="J117" s="16">
        <f>+G117+I117</f>
        <v>141.96</v>
      </c>
      <c r="K117" s="21">
        <f>+J117</f>
        <v>141.96</v>
      </c>
      <c r="L117" s="9">
        <v>0</v>
      </c>
      <c r="M117" s="38">
        <f t="shared" si="47"/>
        <v>-141.96</v>
      </c>
      <c r="N117" s="26" t="e">
        <f t="shared" si="48"/>
        <v>#DIV/0!</v>
      </c>
      <c r="O117" s="10">
        <v>0</v>
      </c>
      <c r="P117" s="37">
        <f t="shared" si="49"/>
        <v>-141.96</v>
      </c>
      <c r="Q117" s="30" t="e">
        <f t="shared" si="60"/>
        <v>#DIV/0!</v>
      </c>
      <c r="R117" s="11">
        <v>250</v>
      </c>
      <c r="S117" s="39">
        <f t="shared" si="50"/>
        <v>108.03999999999999</v>
      </c>
      <c r="T117" s="35">
        <f t="shared" si="51"/>
        <v>0.43215999999999999</v>
      </c>
      <c r="U117" s="12">
        <v>250</v>
      </c>
      <c r="V117" s="40">
        <f t="shared" si="52"/>
        <v>108.03999999999999</v>
      </c>
      <c r="W117" s="36">
        <f t="shared" si="53"/>
        <v>0.43215999999999999</v>
      </c>
    </row>
    <row r="118" spans="1:23" x14ac:dyDescent="0.6">
      <c r="A118" s="13">
        <v>53</v>
      </c>
      <c r="B118" s="14" t="s">
        <v>185</v>
      </c>
      <c r="C118" s="14" t="s">
        <v>186</v>
      </c>
      <c r="D118" s="15" t="s">
        <v>16272</v>
      </c>
      <c r="E118" s="13">
        <v>2</v>
      </c>
      <c r="F118" s="13" t="s">
        <v>16257</v>
      </c>
      <c r="G118" s="13">
        <f>36.93*2</f>
        <v>73.86</v>
      </c>
      <c r="H118" s="56">
        <v>12</v>
      </c>
      <c r="I118" s="13">
        <f>+H118*E118</f>
        <v>24</v>
      </c>
      <c r="J118" s="13">
        <f>+I118+G118</f>
        <v>97.86</v>
      </c>
      <c r="K118" s="21">
        <f>+J118</f>
        <v>97.86</v>
      </c>
      <c r="L118" s="9">
        <v>180</v>
      </c>
      <c r="M118" s="38">
        <f t="shared" si="47"/>
        <v>82.14</v>
      </c>
      <c r="N118" s="26">
        <f t="shared" si="48"/>
        <v>0.45633333333333331</v>
      </c>
      <c r="O118" s="10">
        <v>0</v>
      </c>
      <c r="P118" s="37">
        <f t="shared" si="49"/>
        <v>-97.86</v>
      </c>
      <c r="Q118" s="30" t="e">
        <f t="shared" si="60"/>
        <v>#DIV/0!</v>
      </c>
      <c r="R118" s="11">
        <v>180</v>
      </c>
      <c r="S118" s="39">
        <f t="shared" si="50"/>
        <v>82.14</v>
      </c>
      <c r="T118" s="35">
        <f t="shared" si="51"/>
        <v>0.45633333333333331</v>
      </c>
      <c r="U118" s="12">
        <v>250</v>
      </c>
      <c r="V118" s="40">
        <f t="shared" si="52"/>
        <v>152.13999999999999</v>
      </c>
      <c r="W118" s="36">
        <f t="shared" si="53"/>
        <v>0.60855999999999999</v>
      </c>
    </row>
    <row r="119" spans="1:23" x14ac:dyDescent="0.6">
      <c r="A119" s="16">
        <v>54</v>
      </c>
      <c r="B119" s="17" t="s">
        <v>625</v>
      </c>
      <c r="C119" s="17" t="s">
        <v>3355</v>
      </c>
      <c r="D119" s="18" t="s">
        <v>16272</v>
      </c>
      <c r="E119" s="16">
        <v>20</v>
      </c>
      <c r="F119" s="16" t="s">
        <v>16257</v>
      </c>
      <c r="G119" s="16">
        <f>36.93*20</f>
        <v>738.6</v>
      </c>
      <c r="H119" s="56">
        <v>12</v>
      </c>
      <c r="I119" s="16">
        <f t="shared" ref="I119:I120" si="83">+H119*E119</f>
        <v>240</v>
      </c>
      <c r="J119" s="16">
        <f t="shared" ref="J119:J120" si="84">+G119+I119</f>
        <v>978.6</v>
      </c>
      <c r="K119" s="21">
        <f>+J119</f>
        <v>978.6</v>
      </c>
      <c r="L119" s="9">
        <v>1700</v>
      </c>
      <c r="M119" s="38">
        <f t="shared" si="47"/>
        <v>721.4</v>
      </c>
      <c r="N119" s="26">
        <f t="shared" si="48"/>
        <v>0.4243529411764706</v>
      </c>
      <c r="O119" s="10">
        <v>1600</v>
      </c>
      <c r="P119" s="37">
        <f t="shared" si="49"/>
        <v>621.4</v>
      </c>
      <c r="Q119" s="30">
        <f t="shared" si="60"/>
        <v>0.38837499999999997</v>
      </c>
      <c r="R119" s="11">
        <v>0</v>
      </c>
      <c r="S119" s="39">
        <f t="shared" si="50"/>
        <v>-978.6</v>
      </c>
      <c r="T119" s="35" t="e">
        <f t="shared" si="51"/>
        <v>#DIV/0!</v>
      </c>
      <c r="U119" s="12">
        <v>1700</v>
      </c>
      <c r="V119" s="40">
        <f t="shared" si="52"/>
        <v>721.4</v>
      </c>
      <c r="W119" s="36">
        <f t="shared" si="53"/>
        <v>0.4243529411764706</v>
      </c>
    </row>
    <row r="120" spans="1:23" x14ac:dyDescent="0.6">
      <c r="A120" s="16"/>
      <c r="B120" s="17"/>
      <c r="C120" s="17" t="s">
        <v>626</v>
      </c>
      <c r="D120" s="18" t="s">
        <v>16272</v>
      </c>
      <c r="E120" s="16">
        <v>20</v>
      </c>
      <c r="F120" s="16" t="s">
        <v>16257</v>
      </c>
      <c r="G120" s="16">
        <f>36.93*20</f>
        <v>738.6</v>
      </c>
      <c r="H120" s="56">
        <v>12</v>
      </c>
      <c r="I120" s="16">
        <f t="shared" si="83"/>
        <v>240</v>
      </c>
      <c r="J120" s="16">
        <f t="shared" si="84"/>
        <v>978.6</v>
      </c>
      <c r="K120" s="21">
        <f>+J120</f>
        <v>978.6</v>
      </c>
      <c r="L120" s="9">
        <v>1700</v>
      </c>
      <c r="M120" s="38">
        <f t="shared" si="47"/>
        <v>721.4</v>
      </c>
      <c r="N120" s="26">
        <f t="shared" si="48"/>
        <v>0.4243529411764706</v>
      </c>
      <c r="O120" s="10">
        <v>1600</v>
      </c>
      <c r="P120" s="37">
        <f t="shared" si="49"/>
        <v>621.4</v>
      </c>
      <c r="Q120" s="30">
        <f t="shared" si="60"/>
        <v>0.38837499999999997</v>
      </c>
      <c r="R120" s="11">
        <v>0</v>
      </c>
      <c r="S120" s="39">
        <f t="shared" si="50"/>
        <v>-978.6</v>
      </c>
      <c r="T120" s="35" t="e">
        <f t="shared" si="51"/>
        <v>#DIV/0!</v>
      </c>
      <c r="U120" s="12">
        <v>1700</v>
      </c>
      <c r="V120" s="40">
        <f t="shared" si="52"/>
        <v>721.4</v>
      </c>
      <c r="W120" s="36">
        <f t="shared" si="53"/>
        <v>0.4243529411764706</v>
      </c>
    </row>
    <row r="121" spans="1:23" x14ac:dyDescent="0.6">
      <c r="A121" s="13">
        <v>55</v>
      </c>
      <c r="B121" s="14" t="s">
        <v>456</v>
      </c>
      <c r="C121" s="14" t="s">
        <v>718</v>
      </c>
      <c r="D121" s="15" t="s">
        <v>16272</v>
      </c>
      <c r="E121" s="13">
        <v>3</v>
      </c>
      <c r="F121" s="13" t="s">
        <v>16257</v>
      </c>
      <c r="G121" s="13">
        <f>36.93*3</f>
        <v>110.78999999999999</v>
      </c>
      <c r="H121" s="56">
        <v>12</v>
      </c>
      <c r="I121" s="13">
        <f t="shared" ref="I121:I125" si="85">+H121*E121</f>
        <v>36</v>
      </c>
      <c r="J121" s="13">
        <f t="shared" ref="J121:J125" si="86">+I121+G121</f>
        <v>146.79</v>
      </c>
      <c r="K121" s="21">
        <f>+J121</f>
        <v>146.79</v>
      </c>
      <c r="L121" s="9">
        <v>250</v>
      </c>
      <c r="M121" s="38">
        <f t="shared" si="47"/>
        <v>103.21000000000001</v>
      </c>
      <c r="N121" s="26">
        <f t="shared" si="48"/>
        <v>0.41284000000000004</v>
      </c>
      <c r="O121" s="10">
        <v>250</v>
      </c>
      <c r="P121" s="37">
        <f t="shared" si="49"/>
        <v>103.21000000000001</v>
      </c>
      <c r="Q121" s="30">
        <f t="shared" si="60"/>
        <v>0.41284000000000004</v>
      </c>
      <c r="R121" s="11">
        <v>0</v>
      </c>
      <c r="S121" s="39">
        <f t="shared" si="50"/>
        <v>-146.79</v>
      </c>
      <c r="T121" s="35" t="e">
        <f t="shared" si="51"/>
        <v>#DIV/0!</v>
      </c>
      <c r="U121" s="12">
        <v>250</v>
      </c>
      <c r="V121" s="40">
        <f t="shared" si="52"/>
        <v>103.21000000000001</v>
      </c>
      <c r="W121" s="36">
        <f t="shared" si="53"/>
        <v>0.41284000000000004</v>
      </c>
    </row>
    <row r="122" spans="1:23" x14ac:dyDescent="0.6">
      <c r="A122" s="13"/>
      <c r="B122" s="14"/>
      <c r="C122" s="14" t="s">
        <v>1178</v>
      </c>
      <c r="D122" s="15" t="s">
        <v>16272</v>
      </c>
      <c r="E122" s="13">
        <v>3</v>
      </c>
      <c r="F122" s="13" t="s">
        <v>16257</v>
      </c>
      <c r="G122" s="13">
        <f t="shared" ref="G122:G125" si="87">36.93*3</f>
        <v>110.78999999999999</v>
      </c>
      <c r="H122" s="56">
        <v>12</v>
      </c>
      <c r="I122" s="13">
        <f t="shared" si="85"/>
        <v>36</v>
      </c>
      <c r="J122" s="13">
        <f t="shared" si="86"/>
        <v>146.79</v>
      </c>
      <c r="K122" s="21">
        <f t="shared" ref="K122:K125" si="88">+J122</f>
        <v>146.79</v>
      </c>
      <c r="L122" s="9">
        <v>250</v>
      </c>
      <c r="M122" s="38">
        <f t="shared" si="47"/>
        <v>103.21000000000001</v>
      </c>
      <c r="N122" s="26">
        <f t="shared" si="48"/>
        <v>0.41284000000000004</v>
      </c>
      <c r="O122" s="10">
        <v>250</v>
      </c>
      <c r="P122" s="37">
        <f t="shared" si="49"/>
        <v>103.21000000000001</v>
      </c>
      <c r="Q122" s="30">
        <f t="shared" si="60"/>
        <v>0.41284000000000004</v>
      </c>
      <c r="R122" s="11">
        <v>0</v>
      </c>
      <c r="S122" s="39">
        <f t="shared" si="50"/>
        <v>-146.79</v>
      </c>
      <c r="T122" s="35" t="e">
        <f t="shared" si="51"/>
        <v>#DIV/0!</v>
      </c>
      <c r="U122" s="12">
        <v>250</v>
      </c>
      <c r="V122" s="40">
        <f t="shared" si="52"/>
        <v>103.21000000000001</v>
      </c>
      <c r="W122" s="36">
        <f t="shared" si="53"/>
        <v>0.41284000000000004</v>
      </c>
    </row>
    <row r="123" spans="1:23" x14ac:dyDescent="0.6">
      <c r="A123" s="13"/>
      <c r="B123" s="14"/>
      <c r="C123" s="14" t="s">
        <v>12832</v>
      </c>
      <c r="D123" s="15" t="s">
        <v>16272</v>
      </c>
      <c r="E123" s="13">
        <v>3</v>
      </c>
      <c r="F123" s="13" t="s">
        <v>16257</v>
      </c>
      <c r="G123" s="13">
        <f t="shared" si="87"/>
        <v>110.78999999999999</v>
      </c>
      <c r="H123" s="56">
        <v>12</v>
      </c>
      <c r="I123" s="13">
        <f t="shared" si="85"/>
        <v>36</v>
      </c>
      <c r="J123" s="13">
        <f t="shared" si="86"/>
        <v>146.79</v>
      </c>
      <c r="K123" s="21">
        <f t="shared" si="88"/>
        <v>146.79</v>
      </c>
      <c r="L123" s="9">
        <v>250</v>
      </c>
      <c r="M123" s="38">
        <f t="shared" si="47"/>
        <v>103.21000000000001</v>
      </c>
      <c r="N123" s="26">
        <f t="shared" si="48"/>
        <v>0.41284000000000004</v>
      </c>
      <c r="O123" s="10">
        <v>250</v>
      </c>
      <c r="P123" s="37">
        <f t="shared" si="49"/>
        <v>103.21000000000001</v>
      </c>
      <c r="Q123" s="30">
        <f t="shared" si="60"/>
        <v>0.41284000000000004</v>
      </c>
      <c r="R123" s="11">
        <v>0</v>
      </c>
      <c r="S123" s="39">
        <f t="shared" si="50"/>
        <v>-146.79</v>
      </c>
      <c r="T123" s="35" t="e">
        <f t="shared" si="51"/>
        <v>#DIV/0!</v>
      </c>
      <c r="U123" s="12">
        <v>250</v>
      </c>
      <c r="V123" s="40">
        <f t="shared" si="52"/>
        <v>103.21000000000001</v>
      </c>
      <c r="W123" s="36">
        <f t="shared" si="53"/>
        <v>0.41284000000000004</v>
      </c>
    </row>
    <row r="124" spans="1:23" x14ac:dyDescent="0.6">
      <c r="A124" s="13"/>
      <c r="B124" s="14"/>
      <c r="C124" s="14" t="s">
        <v>6659</v>
      </c>
      <c r="D124" s="15" t="s">
        <v>16272</v>
      </c>
      <c r="E124" s="13">
        <v>3</v>
      </c>
      <c r="F124" s="13" t="s">
        <v>16257</v>
      </c>
      <c r="G124" s="13">
        <f t="shared" si="87"/>
        <v>110.78999999999999</v>
      </c>
      <c r="H124" s="56">
        <v>12</v>
      </c>
      <c r="I124" s="13">
        <f t="shared" si="85"/>
        <v>36</v>
      </c>
      <c r="J124" s="13">
        <f t="shared" si="86"/>
        <v>146.79</v>
      </c>
      <c r="K124" s="21">
        <f t="shared" si="88"/>
        <v>146.79</v>
      </c>
      <c r="L124" s="9">
        <v>250</v>
      </c>
      <c r="M124" s="38">
        <f t="shared" si="47"/>
        <v>103.21000000000001</v>
      </c>
      <c r="N124" s="26">
        <f t="shared" si="48"/>
        <v>0.41284000000000004</v>
      </c>
      <c r="O124" s="10">
        <v>250</v>
      </c>
      <c r="P124" s="37">
        <f t="shared" si="49"/>
        <v>103.21000000000001</v>
      </c>
      <c r="Q124" s="30">
        <f t="shared" si="60"/>
        <v>0.41284000000000004</v>
      </c>
      <c r="R124" s="11">
        <v>0</v>
      </c>
      <c r="S124" s="39">
        <f t="shared" si="50"/>
        <v>-146.79</v>
      </c>
      <c r="T124" s="35" t="e">
        <f t="shared" si="51"/>
        <v>#DIV/0!</v>
      </c>
      <c r="U124" s="12">
        <v>250</v>
      </c>
      <c r="V124" s="40">
        <f t="shared" si="52"/>
        <v>103.21000000000001</v>
      </c>
      <c r="W124" s="36">
        <f t="shared" si="53"/>
        <v>0.41284000000000004</v>
      </c>
    </row>
    <row r="125" spans="1:23" x14ac:dyDescent="0.6">
      <c r="A125" s="13"/>
      <c r="B125" s="14"/>
      <c r="C125" s="14" t="s">
        <v>457</v>
      </c>
      <c r="D125" s="15" t="s">
        <v>16272</v>
      </c>
      <c r="E125" s="13">
        <v>3</v>
      </c>
      <c r="F125" s="13" t="s">
        <v>16257</v>
      </c>
      <c r="G125" s="13">
        <f t="shared" si="87"/>
        <v>110.78999999999999</v>
      </c>
      <c r="H125" s="56">
        <v>12</v>
      </c>
      <c r="I125" s="13">
        <f t="shared" si="85"/>
        <v>36</v>
      </c>
      <c r="J125" s="13">
        <f t="shared" si="86"/>
        <v>146.79</v>
      </c>
      <c r="K125" s="21">
        <f t="shared" si="88"/>
        <v>146.79</v>
      </c>
      <c r="L125" s="9">
        <v>250</v>
      </c>
      <c r="M125" s="38">
        <f t="shared" si="47"/>
        <v>103.21000000000001</v>
      </c>
      <c r="N125" s="26">
        <f t="shared" si="48"/>
        <v>0.41284000000000004</v>
      </c>
      <c r="O125" s="10">
        <v>250</v>
      </c>
      <c r="P125" s="37">
        <f t="shared" si="49"/>
        <v>103.21000000000001</v>
      </c>
      <c r="Q125" s="30">
        <f t="shared" si="60"/>
        <v>0.41284000000000004</v>
      </c>
      <c r="R125" s="11">
        <v>0</v>
      </c>
      <c r="S125" s="39">
        <f t="shared" si="50"/>
        <v>-146.79</v>
      </c>
      <c r="T125" s="35" t="e">
        <f t="shared" si="51"/>
        <v>#DIV/0!</v>
      </c>
      <c r="U125" s="12">
        <v>250</v>
      </c>
      <c r="V125" s="40">
        <f t="shared" si="52"/>
        <v>103.21000000000001</v>
      </c>
      <c r="W125" s="36">
        <f t="shared" si="53"/>
        <v>0.41284000000000004</v>
      </c>
    </row>
    <row r="126" spans="1:23" x14ac:dyDescent="0.6">
      <c r="A126" s="16">
        <v>56</v>
      </c>
      <c r="B126" s="17" t="s">
        <v>134</v>
      </c>
      <c r="C126" s="17" t="s">
        <v>64</v>
      </c>
      <c r="D126" s="18" t="s">
        <v>16274</v>
      </c>
      <c r="E126" s="16">
        <v>3</v>
      </c>
      <c r="F126" s="16" t="s">
        <v>16257</v>
      </c>
      <c r="G126" s="16">
        <f>24.23*3</f>
        <v>72.69</v>
      </c>
      <c r="H126" s="56">
        <v>12</v>
      </c>
      <c r="I126" s="16">
        <f>+H126*E126</f>
        <v>36</v>
      </c>
      <c r="J126" s="16">
        <f>+G126+I126</f>
        <v>108.69</v>
      </c>
      <c r="K126" s="21">
        <f>+J126</f>
        <v>108.69</v>
      </c>
      <c r="L126" s="9">
        <v>250</v>
      </c>
      <c r="M126" s="38">
        <f t="shared" si="47"/>
        <v>141.31</v>
      </c>
      <c r="N126" s="26">
        <f t="shared" si="48"/>
        <v>0.56523999999999996</v>
      </c>
      <c r="O126" s="10">
        <v>250</v>
      </c>
      <c r="P126" s="37">
        <f t="shared" si="49"/>
        <v>141.31</v>
      </c>
      <c r="Q126" s="30">
        <f t="shared" si="60"/>
        <v>0.56523999999999996</v>
      </c>
      <c r="R126" s="11">
        <v>250</v>
      </c>
      <c r="S126" s="39">
        <f t="shared" si="50"/>
        <v>141.31</v>
      </c>
      <c r="T126" s="35">
        <f t="shared" si="51"/>
        <v>0.56523999999999996</v>
      </c>
      <c r="U126" s="12">
        <v>250</v>
      </c>
      <c r="V126" s="40">
        <f t="shared" si="52"/>
        <v>141.31</v>
      </c>
      <c r="W126" s="36">
        <f t="shared" si="53"/>
        <v>0.56523999999999996</v>
      </c>
    </row>
    <row r="127" spans="1:23" x14ac:dyDescent="0.6">
      <c r="A127" s="13">
        <v>57</v>
      </c>
      <c r="B127" s="14" t="s">
        <v>63</v>
      </c>
      <c r="C127" s="14" t="s">
        <v>64</v>
      </c>
      <c r="D127" s="15" t="s">
        <v>16274</v>
      </c>
      <c r="E127" s="13">
        <v>3</v>
      </c>
      <c r="F127" s="13" t="s">
        <v>16257</v>
      </c>
      <c r="G127" s="13">
        <f>24.23*3</f>
        <v>72.69</v>
      </c>
      <c r="H127" s="56">
        <v>12</v>
      </c>
      <c r="I127" s="13">
        <f>+H127*E127</f>
        <v>36</v>
      </c>
      <c r="J127" s="13">
        <f>+I127+G127</f>
        <v>108.69</v>
      </c>
      <c r="K127" s="21">
        <f>+J127</f>
        <v>108.69</v>
      </c>
      <c r="L127" s="9">
        <v>250</v>
      </c>
      <c r="M127" s="38">
        <f t="shared" si="47"/>
        <v>141.31</v>
      </c>
      <c r="N127" s="26">
        <f t="shared" si="48"/>
        <v>0.56523999999999996</v>
      </c>
      <c r="O127" s="10">
        <v>250</v>
      </c>
      <c r="P127" s="37">
        <f t="shared" si="49"/>
        <v>141.31</v>
      </c>
      <c r="Q127" s="30">
        <f t="shared" si="60"/>
        <v>0.56523999999999996</v>
      </c>
      <c r="R127" s="11">
        <v>250</v>
      </c>
      <c r="S127" s="39">
        <f t="shared" si="50"/>
        <v>141.31</v>
      </c>
      <c r="T127" s="35">
        <f t="shared" si="51"/>
        <v>0.56523999999999996</v>
      </c>
      <c r="U127" s="12">
        <v>250</v>
      </c>
      <c r="V127" s="40">
        <f t="shared" si="52"/>
        <v>141.31</v>
      </c>
      <c r="W127" s="36">
        <f t="shared" si="53"/>
        <v>0.56523999999999996</v>
      </c>
    </row>
    <row r="128" spans="1:23" x14ac:dyDescent="0.6">
      <c r="A128" s="16">
        <v>58</v>
      </c>
      <c r="B128" s="17" t="s">
        <v>4334</v>
      </c>
      <c r="C128" s="17" t="s">
        <v>4335</v>
      </c>
      <c r="D128" s="18" t="s">
        <v>16261</v>
      </c>
      <c r="E128" s="16">
        <v>3</v>
      </c>
      <c r="F128" s="16" t="s">
        <v>16257</v>
      </c>
      <c r="G128" s="16">
        <f>13.37*3</f>
        <v>40.11</v>
      </c>
      <c r="H128" s="56">
        <v>12</v>
      </c>
      <c r="I128" s="16">
        <f>+H128*E128</f>
        <v>36</v>
      </c>
      <c r="J128" s="16">
        <f>+G128+I128</f>
        <v>76.11</v>
      </c>
      <c r="K128" s="21">
        <f>+J128</f>
        <v>76.11</v>
      </c>
      <c r="L128" s="9">
        <v>0</v>
      </c>
      <c r="M128" s="38">
        <f t="shared" si="47"/>
        <v>-76.11</v>
      </c>
      <c r="N128" s="26" t="e">
        <f t="shared" si="48"/>
        <v>#DIV/0!</v>
      </c>
      <c r="O128" s="10">
        <v>0</v>
      </c>
      <c r="P128" s="37">
        <f t="shared" si="49"/>
        <v>-76.11</v>
      </c>
      <c r="Q128" s="30" t="e">
        <f t="shared" si="60"/>
        <v>#DIV/0!</v>
      </c>
      <c r="R128" s="11">
        <v>0</v>
      </c>
      <c r="S128" s="39">
        <f t="shared" si="50"/>
        <v>-76.11</v>
      </c>
      <c r="T128" s="35" t="e">
        <f t="shared" si="51"/>
        <v>#DIV/0!</v>
      </c>
      <c r="U128" s="12">
        <v>130</v>
      </c>
      <c r="V128" s="40">
        <f t="shared" si="52"/>
        <v>53.89</v>
      </c>
      <c r="W128" s="36">
        <f t="shared" si="53"/>
        <v>0.41453846153846152</v>
      </c>
    </row>
    <row r="129" spans="1:23" x14ac:dyDescent="0.6">
      <c r="A129" s="13">
        <v>59</v>
      </c>
      <c r="B129" s="14" t="s">
        <v>6030</v>
      </c>
      <c r="C129" s="14" t="s">
        <v>6031</v>
      </c>
      <c r="D129" s="15" t="s">
        <v>16261</v>
      </c>
      <c r="E129" s="13">
        <v>4</v>
      </c>
      <c r="F129" s="13" t="s">
        <v>16257</v>
      </c>
      <c r="G129" s="13">
        <f>13.37*4</f>
        <v>53.48</v>
      </c>
      <c r="H129" s="56">
        <v>12</v>
      </c>
      <c r="I129" s="13">
        <f>+H129*E129</f>
        <v>48</v>
      </c>
      <c r="J129" s="13">
        <f>+I129+G129</f>
        <v>101.47999999999999</v>
      </c>
      <c r="K129" s="21">
        <f>+J129</f>
        <v>101.47999999999999</v>
      </c>
      <c r="L129" s="9">
        <v>200</v>
      </c>
      <c r="M129" s="38">
        <f t="shared" si="47"/>
        <v>98.52000000000001</v>
      </c>
      <c r="N129" s="26">
        <f t="shared" si="48"/>
        <v>0.49260000000000004</v>
      </c>
      <c r="O129" s="10">
        <v>0</v>
      </c>
      <c r="P129" s="37">
        <f t="shared" si="49"/>
        <v>-101.47999999999999</v>
      </c>
      <c r="Q129" s="30" t="e">
        <f t="shared" si="60"/>
        <v>#DIV/0!</v>
      </c>
      <c r="R129" s="11">
        <v>0</v>
      </c>
      <c r="S129" s="39">
        <f t="shared" si="50"/>
        <v>-101.47999999999999</v>
      </c>
      <c r="T129" s="35" t="e">
        <f t="shared" si="51"/>
        <v>#DIV/0!</v>
      </c>
      <c r="U129" s="12">
        <v>0</v>
      </c>
      <c r="V129" s="40">
        <f t="shared" si="52"/>
        <v>-101.47999999999999</v>
      </c>
      <c r="W129" s="36" t="e">
        <f t="shared" si="53"/>
        <v>#DIV/0!</v>
      </c>
    </row>
    <row r="130" spans="1:23" x14ac:dyDescent="0.6">
      <c r="A130" s="16">
        <v>60</v>
      </c>
      <c r="B130" s="17" t="s">
        <v>1513</v>
      </c>
      <c r="C130" s="17" t="s">
        <v>1514</v>
      </c>
      <c r="D130" s="18" t="s">
        <v>16274</v>
      </c>
      <c r="E130" s="16">
        <v>10</v>
      </c>
      <c r="F130" s="16" t="s">
        <v>16257</v>
      </c>
      <c r="G130" s="16">
        <f>24.23*10</f>
        <v>242.3</v>
      </c>
      <c r="H130" s="56">
        <v>12</v>
      </c>
      <c r="I130" s="16">
        <f>+H130*E130</f>
        <v>120</v>
      </c>
      <c r="J130" s="16">
        <f>+G130+I130</f>
        <v>362.3</v>
      </c>
      <c r="K130" s="21">
        <f>+J130</f>
        <v>362.3</v>
      </c>
      <c r="L130" s="9">
        <v>0</v>
      </c>
      <c r="M130" s="38">
        <f t="shared" si="47"/>
        <v>-362.3</v>
      </c>
      <c r="N130" s="26" t="e">
        <f t="shared" si="48"/>
        <v>#DIV/0!</v>
      </c>
      <c r="O130" s="10">
        <v>0</v>
      </c>
      <c r="P130" s="37">
        <f t="shared" si="49"/>
        <v>-362.3</v>
      </c>
      <c r="Q130" s="30" t="e">
        <f t="shared" si="60"/>
        <v>#DIV/0!</v>
      </c>
      <c r="R130" s="11">
        <v>800</v>
      </c>
      <c r="S130" s="39">
        <f t="shared" si="50"/>
        <v>437.7</v>
      </c>
      <c r="T130" s="35">
        <f t="shared" si="51"/>
        <v>0.54712499999999997</v>
      </c>
      <c r="U130" s="12">
        <v>900</v>
      </c>
      <c r="V130" s="40">
        <f t="shared" si="52"/>
        <v>537.70000000000005</v>
      </c>
      <c r="W130" s="36">
        <f t="shared" si="53"/>
        <v>0.59744444444444444</v>
      </c>
    </row>
    <row r="131" spans="1:23" ht="26.4" customHeight="1" x14ac:dyDescent="0.6">
      <c r="A131" s="13">
        <v>61</v>
      </c>
      <c r="B131" s="14" t="s">
        <v>9508</v>
      </c>
      <c r="C131" s="14" t="s">
        <v>9509</v>
      </c>
      <c r="D131" s="15" t="s">
        <v>16274</v>
      </c>
      <c r="E131" s="13">
        <v>1</v>
      </c>
      <c r="F131" s="13" t="s">
        <v>16257</v>
      </c>
      <c r="G131" s="13">
        <v>24.23</v>
      </c>
      <c r="H131" s="56">
        <v>12</v>
      </c>
      <c r="I131" s="13">
        <f t="shared" ref="I131:I132" si="89">+H131*E131</f>
        <v>12</v>
      </c>
      <c r="J131" s="13">
        <f t="shared" ref="J131:J132" si="90">+I131+G131</f>
        <v>36.230000000000004</v>
      </c>
      <c r="K131" s="65">
        <f>+J131+J132</f>
        <v>85.16</v>
      </c>
      <c r="L131" s="67">
        <v>180</v>
      </c>
      <c r="M131" s="77">
        <f t="shared" si="47"/>
        <v>94.84</v>
      </c>
      <c r="N131" s="86">
        <f t="shared" si="48"/>
        <v>0.52688888888888896</v>
      </c>
      <c r="O131" s="71">
        <v>0</v>
      </c>
      <c r="P131" s="80">
        <f t="shared" si="49"/>
        <v>-85.16</v>
      </c>
      <c r="Q131" s="89" t="e">
        <f t="shared" si="60"/>
        <v>#DIV/0!</v>
      </c>
      <c r="R131" s="74">
        <v>180</v>
      </c>
      <c r="S131" s="92">
        <f t="shared" si="50"/>
        <v>94.84</v>
      </c>
      <c r="T131" s="95">
        <f t="shared" si="51"/>
        <v>0.52688888888888896</v>
      </c>
      <c r="U131" s="83">
        <v>180</v>
      </c>
      <c r="V131" s="98">
        <f t="shared" si="52"/>
        <v>94.84</v>
      </c>
      <c r="W131" s="101">
        <f t="shared" si="53"/>
        <v>0.52688888888888896</v>
      </c>
    </row>
    <row r="132" spans="1:23" ht="26.4" customHeight="1" x14ac:dyDescent="0.6">
      <c r="A132" s="13"/>
      <c r="B132" s="14"/>
      <c r="C132" s="14"/>
      <c r="D132" s="15" t="s">
        <v>16272</v>
      </c>
      <c r="E132" s="13">
        <v>1</v>
      </c>
      <c r="F132" s="13" t="s">
        <v>16257</v>
      </c>
      <c r="G132" s="13">
        <v>36.93</v>
      </c>
      <c r="H132" s="56">
        <v>12</v>
      </c>
      <c r="I132" s="13">
        <f t="shared" si="89"/>
        <v>12</v>
      </c>
      <c r="J132" s="13">
        <f t="shared" si="90"/>
        <v>48.93</v>
      </c>
      <c r="K132" s="66"/>
      <c r="L132" s="69"/>
      <c r="M132" s="79">
        <f t="shared" si="47"/>
        <v>0</v>
      </c>
      <c r="N132" s="88" t="e">
        <f t="shared" si="48"/>
        <v>#DIV/0!</v>
      </c>
      <c r="O132" s="73"/>
      <c r="P132" s="82">
        <f t="shared" si="49"/>
        <v>0</v>
      </c>
      <c r="Q132" s="91" t="e">
        <f t="shared" si="60"/>
        <v>#DIV/0!</v>
      </c>
      <c r="R132" s="76"/>
      <c r="S132" s="94">
        <f t="shared" si="50"/>
        <v>0</v>
      </c>
      <c r="T132" s="97" t="e">
        <f t="shared" si="51"/>
        <v>#DIV/0!</v>
      </c>
      <c r="U132" s="85"/>
      <c r="V132" s="100">
        <f t="shared" si="52"/>
        <v>0</v>
      </c>
      <c r="W132" s="102" t="e">
        <f t="shared" si="53"/>
        <v>#DIV/0!</v>
      </c>
    </row>
    <row r="133" spans="1:23" x14ac:dyDescent="0.6">
      <c r="A133" s="16">
        <v>62</v>
      </c>
      <c r="B133" s="17" t="s">
        <v>1353</v>
      </c>
      <c r="C133" s="17" t="s">
        <v>1354</v>
      </c>
      <c r="D133" s="18" t="s">
        <v>16274</v>
      </c>
      <c r="E133" s="16">
        <v>2</v>
      </c>
      <c r="F133" s="16" t="s">
        <v>16257</v>
      </c>
      <c r="G133" s="16">
        <f>24.23*2</f>
        <v>48.46</v>
      </c>
      <c r="H133" s="56">
        <v>12</v>
      </c>
      <c r="I133" s="16">
        <f>+H133*E133</f>
        <v>24</v>
      </c>
      <c r="J133" s="16">
        <f>+G133+I133</f>
        <v>72.460000000000008</v>
      </c>
      <c r="K133" s="21">
        <f>+J133</f>
        <v>72.460000000000008</v>
      </c>
      <c r="L133" s="9">
        <v>180</v>
      </c>
      <c r="M133" s="38">
        <f t="shared" ref="M133:M139" si="91">+L133-K133</f>
        <v>107.53999999999999</v>
      </c>
      <c r="N133" s="26">
        <f t="shared" ref="N133:N139" si="92">+M133/L133</f>
        <v>0.59744444444444444</v>
      </c>
      <c r="O133" s="10">
        <v>0</v>
      </c>
      <c r="P133" s="37">
        <f t="shared" ref="P133:P139" si="93">+O133-K133</f>
        <v>-72.460000000000008</v>
      </c>
      <c r="Q133" s="30" t="e">
        <f t="shared" si="60"/>
        <v>#DIV/0!</v>
      </c>
      <c r="R133" s="11">
        <v>180</v>
      </c>
      <c r="S133" s="39">
        <f t="shared" ref="S133:S139" si="94">+R133-K133</f>
        <v>107.53999999999999</v>
      </c>
      <c r="T133" s="35">
        <f t="shared" ref="T133:T139" si="95">+S133/R133</f>
        <v>0.59744444444444444</v>
      </c>
      <c r="U133" s="12">
        <v>180</v>
      </c>
      <c r="V133" s="40">
        <f t="shared" ref="V133:V139" si="96">+U133-K133</f>
        <v>107.53999999999999</v>
      </c>
      <c r="W133" s="36">
        <f t="shared" ref="W133:W139" si="97">+V133/U133</f>
        <v>0.59744444444444444</v>
      </c>
    </row>
    <row r="134" spans="1:23" x14ac:dyDescent="0.6">
      <c r="A134" s="13">
        <v>63</v>
      </c>
      <c r="B134" s="14" t="s">
        <v>261</v>
      </c>
      <c r="C134" s="14" t="s">
        <v>1592</v>
      </c>
      <c r="D134" s="15" t="s">
        <v>16274</v>
      </c>
      <c r="E134" s="13">
        <v>3</v>
      </c>
      <c r="F134" s="13" t="s">
        <v>16257</v>
      </c>
      <c r="G134" s="13">
        <f>24.23*3</f>
        <v>72.69</v>
      </c>
      <c r="H134" s="56">
        <v>12</v>
      </c>
      <c r="I134" s="13">
        <f t="shared" ref="I134:I135" si="98">+H134*E134</f>
        <v>36</v>
      </c>
      <c r="J134" s="13">
        <f t="shared" ref="J134:J135" si="99">+I134+G134</f>
        <v>108.69</v>
      </c>
      <c r="K134" s="21">
        <f>+J134</f>
        <v>108.69</v>
      </c>
      <c r="L134" s="9">
        <v>250</v>
      </c>
      <c r="M134" s="38">
        <f t="shared" si="91"/>
        <v>141.31</v>
      </c>
      <c r="N134" s="26">
        <f t="shared" si="92"/>
        <v>0.56523999999999996</v>
      </c>
      <c r="O134" s="10">
        <v>250</v>
      </c>
      <c r="P134" s="37">
        <f t="shared" si="93"/>
        <v>141.31</v>
      </c>
      <c r="Q134" s="30">
        <f t="shared" si="60"/>
        <v>0.56523999999999996</v>
      </c>
      <c r="R134" s="11">
        <v>250</v>
      </c>
      <c r="S134" s="39">
        <f t="shared" si="94"/>
        <v>141.31</v>
      </c>
      <c r="T134" s="35">
        <f t="shared" si="95"/>
        <v>0.56523999999999996</v>
      </c>
      <c r="U134" s="12">
        <v>250</v>
      </c>
      <c r="V134" s="40">
        <f t="shared" si="96"/>
        <v>141.31</v>
      </c>
      <c r="W134" s="36">
        <f t="shared" si="97"/>
        <v>0.56523999999999996</v>
      </c>
    </row>
    <row r="135" spans="1:23" x14ac:dyDescent="0.6">
      <c r="A135" s="13"/>
      <c r="B135" s="14"/>
      <c r="C135" s="14" t="s">
        <v>262</v>
      </c>
      <c r="D135" s="15" t="s">
        <v>16274</v>
      </c>
      <c r="E135" s="13">
        <v>3</v>
      </c>
      <c r="F135" s="13" t="s">
        <v>16257</v>
      </c>
      <c r="G135" s="13">
        <f>24.23*3</f>
        <v>72.69</v>
      </c>
      <c r="H135" s="56">
        <v>12</v>
      </c>
      <c r="I135" s="13">
        <f t="shared" si="98"/>
        <v>36</v>
      </c>
      <c r="J135" s="13">
        <f t="shared" si="99"/>
        <v>108.69</v>
      </c>
      <c r="K135" s="21">
        <f>+J135</f>
        <v>108.69</v>
      </c>
      <c r="L135" s="9">
        <v>250</v>
      </c>
      <c r="M135" s="38">
        <f t="shared" si="91"/>
        <v>141.31</v>
      </c>
      <c r="N135" s="26">
        <f t="shared" si="92"/>
        <v>0.56523999999999996</v>
      </c>
      <c r="O135" s="10">
        <v>250</v>
      </c>
      <c r="P135" s="37">
        <f t="shared" si="93"/>
        <v>141.31</v>
      </c>
      <c r="Q135" s="30">
        <f t="shared" si="60"/>
        <v>0.56523999999999996</v>
      </c>
      <c r="R135" s="11">
        <v>250</v>
      </c>
      <c r="S135" s="39">
        <f t="shared" si="94"/>
        <v>141.31</v>
      </c>
      <c r="T135" s="35">
        <f t="shared" si="95"/>
        <v>0.56523999999999996</v>
      </c>
      <c r="U135" s="12">
        <v>250</v>
      </c>
      <c r="V135" s="40">
        <f t="shared" si="96"/>
        <v>141.31</v>
      </c>
      <c r="W135" s="36">
        <f t="shared" si="97"/>
        <v>0.56523999999999996</v>
      </c>
    </row>
    <row r="136" spans="1:23" x14ac:dyDescent="0.6">
      <c r="A136" s="16">
        <v>64</v>
      </c>
      <c r="B136" s="17" t="s">
        <v>266</v>
      </c>
      <c r="C136" s="17" t="s">
        <v>267</v>
      </c>
      <c r="D136" s="18" t="s">
        <v>16274</v>
      </c>
      <c r="E136" s="16">
        <v>10</v>
      </c>
      <c r="F136" s="16" t="s">
        <v>16257</v>
      </c>
      <c r="G136" s="16">
        <f>24.23*10</f>
        <v>242.3</v>
      </c>
      <c r="H136" s="56">
        <v>12</v>
      </c>
      <c r="I136" s="16">
        <f>+H136*E136</f>
        <v>120</v>
      </c>
      <c r="J136" s="16">
        <f>+G136+I136</f>
        <v>362.3</v>
      </c>
      <c r="K136" s="21">
        <f>+J136</f>
        <v>362.3</v>
      </c>
      <c r="L136" s="9">
        <v>0</v>
      </c>
      <c r="M136" s="38">
        <f t="shared" si="91"/>
        <v>-362.3</v>
      </c>
      <c r="N136" s="26" t="e">
        <f t="shared" si="92"/>
        <v>#DIV/0!</v>
      </c>
      <c r="O136" s="10">
        <v>0</v>
      </c>
      <c r="P136" s="37">
        <f t="shared" si="93"/>
        <v>-362.3</v>
      </c>
      <c r="Q136" s="30" t="e">
        <f t="shared" si="60"/>
        <v>#DIV/0!</v>
      </c>
      <c r="R136" s="11">
        <v>800</v>
      </c>
      <c r="S136" s="39">
        <f t="shared" si="94"/>
        <v>437.7</v>
      </c>
      <c r="T136" s="35">
        <f t="shared" si="95"/>
        <v>0.54712499999999997</v>
      </c>
      <c r="U136" s="12">
        <v>900</v>
      </c>
      <c r="V136" s="40">
        <f t="shared" si="96"/>
        <v>537.70000000000005</v>
      </c>
      <c r="W136" s="36">
        <f t="shared" si="97"/>
        <v>0.59744444444444444</v>
      </c>
    </row>
    <row r="137" spans="1:23" ht="26.4" customHeight="1" x14ac:dyDescent="0.6">
      <c r="A137" s="13">
        <v>65</v>
      </c>
      <c r="B137" s="14" t="s">
        <v>8261</v>
      </c>
      <c r="C137" s="14" t="s">
        <v>168</v>
      </c>
      <c r="D137" s="15" t="s">
        <v>16274</v>
      </c>
      <c r="E137" s="13">
        <v>2</v>
      </c>
      <c r="F137" s="13" t="s">
        <v>16257</v>
      </c>
      <c r="G137" s="13">
        <f>24.23*2</f>
        <v>48.46</v>
      </c>
      <c r="H137" s="56">
        <v>12</v>
      </c>
      <c r="I137" s="13">
        <f t="shared" ref="I137:I138" si="100">+H137*E137</f>
        <v>24</v>
      </c>
      <c r="J137" s="13">
        <f t="shared" ref="J137:J138" si="101">+I137+G137</f>
        <v>72.460000000000008</v>
      </c>
      <c r="K137" s="65">
        <f>+J137+J138</f>
        <v>121.39000000000001</v>
      </c>
      <c r="L137" s="67">
        <v>0</v>
      </c>
      <c r="M137" s="77">
        <f t="shared" si="91"/>
        <v>-121.39000000000001</v>
      </c>
      <c r="N137" s="86" t="e">
        <f t="shared" si="92"/>
        <v>#DIV/0!</v>
      </c>
      <c r="O137" s="71">
        <v>0</v>
      </c>
      <c r="P137" s="80">
        <f t="shared" si="93"/>
        <v>-121.39000000000001</v>
      </c>
      <c r="Q137" s="89" t="e">
        <f t="shared" si="60"/>
        <v>#DIV/0!</v>
      </c>
      <c r="R137" s="74">
        <v>250</v>
      </c>
      <c r="S137" s="92">
        <f t="shared" si="94"/>
        <v>128.60999999999999</v>
      </c>
      <c r="T137" s="95">
        <f t="shared" si="95"/>
        <v>0.5144399999999999</v>
      </c>
      <c r="U137" s="83">
        <v>250</v>
      </c>
      <c r="V137" s="98">
        <f t="shared" si="96"/>
        <v>128.60999999999999</v>
      </c>
      <c r="W137" s="101">
        <f t="shared" si="97"/>
        <v>0.5144399999999999</v>
      </c>
    </row>
    <row r="138" spans="1:23" ht="26.4" customHeight="1" x14ac:dyDescent="0.6">
      <c r="A138" s="13"/>
      <c r="B138" s="14"/>
      <c r="C138" s="14"/>
      <c r="D138" s="15" t="s">
        <v>16272</v>
      </c>
      <c r="E138" s="13">
        <v>1</v>
      </c>
      <c r="F138" s="13" t="s">
        <v>16257</v>
      </c>
      <c r="G138" s="13">
        <v>36.93</v>
      </c>
      <c r="H138" s="56">
        <v>12</v>
      </c>
      <c r="I138" s="13">
        <f t="shared" si="100"/>
        <v>12</v>
      </c>
      <c r="J138" s="13">
        <f t="shared" si="101"/>
        <v>48.93</v>
      </c>
      <c r="K138" s="66"/>
      <c r="L138" s="69"/>
      <c r="M138" s="79">
        <f t="shared" si="91"/>
        <v>0</v>
      </c>
      <c r="N138" s="88" t="e">
        <f t="shared" si="92"/>
        <v>#DIV/0!</v>
      </c>
      <c r="O138" s="73"/>
      <c r="P138" s="82">
        <f t="shared" si="93"/>
        <v>0</v>
      </c>
      <c r="Q138" s="91" t="e">
        <f t="shared" si="60"/>
        <v>#DIV/0!</v>
      </c>
      <c r="R138" s="76"/>
      <c r="S138" s="94">
        <f t="shared" si="94"/>
        <v>0</v>
      </c>
      <c r="T138" s="97" t="e">
        <f t="shared" si="95"/>
        <v>#DIV/0!</v>
      </c>
      <c r="U138" s="85"/>
      <c r="V138" s="100">
        <f t="shared" si="96"/>
        <v>0</v>
      </c>
      <c r="W138" s="102" t="e">
        <f t="shared" si="97"/>
        <v>#DIV/0!</v>
      </c>
    </row>
    <row r="139" spans="1:23" x14ac:dyDescent="0.6">
      <c r="A139" s="16">
        <v>66</v>
      </c>
      <c r="B139" s="17" t="s">
        <v>9709</v>
      </c>
      <c r="C139" s="17" t="s">
        <v>168</v>
      </c>
      <c r="D139" s="18" t="s">
        <v>16274</v>
      </c>
      <c r="E139" s="16">
        <v>3</v>
      </c>
      <c r="F139" s="16" t="s">
        <v>16257</v>
      </c>
      <c r="G139" s="16">
        <f>24.23*3</f>
        <v>72.69</v>
      </c>
      <c r="H139" s="56">
        <v>12</v>
      </c>
      <c r="I139" s="16">
        <f>+H139*E139</f>
        <v>36</v>
      </c>
      <c r="J139" s="16">
        <f>+G139+I139</f>
        <v>108.69</v>
      </c>
      <c r="K139" s="21">
        <f>+J139</f>
        <v>108.69</v>
      </c>
      <c r="L139" s="9">
        <v>0</v>
      </c>
      <c r="M139" s="38">
        <f t="shared" si="91"/>
        <v>-108.69</v>
      </c>
      <c r="N139" s="26" t="e">
        <f t="shared" si="92"/>
        <v>#DIV/0!</v>
      </c>
      <c r="O139" s="10">
        <v>0</v>
      </c>
      <c r="P139" s="37">
        <f t="shared" si="93"/>
        <v>-108.69</v>
      </c>
      <c r="Q139" s="30" t="e">
        <f t="shared" si="60"/>
        <v>#DIV/0!</v>
      </c>
      <c r="R139" s="11">
        <v>250</v>
      </c>
      <c r="S139" s="39">
        <f t="shared" si="94"/>
        <v>141.31</v>
      </c>
      <c r="T139" s="34">
        <f t="shared" si="95"/>
        <v>0.56523999999999996</v>
      </c>
      <c r="U139" s="12">
        <v>250</v>
      </c>
      <c r="V139" s="40">
        <f t="shared" si="96"/>
        <v>141.31</v>
      </c>
      <c r="W139" s="36">
        <f t="shared" si="97"/>
        <v>0.56523999999999996</v>
      </c>
    </row>
  </sheetData>
  <autoFilter ref="A3:U139" xr:uid="{67206EE0-903F-49B5-BD20-735BA948C37F}"/>
  <mergeCells count="197">
    <mergeCell ref="W131:W132"/>
    <mergeCell ref="V137:V138"/>
    <mergeCell ref="W137:W138"/>
    <mergeCell ref="V107:V108"/>
    <mergeCell ref="W107:W108"/>
    <mergeCell ref="V109:V110"/>
    <mergeCell ref="W109:W110"/>
    <mergeCell ref="V111:V112"/>
    <mergeCell ref="W111:W112"/>
    <mergeCell ref="W95:W96"/>
    <mergeCell ref="V99:V100"/>
    <mergeCell ref="W99:W100"/>
    <mergeCell ref="V103:V104"/>
    <mergeCell ref="W103:W104"/>
    <mergeCell ref="L2:W2"/>
    <mergeCell ref="W13:W15"/>
    <mergeCell ref="V31:V33"/>
    <mergeCell ref="W31:W33"/>
    <mergeCell ref="V34:V36"/>
    <mergeCell ref="W34:W36"/>
    <mergeCell ref="V37:V39"/>
    <mergeCell ref="W37:W39"/>
    <mergeCell ref="V40:V42"/>
    <mergeCell ref="W40:W42"/>
    <mergeCell ref="V64:V68"/>
    <mergeCell ref="W64:W68"/>
    <mergeCell ref="V71:V74"/>
    <mergeCell ref="W71:W74"/>
    <mergeCell ref="T95:T96"/>
    <mergeCell ref="S99:S100"/>
    <mergeCell ref="T99:T100"/>
    <mergeCell ref="S103:S104"/>
    <mergeCell ref="S13:S15"/>
    <mergeCell ref="S107:S108"/>
    <mergeCell ref="T107:T108"/>
    <mergeCell ref="S109:S110"/>
    <mergeCell ref="T109:T110"/>
    <mergeCell ref="S111:S112"/>
    <mergeCell ref="T111:T112"/>
    <mergeCell ref="V95:V96"/>
    <mergeCell ref="V131:V132"/>
    <mergeCell ref="U131:U132"/>
    <mergeCell ref="U103:U104"/>
    <mergeCell ref="U107:U108"/>
    <mergeCell ref="T103:T104"/>
    <mergeCell ref="U95:U96"/>
    <mergeCell ref="V13:V15"/>
    <mergeCell ref="N13:N15"/>
    <mergeCell ref="M31:M33"/>
    <mergeCell ref="N31:N33"/>
    <mergeCell ref="P31:P33"/>
    <mergeCell ref="Q31:Q33"/>
    <mergeCell ref="T13:T15"/>
    <mergeCell ref="S31:S33"/>
    <mergeCell ref="T31:T33"/>
    <mergeCell ref="U13:U15"/>
    <mergeCell ref="Q13:Q15"/>
    <mergeCell ref="O13:O15"/>
    <mergeCell ref="U31:U33"/>
    <mergeCell ref="R13:R15"/>
    <mergeCell ref="U109:U110"/>
    <mergeCell ref="M131:M132"/>
    <mergeCell ref="N131:N132"/>
    <mergeCell ref="M137:M138"/>
    <mergeCell ref="N137:N138"/>
    <mergeCell ref="O137:O138"/>
    <mergeCell ref="R137:R138"/>
    <mergeCell ref="U137:U138"/>
    <mergeCell ref="P109:P110"/>
    <mergeCell ref="Q109:Q110"/>
    <mergeCell ref="P111:P112"/>
    <mergeCell ref="Q111:Q112"/>
    <mergeCell ref="M111:M112"/>
    <mergeCell ref="N111:N112"/>
    <mergeCell ref="P131:P132"/>
    <mergeCell ref="Q131:Q132"/>
    <mergeCell ref="P137:P138"/>
    <mergeCell ref="Q137:Q138"/>
    <mergeCell ref="S131:S132"/>
    <mergeCell ref="T131:T132"/>
    <mergeCell ref="U111:U112"/>
    <mergeCell ref="S137:S138"/>
    <mergeCell ref="T137:T138"/>
    <mergeCell ref="M107:M108"/>
    <mergeCell ref="N107:N108"/>
    <mergeCell ref="L111:L112"/>
    <mergeCell ref="O111:O112"/>
    <mergeCell ref="R111:R112"/>
    <mergeCell ref="R107:R108"/>
    <mergeCell ref="P107:P108"/>
    <mergeCell ref="Q107:Q108"/>
    <mergeCell ref="L109:L110"/>
    <mergeCell ref="O109:O110"/>
    <mergeCell ref="R109:R110"/>
    <mergeCell ref="U99:U100"/>
    <mergeCell ref="M99:M100"/>
    <mergeCell ref="N99:N100"/>
    <mergeCell ref="P95:P96"/>
    <mergeCell ref="Q95:Q96"/>
    <mergeCell ref="P99:P100"/>
    <mergeCell ref="Q99:Q100"/>
    <mergeCell ref="S95:S96"/>
    <mergeCell ref="O95:O96"/>
    <mergeCell ref="R95:R96"/>
    <mergeCell ref="T40:T42"/>
    <mergeCell ref="U64:U68"/>
    <mergeCell ref="L71:L74"/>
    <mergeCell ref="O71:O74"/>
    <mergeCell ref="R71:R74"/>
    <mergeCell ref="U71:U74"/>
    <mergeCell ref="M64:M68"/>
    <mergeCell ref="N64:N68"/>
    <mergeCell ref="M71:M74"/>
    <mergeCell ref="N71:N74"/>
    <mergeCell ref="Q71:Q74"/>
    <mergeCell ref="O64:O68"/>
    <mergeCell ref="S64:S68"/>
    <mergeCell ref="S71:S74"/>
    <mergeCell ref="T71:T74"/>
    <mergeCell ref="T64:T68"/>
    <mergeCell ref="U34:U36"/>
    <mergeCell ref="M34:M36"/>
    <mergeCell ref="N34:N36"/>
    <mergeCell ref="P34:P36"/>
    <mergeCell ref="Q34:Q36"/>
    <mergeCell ref="S34:S36"/>
    <mergeCell ref="T34:T36"/>
    <mergeCell ref="U37:U39"/>
    <mergeCell ref="L40:L42"/>
    <mergeCell ref="O40:O42"/>
    <mergeCell ref="R40:R42"/>
    <mergeCell ref="U40:U42"/>
    <mergeCell ref="M37:M39"/>
    <mergeCell ref="N37:N39"/>
    <mergeCell ref="M40:M42"/>
    <mergeCell ref="N40:N42"/>
    <mergeCell ref="P37:P39"/>
    <mergeCell ref="Q37:Q39"/>
    <mergeCell ref="P40:P42"/>
    <mergeCell ref="Q40:Q42"/>
    <mergeCell ref="S40:S42"/>
    <mergeCell ref="S37:S39"/>
    <mergeCell ref="T37:T39"/>
    <mergeCell ref="O37:O39"/>
    <mergeCell ref="O31:O33"/>
    <mergeCell ref="R31:R33"/>
    <mergeCell ref="M13:M15"/>
    <mergeCell ref="P13:P15"/>
    <mergeCell ref="K109:K110"/>
    <mergeCell ref="K111:K112"/>
    <mergeCell ref="K131:K132"/>
    <mergeCell ref="R37:R39"/>
    <mergeCell ref="L103:L104"/>
    <mergeCell ref="O103:O104"/>
    <mergeCell ref="R103:R104"/>
    <mergeCell ref="L131:L132"/>
    <mergeCell ref="O131:O132"/>
    <mergeCell ref="R131:R132"/>
    <mergeCell ref="L34:L36"/>
    <mergeCell ref="O34:O36"/>
    <mergeCell ref="R34:R36"/>
    <mergeCell ref="L99:L100"/>
    <mergeCell ref="O99:O100"/>
    <mergeCell ref="R99:R100"/>
    <mergeCell ref="L107:L108"/>
    <mergeCell ref="O107:O108"/>
    <mergeCell ref="M103:M104"/>
    <mergeCell ref="N103:N104"/>
    <mergeCell ref="K137:K138"/>
    <mergeCell ref="L13:L15"/>
    <mergeCell ref="L37:L39"/>
    <mergeCell ref="L64:L68"/>
    <mergeCell ref="L95:L96"/>
    <mergeCell ref="L137:L138"/>
    <mergeCell ref="K71:K74"/>
    <mergeCell ref="K95:K96"/>
    <mergeCell ref="K99:K100"/>
    <mergeCell ref="K103:K104"/>
    <mergeCell ref="K107:K108"/>
    <mergeCell ref="K31:K33"/>
    <mergeCell ref="K34:K36"/>
    <mergeCell ref="K37:K39"/>
    <mergeCell ref="K40:K42"/>
    <mergeCell ref="K64:K68"/>
    <mergeCell ref="K13:K15"/>
    <mergeCell ref="L31:L33"/>
    <mergeCell ref="J2:J3"/>
    <mergeCell ref="K2:K3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0" type="noConversion"/>
  <conditionalFormatting sqref="N2:N139">
    <cfRule type="cellIs" dxfId="1" priority="1" operator="lessThan">
      <formula>0.01</formula>
    </cfRule>
  </conditionalFormatting>
  <conditionalFormatting sqref="Q2:Q139 T2:T139 W2:W139">
    <cfRule type="cellIs" dxfId="0" priority="2" operator="lessThan">
      <formula>0.01</formula>
    </cfRule>
  </conditionalFormatting>
  <pageMargins left="0.23622047244094491" right="0.23622047244094491" top="0.74803149606299213" bottom="0.74803149606299213" header="0.31496062992125984" footer="0.31496062992125984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3</vt:i4>
      </vt:variant>
    </vt:vector>
  </HeadingPairs>
  <TitlesOfParts>
    <vt:vector size="5" baseType="lpstr">
      <vt:lpstr>DATA1-9.01.68</vt:lpstr>
      <vt:lpstr>ALL</vt:lpstr>
      <vt:lpstr>'DATA1-9.01.68'!Print_Area</vt:lpstr>
      <vt:lpstr>ALL!Print_Titles</vt:lpstr>
      <vt:lpstr>'DATA1-9.01.68'!Print_Titles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PC29</dc:creator>
  <cp:lastModifiedBy>Kanokon plam</cp:lastModifiedBy>
  <cp:lastPrinted>2025-01-12T02:13:34Z</cp:lastPrinted>
  <dcterms:created xsi:type="dcterms:W3CDTF">2025-01-10T02:50:28Z</dcterms:created>
  <dcterms:modified xsi:type="dcterms:W3CDTF">2025-01-20T06:32:32Z</dcterms:modified>
</cp:coreProperties>
</file>