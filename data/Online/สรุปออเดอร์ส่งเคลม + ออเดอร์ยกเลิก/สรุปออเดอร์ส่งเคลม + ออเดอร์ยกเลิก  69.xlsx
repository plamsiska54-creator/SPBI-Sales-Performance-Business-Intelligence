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สรุปออเดอร์ส่งเคลม + ออเดอร์ยกเลิก\"/>
    </mc:Choice>
  </mc:AlternateContent>
  <xr:revisionPtr revIDLastSave="0" documentId="13_ncr:1_{C528CB06-5C63-4EE2-AEFD-33A1C0F13903}" xr6:coauthVersionLast="47" xr6:coauthVersionMax="47" xr10:uidLastSave="{00000000-0000-0000-0000-000000000000}"/>
  <bookViews>
    <workbookView xWindow="-108" yWindow="-108" windowWidth="23256" windowHeight="13896" tabRatio="832" xr2:uid="{2988CCC6-704A-4BB2-B7E7-89590EA27D04}"/>
  </bookViews>
  <sheets>
    <sheet name="สรุป 69" sheetId="5" r:id="rId1"/>
    <sheet name="สรุปสาเหตุเคลม" sheetId="20" r:id="rId2"/>
    <sheet name="ม.ค. เคลม" sheetId="1" r:id="rId3"/>
    <sheet name="ม.ค. ยกเลิก" sheetId="2" r:id="rId4"/>
    <sheet name="ก.พ. เคลม" sheetId="21" r:id="rId5"/>
    <sheet name="ก.พ. ยกเลิก" sheetId="22" r:id="rId6"/>
    <sheet name="มี.ค. เคลม" sheetId="23" r:id="rId7"/>
    <sheet name="มี.ค. ยกเลิก" sheetId="24" r:id="rId8"/>
    <sheet name="เม.ย. เคลม" sheetId="25" r:id="rId9"/>
    <sheet name="เม.ย. ยกเลิก" sheetId="26" r:id="rId10"/>
    <sheet name="พ.ค. เคลม" sheetId="27" r:id="rId11"/>
    <sheet name="พ.ค. ยกเลิก" sheetId="28" r:id="rId12"/>
    <sheet name="มิ.ย. เคลม" sheetId="29" r:id="rId13"/>
    <sheet name="มิ.ย. ยกเลิก" sheetId="30" r:id="rId14"/>
  </sheets>
  <definedNames>
    <definedName name="_xlnm._FilterDatabase" localSheetId="4" hidden="1">'ก.พ. เคลม'!$A$2:$N$99</definedName>
    <definedName name="_xlnm._FilterDatabase" localSheetId="5" hidden="1">'ก.พ. ยกเลิก'!$B$2:$K$38</definedName>
    <definedName name="_xlnm._FilterDatabase" localSheetId="10" hidden="1">'พ.ค. เคลม'!$A$2:$N$93</definedName>
    <definedName name="_xlnm._FilterDatabase" localSheetId="11" hidden="1">'พ.ค. ยกเลิก'!$B$2:$K$38</definedName>
    <definedName name="_xlnm._FilterDatabase" localSheetId="2" hidden="1">'ม.ค. เคลม'!$A$2:$N$99</definedName>
    <definedName name="_xlnm._FilterDatabase" localSheetId="3" hidden="1">'ม.ค. ยกเลิก'!$B$2:$K$38</definedName>
    <definedName name="_xlnm._FilterDatabase" localSheetId="12" hidden="1">'มิ.ย. เคลม'!$A$2:$N$93</definedName>
    <definedName name="_xlnm._FilterDatabase" localSheetId="13" hidden="1">'มิ.ย. ยกเลิก'!$B$2:$K$38</definedName>
    <definedName name="_xlnm._FilterDatabase" localSheetId="6" hidden="1">'มี.ค. เคลม'!$A$2:$N$104</definedName>
    <definedName name="_xlnm._FilterDatabase" localSheetId="7" hidden="1">'มี.ค. ยกเลิก'!$B$2:$K$38</definedName>
    <definedName name="_xlnm._FilterDatabase" localSheetId="8" hidden="1">'เม.ย. เคลม'!$A$2:$N$104</definedName>
    <definedName name="_xlnm._FilterDatabase" localSheetId="9" hidden="1">'เม.ย. ยกเลิก'!$B$2:$K$38</definedName>
    <definedName name="_xlnm._FilterDatabase" localSheetId="1" hidden="1">สรุปสาเหตุเคลม!$A$2:$O$57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3" i="20"/>
  <c r="C9" i="5"/>
  <c r="H76" i="30"/>
  <c r="N1" i="29"/>
  <c r="J1" i="29"/>
  <c r="C8" i="5"/>
  <c r="B8" i="5"/>
  <c r="N1" i="27"/>
  <c r="J1" i="27"/>
  <c r="H76" i="28" l="1"/>
  <c r="C7" i="5"/>
  <c r="B7" i="5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3" i="20"/>
  <c r="H76" i="26"/>
  <c r="J1" i="25"/>
  <c r="J1" i="23"/>
  <c r="C6" i="5" s="1"/>
  <c r="H76" i="24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3" i="20"/>
  <c r="J1" i="21"/>
  <c r="H76" i="22"/>
  <c r="J1" i="1"/>
  <c r="C4" i="5" s="1"/>
  <c r="H76" i="2"/>
  <c r="E4" i="5" s="1"/>
  <c r="J57" i="20" l="1"/>
  <c r="D4" i="20" l="1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3" i="20"/>
  <c r="K57" i="20"/>
  <c r="L57" i="20"/>
  <c r="M57" i="20"/>
  <c r="N57" i="20"/>
  <c r="O57" i="20"/>
  <c r="C3" i="20" l="1"/>
  <c r="F57" i="20"/>
  <c r="C40" i="20"/>
  <c r="C55" i="20"/>
  <c r="C47" i="20"/>
  <c r="C39" i="20"/>
  <c r="C31" i="20"/>
  <c r="C23" i="20"/>
  <c r="C15" i="20"/>
  <c r="C7" i="20"/>
  <c r="C54" i="20"/>
  <c r="C46" i="20"/>
  <c r="C38" i="20"/>
  <c r="C30" i="20"/>
  <c r="C22" i="20"/>
  <c r="C14" i="20"/>
  <c r="C6" i="20"/>
  <c r="C53" i="20"/>
  <c r="C45" i="20"/>
  <c r="C37" i="20"/>
  <c r="C29" i="20"/>
  <c r="C21" i="20"/>
  <c r="C13" i="20"/>
  <c r="C5" i="20"/>
  <c r="C52" i="20"/>
  <c r="C44" i="20"/>
  <c r="C36" i="20"/>
  <c r="C28" i="20"/>
  <c r="C20" i="20"/>
  <c r="C12" i="20"/>
  <c r="C4" i="20"/>
  <c r="C51" i="20"/>
  <c r="C35" i="20"/>
  <c r="C11" i="20"/>
  <c r="C50" i="20"/>
  <c r="C42" i="20"/>
  <c r="C34" i="20"/>
  <c r="C26" i="20"/>
  <c r="C18" i="20"/>
  <c r="C10" i="20"/>
  <c r="C43" i="20"/>
  <c r="C19" i="20"/>
  <c r="C49" i="20"/>
  <c r="C41" i="20"/>
  <c r="C33" i="20"/>
  <c r="C25" i="20"/>
  <c r="C17" i="20"/>
  <c r="C9" i="20"/>
  <c r="C27" i="20"/>
  <c r="C56" i="20"/>
  <c r="C48" i="20"/>
  <c r="C32" i="20"/>
  <c r="C24" i="20"/>
  <c r="C16" i="20"/>
  <c r="C8" i="20"/>
  <c r="D57" i="20"/>
  <c r="E57" i="20"/>
  <c r="I57" i="20"/>
  <c r="G57" i="20"/>
  <c r="H57" i="20"/>
  <c r="C57" i="20" l="1"/>
  <c r="E16" i="5" l="1"/>
  <c r="C16" i="5" l="1"/>
  <c r="D16" i="5"/>
  <c r="B16" i="5"/>
</calcChain>
</file>

<file path=xl/sharedStrings.xml><?xml version="1.0" encoding="utf-8"?>
<sst xmlns="http://schemas.openxmlformats.org/spreadsheetml/2006/main" count="4308" uniqueCount="1971">
  <si>
    <t>เลขที่ออเดอร์</t>
  </si>
  <si>
    <t>ชื่อ</t>
  </si>
  <si>
    <t>ช่องทางติดต่อ</t>
  </si>
  <si>
    <t>ชื่อตามช่องทางติดต่อ</t>
  </si>
  <si>
    <t>ขนส่ง</t>
  </si>
  <si>
    <t>วันที่สร้าง</t>
  </si>
  <si>
    <t>ยอดขาย</t>
  </si>
  <si>
    <t>หมายเหตุ</t>
  </si>
  <si>
    <t>ของเคลม LAZADA เนื่องจากลูกค้าได้รับสินค้าไม่ครบ</t>
  </si>
  <si>
    <t>ของเคลม LAZADA เนื่องจากลูกค้าไม่ได้รับสินค้า</t>
  </si>
  <si>
    <t>ของเคลม Shopee เนื่องจากลูกค้าได้รับสินค้าไม่ครบ</t>
  </si>
  <si>
    <t>ของเคลม LAZADA เนื่องจากลูกค้าได้รับสินค้าผิดไม่ตรงตามที่สั่ง</t>
  </si>
  <si>
    <t>ของเคลม LAZADA เนื่องจากสินค้าเน่าเสียก่อนวันหมดอายุที่แจ้งข้างกล่อง</t>
  </si>
  <si>
    <t>ของเคลม Shopee เนื่องจากลูกค้าได้รับสินค้าผิดไม่ตรงตามที่สั่ง</t>
  </si>
  <si>
    <t>ของเคลม Shopee เนื่องจากสินค้าเสียหายจากการขนส่ง</t>
  </si>
  <si>
    <t>ของเคลม LAZADA เนื่องจากสินค้าเสียหายจากการขนส่ง</t>
  </si>
  <si>
    <t>ลำดับ</t>
  </si>
  <si>
    <t>รายการ</t>
  </si>
  <si>
    <t>ของเคลม Line OA เนื่องจากลูกค้าได้รับสินค้าไม่ครบ</t>
  </si>
  <si>
    <t>จำนวนออเดอร์</t>
  </si>
  <si>
    <t>ของเคลม Line OA เนื่องจากลูกค้าไม่ได้รับสินค้า</t>
  </si>
  <si>
    <t>ของเคลม ไปรษณีย์ เนื่องจากลูกค้าได้รับสินค้าไม่ครบ</t>
  </si>
  <si>
    <t>ไม่ทราบสาเหตุ</t>
  </si>
  <si>
    <t>เดือน</t>
  </si>
  <si>
    <t>เคลม</t>
  </si>
  <si>
    <t>ยอดรวม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</si>
  <si>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</si>
  <si>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</si>
  <si>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</si>
  <si>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</si>
  <si>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</si>
  <si>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</si>
  <si>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</si>
  <si>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</si>
  <si>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</si>
  <si>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</si>
  <si>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</si>
  <si>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</si>
  <si>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เลขพัสดุ</t>
  </si>
  <si>
    <t>ค่าขนส่ง</t>
  </si>
  <si>
    <t>ค่าใช้จ่ายส่งของ</t>
  </si>
  <si>
    <t>ของเคลม เนื่องจากสินค้ามีรสชาติไม่ปกติ (ขม)</t>
  </si>
  <si>
    <t>รวมยอดเสียหายค่าขนส่งเพิ่มเติม</t>
  </si>
  <si>
    <t>บาท</t>
  </si>
  <si>
    <t>จำนวน</t>
  </si>
  <si>
    <t>ของเคลม LAZADA ไม่ทราบเหตุผล</t>
  </si>
  <si>
    <t>ของเคลม LAZADA เนื่องจากสินค้าไม่มี</t>
  </si>
  <si>
    <t>เคลมสินค้าเนื่องจากกล่องชำรุด เสียหาย</t>
  </si>
  <si>
    <t>ของเคลม Shopee เนื่องจากสินค้าไม่มี</t>
  </si>
  <si>
    <t>ยกเลิก ( CF เล่น)</t>
  </si>
  <si>
    <t>ยอดเงิน</t>
  </si>
  <si>
    <t>ของเคลม LAZADA เนื่องจากสินค้ามีรสชาติขม รสชาติ สีของขนม ผิดปกติ</t>
  </si>
  <si>
    <t>ของเคลม Shopee เนื่องจากลูกค้าไม่ได้รับสินค้า</t>
  </si>
  <si>
    <t>ของเคลม Shopee เนื่องจากสินค้าเน่าเสียก่อนวันหมดอายุที่แจ้งข้างกล่อง</t>
  </si>
  <si>
    <t>ของเคลม Shopee เนื่องจากสินค้ามีรสชาติขม รสชาติ สีของขนม ผิดปกติ</t>
  </si>
  <si>
    <t>ของเคลม Shopee ไม่ทราบเหตุผล</t>
  </si>
  <si>
    <t>ของเคลม Line OA เนื่องจากลูกค้าได้รับสินค้าผิดไม่ตรงตามที่สั่ง</t>
  </si>
  <si>
    <t>ของเคลม Line OA เนื่องจากสินค้าเสียหายจากการขนส่ง</t>
  </si>
  <si>
    <t>ของเคลม Line OA เนื่องจากสินค้าเน่าเสียก่อนวันหมดอายุที่แจ้งข้างกล่อง</t>
  </si>
  <si>
    <t>ของเคลม Line OA เนื่องจากสินค้ามีรสชาติขม รสชาติ สีของขนม ผิดปกติ</t>
  </si>
  <si>
    <t>ของเคลม Line OA เนื่องจากสินค้าไม่มี</t>
  </si>
  <si>
    <t>ของเคลม Line OA ไม่ทราบเหตุผล</t>
  </si>
  <si>
    <t>ของเคลม Facebook , Facebook Live เนื่องจากลูกค้าได้รับสินค้าไม่ครบ</t>
  </si>
  <si>
    <t>ของเคลม Facebook , Facebook Live เนื่องจากลูกค้าได้รับสินค้าผิดไม่ตรงตามที่สั่ง</t>
  </si>
  <si>
    <t>ของเคลม Facebook , Facebook Live เนื่องจากลูกค้าไม่ได้รับสินค้า</t>
  </si>
  <si>
    <t>ของเคลม Facebook , Facebook Live เนื่องจากสินค้าเสียหายจากการขนส่ง</t>
  </si>
  <si>
    <t>ของเคลม Facebook , Facebook Live เนื่องจากสินค้าเน่าเสียก่อนวันหมดอายุที่แจ้งข้างกล่อง</t>
  </si>
  <si>
    <t>ของเคลม Facebook , Facebook Live เนื่องจากสินค้ามีรสชาติขม รสชาติ สีของขนม ผิดปกติ</t>
  </si>
  <si>
    <t>ของเคลม Facebook , Facebook Live เนื่องจากสินค้าไม่มี</t>
  </si>
  <si>
    <t>ของเคลม Facebook , Facebook Live ไม่ทราบเหตุผล</t>
  </si>
  <si>
    <t>ของเคลม Tiktok เนื่องจากลูกค้าได้รับสินค้าไม่ครบ</t>
  </si>
  <si>
    <t>ของเคลม Tiktok เนื่องจากลูกค้าได้รับสินค้าผิดไม่ตรงตามที่สั่ง</t>
  </si>
  <si>
    <t>ของเคลม Tiktok เนื่องจากลูกค้าไม่ได้รับสินค้า</t>
  </si>
  <si>
    <t>ของเคลม TikTok เนื่องจากสินค้าเสียหายจากการขนส่ง</t>
  </si>
  <si>
    <t>ของเคลม TikTok เนื่องจากสินค้าเน่าเสียก่อนวันหมดอายุที่แจ้งข้างกล่อง</t>
  </si>
  <si>
    <t>ของเคลม Tiktok เนื่องจากสินค้ามีรสชาติขม รสชาติ สีของขนม ผิดปกติ</t>
  </si>
  <si>
    <t>ของเคลม Tiktok เนื่องจากสินค้าไม่มี</t>
  </si>
  <si>
    <t>ของเคลม Tiktok ไม่ทราบเหตุผล</t>
  </si>
  <si>
    <t>ของเคลม ไปรษณีย์ เนื่องจากลูกค้าได้รับสินค้าผิดไม่ตรงตามที่สั่ง</t>
  </si>
  <si>
    <t>ของเคลม ไปรษณีย์ เนื่องจากลูกค้าไม่ได้รับสินค้า</t>
  </si>
  <si>
    <t>ของเคลม ไปรษณีย์ เนื่องจากสินค้าเสียหายจากการขนส่ง</t>
  </si>
  <si>
    <t>ของเคลม ไปรษณีย์ เนื่องจากสินค้าเน่าเสียก่อนวันหมดอายุที่แจ้งข้างกล่อง</t>
  </si>
  <si>
    <t>ของเคลม ไปรษณีย์ เนื่องจากสินค้าไม่มี</t>
  </si>
  <si>
    <t xml:space="preserve">ของเคลม ตัวแทนเส้น </t>
  </si>
  <si>
    <t xml:space="preserve">เคลมลูกค้านัดรับ เส้น </t>
  </si>
  <si>
    <t>ของเคลม ไปรษณีย์ ไม่ทราบเหตุผล</t>
  </si>
  <si>
    <t>ของเคลม ไปรษณีย์ เนื่องจากสินค้ามีรสชาติขม รสชาติ สีของขนม ผิดปกติ</t>
  </si>
  <si>
    <t>เคลมเนื่องจากส่งสินค้าผิด</t>
  </si>
  <si>
    <t>สาเหตุส่งเคลม</t>
  </si>
  <si>
    <t>Total</t>
  </si>
  <si>
    <t>ผู้รับผิดชอบดูแล</t>
  </si>
  <si>
    <t>Packing</t>
  </si>
  <si>
    <t>Packing / Online</t>
  </si>
  <si>
    <t>ฝ่ายผลิต</t>
  </si>
  <si>
    <t>Online</t>
  </si>
  <si>
    <t>สรุปยอดเคลมออเดอร์ขายออนไลน์  ปี 2569</t>
  </si>
  <si>
    <t>สรุปรายการส่งของเคลมสินค้า เดือนมกราคม 2569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</si>
  <si>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เดือนมกราคม 2569</t>
  </si>
  <si>
    <t>GOQ2</t>
  </si>
  <si>
    <t>ศรัญญา ชิดกระโทก</t>
  </si>
  <si>
    <t>line_oa</t>
  </si>
  <si>
    <t>Ae</t>
  </si>
  <si>
    <t>EMS</t>
  </si>
  <si>
    <t>01/01/2026 14:10</t>
  </si>
  <si>
    <t>GOQ39</t>
  </si>
  <si>
    <t>นิศากานต์ นวลอนันต์</t>
  </si>
  <si>
    <t>facebook</t>
  </si>
  <si>
    <t/>
  </si>
  <si>
    <t>01/01/2026 14:22</t>
  </si>
  <si>
    <t>GOS42</t>
  </si>
  <si>
    <t>พรนิภา</t>
  </si>
  <si>
    <t>01/01/2026 16:42</t>
  </si>
  <si>
    <t>GOS48</t>
  </si>
  <si>
    <t>ดารารัตน์ ปาปะแพ (บ้านหัวเหล่า)</t>
  </si>
  <si>
    <t>01/01/2026 16:46</t>
  </si>
  <si>
    <t>GOS51</t>
  </si>
  <si>
    <t>วรรณยุพา กรรณลา</t>
  </si>
  <si>
    <t>01/01/2026 16:48</t>
  </si>
  <si>
    <t>GOS56</t>
  </si>
  <si>
    <t>นางสาวศิริพร  ผลโพธิ์</t>
  </si>
  <si>
    <t>01/01/2026 16:52</t>
  </si>
  <si>
    <t>GOX69</t>
  </si>
  <si>
    <t>ปาวีณา หนูเซ่ง</t>
  </si>
  <si>
    <t>02/01/2026 08:48</t>
  </si>
  <si>
    <t>GPY6</t>
  </si>
  <si>
    <t>มะลิวัลย์  โพระกุ</t>
  </si>
  <si>
    <t>05/01/2026 13:32</t>
  </si>
  <si>
    <t>GQR88</t>
  </si>
  <si>
    <t>แจ็ค</t>
  </si>
  <si>
    <t>08/01/2026 12:04</t>
  </si>
  <si>
    <t>GQU75</t>
  </si>
  <si>
    <t>วิมล ฤกษ์ไชย</t>
  </si>
  <si>
    <t>09/01/2026 09:19</t>
  </si>
  <si>
    <t>GQU77</t>
  </si>
  <si>
    <t>พรนภา ศรีกระจ่าง</t>
  </si>
  <si>
    <t>09/01/2026 09:21</t>
  </si>
  <si>
    <t>GQU78</t>
  </si>
  <si>
    <t>คุณวาสนา  ผลัดมณี</t>
  </si>
  <si>
    <t>09/01/2026 09:24</t>
  </si>
  <si>
    <t>GQV14</t>
  </si>
  <si>
    <t>รสสุคนธ์ บุญชื่น</t>
  </si>
  <si>
    <t>09/01/2026 12:02</t>
  </si>
  <si>
    <t>GQX98</t>
  </si>
  <si>
    <t>10/01/2026 13:53</t>
  </si>
  <si>
    <t>GQZ1</t>
  </si>
  <si>
    <t>อุ้ม (พนิดา นิ่มโต)</t>
  </si>
  <si>
    <t>10/01/2026 16:13</t>
  </si>
  <si>
    <t>GRL1</t>
  </si>
  <si>
    <t>อัจฉรา ขวัญสุข</t>
  </si>
  <si>
    <t>14/01/2026 09:42</t>
  </si>
  <si>
    <t>GRL4</t>
  </si>
  <si>
    <t>พวงฟ้า สองเมืองสุข</t>
  </si>
  <si>
    <t>14/01/2026 09:45</t>
  </si>
  <si>
    <t>GRN70</t>
  </si>
  <si>
    <t>น***าวสุดารัตน์</t>
  </si>
  <si>
    <t>Tiktok</t>
  </si>
  <si>
    <t>7494231352524704760</t>
  </si>
  <si>
    <t>J&amp;T Express</t>
  </si>
  <si>
    <t>15/01/2026 11:07</t>
  </si>
  <si>
    <t>GRN69</t>
  </si>
  <si>
    <t>ณ***รรณ ค***ซิ่ว</t>
  </si>
  <si>
    <t>7494816474235833199</t>
  </si>
  <si>
    <t>GRN68</t>
  </si>
  <si>
    <t>ธ*** ก***ามัยวงศ์</t>
  </si>
  <si>
    <t>7494446324920846834</t>
  </si>
  <si>
    <t>GRN74</t>
  </si>
  <si>
    <t>น**</t>
  </si>
  <si>
    <t>7494313338316950374</t>
  </si>
  <si>
    <t>15/01/2026 11:09</t>
  </si>
  <si>
    <t>GRN73</t>
  </si>
  <si>
    <t>น***รณ  ศ***ัย</t>
  </si>
  <si>
    <t>7494338799498464206</t>
  </si>
  <si>
    <t>GRN72</t>
  </si>
  <si>
    <t>ศ***า ส***จ</t>
  </si>
  <si>
    <t>7494038583796139308</t>
  </si>
  <si>
    <t>GRN80</t>
  </si>
  <si>
    <t>ร***พล จ***ุบผา</t>
  </si>
  <si>
    <t>7495794736454011207</t>
  </si>
  <si>
    <t>Flash Express Thailand</t>
  </si>
  <si>
    <t>15/01/2026 11:12</t>
  </si>
  <si>
    <t>GRN78</t>
  </si>
  <si>
    <t>ณ***ง</t>
  </si>
  <si>
    <t>7494024037090165868</t>
  </si>
  <si>
    <t>GRN83</t>
  </si>
  <si>
    <t>ก***</t>
  </si>
  <si>
    <t>7495343380732939212</t>
  </si>
  <si>
    <t>15/01/2026 11:27</t>
  </si>
  <si>
    <t>GRO65</t>
  </si>
  <si>
    <t xml:space="preserve">อ*** จ***ร์รุ่ง </t>
  </si>
  <si>
    <t>7494033136711665377</t>
  </si>
  <si>
    <t>15/01/2026 16:31</t>
  </si>
  <si>
    <t>GRV24</t>
  </si>
  <si>
    <t>อ***ตยา</t>
  </si>
  <si>
    <t>7494789786068682928</t>
  </si>
  <si>
    <t>18/01/2026 11:14</t>
  </si>
  <si>
    <t>GRV23</t>
  </si>
  <si>
    <t>ว***วัลย์ พ***ณี</t>
  </si>
  <si>
    <t>7494022288695789055</t>
  </si>
  <si>
    <t>GRX75</t>
  </si>
  <si>
    <t>นภัสวรรณ อาสว่าง</t>
  </si>
  <si>
    <t>19/01/2026 09:12</t>
  </si>
  <si>
    <t>GRX80</t>
  </si>
  <si>
    <t>อรอุมา สามตรีกัน</t>
  </si>
  <si>
    <t>19/01/2026 09:15</t>
  </si>
  <si>
    <t>GRY32</t>
  </si>
  <si>
    <t>ข***ีวิว</t>
  </si>
  <si>
    <t>7494072452429154071</t>
  </si>
  <si>
    <t>19/01/2026 10:54</t>
  </si>
  <si>
    <t>GRY37</t>
  </si>
  <si>
    <t>พ***์วิไล  ก***ะพันธุ์  ต***กี้</t>
  </si>
  <si>
    <t>7494006153018115602</t>
  </si>
  <si>
    <t>19/01/2026 11:01</t>
  </si>
  <si>
    <t>GSE6</t>
  </si>
  <si>
    <t>ย***วา</t>
  </si>
  <si>
    <t>7495053470882629683</t>
  </si>
  <si>
    <t>21/01/2026 11:49</t>
  </si>
  <si>
    <t>GSE5</t>
  </si>
  <si>
    <t>ส***ภรณ์ เ***แก้ว</t>
  </si>
  <si>
    <t>7494050056517291688</t>
  </si>
  <si>
    <t>GSE8</t>
  </si>
  <si>
    <t>พ***นิภา แ***บริบัตร</t>
  </si>
  <si>
    <t>7495861790361356826</t>
  </si>
  <si>
    <t>21/01/2026 11:50</t>
  </si>
  <si>
    <t>GSE7</t>
  </si>
  <si>
    <t>ก***ิยา ภ***ลิศ</t>
  </si>
  <si>
    <t>7494083520294651235</t>
  </si>
  <si>
    <t>GSE9</t>
  </si>
  <si>
    <t>ณ***ุฒิ จ***ุเรือง</t>
  </si>
  <si>
    <t>7494745161618262283</t>
  </si>
  <si>
    <t>21/01/2026 11:51</t>
  </si>
  <si>
    <t>GSG94</t>
  </si>
  <si>
    <t>ฐิติพร จิระวิทยาบุญ</t>
  </si>
  <si>
    <t>Lazada</t>
  </si>
  <si>
    <t>Kerry_dropoff</t>
  </si>
  <si>
    <t>22/01/2026 11:31</t>
  </si>
  <si>
    <t>GSH56</t>
  </si>
  <si>
    <t>ไ***ง ป***น</t>
  </si>
  <si>
    <t>7494030156276729263</t>
  </si>
  <si>
    <t>22/01/2026 15:06</t>
  </si>
  <si>
    <t>GSO99</t>
  </si>
  <si>
    <t>S***yupa M***haisong</t>
  </si>
  <si>
    <t>7495160892235745465</t>
  </si>
  <si>
    <t>25/01/2026 16:50</t>
  </si>
  <si>
    <t>GSP33</t>
  </si>
  <si>
    <t>วราภรณ์ กสิกรณ์</t>
  </si>
  <si>
    <t>25/01/2026 21:37</t>
  </si>
  <si>
    <t>GSR13</t>
  </si>
  <si>
    <t>โ***า</t>
  </si>
  <si>
    <t>7495175445935721210</t>
  </si>
  <si>
    <t>26/01/2026 17:18</t>
  </si>
  <si>
    <t>GSR12</t>
  </si>
  <si>
    <t>C***tar</t>
  </si>
  <si>
    <t>7494006563260433506</t>
  </si>
  <si>
    <t>GST42</t>
  </si>
  <si>
    <t>แ***หอม</t>
  </si>
  <si>
    <t>7494474374203870161</t>
  </si>
  <si>
    <t>27/01/2026 17:27</t>
  </si>
  <si>
    <t>GSU44</t>
  </si>
  <si>
    <t>คุณณัฐนันท์</t>
  </si>
  <si>
    <t>28/01/2026 10:12</t>
  </si>
  <si>
    <t>GSV12</t>
  </si>
  <si>
    <t>A***u</t>
  </si>
  <si>
    <t>7494032132240213355</t>
  </si>
  <si>
    <t>28/01/2026 15:46</t>
  </si>
  <si>
    <t>GSV11</t>
  </si>
  <si>
    <t>GSV10</t>
  </si>
  <si>
    <t>GSV22</t>
  </si>
  <si>
    <t>ธันยา รอด</t>
  </si>
  <si>
    <t>28/01/2026 16:03</t>
  </si>
  <si>
    <t>GSV30</t>
  </si>
  <si>
    <t>ด***า พ***เดช</t>
  </si>
  <si>
    <t>7494536348873820439</t>
  </si>
  <si>
    <t>28/01/2026 16:23</t>
  </si>
  <si>
    <t>GSV33</t>
  </si>
  <si>
    <t>ม***์ที่ชอบกินขนม</t>
  </si>
  <si>
    <t>7495902790856838073</t>
  </si>
  <si>
    <t>28/01/2026 16:28</t>
  </si>
  <si>
    <t>GSV34</t>
  </si>
  <si>
    <t xml:space="preserve">กัญฐณา อรุณรัตน์ </t>
  </si>
  <si>
    <t>28/01/2026 16:31</t>
  </si>
  <si>
    <t>GSW50</t>
  </si>
  <si>
    <t>อ***รา ว***รัตน์</t>
  </si>
  <si>
    <t>7495571973901093521</t>
  </si>
  <si>
    <t>29/01/2026 09:15</t>
  </si>
  <si>
    <t>GSW49</t>
  </si>
  <si>
    <t>ก***นา เ***ญหมื่น</t>
  </si>
  <si>
    <t>7494049524749470891</t>
  </si>
  <si>
    <t>GSY53</t>
  </si>
  <si>
    <t>30/01/2026 08:52</t>
  </si>
  <si>
    <t>GSZ13</t>
  </si>
  <si>
    <t>30/01/2026 11:49</t>
  </si>
  <si>
    <t>GSZ69</t>
  </si>
  <si>
    <t>ก***ารัตน์ เ***ยมชาวนา</t>
  </si>
  <si>
    <t>7494414405708449808</t>
  </si>
  <si>
    <t>30/01/2026 15:46</t>
  </si>
  <si>
    <t>GSZ71</t>
  </si>
  <si>
    <t>ส***ฝด ก***ช่บ</t>
  </si>
  <si>
    <t>7494025360488760337</t>
  </si>
  <si>
    <t>30/01/2026 15:48</t>
  </si>
  <si>
    <t>GSZ74</t>
  </si>
  <si>
    <t>แ** แ***าว</t>
  </si>
  <si>
    <t>7495942459440073719</t>
  </si>
  <si>
    <t>30/01/2026 16:03</t>
  </si>
  <si>
    <t>GTA51</t>
  </si>
  <si>
    <t>30/01/2026 22:55</t>
  </si>
  <si>
    <t>790157439035</t>
  </si>
  <si>
    <t>790110931083</t>
  </si>
  <si>
    <t>790276395031</t>
  </si>
  <si>
    <t>790275490082</t>
  </si>
  <si>
    <t>790249393032</t>
  </si>
  <si>
    <t>790259391095</t>
  </si>
  <si>
    <t>790224189086</t>
  </si>
  <si>
    <t>LEXPU0650514435</t>
  </si>
  <si>
    <t>790398857986</t>
  </si>
  <si>
    <t>790557920622</t>
  </si>
  <si>
    <t>TH561189Q2C42B</t>
  </si>
  <si>
    <t>790631823170</t>
  </si>
  <si>
    <t>790667643102</t>
  </si>
  <si>
    <t>790673817603</t>
  </si>
  <si>
    <t>WB132806277TH</t>
  </si>
  <si>
    <t>790798582151</t>
  </si>
  <si>
    <t>790734156192</t>
  </si>
  <si>
    <t>790722939112</t>
  </si>
  <si>
    <t>WB132806246TH</t>
  </si>
  <si>
    <t>790769003253</t>
  </si>
  <si>
    <t>790710478154</t>
  </si>
  <si>
    <t>WB132806232TH</t>
  </si>
  <si>
    <t>790778152356</t>
  </si>
  <si>
    <t>790716108464</t>
  </si>
  <si>
    <t>790721347931</t>
  </si>
  <si>
    <t>790766149902</t>
  </si>
  <si>
    <t>790814269313</t>
  </si>
  <si>
    <t>790899479366</t>
  </si>
  <si>
    <t>790878361383</t>
  </si>
  <si>
    <t>790835790216</t>
  </si>
  <si>
    <t>TH270286FMP35G</t>
  </si>
  <si>
    <t>TH011786FMP39B1</t>
  </si>
  <si>
    <t>TH070186GZNQ4I</t>
  </si>
  <si>
    <t>TH301286GZNR5B</t>
  </si>
  <si>
    <t>TH391286GZNS3B</t>
  </si>
  <si>
    <t>TH240386GZNS7E</t>
  </si>
  <si>
    <t>WB129879800TH</t>
  </si>
  <si>
    <t>WB130186947TH</t>
  </si>
  <si>
    <t>WB130555770TH</t>
  </si>
  <si>
    <t>WB130661915TH</t>
  </si>
  <si>
    <t>WB130661932TH</t>
  </si>
  <si>
    <t>WB130661929TH</t>
  </si>
  <si>
    <t>WB130661946TH</t>
  </si>
  <si>
    <t>WB130740595TH</t>
  </si>
  <si>
    <t>WB130740604TH</t>
  </si>
  <si>
    <t>WB131129977TH</t>
  </si>
  <si>
    <t>769465806981</t>
  </si>
  <si>
    <t>769479916984</t>
  </si>
  <si>
    <t>769414024956</t>
  </si>
  <si>
    <t>769493303961</t>
  </si>
  <si>
    <t>769480911986</t>
  </si>
  <si>
    <t>769476694825</t>
  </si>
  <si>
    <t>THT04062DB5X70Z</t>
  </si>
  <si>
    <t>769402806992</t>
  </si>
  <si>
    <t>769473505916</t>
  </si>
  <si>
    <t>790081894372</t>
  </si>
  <si>
    <t>790142637432</t>
  </si>
  <si>
    <t>790118236456</t>
  </si>
  <si>
    <t>WB131776446TH</t>
  </si>
  <si>
    <t>WB131776432TH</t>
  </si>
  <si>
    <t>สรุปรายการส่งของเคลมสินค้า เดือนกุมภาพันธ์ 2569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</si>
  <si>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เดือนกุมภาพันธ์ 2569</t>
  </si>
  <si>
    <t>แ**</t>
  </si>
  <si>
    <t>GTD58</t>
  </si>
  <si>
    <t>I** b***</t>
  </si>
  <si>
    <t>7494016383697912857</t>
  </si>
  <si>
    <t>01/02/2026 13:15</t>
  </si>
  <si>
    <t>790967496664</t>
  </si>
  <si>
    <t>01/02/2026 13:37</t>
  </si>
  <si>
    <t>GTD63</t>
  </si>
  <si>
    <t>790925389623</t>
  </si>
  <si>
    <t>01/02/2026 13:39</t>
  </si>
  <si>
    <t>GTD65</t>
  </si>
  <si>
    <t>ล***า ฤ***์อุดม</t>
  </si>
  <si>
    <t>7494007075709028229</t>
  </si>
  <si>
    <t>790917913520</t>
  </si>
  <si>
    <t>GTE0</t>
  </si>
  <si>
    <t>01/02/2026 15:47</t>
  </si>
  <si>
    <t>790974368634</t>
  </si>
  <si>
    <t>GTE12</t>
  </si>
  <si>
    <t>สุวิมล เชียงตันติ์</t>
  </si>
  <si>
    <t>01/02/2026 16:44</t>
  </si>
  <si>
    <t>WB133237775TH</t>
  </si>
  <si>
    <t>GTE13</t>
  </si>
  <si>
    <t>01/02/2026 16:49</t>
  </si>
  <si>
    <t>790924216773</t>
  </si>
  <si>
    <t>GTF1</t>
  </si>
  <si>
    <t>เ***มี่ ก***ีพิศา</t>
  </si>
  <si>
    <t>7495084121840716290</t>
  </si>
  <si>
    <t>02/02/2026 08:38</t>
  </si>
  <si>
    <t>790971809891</t>
  </si>
  <si>
    <t>GTF76</t>
  </si>
  <si>
    <t>E***phyo</t>
  </si>
  <si>
    <t>7495976833517127892</t>
  </si>
  <si>
    <t>02/02/2026 13:42</t>
  </si>
  <si>
    <t>791057254326</t>
  </si>
  <si>
    <t>GTI30</t>
  </si>
  <si>
    <t>ป***สุดา ล***น</t>
  </si>
  <si>
    <t>7495027642011126359</t>
  </si>
  <si>
    <t>03/02/2026 11:47</t>
  </si>
  <si>
    <t>791034202556</t>
  </si>
  <si>
    <t>GTI31</t>
  </si>
  <si>
    <t>ภ***วรรณ</t>
  </si>
  <si>
    <t>7495961324883839333</t>
  </si>
  <si>
    <t>03/02/2026 11:51</t>
  </si>
  <si>
    <t>791085169486</t>
  </si>
  <si>
    <t>GTI32</t>
  </si>
  <si>
    <t>ว***ี แ***ึง</t>
  </si>
  <si>
    <t>7494798597760583796</t>
  </si>
  <si>
    <t>03/02/2026 11:52</t>
  </si>
  <si>
    <t>THT13062EKXYS5Z</t>
  </si>
  <si>
    <t>GTJ36</t>
  </si>
  <si>
    <t>ว***วัณย์ ส***าลุนัย</t>
  </si>
  <si>
    <t>7493992842417374802</t>
  </si>
  <si>
    <t>03/02/2026 17:13</t>
  </si>
  <si>
    <t>791035236025</t>
  </si>
  <si>
    <t>GTK52</t>
  </si>
  <si>
    <t>เ***ก</t>
  </si>
  <si>
    <t>7495810758360206317</t>
  </si>
  <si>
    <t>04/02/2026 08:54</t>
  </si>
  <si>
    <t>791185401182</t>
  </si>
  <si>
    <t>แ***</t>
  </si>
  <si>
    <t>04/02/2026 16:23</t>
  </si>
  <si>
    <t>GTL62</t>
  </si>
  <si>
    <t>ก***ทรา โ***ุลชัย</t>
  </si>
  <si>
    <t>7494009626345833682</t>
  </si>
  <si>
    <t>791215378122</t>
  </si>
  <si>
    <t>GTL64</t>
  </si>
  <si>
    <t>เ***บบี๋</t>
  </si>
  <si>
    <t>7493990083769500689</t>
  </si>
  <si>
    <t>04/02/2026 16:26</t>
  </si>
  <si>
    <t>791298576121</t>
  </si>
  <si>
    <t>GTM37</t>
  </si>
  <si>
    <t>ส***ล่า บ***นา</t>
  </si>
  <si>
    <t>7494014761034352447</t>
  </si>
  <si>
    <t>05/02/2026 08:30</t>
  </si>
  <si>
    <t>791199294686</t>
  </si>
  <si>
    <t>GTM39</t>
  </si>
  <si>
    <t>ไ***น ห***วล</t>
  </si>
  <si>
    <t>7495727782205098038</t>
  </si>
  <si>
    <t>05/02/2026 08:34</t>
  </si>
  <si>
    <t>791146375600</t>
  </si>
  <si>
    <t>GTM43</t>
  </si>
  <si>
    <t>ส***พร ธ***วงษ์</t>
  </si>
  <si>
    <t>7495735669777336558</t>
  </si>
  <si>
    <t>05/02/2026 08:37</t>
  </si>
  <si>
    <t>791134969693</t>
  </si>
  <si>
    <t>line</t>
  </si>
  <si>
    <t>05/02/2026 14:38</t>
  </si>
  <si>
    <t>GTN11</t>
  </si>
  <si>
    <t>ปิยพร หม่องเหล็ก</t>
  </si>
  <si>
    <t>WB133838846TH</t>
  </si>
  <si>
    <t>GTO68</t>
  </si>
  <si>
    <t>ก***ัตน์ ส***ัน</t>
  </si>
  <si>
    <t>7494035347307726473</t>
  </si>
  <si>
    <t>06/02/2026 10:06</t>
  </si>
  <si>
    <t>791218147263</t>
  </si>
  <si>
    <t>GTO70</t>
  </si>
  <si>
    <t>06/02/2026 10:09</t>
  </si>
  <si>
    <t>791235084242</t>
  </si>
  <si>
    <t>GTO71</t>
  </si>
  <si>
    <t>จ***วะดี  ก***ทอง</t>
  </si>
  <si>
    <t>7494080422237406220</t>
  </si>
  <si>
    <t>06/02/2026 10:12</t>
  </si>
  <si>
    <t>791267398202</t>
  </si>
  <si>
    <t>GTO73</t>
  </si>
  <si>
    <t>ม***ณี</t>
  </si>
  <si>
    <t>7494019245384434833</t>
  </si>
  <si>
    <t>06/02/2026 10:17</t>
  </si>
  <si>
    <t>791222474280</t>
  </si>
  <si>
    <t>06/02/2026 10:20</t>
  </si>
  <si>
    <t>GTO74</t>
  </si>
  <si>
    <t>ป*** ห***ดี</t>
  </si>
  <si>
    <t>7494014566933234882</t>
  </si>
  <si>
    <t>791284743266</t>
  </si>
  <si>
    <t>GTQ98</t>
  </si>
  <si>
    <t>07/02/2026 13:36</t>
  </si>
  <si>
    <t>791286281004</t>
  </si>
  <si>
    <t>GTQ97</t>
  </si>
  <si>
    <t>อ** ณ***ันท์ เ***นรอบ</t>
  </si>
  <si>
    <t>7494005259413521913</t>
  </si>
  <si>
    <t>791254692012</t>
  </si>
  <si>
    <t>GTX46</t>
  </si>
  <si>
    <t>ป***า</t>
  </si>
  <si>
    <t>7493991922176591587</t>
  </si>
  <si>
    <t>09/02/2026 13:15</t>
  </si>
  <si>
    <t>791414830360</t>
  </si>
  <si>
    <t>GTX47</t>
  </si>
  <si>
    <t>น***ินดา ข***ยทอง</t>
  </si>
  <si>
    <t>7494909494009170069</t>
  </si>
  <si>
    <t>09/02/2026 13:19</t>
  </si>
  <si>
    <t>791465437361</t>
  </si>
  <si>
    <t>GUC15</t>
  </si>
  <si>
    <t>เ***่าแซ่บ</t>
  </si>
  <si>
    <t>7495784409537087687</t>
  </si>
  <si>
    <t>11/02/2026 08:20</t>
  </si>
  <si>
    <t>791428674061</t>
  </si>
  <si>
    <t>GUH88</t>
  </si>
  <si>
    <t>วีระศักดิ์</t>
  </si>
  <si>
    <t>other</t>
  </si>
  <si>
    <t xml:space="preserve">Shopee </t>
  </si>
  <si>
    <t>12/02/2026 16:39</t>
  </si>
  <si>
    <t>WB169917090TH</t>
  </si>
  <si>
    <t>ม**</t>
  </si>
  <si>
    <t>GUJ55</t>
  </si>
  <si>
    <t>ม***า เ***งิน</t>
  </si>
  <si>
    <t>7494012030549198175</t>
  </si>
  <si>
    <t>13/02/2026 09:42</t>
  </si>
  <si>
    <t>791627731613</t>
  </si>
  <si>
    <t>15/02/2026 13:43</t>
  </si>
  <si>
    <t>GUQ41</t>
  </si>
  <si>
    <t>ธัญกมล อินทรีย์</t>
  </si>
  <si>
    <t>WB170203325TH</t>
  </si>
  <si>
    <t>GUR35</t>
  </si>
  <si>
    <t>ว*** น***ะหะหมัด</t>
  </si>
  <si>
    <t>7494821270670969377</t>
  </si>
  <si>
    <t>15/02/2026 16:54</t>
  </si>
  <si>
    <t>791767243621</t>
  </si>
  <si>
    <t>GUR36</t>
  </si>
  <si>
    <t>7495068185989975006</t>
  </si>
  <si>
    <t>15/02/2026 16:55</t>
  </si>
  <si>
    <t>791737046645</t>
  </si>
  <si>
    <t>GUR37</t>
  </si>
  <si>
    <t>ข***มุ่น</t>
  </si>
  <si>
    <t>7493993563406238792</t>
  </si>
  <si>
    <t>15/02/2026 16:57</t>
  </si>
  <si>
    <t>791720048652</t>
  </si>
  <si>
    <t>GUT57</t>
  </si>
  <si>
    <t>อ๋อ</t>
  </si>
  <si>
    <t>16/02/2026 11:56</t>
  </si>
  <si>
    <t>WB170255124TH</t>
  </si>
  <si>
    <t>GUX28</t>
  </si>
  <si>
    <t>อ***ตย์ เ***กสอาด</t>
  </si>
  <si>
    <t>7495854812870904206</t>
  </si>
  <si>
    <t>17/02/2026 15:15</t>
  </si>
  <si>
    <t>791836442655</t>
  </si>
  <si>
    <t>GUZ69</t>
  </si>
  <si>
    <t>ก*** อ***ญา</t>
  </si>
  <si>
    <t>7493990193599580010</t>
  </si>
  <si>
    <t>18/02/2026 12:04</t>
  </si>
  <si>
    <t>791951001236</t>
  </si>
  <si>
    <t>GUZ70</t>
  </si>
  <si>
    <t>ส***พร เ***วละออ</t>
  </si>
  <si>
    <t>7494844118570469545</t>
  </si>
  <si>
    <t>18/02/2026 12:06</t>
  </si>
  <si>
    <t>791937760224</t>
  </si>
  <si>
    <t>19/02/2026 13:33</t>
  </si>
  <si>
    <t>GVC33</t>
  </si>
  <si>
    <t>ส***ตรา ล***มมา</t>
  </si>
  <si>
    <t>7494967750032329288</t>
  </si>
  <si>
    <t>791938745732</t>
  </si>
  <si>
    <t>20/02/2026 08:45</t>
  </si>
  <si>
    <t>GVE77</t>
  </si>
  <si>
    <t>791992175866</t>
  </si>
  <si>
    <t>20/02/2026 08:53</t>
  </si>
  <si>
    <t>GVE82</t>
  </si>
  <si>
    <t>791950973855</t>
  </si>
  <si>
    <t>GVF13</t>
  </si>
  <si>
    <t>20/02/2026 10:06</t>
  </si>
  <si>
    <t>791979774832</t>
  </si>
  <si>
    <t>GVJ83</t>
  </si>
  <si>
    <t>ว***ดา ค***ซิ่ว</t>
  </si>
  <si>
    <t>7494848517832542619</t>
  </si>
  <si>
    <t>22/02/2026 13:53</t>
  </si>
  <si>
    <t>792129981230</t>
  </si>
  <si>
    <t>GVJ86</t>
  </si>
  <si>
    <t>น***ปุ้ย</t>
  </si>
  <si>
    <t>7495978653192588227</t>
  </si>
  <si>
    <t>22/02/2026 14:13</t>
  </si>
  <si>
    <t>792104093255</t>
  </si>
  <si>
    <t>GVK83</t>
  </si>
  <si>
    <t>23/02/2026 08:55</t>
  </si>
  <si>
    <t>792115038514</t>
  </si>
  <si>
    <t>23/02/2026 15:19</t>
  </si>
  <si>
    <t>GVL60</t>
  </si>
  <si>
    <t>น***ิดา</t>
  </si>
  <si>
    <t>7495772316876441898</t>
  </si>
  <si>
    <t>792131826065</t>
  </si>
  <si>
    <t>23/02/2026 15:20</t>
  </si>
  <si>
    <t>GVL62</t>
  </si>
  <si>
    <t>THT130654H8593Z</t>
  </si>
  <si>
    <t>GVL65</t>
  </si>
  <si>
    <t>น***พทูลย์ ต***ก</t>
  </si>
  <si>
    <t>7494022295499212145</t>
  </si>
  <si>
    <t>23/02/2026 15:23</t>
  </si>
  <si>
    <t>792151713032</t>
  </si>
  <si>
    <t>24/02/2026 09:08</t>
  </si>
  <si>
    <t>GVM58</t>
  </si>
  <si>
    <t>WB171132064TH</t>
  </si>
  <si>
    <t>GVM60</t>
  </si>
  <si>
    <t>พรทิพย์ สะศรีสม</t>
  </si>
  <si>
    <t>24/02/2026 09:10</t>
  </si>
  <si>
    <t>เคลม Tiktok  เลขออเดอร์ 582625833828714329 เนื่องจากกล่องขนมเสียหายระหว่างขนส่ง</t>
  </si>
  <si>
    <t>WB171132078TH</t>
  </si>
  <si>
    <t>GVN42</t>
  </si>
  <si>
    <t>7496207579425442478</t>
  </si>
  <si>
    <t>24/02/2026 13:29</t>
  </si>
  <si>
    <t>792298754612</t>
  </si>
  <si>
    <t>GVN43</t>
  </si>
  <si>
    <t>24/02/2026 13:31</t>
  </si>
  <si>
    <t>792221257693</t>
  </si>
  <si>
    <t>GVN48</t>
  </si>
  <si>
    <t>ค***นน</t>
  </si>
  <si>
    <t>7495400761004361772</t>
  </si>
  <si>
    <t>24/02/2026 13:37</t>
  </si>
  <si>
    <t>792282415680</t>
  </si>
  <si>
    <t>GVN47</t>
  </si>
  <si>
    <t>THT130654MK1R2Z</t>
  </si>
  <si>
    <t>GVN50</t>
  </si>
  <si>
    <t>7494924612109895958</t>
  </si>
  <si>
    <t>24/02/2026 13:41</t>
  </si>
  <si>
    <t>792297029624</t>
  </si>
  <si>
    <t>GVN97</t>
  </si>
  <si>
    <t>24/02/2026 15:42</t>
  </si>
  <si>
    <t>792209186565</t>
  </si>
  <si>
    <t>GVO33</t>
  </si>
  <si>
    <t>นางสาววิไล  จงประสบโชค</t>
  </si>
  <si>
    <t>24/02/2026 19:42</t>
  </si>
  <si>
    <t>LEXPU0661097700</t>
  </si>
  <si>
    <t>GVP99</t>
  </si>
  <si>
    <t>ส***า ว***ุญคง</t>
  </si>
  <si>
    <t>7494353151778457698</t>
  </si>
  <si>
    <t>25/02/2026 14:48</t>
  </si>
  <si>
    <t>792246200082</t>
  </si>
  <si>
    <t>GVS35</t>
  </si>
  <si>
    <t>26/02/2026 17:16</t>
  </si>
  <si>
    <t>792395180651</t>
  </si>
  <si>
    <t>GVS36</t>
  </si>
  <si>
    <t>26/02/2026 17:17</t>
  </si>
  <si>
    <t>792339628706</t>
  </si>
  <si>
    <t>GVT53</t>
  </si>
  <si>
    <t>พ***มล พ***กทม</t>
  </si>
  <si>
    <t>7494020306466670301</t>
  </si>
  <si>
    <t>27/02/2026 12:02</t>
  </si>
  <si>
    <t>792479900310</t>
  </si>
  <si>
    <t>สรุปสาเหตุการส่งเคลมจากแพลตฟอร์ม ปี 2569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</si>
  <si>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เดือนมีนาคม 2569</t>
  </si>
  <si>
    <t>สรุปรายการส่งของเคลมสินค้า เดือนมีนาคม 2569</t>
  </si>
  <si>
    <t>น***</t>
  </si>
  <si>
    <t>01/03/2026 13:16</t>
  </si>
  <si>
    <t>GVX29</t>
  </si>
  <si>
    <t>ม*** ห***จิ่ง</t>
  </si>
  <si>
    <t>7493991239336888126</t>
  </si>
  <si>
    <t>792569432406</t>
  </si>
  <si>
    <t>GWA66</t>
  </si>
  <si>
    <t>น***หล้า</t>
  </si>
  <si>
    <t>7494703926240118803</t>
  </si>
  <si>
    <t>02/03/2026 17:08</t>
  </si>
  <si>
    <t>792696677113</t>
  </si>
  <si>
    <t>GWD58</t>
  </si>
  <si>
    <t>ช***่</t>
  </si>
  <si>
    <t>7494026745096078965</t>
  </si>
  <si>
    <t>03/03/2026 16:47</t>
  </si>
  <si>
    <t>792787489550</t>
  </si>
  <si>
    <t>ผ***้องนัว</t>
  </si>
  <si>
    <t>GWE37</t>
  </si>
  <si>
    <t>ชนาธิป สุวรรณอ่อน</t>
  </si>
  <si>
    <t>04/03/2026 09:13</t>
  </si>
  <si>
    <t>WB172074460TH</t>
  </si>
  <si>
    <t>GWE73</t>
  </si>
  <si>
    <t>ส่งที่บ้านกนกวรรณ</t>
  </si>
  <si>
    <t>04/03/2026 12:09</t>
  </si>
  <si>
    <t>LEXPU0664180294</t>
  </si>
  <si>
    <t>GWE85</t>
  </si>
  <si>
    <t>ส่งบ้านกนกวรรณ</t>
  </si>
  <si>
    <t>04/03/2026 13:54</t>
  </si>
  <si>
    <t>LEXPU0664182274</t>
  </si>
  <si>
    <t>GWF24</t>
  </si>
  <si>
    <t>น***ัส ส***ช</t>
  </si>
  <si>
    <t>7495795239264029164</t>
  </si>
  <si>
    <t>04/03/2026 16:56</t>
  </si>
  <si>
    <t>792793425454</t>
  </si>
  <si>
    <t>GWF25</t>
  </si>
  <si>
    <t>04/03/2026 16:58</t>
  </si>
  <si>
    <t>792794232414</t>
  </si>
  <si>
    <t>GWF26</t>
  </si>
  <si>
    <t>04/03/2026 17:00</t>
  </si>
  <si>
    <t>792725221411</t>
  </si>
  <si>
    <t>GWF75</t>
  </si>
  <si>
    <t>ร***ร</t>
  </si>
  <si>
    <t>7495137003969873960</t>
  </si>
  <si>
    <t>05/03/2026 08:50</t>
  </si>
  <si>
    <t>792783430666</t>
  </si>
  <si>
    <t>05/03/2026 09:02</t>
  </si>
  <si>
    <t>GWF76</t>
  </si>
  <si>
    <t>ภ***ชนก ม***มณี</t>
  </si>
  <si>
    <t>7494483625843002061</t>
  </si>
  <si>
    <t>792775038646</t>
  </si>
  <si>
    <t>05/03/2026 09:49</t>
  </si>
  <si>
    <t>GWF86</t>
  </si>
  <si>
    <t>ม***มีศรีสุข</t>
  </si>
  <si>
    <t>7494150898322277893</t>
  </si>
  <si>
    <t>792756030651</t>
  </si>
  <si>
    <t>GWF91</t>
  </si>
  <si>
    <t>05/03/2026 09:58</t>
  </si>
  <si>
    <t>792781625694</t>
  </si>
  <si>
    <t>อ***ร ฮ***วล</t>
  </si>
  <si>
    <t>7494188254695492512</t>
  </si>
  <si>
    <t>เ**</t>
  </si>
  <si>
    <t>ผึ้ง</t>
  </si>
  <si>
    <t>GWP49</t>
  </si>
  <si>
    <t xml:space="preserve">สุริตา หนูกลับ </t>
  </si>
  <si>
    <t>08/03/2026 16:31</t>
  </si>
  <si>
    <t>WB172476888TH</t>
  </si>
  <si>
    <t>GWR13</t>
  </si>
  <si>
    <t>09/03/2026 13:53</t>
  </si>
  <si>
    <t>793039008322</t>
  </si>
  <si>
    <t>09/03/2026 13:56</t>
  </si>
  <si>
    <t>GWR15</t>
  </si>
  <si>
    <t>ส***ิศักดิ์ ว***นนทเดช</t>
  </si>
  <si>
    <t>7494787287983098420</t>
  </si>
  <si>
    <t>793041707345</t>
  </si>
  <si>
    <t>GWR17</t>
  </si>
  <si>
    <t>เ***อ้วน อ***ยบอกต่อ</t>
  </si>
  <si>
    <t>7494054646692285805</t>
  </si>
  <si>
    <t>09/03/2026 14:01</t>
  </si>
  <si>
    <t>793055503284</t>
  </si>
  <si>
    <t>GWR18</t>
  </si>
  <si>
    <t>ส***ยันต์ ล***ีสานพากินพาเที่ยว</t>
  </si>
  <si>
    <t>7494471526940904113</t>
  </si>
  <si>
    <t>09/03/2026 14:04</t>
  </si>
  <si>
    <t>793026802330</t>
  </si>
  <si>
    <t>จ**</t>
  </si>
  <si>
    <t>GWS52</t>
  </si>
  <si>
    <t>10/03/2026 08:13</t>
  </si>
  <si>
    <t>793007674351</t>
  </si>
  <si>
    <t>GWS55</t>
  </si>
  <si>
    <t>แ***ตะ ก***ดดเตะ</t>
  </si>
  <si>
    <t>7494009368203527185</t>
  </si>
  <si>
    <t>10/03/2026 08:34</t>
  </si>
  <si>
    <t>793033076345</t>
  </si>
  <si>
    <t>GWS62</t>
  </si>
  <si>
    <t>10/03/2026 09:22</t>
  </si>
  <si>
    <t>793040079381</t>
  </si>
  <si>
    <t>แ***ี่</t>
  </si>
  <si>
    <t>GWU42</t>
  </si>
  <si>
    <t>10/03/2026 16:32</t>
  </si>
  <si>
    <t>793034657855</t>
  </si>
  <si>
    <t>อ***า ช***งค์311</t>
  </si>
  <si>
    <t>7494006698136012600</t>
  </si>
  <si>
    <t>GWX38</t>
  </si>
  <si>
    <t>12/03/2026 12:00</t>
  </si>
  <si>
    <t>793119340591</t>
  </si>
  <si>
    <t>GWY21</t>
  </si>
  <si>
    <t>7494130200567973581</t>
  </si>
  <si>
    <t>12/03/2026 16:38</t>
  </si>
  <si>
    <t>793143097924</t>
  </si>
  <si>
    <t>GWY22</t>
  </si>
  <si>
    <t>น***าวธัญลักษณ์ ช***ัย</t>
  </si>
  <si>
    <t>7494011839961007191</t>
  </si>
  <si>
    <t>12/03/2026 16:40</t>
  </si>
  <si>
    <t>793113350934</t>
  </si>
  <si>
    <t>GWY23</t>
  </si>
  <si>
    <t>น***ภัทรวัลลิ์ โ***ม</t>
  </si>
  <si>
    <t>7494014565415749212</t>
  </si>
  <si>
    <t>12/03/2026 16:43</t>
  </si>
  <si>
    <t>793103995806</t>
  </si>
  <si>
    <t>ร***อรุณ</t>
  </si>
  <si>
    <t>GXA6</t>
  </si>
  <si>
    <t>13/03/2026 16:23</t>
  </si>
  <si>
    <t>WB212748652TH</t>
  </si>
  <si>
    <t>GXF70</t>
  </si>
  <si>
    <t>16/03/2026 08:24</t>
  </si>
  <si>
    <t>793395938823</t>
  </si>
  <si>
    <t>GXF73</t>
  </si>
  <si>
    <t>16/03/2026 08:29</t>
  </si>
  <si>
    <t>793394432821</t>
  </si>
  <si>
    <t>GXF82</t>
  </si>
  <si>
    <t>ป***ปักของอร่อย</t>
  </si>
  <si>
    <t>7494936129921714805</t>
  </si>
  <si>
    <t>16/03/2026 08:59</t>
  </si>
  <si>
    <t>793339246884</t>
  </si>
  <si>
    <t>GXG34</t>
  </si>
  <si>
    <t>16/03/2026 11:17</t>
  </si>
  <si>
    <t>793373828866</t>
  </si>
  <si>
    <t>GXG33</t>
  </si>
  <si>
    <t>793336336870</t>
  </si>
  <si>
    <t>GXJ74</t>
  </si>
  <si>
    <t>17/03/2026 16:35</t>
  </si>
  <si>
    <t>793462048724</t>
  </si>
  <si>
    <t>GXJ75</t>
  </si>
  <si>
    <t>17/03/2026 16:37</t>
  </si>
  <si>
    <t>793424196751</t>
  </si>
  <si>
    <t>GXJ78</t>
  </si>
  <si>
    <t>7494210307129051759</t>
  </si>
  <si>
    <t>17/03/2026 16:53</t>
  </si>
  <si>
    <t>793415392744</t>
  </si>
  <si>
    <t>GXJ80</t>
  </si>
  <si>
    <t>17/03/2026 16:55</t>
  </si>
  <si>
    <t>793422172874</t>
  </si>
  <si>
    <t>GXJ83</t>
  </si>
  <si>
    <t>17/03/2026 17:00</t>
  </si>
  <si>
    <t>793431006981</t>
  </si>
  <si>
    <t>GXM80</t>
  </si>
  <si>
    <t>7494972961409567404</t>
  </si>
  <si>
    <t>18/03/2026 22:11</t>
  </si>
  <si>
    <t>793523757375</t>
  </si>
  <si>
    <t>19/03/2026 10:25</t>
  </si>
  <si>
    <t>GXN38</t>
  </si>
  <si>
    <t>พ***ัญ</t>
  </si>
  <si>
    <t>7494183409328032131</t>
  </si>
  <si>
    <t>793583585454</t>
  </si>
  <si>
    <t>GXN42</t>
  </si>
  <si>
    <t>อ***จ  บ***าคำ</t>
  </si>
  <si>
    <t>7494049921235191543</t>
  </si>
  <si>
    <t>19/03/2026 10:34</t>
  </si>
  <si>
    <t>793548382454</t>
  </si>
  <si>
    <t>GXN44</t>
  </si>
  <si>
    <t>ห***ชอบกินหนม</t>
  </si>
  <si>
    <t>7494016211947194107</t>
  </si>
  <si>
    <t>19/03/2026 10:37</t>
  </si>
  <si>
    <t>793526483400</t>
  </si>
  <si>
    <t>GXO4</t>
  </si>
  <si>
    <t>19/03/2026 16:43</t>
  </si>
  <si>
    <t>793577854823</t>
  </si>
  <si>
    <t>20/03/2026 10:29</t>
  </si>
  <si>
    <t>GXP6</t>
  </si>
  <si>
    <t>คุณรัตตะนา อาจเอี่ยม</t>
  </si>
  <si>
    <t>WB213474376TH</t>
  </si>
  <si>
    <t>GXP8</t>
  </si>
  <si>
    <t>7494025894781552144</t>
  </si>
  <si>
    <t>20/03/2026 10:32</t>
  </si>
  <si>
    <t>793510213075</t>
  </si>
  <si>
    <t>GXP58</t>
  </si>
  <si>
    <t>Y***i ป***หุ่นสวย</t>
  </si>
  <si>
    <t>7495158159464762247</t>
  </si>
  <si>
    <t>20/03/2026 15:52</t>
  </si>
  <si>
    <t>793644683333</t>
  </si>
  <si>
    <t>GXP57</t>
  </si>
  <si>
    <t>7494049624401350517</t>
  </si>
  <si>
    <t>793627258476</t>
  </si>
  <si>
    <t>GXT53</t>
  </si>
  <si>
    <t>21/03/2026 18:07</t>
  </si>
  <si>
    <t>793662621920</t>
  </si>
  <si>
    <t>GXT52</t>
  </si>
  <si>
    <t>793605121945</t>
  </si>
  <si>
    <t>GXT51</t>
  </si>
  <si>
    <t>793686228941</t>
  </si>
  <si>
    <t>GXT50</t>
  </si>
  <si>
    <t>โ***้</t>
  </si>
  <si>
    <t>7494006507227088322</t>
  </si>
  <si>
    <t>793603124915</t>
  </si>
  <si>
    <t>GXU46</t>
  </si>
  <si>
    <t>ฐ***รัตน์ น***ทมิ่ง</t>
  </si>
  <si>
    <t>7494931687965493660</t>
  </si>
  <si>
    <t>21/03/2026 23:37</t>
  </si>
  <si>
    <t>793625614983</t>
  </si>
  <si>
    <t>GXU45</t>
  </si>
  <si>
    <t>ฐ***ชญา เ***ิริพันธ์</t>
  </si>
  <si>
    <t>7494990985881356386</t>
  </si>
  <si>
    <t>793694729936</t>
  </si>
  <si>
    <t>GXU44</t>
  </si>
  <si>
    <t>น***น ห***อินทร์ บ**</t>
  </si>
  <si>
    <t>7494009306876773939</t>
  </si>
  <si>
    <t>793632218971</t>
  </si>
  <si>
    <t>GXV7</t>
  </si>
  <si>
    <t>7495469054892411594</t>
  </si>
  <si>
    <t>22/03/2026 08:53</t>
  </si>
  <si>
    <t>793691094991</t>
  </si>
  <si>
    <t>22/03/2026 08:58</t>
  </si>
  <si>
    <t>GXV9</t>
  </si>
  <si>
    <t>ศ***ิมล ต***ี</t>
  </si>
  <si>
    <t>7494715248974727561</t>
  </si>
  <si>
    <t>793645619012</t>
  </si>
  <si>
    <t>GXV75</t>
  </si>
  <si>
    <t>ม***ษา พ***ี</t>
  </si>
  <si>
    <t>7494827216625895708</t>
  </si>
  <si>
    <t>22/03/2026 11:55</t>
  </si>
  <si>
    <t>793697913050</t>
  </si>
  <si>
    <t>GXY57</t>
  </si>
  <si>
    <t>7494052988345290695</t>
  </si>
  <si>
    <t>23/03/2026 12:49</t>
  </si>
  <si>
    <t>793785556034</t>
  </si>
  <si>
    <t>GXY56</t>
  </si>
  <si>
    <t>น***ลฤดี ก***บุญช่วย</t>
  </si>
  <si>
    <t>7494034791592986491</t>
  </si>
  <si>
    <t>793799448061</t>
  </si>
  <si>
    <t>25/03/2026 14:47</t>
  </si>
  <si>
    <t>GYF18</t>
  </si>
  <si>
    <t>แ***้อย</t>
  </si>
  <si>
    <t>7495272213209843748</t>
  </si>
  <si>
    <t>793906660260</t>
  </si>
  <si>
    <t>GYF17</t>
  </si>
  <si>
    <t>793937864263</t>
  </si>
  <si>
    <t>GYF74</t>
  </si>
  <si>
    <t>อ***ภรณ์ ป***าคำ</t>
  </si>
  <si>
    <t>7494968965749442846</t>
  </si>
  <si>
    <t>25/03/2026 16:59</t>
  </si>
  <si>
    <t>793919248382</t>
  </si>
  <si>
    <t>GYI53</t>
  </si>
  <si>
    <t>เ***ลศรีพาช้อป</t>
  </si>
  <si>
    <t>7494038028704319390</t>
  </si>
  <si>
    <t>26/03/2026 22:41</t>
  </si>
  <si>
    <t>793969889731</t>
  </si>
  <si>
    <t>GYI52</t>
  </si>
  <si>
    <t>793952954815</t>
  </si>
  <si>
    <t>GYI51</t>
  </si>
  <si>
    <t>ส***ล</t>
  </si>
  <si>
    <t>7494609961410792018</t>
  </si>
  <si>
    <t>793914089765</t>
  </si>
  <si>
    <t>GYI50</t>
  </si>
  <si>
    <t>793971144886</t>
  </si>
  <si>
    <t>GYI49</t>
  </si>
  <si>
    <t>ส***กาญจน์  ธ***จรัสพัชร์</t>
  </si>
  <si>
    <t>7494025605220632172</t>
  </si>
  <si>
    <t>793942803824</t>
  </si>
  <si>
    <t>GYJ10</t>
  </si>
  <si>
    <t>ล** ส***ยะ</t>
  </si>
  <si>
    <t>7493996163713434978</t>
  </si>
  <si>
    <t>27/03/2026 09:44</t>
  </si>
  <si>
    <t>793991031934</t>
  </si>
  <si>
    <t>GYJ16</t>
  </si>
  <si>
    <t>แ***๋อย</t>
  </si>
  <si>
    <t>7495003500558649828</t>
  </si>
  <si>
    <t>27/03/2026 10:35</t>
  </si>
  <si>
    <t>793943933985</t>
  </si>
  <si>
    <t>GYJ20</t>
  </si>
  <si>
    <t>น***รา พ***งนอก</t>
  </si>
  <si>
    <t>7494007032485873270</t>
  </si>
  <si>
    <t>27/03/2026 10:49</t>
  </si>
  <si>
    <t>793905531930</t>
  </si>
  <si>
    <t>GYK40</t>
  </si>
  <si>
    <t>28/03/2026 00:22</t>
  </si>
  <si>
    <t>794059557351</t>
  </si>
  <si>
    <t>GYK39</t>
  </si>
  <si>
    <t>794037566335</t>
  </si>
  <si>
    <t>29/03/2026 14:36</t>
  </si>
  <si>
    <t>GYO2</t>
  </si>
  <si>
    <t>794125509645</t>
  </si>
  <si>
    <t>29/03/2026 14:52</t>
  </si>
  <si>
    <t>GYO27</t>
  </si>
  <si>
    <t>794193764615</t>
  </si>
  <si>
    <t>29/03/2026 15:08</t>
  </si>
  <si>
    <t>GYO47</t>
  </si>
  <si>
    <t>794195449482</t>
  </si>
  <si>
    <t>GYO46</t>
  </si>
  <si>
    <t>794110435635</t>
  </si>
  <si>
    <t>GYO72</t>
  </si>
  <si>
    <t>29/03/2026 15:28</t>
  </si>
  <si>
    <t>794155838604</t>
  </si>
  <si>
    <t>30/03/2026 16:58</t>
  </si>
  <si>
    <t>GYS63</t>
  </si>
  <si>
    <t>เ***ลี่</t>
  </si>
  <si>
    <t>7494053946459852157</t>
  </si>
  <si>
    <t>30/03/2026 16:49</t>
  </si>
  <si>
    <t>794293711993</t>
  </si>
  <si>
    <t>GYS65</t>
  </si>
  <si>
    <t>794284750210</t>
  </si>
  <si>
    <t>GYS64</t>
  </si>
  <si>
    <t>พ**</t>
  </si>
  <si>
    <t>7495314374544886582</t>
  </si>
  <si>
    <t>794243945261</t>
  </si>
  <si>
    <t>GYS67</t>
  </si>
  <si>
    <t>อ*** จ***ร์รุ่ง</t>
  </si>
  <si>
    <t>30/03/2026 16:59</t>
  </si>
  <si>
    <t>794202623281</t>
  </si>
  <si>
    <t>GYS66</t>
  </si>
  <si>
    <t>794227752205</t>
  </si>
  <si>
    <t>GYT76</t>
  </si>
  <si>
    <t>ค***งส์</t>
  </si>
  <si>
    <t>7494055358002531941</t>
  </si>
  <si>
    <t>31/03/2026 08:32</t>
  </si>
  <si>
    <t>794220805475</t>
  </si>
  <si>
    <t>GYT77</t>
  </si>
  <si>
    <t>ช***ท์ ท***ี</t>
  </si>
  <si>
    <t>7494143508940162920</t>
  </si>
  <si>
    <t>31/03/2026 08:33</t>
  </si>
  <si>
    <t>794263922432</t>
  </si>
  <si>
    <t>GYT78</t>
  </si>
  <si>
    <t>7494194203604912454</t>
  </si>
  <si>
    <t>31/03/2026 08:40</t>
  </si>
  <si>
    <t>794245928431</t>
  </si>
  <si>
    <t>GYT80</t>
  </si>
  <si>
    <t>อ***า ล***สง</t>
  </si>
  <si>
    <t>7494206143625005095</t>
  </si>
  <si>
    <t>31/03/2026 08:44</t>
  </si>
  <si>
    <t>794286204423</t>
  </si>
  <si>
    <t>GYT83</t>
  </si>
  <si>
    <t>ณ***ดา ก***ำโรง</t>
  </si>
  <si>
    <t>7494037111673095526</t>
  </si>
  <si>
    <t>31/03/2026 08:53</t>
  </si>
  <si>
    <t>794285030405</t>
  </si>
  <si>
    <t>31/03/2026 13:27</t>
  </si>
  <si>
    <t>GYU89</t>
  </si>
  <si>
    <t>794231467912</t>
  </si>
  <si>
    <t>31/03/2026 13:30</t>
  </si>
  <si>
    <t>GYU94</t>
  </si>
  <si>
    <t>794215580981</t>
  </si>
  <si>
    <t>GYU97</t>
  </si>
  <si>
    <t>ม***ค์</t>
  </si>
  <si>
    <t>7495181074084891624</t>
  </si>
  <si>
    <t>31/03/2026 13:33</t>
  </si>
  <si>
    <t>794234781944</t>
  </si>
  <si>
    <t>GYV25</t>
  </si>
  <si>
    <t>31/03/2026 14:02</t>
  </si>
  <si>
    <t>794258398986</t>
  </si>
  <si>
    <t>GYV26</t>
  </si>
  <si>
    <t>31/03/2026 14:06</t>
  </si>
  <si>
    <t>794245878904</t>
  </si>
  <si>
    <t>GYX6</t>
  </si>
  <si>
    <t>31/03/2026 22:28</t>
  </si>
  <si>
    <t>794215272911</t>
  </si>
  <si>
    <t>31/03/2026 22:29</t>
  </si>
  <si>
    <t>GYX7</t>
  </si>
  <si>
    <t>794232384982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</si>
  <si>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เดือนเมษายน 2569</t>
  </si>
  <si>
    <t>สรุปรายการส่งของเคลมสินค้า เดือนเมษายน 2569</t>
  </si>
  <si>
    <t>GZD17</t>
  </si>
  <si>
    <t>ส***ตรา</t>
  </si>
  <si>
    <t>7494263530888858462</t>
  </si>
  <si>
    <t>02/04/2026 16:48</t>
  </si>
  <si>
    <t>794418131371</t>
  </si>
  <si>
    <t>GZD19</t>
  </si>
  <si>
    <t>02/04/2026 16:51</t>
  </si>
  <si>
    <t>794422480224</t>
  </si>
  <si>
    <t>GZD20</t>
  </si>
  <si>
    <t>ภ***าภรณ์ ร***ึ้ง</t>
  </si>
  <si>
    <t>7495179107606235833</t>
  </si>
  <si>
    <t>02/04/2026 16:52</t>
  </si>
  <si>
    <t>794451132381</t>
  </si>
  <si>
    <t>GZF29</t>
  </si>
  <si>
    <t>โ***า แ***จันทร์</t>
  </si>
  <si>
    <t>7494079390104978505</t>
  </si>
  <si>
    <t>03/04/2026 09:42</t>
  </si>
  <si>
    <t>794446084401</t>
  </si>
  <si>
    <t>GZF30</t>
  </si>
  <si>
    <t>03/04/2026 09:44</t>
  </si>
  <si>
    <t>794496679421</t>
  </si>
  <si>
    <t>GZF31</t>
  </si>
  <si>
    <t>ล***รดา ส***น</t>
  </si>
  <si>
    <t>7495298376533444892</t>
  </si>
  <si>
    <t>03/04/2026 09:47</t>
  </si>
  <si>
    <t>794424389485</t>
  </si>
  <si>
    <t>GZF48</t>
  </si>
  <si>
    <t>03/04/2026 11:25</t>
  </si>
  <si>
    <t>794404182471</t>
  </si>
  <si>
    <t>GZF49</t>
  </si>
  <si>
    <t>ท***ิยา</t>
  </si>
  <si>
    <t>7495327091468437673</t>
  </si>
  <si>
    <t>03/04/2026 11:28</t>
  </si>
  <si>
    <t>794426785471</t>
  </si>
  <si>
    <t>GZG6</t>
  </si>
  <si>
    <t>03/04/2026 14:46</t>
  </si>
  <si>
    <t>794487480006</t>
  </si>
  <si>
    <t>GZH0</t>
  </si>
  <si>
    <t>ส***</t>
  </si>
  <si>
    <t>7493995920830530578</t>
  </si>
  <si>
    <t>03/04/2026 18:56</t>
  </si>
  <si>
    <t>794593133106</t>
  </si>
  <si>
    <t>GZL73</t>
  </si>
  <si>
    <t>สตางค์ เสาวภาคย์กุล</t>
  </si>
  <si>
    <t>05/04/2026 10:10</t>
  </si>
  <si>
    <t>WB215235970TH</t>
  </si>
  <si>
    <t>GZN75</t>
  </si>
  <si>
    <t>06/04/2026 00:22</t>
  </si>
  <si>
    <t>794676624313</t>
  </si>
  <si>
    <t>GZP15</t>
  </si>
  <si>
    <t>ธ***ดา  ห*** 1</t>
  </si>
  <si>
    <t>7494004568861017911</t>
  </si>
  <si>
    <t>06/04/2026 13:45</t>
  </si>
  <si>
    <t>794774499105</t>
  </si>
  <si>
    <t>GZY53</t>
  </si>
  <si>
    <t>อรสา วารีอุดม</t>
  </si>
  <si>
    <t>09/04/2026 11:52</t>
  </si>
  <si>
    <t>WB215768537TH</t>
  </si>
  <si>
    <t>HAA50</t>
  </si>
  <si>
    <t>ก***าอร ม***ะสพ</t>
  </si>
  <si>
    <t>7494014858771990167</t>
  </si>
  <si>
    <t>10/04/2026 08:50</t>
  </si>
  <si>
    <t>794851039032</t>
  </si>
  <si>
    <t>HAA51</t>
  </si>
  <si>
    <t>น***ีย</t>
  </si>
  <si>
    <t>7494011215764817652</t>
  </si>
  <si>
    <t>10/04/2026 08:53</t>
  </si>
  <si>
    <t>794877115045</t>
  </si>
  <si>
    <t>HAA53</t>
  </si>
  <si>
    <t>ศ***พร น***สง</t>
  </si>
  <si>
    <t>7495088958683450039</t>
  </si>
  <si>
    <t>10/04/2026 08:56</t>
  </si>
  <si>
    <t>794827115003</t>
  </si>
  <si>
    <t>HAA57</t>
  </si>
  <si>
    <t>ว***รณ์</t>
  </si>
  <si>
    <t>7494166521026152276</t>
  </si>
  <si>
    <t>10/04/2026 09:21</t>
  </si>
  <si>
    <t>794855826096</t>
  </si>
  <si>
    <t>HAA59</t>
  </si>
  <si>
    <t>อ***ชชา</t>
  </si>
  <si>
    <t>7494533746471766406</t>
  </si>
  <si>
    <t>10/04/2026 09:44</t>
  </si>
  <si>
    <t>794808228060</t>
  </si>
  <si>
    <t>HAA75</t>
  </si>
  <si>
    <t>ท***์ธัญญา ค***ง</t>
  </si>
  <si>
    <t>7495137890294073952</t>
  </si>
  <si>
    <t>10/04/2026 10:04</t>
  </si>
  <si>
    <t>794815831036</t>
  </si>
  <si>
    <t>HAA84</t>
  </si>
  <si>
    <t>ธ***์ ว***โต</t>
  </si>
  <si>
    <t>7494008068441933371</t>
  </si>
  <si>
    <t>10/04/2026 10:13</t>
  </si>
  <si>
    <t>794857508045</t>
  </si>
  <si>
    <t>HAA92</t>
  </si>
  <si>
    <t>น***รา ช***เอ้</t>
  </si>
  <si>
    <t>7494055786535159128</t>
  </si>
  <si>
    <t>10/04/2026 10:19</t>
  </si>
  <si>
    <t>794870224072</t>
  </si>
  <si>
    <t>HAB4</t>
  </si>
  <si>
    <t>อ***</t>
  </si>
  <si>
    <t>7494017216048891148</t>
  </si>
  <si>
    <t>10/04/2026 10:49</t>
  </si>
  <si>
    <t>794846704094</t>
  </si>
  <si>
    <t>HAB6</t>
  </si>
  <si>
    <t>ศ***พร ม***ดคำ</t>
  </si>
  <si>
    <t>7495071459274754659</t>
  </si>
  <si>
    <t>10/04/2026 10:51</t>
  </si>
  <si>
    <t>794843627023</t>
  </si>
  <si>
    <t>HAB9</t>
  </si>
  <si>
    <t>จ***รัตน์ โ***้ง</t>
  </si>
  <si>
    <t>7494022148417881907</t>
  </si>
  <si>
    <t>10/04/2026 10:58</t>
  </si>
  <si>
    <t>794801329033</t>
  </si>
  <si>
    <t>HAB11</t>
  </si>
  <si>
    <t>คุณยีนส์ครับ</t>
  </si>
  <si>
    <t>10/04/2026 10:59</t>
  </si>
  <si>
    <t>TH19018KGDVH1A</t>
  </si>
  <si>
    <t>HAB17</t>
  </si>
  <si>
    <t>10/04/2026 11:18</t>
  </si>
  <si>
    <t>794838460010</t>
  </si>
  <si>
    <t>HAB19</t>
  </si>
  <si>
    <t>P***che</t>
  </si>
  <si>
    <t>7496306921294497915</t>
  </si>
  <si>
    <t>10/04/2026 11:20</t>
  </si>
  <si>
    <t>794815025093</t>
  </si>
  <si>
    <t>HAC9</t>
  </si>
  <si>
    <t>10/04/2026 15:53</t>
  </si>
  <si>
    <t>794944733402</t>
  </si>
  <si>
    <t>HAH68</t>
  </si>
  <si>
    <t>13/04/2026 08:15</t>
  </si>
  <si>
    <t>795043363133</t>
  </si>
  <si>
    <t>HAH72</t>
  </si>
  <si>
    <t>ป***ัสสร น***หลม</t>
  </si>
  <si>
    <t>7493990091087185685</t>
  </si>
  <si>
    <t>13/04/2026 08:24</t>
  </si>
  <si>
    <t>795095880110</t>
  </si>
  <si>
    <t>HAH74</t>
  </si>
  <si>
    <t>ห***พันธน์</t>
  </si>
  <si>
    <t>7494016992700302336</t>
  </si>
  <si>
    <t>13/04/2026 08:27</t>
  </si>
  <si>
    <t>795038564121</t>
  </si>
  <si>
    <t>HAH75</t>
  </si>
  <si>
    <t>N***rat K***awart</t>
  </si>
  <si>
    <t>7495571714405927306</t>
  </si>
  <si>
    <t>13/04/2026 08:29</t>
  </si>
  <si>
    <t>795031964101</t>
  </si>
  <si>
    <t>HAH76</t>
  </si>
  <si>
    <t>ย***ร พ***ทอง</t>
  </si>
  <si>
    <t>7495304694973106707</t>
  </si>
  <si>
    <t>13/04/2026 08:35</t>
  </si>
  <si>
    <t>795098963120</t>
  </si>
  <si>
    <t>HAI57</t>
  </si>
  <si>
    <t>ป***ดี ศ***ิชา</t>
  </si>
  <si>
    <t>7494022314081290158</t>
  </si>
  <si>
    <t>13/04/2026 15:57</t>
  </si>
  <si>
    <t>795090354306</t>
  </si>
  <si>
    <t>HAJ24</t>
  </si>
  <si>
    <t>ธ***รัตน์ ภ***ีรัตน์</t>
  </si>
  <si>
    <t>7494013488440443921</t>
  </si>
  <si>
    <t>14/04/2026 08:41</t>
  </si>
  <si>
    <t>795065999350</t>
  </si>
  <si>
    <t>HAJ25</t>
  </si>
  <si>
    <t>14/04/2026 08:46</t>
  </si>
  <si>
    <t>795024818416</t>
  </si>
  <si>
    <t>HAJ26</t>
  </si>
  <si>
    <t>14/04/2026 08:54</t>
  </si>
  <si>
    <t>795095190352</t>
  </si>
  <si>
    <t>HAJ46</t>
  </si>
  <si>
    <t>Jubjang</t>
  </si>
  <si>
    <t>14/04/2026 10:25</t>
  </si>
  <si>
    <t>TH38018KS78W0O</t>
  </si>
  <si>
    <t>HAJ66</t>
  </si>
  <si>
    <t xml:space="preserve">คุณจันทิมา จันพุฒ </t>
  </si>
  <si>
    <t>Chantima Chanput</t>
  </si>
  <si>
    <t>14/04/2026 13:19</t>
  </si>
  <si>
    <t>TH04038KS78U3A0</t>
  </si>
  <si>
    <t>HAP61</t>
  </si>
  <si>
    <t>ป***มน เ***วจันทร์</t>
  </si>
  <si>
    <t>7495877084388428274</t>
  </si>
  <si>
    <t>17/04/2026 15:54</t>
  </si>
  <si>
    <t>795231923463</t>
  </si>
  <si>
    <t>HAP65</t>
  </si>
  <si>
    <t>ก***ัฐ ร***ุญมา</t>
  </si>
  <si>
    <t>7495668706490485744</t>
  </si>
  <si>
    <t>17/04/2026 15:56</t>
  </si>
  <si>
    <t>795289725484</t>
  </si>
  <si>
    <t>HAP67</t>
  </si>
  <si>
    <t>17/04/2026 15:57</t>
  </si>
  <si>
    <t>795243240433</t>
  </si>
  <si>
    <t>HAP66</t>
  </si>
  <si>
    <t>ข***ิงรีวิว</t>
  </si>
  <si>
    <t>7494004923189331520</t>
  </si>
  <si>
    <t>795241355941</t>
  </si>
  <si>
    <t>HAP70</t>
  </si>
  <si>
    <t>7494719498553756009</t>
  </si>
  <si>
    <t>17/04/2026 16:00</t>
  </si>
  <si>
    <t>795205551453</t>
  </si>
  <si>
    <t>HAV73</t>
  </si>
  <si>
    <t>20/04/2026 13:52</t>
  </si>
  <si>
    <t>795452633382</t>
  </si>
  <si>
    <t>HAV74</t>
  </si>
  <si>
    <t>20/04/2026 13:56</t>
  </si>
  <si>
    <t>795449433354</t>
  </si>
  <si>
    <t>HAW22</t>
  </si>
  <si>
    <t>20/04/2026 16:20</t>
  </si>
  <si>
    <t>795425663244</t>
  </si>
  <si>
    <t>HAW25</t>
  </si>
  <si>
    <t>20/04/2026 16:27</t>
  </si>
  <si>
    <t>795446639352</t>
  </si>
  <si>
    <t>HAZ58</t>
  </si>
  <si>
    <t>22/04/2026 08:31</t>
  </si>
  <si>
    <t>795477270921</t>
  </si>
  <si>
    <t>HAZ59</t>
  </si>
  <si>
    <t>22/04/2026 08:33</t>
  </si>
  <si>
    <t>795422937971</t>
  </si>
  <si>
    <t>HBF51</t>
  </si>
  <si>
    <t>24/04/2026 13:41</t>
  </si>
  <si>
    <t>795653187560</t>
  </si>
  <si>
    <t>HBF55</t>
  </si>
  <si>
    <t>ห***ย</t>
  </si>
  <si>
    <t>7494305559380069013</t>
  </si>
  <si>
    <t>24/04/2026 13:47</t>
  </si>
  <si>
    <t>795686746573</t>
  </si>
  <si>
    <t>HBF57</t>
  </si>
  <si>
    <t>24/04/2026 13:55</t>
  </si>
  <si>
    <t>795648992526</t>
  </si>
  <si>
    <t>HBF66</t>
  </si>
  <si>
    <t>24/04/2026 14:13</t>
  </si>
  <si>
    <t>795648479533</t>
  </si>
  <si>
    <t>HBF68</t>
  </si>
  <si>
    <t>24/04/2026 14:27</t>
  </si>
  <si>
    <t>795664971566</t>
  </si>
  <si>
    <t>HBJ8</t>
  </si>
  <si>
    <t xml:space="preserve">ป***รีย์ภรณ์ ส*** เ***์น  0***443404 </t>
  </si>
  <si>
    <t>7494007518474503277</t>
  </si>
  <si>
    <t>25/04/2026 15:41</t>
  </si>
  <si>
    <t>795712604116</t>
  </si>
  <si>
    <t>HBO67</t>
  </si>
  <si>
    <t>27/04/2026 11:56</t>
  </si>
  <si>
    <t>795715453956</t>
  </si>
  <si>
    <t>HBO78</t>
  </si>
  <si>
    <t>27/04/2026 13:26</t>
  </si>
  <si>
    <t>795862995340</t>
  </si>
  <si>
    <t>HBO87</t>
  </si>
  <si>
    <t>ส***มา น***ท้</t>
  </si>
  <si>
    <t>7493991190313731107</t>
  </si>
  <si>
    <t>27/04/2026 13:38</t>
  </si>
  <si>
    <t>795808794340</t>
  </si>
  <si>
    <t>HBP70</t>
  </si>
  <si>
    <t>27/04/2026 15:31</t>
  </si>
  <si>
    <t>WB217249509TH</t>
  </si>
  <si>
    <t>HBR50</t>
  </si>
  <si>
    <t>จ***ัฒน์ ส***</t>
  </si>
  <si>
    <t>7495308410424822468</t>
  </si>
  <si>
    <t>28/04/2026 13:51</t>
  </si>
  <si>
    <t>795938504163</t>
  </si>
  <si>
    <t>HBU35</t>
  </si>
  <si>
    <t>ณ***ร ห***เเนวกลาง</t>
  </si>
  <si>
    <t>7495969654587755029</t>
  </si>
  <si>
    <t>29/04/2026 11:52</t>
  </si>
  <si>
    <t>795908881213</t>
  </si>
  <si>
    <t>HBU50</t>
  </si>
  <si>
    <t>ไตรรัตน์ หวังธารา</t>
  </si>
  <si>
    <t>29/04/2026 13:53</t>
  </si>
  <si>
    <t>WB217477554TH</t>
  </si>
  <si>
    <t>สรุปรายการส่งของเคลมสินค้า เดือนพฤษภาคม 2569</t>
  </si>
  <si>
    <t>HCA16</t>
  </si>
  <si>
    <t>จ***ร์จิรา</t>
  </si>
  <si>
    <t>7494221624670455913</t>
  </si>
  <si>
    <t>01/05/2026 13:25</t>
  </si>
  <si>
    <t>796124851130</t>
  </si>
  <si>
    <t>HCA17</t>
  </si>
  <si>
    <t>ช***ิป ก***ิงห์  ข***ุ้ย</t>
  </si>
  <si>
    <t>7495194916169943784</t>
  </si>
  <si>
    <t>01/05/2026 13:28</t>
  </si>
  <si>
    <t>796118307176</t>
  </si>
  <si>
    <t>HCA19</t>
  </si>
  <si>
    <t>01/05/2026 13:34</t>
  </si>
  <si>
    <t>796015664076</t>
  </si>
  <si>
    <t>HCK34</t>
  </si>
  <si>
    <t>ศ***สรา</t>
  </si>
  <si>
    <t>7495124693039942280</t>
  </si>
  <si>
    <t>04/05/2026 13:22</t>
  </si>
  <si>
    <t>796324236374</t>
  </si>
  <si>
    <t>HCK37</t>
  </si>
  <si>
    <t>04/05/2026 13:27</t>
  </si>
  <si>
    <t>796374706260</t>
  </si>
  <si>
    <t>HCK39</t>
  </si>
  <si>
    <t>ณ***ุดาคนสวย</t>
  </si>
  <si>
    <t>7495644071862634506</t>
  </si>
  <si>
    <t>04/05/2026 13:31</t>
  </si>
  <si>
    <t>796334908320</t>
  </si>
  <si>
    <t>HCK44</t>
  </si>
  <si>
    <t>04/05/2026 13:35</t>
  </si>
  <si>
    <t>796310504242</t>
  </si>
  <si>
    <t>HCK43</t>
  </si>
  <si>
    <t>796335737105</t>
  </si>
  <si>
    <t>HCN74</t>
  </si>
  <si>
    <t>05/05/2026 11:29</t>
  </si>
  <si>
    <t>796341931324</t>
  </si>
  <si>
    <t>HCS21</t>
  </si>
  <si>
    <t>06/05/2026 17:19</t>
  </si>
  <si>
    <t>796419369594</t>
  </si>
  <si>
    <t>HCS20</t>
  </si>
  <si>
    <t>เ***ญา อ***ณะนัย</t>
  </si>
  <si>
    <t>7494535141062380489</t>
  </si>
  <si>
    <t>796437522565</t>
  </si>
  <si>
    <t>HCS19</t>
  </si>
  <si>
    <t>796404971563</t>
  </si>
  <si>
    <t>HCS18</t>
  </si>
  <si>
    <t>796499960745</t>
  </si>
  <si>
    <t>HCT74</t>
  </si>
  <si>
    <t>07/05/2026 10:36</t>
  </si>
  <si>
    <t>796474281746</t>
  </si>
  <si>
    <t>HCT75</t>
  </si>
  <si>
    <t>07/05/2026 10:38</t>
  </si>
  <si>
    <t>796438650700</t>
  </si>
  <si>
    <t>HCT76</t>
  </si>
  <si>
    <t>พ***์ชญาณัฐ</t>
  </si>
  <si>
    <t>7495729148722186447</t>
  </si>
  <si>
    <t>07/05/2026 10:46</t>
  </si>
  <si>
    <t>796429555751</t>
  </si>
  <si>
    <t>HCT79</t>
  </si>
  <si>
    <t>07/05/2026 10:52</t>
  </si>
  <si>
    <t>796472722732</t>
  </si>
  <si>
    <t>HDB41</t>
  </si>
  <si>
    <t>อ***ญา ศ***เศวตโชค</t>
  </si>
  <si>
    <t>7494060738911896687</t>
  </si>
  <si>
    <t>09/05/2026 17:13</t>
  </si>
  <si>
    <t>796635827466</t>
  </si>
  <si>
    <t>HDC46</t>
  </si>
  <si>
    <t>10/05/2026 08:49</t>
  </si>
  <si>
    <t>796603862552</t>
  </si>
  <si>
    <t>HDC48</t>
  </si>
  <si>
    <t>น** ค***หย๊ะ ห***หลี</t>
  </si>
  <si>
    <t>7494012689364255763</t>
  </si>
  <si>
    <t>10/05/2026 08:52</t>
  </si>
  <si>
    <t>796692536533</t>
  </si>
  <si>
    <t>HDC49</t>
  </si>
  <si>
    <t>O***yga</t>
  </si>
  <si>
    <t>7495100449943685870</t>
  </si>
  <si>
    <t>10/05/2026 08:56</t>
  </si>
  <si>
    <t>796795688135</t>
  </si>
  <si>
    <t>HDC50</t>
  </si>
  <si>
    <t>น***เอมีเลีย บ***ะมะ</t>
  </si>
  <si>
    <t>7495779039880186108</t>
  </si>
  <si>
    <t>10/05/2026 09:02</t>
  </si>
  <si>
    <t>796608551524</t>
  </si>
  <si>
    <t>HDD38</t>
  </si>
  <si>
    <t>10/05/2026 12:01</t>
  </si>
  <si>
    <t>796709827152</t>
  </si>
  <si>
    <t>HDE4</t>
  </si>
  <si>
    <t>10/05/2026 15:00</t>
  </si>
  <si>
    <t>796700751140</t>
  </si>
  <si>
    <t>HDF38</t>
  </si>
  <si>
    <t>11/05/2026 09:13</t>
  </si>
  <si>
    <t>796783114396</t>
  </si>
  <si>
    <t>HDF83</t>
  </si>
  <si>
    <t>11/05/2026 11:18</t>
  </si>
  <si>
    <t>796752313335</t>
  </si>
  <si>
    <t>HDH27</t>
  </si>
  <si>
    <t>ส**</t>
  </si>
  <si>
    <t>7495525494863005908</t>
  </si>
  <si>
    <t>11/05/2026 23:13</t>
  </si>
  <si>
    <t>796763842873</t>
  </si>
  <si>
    <t>HDH26</t>
  </si>
  <si>
    <t>796752547824</t>
  </si>
  <si>
    <t>HDH25</t>
  </si>
  <si>
    <t>796768104871</t>
  </si>
  <si>
    <t>HDI25</t>
  </si>
  <si>
    <t>12/05/2026 11:12</t>
  </si>
  <si>
    <t>796710440024</t>
  </si>
  <si>
    <t>HDI28</t>
  </si>
  <si>
    <t>โ***รส  อ***นวล</t>
  </si>
  <si>
    <t>7494019967913199253</t>
  </si>
  <si>
    <t>12/05/2026 11:15</t>
  </si>
  <si>
    <t>796728691975</t>
  </si>
  <si>
    <t>HDI30</t>
  </si>
  <si>
    <t>ก***พบ ช***ี</t>
  </si>
  <si>
    <t>7494764039307102614</t>
  </si>
  <si>
    <t>12/05/2026 11:21</t>
  </si>
  <si>
    <t>796714009022</t>
  </si>
  <si>
    <t>HDI31</t>
  </si>
  <si>
    <t>ข***จิรา เ***ญรัมย์</t>
  </si>
  <si>
    <t>7494036568572200160</t>
  </si>
  <si>
    <t>12/05/2026 11:23</t>
  </si>
  <si>
    <t>796770757974</t>
  </si>
  <si>
    <t>HDJ77</t>
  </si>
  <si>
    <t xml:space="preserve">ผึ้ง </t>
  </si>
  <si>
    <t>12/05/2026 13:43</t>
  </si>
  <si>
    <t>WB251517678TH</t>
  </si>
  <si>
    <t>HDN54</t>
  </si>
  <si>
    <t>13/05/2026 16:52</t>
  </si>
  <si>
    <t>796801539004</t>
  </si>
  <si>
    <t>HDQ42</t>
  </si>
  <si>
    <t>14/05/2026 17:00</t>
  </si>
  <si>
    <t>796939317753</t>
  </si>
  <si>
    <t>HDQ43</t>
  </si>
  <si>
    <t>14/05/2026 17:02</t>
  </si>
  <si>
    <t>796975324681</t>
  </si>
  <si>
    <t>HDR30</t>
  </si>
  <si>
    <t>15/05/2026 08:22</t>
  </si>
  <si>
    <t>796917521890</t>
  </si>
  <si>
    <t>HDR36</t>
  </si>
  <si>
    <t>แ** ส***ญญา</t>
  </si>
  <si>
    <t>7494236678238800894</t>
  </si>
  <si>
    <t>15/05/2026 09:09</t>
  </si>
  <si>
    <t>797096602293</t>
  </si>
  <si>
    <t>HDT79</t>
  </si>
  <si>
    <t>ณ***ร  น***ิริ</t>
  </si>
  <si>
    <t>7495345237062486943</t>
  </si>
  <si>
    <t>15/05/2026 16:55</t>
  </si>
  <si>
    <t>797027662395</t>
  </si>
  <si>
    <t>HDT78</t>
  </si>
  <si>
    <t>797036522332</t>
  </si>
  <si>
    <t>HDT80</t>
  </si>
  <si>
    <t>15/05/2026 16:56</t>
  </si>
  <si>
    <t>797092123236</t>
  </si>
  <si>
    <t>HDT81</t>
  </si>
  <si>
    <t>15/05/2026 17:00</t>
  </si>
  <si>
    <t>797089127391</t>
  </si>
  <si>
    <t>HDW82</t>
  </si>
  <si>
    <t>17/05/2026 12:00</t>
  </si>
  <si>
    <t>797105537384</t>
  </si>
  <si>
    <t>HED49</t>
  </si>
  <si>
    <t>ข***ุ่น อ***ธิดา</t>
  </si>
  <si>
    <t>18/05/2026 08:44</t>
  </si>
  <si>
    <t>797164584436</t>
  </si>
  <si>
    <t>HED52</t>
  </si>
  <si>
    <t>น***พร</t>
  </si>
  <si>
    <t>7496100342218459810</t>
  </si>
  <si>
    <t>18/05/2026 08:47</t>
  </si>
  <si>
    <t>797139623593</t>
  </si>
  <si>
    <t>HED53</t>
  </si>
  <si>
    <t>น***น</t>
  </si>
  <si>
    <t>7494922896904719352</t>
  </si>
  <si>
    <t>18/05/2026 08:49</t>
  </si>
  <si>
    <t>797161955483</t>
  </si>
  <si>
    <t>HED54</t>
  </si>
  <si>
    <t>อ***รา ข***าม</t>
  </si>
  <si>
    <t>7494011198592419779</t>
  </si>
  <si>
    <t>18/05/2026 08:50</t>
  </si>
  <si>
    <t>797136203533</t>
  </si>
  <si>
    <t>HED56</t>
  </si>
  <si>
    <t>18/05/2026 08:55</t>
  </si>
  <si>
    <t>797197979454</t>
  </si>
  <si>
    <t>HEI83</t>
  </si>
  <si>
    <t>19/05/2026 09:59</t>
  </si>
  <si>
    <t>797144111013</t>
  </si>
  <si>
    <t>HEI86</t>
  </si>
  <si>
    <t>น***าวเพชรรัตน์  อ***ลืมดี</t>
  </si>
  <si>
    <t>7494893010957732287</t>
  </si>
  <si>
    <t>19/05/2026 10:01</t>
  </si>
  <si>
    <t>797209341390</t>
  </si>
  <si>
    <t>HEI89</t>
  </si>
  <si>
    <t>19/05/2026 10:02</t>
  </si>
  <si>
    <t>797276359342</t>
  </si>
  <si>
    <t>HEJ18</t>
  </si>
  <si>
    <t>กฤษณา อิศรานุวัตร</t>
  </si>
  <si>
    <t>19/05/2026 11:18</t>
  </si>
  <si>
    <t>WB252216011TH</t>
  </si>
  <si>
    <t>HEJ68</t>
  </si>
  <si>
    <t>19/05/2026 13:28</t>
  </si>
  <si>
    <t>797211731411</t>
  </si>
  <si>
    <t>HEJ66</t>
  </si>
  <si>
    <t>797237438502</t>
  </si>
  <si>
    <t>HEJ74</t>
  </si>
  <si>
    <t>ป***ปักสไตล์</t>
  </si>
  <si>
    <t>7494418911518296213</t>
  </si>
  <si>
    <t>19/05/2026 13:32</t>
  </si>
  <si>
    <t>797273632514</t>
  </si>
  <si>
    <t>HEL0</t>
  </si>
  <si>
    <t>สุริตา หนูกลับ</t>
  </si>
  <si>
    <t>19/05/2026 16:32</t>
  </si>
  <si>
    <t>WB252218865TH</t>
  </si>
  <si>
    <t>HEN4</t>
  </si>
  <si>
    <t>20/05/2026 13:53</t>
  </si>
  <si>
    <t>797208416012</t>
  </si>
  <si>
    <t>HEN7</t>
  </si>
  <si>
    <t>20/05/2026 13:54</t>
  </si>
  <si>
    <t>797207425044</t>
  </si>
  <si>
    <t>HEN57</t>
  </si>
  <si>
    <t>คุณธณัณพัชร์ ปิจดี</t>
  </si>
  <si>
    <t>20/05/2026 15:38</t>
  </si>
  <si>
    <t>WB252371002TH</t>
  </si>
  <si>
    <t>HEQ11</t>
  </si>
  <si>
    <t>21/05/2026 17:00</t>
  </si>
  <si>
    <t>797355434632</t>
  </si>
  <si>
    <t>HER22</t>
  </si>
  <si>
    <t>เ***</t>
  </si>
  <si>
    <t>7495892929371343082</t>
  </si>
  <si>
    <t>22/05/2026 09:06</t>
  </si>
  <si>
    <t>797363368653</t>
  </si>
  <si>
    <t>HER24</t>
  </si>
  <si>
    <t>น***า ภ***ชลาลัย</t>
  </si>
  <si>
    <t>7495094145341491400</t>
  </si>
  <si>
    <t>22/05/2026 09:11</t>
  </si>
  <si>
    <t>797359183611</t>
  </si>
  <si>
    <t>HER25</t>
  </si>
  <si>
    <t>22/05/2026 09:13</t>
  </si>
  <si>
    <t>797344586625</t>
  </si>
  <si>
    <t>HER33</t>
  </si>
  <si>
    <t>ย***ัทร พ***ทอง</t>
  </si>
  <si>
    <t>7495292410890324054</t>
  </si>
  <si>
    <t>22/05/2026 09:23</t>
  </si>
  <si>
    <t>797361068744</t>
  </si>
  <si>
    <t>HER36</t>
  </si>
  <si>
    <t>22/05/2026 09:29</t>
  </si>
  <si>
    <t>797382708780</t>
  </si>
  <si>
    <t>HER38</t>
  </si>
  <si>
    <t>อ***าอร แ***ลอย</t>
  </si>
  <si>
    <t>7496313172797524095</t>
  </si>
  <si>
    <t>22/05/2026 09:31</t>
  </si>
  <si>
    <t>797365568672</t>
  </si>
  <si>
    <t>HER41</t>
  </si>
  <si>
    <t>22/05/2026 09:37</t>
  </si>
  <si>
    <t>797336187616</t>
  </si>
  <si>
    <t>HER75</t>
  </si>
  <si>
    <t>22/05/2026 10:30</t>
  </si>
  <si>
    <t>LEXPU0687492996</t>
  </si>
  <si>
    <t>HES6</t>
  </si>
  <si>
    <t>พ***รรค์ ด***ก</t>
  </si>
  <si>
    <t>7494025990111725173</t>
  </si>
  <si>
    <t>22/05/2026 13:17</t>
  </si>
  <si>
    <t>797315780074</t>
  </si>
  <si>
    <t>HES11</t>
  </si>
  <si>
    <t>ที่อยู่นะคะ สมพร กองแก้ว</t>
  </si>
  <si>
    <t>22/05/2026 14:17</t>
  </si>
  <si>
    <t>WB252589075TH</t>
  </si>
  <si>
    <t>HEW40</t>
  </si>
  <si>
    <t>ณ***</t>
  </si>
  <si>
    <t>7494925669445306883</t>
  </si>
  <si>
    <t>24/05/2026 09:32</t>
  </si>
  <si>
    <t>797420177621</t>
  </si>
  <si>
    <t>HEW43</t>
  </si>
  <si>
    <t>24/05/2026 09:35</t>
  </si>
  <si>
    <t>797451778653</t>
  </si>
  <si>
    <t>HEW57</t>
  </si>
  <si>
    <t>24/05/2026 09:47</t>
  </si>
  <si>
    <t>797539606301</t>
  </si>
  <si>
    <t>HEW59</t>
  </si>
  <si>
    <t>ไ***ิตย์ แ***มณี</t>
  </si>
  <si>
    <t>7494059992956306568</t>
  </si>
  <si>
    <t>24/05/2026 09:49</t>
  </si>
  <si>
    <t>THT10035A5FQY0Z</t>
  </si>
  <si>
    <t>HEW67</t>
  </si>
  <si>
    <t>ณ***า แ***่ม</t>
  </si>
  <si>
    <t>7495692841766783947</t>
  </si>
  <si>
    <t>24/05/2026 10:00</t>
  </si>
  <si>
    <t>797412434744</t>
  </si>
  <si>
    <t>HEX26</t>
  </si>
  <si>
    <t>24/05/2026 13:15</t>
  </si>
  <si>
    <t>797537024384</t>
  </si>
  <si>
    <t>HEX27</t>
  </si>
  <si>
    <t>น***รณ์ แ***วู่</t>
  </si>
  <si>
    <t>7494047323421181276</t>
  </si>
  <si>
    <t>24/05/2026 13:19</t>
  </si>
  <si>
    <t>797501578274</t>
  </si>
  <si>
    <t>HEZ95</t>
  </si>
  <si>
    <t>น.ส.กรรณิการ์  ทองธรรมชาติ</t>
  </si>
  <si>
    <t>25/05/2026 09:21</t>
  </si>
  <si>
    <t>WB252878488TH</t>
  </si>
  <si>
    <t>HFD75</t>
  </si>
  <si>
    <t>26/05/2026 13:55</t>
  </si>
  <si>
    <t>797635281310</t>
  </si>
  <si>
    <t>HFD80</t>
  </si>
  <si>
    <t>S***ntha P***n</t>
  </si>
  <si>
    <t>7494009696895337549</t>
  </si>
  <si>
    <t>26/05/2026 14:09</t>
  </si>
  <si>
    <t>797672483473</t>
  </si>
  <si>
    <t>HFD81</t>
  </si>
  <si>
    <t>พ***ี พ***์ไม้สี</t>
  </si>
  <si>
    <t>7494759169709214310</t>
  </si>
  <si>
    <t>26/05/2026 14:18</t>
  </si>
  <si>
    <t>797679536430</t>
  </si>
  <si>
    <t>HFI5</t>
  </si>
  <si>
    <t>27/05/2026 16:50</t>
  </si>
  <si>
    <t>797667554961</t>
  </si>
  <si>
    <t>HFJ47</t>
  </si>
  <si>
    <t>28/05/2026 11:52</t>
  </si>
  <si>
    <t>797628377070</t>
  </si>
  <si>
    <t>HFL64</t>
  </si>
  <si>
    <t>น***ก้ะ</t>
  </si>
  <si>
    <t>7495660942269712862</t>
  </si>
  <si>
    <t>29/05/2026 09:50</t>
  </si>
  <si>
    <t>797799385666</t>
  </si>
  <si>
    <t>HFL63</t>
  </si>
  <si>
    <t>แ** ท***วรรณ</t>
  </si>
  <si>
    <t>7494812956643592269</t>
  </si>
  <si>
    <t>797727625715</t>
  </si>
  <si>
    <t>HFL62</t>
  </si>
  <si>
    <t>797761579650</t>
  </si>
  <si>
    <t>HFO56</t>
  </si>
  <si>
    <t>30/05/2026 13:04</t>
  </si>
  <si>
    <t>797806621673</t>
  </si>
  <si>
    <t>HFO55</t>
  </si>
  <si>
    <t>797854977511</t>
  </si>
  <si>
    <t>HFQ17</t>
  </si>
  <si>
    <t>นายสุทัศน์  แก้วสว่าง</t>
  </si>
  <si>
    <t>30/05/2026 23:57</t>
  </si>
  <si>
    <t>LEXPU0689463366</t>
  </si>
  <si>
    <t>HFS87</t>
  </si>
  <si>
    <t>อ***ฉาย ม***ช</t>
  </si>
  <si>
    <t>7494615922101029095</t>
  </si>
  <si>
    <t>31/05/2026 21:21</t>
  </si>
  <si>
    <t>797934195100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</si>
  <si>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เดือนพฤษภาคม 2569</t>
  </si>
  <si>
    <t>สรุปรายการส่งของเคลมสินค้า เดือนมิถุนายน 2569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</si>
  <si>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เดือนมิถุนายน 2569</t>
  </si>
  <si>
    <t>HFT99</t>
  </si>
  <si>
    <t>พ***ีวัล</t>
  </si>
  <si>
    <t>7494009870177960977</t>
  </si>
  <si>
    <t>01/06/2026 11:49</t>
  </si>
  <si>
    <t>797934927462</t>
  </si>
  <si>
    <t>HFU17</t>
  </si>
  <si>
    <t>อ*** อ***เพ็ชร์</t>
  </si>
  <si>
    <t>7494028897883948079</t>
  </si>
  <si>
    <t>01/06/2026 13:13</t>
  </si>
  <si>
    <t>797974803920</t>
  </si>
  <si>
    <t>HFW46</t>
  </si>
  <si>
    <t>7494270158339540309</t>
  </si>
  <si>
    <t>02/06/2026 08:17</t>
  </si>
  <si>
    <t>798065420176</t>
  </si>
  <si>
    <t>HFW47</t>
  </si>
  <si>
    <t>02/06/2026 08:18</t>
  </si>
  <si>
    <t>798098019180</t>
  </si>
  <si>
    <t>HFW48</t>
  </si>
  <si>
    <t>02/06/2026 08:20</t>
  </si>
  <si>
    <t>797969952043</t>
  </si>
  <si>
    <t>HGB16</t>
  </si>
  <si>
    <t>03/06/2026 13:22</t>
  </si>
  <si>
    <t>798144215352</t>
  </si>
  <si>
    <t>HGB22</t>
  </si>
  <si>
    <t xml:space="preserve">K.แอนนี่กินแซ่บ </t>
  </si>
  <si>
    <t>03/06/2026 13:32</t>
  </si>
  <si>
    <t>WB253830570TH</t>
  </si>
  <si>
    <t>HGB31</t>
  </si>
  <si>
    <t>พ***ทิพย์​ โ***์อ่อน</t>
  </si>
  <si>
    <t>7494036130842118126</t>
  </si>
  <si>
    <t>03/06/2026 13:52</t>
  </si>
  <si>
    <t>THT03065AS7PV9Z</t>
  </si>
  <si>
    <t>HGB33</t>
  </si>
  <si>
    <t>ก***า จ***ร์แย้ม</t>
  </si>
  <si>
    <t>7494830360941725906</t>
  </si>
  <si>
    <t>03/06/2026 13:56</t>
  </si>
  <si>
    <t>798159573223</t>
  </si>
  <si>
    <t>HGB34</t>
  </si>
  <si>
    <t>03/06/2026 13:57</t>
  </si>
  <si>
    <t>798139600274</t>
  </si>
  <si>
    <t>HGB35</t>
  </si>
  <si>
    <t>อ***า ศ***โชติเมธี</t>
  </si>
  <si>
    <t>7495962252151065574</t>
  </si>
  <si>
    <t>03/06/2026 13:58</t>
  </si>
  <si>
    <t>798158761105</t>
  </si>
  <si>
    <t>HGI17</t>
  </si>
  <si>
    <t>ภ***า ร***สม</t>
  </si>
  <si>
    <t>7494017592105141511</t>
  </si>
  <si>
    <t>05/06/2026 15:35</t>
  </si>
  <si>
    <t>THT04025AWDF35Z</t>
  </si>
  <si>
    <t>HGI16</t>
  </si>
  <si>
    <t>ท** ส***งอารมย์</t>
  </si>
  <si>
    <t>7493990168751605651</t>
  </si>
  <si>
    <t>798218993552</t>
  </si>
  <si>
    <t>HGI21</t>
  </si>
  <si>
    <t>05/06/2026 15:43</t>
  </si>
  <si>
    <t>798286650626</t>
  </si>
  <si>
    <t>HGO0</t>
  </si>
  <si>
    <t>อ***า</t>
  </si>
  <si>
    <t>7494600728919443793</t>
  </si>
  <si>
    <t>07/06/2026 08:53</t>
  </si>
  <si>
    <t>798301260433</t>
  </si>
  <si>
    <t>HGO3</t>
  </si>
  <si>
    <t>เ***ิรา ส***</t>
  </si>
  <si>
    <t>7494011626245293144</t>
  </si>
  <si>
    <t>07/06/2026 09:00</t>
  </si>
  <si>
    <t>798390597804</t>
  </si>
  <si>
    <t>HGO4</t>
  </si>
  <si>
    <t>s***lak a***</t>
  </si>
  <si>
    <t>7494669753173641640</t>
  </si>
  <si>
    <t>07/06/2026 09:03</t>
  </si>
  <si>
    <t>798374355925</t>
  </si>
  <si>
    <t>HGO5</t>
  </si>
  <si>
    <t>7494017992842905079</t>
  </si>
  <si>
    <t>07/06/2026 09:06</t>
  </si>
  <si>
    <t>798389092432</t>
  </si>
  <si>
    <t>HGO69</t>
  </si>
  <si>
    <t>ป***าฬ เ***ะโคน</t>
  </si>
  <si>
    <t>7494009560234099970</t>
  </si>
  <si>
    <t>07/06/2026 13:26</t>
  </si>
  <si>
    <t>798412272114</t>
  </si>
  <si>
    <t>HGT79</t>
  </si>
  <si>
    <t>ทิพย์วิมล</t>
  </si>
  <si>
    <t>08/06/2026 14:50</t>
  </si>
  <si>
    <t>WB254351986TH</t>
  </si>
  <si>
    <t>HGT96</t>
  </si>
  <si>
    <t>ษ***ตร ก***นจิราภัค</t>
  </si>
  <si>
    <t>7494023071658247291</t>
  </si>
  <si>
    <t>08/06/2026 15:12</t>
  </si>
  <si>
    <t>798467650632</t>
  </si>
  <si>
    <t>HGT99</t>
  </si>
  <si>
    <t>m***oo.mooham</t>
  </si>
  <si>
    <t>7495350964008487653</t>
  </si>
  <si>
    <t>08/06/2026 15:14</t>
  </si>
  <si>
    <t>798443475686</t>
  </si>
  <si>
    <t>HGV22</t>
  </si>
  <si>
    <t>09/06/2026 07:01</t>
  </si>
  <si>
    <t>798465677601</t>
  </si>
  <si>
    <t>HGV47</t>
  </si>
  <si>
    <t>09/06/2026 09:06</t>
  </si>
  <si>
    <t>798450726791</t>
  </si>
  <si>
    <t>HGV49</t>
  </si>
  <si>
    <t>ย***ี น***ก</t>
  </si>
  <si>
    <t>7494075659615962485</t>
  </si>
  <si>
    <t>09/06/2026 09:15</t>
  </si>
  <si>
    <t>798464211812</t>
  </si>
  <si>
    <t>HGV65</t>
  </si>
  <si>
    <t>09/06/2026 09:47</t>
  </si>
  <si>
    <t>798531037205</t>
  </si>
  <si>
    <t>HGX11</t>
  </si>
  <si>
    <t>ค***ัสนีม บ***ัน โ***วงษา</t>
  </si>
  <si>
    <t>7494019207901120100</t>
  </si>
  <si>
    <t>09/06/2026 14:56</t>
  </si>
  <si>
    <t>798558013293</t>
  </si>
  <si>
    <t>HGX14</t>
  </si>
  <si>
    <t>บ***ิน ก***ันทัด บ***ิน แ***้องกามิล</t>
  </si>
  <si>
    <t>7495731949293701579</t>
  </si>
  <si>
    <t>09/06/2026 14:57</t>
  </si>
  <si>
    <t>798526747130</t>
  </si>
  <si>
    <t>HGX15</t>
  </si>
  <si>
    <t>ส***รัตน์ ไ***อม</t>
  </si>
  <si>
    <t>7494050220704629976</t>
  </si>
  <si>
    <t>09/06/2026 14:58</t>
  </si>
  <si>
    <t>798515810293</t>
  </si>
  <si>
    <t>HGX22</t>
  </si>
  <si>
    <t>09/06/2026 15:36</t>
  </si>
  <si>
    <t>798507344250</t>
  </si>
  <si>
    <t>HGX21</t>
  </si>
  <si>
    <t>798508213333</t>
  </si>
  <si>
    <t>HGX25</t>
  </si>
  <si>
    <t>ห***</t>
  </si>
  <si>
    <t>7495972684373527208</t>
  </si>
  <si>
    <t>09/06/2026 16:06</t>
  </si>
  <si>
    <t>798565419330</t>
  </si>
  <si>
    <t>HGY79</t>
  </si>
  <si>
    <t>ส***ท ห***ิ์ ล***ณาวงค์</t>
  </si>
  <si>
    <t>10/06/2026 08:18</t>
  </si>
  <si>
    <t>THT03065B4F5E6Z</t>
  </si>
  <si>
    <t>HGY80</t>
  </si>
  <si>
    <t>แ***้อย ร***คร่</t>
  </si>
  <si>
    <t>7494032001311802712</t>
  </si>
  <si>
    <t>10/06/2026 08:20</t>
  </si>
  <si>
    <t>798576228391</t>
  </si>
  <si>
    <t>HHB97</t>
  </si>
  <si>
    <t>ส***มล ส***วงษ์</t>
  </si>
  <si>
    <t>7494393783001189367</t>
  </si>
  <si>
    <t>11/06/2026 09:00</t>
  </si>
  <si>
    <t>798507033940</t>
  </si>
  <si>
    <t>HHC7</t>
  </si>
  <si>
    <t>พ***</t>
  </si>
  <si>
    <t>7493994142524278697</t>
  </si>
  <si>
    <t>11/06/2026 09:26</t>
  </si>
  <si>
    <t>798544780832</t>
  </si>
  <si>
    <t>HHF42</t>
  </si>
  <si>
    <t>12/06/2026 14:24</t>
  </si>
  <si>
    <t>798639774822</t>
  </si>
  <si>
    <t>HHF52</t>
  </si>
  <si>
    <t>ส***ญญา ต***ห้างหว้า</t>
  </si>
  <si>
    <t>7494005442112357444</t>
  </si>
  <si>
    <t>12/06/2026 14:33</t>
  </si>
  <si>
    <t>798610376874</t>
  </si>
  <si>
    <t>HHF66</t>
  </si>
  <si>
    <t xml:space="preserve">จ***รัตน์ โ***้ง </t>
  </si>
  <si>
    <t>12/06/2026 14:46</t>
  </si>
  <si>
    <t>798666064932</t>
  </si>
  <si>
    <t>HHK55</t>
  </si>
  <si>
    <t>เ***้อย ส***ซ่บ</t>
  </si>
  <si>
    <t>7494978523614186389</t>
  </si>
  <si>
    <t>14/06/2026 08:42</t>
  </si>
  <si>
    <t>798742265554</t>
  </si>
  <si>
    <t>HHO6</t>
  </si>
  <si>
    <t>ค***าว</t>
  </si>
  <si>
    <t>7494052913836429094</t>
  </si>
  <si>
    <t>15/06/2026 13:55</t>
  </si>
  <si>
    <t>798850430361</t>
  </si>
  <si>
    <t>HHP52</t>
  </si>
  <si>
    <t>16/06/2026 10:03</t>
  </si>
  <si>
    <t>798802602894</t>
  </si>
  <si>
    <t>HHP53</t>
  </si>
  <si>
    <t>16/06/2026 10:10</t>
  </si>
  <si>
    <t>798804808874</t>
  </si>
  <si>
    <t>HHP55</t>
  </si>
  <si>
    <t>ช***ญา</t>
  </si>
  <si>
    <t>7494219005175630118</t>
  </si>
  <si>
    <t>16/06/2026 10:14</t>
  </si>
  <si>
    <t>798845745784</t>
  </si>
  <si>
    <t>HHP57</t>
  </si>
  <si>
    <t>16/06/2026 10:20</t>
  </si>
  <si>
    <t>798861214815</t>
  </si>
  <si>
    <t>HHP60</t>
  </si>
  <si>
    <t>16/06/2026 10:27</t>
  </si>
  <si>
    <t>798840208854</t>
  </si>
  <si>
    <t>HHP61</t>
  </si>
  <si>
    <t>เ***นภา</t>
  </si>
  <si>
    <t>7496075954038344533</t>
  </si>
  <si>
    <t>16/06/2026 10:29</t>
  </si>
  <si>
    <t>798817819800</t>
  </si>
  <si>
    <t>HHQ37</t>
  </si>
  <si>
    <t>16/06/2026 16:10</t>
  </si>
  <si>
    <t>798993733145</t>
  </si>
  <si>
    <t>HHR72</t>
  </si>
  <si>
    <t>7494664685284198583</t>
  </si>
  <si>
    <t>17/06/2026 11:41</t>
  </si>
  <si>
    <t>798978295323</t>
  </si>
  <si>
    <t>HHR75</t>
  </si>
  <si>
    <t>17/06/2026 11:51</t>
  </si>
  <si>
    <t>798961483342</t>
  </si>
  <si>
    <t>HHS89</t>
  </si>
  <si>
    <t>บ***ัทปุ้มปุ้ย17จำกัด</t>
  </si>
  <si>
    <t>17/06/2026 17:49</t>
  </si>
  <si>
    <t>798917970782</t>
  </si>
  <si>
    <t>HHS88</t>
  </si>
  <si>
    <t>798951615895</t>
  </si>
  <si>
    <t>HHU5</t>
  </si>
  <si>
    <t>18/06/2026 13:12</t>
  </si>
  <si>
    <t>798904849083</t>
  </si>
  <si>
    <t>HHU6</t>
  </si>
  <si>
    <t>18/06/2026 13:13</t>
  </si>
  <si>
    <t>798979988984</t>
  </si>
  <si>
    <t>HHU7</t>
  </si>
  <si>
    <t>7493995087997011934</t>
  </si>
  <si>
    <t>18/06/2026 13:19</t>
  </si>
  <si>
    <t>798900641092</t>
  </si>
  <si>
    <t>HHW27</t>
  </si>
  <si>
    <t>บ***ัท แ** แ** 7** จ***ด เ***ู้เสียภาษี 0***569016633</t>
  </si>
  <si>
    <t>7494018330389415651</t>
  </si>
  <si>
    <t>19/06/2026 09:59</t>
  </si>
  <si>
    <t>799029464505</t>
  </si>
  <si>
    <t>HID20</t>
  </si>
  <si>
    <t>ฝ* ฝ*</t>
  </si>
  <si>
    <t>7494651896274913880</t>
  </si>
  <si>
    <t>22/06/2026 09:44</t>
  </si>
  <si>
    <t>799237916341</t>
  </si>
  <si>
    <t>HID22</t>
  </si>
  <si>
    <t>ณ***รา แ***ลี</t>
  </si>
  <si>
    <t>7495181205672659940</t>
  </si>
  <si>
    <t>22/06/2026 09:45</t>
  </si>
  <si>
    <t>799206672364</t>
  </si>
  <si>
    <t>HID24</t>
  </si>
  <si>
    <t>22/06/2026 09:58</t>
  </si>
  <si>
    <t>799291678356</t>
  </si>
  <si>
    <t>HID25</t>
  </si>
  <si>
    <t>22/06/2026 10:00</t>
  </si>
  <si>
    <t>799297314395</t>
  </si>
  <si>
    <t>HIF59</t>
  </si>
  <si>
    <t>23/06/2026 08:34</t>
  </si>
  <si>
    <t>799296008980</t>
  </si>
  <si>
    <t>HIF60</t>
  </si>
  <si>
    <t>ส***ทธิ์ บ***สม</t>
  </si>
  <si>
    <t>7495109889445104512</t>
  </si>
  <si>
    <t>23/06/2026 08:39</t>
  </si>
  <si>
    <t>799285411934</t>
  </si>
  <si>
    <t>HIH49</t>
  </si>
  <si>
    <t xml:space="preserve">พ***ินทร์  อ***ร์มั่น </t>
  </si>
  <si>
    <t>7494035673123554414</t>
  </si>
  <si>
    <t>23/06/2026 16:52</t>
  </si>
  <si>
    <t>799337581291</t>
  </si>
  <si>
    <t>HIK47</t>
  </si>
  <si>
    <t>25/06/2026 09:08</t>
  </si>
  <si>
    <t>799340447065</t>
  </si>
  <si>
    <t>HIK51</t>
  </si>
  <si>
    <t>25/06/2026 09:18</t>
  </si>
  <si>
    <t>799305709086</t>
  </si>
  <si>
    <t>HIK52</t>
  </si>
  <si>
    <t>ส***นดา ง***ลิศ</t>
  </si>
  <si>
    <t>7494980756709542842</t>
  </si>
  <si>
    <t>25/06/2026 09:23</t>
  </si>
  <si>
    <t>799311905092</t>
  </si>
  <si>
    <t>HIM74</t>
  </si>
  <si>
    <t>น***ารถ ข***ง</t>
  </si>
  <si>
    <t>7494013806330217868</t>
  </si>
  <si>
    <t>26/06/2026 08:41</t>
  </si>
  <si>
    <t>799431332604</t>
  </si>
  <si>
    <t>HIM76</t>
  </si>
  <si>
    <t>น***ัฐนันท์ ช***ท์</t>
  </si>
  <si>
    <t>7494509422172735784</t>
  </si>
  <si>
    <t>26/06/2026 08:55</t>
  </si>
  <si>
    <t>799480390505</t>
  </si>
  <si>
    <t>HIM80</t>
  </si>
  <si>
    <t>ม***์ ก***</t>
  </si>
  <si>
    <t>7494078664054834195</t>
  </si>
  <si>
    <t>26/06/2026 09:06</t>
  </si>
  <si>
    <t>799443282606</t>
  </si>
  <si>
    <t>HIM81</t>
  </si>
  <si>
    <t>26/06/2026 09:09</t>
  </si>
  <si>
    <t>799454487602</t>
  </si>
  <si>
    <t>HIM82</t>
  </si>
  <si>
    <t>ช***งคล ถ***อง</t>
  </si>
  <si>
    <t>7495181531003980451</t>
  </si>
  <si>
    <t>26/06/2026 09:20</t>
  </si>
  <si>
    <t>799443034644</t>
  </si>
  <si>
    <t>HIN16</t>
  </si>
  <si>
    <t>26/06/2026 13:46</t>
  </si>
  <si>
    <t>799414266070</t>
  </si>
  <si>
    <t>HIN15</t>
  </si>
  <si>
    <t>น***สินค้ารีวิว</t>
  </si>
  <si>
    <t>7493990294675359074</t>
  </si>
  <si>
    <t>799493989980</t>
  </si>
  <si>
    <t>HIO60</t>
  </si>
  <si>
    <t>28/06/2026 08:22</t>
  </si>
  <si>
    <t>799559821701</t>
  </si>
  <si>
    <t>HIO59</t>
  </si>
  <si>
    <t>ช***นันต์ น***่ม</t>
  </si>
  <si>
    <t>7494066115021341908</t>
  </si>
  <si>
    <t>799552613790</t>
  </si>
  <si>
    <t>HIO61</t>
  </si>
  <si>
    <t>K***iwat.shop</t>
  </si>
  <si>
    <t>7494052942492634813</t>
  </si>
  <si>
    <t>28/06/2026 08:24</t>
  </si>
  <si>
    <t>799519560696</t>
  </si>
  <si>
    <t>HIO62</t>
  </si>
  <si>
    <t>28/06/2026 08:29</t>
  </si>
  <si>
    <t>799597163691</t>
  </si>
  <si>
    <t>HIO64</t>
  </si>
  <si>
    <t>ว***ภ ศ***เจริญ</t>
  </si>
  <si>
    <t>7494014361571132868</t>
  </si>
  <si>
    <t>28/06/2026 08:36</t>
  </si>
  <si>
    <t>799560167696</t>
  </si>
  <si>
    <t>HIO83</t>
  </si>
  <si>
    <t>จ***งค์ น***าน ข***ป้ายวัดป่าธรรมาราม ท***ีโต๊ะหินอ่อน</t>
  </si>
  <si>
    <t>7494009393661839217</t>
  </si>
  <si>
    <t>28/06/2026 11:35</t>
  </si>
  <si>
    <t>799520761690</t>
  </si>
  <si>
    <t>HIP37</t>
  </si>
  <si>
    <t>29/06/2026 08:17</t>
  </si>
  <si>
    <t>799692223514</t>
  </si>
  <si>
    <t>HIP38</t>
  </si>
  <si>
    <t>29/06/2026 08:21</t>
  </si>
  <si>
    <t>799621026503</t>
  </si>
  <si>
    <t>HIP68</t>
  </si>
  <si>
    <t>K***ย</t>
  </si>
  <si>
    <t>7494594180135488014</t>
  </si>
  <si>
    <t>29/06/2026 13:28</t>
  </si>
  <si>
    <t>799650828524</t>
  </si>
  <si>
    <t>HIP69</t>
  </si>
  <si>
    <t>ร***</t>
  </si>
  <si>
    <t>7495366438793480430</t>
  </si>
  <si>
    <t>29/06/2026 13:32</t>
  </si>
  <si>
    <t>799656828504</t>
  </si>
  <si>
    <t>HIQ34</t>
  </si>
  <si>
    <t>30/06/2026 08:08</t>
  </si>
  <si>
    <t>THT04015BZDGX7Z</t>
  </si>
  <si>
    <t>HIQ38</t>
  </si>
  <si>
    <t>30/06/2026 08:59</t>
  </si>
  <si>
    <t>JTTH200802827901</t>
  </si>
  <si>
    <t>HIQ86</t>
  </si>
  <si>
    <t>เ***ารีวิ้ว</t>
  </si>
  <si>
    <t>7495989467906541980</t>
  </si>
  <si>
    <t>30/06/2026 10:56</t>
  </si>
  <si>
    <t>JTTH200234726005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</si>
</sst>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b/>
      <sz val="18"/>
      <color theme="1" tint="4.9989318521683403E-2"/>
      <name val="Angsana New"/>
      <family val="1"/>
    </font>
    <font>
      <sz val="16"/>
      <color theme="1" tint="4.9989318521683403E-2"/>
      <name val="Angsana New"/>
      <family val="1"/>
      <charset val="222"/>
    </font>
    <font>
      <sz val="16"/>
      <color theme="1" tint="4.9989318521683403E-2"/>
      <name val="Tahoma"/>
      <family val="2"/>
      <charset val="222"/>
      <scheme val="minor"/>
    </font>
    <font>
      <b/>
      <sz val="36"/>
      <color theme="1"/>
      <name val="Angsana New"/>
      <family val="1"/>
    </font>
    <font>
      <b/>
      <sz val="16"/>
      <color theme="1" tint="4.9989318521683403E-2"/>
      <name val="Angsana New"/>
      <family val="1"/>
    </font>
    <font>
      <b/>
      <sz val="16"/>
      <color theme="1"/>
      <name val="Angsana New"/>
      <family val="1"/>
    </font>
    <font>
      <sz val="18"/>
      <color theme="1" tint="4.9989318521683403E-2"/>
      <name val="Angsana New"/>
      <family val="1"/>
    </font>
    <font>
      <sz val="8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20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8"/>
      <color rgb="FFFF0000"/>
      <name val="Angsana New"/>
      <family val="1"/>
    </font>
    <font>
      <sz val="16"/>
      <color theme="1"/>
      <name val="Angsana New"/>
      <family val="1"/>
      <charset val="222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7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1" xfId="0" applyFont="1" applyBorder="1"/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4" fontId="11" fillId="0" borderId="2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43" fontId="11" fillId="0" borderId="3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87" fontId="8" fillId="0" borderId="1" xfId="1" applyNumberFormat="1" applyFont="1" applyBorder="1" applyAlignment="1">
      <alignment horizontal="center" vertical="center"/>
    </xf>
    <xf numFmtId="187" fontId="2" fillId="0" borderId="2" xfId="1" applyNumberFormat="1" applyFont="1" applyBorder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0" fontId="15" fillId="5" borderId="0" xfId="0" applyFont="1" applyFill="1" applyAlignment="1">
      <alignment horizontal="center"/>
    </xf>
    <xf numFmtId="49" fontId="15" fillId="5" borderId="1" xfId="0" applyNumberFormat="1" applyFont="1" applyFill="1" applyBorder="1" applyAlignment="1">
      <alignment horizontal="center" vertical="center" wrapText="1"/>
    </xf>
    <xf numFmtId="187" fontId="16" fillId="5" borderId="2" xfId="1" applyNumberFormat="1" applyFont="1" applyFill="1" applyBorder="1" applyAlignment="1">
      <alignment horizontal="center" vertical="center"/>
    </xf>
    <xf numFmtId="187" fontId="16" fillId="5" borderId="1" xfId="1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187" fontId="11" fillId="0" borderId="3" xfId="1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43" fontId="1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43" fontId="3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</cellXfs>
  <cellStyles count="4">
    <cellStyle name="จุลภาค" xfId="1" builtinId="3"/>
    <cellStyle name="จุลภาค 2" xfId="3" xr:uid="{B0012154-9A36-452B-9836-DD7D6C395857}"/>
    <cellStyle name="ปกติ" xfId="0" builtinId="0"/>
    <cellStyle name="ปกติ 2" xfId="2" xr:uid="{A1D5A9FD-AA4D-4902-8492-006E61349C36}"/>
  </cellStyles>
  <dxfs count="52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00FF"/>
      <color rgb="FFCCFFFF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800" b="1" i="0" u="none" strike="noStrike" kern="1200" cap="none" spc="50" baseline="0"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ngsana New" panose="02020603050405020304" pitchFamily="18" charset="-34"/>
                <a:cs typeface="Angsana New" panose="02020603050405020304" pitchFamily="18" charset="-34"/>
              </a:rPr>
              <a:t>สถิติยอดเคลม และ ยกเลิกสินค้าออเดอร์ขายออนไลน์ ปี 256</a:t>
            </a:r>
            <a:r>
              <a:rPr lang="en-US" sz="2800" b="1" i="0" u="none" strike="noStrike" kern="1200" cap="none" spc="50" baseline="0"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ngsana New" panose="02020603050405020304" pitchFamily="18" charset="-34"/>
                <a:cs typeface="Angsana New" panose="02020603050405020304" pitchFamily="18" charset="-34"/>
              </a:rPr>
              <a:t>9</a:t>
            </a:r>
            <a:endParaRPr lang="th-TH" sz="2800" b="1" i="0" u="none" strike="noStrike" kern="1200" cap="none" spc="5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layout>
        <c:manualLayout>
          <c:xMode val="edge"/>
          <c:yMode val="edge"/>
          <c:x val="0.16712476330094228"/>
          <c:y val="1.2618296529968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3419367492220921"/>
          <c:y val="0.13430073152901775"/>
          <c:w val="0.84652977172450339"/>
          <c:h val="0.63369664754050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 69'!$B$2</c:f>
              <c:strCache>
                <c:ptCount val="1"/>
                <c:pt idx="0">
                  <c:v>เคลม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69'!$A$4:$A$15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'สรุป 69'!$B$4:$B$15</c:f>
              <c:numCache>
                <c:formatCode>General</c:formatCode>
                <c:ptCount val="12"/>
                <c:pt idx="0">
                  <c:v>50</c:v>
                </c:pt>
                <c:pt idx="1">
                  <c:v>62</c:v>
                </c:pt>
                <c:pt idx="2">
                  <c:v>102</c:v>
                </c:pt>
                <c:pt idx="3">
                  <c:v>64</c:v>
                </c:pt>
                <c:pt idx="4">
                  <c:v>91</c:v>
                </c:pt>
                <c:pt idx="5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9-4DEE-9B15-0C1E179C663A}"/>
            </c:ext>
          </c:extLst>
        </c:ser>
        <c:ser>
          <c:idx val="1"/>
          <c:order val="1"/>
          <c:tx>
            <c:strRef>
              <c:f>'สรุป 69'!$D$2</c:f>
              <c:strCache>
                <c:ptCount val="1"/>
                <c:pt idx="0">
                  <c:v>ยกเลิก ( CF เล่น)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69'!$A$4:$A$15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'สรุป 69'!$D$4:$D$15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9-4DEE-9B15-0C1E179C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77791"/>
        <c:axId val="451608271"/>
      </c:barChart>
      <c:catAx>
        <c:axId val="57977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451608271"/>
        <c:crosses val="autoZero"/>
        <c:auto val="1"/>
        <c:lblAlgn val="ctr"/>
        <c:lblOffset val="100"/>
        <c:noMultiLvlLbl val="0"/>
      </c:catAx>
      <c:valAx>
        <c:axId val="4516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FFF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579777791"/>
        <c:crosses val="autoZero"/>
        <c:crossBetween val="between"/>
      </c:valAx>
      <c:dTable>
        <c:showHorzBorder val="1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</c:dTable>
      <c:spPr>
        <a:solidFill>
          <a:schemeClr val="accent3">
            <a:lumMod val="20000"/>
            <a:lumOff val="80000"/>
          </a:schemeClr>
        </a:solidFill>
        <a:ln>
          <a:solidFill>
            <a:srgbClr val="92D05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rgbClr val="FF99F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183703</xdr:colOff>
      <xdr:row>0</xdr:row>
      <xdr:rowOff>357775</xdr:rowOff>
    </xdr:from>
    <xdr:to>
      <xdr:col>19</xdr:col>
      <xdr:colOff>609601</xdr:colOff>
      <xdr:row>15</xdr:row>
      <xdr:rowOff>217715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3F28CD2-9C4F-95A7-31CB-6446C7C7A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9C11-C23A-4B2F-9C12-6D015DF3C21C}">
  <sheetPr>
    <tabColor rgb="FFFFFF00"/>
  </sheetPr>
  <dimension ref="A1:F223"/>
  <sheetViews>
    <sheetView tabSelected="1" zoomScale="70" zoomScaleNormal="70" workbookViewId="0">
      <pane xSplit="1" ySplit="3" topLeftCell="B4" activePane="bottomRight" state="frozen"/>
      <selection activeCell="N57" sqref="M1:N57"/>
      <selection pane="topRight" activeCell="N57" sqref="M1:N57"/>
      <selection pane="bottomLeft" activeCell="N57" sqref="M1:N57"/>
      <selection pane="bottomRight" activeCell="F22" sqref="F22"/>
    </sheetView>
  </sheetViews>
  <sheetFormatPr defaultColWidth="9.09765625" defaultRowHeight="26.4" x14ac:dyDescent="0.7"/>
  <cols>
    <col min="1" max="1" width="14.296875" style="18" customWidth="1"/>
    <col min="2" max="2" width="9.296875" style="17" bestFit="1" customWidth="1"/>
    <col min="3" max="3" width="11.69921875" style="18" bestFit="1" customWidth="1"/>
    <col min="4" max="4" width="9.09765625" style="17"/>
    <col min="5" max="5" width="12.8984375" style="17" bestFit="1" customWidth="1"/>
    <col min="6" max="6" width="26.796875" style="15" customWidth="1"/>
    <col min="7" max="16384" width="9.09765625" style="15"/>
  </cols>
  <sheetData>
    <row r="1" spans="1:6" ht="28.8" x14ac:dyDescent="0.75">
      <c r="A1" s="28" t="s">
        <v>95</v>
      </c>
      <c r="C1" s="17"/>
      <c r="F1" s="16"/>
    </row>
    <row r="2" spans="1:6" x14ac:dyDescent="0.7">
      <c r="A2" s="72" t="s">
        <v>23</v>
      </c>
      <c r="B2" s="68" t="s">
        <v>24</v>
      </c>
      <c r="C2" s="69"/>
      <c r="D2" s="70" t="s">
        <v>49</v>
      </c>
      <c r="E2" s="71"/>
      <c r="F2" s="72" t="s">
        <v>7</v>
      </c>
    </row>
    <row r="3" spans="1:6" x14ac:dyDescent="0.7">
      <c r="A3" s="73"/>
      <c r="B3" s="26" t="s">
        <v>44</v>
      </c>
      <c r="C3" s="26" t="s">
        <v>39</v>
      </c>
      <c r="D3" s="31" t="s">
        <v>44</v>
      </c>
      <c r="E3" s="31" t="s">
        <v>50</v>
      </c>
      <c r="F3" s="73"/>
    </row>
    <row r="4" spans="1:6" ht="25.8" x14ac:dyDescent="0.65">
      <c r="A4" s="27" t="s">
        <v>26</v>
      </c>
      <c r="B4" s="27">
        <v>50</v>
      </c>
      <c r="C4" s="25">
        <f>+'ม.ค. เคลม'!J1</f>
        <v>2745</v>
      </c>
      <c r="D4" s="27">
        <v>0</v>
      </c>
      <c r="E4" s="25">
        <f>+'ม.ค. ยกเลิก'!H76</f>
        <v>0</v>
      </c>
      <c r="F4" s="19"/>
    </row>
    <row r="5" spans="1:6" ht="25.8" x14ac:dyDescent="0.65">
      <c r="A5" s="27" t="s">
        <v>27</v>
      </c>
      <c r="B5" s="27">
        <v>62</v>
      </c>
      <c r="C5" s="25">
        <v>2790</v>
      </c>
      <c r="D5" s="27">
        <v>0</v>
      </c>
      <c r="E5" s="25">
        <v>0</v>
      </c>
      <c r="F5" s="19"/>
    </row>
    <row r="6" spans="1:6" ht="25.8" x14ac:dyDescent="0.65">
      <c r="A6" s="27" t="s">
        <v>28</v>
      </c>
      <c r="B6" s="27">
        <v>102</v>
      </c>
      <c r="C6" s="25">
        <f>+'มี.ค. เคลม'!J1</f>
        <v>4185</v>
      </c>
      <c r="D6" s="27">
        <v>0</v>
      </c>
      <c r="E6" s="25">
        <v>0</v>
      </c>
      <c r="F6" s="19"/>
    </row>
    <row r="7" spans="1:6" ht="25.8" x14ac:dyDescent="0.65">
      <c r="A7" s="27" t="s">
        <v>29</v>
      </c>
      <c r="B7" s="27">
        <f>+สรุปสาเหตุเคลม!G57</f>
        <v>64</v>
      </c>
      <c r="C7" s="25">
        <f>+'เม.ย. เคลม'!J1</f>
        <v>2880</v>
      </c>
      <c r="D7" s="27">
        <v>0</v>
      </c>
      <c r="E7" s="25">
        <v>0</v>
      </c>
      <c r="F7" s="19"/>
    </row>
    <row r="8" spans="1:6" ht="25.8" x14ac:dyDescent="0.65">
      <c r="A8" s="27" t="s">
        <v>30</v>
      </c>
      <c r="B8" s="27">
        <f>+'พ.ค. เคลม'!N1</f>
        <v>91</v>
      </c>
      <c r="C8" s="25">
        <f>+'พ.ค. เคลม'!J1</f>
        <v>4095</v>
      </c>
      <c r="D8" s="27">
        <v>0</v>
      </c>
      <c r="E8" s="25">
        <v>0</v>
      </c>
      <c r="F8" s="19"/>
    </row>
    <row r="9" spans="1:6" ht="25.8" x14ac:dyDescent="0.65">
      <c r="A9" s="27" t="s">
        <v>31</v>
      </c>
      <c r="B9" s="27">
        <f>+สรุปสาเหตุเคลม!I57</f>
        <v>86</v>
      </c>
      <c r="C9" s="25">
        <f>+'มิ.ย. เคลม'!J1</f>
        <v>3870</v>
      </c>
      <c r="D9" s="27">
        <v>0</v>
      </c>
      <c r="E9" s="25">
        <v>0</v>
      </c>
      <c r="F9" s="19"/>
    </row>
    <row r="10" spans="1:6" ht="25.8" x14ac:dyDescent="0.65">
      <c r="A10" s="27" t="s">
        <v>32</v>
      </c>
      <c r="B10" s="27"/>
      <c r="C10" s="25"/>
      <c r="D10" s="27"/>
      <c r="E10" s="25"/>
      <c r="F10" s="19"/>
    </row>
    <row r="11" spans="1:6" ht="25.8" x14ac:dyDescent="0.65">
      <c r="A11" s="27" t="s">
        <v>33</v>
      </c>
      <c r="B11" s="27"/>
      <c r="C11" s="25"/>
      <c r="D11" s="27"/>
      <c r="E11" s="25"/>
      <c r="F11" s="19"/>
    </row>
    <row r="12" spans="1:6" ht="25.8" x14ac:dyDescent="0.65">
      <c r="A12" s="27" t="s">
        <v>34</v>
      </c>
      <c r="B12" s="27"/>
      <c r="C12" s="25"/>
      <c r="D12" s="27"/>
      <c r="E12" s="25"/>
      <c r="F12" s="19"/>
    </row>
    <row r="13" spans="1:6" ht="25.8" x14ac:dyDescent="0.65">
      <c r="A13" s="27" t="s">
        <v>35</v>
      </c>
      <c r="B13" s="27"/>
      <c r="C13" s="25"/>
      <c r="D13" s="27"/>
      <c r="E13" s="25"/>
      <c r="F13" s="19"/>
    </row>
    <row r="14" spans="1:6" ht="25.8" x14ac:dyDescent="0.65">
      <c r="A14" s="27" t="s">
        <v>36</v>
      </c>
      <c r="B14" s="27"/>
      <c r="C14" s="25"/>
      <c r="D14" s="27"/>
      <c r="E14" s="25"/>
      <c r="F14" s="19"/>
    </row>
    <row r="15" spans="1:6" ht="25.8" x14ac:dyDescent="0.65">
      <c r="A15" s="27" t="s">
        <v>37</v>
      </c>
      <c r="B15" s="27"/>
      <c r="C15" s="52"/>
      <c r="D15" s="27"/>
      <c r="E15" s="25"/>
      <c r="F15" s="19"/>
    </row>
    <row r="16" spans="1:6" ht="27" thickBot="1" x14ac:dyDescent="0.75">
      <c r="A16" s="17" t="s">
        <v>25</v>
      </c>
      <c r="B16" s="50">
        <f>SUM(B4:B15)</f>
        <v>455</v>
      </c>
      <c r="C16" s="29">
        <f>SUM(C4:C15)</f>
        <v>20565</v>
      </c>
      <c r="D16" s="50">
        <f>SUM(D4:D15)</f>
        <v>0</v>
      </c>
      <c r="E16" s="29">
        <f>SUM(E4:E15)</f>
        <v>0</v>
      </c>
      <c r="F16" s="16" t="s">
        <v>43</v>
      </c>
    </row>
    <row r="17" ht="27" thickTop="1" x14ac:dyDescent="0.7"/>
    <row r="223" spans="2:2" x14ac:dyDescent="0.7">
      <c r="B223" s="39"/>
    </row>
  </sheetData>
  <mergeCells count="4">
    <mergeCell ref="B2:C2"/>
    <mergeCell ref="A2:A3"/>
    <mergeCell ref="F2:F3"/>
    <mergeCell ref="D2:E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027-62D5-4FB5-A8E5-E6ECABBE0A6A}">
  <sheetPr>
    <tabColor rgb="FFCCFFFF"/>
  </sheetPr>
  <dimension ref="A1:O59"/>
  <sheetViews>
    <sheetView zoomScale="70" zoomScaleNormal="70" workbookViewId="0">
      <pane xSplit="6" ySplit="2" topLeftCell="G41" activePane="bottomRight" state="frozen"/>
      <selection activeCell="N57" sqref="M1:N57"/>
      <selection pane="topRight" activeCell="N57" sqref="M1:N57"/>
      <selection pane="bottomLeft" activeCell="N57" sqref="M1:N57"/>
      <selection pane="bottomRight" activeCell="F59" sqref="F59"/>
    </sheetView>
  </sheetViews>
  <sheetFormatPr defaultColWidth="9.09765625" defaultRowHeight="26.4" x14ac:dyDescent="0.7"/>
  <cols>
    <col min="1" max="1" width="75.8984375" style="18" bestFit="1" customWidth="1"/>
    <col min="2" max="2" width="16.296875" style="18" bestFit="1" customWidth="1"/>
    <col min="3" max="3" width="10.8984375" style="17" customWidth="1"/>
    <col min="4" max="4" width="8.296875" style="17" customWidth="1"/>
    <col min="5" max="5" width="8.296875" style="18" customWidth="1"/>
    <col min="6" max="7" width="8.296875" style="17" customWidth="1"/>
    <col min="8" max="15" width="8.296875" style="18" customWidth="1"/>
    <col min="16" max="16384" width="9.09765625" style="15"/>
  </cols>
  <sheetData>
    <row r="1" spans="1:15" ht="28.8" x14ac:dyDescent="0.75">
      <c r="A1" s="36" t="s">
        <v>640</v>
      </c>
      <c r="B1" s="35"/>
      <c r="C1" s="40" t="s">
        <v>89</v>
      </c>
      <c r="D1" s="35" t="s">
        <v>26</v>
      </c>
      <c r="E1" s="35" t="s">
        <v>27</v>
      </c>
      <c r="F1" s="35" t="s">
        <v>28</v>
      </c>
      <c r="G1" s="35" t="s">
        <v>29</v>
      </c>
      <c r="H1" s="35" t="s">
        <v>30</v>
      </c>
      <c r="I1" s="35" t="s">
        <v>31</v>
      </c>
      <c r="J1" s="35" t="s">
        <v>32</v>
      </c>
      <c r="K1" s="35" t="s">
        <v>33</v>
      </c>
      <c r="L1" s="35" t="s">
        <v>34</v>
      </c>
      <c r="M1" s="35" t="s">
        <v>35</v>
      </c>
      <c r="N1" s="35" t="s">
        <v>36</v>
      </c>
      <c r="O1" s="35" t="s">
        <v>37</v>
      </c>
    </row>
    <row r="2" spans="1:15" s="49" customFormat="1" ht="57.6" x14ac:dyDescent="0.65">
      <c r="A2" s="7" t="s">
        <v>88</v>
      </c>
      <c r="B2" s="7" t="s">
        <v>90</v>
      </c>
      <c r="C2" s="41" t="s">
        <v>44</v>
      </c>
      <c r="D2" s="7" t="s">
        <v>19</v>
      </c>
      <c r="E2" s="7" t="s">
        <v>19</v>
      </c>
      <c r="F2" s="7" t="s">
        <v>19</v>
      </c>
      <c r="G2" s="7" t="s">
        <v>19</v>
      </c>
      <c r="H2" s="7" t="s">
        <v>19</v>
      </c>
      <c r="I2" s="7" t="s">
        <v>19</v>
      </c>
      <c r="J2" s="7" t="s">
        <v>19</v>
      </c>
      <c r="K2" s="7" t="s">
        <v>19</v>
      </c>
      <c r="L2" s="7" t="s">
        <v>19</v>
      </c>
      <c r="M2" s="7" t="s">
        <v>19</v>
      </c>
      <c r="N2" s="7" t="s">
        <v>19</v>
      </c>
      <c r="O2" s="7" t="s">
        <v>19</v>
      </c>
    </row>
    <row r="3" spans="1:15" ht="26.25" customHeight="1" x14ac:dyDescent="0.65">
      <c r="A3" s="33" t="s">
        <v>8</v>
      </c>
      <c r="B3" s="45" t="s">
        <v>91</v>
      </c>
      <c r="C3" s="43">
        <f>SUM(D3:O3)</f>
        <v>2</v>
      </c>
      <c r="D3" s="37">
        <f>+'ม.ค. เคลม'!N3</f>
        <v>1</v>
      </c>
      <c r="E3" s="37">
        <f>+'ก.พ. เคลม'!N3</f>
        <v>0</v>
      </c>
      <c r="F3" s="37">
        <f>+'มี.ค. เคลม'!N3</f>
        <v>0</v>
      </c>
      <c r="G3" s="37">
        <f>+'เม.ย. เคลม'!N3</f>
        <v>0</v>
      </c>
      <c r="H3" s="37">
        <v>1</v>
      </c>
      <c r="I3" s="37">
        <f>+'มิ.ย. เคลม'!N3</f>
        <v>0</v>
      </c>
      <c r="J3" s="37"/>
      <c r="K3" s="37"/>
      <c r="L3" s="37"/>
      <c r="M3" s="37"/>
      <c r="N3" s="37"/>
      <c r="O3" s="37"/>
    </row>
    <row r="4" spans="1:15" ht="26.25" customHeight="1" x14ac:dyDescent="0.65">
      <c r="A4" s="33" t="s">
        <v>11</v>
      </c>
      <c r="B4" s="46" t="s">
        <v>92</v>
      </c>
      <c r="C4" s="43">
        <f t="shared" ref="C4:C56" si="0">SUM(D4:O4)</f>
        <v>1</v>
      </c>
      <c r="D4" s="37">
        <f>+'ม.ค. เคลม'!N4</f>
        <v>0</v>
      </c>
      <c r="E4" s="37">
        <f>+'ก.พ. เคลม'!N4</f>
        <v>0</v>
      </c>
      <c r="F4" s="37">
        <f>+'มี.ค. เคลม'!N4</f>
        <v>0</v>
      </c>
      <c r="G4" s="37">
        <f>+'เม.ย. เคลม'!N4</f>
        <v>1</v>
      </c>
      <c r="H4" s="37">
        <v>0</v>
      </c>
      <c r="I4" s="37">
        <f>+'มิ.ย. เคลม'!N4</f>
        <v>0</v>
      </c>
      <c r="J4" s="37"/>
      <c r="K4" s="37"/>
      <c r="L4" s="37"/>
      <c r="M4" s="37"/>
      <c r="N4" s="37"/>
      <c r="O4" s="37"/>
    </row>
    <row r="5" spans="1:15" ht="26.25" customHeight="1" x14ac:dyDescent="0.65">
      <c r="A5" s="33" t="s">
        <v>9</v>
      </c>
      <c r="B5" s="47" t="s">
        <v>4</v>
      </c>
      <c r="C5" s="43">
        <f t="shared" si="0"/>
        <v>0</v>
      </c>
      <c r="D5" s="37">
        <f>+'ม.ค. เคลม'!N5</f>
        <v>0</v>
      </c>
      <c r="E5" s="37">
        <f>+'ก.พ. เคลม'!N5</f>
        <v>0</v>
      </c>
      <c r="F5" s="37">
        <f>+'มี.ค. เคลม'!N5</f>
        <v>0</v>
      </c>
      <c r="G5" s="37">
        <f>+'เม.ย. เคลม'!N5</f>
        <v>0</v>
      </c>
      <c r="H5" s="37">
        <v>0</v>
      </c>
      <c r="I5" s="37">
        <f>+'มิ.ย. เคลม'!N5</f>
        <v>0</v>
      </c>
      <c r="J5" s="37"/>
      <c r="K5" s="37"/>
      <c r="L5" s="37"/>
      <c r="M5" s="37"/>
      <c r="N5" s="37"/>
      <c r="O5" s="37"/>
    </row>
    <row r="6" spans="1:15" ht="26.25" customHeight="1" x14ac:dyDescent="0.65">
      <c r="A6" s="33" t="s">
        <v>15</v>
      </c>
      <c r="B6" s="47" t="s">
        <v>4</v>
      </c>
      <c r="C6" s="43">
        <f t="shared" si="0"/>
        <v>0</v>
      </c>
      <c r="D6" s="37">
        <f>+'ม.ค. เคลม'!N6</f>
        <v>0</v>
      </c>
      <c r="E6" s="37">
        <f>+'ก.พ. เคลม'!N6</f>
        <v>0</v>
      </c>
      <c r="F6" s="37">
        <f>+'มี.ค. เคลม'!N6</f>
        <v>0</v>
      </c>
      <c r="G6" s="37">
        <f>+'เม.ย. เคลม'!N6</f>
        <v>0</v>
      </c>
      <c r="H6" s="37">
        <v>0</v>
      </c>
      <c r="I6" s="37">
        <f>+'มิ.ย. เคลม'!N6</f>
        <v>0</v>
      </c>
      <c r="J6" s="37"/>
      <c r="K6" s="37"/>
      <c r="L6" s="37"/>
      <c r="M6" s="37"/>
      <c r="N6" s="37"/>
      <c r="O6" s="37"/>
    </row>
    <row r="7" spans="1:15" ht="26.25" customHeight="1" x14ac:dyDescent="0.65">
      <c r="A7" s="33" t="s">
        <v>12</v>
      </c>
      <c r="B7" s="48" t="s">
        <v>93</v>
      </c>
      <c r="C7" s="43">
        <f t="shared" si="0"/>
        <v>0</v>
      </c>
      <c r="D7" s="37">
        <f>+'ม.ค. เคลม'!N7</f>
        <v>0</v>
      </c>
      <c r="E7" s="37">
        <f>+'ก.พ. เคลม'!N7</f>
        <v>0</v>
      </c>
      <c r="F7" s="37">
        <f>+'มี.ค. เคลม'!N7</f>
        <v>0</v>
      </c>
      <c r="G7" s="37">
        <f>+'เม.ย. เคลม'!N7</f>
        <v>0</v>
      </c>
      <c r="H7" s="37">
        <v>0</v>
      </c>
      <c r="I7" s="37">
        <f>+'มิ.ย. เคลม'!N7</f>
        <v>0</v>
      </c>
      <c r="J7" s="37"/>
      <c r="K7" s="37"/>
      <c r="L7" s="37"/>
      <c r="M7" s="37"/>
      <c r="N7" s="37"/>
      <c r="O7" s="37"/>
    </row>
    <row r="8" spans="1:15" ht="26.25" customHeight="1" x14ac:dyDescent="0.65">
      <c r="A8" s="33" t="s">
        <v>51</v>
      </c>
      <c r="B8" s="48" t="s">
        <v>93</v>
      </c>
      <c r="C8" s="43">
        <f t="shared" si="0"/>
        <v>0</v>
      </c>
      <c r="D8" s="37">
        <f>+'ม.ค. เคลม'!N8</f>
        <v>0</v>
      </c>
      <c r="E8" s="37">
        <f>+'ก.พ. เคลม'!N8</f>
        <v>0</v>
      </c>
      <c r="F8" s="37">
        <f>+'มี.ค. เคลม'!N8</f>
        <v>0</v>
      </c>
      <c r="G8" s="37">
        <f>+'เม.ย. เคลม'!N8</f>
        <v>0</v>
      </c>
      <c r="H8" s="37">
        <v>0</v>
      </c>
      <c r="I8" s="37">
        <f>+'มิ.ย. เคลม'!N8</f>
        <v>0</v>
      </c>
      <c r="J8" s="37"/>
      <c r="K8" s="37"/>
      <c r="L8" s="37"/>
      <c r="M8" s="37"/>
      <c r="N8" s="37"/>
      <c r="O8" s="37"/>
    </row>
    <row r="9" spans="1:15" ht="26.25" customHeight="1" x14ac:dyDescent="0.65">
      <c r="A9" s="33" t="s">
        <v>46</v>
      </c>
      <c r="B9" s="48" t="s">
        <v>93</v>
      </c>
      <c r="C9" s="43">
        <f t="shared" si="0"/>
        <v>0</v>
      </c>
      <c r="D9" s="37">
        <f>+'ม.ค. เคลม'!N9</f>
        <v>0</v>
      </c>
      <c r="E9" s="37">
        <f>+'ก.พ. เคลม'!N9</f>
        <v>0</v>
      </c>
      <c r="F9" s="37">
        <f>+'มี.ค. เคลม'!N9</f>
        <v>0</v>
      </c>
      <c r="G9" s="37">
        <f>+'เม.ย. เคลม'!N9</f>
        <v>0</v>
      </c>
      <c r="H9" s="37">
        <v>0</v>
      </c>
      <c r="I9" s="37">
        <f>+'มิ.ย. เคลม'!N9</f>
        <v>0</v>
      </c>
      <c r="J9" s="37"/>
      <c r="K9" s="37"/>
      <c r="L9" s="37"/>
      <c r="M9" s="37"/>
      <c r="N9" s="37"/>
      <c r="O9" s="37"/>
    </row>
    <row r="10" spans="1:15" ht="26.25" customHeight="1" x14ac:dyDescent="0.65">
      <c r="A10" s="33" t="s">
        <v>45</v>
      </c>
      <c r="B10" s="44" t="s">
        <v>94</v>
      </c>
      <c r="C10" s="43">
        <f t="shared" si="0"/>
        <v>0</v>
      </c>
      <c r="D10" s="37">
        <f>+'ม.ค. เคลม'!N10</f>
        <v>0</v>
      </c>
      <c r="E10" s="37">
        <f>+'ก.พ. เคลม'!N10</f>
        <v>0</v>
      </c>
      <c r="F10" s="37">
        <f>+'มี.ค. เคลม'!N10</f>
        <v>0</v>
      </c>
      <c r="G10" s="37">
        <f>+'เม.ย. เคลม'!N10</f>
        <v>0</v>
      </c>
      <c r="H10" s="37">
        <v>0</v>
      </c>
      <c r="I10" s="37">
        <f>+'มิ.ย. เคลม'!N10</f>
        <v>0</v>
      </c>
      <c r="J10" s="37"/>
      <c r="K10" s="37"/>
      <c r="L10" s="37"/>
      <c r="M10" s="37"/>
      <c r="N10" s="37"/>
      <c r="O10" s="37"/>
    </row>
    <row r="11" spans="1:15" ht="26.25" customHeight="1" x14ac:dyDescent="0.65">
      <c r="A11" s="33" t="s">
        <v>10</v>
      </c>
      <c r="B11" s="45" t="s">
        <v>91</v>
      </c>
      <c r="C11" s="43">
        <f t="shared" si="0"/>
        <v>2</v>
      </c>
      <c r="D11" s="37">
        <f>+'ม.ค. เคลม'!N11</f>
        <v>1</v>
      </c>
      <c r="E11" s="37">
        <f>+'ก.พ. เคลม'!N11</f>
        <v>0</v>
      </c>
      <c r="F11" s="37">
        <f>+'มี.ค. เคลม'!N11</f>
        <v>1</v>
      </c>
      <c r="G11" s="37">
        <f>+'เม.ย. เคลม'!N11</f>
        <v>0</v>
      </c>
      <c r="H11" s="37">
        <v>0</v>
      </c>
      <c r="I11" s="37">
        <f>+'มิ.ย. เคลม'!N11</f>
        <v>0</v>
      </c>
      <c r="J11" s="37"/>
      <c r="K11" s="37"/>
      <c r="L11" s="37"/>
      <c r="M11" s="37"/>
      <c r="N11" s="37"/>
      <c r="O11" s="37"/>
    </row>
    <row r="12" spans="1:15" ht="26.25" customHeight="1" x14ac:dyDescent="0.65">
      <c r="A12" s="33" t="s">
        <v>13</v>
      </c>
      <c r="B12" s="46" t="s">
        <v>92</v>
      </c>
      <c r="C12" s="43">
        <f t="shared" si="0"/>
        <v>1</v>
      </c>
      <c r="D12" s="37">
        <f>+'ม.ค. เคลม'!N12</f>
        <v>0</v>
      </c>
      <c r="E12" s="37">
        <f>+'ก.พ. เคลม'!N12</f>
        <v>0</v>
      </c>
      <c r="F12" s="37">
        <f>+'มี.ค. เคลม'!N12</f>
        <v>1</v>
      </c>
      <c r="G12" s="37">
        <f>+'เม.ย. เคลม'!N12</f>
        <v>0</v>
      </c>
      <c r="H12" s="37">
        <v>0</v>
      </c>
      <c r="I12" s="37">
        <f>+'มิ.ย. เคลม'!N12</f>
        <v>0</v>
      </c>
      <c r="J12" s="37"/>
      <c r="K12" s="37"/>
      <c r="L12" s="37"/>
      <c r="M12" s="37"/>
      <c r="N12" s="37"/>
      <c r="O12" s="37"/>
    </row>
    <row r="13" spans="1:15" ht="26.25" customHeight="1" x14ac:dyDescent="0.65">
      <c r="A13" s="33" t="s">
        <v>52</v>
      </c>
      <c r="B13" s="47" t="s">
        <v>4</v>
      </c>
      <c r="C13" s="43">
        <f t="shared" si="0"/>
        <v>0</v>
      </c>
      <c r="D13" s="37">
        <f>+'ม.ค. เคลม'!N13</f>
        <v>0</v>
      </c>
      <c r="E13" s="37">
        <f>+'ก.พ. เคลม'!N13</f>
        <v>0</v>
      </c>
      <c r="F13" s="37">
        <f>+'มี.ค. เคลม'!N13</f>
        <v>0</v>
      </c>
      <c r="G13" s="37">
        <f>+'เม.ย. เคลม'!N13</f>
        <v>0</v>
      </c>
      <c r="H13" s="37">
        <v>0</v>
      </c>
      <c r="I13" s="37">
        <f>+'มิ.ย. เคลม'!N13</f>
        <v>0</v>
      </c>
      <c r="J13" s="37"/>
      <c r="K13" s="37"/>
      <c r="L13" s="37"/>
      <c r="M13" s="37"/>
      <c r="N13" s="37"/>
      <c r="O13" s="37"/>
    </row>
    <row r="14" spans="1:15" ht="26.25" customHeight="1" x14ac:dyDescent="0.65">
      <c r="A14" s="33" t="s">
        <v>14</v>
      </c>
      <c r="B14" s="47" t="s">
        <v>4</v>
      </c>
      <c r="C14" s="43">
        <f t="shared" si="0"/>
        <v>6</v>
      </c>
      <c r="D14" s="37">
        <f>+'ม.ค. เคลม'!N14</f>
        <v>0</v>
      </c>
      <c r="E14" s="37">
        <f>+'ก.พ. เคลม'!N14</f>
        <v>4</v>
      </c>
      <c r="F14" s="37">
        <f>+'มี.ค. เคลม'!N14</f>
        <v>1</v>
      </c>
      <c r="G14" s="37">
        <f>+'เม.ย. เคลม'!N14</f>
        <v>1</v>
      </c>
      <c r="H14" s="37">
        <v>0</v>
      </c>
      <c r="I14" s="37">
        <f>+'มิ.ย. เคลม'!N14</f>
        <v>0</v>
      </c>
      <c r="J14" s="37"/>
      <c r="K14" s="37"/>
      <c r="L14" s="37"/>
      <c r="M14" s="37"/>
      <c r="N14" s="37"/>
      <c r="O14" s="37"/>
    </row>
    <row r="15" spans="1:15" ht="26.25" customHeight="1" x14ac:dyDescent="0.65">
      <c r="A15" s="33" t="s">
        <v>53</v>
      </c>
      <c r="B15" s="48" t="s">
        <v>93</v>
      </c>
      <c r="C15" s="43">
        <f t="shared" si="0"/>
        <v>2</v>
      </c>
      <c r="D15" s="37">
        <f>+'ม.ค. เคลม'!N15</f>
        <v>0</v>
      </c>
      <c r="E15" s="37">
        <f>+'ก.พ. เคลม'!N15</f>
        <v>0</v>
      </c>
      <c r="F15" s="37">
        <f>+'มี.ค. เคลม'!N15</f>
        <v>0</v>
      </c>
      <c r="G15" s="37">
        <f>+'เม.ย. เคลม'!N15</f>
        <v>2</v>
      </c>
      <c r="H15" s="37">
        <v>0</v>
      </c>
      <c r="I15" s="37">
        <f>+'มิ.ย. เคลม'!N15</f>
        <v>0</v>
      </c>
      <c r="J15" s="37"/>
      <c r="K15" s="37"/>
      <c r="L15" s="37"/>
      <c r="M15" s="37"/>
      <c r="N15" s="37"/>
      <c r="O15" s="37"/>
    </row>
    <row r="16" spans="1:15" ht="26.25" customHeight="1" x14ac:dyDescent="0.65">
      <c r="A16" s="33" t="s">
        <v>54</v>
      </c>
      <c r="B16" s="48" t="s">
        <v>93</v>
      </c>
      <c r="C16" s="43">
        <f t="shared" si="0"/>
        <v>0</v>
      </c>
      <c r="D16" s="37">
        <f>+'ม.ค. เคลม'!N16</f>
        <v>0</v>
      </c>
      <c r="E16" s="37">
        <f>+'ก.พ. เคลม'!N16</f>
        <v>0</v>
      </c>
      <c r="F16" s="37">
        <f>+'มี.ค. เคลม'!N16</f>
        <v>0</v>
      </c>
      <c r="G16" s="37">
        <f>+'เม.ย. เคลม'!N16</f>
        <v>0</v>
      </c>
      <c r="H16" s="37">
        <v>0</v>
      </c>
      <c r="I16" s="37">
        <f>+'มิ.ย. เคลม'!N16</f>
        <v>0</v>
      </c>
      <c r="J16" s="37"/>
      <c r="K16" s="37"/>
      <c r="L16" s="37"/>
      <c r="M16" s="37"/>
      <c r="N16" s="37"/>
      <c r="O16" s="37"/>
    </row>
    <row r="17" spans="1:15" ht="26.25" customHeight="1" x14ac:dyDescent="0.65">
      <c r="A17" s="33" t="s">
        <v>48</v>
      </c>
      <c r="B17" s="48" t="s">
        <v>93</v>
      </c>
      <c r="C17" s="43">
        <f t="shared" si="0"/>
        <v>0</v>
      </c>
      <c r="D17" s="37">
        <f>+'ม.ค. เคลม'!N17</f>
        <v>0</v>
      </c>
      <c r="E17" s="37">
        <f>+'ก.พ. เคลม'!N17</f>
        <v>0</v>
      </c>
      <c r="F17" s="37">
        <f>+'มี.ค. เคลม'!N17</f>
        <v>0</v>
      </c>
      <c r="G17" s="37">
        <f>+'เม.ย. เคลม'!N17</f>
        <v>0</v>
      </c>
      <c r="H17" s="37">
        <v>0</v>
      </c>
      <c r="I17" s="37">
        <f>+'มิ.ย. เคลม'!N17</f>
        <v>0</v>
      </c>
      <c r="J17" s="37"/>
      <c r="K17" s="37"/>
      <c r="L17" s="37"/>
      <c r="M17" s="37"/>
      <c r="N17" s="37"/>
      <c r="O17" s="37"/>
    </row>
    <row r="18" spans="1:15" x14ac:dyDescent="0.65">
      <c r="A18" s="33" t="s">
        <v>55</v>
      </c>
      <c r="B18" s="44" t="s">
        <v>94</v>
      </c>
      <c r="C18" s="43">
        <f t="shared" si="0"/>
        <v>0</v>
      </c>
      <c r="D18" s="37">
        <f>+'ม.ค. เคลม'!N18</f>
        <v>0</v>
      </c>
      <c r="E18" s="37">
        <f>+'ก.พ. เคลม'!N18</f>
        <v>0</v>
      </c>
      <c r="F18" s="37">
        <f>+'มี.ค. เคลม'!N18</f>
        <v>0</v>
      </c>
      <c r="G18" s="37">
        <f>+'เม.ย. เคลม'!N18</f>
        <v>0</v>
      </c>
      <c r="H18" s="37">
        <v>0</v>
      </c>
      <c r="I18" s="37">
        <f>+'มิ.ย. เคลม'!N18</f>
        <v>0</v>
      </c>
      <c r="J18" s="37"/>
      <c r="K18" s="37"/>
      <c r="L18" s="37"/>
      <c r="M18" s="37"/>
      <c r="N18" s="37"/>
      <c r="O18" s="37"/>
    </row>
    <row r="19" spans="1:15" x14ac:dyDescent="0.65">
      <c r="A19" s="33" t="s">
        <v>18</v>
      </c>
      <c r="B19" s="45" t="s">
        <v>91</v>
      </c>
      <c r="C19" s="43">
        <f t="shared" si="0"/>
        <v>1</v>
      </c>
      <c r="D19" s="37">
        <f>+'ม.ค. เคลม'!N19</f>
        <v>1</v>
      </c>
      <c r="E19" s="37">
        <f>+'ก.พ. เคลม'!N19</f>
        <v>0</v>
      </c>
      <c r="F19" s="37">
        <f>+'มี.ค. เคลม'!N19</f>
        <v>0</v>
      </c>
      <c r="G19" s="37">
        <f>+'เม.ย. เคลม'!N19</f>
        <v>0</v>
      </c>
      <c r="H19" s="37">
        <v>0</v>
      </c>
      <c r="I19" s="37">
        <f>+'มิ.ย. เคลม'!N19</f>
        <v>0</v>
      </c>
      <c r="J19" s="37"/>
      <c r="K19" s="37"/>
      <c r="L19" s="37"/>
      <c r="M19" s="37"/>
      <c r="N19" s="37"/>
      <c r="O19" s="37"/>
    </row>
    <row r="20" spans="1:15" x14ac:dyDescent="0.65">
      <c r="A20" s="33" t="s">
        <v>56</v>
      </c>
      <c r="B20" s="46" t="s">
        <v>92</v>
      </c>
      <c r="C20" s="43">
        <f t="shared" si="0"/>
        <v>0</v>
      </c>
      <c r="D20" s="37">
        <f>+'ม.ค. เคลม'!N20</f>
        <v>0</v>
      </c>
      <c r="E20" s="37">
        <f>+'ก.พ. เคลม'!N20</f>
        <v>0</v>
      </c>
      <c r="F20" s="37">
        <f>+'มี.ค. เคลม'!N20</f>
        <v>0</v>
      </c>
      <c r="G20" s="37">
        <f>+'เม.ย. เคลม'!N20</f>
        <v>0</v>
      </c>
      <c r="H20" s="37">
        <v>0</v>
      </c>
      <c r="I20" s="37">
        <f>+'มิ.ย. เคลม'!N20</f>
        <v>0</v>
      </c>
      <c r="J20" s="37"/>
      <c r="K20" s="37"/>
      <c r="L20" s="37"/>
      <c r="M20" s="37"/>
      <c r="N20" s="37"/>
      <c r="O20" s="37"/>
    </row>
    <row r="21" spans="1:15" x14ac:dyDescent="0.65">
      <c r="A21" s="33" t="s">
        <v>20</v>
      </c>
      <c r="B21" s="47" t="s">
        <v>4</v>
      </c>
      <c r="C21" s="43">
        <f t="shared" si="0"/>
        <v>0</v>
      </c>
      <c r="D21" s="37">
        <f>+'ม.ค. เคลม'!N21</f>
        <v>0</v>
      </c>
      <c r="E21" s="37">
        <f>+'ก.พ. เคลม'!N21</f>
        <v>0</v>
      </c>
      <c r="F21" s="37">
        <f>+'มี.ค. เคลม'!N21</f>
        <v>0</v>
      </c>
      <c r="G21" s="37">
        <f>+'เม.ย. เคลม'!N21</f>
        <v>0</v>
      </c>
      <c r="H21" s="37">
        <v>0</v>
      </c>
      <c r="I21" s="37">
        <f>+'มิ.ย. เคลม'!N21</f>
        <v>0</v>
      </c>
      <c r="J21" s="37"/>
      <c r="K21" s="37"/>
      <c r="L21" s="37"/>
      <c r="M21" s="37"/>
      <c r="N21" s="37"/>
      <c r="O21" s="37"/>
    </row>
    <row r="22" spans="1:15" x14ac:dyDescent="0.65">
      <c r="A22" s="33" t="s">
        <v>57</v>
      </c>
      <c r="B22" s="47" t="s">
        <v>4</v>
      </c>
      <c r="C22" s="43">
        <f t="shared" si="0"/>
        <v>0</v>
      </c>
      <c r="D22" s="37">
        <f>+'ม.ค. เคลม'!N22</f>
        <v>0</v>
      </c>
      <c r="E22" s="37">
        <f>+'ก.พ. เคลม'!N22</f>
        <v>0</v>
      </c>
      <c r="F22" s="37">
        <f>+'มี.ค. เคลม'!N22</f>
        <v>0</v>
      </c>
      <c r="G22" s="37">
        <f>+'เม.ย. เคลม'!N22</f>
        <v>0</v>
      </c>
      <c r="H22" s="37">
        <v>0</v>
      </c>
      <c r="I22" s="37">
        <f>+'มิ.ย. เคลม'!N22</f>
        <v>0</v>
      </c>
      <c r="J22" s="37"/>
      <c r="K22" s="37"/>
      <c r="L22" s="37"/>
      <c r="M22" s="37"/>
      <c r="N22" s="37"/>
      <c r="O22" s="37"/>
    </row>
    <row r="23" spans="1:15" x14ac:dyDescent="0.65">
      <c r="A23" s="33" t="s">
        <v>58</v>
      </c>
      <c r="B23" s="48" t="s">
        <v>93</v>
      </c>
      <c r="C23" s="43">
        <f t="shared" si="0"/>
        <v>0</v>
      </c>
      <c r="D23" s="37">
        <f>+'ม.ค. เคลม'!N23</f>
        <v>0</v>
      </c>
      <c r="E23" s="37">
        <f>+'ก.พ. เคลม'!N23</f>
        <v>0</v>
      </c>
      <c r="F23" s="37">
        <f>+'มี.ค. เคลม'!N23</f>
        <v>0</v>
      </c>
      <c r="G23" s="37">
        <f>+'เม.ย. เคลม'!N23</f>
        <v>0</v>
      </c>
      <c r="H23" s="37">
        <v>0</v>
      </c>
      <c r="I23" s="37">
        <f>+'มิ.ย. เคลม'!N23</f>
        <v>0</v>
      </c>
      <c r="J23" s="37"/>
      <c r="K23" s="37"/>
      <c r="L23" s="37"/>
      <c r="M23" s="37"/>
      <c r="N23" s="37"/>
      <c r="O23" s="37"/>
    </row>
    <row r="24" spans="1:15" x14ac:dyDescent="0.65">
      <c r="A24" s="33" t="s">
        <v>59</v>
      </c>
      <c r="B24" s="48" t="s">
        <v>93</v>
      </c>
      <c r="C24" s="43">
        <f t="shared" si="0"/>
        <v>0</v>
      </c>
      <c r="D24" s="37">
        <f>+'ม.ค. เคลม'!N24</f>
        <v>0</v>
      </c>
      <c r="E24" s="37">
        <f>+'ก.พ. เคลม'!N24</f>
        <v>0</v>
      </c>
      <c r="F24" s="37">
        <f>+'มี.ค. เคลม'!N24</f>
        <v>0</v>
      </c>
      <c r="G24" s="37">
        <f>+'เม.ย. เคลม'!N24</f>
        <v>0</v>
      </c>
      <c r="H24" s="37">
        <v>0</v>
      </c>
      <c r="I24" s="37">
        <f>+'มิ.ย. เคลม'!N24</f>
        <v>0</v>
      </c>
      <c r="J24" s="37"/>
      <c r="K24" s="37"/>
      <c r="L24" s="37"/>
      <c r="M24" s="37"/>
      <c r="N24" s="37"/>
      <c r="O24" s="37"/>
    </row>
    <row r="25" spans="1:15" x14ac:dyDescent="0.65">
      <c r="A25" s="33" t="s">
        <v>60</v>
      </c>
      <c r="B25" s="48" t="s">
        <v>93</v>
      </c>
      <c r="C25" s="43">
        <f t="shared" si="0"/>
        <v>0</v>
      </c>
      <c r="D25" s="37">
        <f>+'ม.ค. เคลม'!N25</f>
        <v>0</v>
      </c>
      <c r="E25" s="37">
        <f>+'ก.พ. เคลม'!N25</f>
        <v>0</v>
      </c>
      <c r="F25" s="37">
        <f>+'มี.ค. เคลม'!N25</f>
        <v>0</v>
      </c>
      <c r="G25" s="37">
        <f>+'เม.ย. เคลม'!N25</f>
        <v>0</v>
      </c>
      <c r="H25" s="37">
        <v>0</v>
      </c>
      <c r="I25" s="37">
        <f>+'มิ.ย. เคลม'!N25</f>
        <v>0</v>
      </c>
      <c r="J25" s="37"/>
      <c r="K25" s="37"/>
      <c r="L25" s="37"/>
      <c r="M25" s="37"/>
      <c r="N25" s="37"/>
      <c r="O25" s="37"/>
    </row>
    <row r="26" spans="1:15" x14ac:dyDescent="0.65">
      <c r="A26" s="33" t="s">
        <v>61</v>
      </c>
      <c r="B26" s="44" t="s">
        <v>94</v>
      </c>
      <c r="C26" s="43">
        <f t="shared" si="0"/>
        <v>0</v>
      </c>
      <c r="D26" s="37">
        <f>+'ม.ค. เคลม'!N26</f>
        <v>0</v>
      </c>
      <c r="E26" s="37">
        <f>+'ก.พ. เคลม'!N26</f>
        <v>0</v>
      </c>
      <c r="F26" s="37">
        <f>+'มี.ค. เคลม'!N26</f>
        <v>0</v>
      </c>
      <c r="G26" s="37">
        <f>+'เม.ย. เคลม'!N26</f>
        <v>0</v>
      </c>
      <c r="H26" s="37">
        <v>0</v>
      </c>
      <c r="I26" s="37">
        <f>+'มิ.ย. เคลม'!N26</f>
        <v>0</v>
      </c>
      <c r="J26" s="37"/>
      <c r="K26" s="37"/>
      <c r="L26" s="37"/>
      <c r="M26" s="37"/>
      <c r="N26" s="37"/>
      <c r="O26" s="37"/>
    </row>
    <row r="27" spans="1:15" x14ac:dyDescent="0.65">
      <c r="A27" s="33" t="s">
        <v>62</v>
      </c>
      <c r="B27" s="45" t="s">
        <v>91</v>
      </c>
      <c r="C27" s="43">
        <f t="shared" si="0"/>
        <v>0</v>
      </c>
      <c r="D27" s="37">
        <f>+'ม.ค. เคลม'!N27</f>
        <v>0</v>
      </c>
      <c r="E27" s="37">
        <f>+'ก.พ. เคลม'!N27</f>
        <v>0</v>
      </c>
      <c r="F27" s="37">
        <f>+'มี.ค. เคลม'!N27</f>
        <v>0</v>
      </c>
      <c r="G27" s="37">
        <f>+'เม.ย. เคลม'!N27</f>
        <v>0</v>
      </c>
      <c r="H27" s="37">
        <v>0</v>
      </c>
      <c r="I27" s="37">
        <f>+'มิ.ย. เคลม'!N27</f>
        <v>0</v>
      </c>
      <c r="J27" s="37"/>
      <c r="K27" s="37"/>
      <c r="L27" s="37"/>
      <c r="M27" s="37"/>
      <c r="N27" s="37"/>
      <c r="O27" s="37"/>
    </row>
    <row r="28" spans="1:15" x14ac:dyDescent="0.65">
      <c r="A28" s="33" t="s">
        <v>63</v>
      </c>
      <c r="B28" s="46" t="s">
        <v>92</v>
      </c>
      <c r="C28" s="43">
        <f t="shared" si="0"/>
        <v>0</v>
      </c>
      <c r="D28" s="37">
        <f>+'ม.ค. เคลม'!N28</f>
        <v>0</v>
      </c>
      <c r="E28" s="37">
        <f>+'ก.พ. เคลม'!N28</f>
        <v>0</v>
      </c>
      <c r="F28" s="37">
        <f>+'มี.ค. เคลม'!N28</f>
        <v>0</v>
      </c>
      <c r="G28" s="37">
        <f>+'เม.ย. เคลม'!N28</f>
        <v>0</v>
      </c>
      <c r="H28" s="37">
        <v>0</v>
      </c>
      <c r="I28" s="37">
        <f>+'มิ.ย. เคลม'!N28</f>
        <v>0</v>
      </c>
      <c r="J28" s="37"/>
      <c r="K28" s="37"/>
      <c r="L28" s="37"/>
      <c r="M28" s="37"/>
      <c r="N28" s="37"/>
      <c r="O28" s="37"/>
    </row>
    <row r="29" spans="1:15" x14ac:dyDescent="0.65">
      <c r="A29" s="33" t="s">
        <v>64</v>
      </c>
      <c r="B29" s="47" t="s">
        <v>4</v>
      </c>
      <c r="C29" s="43">
        <f t="shared" si="0"/>
        <v>0</v>
      </c>
      <c r="D29" s="37">
        <f>+'ม.ค. เคลม'!N29</f>
        <v>0</v>
      </c>
      <c r="E29" s="37">
        <f>+'ก.พ. เคลม'!N29</f>
        <v>0</v>
      </c>
      <c r="F29" s="37">
        <f>+'มี.ค. เคลม'!N29</f>
        <v>0</v>
      </c>
      <c r="G29" s="37">
        <f>+'เม.ย. เคลม'!N29</f>
        <v>0</v>
      </c>
      <c r="H29" s="37">
        <v>0</v>
      </c>
      <c r="I29" s="37">
        <f>+'มิ.ย. เคลม'!N29</f>
        <v>0</v>
      </c>
      <c r="J29" s="37"/>
      <c r="K29" s="37"/>
      <c r="L29" s="37"/>
      <c r="M29" s="37"/>
      <c r="N29" s="37"/>
      <c r="O29" s="37"/>
    </row>
    <row r="30" spans="1:15" x14ac:dyDescent="0.65">
      <c r="A30" s="33" t="s">
        <v>65</v>
      </c>
      <c r="B30" s="47" t="s">
        <v>4</v>
      </c>
      <c r="C30" s="43">
        <f t="shared" si="0"/>
        <v>1</v>
      </c>
      <c r="D30" s="37">
        <f>+'ม.ค. เคลม'!N30</f>
        <v>0</v>
      </c>
      <c r="E30" s="37">
        <f>+'ก.พ. เคลม'!N30</f>
        <v>0</v>
      </c>
      <c r="F30" s="37">
        <f>+'มี.ค. เคลม'!N30</f>
        <v>0</v>
      </c>
      <c r="G30" s="37">
        <f>+'เม.ย. เคลม'!N30</f>
        <v>0</v>
      </c>
      <c r="H30" s="37">
        <v>1</v>
      </c>
      <c r="I30" s="37">
        <f>+'มิ.ย. เคลม'!N30</f>
        <v>0</v>
      </c>
      <c r="J30" s="37"/>
      <c r="K30" s="37"/>
      <c r="L30" s="37"/>
      <c r="M30" s="37"/>
      <c r="N30" s="37"/>
      <c r="O30" s="37"/>
    </row>
    <row r="31" spans="1:15" x14ac:dyDescent="0.65">
      <c r="A31" s="33" t="s">
        <v>66</v>
      </c>
      <c r="B31" s="48" t="s">
        <v>93</v>
      </c>
      <c r="C31" s="43">
        <f t="shared" si="0"/>
        <v>0</v>
      </c>
      <c r="D31" s="37">
        <f>+'ม.ค. เคลม'!N31</f>
        <v>0</v>
      </c>
      <c r="E31" s="37">
        <f>+'ก.พ. เคลม'!N31</f>
        <v>0</v>
      </c>
      <c r="F31" s="37">
        <f>+'มี.ค. เคลม'!N31</f>
        <v>0</v>
      </c>
      <c r="G31" s="37">
        <f>+'เม.ย. เคลม'!N31</f>
        <v>0</v>
      </c>
      <c r="H31" s="37">
        <v>0</v>
      </c>
      <c r="I31" s="37">
        <f>+'มิ.ย. เคลม'!N31</f>
        <v>0</v>
      </c>
      <c r="J31" s="37"/>
      <c r="K31" s="37"/>
      <c r="L31" s="37"/>
      <c r="M31" s="37"/>
      <c r="N31" s="37"/>
      <c r="O31" s="37"/>
    </row>
    <row r="32" spans="1:15" x14ac:dyDescent="0.65">
      <c r="A32" s="33" t="s">
        <v>67</v>
      </c>
      <c r="B32" s="48" t="s">
        <v>93</v>
      </c>
      <c r="C32" s="43">
        <f t="shared" si="0"/>
        <v>0</v>
      </c>
      <c r="D32" s="37">
        <f>+'ม.ค. เคลม'!N32</f>
        <v>0</v>
      </c>
      <c r="E32" s="37">
        <f>+'ก.พ. เคลม'!N32</f>
        <v>0</v>
      </c>
      <c r="F32" s="37">
        <f>+'มี.ค. เคลม'!N32</f>
        <v>0</v>
      </c>
      <c r="G32" s="37">
        <f>+'เม.ย. เคลม'!N32</f>
        <v>0</v>
      </c>
      <c r="H32" s="37">
        <v>0</v>
      </c>
      <c r="I32" s="37">
        <f>+'มิ.ย. เคลม'!N32</f>
        <v>0</v>
      </c>
      <c r="J32" s="37"/>
      <c r="K32" s="37"/>
      <c r="L32" s="37"/>
      <c r="M32" s="37"/>
      <c r="N32" s="37"/>
      <c r="O32" s="37"/>
    </row>
    <row r="33" spans="1:15" x14ac:dyDescent="0.65">
      <c r="A33" s="33" t="s">
        <v>68</v>
      </c>
      <c r="B33" s="48" t="s">
        <v>93</v>
      </c>
      <c r="C33" s="43">
        <f t="shared" si="0"/>
        <v>0</v>
      </c>
      <c r="D33" s="37">
        <f>+'ม.ค. เคลม'!N33</f>
        <v>0</v>
      </c>
      <c r="E33" s="37">
        <f>+'ก.พ. เคลม'!N33</f>
        <v>0</v>
      </c>
      <c r="F33" s="37">
        <f>+'มี.ค. เคลม'!N33</f>
        <v>0</v>
      </c>
      <c r="G33" s="37">
        <f>+'เม.ย. เคลม'!N33</f>
        <v>0</v>
      </c>
      <c r="H33" s="37">
        <v>0</v>
      </c>
      <c r="I33" s="37">
        <f>+'มิ.ย. เคลม'!N33</f>
        <v>0</v>
      </c>
      <c r="J33" s="37"/>
      <c r="K33" s="37"/>
      <c r="L33" s="37"/>
      <c r="M33" s="37"/>
      <c r="N33" s="37"/>
      <c r="O33" s="37"/>
    </row>
    <row r="34" spans="1:15" x14ac:dyDescent="0.65">
      <c r="A34" s="33" t="s">
        <v>69</v>
      </c>
      <c r="B34" s="44" t="s">
        <v>94</v>
      </c>
      <c r="C34" s="43">
        <f t="shared" si="0"/>
        <v>0</v>
      </c>
      <c r="D34" s="37">
        <f>+'ม.ค. เคลม'!N34</f>
        <v>0</v>
      </c>
      <c r="E34" s="37">
        <f>+'ก.พ. เคลม'!N34</f>
        <v>0</v>
      </c>
      <c r="F34" s="37">
        <f>+'มี.ค. เคลม'!N34</f>
        <v>0</v>
      </c>
      <c r="G34" s="37">
        <f>+'เม.ย. เคลม'!N34</f>
        <v>0</v>
      </c>
      <c r="H34" s="37">
        <v>0</v>
      </c>
      <c r="I34" s="37">
        <f>+'มิ.ย. เคลม'!N34</f>
        <v>0</v>
      </c>
      <c r="J34" s="37"/>
      <c r="K34" s="37"/>
      <c r="L34" s="37"/>
      <c r="M34" s="37"/>
      <c r="N34" s="37"/>
      <c r="O34" s="37"/>
    </row>
    <row r="35" spans="1:15" x14ac:dyDescent="0.65">
      <c r="A35" s="33" t="s">
        <v>70</v>
      </c>
      <c r="B35" s="45" t="s">
        <v>91</v>
      </c>
      <c r="C35" s="43">
        <f t="shared" si="0"/>
        <v>433</v>
      </c>
      <c r="D35" s="37">
        <f>+'ม.ค. เคลม'!N35</f>
        <v>46</v>
      </c>
      <c r="E35" s="37">
        <f>+'ก.พ. เคลม'!N35</f>
        <v>57</v>
      </c>
      <c r="F35" s="37">
        <f>+'มี.ค. เคลม'!N35</f>
        <v>99</v>
      </c>
      <c r="G35" s="37">
        <f>+'เม.ย. เคลม'!N35</f>
        <v>58</v>
      </c>
      <c r="H35" s="37">
        <v>88</v>
      </c>
      <c r="I35" s="37">
        <f>+'มิ.ย. เคลม'!N35</f>
        <v>85</v>
      </c>
      <c r="J35" s="37"/>
      <c r="K35" s="37"/>
      <c r="L35" s="37"/>
      <c r="M35" s="37"/>
      <c r="N35" s="37"/>
      <c r="O35" s="37"/>
    </row>
    <row r="36" spans="1:15" x14ac:dyDescent="0.65">
      <c r="A36" s="33" t="s">
        <v>71</v>
      </c>
      <c r="B36" s="46" t="s">
        <v>92</v>
      </c>
      <c r="C36" s="43">
        <f t="shared" si="0"/>
        <v>0</v>
      </c>
      <c r="D36" s="37">
        <f>+'ม.ค. เคลม'!N36</f>
        <v>0</v>
      </c>
      <c r="E36" s="37">
        <f>+'ก.พ. เคลม'!N36</f>
        <v>0</v>
      </c>
      <c r="F36" s="37">
        <f>+'มี.ค. เคลม'!N36</f>
        <v>0</v>
      </c>
      <c r="G36" s="37">
        <f>+'เม.ย. เคลม'!N36</f>
        <v>0</v>
      </c>
      <c r="H36" s="37">
        <v>0</v>
      </c>
      <c r="I36" s="37">
        <f>+'มิ.ย. เคลม'!N36</f>
        <v>0</v>
      </c>
      <c r="J36" s="37"/>
      <c r="K36" s="37"/>
      <c r="L36" s="37"/>
      <c r="M36" s="37"/>
      <c r="N36" s="37"/>
      <c r="O36" s="37"/>
    </row>
    <row r="37" spans="1:15" x14ac:dyDescent="0.65">
      <c r="A37" s="33" t="s">
        <v>72</v>
      </c>
      <c r="B37" s="47" t="s">
        <v>4</v>
      </c>
      <c r="C37" s="43">
        <f t="shared" si="0"/>
        <v>0</v>
      </c>
      <c r="D37" s="37">
        <f>+'ม.ค. เคลม'!N37</f>
        <v>0</v>
      </c>
      <c r="E37" s="37">
        <f>+'ก.พ. เคลม'!N37</f>
        <v>0</v>
      </c>
      <c r="F37" s="37">
        <f>+'มี.ค. เคลม'!N37</f>
        <v>0</v>
      </c>
      <c r="G37" s="37">
        <f>+'เม.ย. เคลม'!N37</f>
        <v>0</v>
      </c>
      <c r="H37" s="37">
        <v>0</v>
      </c>
      <c r="I37" s="37">
        <f>+'มิ.ย. เคลม'!N37</f>
        <v>0</v>
      </c>
      <c r="J37" s="37"/>
      <c r="K37" s="37"/>
      <c r="L37" s="37"/>
      <c r="M37" s="37"/>
      <c r="N37" s="37"/>
      <c r="O37" s="37"/>
    </row>
    <row r="38" spans="1:15" x14ac:dyDescent="0.65">
      <c r="A38" s="33" t="s">
        <v>73</v>
      </c>
      <c r="B38" s="47" t="s">
        <v>4</v>
      </c>
      <c r="C38" s="43">
        <f t="shared" si="0"/>
        <v>4</v>
      </c>
      <c r="D38" s="37">
        <f>+'ม.ค. เคลม'!N38</f>
        <v>1</v>
      </c>
      <c r="E38" s="37">
        <f>+'ก.พ. เคลม'!N38</f>
        <v>1</v>
      </c>
      <c r="F38" s="37">
        <f>+'มี.ค. เคลม'!N38</f>
        <v>0</v>
      </c>
      <c r="G38" s="37">
        <f>+'เม.ย. เคลม'!N38</f>
        <v>0</v>
      </c>
      <c r="H38" s="37">
        <v>1</v>
      </c>
      <c r="I38" s="37">
        <f>+'มิ.ย. เคลม'!N38</f>
        <v>1</v>
      </c>
      <c r="J38" s="37"/>
      <c r="K38" s="37"/>
      <c r="L38" s="37"/>
      <c r="M38" s="37"/>
      <c r="N38" s="37"/>
      <c r="O38" s="37"/>
    </row>
    <row r="39" spans="1:15" x14ac:dyDescent="0.65">
      <c r="A39" s="33" t="s">
        <v>74</v>
      </c>
      <c r="B39" s="48" t="s">
        <v>93</v>
      </c>
      <c r="C39" s="43">
        <f t="shared" si="0"/>
        <v>0</v>
      </c>
      <c r="D39" s="37">
        <f>+'ม.ค. เคลม'!N39</f>
        <v>0</v>
      </c>
      <c r="E39" s="37">
        <f>+'ก.พ. เคลม'!N39</f>
        <v>0</v>
      </c>
      <c r="F39" s="37">
        <f>+'มี.ค. เคลม'!N39</f>
        <v>0</v>
      </c>
      <c r="G39" s="37">
        <f>+'เม.ย. เคลม'!N39</f>
        <v>0</v>
      </c>
      <c r="H39" s="37">
        <v>0</v>
      </c>
      <c r="I39" s="37">
        <f>+'มิ.ย. เคลม'!N39</f>
        <v>0</v>
      </c>
      <c r="J39" s="37"/>
      <c r="K39" s="37"/>
      <c r="L39" s="37"/>
      <c r="M39" s="37"/>
      <c r="N39" s="37"/>
      <c r="O39" s="37"/>
    </row>
    <row r="40" spans="1:15" x14ac:dyDescent="0.65">
      <c r="A40" s="33" t="s">
        <v>75</v>
      </c>
      <c r="B40" s="48" t="s">
        <v>93</v>
      </c>
      <c r="C40" s="43">
        <f>SUM(D40:O40)</f>
        <v>0</v>
      </c>
      <c r="D40" s="37">
        <f>+'ม.ค. เคลม'!N40</f>
        <v>0</v>
      </c>
      <c r="E40" s="37">
        <f>+'ก.พ. เคลม'!N40</f>
        <v>0</v>
      </c>
      <c r="F40" s="37">
        <f>+'มี.ค. เคลม'!N40</f>
        <v>0</v>
      </c>
      <c r="G40" s="37">
        <f>+'เม.ย. เคลม'!N40</f>
        <v>0</v>
      </c>
      <c r="H40" s="37">
        <v>0</v>
      </c>
      <c r="I40" s="37">
        <f>+'มิ.ย. เคลม'!N40</f>
        <v>0</v>
      </c>
      <c r="J40" s="37"/>
      <c r="K40" s="37"/>
      <c r="L40" s="37"/>
      <c r="M40" s="37"/>
      <c r="N40" s="37"/>
      <c r="O40" s="37"/>
    </row>
    <row r="41" spans="1:15" x14ac:dyDescent="0.65">
      <c r="A41" s="33" t="s">
        <v>76</v>
      </c>
      <c r="B41" s="48" t="s">
        <v>93</v>
      </c>
      <c r="C41" s="43">
        <f t="shared" si="0"/>
        <v>0</v>
      </c>
      <c r="D41" s="37">
        <f>+'ม.ค. เคลม'!N41</f>
        <v>0</v>
      </c>
      <c r="E41" s="37">
        <f>+'ก.พ. เคลม'!N41</f>
        <v>0</v>
      </c>
      <c r="F41" s="37">
        <f>+'มี.ค. เคลม'!N41</f>
        <v>0</v>
      </c>
      <c r="G41" s="37">
        <f>+'เม.ย. เคลม'!N41</f>
        <v>0</v>
      </c>
      <c r="H41" s="37">
        <v>0</v>
      </c>
      <c r="I41" s="37">
        <f>+'มิ.ย. เคลม'!N41</f>
        <v>0</v>
      </c>
      <c r="J41" s="37"/>
      <c r="K41" s="37"/>
      <c r="L41" s="37"/>
      <c r="M41" s="37"/>
      <c r="N41" s="37"/>
      <c r="O41" s="37"/>
    </row>
    <row r="42" spans="1:15" x14ac:dyDescent="0.65">
      <c r="A42" s="33" t="s">
        <v>77</v>
      </c>
      <c r="B42" s="44" t="s">
        <v>94</v>
      </c>
      <c r="C42" s="43">
        <f t="shared" si="0"/>
        <v>0</v>
      </c>
      <c r="D42" s="37">
        <f>+'ม.ค. เคลม'!N42</f>
        <v>0</v>
      </c>
      <c r="E42" s="37">
        <f>+'ก.พ. เคลม'!N42</f>
        <v>0</v>
      </c>
      <c r="F42" s="37">
        <f>+'มี.ค. เคลม'!N42</f>
        <v>0</v>
      </c>
      <c r="G42" s="37">
        <f>+'เม.ย. เคลม'!N42</f>
        <v>0</v>
      </c>
      <c r="H42" s="37">
        <v>0</v>
      </c>
      <c r="I42" s="37">
        <f>+'มิ.ย. เคลม'!N42</f>
        <v>0</v>
      </c>
      <c r="J42" s="37"/>
      <c r="K42" s="37"/>
      <c r="L42" s="37"/>
      <c r="M42" s="37"/>
      <c r="N42" s="37"/>
      <c r="O42" s="37"/>
    </row>
    <row r="43" spans="1:15" x14ac:dyDescent="0.65">
      <c r="A43" s="33" t="s">
        <v>21</v>
      </c>
      <c r="B43" s="45" t="s">
        <v>91</v>
      </c>
      <c r="C43" s="43">
        <f t="shared" si="0"/>
        <v>2</v>
      </c>
      <c r="D43" s="37">
        <f>+'ม.ค. เคลม'!N43</f>
        <v>0</v>
      </c>
      <c r="E43" s="37">
        <f>+'ก.พ. เคลม'!N43</f>
        <v>0</v>
      </c>
      <c r="F43" s="37">
        <f>+'มี.ค. เคลม'!N43</f>
        <v>0</v>
      </c>
      <c r="G43" s="37">
        <f>+'เม.ย. เคลม'!N43</f>
        <v>2</v>
      </c>
      <c r="H43" s="37">
        <v>0</v>
      </c>
      <c r="I43" s="37">
        <f>+'มิ.ย. เคลม'!N43</f>
        <v>0</v>
      </c>
      <c r="J43" s="37"/>
      <c r="K43" s="37"/>
      <c r="L43" s="37"/>
      <c r="M43" s="37"/>
      <c r="N43" s="37"/>
      <c r="O43" s="37"/>
    </row>
    <row r="44" spans="1:15" x14ac:dyDescent="0.65">
      <c r="A44" s="33" t="s">
        <v>78</v>
      </c>
      <c r="B44" s="46" t="s">
        <v>92</v>
      </c>
      <c r="C44" s="43">
        <f t="shared" si="0"/>
        <v>0</v>
      </c>
      <c r="D44" s="37">
        <f>+'ม.ค. เคลม'!N44</f>
        <v>0</v>
      </c>
      <c r="E44" s="37">
        <f>+'ก.พ. เคลม'!N44</f>
        <v>0</v>
      </c>
      <c r="F44" s="37">
        <f>+'มี.ค. เคลม'!N44</f>
        <v>0</v>
      </c>
      <c r="G44" s="37">
        <f>+'เม.ย. เคลม'!N44</f>
        <v>0</v>
      </c>
      <c r="H44" s="37">
        <v>0</v>
      </c>
      <c r="I44" s="37">
        <f>+'มิ.ย. เคลม'!N44</f>
        <v>0</v>
      </c>
      <c r="J44" s="37"/>
      <c r="K44" s="37"/>
      <c r="L44" s="37"/>
      <c r="M44" s="37"/>
      <c r="N44" s="37"/>
      <c r="O44" s="37"/>
    </row>
    <row r="45" spans="1:15" x14ac:dyDescent="0.65">
      <c r="A45" s="33" t="s">
        <v>79</v>
      </c>
      <c r="B45" s="47" t="s">
        <v>4</v>
      </c>
      <c r="C45" s="43">
        <f t="shared" si="0"/>
        <v>0</v>
      </c>
      <c r="D45" s="37">
        <f>+'ม.ค. เคลม'!N45</f>
        <v>0</v>
      </c>
      <c r="E45" s="37">
        <f>+'ก.พ. เคลม'!N45</f>
        <v>0</v>
      </c>
      <c r="F45" s="37">
        <f>+'มี.ค. เคลม'!N45</f>
        <v>0</v>
      </c>
      <c r="G45" s="37">
        <f>+'เม.ย. เคลม'!N45</f>
        <v>0</v>
      </c>
      <c r="H45" s="37">
        <v>0</v>
      </c>
      <c r="I45" s="37">
        <f>+'มิ.ย. เคลม'!N45</f>
        <v>0</v>
      </c>
      <c r="J45" s="37"/>
      <c r="K45" s="37"/>
      <c r="L45" s="37"/>
      <c r="M45" s="37"/>
      <c r="N45" s="37"/>
      <c r="O45" s="37"/>
    </row>
    <row r="46" spans="1:15" x14ac:dyDescent="0.65">
      <c r="A46" s="33" t="s">
        <v>80</v>
      </c>
      <c r="B46" s="47" t="s">
        <v>4</v>
      </c>
      <c r="C46" s="43">
        <f t="shared" si="0"/>
        <v>0</v>
      </c>
      <c r="D46" s="37">
        <f>+'ม.ค. เคลม'!N46</f>
        <v>0</v>
      </c>
      <c r="E46" s="37">
        <f>+'ก.พ. เคลม'!N46</f>
        <v>0</v>
      </c>
      <c r="F46" s="37">
        <f>+'มี.ค. เคลม'!N46</f>
        <v>0</v>
      </c>
      <c r="G46" s="37">
        <f>+'เม.ย. เคลม'!N46</f>
        <v>0</v>
      </c>
      <c r="H46" s="37">
        <v>0</v>
      </c>
      <c r="I46" s="37">
        <f>+'มิ.ย. เคลม'!N46</f>
        <v>0</v>
      </c>
      <c r="J46" s="37"/>
      <c r="K46" s="37"/>
      <c r="L46" s="37"/>
      <c r="M46" s="37"/>
      <c r="N46" s="37"/>
      <c r="O46" s="37"/>
    </row>
    <row r="47" spans="1:15" x14ac:dyDescent="0.65">
      <c r="A47" s="33" t="s">
        <v>81</v>
      </c>
      <c r="B47" s="48" t="s">
        <v>93</v>
      </c>
      <c r="C47" s="43">
        <f t="shared" si="0"/>
        <v>0</v>
      </c>
      <c r="D47" s="37">
        <f>+'ม.ค. เคลม'!N47</f>
        <v>0</v>
      </c>
      <c r="E47" s="37">
        <f>+'ก.พ. เคลม'!N47</f>
        <v>0</v>
      </c>
      <c r="F47" s="37">
        <f>+'มี.ค. เคลม'!N47</f>
        <v>0</v>
      </c>
      <c r="G47" s="37">
        <f>+'เม.ย. เคลม'!N47</f>
        <v>0</v>
      </c>
      <c r="H47" s="37">
        <v>0</v>
      </c>
      <c r="I47" s="37">
        <f>+'มิ.ย. เคลม'!N47</f>
        <v>0</v>
      </c>
      <c r="J47" s="37"/>
      <c r="K47" s="37"/>
      <c r="L47" s="37"/>
      <c r="M47" s="37"/>
      <c r="N47" s="37"/>
      <c r="O47" s="37"/>
    </row>
    <row r="48" spans="1:15" x14ac:dyDescent="0.65">
      <c r="A48" s="33" t="s">
        <v>86</v>
      </c>
      <c r="B48" s="48" t="s">
        <v>93</v>
      </c>
      <c r="C48" s="43">
        <f t="shared" si="0"/>
        <v>0</v>
      </c>
      <c r="D48" s="37">
        <f>+'ม.ค. เคลม'!N48</f>
        <v>0</v>
      </c>
      <c r="E48" s="37">
        <f>+'ก.พ. เคลม'!N48</f>
        <v>0</v>
      </c>
      <c r="F48" s="37">
        <f>+'มี.ค. เคลม'!N48</f>
        <v>0</v>
      </c>
      <c r="G48" s="37">
        <f>+'เม.ย. เคลม'!N48</f>
        <v>0</v>
      </c>
      <c r="H48" s="37">
        <v>0</v>
      </c>
      <c r="I48" s="37">
        <f>+'มิ.ย. เคลม'!N48</f>
        <v>0</v>
      </c>
      <c r="J48" s="37"/>
      <c r="K48" s="37"/>
      <c r="L48" s="37"/>
      <c r="M48" s="37"/>
      <c r="N48" s="37"/>
      <c r="O48" s="37"/>
    </row>
    <row r="49" spans="1:15" x14ac:dyDescent="0.65">
      <c r="A49" s="33" t="s">
        <v>82</v>
      </c>
      <c r="B49" s="48" t="s">
        <v>93</v>
      </c>
      <c r="C49" s="43">
        <f t="shared" si="0"/>
        <v>0</v>
      </c>
      <c r="D49" s="37">
        <f>+'ม.ค. เคลม'!N49</f>
        <v>0</v>
      </c>
      <c r="E49" s="37">
        <f>+'ก.พ. เคลม'!N49</f>
        <v>0</v>
      </c>
      <c r="F49" s="37">
        <f>+'มี.ค. เคลม'!N49</f>
        <v>0</v>
      </c>
      <c r="G49" s="37">
        <f>+'เม.ย. เคลม'!N49</f>
        <v>0</v>
      </c>
      <c r="H49" s="37">
        <v>0</v>
      </c>
      <c r="I49" s="37">
        <f>+'มิ.ย. เคลม'!N49</f>
        <v>0</v>
      </c>
      <c r="J49" s="37"/>
      <c r="K49" s="37"/>
      <c r="L49" s="37"/>
      <c r="M49" s="37"/>
      <c r="N49" s="37"/>
      <c r="O49" s="37"/>
    </row>
    <row r="50" spans="1:15" x14ac:dyDescent="0.65">
      <c r="A50" s="33" t="s">
        <v>85</v>
      </c>
      <c r="B50" s="44" t="s">
        <v>94</v>
      </c>
      <c r="C50" s="43">
        <f t="shared" si="0"/>
        <v>0</v>
      </c>
      <c r="D50" s="37">
        <f>+'ม.ค. เคลม'!N50</f>
        <v>0</v>
      </c>
      <c r="E50" s="37">
        <f>+'ก.พ. เคลม'!N50</f>
        <v>0</v>
      </c>
      <c r="F50" s="37">
        <f>+'มี.ค. เคลม'!N50</f>
        <v>0</v>
      </c>
      <c r="G50" s="37">
        <f>+'เม.ย. เคลม'!N50</f>
        <v>0</v>
      </c>
      <c r="H50" s="37">
        <v>0</v>
      </c>
      <c r="I50" s="37">
        <f>+'มิ.ย. เคลม'!N50</f>
        <v>0</v>
      </c>
      <c r="J50" s="37"/>
      <c r="K50" s="37"/>
      <c r="L50" s="37"/>
      <c r="M50" s="37"/>
      <c r="N50" s="37"/>
      <c r="O50" s="37"/>
    </row>
    <row r="51" spans="1:15" x14ac:dyDescent="0.65">
      <c r="A51" s="33" t="s">
        <v>83</v>
      </c>
      <c r="B51" s="44" t="s">
        <v>94</v>
      </c>
      <c r="C51" s="43">
        <f t="shared" si="0"/>
        <v>0</v>
      </c>
      <c r="D51" s="37">
        <f>+'ม.ค. เคลม'!N51</f>
        <v>0</v>
      </c>
      <c r="E51" s="37">
        <f>+'ก.พ. เคลม'!N51</f>
        <v>0</v>
      </c>
      <c r="F51" s="37">
        <f>+'มี.ค. เคลม'!N51</f>
        <v>0</v>
      </c>
      <c r="G51" s="37">
        <f>+'เม.ย. เคลม'!N51</f>
        <v>0</v>
      </c>
      <c r="H51" s="37">
        <v>0</v>
      </c>
      <c r="I51" s="37">
        <f>+'มิ.ย. เคลม'!N51</f>
        <v>0</v>
      </c>
      <c r="J51" s="37"/>
      <c r="K51" s="37"/>
      <c r="L51" s="37"/>
      <c r="M51" s="37"/>
      <c r="N51" s="37"/>
      <c r="O51" s="37"/>
    </row>
    <row r="52" spans="1:15" x14ac:dyDescent="0.65">
      <c r="A52" s="33" t="s">
        <v>41</v>
      </c>
      <c r="B52" s="48" t="s">
        <v>93</v>
      </c>
      <c r="C52" s="43">
        <f t="shared" si="0"/>
        <v>0</v>
      </c>
      <c r="D52" s="37">
        <f>+'ม.ค. เคลม'!N52</f>
        <v>0</v>
      </c>
      <c r="E52" s="37">
        <f>+'ก.พ. เคลม'!N52</f>
        <v>0</v>
      </c>
      <c r="F52" s="37">
        <f>+'มี.ค. เคลม'!N52</f>
        <v>0</v>
      </c>
      <c r="G52" s="37">
        <f>+'เม.ย. เคลม'!N52</f>
        <v>0</v>
      </c>
      <c r="H52" s="37">
        <v>0</v>
      </c>
      <c r="I52" s="37">
        <f>+'มิ.ย. เคลม'!N52</f>
        <v>0</v>
      </c>
      <c r="J52" s="37"/>
      <c r="K52" s="37"/>
      <c r="L52" s="37"/>
      <c r="M52" s="37"/>
      <c r="N52" s="37"/>
      <c r="O52" s="37"/>
    </row>
    <row r="53" spans="1:15" x14ac:dyDescent="0.65">
      <c r="A53" s="33" t="s">
        <v>84</v>
      </c>
      <c r="B53" s="44" t="s">
        <v>94</v>
      </c>
      <c r="C53" s="43">
        <f t="shared" si="0"/>
        <v>0</v>
      </c>
      <c r="D53" s="37">
        <f>+'ม.ค. เคลม'!N53</f>
        <v>0</v>
      </c>
      <c r="E53" s="37">
        <f>+'ก.พ. เคลม'!N53</f>
        <v>0</v>
      </c>
      <c r="F53" s="37">
        <f>+'มี.ค. เคลม'!N53</f>
        <v>0</v>
      </c>
      <c r="G53" s="37">
        <f>+'เม.ย. เคลม'!N53</f>
        <v>0</v>
      </c>
      <c r="H53" s="37">
        <v>0</v>
      </c>
      <c r="I53" s="37">
        <f>+'มิ.ย. เคลม'!N53</f>
        <v>0</v>
      </c>
      <c r="J53" s="37"/>
      <c r="K53" s="37"/>
      <c r="L53" s="37"/>
      <c r="M53" s="37"/>
      <c r="N53" s="37"/>
      <c r="O53" s="37"/>
    </row>
    <row r="54" spans="1:15" x14ac:dyDescent="0.65">
      <c r="A54" s="33" t="s">
        <v>47</v>
      </c>
      <c r="B54" s="47" t="s">
        <v>4</v>
      </c>
      <c r="C54" s="43">
        <f t="shared" si="0"/>
        <v>0</v>
      </c>
      <c r="D54" s="37">
        <f>+'ม.ค. เคลม'!N54</f>
        <v>0</v>
      </c>
      <c r="E54" s="37">
        <f>+'ก.พ. เคลม'!N54</f>
        <v>0</v>
      </c>
      <c r="F54" s="37">
        <f>+'มี.ค. เคลม'!N54</f>
        <v>0</v>
      </c>
      <c r="G54" s="37">
        <f>+'เม.ย. เคลม'!N54</f>
        <v>0</v>
      </c>
      <c r="H54" s="37">
        <v>0</v>
      </c>
      <c r="I54" s="37">
        <f>+'มิ.ย. เคลม'!N54</f>
        <v>0</v>
      </c>
      <c r="J54" s="37"/>
      <c r="K54" s="37"/>
      <c r="L54" s="37"/>
      <c r="M54" s="37"/>
      <c r="N54" s="37"/>
      <c r="O54" s="37"/>
    </row>
    <row r="55" spans="1:15" x14ac:dyDescent="0.65">
      <c r="A55" s="33" t="s">
        <v>87</v>
      </c>
      <c r="B55" s="45" t="s">
        <v>91</v>
      </c>
      <c r="C55" s="43">
        <f t="shared" si="0"/>
        <v>0</v>
      </c>
      <c r="D55" s="37">
        <f>+'ม.ค. เคลม'!N55</f>
        <v>0</v>
      </c>
      <c r="E55" s="37">
        <f>+'ก.พ. เคลม'!N55</f>
        <v>0</v>
      </c>
      <c r="F55" s="37">
        <f>+'มี.ค. เคลม'!N55</f>
        <v>0</v>
      </c>
      <c r="G55" s="37">
        <f>+'เม.ย. เคลม'!N55</f>
        <v>0</v>
      </c>
      <c r="H55" s="37">
        <v>0</v>
      </c>
      <c r="I55" s="37">
        <f>+'มิ.ย. เคลม'!N55</f>
        <v>0</v>
      </c>
      <c r="J55" s="37"/>
      <c r="K55" s="37"/>
      <c r="L55" s="37"/>
      <c r="M55" s="37"/>
      <c r="N55" s="37"/>
      <c r="O55" s="37"/>
    </row>
    <row r="56" spans="1:15" x14ac:dyDescent="0.65">
      <c r="A56" s="33" t="s">
        <v>22</v>
      </c>
      <c r="B56" s="44" t="s">
        <v>94</v>
      </c>
      <c r="C56" s="43">
        <f t="shared" si="0"/>
        <v>0</v>
      </c>
      <c r="D56" s="37">
        <f>+'ม.ค. เคลม'!N56</f>
        <v>0</v>
      </c>
      <c r="E56" s="37">
        <f>+'ก.พ. เคลม'!N56</f>
        <v>0</v>
      </c>
      <c r="F56" s="37">
        <f>+'มี.ค. เคลม'!N56</f>
        <v>0</v>
      </c>
      <c r="G56" s="37">
        <f>+'เม.ย. เคลม'!N56</f>
        <v>0</v>
      </c>
      <c r="H56" s="37">
        <v>0</v>
      </c>
      <c r="I56" s="37">
        <f>+'มิ.ย. เคลม'!N56</f>
        <v>0</v>
      </c>
      <c r="J56" s="37"/>
      <c r="K56" s="37"/>
      <c r="L56" s="37"/>
      <c r="M56" s="37"/>
      <c r="N56" s="37"/>
      <c r="O56" s="37"/>
    </row>
    <row r="57" spans="1:15" ht="27" thickBot="1" x14ac:dyDescent="0.7">
      <c r="A57" s="32"/>
      <c r="B57" s="12"/>
      <c r="C57" s="42">
        <f>SUM(C3:C56)</f>
        <v>455</v>
      </c>
      <c r="D57" s="38">
        <f>SUM(D3:D56)</f>
        <v>50</v>
      </c>
      <c r="E57" s="38">
        <f t="shared" ref="E57:O57" si="1">SUM(E3:E56)</f>
        <v>62</v>
      </c>
      <c r="F57" s="38">
        <f t="shared" si="1"/>
        <v>102</v>
      </c>
      <c r="G57" s="38">
        <f>SUM(G3:G56)</f>
        <v>64</v>
      </c>
      <c r="H57" s="38">
        <f t="shared" si="1"/>
        <v>91</v>
      </c>
      <c r="I57" s="38">
        <f t="shared" si="1"/>
        <v>86</v>
      </c>
      <c r="J57" s="38">
        <f>SUM(J3:J56)</f>
        <v>0</v>
      </c>
      <c r="K57" s="38">
        <f t="shared" si="1"/>
        <v>0</v>
      </c>
      <c r="L57" s="38">
        <f t="shared" si="1"/>
        <v>0</v>
      </c>
      <c r="M57" s="38">
        <f t="shared" si="1"/>
        <v>0</v>
      </c>
      <c r="N57" s="38">
        <f t="shared" si="1"/>
        <v>0</v>
      </c>
      <c r="O57" s="38">
        <f t="shared" si="1"/>
        <v>0</v>
      </c>
    </row>
    <row r="58" spans="1:15" ht="27" thickTop="1" x14ac:dyDescent="0.7"/>
    <row r="59" spans="1:15" x14ac:dyDescent="0.7">
      <c r="D59" s="51"/>
    </row>
  </sheetData>
  <autoFilter ref="A2:O57" xr:uid="{F153D027-62D5-4FB5-A8E5-E6ECABBE0A6A}"/>
  <phoneticPr fontId="9" type="noConversion"/>
  <conditionalFormatting sqref="A2:B2">
    <cfRule type="duplicateValues" dxfId="51" priority="3"/>
  </conditionalFormatting>
  <conditionalFormatting sqref="C2:O2">
    <cfRule type="duplicateValues" dxfId="50" priority="167"/>
    <cfRule type="duplicateValues" dxfId="49" priority="16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277-E941-4F8C-B88B-7443D998D414}">
  <sheetPr>
    <tabColor rgb="FFFF99FF"/>
  </sheetPr>
  <dimension ref="A1:N104"/>
  <sheetViews>
    <sheetView zoomScale="55" zoomScaleNormal="55" workbookViewId="0">
      <pane xSplit="6" ySplit="2" topLeftCell="L31" activePane="bottomRight" state="frozen"/>
      <selection activeCell="I48" sqref="A48:I48"/>
      <selection pane="topRight" activeCell="I48" sqref="A48:I48"/>
      <selection pane="bottomLeft" activeCell="I48" sqref="A48:I48"/>
      <selection pane="bottomRight" activeCell="K42" sqref="K42:P43"/>
    </sheetView>
  </sheetViews>
  <sheetFormatPr defaultColWidth="54.69921875" defaultRowHeight="13.8" x14ac:dyDescent="0.25"/>
  <cols>
    <col min="1" max="1" width="7.09765625" style="5" customWidth="1"/>
    <col min="2" max="2" width="15.69921875" bestFit="1" customWidth="1"/>
    <col min="3" max="3" width="30.296875" customWidth="1"/>
    <col min="4" max="4" width="16.19921875" customWidth="1"/>
    <col min="5" max="5" width="29.296875" customWidth="1"/>
    <col min="6" max="6" width="15.296875" bestFit="1" customWidth="1"/>
    <col min="7" max="7" width="17.296875" customWidth="1"/>
    <col min="8" max="8" width="10.09765625" customWidth="1"/>
    <col min="9" max="9" width="23" customWidth="1"/>
    <col min="10" max="10" width="15.19921875" style="20" customWidth="1"/>
    <col min="11" max="11" width="74.796875" style="5" customWidth="1"/>
    <col min="12" max="12" width="65.69921875" bestFit="1" customWidth="1"/>
    <col min="13" max="13" width="74.796875" style="5" customWidth="1"/>
    <col min="14" max="14" width="17.19921875" bestFit="1" customWidth="1"/>
  </cols>
  <sheetData>
    <row r="1" spans="1:14" ht="60" customHeight="1" thickBot="1" x14ac:dyDescent="0.75">
      <c r="A1" s="8" t="s">
        <v>96</v>
      </c>
      <c r="I1" s="53" t="s">
        <v>42</v>
      </c>
      <c r="J1" s="24">
        <f>SUBTOTAL(9,J3:J100)</f>
        <v>2745</v>
      </c>
      <c r="K1" s="54" t="s">
        <v>43</v>
      </c>
    </row>
    <row r="2" spans="1:14" ht="29.4" thickTop="1" x14ac:dyDescent="0.75">
      <c r="A2" s="10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38</v>
      </c>
      <c r="J2" s="21" t="s">
        <v>40</v>
      </c>
      <c r="K2" s="7" t="s">
        <v>7</v>
      </c>
      <c r="M2" s="7" t="s">
        <v>17</v>
      </c>
      <c r="N2" s="7" t="s">
        <v>19</v>
      </c>
    </row>
    <row r="3" spans="1:14" s="3" customFormat="1" ht="25.8" x14ac:dyDescent="0.6">
      <c r="A3" s="9">
        <v>1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>
        <v>0</v>
      </c>
      <c r="I3" s="1" t="s">
        <v>335</v>
      </c>
      <c r="J3" s="22">
        <v>45</v>
      </c>
      <c r="K3" s="30" t="s">
        <v>70</v>
      </c>
      <c r="L3"/>
      <c r="M3" s="33" t="s">
        <v>8</v>
      </c>
      <c r="N3" s="30">
        <v>1</v>
      </c>
    </row>
    <row r="4" spans="1:14" s="3" customFormat="1" ht="25.8" x14ac:dyDescent="0.6">
      <c r="A4" s="9">
        <v>2</v>
      </c>
      <c r="B4" s="1" t="s">
        <v>104</v>
      </c>
      <c r="C4" s="1" t="s">
        <v>105</v>
      </c>
      <c r="D4" s="1" t="s">
        <v>106</v>
      </c>
      <c r="E4" s="1" t="s">
        <v>107</v>
      </c>
      <c r="F4" s="1" t="s">
        <v>102</v>
      </c>
      <c r="G4" s="1" t="s">
        <v>108</v>
      </c>
      <c r="H4" s="1">
        <v>0</v>
      </c>
      <c r="I4" s="1" t="s">
        <v>336</v>
      </c>
      <c r="J4" s="22">
        <v>45</v>
      </c>
      <c r="K4" s="30" t="s">
        <v>70</v>
      </c>
      <c r="L4"/>
      <c r="M4" s="33" t="s">
        <v>11</v>
      </c>
      <c r="N4" s="30">
        <v>0</v>
      </c>
    </row>
    <row r="5" spans="1:14" s="3" customFormat="1" ht="25.8" x14ac:dyDescent="0.6">
      <c r="A5" s="9">
        <v>3</v>
      </c>
      <c r="B5" s="1" t="s">
        <v>109</v>
      </c>
      <c r="C5" s="1" t="s">
        <v>110</v>
      </c>
      <c r="D5" s="1" t="s">
        <v>106</v>
      </c>
      <c r="E5" s="1" t="s">
        <v>107</v>
      </c>
      <c r="F5" s="1" t="s">
        <v>102</v>
      </c>
      <c r="G5" s="1" t="s">
        <v>111</v>
      </c>
      <c r="H5" s="1">
        <v>0</v>
      </c>
      <c r="I5" s="1" t="s">
        <v>337</v>
      </c>
      <c r="J5" s="22">
        <v>45</v>
      </c>
      <c r="K5" s="30" t="s">
        <v>70</v>
      </c>
      <c r="L5"/>
      <c r="M5" s="33" t="s">
        <v>9</v>
      </c>
      <c r="N5" s="30">
        <v>0</v>
      </c>
    </row>
    <row r="6" spans="1:14" s="3" customFormat="1" ht="25.8" x14ac:dyDescent="0.6">
      <c r="A6" s="9">
        <v>4</v>
      </c>
      <c r="B6" s="1" t="s">
        <v>112</v>
      </c>
      <c r="C6" s="1" t="s">
        <v>113</v>
      </c>
      <c r="D6" s="1" t="s">
        <v>106</v>
      </c>
      <c r="E6" s="1" t="s">
        <v>107</v>
      </c>
      <c r="F6" s="1" t="s">
        <v>102</v>
      </c>
      <c r="G6" s="1" t="s">
        <v>114</v>
      </c>
      <c r="H6" s="1">
        <v>0</v>
      </c>
      <c r="I6" s="1" t="s">
        <v>338</v>
      </c>
      <c r="J6" s="22">
        <v>45</v>
      </c>
      <c r="K6" s="30" t="s">
        <v>70</v>
      </c>
      <c r="L6"/>
      <c r="M6" s="33" t="s">
        <v>15</v>
      </c>
      <c r="N6" s="30">
        <v>0</v>
      </c>
    </row>
    <row r="7" spans="1:14" s="3" customFormat="1" ht="25.8" x14ac:dyDescent="0.6">
      <c r="A7" s="9">
        <v>5</v>
      </c>
      <c r="B7" s="1" t="s">
        <v>115</v>
      </c>
      <c r="C7" s="1" t="s">
        <v>116</v>
      </c>
      <c r="D7" s="1" t="s">
        <v>106</v>
      </c>
      <c r="E7" s="1" t="s">
        <v>107</v>
      </c>
      <c r="F7" s="1" t="s">
        <v>102</v>
      </c>
      <c r="G7" s="1" t="s">
        <v>117</v>
      </c>
      <c r="H7" s="1">
        <v>0</v>
      </c>
      <c r="I7" s="1" t="s">
        <v>339</v>
      </c>
      <c r="J7" s="22">
        <v>45</v>
      </c>
      <c r="K7" s="30" t="s">
        <v>70</v>
      </c>
      <c r="L7"/>
      <c r="M7" s="33" t="s">
        <v>12</v>
      </c>
      <c r="N7" s="30">
        <v>0</v>
      </c>
    </row>
    <row r="8" spans="1:14" s="3" customFormat="1" ht="25.8" x14ac:dyDescent="0.6">
      <c r="A8" s="9">
        <v>6</v>
      </c>
      <c r="B8" s="1" t="s">
        <v>118</v>
      </c>
      <c r="C8" s="1" t="s">
        <v>119</v>
      </c>
      <c r="D8" s="1" t="s">
        <v>106</v>
      </c>
      <c r="E8" s="1" t="s">
        <v>107</v>
      </c>
      <c r="F8" s="1" t="s">
        <v>102</v>
      </c>
      <c r="G8" s="1" t="s">
        <v>120</v>
      </c>
      <c r="H8" s="1">
        <v>0</v>
      </c>
      <c r="I8" s="1" t="s">
        <v>340</v>
      </c>
      <c r="J8" s="22">
        <v>45</v>
      </c>
      <c r="K8" s="30" t="s">
        <v>70</v>
      </c>
      <c r="L8"/>
      <c r="M8" s="33" t="s">
        <v>51</v>
      </c>
      <c r="N8" s="30">
        <v>0</v>
      </c>
    </row>
    <row r="9" spans="1:14" s="3" customFormat="1" ht="25.8" x14ac:dyDescent="0.6">
      <c r="A9" s="9">
        <v>7</v>
      </c>
      <c r="B9" s="1" t="s">
        <v>121</v>
      </c>
      <c r="C9" s="1" t="s">
        <v>122</v>
      </c>
      <c r="D9" s="1" t="s">
        <v>106</v>
      </c>
      <c r="E9" s="1" t="s">
        <v>107</v>
      </c>
      <c r="F9" s="1" t="s">
        <v>102</v>
      </c>
      <c r="G9" s="1" t="s">
        <v>123</v>
      </c>
      <c r="H9" s="1">
        <v>0</v>
      </c>
      <c r="I9" s="1" t="s">
        <v>341</v>
      </c>
      <c r="J9" s="22">
        <v>45</v>
      </c>
      <c r="K9" s="30" t="s">
        <v>70</v>
      </c>
      <c r="L9"/>
      <c r="M9" s="33" t="s">
        <v>46</v>
      </c>
      <c r="N9" s="30">
        <v>0</v>
      </c>
    </row>
    <row r="10" spans="1:14" s="3" customFormat="1" ht="25.8" x14ac:dyDescent="0.6">
      <c r="A10" s="9">
        <v>8</v>
      </c>
      <c r="B10" s="1" t="s">
        <v>124</v>
      </c>
      <c r="C10" s="1" t="s">
        <v>125</v>
      </c>
      <c r="D10" s="1" t="s">
        <v>106</v>
      </c>
      <c r="E10" s="1" t="s">
        <v>107</v>
      </c>
      <c r="F10" s="1" t="s">
        <v>102</v>
      </c>
      <c r="G10" s="1" t="s">
        <v>126</v>
      </c>
      <c r="H10" s="1">
        <v>0</v>
      </c>
      <c r="I10" s="1" t="s">
        <v>342</v>
      </c>
      <c r="J10" s="22">
        <v>45</v>
      </c>
      <c r="K10" s="30" t="s">
        <v>70</v>
      </c>
      <c r="L10"/>
      <c r="M10" s="33" t="s">
        <v>45</v>
      </c>
      <c r="N10" s="30">
        <v>0</v>
      </c>
    </row>
    <row r="11" spans="1:14" s="3" customFormat="1" ht="25.8" x14ac:dyDescent="0.6">
      <c r="A11" s="9">
        <v>9</v>
      </c>
      <c r="B11" s="1" t="s">
        <v>127</v>
      </c>
      <c r="C11" s="1" t="s">
        <v>128</v>
      </c>
      <c r="D11" s="1" t="s">
        <v>106</v>
      </c>
      <c r="E11" s="1" t="s">
        <v>107</v>
      </c>
      <c r="F11" s="1" t="s">
        <v>102</v>
      </c>
      <c r="G11" s="1" t="s">
        <v>129</v>
      </c>
      <c r="H11" s="1">
        <v>0</v>
      </c>
      <c r="I11" s="1" t="s">
        <v>343</v>
      </c>
      <c r="J11" s="22">
        <v>45</v>
      </c>
      <c r="K11" s="30" t="s">
        <v>18</v>
      </c>
      <c r="L11"/>
      <c r="M11" s="33" t="s">
        <v>10</v>
      </c>
      <c r="N11" s="30">
        <v>1</v>
      </c>
    </row>
    <row r="12" spans="1:14" s="3" customFormat="1" ht="25.8" x14ac:dyDescent="0.6">
      <c r="A12" s="9">
        <v>10</v>
      </c>
      <c r="B12" s="1" t="s">
        <v>130</v>
      </c>
      <c r="C12" s="1" t="s">
        <v>131</v>
      </c>
      <c r="D12" s="1" t="s">
        <v>106</v>
      </c>
      <c r="E12" s="1" t="s">
        <v>107</v>
      </c>
      <c r="F12" s="1" t="s">
        <v>102</v>
      </c>
      <c r="G12" s="1" t="s">
        <v>132</v>
      </c>
      <c r="H12" s="1">
        <v>0</v>
      </c>
      <c r="I12" s="1" t="s">
        <v>344</v>
      </c>
      <c r="J12" s="22">
        <v>45</v>
      </c>
      <c r="K12" s="30" t="s">
        <v>70</v>
      </c>
      <c r="L12"/>
      <c r="M12" s="33" t="s">
        <v>13</v>
      </c>
      <c r="N12" s="30">
        <v>0</v>
      </c>
    </row>
    <row r="13" spans="1:14" s="3" customFormat="1" ht="25.8" x14ac:dyDescent="0.6">
      <c r="A13" s="9">
        <v>11</v>
      </c>
      <c r="B13" s="1" t="s">
        <v>133</v>
      </c>
      <c r="C13" s="1" t="s">
        <v>134</v>
      </c>
      <c r="D13" s="1" t="s">
        <v>106</v>
      </c>
      <c r="E13" s="1" t="s">
        <v>107</v>
      </c>
      <c r="F13" s="1" t="s">
        <v>102</v>
      </c>
      <c r="G13" s="1" t="s">
        <v>135</v>
      </c>
      <c r="H13" s="1">
        <v>0</v>
      </c>
      <c r="I13" s="1" t="s">
        <v>345</v>
      </c>
      <c r="J13" s="22">
        <v>45</v>
      </c>
      <c r="K13" s="30" t="s">
        <v>70</v>
      </c>
      <c r="L13"/>
      <c r="M13" s="33" t="s">
        <v>52</v>
      </c>
      <c r="N13" s="30">
        <v>0</v>
      </c>
    </row>
    <row r="14" spans="1:14" s="3" customFormat="1" ht="25.8" x14ac:dyDescent="0.6">
      <c r="A14" s="9">
        <v>12</v>
      </c>
      <c r="B14" s="1" t="s">
        <v>136</v>
      </c>
      <c r="C14" s="1" t="s">
        <v>137</v>
      </c>
      <c r="D14" s="1" t="s">
        <v>106</v>
      </c>
      <c r="E14" s="1" t="s">
        <v>107</v>
      </c>
      <c r="F14" s="1" t="s">
        <v>102</v>
      </c>
      <c r="G14" s="1" t="s">
        <v>138</v>
      </c>
      <c r="H14" s="1">
        <v>0</v>
      </c>
      <c r="I14" s="1" t="s">
        <v>346</v>
      </c>
      <c r="J14" s="22">
        <v>45</v>
      </c>
      <c r="K14" s="30" t="s">
        <v>70</v>
      </c>
      <c r="L14"/>
      <c r="M14" s="33" t="s">
        <v>14</v>
      </c>
      <c r="N14" s="30">
        <v>0</v>
      </c>
    </row>
    <row r="15" spans="1:14" s="3" customFormat="1" ht="25.8" x14ac:dyDescent="0.6">
      <c r="A15" s="9">
        <v>13</v>
      </c>
      <c r="B15" s="1" t="s">
        <v>139</v>
      </c>
      <c r="C15" s="1" t="s">
        <v>140</v>
      </c>
      <c r="D15" s="1" t="s">
        <v>106</v>
      </c>
      <c r="E15" s="1" t="s">
        <v>107</v>
      </c>
      <c r="F15" s="1" t="s">
        <v>102</v>
      </c>
      <c r="G15" s="1" t="s">
        <v>141</v>
      </c>
      <c r="H15" s="1">
        <v>0</v>
      </c>
      <c r="I15" s="1" t="s">
        <v>347</v>
      </c>
      <c r="J15" s="22">
        <v>45</v>
      </c>
      <c r="K15" s="30" t="s">
        <v>8</v>
      </c>
      <c r="L15"/>
      <c r="M15" s="33" t="s">
        <v>53</v>
      </c>
      <c r="N15" s="30">
        <v>0</v>
      </c>
    </row>
    <row r="16" spans="1:14" s="3" customFormat="1" ht="25.8" x14ac:dyDescent="0.6">
      <c r="A16" s="9">
        <v>14</v>
      </c>
      <c r="B16" s="1" t="s">
        <v>142</v>
      </c>
      <c r="C16" s="1" t="s">
        <v>134</v>
      </c>
      <c r="D16" s="1" t="s">
        <v>106</v>
      </c>
      <c r="E16" s="1" t="s">
        <v>107</v>
      </c>
      <c r="F16" s="1" t="s">
        <v>102</v>
      </c>
      <c r="G16" s="1" t="s">
        <v>143</v>
      </c>
      <c r="H16" s="1">
        <v>0</v>
      </c>
      <c r="I16" s="1" t="s">
        <v>348</v>
      </c>
      <c r="J16" s="22">
        <v>45</v>
      </c>
      <c r="K16" s="30" t="s">
        <v>70</v>
      </c>
      <c r="L16"/>
      <c r="M16" s="33" t="s">
        <v>54</v>
      </c>
      <c r="N16" s="30">
        <v>0</v>
      </c>
    </row>
    <row r="17" spans="1:14" s="3" customFormat="1" ht="25.8" x14ac:dyDescent="0.6">
      <c r="A17" s="9">
        <v>15</v>
      </c>
      <c r="B17" s="1" t="s">
        <v>144</v>
      </c>
      <c r="C17" s="1" t="s">
        <v>145</v>
      </c>
      <c r="D17" s="1" t="s">
        <v>106</v>
      </c>
      <c r="E17" s="1" t="s">
        <v>107</v>
      </c>
      <c r="F17" s="1" t="s">
        <v>102</v>
      </c>
      <c r="G17" s="1" t="s">
        <v>146</v>
      </c>
      <c r="H17" s="1">
        <v>0</v>
      </c>
      <c r="I17" s="1" t="s">
        <v>349</v>
      </c>
      <c r="J17" s="22">
        <v>45</v>
      </c>
      <c r="K17" s="30" t="s">
        <v>10</v>
      </c>
      <c r="L17"/>
      <c r="M17" s="33" t="s">
        <v>48</v>
      </c>
      <c r="N17" s="30">
        <v>0</v>
      </c>
    </row>
    <row r="18" spans="1:14" s="3" customFormat="1" ht="25.8" x14ac:dyDescent="0.6">
      <c r="A18" s="9">
        <v>16</v>
      </c>
      <c r="B18" s="1" t="s">
        <v>147</v>
      </c>
      <c r="C18" s="1" t="s">
        <v>148</v>
      </c>
      <c r="D18" s="1" t="s">
        <v>106</v>
      </c>
      <c r="E18" s="1" t="s">
        <v>107</v>
      </c>
      <c r="F18" s="1" t="s">
        <v>102</v>
      </c>
      <c r="G18" s="1" t="s">
        <v>149</v>
      </c>
      <c r="H18" s="1">
        <v>0</v>
      </c>
      <c r="I18" s="1" t="s">
        <v>350</v>
      </c>
      <c r="J18" s="22">
        <v>45</v>
      </c>
      <c r="K18" s="30" t="s">
        <v>70</v>
      </c>
      <c r="L18"/>
      <c r="M18" s="33" t="s">
        <v>55</v>
      </c>
      <c r="N18" s="30">
        <v>0</v>
      </c>
    </row>
    <row r="19" spans="1:14" s="3" customFormat="1" ht="25.8" x14ac:dyDescent="0.6">
      <c r="A19" s="9">
        <v>17</v>
      </c>
      <c r="B19" s="1" t="s">
        <v>150</v>
      </c>
      <c r="C19" s="1" t="s">
        <v>151</v>
      </c>
      <c r="D19" s="1" t="s">
        <v>106</v>
      </c>
      <c r="E19" s="1" t="s">
        <v>107</v>
      </c>
      <c r="F19" s="1" t="s">
        <v>102</v>
      </c>
      <c r="G19" s="1" t="s">
        <v>152</v>
      </c>
      <c r="H19" s="1">
        <v>0</v>
      </c>
      <c r="I19" s="1" t="s">
        <v>150</v>
      </c>
      <c r="J19" s="22">
        <v>45</v>
      </c>
      <c r="K19" s="30" t="s">
        <v>70</v>
      </c>
      <c r="L19"/>
      <c r="M19" s="33" t="s">
        <v>18</v>
      </c>
      <c r="N19" s="30">
        <v>1</v>
      </c>
    </row>
    <row r="20" spans="1:14" s="3" customFormat="1" ht="25.8" x14ac:dyDescent="0.6">
      <c r="A20" s="9">
        <v>18</v>
      </c>
      <c r="B20" s="1" t="s">
        <v>153</v>
      </c>
      <c r="C20" s="1" t="s">
        <v>154</v>
      </c>
      <c r="D20" s="1" t="s">
        <v>155</v>
      </c>
      <c r="E20" s="1" t="s">
        <v>156</v>
      </c>
      <c r="F20" s="1" t="s">
        <v>157</v>
      </c>
      <c r="G20" s="1" t="s">
        <v>158</v>
      </c>
      <c r="H20" s="1">
        <v>0</v>
      </c>
      <c r="I20" s="22" t="s">
        <v>351</v>
      </c>
      <c r="J20" s="22">
        <v>45</v>
      </c>
      <c r="K20" s="30" t="s">
        <v>70</v>
      </c>
      <c r="L20"/>
      <c r="M20" s="33" t="s">
        <v>56</v>
      </c>
      <c r="N20" s="30">
        <v>0</v>
      </c>
    </row>
    <row r="21" spans="1:14" s="3" customFormat="1" ht="25.8" x14ac:dyDescent="0.6">
      <c r="A21" s="9">
        <v>19</v>
      </c>
      <c r="B21" s="1" t="s">
        <v>159</v>
      </c>
      <c r="C21" s="1" t="s">
        <v>160</v>
      </c>
      <c r="D21" s="1" t="s">
        <v>155</v>
      </c>
      <c r="E21" s="1" t="s">
        <v>161</v>
      </c>
      <c r="F21" s="1" t="s">
        <v>157</v>
      </c>
      <c r="G21" s="1" t="s">
        <v>158</v>
      </c>
      <c r="H21" s="1">
        <v>0</v>
      </c>
      <c r="I21" s="22" t="s">
        <v>352</v>
      </c>
      <c r="J21" s="22">
        <v>45</v>
      </c>
      <c r="K21" s="30" t="s">
        <v>70</v>
      </c>
      <c r="L21"/>
      <c r="M21" s="33" t="s">
        <v>20</v>
      </c>
      <c r="N21" s="30">
        <v>0</v>
      </c>
    </row>
    <row r="22" spans="1:14" s="3" customFormat="1" ht="25.8" x14ac:dyDescent="0.6">
      <c r="A22" s="9">
        <v>20</v>
      </c>
      <c r="B22" s="1" t="s">
        <v>162</v>
      </c>
      <c r="C22" s="1" t="s">
        <v>163</v>
      </c>
      <c r="D22" s="1" t="s">
        <v>155</v>
      </c>
      <c r="E22" s="1" t="s">
        <v>164</v>
      </c>
      <c r="F22" s="1" t="s">
        <v>157</v>
      </c>
      <c r="G22" s="1" t="s">
        <v>158</v>
      </c>
      <c r="H22" s="1">
        <v>0</v>
      </c>
      <c r="I22" s="22" t="s">
        <v>353</v>
      </c>
      <c r="J22" s="22">
        <v>45</v>
      </c>
      <c r="K22" s="30" t="s">
        <v>70</v>
      </c>
      <c r="L22"/>
      <c r="M22" s="33" t="s">
        <v>57</v>
      </c>
      <c r="N22" s="30">
        <v>0</v>
      </c>
    </row>
    <row r="23" spans="1:14" s="3" customFormat="1" ht="25.8" x14ac:dyDescent="0.6">
      <c r="A23" s="9">
        <v>21</v>
      </c>
      <c r="B23" s="1" t="s">
        <v>165</v>
      </c>
      <c r="C23" s="1" t="s">
        <v>166</v>
      </c>
      <c r="D23" s="1" t="s">
        <v>155</v>
      </c>
      <c r="E23" s="1" t="s">
        <v>167</v>
      </c>
      <c r="F23" s="1" t="s">
        <v>157</v>
      </c>
      <c r="G23" s="1" t="s">
        <v>168</v>
      </c>
      <c r="H23" s="1">
        <v>0</v>
      </c>
      <c r="I23" s="1" t="s">
        <v>354</v>
      </c>
      <c r="J23" s="22">
        <v>45</v>
      </c>
      <c r="K23" s="30" t="s">
        <v>70</v>
      </c>
      <c r="L23"/>
      <c r="M23" s="33" t="s">
        <v>58</v>
      </c>
      <c r="N23" s="30">
        <v>0</v>
      </c>
    </row>
    <row r="24" spans="1:14" s="3" customFormat="1" ht="25.8" x14ac:dyDescent="0.6">
      <c r="A24" s="9">
        <v>22</v>
      </c>
      <c r="B24" s="1" t="s">
        <v>169</v>
      </c>
      <c r="C24" s="1" t="s">
        <v>170</v>
      </c>
      <c r="D24" s="1" t="s">
        <v>155</v>
      </c>
      <c r="E24" s="1" t="s">
        <v>171</v>
      </c>
      <c r="F24" s="1" t="s">
        <v>157</v>
      </c>
      <c r="G24" s="1" t="s">
        <v>168</v>
      </c>
      <c r="H24" s="1">
        <v>0</v>
      </c>
      <c r="I24" s="22" t="s">
        <v>355</v>
      </c>
      <c r="J24" s="22">
        <v>45</v>
      </c>
      <c r="K24" s="30" t="s">
        <v>70</v>
      </c>
      <c r="L24"/>
      <c r="M24" s="33" t="s">
        <v>59</v>
      </c>
      <c r="N24" s="30">
        <v>0</v>
      </c>
    </row>
    <row r="25" spans="1:14" s="3" customFormat="1" ht="25.8" x14ac:dyDescent="0.6">
      <c r="A25" s="9">
        <v>23</v>
      </c>
      <c r="B25" s="56" t="s">
        <v>172</v>
      </c>
      <c r="C25" s="56" t="s">
        <v>173</v>
      </c>
      <c r="D25" s="56" t="s">
        <v>155</v>
      </c>
      <c r="E25" s="56" t="s">
        <v>174</v>
      </c>
      <c r="F25" s="56" t="s">
        <v>157</v>
      </c>
      <c r="G25" s="56" t="s">
        <v>168</v>
      </c>
      <c r="H25" s="1">
        <v>0</v>
      </c>
      <c r="I25" s="56" t="s">
        <v>356</v>
      </c>
      <c r="J25" s="22">
        <v>45</v>
      </c>
      <c r="K25" s="30" t="s">
        <v>70</v>
      </c>
      <c r="L25"/>
      <c r="M25" s="33" t="s">
        <v>60</v>
      </c>
      <c r="N25" s="30">
        <v>0</v>
      </c>
    </row>
    <row r="26" spans="1:14" s="3" customFormat="1" ht="25.8" x14ac:dyDescent="0.6">
      <c r="A26" s="9">
        <v>24</v>
      </c>
      <c r="B26" s="56" t="s">
        <v>175</v>
      </c>
      <c r="C26" s="56" t="s">
        <v>176</v>
      </c>
      <c r="D26" s="56" t="s">
        <v>155</v>
      </c>
      <c r="E26" s="56" t="s">
        <v>177</v>
      </c>
      <c r="F26" s="56" t="s">
        <v>178</v>
      </c>
      <c r="G26" s="56" t="s">
        <v>179</v>
      </c>
      <c r="H26" s="1">
        <v>0</v>
      </c>
      <c r="I26" s="56" t="s">
        <v>357</v>
      </c>
      <c r="J26" s="22">
        <v>45</v>
      </c>
      <c r="K26" s="30" t="s">
        <v>70</v>
      </c>
      <c r="L26"/>
      <c r="M26" s="33" t="s">
        <v>61</v>
      </c>
      <c r="N26" s="30">
        <v>0</v>
      </c>
    </row>
    <row r="27" spans="1:14" s="3" customFormat="1" ht="25.8" x14ac:dyDescent="0.6">
      <c r="A27" s="9">
        <v>25</v>
      </c>
      <c r="B27" s="56" t="s">
        <v>180</v>
      </c>
      <c r="C27" s="56" t="s">
        <v>181</v>
      </c>
      <c r="D27" s="56" t="s">
        <v>155</v>
      </c>
      <c r="E27" s="56" t="s">
        <v>182</v>
      </c>
      <c r="F27" s="56" t="s">
        <v>157</v>
      </c>
      <c r="G27" s="56" t="s">
        <v>179</v>
      </c>
      <c r="H27" s="1">
        <v>0</v>
      </c>
      <c r="I27" s="56" t="s">
        <v>358</v>
      </c>
      <c r="J27" s="22">
        <v>45</v>
      </c>
      <c r="K27" s="30" t="s">
        <v>70</v>
      </c>
      <c r="L27"/>
      <c r="M27" s="33" t="s">
        <v>62</v>
      </c>
      <c r="N27" s="30">
        <v>0</v>
      </c>
    </row>
    <row r="28" spans="1:14" s="3" customFormat="1" ht="25.8" x14ac:dyDescent="0.6">
      <c r="A28" s="9">
        <v>26</v>
      </c>
      <c r="B28" s="56" t="s">
        <v>183</v>
      </c>
      <c r="C28" s="56" t="s">
        <v>184</v>
      </c>
      <c r="D28" s="56" t="s">
        <v>155</v>
      </c>
      <c r="E28" s="56" t="s">
        <v>185</v>
      </c>
      <c r="F28" s="56" t="s">
        <v>157</v>
      </c>
      <c r="G28" s="56" t="s">
        <v>186</v>
      </c>
      <c r="H28" s="1">
        <v>0</v>
      </c>
      <c r="I28" s="56" t="s">
        <v>359</v>
      </c>
      <c r="J28" s="22">
        <v>45</v>
      </c>
      <c r="K28" s="30" t="s">
        <v>70</v>
      </c>
      <c r="L28"/>
      <c r="M28" s="33" t="s">
        <v>63</v>
      </c>
      <c r="N28" s="30">
        <v>0</v>
      </c>
    </row>
    <row r="29" spans="1:14" s="3" customFormat="1" ht="25.8" x14ac:dyDescent="0.6">
      <c r="A29" s="9">
        <v>27</v>
      </c>
      <c r="B29" s="56" t="s">
        <v>187</v>
      </c>
      <c r="C29" s="56" t="s">
        <v>188</v>
      </c>
      <c r="D29" s="56" t="s">
        <v>155</v>
      </c>
      <c r="E29" s="56" t="s">
        <v>189</v>
      </c>
      <c r="F29" s="56" t="s">
        <v>157</v>
      </c>
      <c r="G29" s="56" t="s">
        <v>190</v>
      </c>
      <c r="H29" s="1">
        <v>0</v>
      </c>
      <c r="I29" s="56" t="s">
        <v>360</v>
      </c>
      <c r="J29" s="22">
        <v>45</v>
      </c>
      <c r="K29" s="30" t="s">
        <v>70</v>
      </c>
      <c r="L29"/>
      <c r="M29" s="33" t="s">
        <v>64</v>
      </c>
      <c r="N29" s="30">
        <v>0</v>
      </c>
    </row>
    <row r="30" spans="1:14" s="3" customFormat="1" ht="25.8" x14ac:dyDescent="0.6">
      <c r="A30" s="9">
        <v>28</v>
      </c>
      <c r="B30" s="56" t="s">
        <v>191</v>
      </c>
      <c r="C30" s="56" t="s">
        <v>192</v>
      </c>
      <c r="D30" s="56" t="s">
        <v>155</v>
      </c>
      <c r="E30" s="56" t="s">
        <v>193</v>
      </c>
      <c r="F30" s="56" t="s">
        <v>157</v>
      </c>
      <c r="G30" s="56" t="s">
        <v>194</v>
      </c>
      <c r="H30" s="1">
        <v>0</v>
      </c>
      <c r="I30" s="56" t="s">
        <v>361</v>
      </c>
      <c r="J30" s="22">
        <v>45</v>
      </c>
      <c r="K30" s="30" t="s">
        <v>70</v>
      </c>
      <c r="L30"/>
      <c r="M30" s="33" t="s">
        <v>65</v>
      </c>
      <c r="N30" s="30">
        <v>0</v>
      </c>
    </row>
    <row r="31" spans="1:14" s="3" customFormat="1" ht="25.8" x14ac:dyDescent="0.6">
      <c r="A31" s="9">
        <v>29</v>
      </c>
      <c r="B31" s="56" t="s">
        <v>195</v>
      </c>
      <c r="C31" s="56" t="s">
        <v>196</v>
      </c>
      <c r="D31" s="56" t="s">
        <v>155</v>
      </c>
      <c r="E31" s="56" t="s">
        <v>197</v>
      </c>
      <c r="F31" s="56" t="s">
        <v>157</v>
      </c>
      <c r="G31" s="56" t="s">
        <v>194</v>
      </c>
      <c r="H31" s="1">
        <v>0</v>
      </c>
      <c r="I31" s="56" t="s">
        <v>362</v>
      </c>
      <c r="J31" s="22">
        <v>45</v>
      </c>
      <c r="K31" s="30" t="s">
        <v>70</v>
      </c>
      <c r="L31"/>
      <c r="M31" s="33" t="s">
        <v>66</v>
      </c>
      <c r="N31" s="30">
        <v>0</v>
      </c>
    </row>
    <row r="32" spans="1:14" s="3" customFormat="1" ht="25.8" x14ac:dyDescent="0.6">
      <c r="A32" s="9">
        <v>30</v>
      </c>
      <c r="B32" s="56" t="s">
        <v>198</v>
      </c>
      <c r="C32" s="56" t="s">
        <v>199</v>
      </c>
      <c r="D32" s="56" t="s">
        <v>106</v>
      </c>
      <c r="E32" s="56" t="s">
        <v>107</v>
      </c>
      <c r="F32" s="56" t="s">
        <v>102</v>
      </c>
      <c r="G32" s="56" t="s">
        <v>200</v>
      </c>
      <c r="H32" s="1">
        <v>0</v>
      </c>
      <c r="I32" s="56" t="s">
        <v>363</v>
      </c>
      <c r="J32" s="22">
        <v>45</v>
      </c>
      <c r="K32" s="30" t="s">
        <v>73</v>
      </c>
      <c r="L32"/>
      <c r="M32" s="33" t="s">
        <v>67</v>
      </c>
      <c r="N32" s="30">
        <v>0</v>
      </c>
    </row>
    <row r="33" spans="1:14" s="3" customFormat="1" ht="25.8" x14ac:dyDescent="0.6">
      <c r="A33" s="9">
        <v>31</v>
      </c>
      <c r="B33" s="56" t="s">
        <v>201</v>
      </c>
      <c r="C33" s="56" t="s">
        <v>202</v>
      </c>
      <c r="D33" s="56" t="s">
        <v>106</v>
      </c>
      <c r="E33" s="56" t="s">
        <v>107</v>
      </c>
      <c r="F33" s="56" t="s">
        <v>102</v>
      </c>
      <c r="G33" s="56" t="s">
        <v>203</v>
      </c>
      <c r="H33" s="1">
        <v>0</v>
      </c>
      <c r="I33" s="56" t="s">
        <v>364</v>
      </c>
      <c r="J33" s="22">
        <v>45</v>
      </c>
      <c r="K33" s="30" t="s">
        <v>70</v>
      </c>
      <c r="L33"/>
      <c r="M33" s="33" t="s">
        <v>68</v>
      </c>
      <c r="N33" s="30">
        <v>0</v>
      </c>
    </row>
    <row r="34" spans="1:14" s="3" customFormat="1" ht="25.8" x14ac:dyDescent="0.6">
      <c r="A34" s="9">
        <v>32</v>
      </c>
      <c r="B34" s="56" t="s">
        <v>204</v>
      </c>
      <c r="C34" s="56" t="s">
        <v>205</v>
      </c>
      <c r="D34" s="56" t="s">
        <v>155</v>
      </c>
      <c r="E34" s="56" t="s">
        <v>206</v>
      </c>
      <c r="F34" s="56" t="s">
        <v>157</v>
      </c>
      <c r="G34" s="56" t="s">
        <v>207</v>
      </c>
      <c r="H34" s="1">
        <v>0</v>
      </c>
      <c r="I34" s="56" t="s">
        <v>305</v>
      </c>
      <c r="J34" s="22">
        <v>45</v>
      </c>
      <c r="K34" s="30" t="s">
        <v>70</v>
      </c>
      <c r="L34"/>
      <c r="M34" s="33" t="s">
        <v>69</v>
      </c>
      <c r="N34" s="30">
        <v>0</v>
      </c>
    </row>
    <row r="35" spans="1:14" s="3" customFormat="1" ht="25.8" x14ac:dyDescent="0.6">
      <c r="A35" s="9">
        <v>33</v>
      </c>
      <c r="B35" s="56" t="s">
        <v>208</v>
      </c>
      <c r="C35" s="56" t="s">
        <v>209</v>
      </c>
      <c r="D35" s="56" t="s">
        <v>155</v>
      </c>
      <c r="E35" s="56" t="s">
        <v>210</v>
      </c>
      <c r="F35" s="56" t="s">
        <v>157</v>
      </c>
      <c r="G35" s="56" t="s">
        <v>211</v>
      </c>
      <c r="H35" s="1">
        <v>0</v>
      </c>
      <c r="I35" s="56" t="s">
        <v>306</v>
      </c>
      <c r="J35" s="22">
        <v>45</v>
      </c>
      <c r="K35" s="30" t="s">
        <v>70</v>
      </c>
      <c r="L35"/>
      <c r="M35" s="33" t="s">
        <v>70</v>
      </c>
      <c r="N35" s="30">
        <v>46</v>
      </c>
    </row>
    <row r="36" spans="1:14" s="3" customFormat="1" ht="25.8" x14ac:dyDescent="0.6">
      <c r="A36" s="9">
        <v>34</v>
      </c>
      <c r="B36" s="56" t="s">
        <v>212</v>
      </c>
      <c r="C36" s="56" t="s">
        <v>213</v>
      </c>
      <c r="D36" s="56" t="s">
        <v>155</v>
      </c>
      <c r="E36" s="56" t="s">
        <v>214</v>
      </c>
      <c r="F36" s="56" t="s">
        <v>157</v>
      </c>
      <c r="G36" s="56" t="s">
        <v>215</v>
      </c>
      <c r="H36" s="1">
        <v>0</v>
      </c>
      <c r="I36" s="56" t="s">
        <v>307</v>
      </c>
      <c r="J36" s="22">
        <v>45</v>
      </c>
      <c r="K36" s="30" t="s">
        <v>70</v>
      </c>
      <c r="L36"/>
      <c r="M36" s="33" t="s">
        <v>71</v>
      </c>
      <c r="N36" s="30">
        <v>0</v>
      </c>
    </row>
    <row r="37" spans="1:14" s="3" customFormat="1" ht="25.8" x14ac:dyDescent="0.6">
      <c r="A37" s="9">
        <v>35</v>
      </c>
      <c r="B37" s="56" t="s">
        <v>216</v>
      </c>
      <c r="C37" s="56" t="s">
        <v>217</v>
      </c>
      <c r="D37" s="56" t="s">
        <v>155</v>
      </c>
      <c r="E37" s="56" t="s">
        <v>218</v>
      </c>
      <c r="F37" s="56" t="s">
        <v>157</v>
      </c>
      <c r="G37" s="56" t="s">
        <v>215</v>
      </c>
      <c r="H37" s="1">
        <v>0</v>
      </c>
      <c r="I37" s="56" t="s">
        <v>308</v>
      </c>
      <c r="J37" s="22">
        <v>45</v>
      </c>
      <c r="K37" s="30" t="s">
        <v>70</v>
      </c>
      <c r="L37"/>
      <c r="M37" s="33" t="s">
        <v>72</v>
      </c>
      <c r="N37" s="30">
        <v>0</v>
      </c>
    </row>
    <row r="38" spans="1:14" s="3" customFormat="1" ht="25.8" x14ac:dyDescent="0.6">
      <c r="A38" s="9">
        <v>36</v>
      </c>
      <c r="B38" s="56" t="s">
        <v>219</v>
      </c>
      <c r="C38" s="56" t="s">
        <v>220</v>
      </c>
      <c r="D38" s="56" t="s">
        <v>155</v>
      </c>
      <c r="E38" s="56" t="s">
        <v>221</v>
      </c>
      <c r="F38" s="56" t="s">
        <v>157</v>
      </c>
      <c r="G38" s="56" t="s">
        <v>222</v>
      </c>
      <c r="H38" s="1">
        <v>0</v>
      </c>
      <c r="I38" s="56" t="s">
        <v>309</v>
      </c>
      <c r="J38" s="22">
        <v>45</v>
      </c>
      <c r="K38" s="30" t="s">
        <v>70</v>
      </c>
      <c r="L38"/>
      <c r="M38" s="33" t="s">
        <v>73</v>
      </c>
      <c r="N38" s="30">
        <v>1</v>
      </c>
    </row>
    <row r="39" spans="1:14" s="3" customFormat="1" ht="25.8" x14ac:dyDescent="0.6">
      <c r="A39" s="9">
        <v>37</v>
      </c>
      <c r="B39" s="56" t="s">
        <v>223</v>
      </c>
      <c r="C39" s="56" t="s">
        <v>224</v>
      </c>
      <c r="D39" s="56" t="s">
        <v>155</v>
      </c>
      <c r="E39" s="56" t="s">
        <v>225</v>
      </c>
      <c r="F39" s="56" t="s">
        <v>157</v>
      </c>
      <c r="G39" s="56" t="s">
        <v>222</v>
      </c>
      <c r="H39" s="1">
        <v>0</v>
      </c>
      <c r="I39" s="56" t="s">
        <v>310</v>
      </c>
      <c r="J39" s="22">
        <v>45</v>
      </c>
      <c r="K39" s="30" t="s">
        <v>70</v>
      </c>
      <c r="L39"/>
      <c r="M39" s="33" t="s">
        <v>74</v>
      </c>
      <c r="N39" s="30">
        <v>0</v>
      </c>
    </row>
    <row r="40" spans="1:14" s="3" customFormat="1" ht="25.8" x14ac:dyDescent="0.6">
      <c r="A40" s="9">
        <v>38</v>
      </c>
      <c r="B40" s="56" t="s">
        <v>226</v>
      </c>
      <c r="C40" s="56" t="s">
        <v>227</v>
      </c>
      <c r="D40" s="56" t="s">
        <v>155</v>
      </c>
      <c r="E40" s="56" t="s">
        <v>228</v>
      </c>
      <c r="F40" s="56" t="s">
        <v>157</v>
      </c>
      <c r="G40" s="56" t="s">
        <v>229</v>
      </c>
      <c r="H40" s="1">
        <v>0</v>
      </c>
      <c r="I40" s="56" t="s">
        <v>311</v>
      </c>
      <c r="J40" s="22">
        <v>45</v>
      </c>
      <c r="K40" s="30" t="s">
        <v>70</v>
      </c>
      <c r="L40"/>
      <c r="M40" s="33" t="s">
        <v>75</v>
      </c>
      <c r="N40" s="30">
        <v>0</v>
      </c>
    </row>
    <row r="41" spans="1:14" s="3" customFormat="1" ht="25.8" x14ac:dyDescent="0.6">
      <c r="A41" s="9">
        <v>39</v>
      </c>
      <c r="B41" s="56" t="s">
        <v>230</v>
      </c>
      <c r="C41" s="56" t="s">
        <v>231</v>
      </c>
      <c r="D41" s="56" t="s">
        <v>232</v>
      </c>
      <c r="E41" s="56" t="s">
        <v>107</v>
      </c>
      <c r="F41" s="56" t="s">
        <v>233</v>
      </c>
      <c r="G41" s="56" t="s">
        <v>234</v>
      </c>
      <c r="H41" s="1">
        <v>0</v>
      </c>
      <c r="I41" s="56" t="s">
        <v>312</v>
      </c>
      <c r="J41" s="22">
        <v>45</v>
      </c>
      <c r="K41" s="30" t="s">
        <v>70</v>
      </c>
      <c r="L41"/>
      <c r="M41" s="33" t="s">
        <v>76</v>
      </c>
      <c r="N41" s="30">
        <v>0</v>
      </c>
    </row>
    <row r="42" spans="1:14" s="3" customFormat="1" ht="25.8" x14ac:dyDescent="0.6">
      <c r="A42" s="9">
        <v>40</v>
      </c>
      <c r="B42" s="56" t="s">
        <v>235</v>
      </c>
      <c r="C42" s="56" t="s">
        <v>236</v>
      </c>
      <c r="D42" s="56" t="s">
        <v>155</v>
      </c>
      <c r="E42" s="56" t="s">
        <v>237</v>
      </c>
      <c r="F42" s="56" t="s">
        <v>157</v>
      </c>
      <c r="G42" s="56" t="s">
        <v>238</v>
      </c>
      <c r="H42" s="1">
        <v>0</v>
      </c>
      <c r="I42" s="56" t="s">
        <v>313</v>
      </c>
      <c r="J42" s="22">
        <v>45</v>
      </c>
      <c r="K42" s="30" t="s">
        <v>70</v>
      </c>
      <c r="L42"/>
      <c r="M42" s="33" t="s">
        <v>77</v>
      </c>
      <c r="N42" s="30">
        <v>0</v>
      </c>
    </row>
    <row r="43" spans="1:14" s="3" customFormat="1" ht="25.8" x14ac:dyDescent="0.6">
      <c r="A43" s="9">
        <v>41</v>
      </c>
      <c r="B43" s="1" t="s">
        <v>239</v>
      </c>
      <c r="C43" s="1" t="s">
        <v>240</v>
      </c>
      <c r="D43" s="1" t="s">
        <v>155</v>
      </c>
      <c r="E43" s="1" t="s">
        <v>241</v>
      </c>
      <c r="F43" s="1" t="s">
        <v>157</v>
      </c>
      <c r="G43" s="1" t="s">
        <v>242</v>
      </c>
      <c r="H43" s="1">
        <v>0</v>
      </c>
      <c r="I43" s="22" t="s">
        <v>314</v>
      </c>
      <c r="J43" s="22">
        <v>45</v>
      </c>
      <c r="K43" s="30" t="s">
        <v>70</v>
      </c>
      <c r="L43"/>
      <c r="M43" s="33" t="s">
        <v>21</v>
      </c>
      <c r="N43" s="30">
        <v>0</v>
      </c>
    </row>
    <row r="44" spans="1:14" s="3" customFormat="1" ht="25.8" x14ac:dyDescent="0.6">
      <c r="A44" s="9">
        <v>42</v>
      </c>
      <c r="B44" s="1" t="s">
        <v>243</v>
      </c>
      <c r="C44" s="1" t="s">
        <v>244</v>
      </c>
      <c r="D44" s="1" t="s">
        <v>232</v>
      </c>
      <c r="E44" s="1" t="s">
        <v>107</v>
      </c>
      <c r="F44" s="1" t="s">
        <v>233</v>
      </c>
      <c r="G44" s="1" t="s">
        <v>245</v>
      </c>
      <c r="H44" s="1">
        <v>0</v>
      </c>
      <c r="I44" s="22" t="s">
        <v>315</v>
      </c>
      <c r="J44" s="22">
        <v>45</v>
      </c>
      <c r="K44" s="30" t="s">
        <v>70</v>
      </c>
      <c r="L44"/>
      <c r="M44" s="33" t="s">
        <v>78</v>
      </c>
      <c r="N44" s="30">
        <v>0</v>
      </c>
    </row>
    <row r="45" spans="1:14" s="3" customFormat="1" ht="25.8" x14ac:dyDescent="0.6">
      <c r="A45" s="9">
        <v>43</v>
      </c>
      <c r="B45" s="1" t="s">
        <v>246</v>
      </c>
      <c r="C45" s="1" t="s">
        <v>247</v>
      </c>
      <c r="D45" s="1" t="s">
        <v>155</v>
      </c>
      <c r="E45" s="1" t="s">
        <v>248</v>
      </c>
      <c r="F45" s="1" t="s">
        <v>157</v>
      </c>
      <c r="G45" s="1" t="s">
        <v>249</v>
      </c>
      <c r="H45" s="1">
        <v>0</v>
      </c>
      <c r="I45" s="22" t="s">
        <v>316</v>
      </c>
      <c r="J45" s="22">
        <v>45</v>
      </c>
      <c r="K45" s="30" t="s">
        <v>70</v>
      </c>
      <c r="L45"/>
      <c r="M45" s="33" t="s">
        <v>79</v>
      </c>
      <c r="N45" s="30">
        <v>0</v>
      </c>
    </row>
    <row r="46" spans="1:14" s="3" customFormat="1" ht="25.8" x14ac:dyDescent="0.6">
      <c r="A46" s="9">
        <v>44</v>
      </c>
      <c r="B46" s="1" t="s">
        <v>250</v>
      </c>
      <c r="C46" s="1" t="s">
        <v>251</v>
      </c>
      <c r="D46" s="1" t="s">
        <v>155</v>
      </c>
      <c r="E46" s="1" t="s">
        <v>252</v>
      </c>
      <c r="F46" s="1" t="s">
        <v>157</v>
      </c>
      <c r="G46" s="1" t="s">
        <v>249</v>
      </c>
      <c r="H46" s="1">
        <v>0</v>
      </c>
      <c r="I46" s="22" t="s">
        <v>317</v>
      </c>
      <c r="J46" s="22">
        <v>45</v>
      </c>
      <c r="K46" s="30" t="s">
        <v>70</v>
      </c>
      <c r="L46"/>
      <c r="M46" s="33" t="s">
        <v>80</v>
      </c>
      <c r="N46" s="30">
        <v>0</v>
      </c>
    </row>
    <row r="47" spans="1:14" s="3" customFormat="1" ht="25.8" x14ac:dyDescent="0.6">
      <c r="A47" s="9">
        <v>45</v>
      </c>
      <c r="B47" s="1" t="s">
        <v>253</v>
      </c>
      <c r="C47" s="1" t="s">
        <v>254</v>
      </c>
      <c r="D47" s="1" t="s">
        <v>155</v>
      </c>
      <c r="E47" s="1" t="s">
        <v>255</v>
      </c>
      <c r="F47" s="1" t="s">
        <v>157</v>
      </c>
      <c r="G47" s="1" t="s">
        <v>256</v>
      </c>
      <c r="H47" s="1">
        <v>0</v>
      </c>
      <c r="I47" s="22" t="s">
        <v>318</v>
      </c>
      <c r="J47" s="22">
        <v>45</v>
      </c>
      <c r="K47" s="30" t="s">
        <v>70</v>
      </c>
      <c r="L47"/>
      <c r="M47" s="33" t="s">
        <v>81</v>
      </c>
      <c r="N47" s="30">
        <v>0</v>
      </c>
    </row>
    <row r="48" spans="1:14" s="3" customFormat="1" ht="25.8" x14ac:dyDescent="0.6">
      <c r="A48" s="9">
        <v>46</v>
      </c>
      <c r="B48" s="1" t="s">
        <v>257</v>
      </c>
      <c r="C48" s="1" t="s">
        <v>258</v>
      </c>
      <c r="D48" s="1" t="s">
        <v>106</v>
      </c>
      <c r="E48" s="1" t="s">
        <v>107</v>
      </c>
      <c r="F48" s="1" t="s">
        <v>102</v>
      </c>
      <c r="G48" s="1" t="s">
        <v>259</v>
      </c>
      <c r="H48" s="1">
        <v>0</v>
      </c>
      <c r="I48" s="22" t="s">
        <v>319</v>
      </c>
      <c r="J48" s="22">
        <v>45</v>
      </c>
      <c r="K48" s="30" t="s">
        <v>70</v>
      </c>
      <c r="L48"/>
      <c r="M48" s="33" t="s">
        <v>86</v>
      </c>
      <c r="N48" s="30">
        <v>0</v>
      </c>
    </row>
    <row r="49" spans="1:14" s="3" customFormat="1" ht="25.8" x14ac:dyDescent="0.6">
      <c r="A49" s="9">
        <v>47</v>
      </c>
      <c r="B49" s="1" t="s">
        <v>260</v>
      </c>
      <c r="C49" s="1" t="s">
        <v>261</v>
      </c>
      <c r="D49" s="1" t="s">
        <v>155</v>
      </c>
      <c r="E49" s="1" t="s">
        <v>262</v>
      </c>
      <c r="F49" s="1" t="s">
        <v>157</v>
      </c>
      <c r="G49" s="1" t="s">
        <v>263</v>
      </c>
      <c r="H49" s="1">
        <v>0</v>
      </c>
      <c r="I49" s="22" t="s">
        <v>320</v>
      </c>
      <c r="J49" s="22">
        <v>45</v>
      </c>
      <c r="K49" s="30" t="s">
        <v>70</v>
      </c>
      <c r="L49"/>
      <c r="M49" s="33" t="s">
        <v>82</v>
      </c>
      <c r="N49" s="30">
        <v>0</v>
      </c>
    </row>
    <row r="50" spans="1:14" s="3" customFormat="1" ht="25.8" x14ac:dyDescent="0.6">
      <c r="A50" s="9">
        <v>48</v>
      </c>
      <c r="B50" s="1" t="s">
        <v>264</v>
      </c>
      <c r="C50" s="1" t="s">
        <v>196</v>
      </c>
      <c r="D50" s="1" t="s">
        <v>155</v>
      </c>
      <c r="E50" s="1" t="s">
        <v>197</v>
      </c>
      <c r="F50" s="1" t="s">
        <v>157</v>
      </c>
      <c r="G50" s="1" t="s">
        <v>263</v>
      </c>
      <c r="H50" s="1">
        <v>0</v>
      </c>
      <c r="I50" s="22" t="s">
        <v>321</v>
      </c>
      <c r="J50" s="22">
        <v>45</v>
      </c>
      <c r="K50" s="30" t="s">
        <v>70</v>
      </c>
      <c r="L50"/>
      <c r="M50" s="33" t="s">
        <v>85</v>
      </c>
      <c r="N50" s="30">
        <v>0</v>
      </c>
    </row>
    <row r="51" spans="1:14" s="3" customFormat="1" ht="25.8" x14ac:dyDescent="0.6">
      <c r="A51" s="9">
        <v>49</v>
      </c>
      <c r="B51" s="1" t="s">
        <v>265</v>
      </c>
      <c r="C51" s="1" t="s">
        <v>251</v>
      </c>
      <c r="D51" s="1" t="s">
        <v>155</v>
      </c>
      <c r="E51" s="1" t="s">
        <v>252</v>
      </c>
      <c r="F51" s="1" t="s">
        <v>157</v>
      </c>
      <c r="G51" s="1" t="s">
        <v>263</v>
      </c>
      <c r="H51" s="1">
        <v>0</v>
      </c>
      <c r="I51" s="22" t="s">
        <v>322</v>
      </c>
      <c r="J51" s="22">
        <v>45</v>
      </c>
      <c r="K51" s="30" t="s">
        <v>70</v>
      </c>
      <c r="L51"/>
      <c r="M51" s="33" t="s">
        <v>83</v>
      </c>
      <c r="N51" s="30">
        <v>0</v>
      </c>
    </row>
    <row r="52" spans="1:14" s="3" customFormat="1" ht="25.8" x14ac:dyDescent="0.6">
      <c r="A52" s="9">
        <v>50</v>
      </c>
      <c r="B52" s="1" t="s">
        <v>266</v>
      </c>
      <c r="C52" s="1" t="s">
        <v>267</v>
      </c>
      <c r="D52" s="1" t="s">
        <v>106</v>
      </c>
      <c r="E52" s="1" t="s">
        <v>107</v>
      </c>
      <c r="F52" s="1" t="s">
        <v>102</v>
      </c>
      <c r="G52" s="1" t="s">
        <v>268</v>
      </c>
      <c r="H52" s="1">
        <v>0</v>
      </c>
      <c r="I52" s="22" t="s">
        <v>323</v>
      </c>
      <c r="J52" s="22">
        <v>45</v>
      </c>
      <c r="K52" s="30" t="s">
        <v>70</v>
      </c>
      <c r="L52"/>
      <c r="M52" s="33" t="s">
        <v>41</v>
      </c>
      <c r="N52" s="30">
        <v>0</v>
      </c>
    </row>
    <row r="53" spans="1:14" s="3" customFormat="1" ht="25.8" x14ac:dyDescent="0.6">
      <c r="A53" s="9">
        <v>51</v>
      </c>
      <c r="B53" s="1" t="s">
        <v>269</v>
      </c>
      <c r="C53" s="1" t="s">
        <v>270</v>
      </c>
      <c r="D53" s="1" t="s">
        <v>155</v>
      </c>
      <c r="E53" s="1" t="s">
        <v>271</v>
      </c>
      <c r="F53" s="1" t="s">
        <v>157</v>
      </c>
      <c r="G53" s="1" t="s">
        <v>272</v>
      </c>
      <c r="H53" s="1">
        <v>0</v>
      </c>
      <c r="I53" s="22" t="s">
        <v>324</v>
      </c>
      <c r="J53" s="22">
        <v>45</v>
      </c>
      <c r="K53" s="30" t="s">
        <v>70</v>
      </c>
      <c r="L53"/>
      <c r="M53" s="33" t="s">
        <v>84</v>
      </c>
      <c r="N53" s="30">
        <v>0</v>
      </c>
    </row>
    <row r="54" spans="1:14" s="3" customFormat="1" ht="25.8" x14ac:dyDescent="0.6">
      <c r="A54" s="9">
        <v>52</v>
      </c>
      <c r="B54" s="1" t="s">
        <v>273</v>
      </c>
      <c r="C54" s="1" t="s">
        <v>274</v>
      </c>
      <c r="D54" s="1" t="s">
        <v>155</v>
      </c>
      <c r="E54" s="1" t="s">
        <v>275</v>
      </c>
      <c r="F54" s="1" t="s">
        <v>157</v>
      </c>
      <c r="G54" s="1" t="s">
        <v>276</v>
      </c>
      <c r="H54" s="1">
        <v>0</v>
      </c>
      <c r="I54" s="22" t="s">
        <v>325</v>
      </c>
      <c r="J54" s="22">
        <v>45</v>
      </c>
      <c r="K54" s="30" t="s">
        <v>70</v>
      </c>
      <c r="L54"/>
      <c r="M54" s="33" t="s">
        <v>47</v>
      </c>
      <c r="N54" s="30">
        <v>0</v>
      </c>
    </row>
    <row r="55" spans="1:14" s="3" customFormat="1" ht="25.8" x14ac:dyDescent="0.6">
      <c r="A55" s="9">
        <v>53</v>
      </c>
      <c r="B55" s="1" t="s">
        <v>277</v>
      </c>
      <c r="C55" s="1" t="s">
        <v>278</v>
      </c>
      <c r="D55" s="1" t="s">
        <v>106</v>
      </c>
      <c r="E55" s="1" t="s">
        <v>107</v>
      </c>
      <c r="F55" s="1" t="s">
        <v>102</v>
      </c>
      <c r="G55" s="1" t="s">
        <v>279</v>
      </c>
      <c r="H55" s="1">
        <v>0</v>
      </c>
      <c r="I55" s="22" t="s">
        <v>326</v>
      </c>
      <c r="J55" s="22">
        <v>45</v>
      </c>
      <c r="K55" s="30" t="s">
        <v>70</v>
      </c>
      <c r="L55"/>
      <c r="M55" s="33" t="s">
        <v>87</v>
      </c>
      <c r="N55" s="30">
        <v>0</v>
      </c>
    </row>
    <row r="56" spans="1:14" s="3" customFormat="1" ht="25.8" x14ac:dyDescent="0.6">
      <c r="A56" s="9">
        <v>54</v>
      </c>
      <c r="B56" s="1" t="s">
        <v>280</v>
      </c>
      <c r="C56" s="1" t="s">
        <v>281</v>
      </c>
      <c r="D56" s="1" t="s">
        <v>155</v>
      </c>
      <c r="E56" s="1" t="s">
        <v>282</v>
      </c>
      <c r="F56" s="1" t="s">
        <v>157</v>
      </c>
      <c r="G56" s="1" t="s">
        <v>283</v>
      </c>
      <c r="H56" s="1">
        <v>0</v>
      </c>
      <c r="I56" s="22" t="s">
        <v>327</v>
      </c>
      <c r="J56" s="22">
        <v>45</v>
      </c>
      <c r="K56" s="30" t="s">
        <v>70</v>
      </c>
      <c r="L56"/>
      <c r="M56" s="33" t="s">
        <v>22</v>
      </c>
      <c r="N56" s="30">
        <v>0</v>
      </c>
    </row>
    <row r="57" spans="1:14" s="3" customFormat="1" ht="25.8" x14ac:dyDescent="0.6">
      <c r="A57" s="9">
        <v>55</v>
      </c>
      <c r="B57" s="1" t="s">
        <v>284</v>
      </c>
      <c r="C57" s="1" t="s">
        <v>285</v>
      </c>
      <c r="D57" s="1" t="s">
        <v>155</v>
      </c>
      <c r="E57" s="1" t="s">
        <v>286</v>
      </c>
      <c r="F57" s="1" t="s">
        <v>157</v>
      </c>
      <c r="G57" s="1" t="s">
        <v>283</v>
      </c>
      <c r="H57" s="1">
        <v>0</v>
      </c>
      <c r="I57" s="22" t="s">
        <v>328</v>
      </c>
      <c r="J57" s="22">
        <v>45</v>
      </c>
      <c r="K57" s="30" t="s">
        <v>70</v>
      </c>
      <c r="L57"/>
      <c r="M57" s="33"/>
      <c r="N57" s="30"/>
    </row>
    <row r="58" spans="1:14" s="3" customFormat="1" ht="25.8" x14ac:dyDescent="0.6">
      <c r="A58" s="9">
        <v>56</v>
      </c>
      <c r="B58" s="1" t="s">
        <v>287</v>
      </c>
      <c r="C58" s="1" t="s">
        <v>217</v>
      </c>
      <c r="D58" s="1" t="s">
        <v>155</v>
      </c>
      <c r="E58" s="1" t="s">
        <v>218</v>
      </c>
      <c r="F58" s="1" t="s">
        <v>157</v>
      </c>
      <c r="G58" s="1" t="s">
        <v>288</v>
      </c>
      <c r="H58" s="1">
        <v>0</v>
      </c>
      <c r="I58" s="22" t="s">
        <v>329</v>
      </c>
      <c r="J58" s="22">
        <v>45</v>
      </c>
      <c r="K58" s="30" t="s">
        <v>70</v>
      </c>
      <c r="L58"/>
      <c r="M58" s="33"/>
      <c r="N58" s="30"/>
    </row>
    <row r="59" spans="1:14" s="3" customFormat="1" ht="25.8" x14ac:dyDescent="0.6">
      <c r="A59" s="9">
        <v>57</v>
      </c>
      <c r="B59" s="1" t="s">
        <v>289</v>
      </c>
      <c r="C59" s="1" t="s">
        <v>184</v>
      </c>
      <c r="D59" s="1" t="s">
        <v>155</v>
      </c>
      <c r="E59" s="1" t="s">
        <v>185</v>
      </c>
      <c r="F59" s="1" t="s">
        <v>157</v>
      </c>
      <c r="G59" s="1" t="s">
        <v>290</v>
      </c>
      <c r="H59" s="1">
        <v>0</v>
      </c>
      <c r="I59" s="22" t="s">
        <v>330</v>
      </c>
      <c r="J59" s="22">
        <v>45</v>
      </c>
      <c r="K59" s="30" t="s">
        <v>70</v>
      </c>
      <c r="L59"/>
      <c r="M59" s="33"/>
      <c r="N59" s="30"/>
    </row>
    <row r="60" spans="1:14" s="3" customFormat="1" ht="25.8" x14ac:dyDescent="0.6">
      <c r="A60" s="9">
        <v>58</v>
      </c>
      <c r="B60" s="1" t="s">
        <v>291</v>
      </c>
      <c r="C60" s="1" t="s">
        <v>292</v>
      </c>
      <c r="D60" s="1" t="s">
        <v>155</v>
      </c>
      <c r="E60" s="1" t="s">
        <v>293</v>
      </c>
      <c r="F60" s="1" t="s">
        <v>157</v>
      </c>
      <c r="G60" s="1" t="s">
        <v>294</v>
      </c>
      <c r="H60" s="1">
        <v>0</v>
      </c>
      <c r="I60" s="22" t="s">
        <v>331</v>
      </c>
      <c r="J60" s="22">
        <v>45</v>
      </c>
      <c r="K60" s="30" t="s">
        <v>70</v>
      </c>
      <c r="L60"/>
      <c r="M60" s="33"/>
      <c r="N60" s="30"/>
    </row>
    <row r="61" spans="1:14" s="3" customFormat="1" ht="25.8" x14ac:dyDescent="0.6">
      <c r="A61" s="9">
        <v>59</v>
      </c>
      <c r="B61" s="1" t="s">
        <v>295</v>
      </c>
      <c r="C61" s="1" t="s">
        <v>296</v>
      </c>
      <c r="D61" s="1" t="s">
        <v>155</v>
      </c>
      <c r="E61" s="1" t="s">
        <v>297</v>
      </c>
      <c r="F61" s="1" t="s">
        <v>157</v>
      </c>
      <c r="G61" s="1" t="s">
        <v>298</v>
      </c>
      <c r="H61" s="1">
        <v>0</v>
      </c>
      <c r="I61" s="22" t="s">
        <v>332</v>
      </c>
      <c r="J61" s="22">
        <v>45</v>
      </c>
      <c r="K61" s="30" t="s">
        <v>70</v>
      </c>
      <c r="L61"/>
      <c r="M61" s="33"/>
      <c r="N61" s="30"/>
    </row>
    <row r="62" spans="1:14" s="3" customFormat="1" ht="25.8" x14ac:dyDescent="0.6">
      <c r="A62" s="9">
        <v>60</v>
      </c>
      <c r="B62" s="1" t="s">
        <v>299</v>
      </c>
      <c r="C62" s="1" t="s">
        <v>300</v>
      </c>
      <c r="D62" s="1" t="s">
        <v>155</v>
      </c>
      <c r="E62" s="1" t="s">
        <v>301</v>
      </c>
      <c r="F62" s="1" t="s">
        <v>157</v>
      </c>
      <c r="G62" s="1" t="s">
        <v>302</v>
      </c>
      <c r="H62" s="1">
        <v>0</v>
      </c>
      <c r="I62" s="22" t="s">
        <v>333</v>
      </c>
      <c r="J62" s="22">
        <v>45</v>
      </c>
      <c r="K62" s="30" t="s">
        <v>70</v>
      </c>
      <c r="L62"/>
      <c r="M62" s="33"/>
      <c r="N62" s="30"/>
    </row>
    <row r="63" spans="1:14" s="3" customFormat="1" ht="25.8" x14ac:dyDescent="0.6">
      <c r="A63" s="9">
        <v>61</v>
      </c>
      <c r="B63" s="1" t="s">
        <v>303</v>
      </c>
      <c r="C63" s="1" t="s">
        <v>184</v>
      </c>
      <c r="D63" s="1" t="s">
        <v>155</v>
      </c>
      <c r="E63" s="1" t="s">
        <v>185</v>
      </c>
      <c r="F63" s="1" t="s">
        <v>157</v>
      </c>
      <c r="G63" s="1" t="s">
        <v>304</v>
      </c>
      <c r="H63" s="1">
        <v>0</v>
      </c>
      <c r="I63" s="22" t="s">
        <v>334</v>
      </c>
      <c r="J63" s="22">
        <v>45</v>
      </c>
      <c r="K63" s="30" t="s">
        <v>70</v>
      </c>
      <c r="L63"/>
      <c r="M63" s="33"/>
      <c r="N63" s="30"/>
    </row>
    <row r="64" spans="1:14" s="3" customFormat="1" ht="23.4" x14ac:dyDescent="0.6">
      <c r="A64" s="57"/>
      <c r="B64" s="34"/>
      <c r="C64" s="34"/>
      <c r="D64" s="34"/>
      <c r="E64" s="34"/>
      <c r="F64" s="34"/>
      <c r="G64" s="34"/>
      <c r="H64" s="34"/>
      <c r="I64" s="34"/>
      <c r="J64" s="58"/>
      <c r="K64" s="59"/>
      <c r="L64"/>
      <c r="M64" s="5"/>
    </row>
    <row r="65" spans="1:13" s="3" customFormat="1" ht="23.4" x14ac:dyDescent="0.6">
      <c r="A65" s="57"/>
      <c r="B65" s="34"/>
      <c r="C65" s="34"/>
      <c r="D65" s="34"/>
      <c r="E65" s="34"/>
      <c r="F65" s="34"/>
      <c r="G65" s="34"/>
      <c r="H65" s="34"/>
      <c r="I65" s="34"/>
      <c r="J65" s="58"/>
      <c r="K65" s="59"/>
      <c r="L65"/>
      <c r="M65" s="5"/>
    </row>
    <row r="66" spans="1:13" s="3" customFormat="1" ht="23.4" x14ac:dyDescent="0.6">
      <c r="A66" s="57"/>
      <c r="B66" s="34"/>
      <c r="C66" s="34"/>
      <c r="D66" s="34"/>
      <c r="E66" s="34"/>
      <c r="F66" s="34"/>
      <c r="G66" s="34"/>
      <c r="H66" s="34"/>
      <c r="I66" s="34"/>
      <c r="J66" s="58"/>
      <c r="K66" s="59"/>
      <c r="L66"/>
      <c r="M66" s="5"/>
    </row>
    <row r="67" spans="1:13" s="3" customFormat="1" ht="23.4" x14ac:dyDescent="0.6">
      <c r="A67" s="57"/>
      <c r="B67" s="34"/>
      <c r="C67" s="34"/>
      <c r="D67" s="34"/>
      <c r="E67" s="34"/>
      <c r="F67" s="34"/>
      <c r="G67" s="34"/>
      <c r="H67" s="34"/>
      <c r="I67" s="34"/>
      <c r="J67" s="58"/>
      <c r="K67" s="59"/>
      <c r="L67"/>
      <c r="M67" s="5"/>
    </row>
    <row r="68" spans="1:13" s="3" customFormat="1" ht="23.4" x14ac:dyDescent="0.6">
      <c r="A68" s="57"/>
      <c r="B68" s="34"/>
      <c r="C68" s="34"/>
      <c r="D68" s="34"/>
      <c r="E68" s="34"/>
      <c r="F68" s="34"/>
      <c r="G68" s="34"/>
      <c r="H68" s="34"/>
      <c r="I68" s="34"/>
      <c r="J68" s="58"/>
      <c r="K68" s="59"/>
      <c r="L68"/>
      <c r="M68" s="5"/>
    </row>
    <row r="69" spans="1:13" s="3" customFormat="1" ht="23.4" x14ac:dyDescent="0.6">
      <c r="A69" s="57"/>
      <c r="B69" s="34"/>
      <c r="C69" s="34"/>
      <c r="D69" s="34"/>
      <c r="E69" s="34"/>
      <c r="F69" s="34"/>
      <c r="G69" s="34"/>
      <c r="H69" s="34"/>
      <c r="I69" s="34"/>
      <c r="J69" s="58"/>
      <c r="K69" s="59"/>
      <c r="L69"/>
      <c r="M69" s="5"/>
    </row>
    <row r="70" spans="1:13" s="3" customFormat="1" ht="23.4" x14ac:dyDescent="0.6">
      <c r="A70" s="57"/>
      <c r="B70" s="34"/>
      <c r="C70" s="34"/>
      <c r="D70" s="34"/>
      <c r="E70" s="34"/>
      <c r="F70" s="34"/>
      <c r="G70" s="34"/>
      <c r="H70" s="34"/>
      <c r="I70" s="34"/>
      <c r="J70" s="58"/>
      <c r="K70" s="59"/>
      <c r="L70"/>
      <c r="M70" s="5"/>
    </row>
    <row r="71" spans="1:13" s="3" customFormat="1" ht="23.4" x14ac:dyDescent="0.6">
      <c r="A71" s="57"/>
      <c r="B71" s="34"/>
      <c r="C71" s="34"/>
      <c r="D71" s="34"/>
      <c r="E71" s="34"/>
      <c r="F71" s="34"/>
      <c r="G71" s="34"/>
      <c r="H71" s="34"/>
      <c r="I71" s="34"/>
      <c r="J71" s="58"/>
      <c r="K71" s="59"/>
      <c r="L71"/>
      <c r="M71" s="5"/>
    </row>
    <row r="72" spans="1:13" s="3" customFormat="1" ht="23.4" x14ac:dyDescent="0.6">
      <c r="A72" s="57"/>
      <c r="B72" s="34"/>
      <c r="C72" s="34"/>
      <c r="D72" s="34"/>
      <c r="E72" s="34"/>
      <c r="F72" s="34"/>
      <c r="G72" s="34"/>
      <c r="H72" s="34"/>
      <c r="I72" s="34"/>
      <c r="J72" s="58"/>
      <c r="K72" s="59"/>
      <c r="L72"/>
      <c r="M72" s="5"/>
    </row>
    <row r="73" spans="1:13" s="3" customFormat="1" ht="23.4" x14ac:dyDescent="0.6">
      <c r="A73" s="57"/>
      <c r="B73" s="34"/>
      <c r="C73" s="34"/>
      <c r="D73" s="34"/>
      <c r="E73" s="34"/>
      <c r="F73" s="34"/>
      <c r="G73" s="34"/>
      <c r="H73" s="34"/>
      <c r="I73" s="34"/>
      <c r="J73" s="58"/>
      <c r="K73" s="59"/>
      <c r="L73"/>
      <c r="M73" s="5"/>
    </row>
    <row r="74" spans="1:13" s="3" customFormat="1" ht="23.4" x14ac:dyDescent="0.6">
      <c r="A74" s="57"/>
      <c r="B74" s="34"/>
      <c r="C74" s="34"/>
      <c r="D74" s="34"/>
      <c r="E74" s="34"/>
      <c r="F74" s="34"/>
      <c r="G74" s="34"/>
      <c r="H74" s="34"/>
      <c r="I74" s="34"/>
      <c r="J74" s="58"/>
      <c r="K74" s="59"/>
      <c r="L74"/>
      <c r="M74" s="5"/>
    </row>
    <row r="75" spans="1:13" s="3" customFormat="1" ht="23.4" x14ac:dyDescent="0.6">
      <c r="A75" s="57"/>
      <c r="B75" s="34"/>
      <c r="C75" s="34"/>
      <c r="D75" s="34"/>
      <c r="E75" s="34"/>
      <c r="F75" s="34"/>
      <c r="G75" s="34"/>
      <c r="H75" s="34"/>
      <c r="I75" s="34"/>
      <c r="J75" s="58"/>
      <c r="K75" s="59"/>
      <c r="L75"/>
      <c r="M75" s="5"/>
    </row>
    <row r="76" spans="1:13" s="3" customFormat="1" ht="23.4" x14ac:dyDescent="0.6">
      <c r="A76" s="57"/>
      <c r="B76" s="34"/>
      <c r="C76" s="34"/>
      <c r="D76" s="34"/>
      <c r="E76" s="34"/>
      <c r="F76" s="34"/>
      <c r="G76" s="34"/>
      <c r="H76" s="34"/>
      <c r="I76" s="34"/>
      <c r="J76" s="58"/>
      <c r="K76" s="59"/>
      <c r="L76"/>
      <c r="M76" s="5"/>
    </row>
    <row r="77" spans="1:13" s="3" customFormat="1" ht="23.4" x14ac:dyDescent="0.6">
      <c r="A77" s="57"/>
      <c r="B77" s="34"/>
      <c r="C77" s="34"/>
      <c r="D77" s="34"/>
      <c r="E77" s="34"/>
      <c r="F77" s="34"/>
      <c r="G77" s="34"/>
      <c r="H77" s="34"/>
      <c r="I77" s="34"/>
      <c r="J77" s="58"/>
      <c r="K77" s="59"/>
      <c r="L77"/>
      <c r="M77" s="5"/>
    </row>
    <row r="78" spans="1:13" s="3" customFormat="1" ht="23.4" x14ac:dyDescent="0.6">
      <c r="A78" s="57"/>
      <c r="B78" s="34"/>
      <c r="C78" s="34"/>
      <c r="D78" s="34"/>
      <c r="E78" s="34"/>
      <c r="F78" s="34"/>
      <c r="G78" s="34"/>
      <c r="H78" s="34"/>
      <c r="I78" s="34"/>
      <c r="J78" s="58"/>
      <c r="K78" s="59"/>
      <c r="M78" s="5"/>
    </row>
    <row r="79" spans="1:13" s="3" customFormat="1" ht="23.4" x14ac:dyDescent="0.6">
      <c r="A79" s="57"/>
      <c r="B79" s="34"/>
      <c r="C79" s="34"/>
      <c r="D79" s="34"/>
      <c r="E79" s="34"/>
      <c r="F79" s="34"/>
      <c r="G79" s="34"/>
      <c r="H79" s="34"/>
      <c r="I79" s="34"/>
      <c r="J79" s="58"/>
      <c r="K79" s="59"/>
      <c r="M79" s="5"/>
    </row>
    <row r="80" spans="1:13" s="3" customFormat="1" ht="23.4" x14ac:dyDescent="0.6">
      <c r="A80" s="57"/>
      <c r="B80" s="34"/>
      <c r="C80" s="34"/>
      <c r="D80" s="34"/>
      <c r="E80" s="34"/>
      <c r="F80" s="34"/>
      <c r="G80" s="34"/>
      <c r="H80" s="34"/>
      <c r="I80" s="34"/>
      <c r="J80" s="58"/>
      <c r="K80" s="59"/>
      <c r="M80" s="5"/>
    </row>
    <row r="81" spans="1:13" s="3" customFormat="1" ht="23.4" x14ac:dyDescent="0.6">
      <c r="A81" s="57"/>
      <c r="B81" s="34"/>
      <c r="C81" s="34"/>
      <c r="D81" s="34"/>
      <c r="E81" s="34"/>
      <c r="F81" s="34"/>
      <c r="G81" s="34"/>
      <c r="H81" s="34"/>
      <c r="I81" s="34"/>
      <c r="J81" s="58"/>
      <c r="K81" s="59"/>
      <c r="M81" s="5"/>
    </row>
    <row r="82" spans="1:13" s="3" customFormat="1" ht="23.4" x14ac:dyDescent="0.6">
      <c r="A82" s="57"/>
      <c r="B82" s="34"/>
      <c r="C82" s="34"/>
      <c r="D82" s="34"/>
      <c r="E82" s="34"/>
      <c r="F82" s="34"/>
      <c r="G82" s="34"/>
      <c r="H82" s="34"/>
      <c r="I82" s="34"/>
      <c r="J82" s="58"/>
      <c r="K82" s="59"/>
      <c r="M82" s="5"/>
    </row>
    <row r="83" spans="1:13" s="3" customFormat="1" ht="23.4" x14ac:dyDescent="0.6">
      <c r="A83" s="57"/>
      <c r="B83" s="34"/>
      <c r="C83" s="34"/>
      <c r="D83" s="34"/>
      <c r="E83" s="34"/>
      <c r="F83" s="34"/>
      <c r="G83" s="34"/>
      <c r="H83" s="34"/>
      <c r="I83" s="34"/>
      <c r="J83" s="58"/>
      <c r="K83" s="59"/>
      <c r="M83" s="5"/>
    </row>
    <row r="84" spans="1:13" s="3" customFormat="1" ht="23.4" x14ac:dyDescent="0.6">
      <c r="A84" s="57"/>
      <c r="B84" s="34"/>
      <c r="C84" s="34"/>
      <c r="D84" s="34"/>
      <c r="E84" s="34"/>
      <c r="F84" s="34"/>
      <c r="G84" s="34"/>
      <c r="H84" s="34"/>
      <c r="I84" s="34"/>
      <c r="J84" s="58"/>
      <c r="K84" s="59"/>
      <c r="M84" s="5"/>
    </row>
    <row r="85" spans="1:13" s="3" customFormat="1" ht="23.4" x14ac:dyDescent="0.6">
      <c r="A85" s="57"/>
      <c r="B85" s="34"/>
      <c r="C85" s="34"/>
      <c r="D85" s="34"/>
      <c r="E85" s="34"/>
      <c r="F85" s="34"/>
      <c r="G85" s="34"/>
      <c r="H85" s="34"/>
      <c r="I85" s="34"/>
      <c r="J85" s="58"/>
      <c r="K85" s="59"/>
      <c r="M85" s="5"/>
    </row>
    <row r="86" spans="1:13" s="3" customFormat="1" ht="23.4" x14ac:dyDescent="0.6">
      <c r="A86" s="57"/>
      <c r="B86" s="34"/>
      <c r="C86" s="34"/>
      <c r="D86" s="34"/>
      <c r="E86" s="34"/>
      <c r="F86" s="34"/>
      <c r="G86" s="34"/>
      <c r="H86" s="34"/>
      <c r="I86" s="34"/>
      <c r="J86" s="58"/>
      <c r="K86" s="59"/>
      <c r="M86" s="5"/>
    </row>
    <row r="87" spans="1:13" s="3" customFormat="1" ht="23.4" x14ac:dyDescent="0.6">
      <c r="A87" s="57"/>
      <c r="B87" s="34"/>
      <c r="C87" s="34"/>
      <c r="D87" s="34"/>
      <c r="E87" s="34"/>
      <c r="F87" s="34"/>
      <c r="G87" s="34"/>
      <c r="H87" s="34"/>
      <c r="I87" s="34"/>
      <c r="J87" s="58"/>
      <c r="K87" s="59"/>
      <c r="M87" s="5"/>
    </row>
    <row r="88" spans="1:13" s="3" customFormat="1" ht="23.4" x14ac:dyDescent="0.6">
      <c r="A88" s="57"/>
      <c r="B88" s="34"/>
      <c r="C88" s="34"/>
      <c r="D88" s="34"/>
      <c r="E88" s="34"/>
      <c r="F88" s="34"/>
      <c r="G88" s="34"/>
      <c r="H88" s="34"/>
      <c r="I88" s="34"/>
      <c r="J88" s="58"/>
      <c r="K88" s="59"/>
      <c r="M88" s="5"/>
    </row>
    <row r="89" spans="1:13" s="3" customFormat="1" ht="23.4" x14ac:dyDescent="0.6">
      <c r="A89" s="57"/>
      <c r="B89" s="34"/>
      <c r="C89" s="34"/>
      <c r="D89" s="34"/>
      <c r="E89" s="34"/>
      <c r="F89" s="34"/>
      <c r="G89" s="34"/>
      <c r="H89" s="34"/>
      <c r="I89" s="34"/>
      <c r="J89" s="58"/>
      <c r="K89" s="59"/>
      <c r="M89" s="5"/>
    </row>
    <row r="90" spans="1:13" s="3" customFormat="1" ht="23.4" x14ac:dyDescent="0.6">
      <c r="A90" s="57"/>
      <c r="B90" s="34"/>
      <c r="C90" s="34"/>
      <c r="D90" s="34"/>
      <c r="E90" s="34"/>
      <c r="F90" s="34"/>
      <c r="G90" s="34"/>
      <c r="H90" s="34"/>
      <c r="I90" s="34"/>
      <c r="J90" s="58"/>
      <c r="K90" s="59"/>
      <c r="M90" s="5"/>
    </row>
    <row r="91" spans="1:13" s="3" customFormat="1" ht="23.4" x14ac:dyDescent="0.6">
      <c r="A91" s="57"/>
      <c r="B91" s="34"/>
      <c r="C91" s="34"/>
      <c r="D91" s="34"/>
      <c r="E91" s="34"/>
      <c r="F91" s="34"/>
      <c r="G91" s="34"/>
      <c r="H91" s="34"/>
      <c r="I91" s="34"/>
      <c r="J91" s="58"/>
      <c r="K91" s="59"/>
      <c r="M91" s="5"/>
    </row>
    <row r="92" spans="1:13" s="3" customFormat="1" ht="23.4" x14ac:dyDescent="0.6">
      <c r="A92" s="57"/>
      <c r="B92" s="60"/>
      <c r="C92" s="60"/>
      <c r="D92" s="60"/>
      <c r="E92" s="60"/>
      <c r="F92" s="60"/>
      <c r="G92" s="60"/>
      <c r="H92" s="60"/>
      <c r="I92" s="60"/>
      <c r="J92" s="58"/>
      <c r="K92" s="59"/>
      <c r="M92" s="5"/>
    </row>
    <row r="93" spans="1:13" s="3" customFormat="1" ht="23.4" x14ac:dyDescent="0.6">
      <c r="A93" s="57"/>
      <c r="B93" s="60"/>
      <c r="C93" s="60"/>
      <c r="D93" s="60"/>
      <c r="E93" s="60"/>
      <c r="F93" s="60"/>
      <c r="G93" s="60"/>
      <c r="H93" s="60"/>
      <c r="I93" s="60"/>
      <c r="J93" s="58"/>
      <c r="K93" s="59"/>
      <c r="M93" s="5"/>
    </row>
    <row r="94" spans="1:13" s="3" customFormat="1" ht="23.4" x14ac:dyDescent="0.6">
      <c r="A94" s="57"/>
      <c r="B94" s="60"/>
      <c r="C94" s="60"/>
      <c r="D94" s="60"/>
      <c r="E94" s="60"/>
      <c r="F94" s="60"/>
      <c r="G94" s="60"/>
      <c r="H94" s="60"/>
      <c r="I94" s="60"/>
      <c r="J94" s="58"/>
      <c r="K94" s="59"/>
      <c r="M94" s="5"/>
    </row>
    <row r="95" spans="1:13" s="3" customFormat="1" ht="23.4" x14ac:dyDescent="0.6">
      <c r="A95" s="57"/>
      <c r="B95" s="60"/>
      <c r="C95" s="60"/>
      <c r="D95" s="60"/>
      <c r="E95" s="60"/>
      <c r="F95" s="60"/>
      <c r="G95" s="60"/>
      <c r="H95" s="60"/>
      <c r="I95" s="60"/>
      <c r="J95" s="58"/>
      <c r="K95" s="59"/>
      <c r="M95" s="5"/>
    </row>
    <row r="96" spans="1:13" s="3" customFormat="1" ht="23.4" x14ac:dyDescent="0.6">
      <c r="A96" s="57"/>
      <c r="B96" s="60"/>
      <c r="C96" s="60"/>
      <c r="D96" s="60"/>
      <c r="E96" s="60"/>
      <c r="F96" s="60"/>
      <c r="G96" s="60"/>
      <c r="H96" s="60"/>
      <c r="I96" s="60"/>
      <c r="J96" s="58"/>
      <c r="K96" s="59"/>
      <c r="M96" s="5"/>
    </row>
    <row r="97" spans="1:13" s="3" customFormat="1" ht="23.4" x14ac:dyDescent="0.6">
      <c r="A97" s="57"/>
      <c r="B97" s="60"/>
      <c r="C97" s="60"/>
      <c r="D97" s="60"/>
      <c r="E97" s="60"/>
      <c r="F97" s="60"/>
      <c r="G97" s="60"/>
      <c r="H97" s="60"/>
      <c r="I97" s="60"/>
      <c r="J97" s="58"/>
      <c r="K97" s="59"/>
      <c r="M97" s="5"/>
    </row>
    <row r="98" spans="1:13" s="3" customFormat="1" ht="23.4" x14ac:dyDescent="0.6">
      <c r="A98" s="57"/>
      <c r="B98" s="60"/>
      <c r="C98" s="60"/>
      <c r="D98" s="60"/>
      <c r="E98" s="60"/>
      <c r="F98" s="60"/>
      <c r="G98" s="60"/>
      <c r="H98" s="60"/>
      <c r="I98" s="60"/>
      <c r="J98" s="58"/>
      <c r="K98" s="59"/>
      <c r="M98" s="5"/>
    </row>
    <row r="99" spans="1:13" s="3" customFormat="1" ht="23.4" x14ac:dyDescent="0.6">
      <c r="A99" s="57"/>
      <c r="B99" s="60"/>
      <c r="C99" s="60"/>
      <c r="D99" s="60"/>
      <c r="E99" s="60"/>
      <c r="F99" s="60"/>
      <c r="G99" s="60"/>
      <c r="H99" s="60"/>
      <c r="I99" s="60"/>
      <c r="J99" s="58"/>
      <c r="K99" s="59"/>
      <c r="M99" s="5"/>
    </row>
    <row r="100" spans="1:13" x14ac:dyDescent="0.25">
      <c r="B100" s="5"/>
      <c r="C100" s="5"/>
      <c r="D100" s="5"/>
      <c r="E100" s="5"/>
      <c r="F100" s="5"/>
      <c r="G100" s="5"/>
      <c r="H100" s="5"/>
      <c r="I100" s="5"/>
      <c r="J100" s="5"/>
      <c r="L100" s="5"/>
    </row>
    <row r="101" spans="1:13" x14ac:dyDescent="0.25">
      <c r="B101" s="5"/>
      <c r="C101" s="5"/>
      <c r="D101" s="5"/>
      <c r="E101" s="5"/>
      <c r="F101" s="5"/>
      <c r="G101" s="5"/>
      <c r="H101" s="5"/>
      <c r="I101" s="5"/>
      <c r="J101" s="5"/>
      <c r="L101" s="5"/>
    </row>
    <row r="102" spans="1:13" x14ac:dyDescent="0.25">
      <c r="B102" s="5"/>
      <c r="C102" s="5"/>
      <c r="D102" s="5"/>
      <c r="E102" s="5"/>
      <c r="F102" s="5"/>
      <c r="G102" s="5"/>
      <c r="H102" s="5"/>
      <c r="I102" s="5"/>
      <c r="J102" s="5"/>
      <c r="L102" s="5"/>
    </row>
    <row r="103" spans="1:13" x14ac:dyDescent="0.25">
      <c r="B103" s="5"/>
      <c r="C103" s="5"/>
      <c r="D103" s="5"/>
      <c r="E103" s="5"/>
      <c r="F103" s="5"/>
      <c r="G103" s="5"/>
      <c r="H103" s="5"/>
      <c r="I103" s="5"/>
      <c r="J103" s="5"/>
      <c r="L103" s="5"/>
    </row>
    <row r="104" spans="1:13" x14ac:dyDescent="0.25">
      <c r="B104" s="5"/>
      <c r="C104" s="5"/>
      <c r="D104" s="5"/>
      <c r="E104" s="5"/>
      <c r="F104" s="5"/>
      <c r="G104" s="5"/>
      <c r="H104" s="5"/>
      <c r="I104" s="5"/>
      <c r="J104" s="5"/>
      <c r="L104" s="5"/>
    </row>
  </sheetData>
  <autoFilter ref="A2:N99" xr:uid="{C05F9277-E941-4F8C-B88B-7443D998D414}">
    <sortState xmlns:xlrd2="http://schemas.microsoft.com/office/spreadsheetml/2017/richdata2" ref="A3:N97">
      <sortCondition ref="G2"/>
    </sortState>
  </autoFilter>
  <conditionalFormatting sqref="I20:I22">
    <cfRule type="containsText" dxfId="48" priority="4" operator="containsText" text="ไม่พบ">
      <formula>NOT(ISERROR(SEARCH("ไม่พบ",I20)))</formula>
    </cfRule>
  </conditionalFormatting>
  <conditionalFormatting sqref="I24">
    <cfRule type="containsText" dxfId="47" priority="2" operator="containsText" text="ไม่พบ">
      <formula>NOT(ISERROR(SEARCH("ไม่พบ",I24)))</formula>
    </cfRule>
  </conditionalFormatting>
  <conditionalFormatting sqref="I43:I63">
    <cfRule type="containsText" dxfId="46" priority="1" operator="containsText" text="ไม่พบ">
      <formula>NOT(ISERROR(SEARCH("ไม่พบ",I43)))</formula>
    </cfRule>
  </conditionalFormatting>
  <conditionalFormatting sqref="J1:J99 J105:J1048576">
    <cfRule type="containsText" dxfId="45" priority="11" operator="containsText" text="ไม่พบ">
      <formula>NOT(ISERROR(SEARCH("ไม่พบ",J1)))</formula>
    </cfRule>
  </conditionalFormatting>
  <conditionalFormatting sqref="M1 M64:M99 M105:M1048576">
    <cfRule type="duplicateValues" dxfId="44" priority="77"/>
    <cfRule type="duplicateValues" dxfId="43" priority="84"/>
  </conditionalFormatting>
  <conditionalFormatting sqref="M2">
    <cfRule type="duplicateValues" dxfId="42" priority="7"/>
  </conditionalFormatting>
  <conditionalFormatting sqref="N2">
    <cfRule type="duplicateValues" dxfId="41" priority="5"/>
    <cfRule type="duplicateValues" dxfId="40" priority="6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59D-9AEE-4DBC-84AA-2E90E0A86546}">
  <sheetPr>
    <tabColor rgb="FF00B0F0"/>
  </sheetPr>
  <dimension ref="A1:I77"/>
  <sheetViews>
    <sheetView zoomScale="70" zoomScaleNormal="70" workbookViewId="0">
      <pane xSplit="4" ySplit="2" topLeftCell="J3" activePane="bottomRight" state="frozen"/>
      <selection activeCell="I48" sqref="A48:I48"/>
      <selection pane="topRight" activeCell="I48" sqref="A48:I48"/>
      <selection pane="bottomLeft" activeCell="I48" sqref="A48:I48"/>
      <selection pane="bottomRight" activeCell="N12" sqref="K12:N12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97</v>
      </c>
    </row>
    <row r="2" spans="1:9" ht="28.8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/>
      <c r="C3" s="1"/>
      <c r="D3" s="1"/>
      <c r="E3" s="1"/>
      <c r="F3" s="1"/>
      <c r="G3" s="1"/>
      <c r="H3" s="55"/>
      <c r="I3" s="2"/>
    </row>
    <row r="4" spans="1:9" s="14" customFormat="1" ht="23.4" x14ac:dyDescent="0.25">
      <c r="A4" s="13">
        <v>2</v>
      </c>
      <c r="B4" s="1"/>
      <c r="C4" s="1"/>
      <c r="D4" s="1"/>
      <c r="E4" s="1"/>
      <c r="F4" s="1"/>
      <c r="G4" s="1"/>
      <c r="H4" s="55"/>
      <c r="I4" s="2"/>
    </row>
    <row r="5" spans="1:9" s="14" customFormat="1" ht="23.4" x14ac:dyDescent="0.25">
      <c r="A5" s="13">
        <v>3</v>
      </c>
      <c r="B5" s="1"/>
      <c r="C5" s="1"/>
      <c r="D5" s="1"/>
      <c r="E5" s="1"/>
      <c r="F5" s="1"/>
      <c r="G5" s="1"/>
      <c r="H5" s="55"/>
      <c r="I5" s="2"/>
    </row>
    <row r="6" spans="1:9" s="14" customFormat="1" ht="23.4" x14ac:dyDescent="0.25">
      <c r="A6" s="13">
        <v>4</v>
      </c>
      <c r="B6" s="1"/>
      <c r="C6" s="1"/>
      <c r="D6" s="1"/>
      <c r="E6" s="1"/>
      <c r="F6" s="1"/>
      <c r="G6" s="1"/>
      <c r="H6" s="55"/>
      <c r="I6" s="2"/>
    </row>
    <row r="7" spans="1:9" s="14" customFormat="1" ht="23.4" x14ac:dyDescent="0.25">
      <c r="A7" s="13">
        <v>5</v>
      </c>
      <c r="B7" s="1"/>
      <c r="C7" s="1"/>
      <c r="D7" s="1"/>
      <c r="E7" s="1"/>
      <c r="F7" s="1"/>
      <c r="G7" s="1"/>
      <c r="H7" s="55"/>
      <c r="I7" s="2"/>
    </row>
    <row r="8" spans="1:9" s="14" customFormat="1" ht="23.4" x14ac:dyDescent="0.25">
      <c r="A8" s="13">
        <v>6</v>
      </c>
      <c r="B8" s="1"/>
      <c r="C8" s="1"/>
      <c r="D8" s="1"/>
      <c r="E8" s="1"/>
      <c r="F8" s="1"/>
      <c r="G8" s="1"/>
      <c r="H8" s="55"/>
      <c r="I8" s="2"/>
    </row>
    <row r="9" spans="1:9" s="14" customFormat="1" ht="23.4" x14ac:dyDescent="0.25">
      <c r="A9" s="13">
        <v>7</v>
      </c>
      <c r="B9" s="1"/>
      <c r="C9" s="1"/>
      <c r="D9" s="1"/>
      <c r="E9" s="1"/>
      <c r="F9" s="1"/>
      <c r="G9" s="1"/>
      <c r="H9" s="55"/>
      <c r="I9" s="2"/>
    </row>
    <row r="10" spans="1:9" s="14" customFormat="1" ht="23.4" x14ac:dyDescent="0.25">
      <c r="A10" s="13">
        <v>8</v>
      </c>
      <c r="B10" s="1"/>
      <c r="C10" s="1"/>
      <c r="D10" s="1"/>
      <c r="E10" s="1"/>
      <c r="F10" s="1"/>
      <c r="G10" s="1"/>
      <c r="H10" s="55"/>
      <c r="I10" s="2"/>
    </row>
    <row r="11" spans="1:9" s="14" customFormat="1" ht="23.4" x14ac:dyDescent="0.25">
      <c r="A11" s="13">
        <v>9</v>
      </c>
      <c r="B11" s="1"/>
      <c r="C11" s="1"/>
      <c r="D11" s="1"/>
      <c r="E11" s="1"/>
      <c r="F11" s="1"/>
      <c r="G11" s="1"/>
      <c r="H11" s="55"/>
      <c r="I11" s="2"/>
    </row>
    <row r="12" spans="1:9" s="14" customFormat="1" ht="23.4" x14ac:dyDescent="0.25">
      <c r="A12" s="13">
        <v>10</v>
      </c>
      <c r="B12" s="1"/>
      <c r="C12" s="1"/>
      <c r="D12" s="1"/>
      <c r="E12" s="1"/>
      <c r="F12" s="1"/>
      <c r="G12" s="1"/>
      <c r="H12" s="55"/>
      <c r="I12" s="2"/>
    </row>
    <row r="13" spans="1:9" s="14" customFormat="1" ht="23.4" x14ac:dyDescent="0.25">
      <c r="A13" s="13">
        <v>11</v>
      </c>
      <c r="B13" s="1"/>
      <c r="C13" s="1"/>
      <c r="D13" s="1"/>
      <c r="E13" s="1"/>
      <c r="F13" s="1"/>
      <c r="G13" s="1"/>
      <c r="H13" s="55"/>
      <c r="I13" s="2"/>
    </row>
    <row r="14" spans="1:9" s="14" customFormat="1" ht="23.4" x14ac:dyDescent="0.25">
      <c r="A14" s="13">
        <v>12</v>
      </c>
      <c r="B14" s="1"/>
      <c r="C14" s="1"/>
      <c r="D14" s="1"/>
      <c r="E14" s="1"/>
      <c r="F14" s="1"/>
      <c r="G14" s="1"/>
      <c r="H14" s="55"/>
      <c r="I14" s="2"/>
    </row>
    <row r="15" spans="1:9" s="14" customFormat="1" ht="23.4" x14ac:dyDescent="0.25">
      <c r="A15" s="13">
        <v>13</v>
      </c>
      <c r="B15" s="1"/>
      <c r="C15" s="1"/>
      <c r="D15" s="1"/>
      <c r="E15" s="1"/>
      <c r="F15" s="1"/>
      <c r="G15" s="1"/>
      <c r="H15" s="55"/>
      <c r="I15" s="2"/>
    </row>
    <row r="16" spans="1:9" s="14" customFormat="1" ht="23.4" x14ac:dyDescent="0.25">
      <c r="A16" s="13">
        <v>14</v>
      </c>
      <c r="B16" s="1"/>
      <c r="C16" s="1"/>
      <c r="D16" s="1"/>
      <c r="E16" s="1"/>
      <c r="F16" s="1"/>
      <c r="G16" s="1"/>
      <c r="H16" s="55"/>
      <c r="I16" s="2"/>
    </row>
    <row r="17" spans="1:9" s="14" customFormat="1" ht="23.4" x14ac:dyDescent="0.25">
      <c r="A17" s="13">
        <v>15</v>
      </c>
      <c r="B17" s="1"/>
      <c r="C17" s="1"/>
      <c r="D17" s="1"/>
      <c r="E17" s="1"/>
      <c r="F17" s="1"/>
      <c r="G17" s="1"/>
      <c r="H17" s="55"/>
      <c r="I17" s="2"/>
    </row>
    <row r="18" spans="1:9" s="14" customFormat="1" ht="23.4" x14ac:dyDescent="0.25">
      <c r="A18" s="13">
        <v>16</v>
      </c>
      <c r="B18" s="1"/>
      <c r="C18" s="1"/>
      <c r="D18" s="1"/>
      <c r="E18" s="1"/>
      <c r="F18" s="1"/>
      <c r="G18" s="1"/>
      <c r="H18" s="55"/>
      <c r="I18" s="2"/>
    </row>
    <row r="19" spans="1:9" s="14" customFormat="1" ht="23.4" x14ac:dyDescent="0.25">
      <c r="A19" s="13">
        <v>17</v>
      </c>
      <c r="B19" s="1"/>
      <c r="C19" s="1"/>
      <c r="D19" s="1"/>
      <c r="E19" s="1"/>
      <c r="F19" s="1"/>
      <c r="G19" s="1"/>
      <c r="H19" s="55"/>
      <c r="I19" s="2"/>
    </row>
    <row r="20" spans="1:9" s="14" customFormat="1" ht="23.4" x14ac:dyDescent="0.25">
      <c r="A20" s="13">
        <v>18</v>
      </c>
      <c r="B20" s="1"/>
      <c r="C20" s="1"/>
      <c r="D20" s="1"/>
      <c r="E20" s="1"/>
      <c r="F20" s="1"/>
      <c r="G20" s="1"/>
      <c r="H20" s="55"/>
      <c r="I20" s="2"/>
    </row>
    <row r="21" spans="1:9" s="14" customFormat="1" ht="23.4" x14ac:dyDescent="0.25">
      <c r="A21" s="13">
        <v>19</v>
      </c>
      <c r="B21" s="1"/>
      <c r="C21" s="1"/>
      <c r="D21" s="1"/>
      <c r="E21" s="1"/>
      <c r="F21" s="1"/>
      <c r="G21" s="1"/>
      <c r="H21" s="55"/>
      <c r="I21" s="2"/>
    </row>
    <row r="22" spans="1:9" s="14" customFormat="1" ht="23.4" x14ac:dyDescent="0.25">
      <c r="A22" s="13">
        <v>20</v>
      </c>
      <c r="B22" s="1"/>
      <c r="C22" s="1"/>
      <c r="D22" s="1"/>
      <c r="E22" s="1"/>
      <c r="F22" s="1"/>
      <c r="G22" s="1"/>
      <c r="H22" s="55"/>
      <c r="I22" s="2"/>
    </row>
    <row r="23" spans="1:9" s="14" customFormat="1" ht="23.4" x14ac:dyDescent="0.25">
      <c r="A23" s="13">
        <v>21</v>
      </c>
      <c r="B23" s="1"/>
      <c r="C23" s="1"/>
      <c r="D23" s="1"/>
      <c r="E23" s="1"/>
      <c r="F23" s="1"/>
      <c r="G23" s="1"/>
      <c r="H23" s="55"/>
      <c r="I23" s="2"/>
    </row>
    <row r="24" spans="1:9" s="14" customFormat="1" ht="23.4" x14ac:dyDescent="0.25">
      <c r="A24" s="13">
        <v>22</v>
      </c>
      <c r="B24" s="1"/>
      <c r="C24" s="1"/>
      <c r="D24" s="1"/>
      <c r="E24" s="1"/>
      <c r="F24" s="1"/>
      <c r="G24" s="1"/>
      <c r="H24" s="55"/>
      <c r="I24" s="2"/>
    </row>
    <row r="25" spans="1:9" s="14" customFormat="1" ht="23.4" x14ac:dyDescent="0.25">
      <c r="A25" s="13">
        <v>23</v>
      </c>
      <c r="B25" s="1"/>
      <c r="C25" s="1"/>
      <c r="D25" s="1"/>
      <c r="E25" s="1"/>
      <c r="F25" s="1"/>
      <c r="G25" s="1"/>
      <c r="H25" s="55"/>
      <c r="I25" s="2"/>
    </row>
    <row r="26" spans="1:9" s="14" customFormat="1" ht="23.4" x14ac:dyDescent="0.25">
      <c r="A26" s="13">
        <v>24</v>
      </c>
      <c r="B26" s="4"/>
      <c r="C26" s="4"/>
      <c r="D26" s="4"/>
      <c r="E26" s="4"/>
      <c r="F26" s="4"/>
      <c r="G26" s="4"/>
      <c r="H26" s="4"/>
      <c r="I26" s="2"/>
    </row>
    <row r="27" spans="1:9" s="14" customFormat="1" ht="23.4" x14ac:dyDescent="0.25">
      <c r="A27" s="13">
        <v>25</v>
      </c>
      <c r="B27" s="4"/>
      <c r="C27" s="4"/>
      <c r="D27" s="4"/>
      <c r="E27" s="4"/>
      <c r="F27" s="4"/>
      <c r="G27" s="4"/>
      <c r="H27" s="4"/>
      <c r="I27" s="2"/>
    </row>
    <row r="28" spans="1:9" s="14" customFormat="1" ht="23.4" x14ac:dyDescent="0.25">
      <c r="A28" s="13">
        <v>26</v>
      </c>
      <c r="B28" s="4"/>
      <c r="C28" s="4"/>
      <c r="D28" s="4"/>
      <c r="E28" s="4"/>
      <c r="F28" s="4"/>
      <c r="G28" s="4"/>
      <c r="H28" s="4"/>
      <c r="I28" s="2"/>
    </row>
    <row r="29" spans="1:9" s="14" customFormat="1" ht="23.4" x14ac:dyDescent="0.25">
      <c r="A29" s="13">
        <v>27</v>
      </c>
      <c r="B29" s="4"/>
      <c r="C29" s="4"/>
      <c r="D29" s="4"/>
      <c r="E29" s="4"/>
      <c r="F29" s="4"/>
      <c r="G29" s="4"/>
      <c r="H29" s="4"/>
      <c r="I29" s="2"/>
    </row>
    <row r="30" spans="1:9" s="14" customFormat="1" ht="23.4" x14ac:dyDescent="0.25">
      <c r="A30" s="13">
        <v>28</v>
      </c>
      <c r="B30" s="4"/>
      <c r="C30" s="4"/>
      <c r="D30" s="4"/>
      <c r="E30" s="4"/>
      <c r="F30" s="4"/>
      <c r="G30" s="4"/>
      <c r="H30" s="4"/>
      <c r="I30" s="2"/>
    </row>
    <row r="31" spans="1:9" s="14" customFormat="1" ht="23.4" x14ac:dyDescent="0.25">
      <c r="A31" s="13">
        <v>29</v>
      </c>
      <c r="B31" s="4"/>
      <c r="C31" s="4"/>
      <c r="D31" s="4"/>
      <c r="E31" s="4"/>
      <c r="F31" s="4"/>
      <c r="G31" s="4"/>
      <c r="H31" s="4"/>
      <c r="I31" s="2"/>
    </row>
    <row r="32" spans="1:9" s="14" customFormat="1" ht="23.4" x14ac:dyDescent="0.25">
      <c r="A32" s="13">
        <v>30</v>
      </c>
      <c r="B32" s="4"/>
      <c r="C32" s="4"/>
      <c r="D32" s="4"/>
      <c r="E32" s="4"/>
      <c r="F32" s="4"/>
      <c r="G32" s="4"/>
      <c r="H32" s="4"/>
      <c r="I32" s="2"/>
    </row>
    <row r="33" spans="1:9" s="14" customFormat="1" ht="23.4" x14ac:dyDescent="0.25">
      <c r="A33" s="13">
        <v>31</v>
      </c>
      <c r="B33" s="4"/>
      <c r="C33" s="4"/>
      <c r="D33" s="4"/>
      <c r="E33" s="4"/>
      <c r="F33" s="4"/>
      <c r="G33" s="4"/>
      <c r="H33" s="4"/>
      <c r="I33" s="2"/>
    </row>
    <row r="34" spans="1:9" s="14" customFormat="1" ht="23.4" x14ac:dyDescent="0.25">
      <c r="A34" s="61">
        <v>32</v>
      </c>
      <c r="B34" s="62"/>
      <c r="C34" s="62"/>
      <c r="D34" s="62"/>
      <c r="E34" s="62"/>
      <c r="F34" s="62"/>
      <c r="G34" s="62"/>
      <c r="H34" s="63"/>
      <c r="I34" s="63"/>
    </row>
    <row r="35" spans="1:9" s="14" customFormat="1" ht="23.4" x14ac:dyDescent="0.25">
      <c r="A35" s="65"/>
      <c r="B35" s="60"/>
      <c r="C35" s="60"/>
      <c r="D35" s="60"/>
      <c r="E35" s="60"/>
      <c r="F35" s="60"/>
      <c r="G35" s="60"/>
      <c r="H35" s="60"/>
      <c r="I35" s="59"/>
    </row>
    <row r="36" spans="1:9" s="14" customFormat="1" ht="23.4" x14ac:dyDescent="0.25">
      <c r="A36" s="65"/>
      <c r="B36" s="60"/>
      <c r="C36" s="60"/>
      <c r="D36" s="60"/>
      <c r="E36" s="60"/>
      <c r="F36" s="60"/>
      <c r="G36" s="60"/>
      <c r="H36" s="60"/>
      <c r="I36" s="59"/>
    </row>
    <row r="37" spans="1:9" s="14" customFormat="1" ht="23.4" x14ac:dyDescent="0.25">
      <c r="A37" s="65"/>
      <c r="B37" s="60"/>
      <c r="C37" s="60"/>
      <c r="D37" s="60"/>
      <c r="E37" s="60"/>
      <c r="F37" s="60"/>
      <c r="G37" s="60"/>
      <c r="H37" s="60"/>
      <c r="I37" s="59"/>
    </row>
    <row r="38" spans="1:9" s="14" customFormat="1" ht="23.4" x14ac:dyDescent="0.25">
      <c r="A38" s="65"/>
      <c r="B38" s="60"/>
      <c r="C38" s="60"/>
      <c r="D38" s="60"/>
      <c r="E38" s="60"/>
      <c r="F38" s="60"/>
      <c r="G38" s="60"/>
      <c r="H38" s="60"/>
      <c r="I38" s="59"/>
    </row>
    <row r="39" spans="1:9" s="14" customFormat="1" ht="23.4" x14ac:dyDescent="0.25">
      <c r="A39" s="65"/>
      <c r="B39" s="60"/>
      <c r="C39" s="60"/>
      <c r="D39" s="60"/>
      <c r="E39" s="60"/>
      <c r="F39" s="60"/>
      <c r="G39" s="60"/>
      <c r="H39" s="60"/>
      <c r="I39" s="59"/>
    </row>
    <row r="40" spans="1:9" s="14" customFormat="1" ht="23.4" x14ac:dyDescent="0.25">
      <c r="A40" s="65"/>
      <c r="B40" s="60"/>
      <c r="C40" s="60"/>
      <c r="D40" s="60"/>
      <c r="E40" s="60"/>
      <c r="F40" s="60"/>
      <c r="G40" s="60"/>
      <c r="H40" s="60"/>
      <c r="I40" s="59"/>
    </row>
    <row r="41" spans="1:9" s="14" customFormat="1" ht="23.4" x14ac:dyDescent="0.25">
      <c r="A41" s="65"/>
      <c r="B41" s="60"/>
      <c r="C41" s="60"/>
      <c r="D41" s="60"/>
      <c r="E41" s="60"/>
      <c r="F41" s="60"/>
      <c r="G41" s="60"/>
      <c r="H41" s="60"/>
      <c r="I41" s="59"/>
    </row>
    <row r="42" spans="1:9" s="14" customFormat="1" ht="23.4" x14ac:dyDescent="0.25">
      <c r="A42" s="65"/>
      <c r="B42" s="60"/>
      <c r="C42" s="60"/>
      <c r="D42" s="60"/>
      <c r="E42" s="60"/>
      <c r="F42" s="60"/>
      <c r="G42" s="60"/>
      <c r="H42" s="60"/>
      <c r="I42" s="59"/>
    </row>
    <row r="43" spans="1:9" s="14" customFormat="1" ht="23.4" x14ac:dyDescent="0.25">
      <c r="A43" s="65"/>
      <c r="B43" s="60"/>
      <c r="C43" s="60"/>
      <c r="D43" s="60"/>
      <c r="E43" s="60"/>
      <c r="F43" s="60"/>
      <c r="G43" s="60"/>
      <c r="H43" s="60"/>
      <c r="I43" s="59"/>
    </row>
    <row r="44" spans="1:9" s="14" customFormat="1" ht="23.4" x14ac:dyDescent="0.25">
      <c r="A44" s="65"/>
      <c r="B44" s="60"/>
      <c r="C44" s="60"/>
      <c r="D44" s="60"/>
      <c r="E44" s="60"/>
      <c r="F44" s="60"/>
      <c r="G44" s="60"/>
      <c r="H44" s="60"/>
      <c r="I44" s="59"/>
    </row>
    <row r="45" spans="1:9" s="14" customFormat="1" ht="23.4" x14ac:dyDescent="0.25">
      <c r="A45" s="65"/>
      <c r="B45" s="60"/>
      <c r="C45" s="60"/>
      <c r="D45" s="60"/>
      <c r="E45" s="60"/>
      <c r="F45" s="60"/>
      <c r="G45" s="60"/>
      <c r="H45" s="60"/>
      <c r="I45" s="59"/>
    </row>
    <row r="46" spans="1:9" s="14" customFormat="1" ht="23.4" x14ac:dyDescent="0.25">
      <c r="A46" s="65"/>
      <c r="B46" s="60"/>
      <c r="C46" s="60"/>
      <c r="D46" s="60"/>
      <c r="E46" s="60"/>
      <c r="F46" s="60"/>
      <c r="G46" s="60"/>
      <c r="H46" s="60"/>
      <c r="I46" s="59"/>
    </row>
    <row r="47" spans="1:9" s="14" customFormat="1" ht="23.4" x14ac:dyDescent="0.25">
      <c r="A47" s="65"/>
      <c r="B47" s="60"/>
      <c r="C47" s="60"/>
      <c r="D47" s="60"/>
      <c r="E47" s="60"/>
      <c r="F47" s="60"/>
      <c r="G47" s="60"/>
      <c r="H47" s="60"/>
      <c r="I47" s="59"/>
    </row>
    <row r="48" spans="1:9" s="14" customFormat="1" ht="23.4" x14ac:dyDescent="0.25">
      <c r="A48" s="65"/>
      <c r="B48" s="60"/>
      <c r="C48" s="60"/>
      <c r="D48" s="60"/>
      <c r="E48" s="60"/>
      <c r="F48" s="60"/>
      <c r="G48" s="60"/>
      <c r="H48" s="60"/>
      <c r="I48" s="59"/>
    </row>
    <row r="49" spans="1:9" s="14" customFormat="1" ht="23.4" x14ac:dyDescent="0.25">
      <c r="A49" s="65"/>
      <c r="B49" s="60"/>
      <c r="C49" s="60"/>
      <c r="D49" s="60"/>
      <c r="E49" s="60"/>
      <c r="F49" s="60"/>
      <c r="G49" s="60"/>
      <c r="H49" s="60"/>
      <c r="I49" s="59"/>
    </row>
    <row r="50" spans="1:9" s="14" customFormat="1" ht="23.4" x14ac:dyDescent="0.25">
      <c r="A50" s="65"/>
      <c r="B50" s="60"/>
      <c r="C50" s="60"/>
      <c r="D50" s="60"/>
      <c r="E50" s="60"/>
      <c r="F50" s="60"/>
      <c r="G50" s="60"/>
      <c r="H50" s="60"/>
      <c r="I50" s="59"/>
    </row>
    <row r="51" spans="1:9" s="14" customFormat="1" ht="23.4" x14ac:dyDescent="0.25">
      <c r="A51" s="65"/>
      <c r="B51" s="60"/>
      <c r="C51" s="60"/>
      <c r="D51" s="60"/>
      <c r="E51" s="60"/>
      <c r="F51" s="60"/>
      <c r="G51" s="60"/>
      <c r="H51" s="60"/>
      <c r="I51" s="59"/>
    </row>
    <row r="52" spans="1:9" s="14" customFormat="1" ht="23.4" x14ac:dyDescent="0.25">
      <c r="A52" s="65"/>
      <c r="B52" s="60"/>
      <c r="C52" s="60"/>
      <c r="D52" s="60"/>
      <c r="E52" s="60"/>
      <c r="F52" s="60"/>
      <c r="G52" s="60"/>
      <c r="H52" s="60"/>
      <c r="I52" s="59"/>
    </row>
    <row r="53" spans="1:9" s="14" customFormat="1" ht="23.4" x14ac:dyDescent="0.25">
      <c r="A53" s="65"/>
      <c r="B53" s="60"/>
      <c r="C53" s="60"/>
      <c r="D53" s="60"/>
      <c r="E53" s="60"/>
      <c r="F53" s="60"/>
      <c r="G53" s="60"/>
      <c r="H53" s="60"/>
      <c r="I53" s="59"/>
    </row>
    <row r="54" spans="1:9" s="14" customFormat="1" ht="23.4" x14ac:dyDescent="0.25">
      <c r="A54" s="65"/>
      <c r="B54" s="60"/>
      <c r="C54" s="60"/>
      <c r="D54" s="60"/>
      <c r="E54" s="60"/>
      <c r="F54" s="60"/>
      <c r="G54" s="60"/>
      <c r="H54" s="60"/>
      <c r="I54" s="59"/>
    </row>
    <row r="55" spans="1:9" s="14" customFormat="1" ht="23.4" x14ac:dyDescent="0.25">
      <c r="A55" s="65"/>
      <c r="B55" s="60"/>
      <c r="C55" s="60"/>
      <c r="D55" s="60"/>
      <c r="E55" s="60"/>
      <c r="F55" s="60"/>
      <c r="G55" s="60"/>
      <c r="H55" s="60"/>
      <c r="I55" s="59"/>
    </row>
    <row r="56" spans="1:9" s="14" customFormat="1" ht="23.4" x14ac:dyDescent="0.25">
      <c r="A56" s="65"/>
      <c r="B56" s="60"/>
      <c r="C56" s="60"/>
      <c r="D56" s="60"/>
      <c r="E56" s="60"/>
      <c r="F56" s="60"/>
      <c r="G56" s="60"/>
      <c r="H56" s="60"/>
      <c r="I56" s="59"/>
    </row>
    <row r="57" spans="1:9" s="14" customFormat="1" ht="23.4" x14ac:dyDescent="0.25">
      <c r="A57" s="65"/>
      <c r="B57" s="60"/>
      <c r="C57" s="60"/>
      <c r="D57" s="60"/>
      <c r="E57" s="60"/>
      <c r="F57" s="60"/>
      <c r="G57" s="60"/>
      <c r="H57" s="60"/>
      <c r="I57" s="59"/>
    </row>
    <row r="58" spans="1:9" s="14" customFormat="1" ht="23.4" x14ac:dyDescent="0.25">
      <c r="A58" s="65"/>
      <c r="B58" s="60"/>
      <c r="C58" s="60"/>
      <c r="D58" s="60"/>
      <c r="E58" s="60"/>
      <c r="F58" s="60"/>
      <c r="G58" s="60"/>
      <c r="H58" s="60"/>
      <c r="I58" s="59"/>
    </row>
    <row r="59" spans="1:9" s="14" customFormat="1" ht="23.4" x14ac:dyDescent="0.25">
      <c r="A59" s="65"/>
      <c r="B59" s="60"/>
      <c r="C59" s="60"/>
      <c r="D59" s="60"/>
      <c r="E59" s="60"/>
      <c r="F59" s="60"/>
      <c r="G59" s="60"/>
      <c r="H59" s="60"/>
      <c r="I59" s="59"/>
    </row>
    <row r="60" spans="1:9" s="14" customFormat="1" ht="23.4" x14ac:dyDescent="0.25">
      <c r="A60" s="65"/>
      <c r="B60" s="60"/>
      <c r="C60" s="60"/>
      <c r="D60" s="60"/>
      <c r="E60" s="60"/>
      <c r="F60" s="60"/>
      <c r="G60" s="60"/>
      <c r="H60" s="60"/>
      <c r="I60" s="59"/>
    </row>
    <row r="61" spans="1:9" s="14" customFormat="1" ht="23.4" x14ac:dyDescent="0.25">
      <c r="A61" s="65"/>
      <c r="B61" s="60"/>
      <c r="C61" s="60"/>
      <c r="D61" s="60"/>
      <c r="E61" s="60"/>
      <c r="F61" s="60"/>
      <c r="G61" s="60"/>
      <c r="H61" s="60"/>
      <c r="I61" s="59"/>
    </row>
    <row r="62" spans="1:9" s="14" customFormat="1" ht="23.4" x14ac:dyDescent="0.25">
      <c r="A62" s="65"/>
      <c r="B62" s="60"/>
      <c r="C62" s="60"/>
      <c r="D62" s="60"/>
      <c r="E62" s="60"/>
      <c r="F62" s="60"/>
      <c r="G62" s="60"/>
      <c r="H62" s="60"/>
      <c r="I62" s="59"/>
    </row>
    <row r="63" spans="1:9" s="14" customFormat="1" ht="23.4" x14ac:dyDescent="0.25">
      <c r="A63" s="65"/>
      <c r="B63" s="60"/>
      <c r="C63" s="60"/>
      <c r="D63" s="60"/>
      <c r="E63" s="60"/>
      <c r="F63" s="60"/>
      <c r="G63" s="60"/>
      <c r="H63" s="60"/>
      <c r="I63" s="59"/>
    </row>
    <row r="64" spans="1:9" s="14" customFormat="1" ht="23.4" x14ac:dyDescent="0.25">
      <c r="A64" s="65"/>
      <c r="B64" s="60"/>
      <c r="C64" s="60"/>
      <c r="D64" s="60"/>
      <c r="E64" s="60"/>
      <c r="F64" s="60"/>
      <c r="G64" s="60"/>
      <c r="H64" s="60"/>
      <c r="I64" s="59"/>
    </row>
    <row r="65" spans="1:9" s="14" customFormat="1" ht="23.4" x14ac:dyDescent="0.25">
      <c r="A65" s="65"/>
      <c r="B65" s="60"/>
      <c r="C65" s="60"/>
      <c r="D65" s="60"/>
      <c r="E65" s="60"/>
      <c r="F65" s="60"/>
      <c r="G65" s="60"/>
      <c r="H65" s="60"/>
      <c r="I65" s="59"/>
    </row>
    <row r="66" spans="1:9" s="14" customFormat="1" ht="23.4" x14ac:dyDescent="0.25">
      <c r="A66" s="65"/>
      <c r="B66" s="60"/>
      <c r="C66" s="60"/>
      <c r="D66" s="60"/>
      <c r="E66" s="60"/>
      <c r="F66" s="60"/>
      <c r="G66" s="60"/>
      <c r="H66" s="60"/>
      <c r="I66" s="59"/>
    </row>
    <row r="67" spans="1:9" s="14" customFormat="1" ht="23.4" x14ac:dyDescent="0.25">
      <c r="A67" s="65"/>
      <c r="B67" s="60"/>
      <c r="C67" s="60"/>
      <c r="D67" s="60"/>
      <c r="E67" s="60"/>
      <c r="F67" s="60"/>
      <c r="G67" s="60"/>
      <c r="H67" s="60"/>
      <c r="I67" s="59"/>
    </row>
    <row r="68" spans="1:9" s="14" customFormat="1" ht="23.4" x14ac:dyDescent="0.25">
      <c r="A68" s="65"/>
      <c r="B68" s="60"/>
      <c r="C68" s="60"/>
      <c r="D68" s="60"/>
      <c r="E68" s="60"/>
      <c r="F68" s="60"/>
      <c r="G68" s="60"/>
      <c r="H68" s="60"/>
      <c r="I68" s="59"/>
    </row>
    <row r="69" spans="1:9" s="14" customFormat="1" ht="23.4" x14ac:dyDescent="0.25">
      <c r="A69" s="65"/>
      <c r="B69" s="60"/>
      <c r="C69" s="60"/>
      <c r="D69" s="60"/>
      <c r="E69" s="60"/>
      <c r="F69" s="60"/>
      <c r="G69" s="60"/>
      <c r="H69" s="60"/>
      <c r="I69" s="59"/>
    </row>
    <row r="70" spans="1:9" s="14" customFormat="1" ht="23.4" x14ac:dyDescent="0.25">
      <c r="A70" s="65"/>
      <c r="B70" s="60"/>
      <c r="C70" s="60"/>
      <c r="D70" s="60"/>
      <c r="E70" s="60"/>
      <c r="F70" s="60"/>
      <c r="G70" s="60"/>
      <c r="H70" s="60"/>
      <c r="I70" s="59"/>
    </row>
    <row r="71" spans="1:9" s="14" customFormat="1" ht="23.4" x14ac:dyDescent="0.25">
      <c r="A71" s="65"/>
      <c r="B71" s="60"/>
      <c r="C71" s="60"/>
      <c r="D71" s="60"/>
      <c r="E71" s="60"/>
      <c r="F71" s="60"/>
      <c r="G71" s="60"/>
      <c r="H71" s="60"/>
      <c r="I71" s="59"/>
    </row>
    <row r="72" spans="1:9" s="14" customFormat="1" ht="23.4" x14ac:dyDescent="0.25">
      <c r="A72" s="65"/>
      <c r="B72" s="60"/>
      <c r="C72" s="60"/>
      <c r="D72" s="60"/>
      <c r="E72" s="60"/>
      <c r="F72" s="60"/>
      <c r="G72" s="60"/>
      <c r="H72" s="60"/>
      <c r="I72" s="59"/>
    </row>
    <row r="73" spans="1:9" s="14" customFormat="1" ht="23.4" x14ac:dyDescent="0.25">
      <c r="A73" s="65"/>
      <c r="B73" s="60"/>
      <c r="C73" s="60"/>
      <c r="D73" s="60"/>
      <c r="E73" s="60"/>
      <c r="F73" s="60"/>
      <c r="G73" s="60"/>
      <c r="H73" s="60"/>
      <c r="I73" s="59"/>
    </row>
    <row r="74" spans="1:9" s="14" customFormat="1" ht="23.4" x14ac:dyDescent="0.25">
      <c r="A74" s="65"/>
      <c r="B74" s="60"/>
      <c r="C74" s="60"/>
      <c r="D74" s="60"/>
      <c r="E74" s="60"/>
      <c r="F74" s="60"/>
      <c r="G74" s="60"/>
      <c r="H74" s="60"/>
      <c r="I74" s="59"/>
    </row>
    <row r="75" spans="1:9" s="14" customFormat="1" ht="23.4" x14ac:dyDescent="0.25">
      <c r="A75" s="65"/>
      <c r="B75" s="60"/>
      <c r="C75" s="60"/>
      <c r="D75" s="60"/>
      <c r="E75" s="60"/>
      <c r="F75" s="60"/>
      <c r="G75" s="60"/>
      <c r="H75" s="60"/>
      <c r="I75" s="59"/>
    </row>
    <row r="76" spans="1:9" ht="27" thickBot="1" x14ac:dyDescent="0.75">
      <c r="G76" s="23" t="s">
        <v>25</v>
      </c>
      <c r="H76" s="64">
        <f>SUM(H3:H75)</f>
        <v>0</v>
      </c>
      <c r="I76" s="16" t="s">
        <v>43</v>
      </c>
    </row>
    <row r="77" spans="1:9" ht="14.4" thickTop="1" x14ac:dyDescent="0.25"/>
  </sheetData>
  <autoFilter ref="B2:K38" xr:uid="{418B859D-9AEE-4DBC-84AA-2E90E0A86546}"/>
  <conditionalFormatting sqref="H76">
    <cfRule type="containsText" dxfId="39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6211-2A40-4EE5-B5A0-719AA5EE766E}">
  <sheetPr>
    <tabColor rgb="FFFF99FF"/>
  </sheetPr>
  <dimension ref="A1:N104"/>
  <sheetViews>
    <sheetView zoomScale="70" zoomScaleNormal="70" workbookViewId="0">
      <pane xSplit="6" ySplit="2" topLeftCell="M3" activePane="bottomRight" state="frozen"/>
      <selection activeCell="J2" sqref="J2"/>
      <selection pane="topRight" activeCell="J2" sqref="J2"/>
      <selection pane="bottomLeft" activeCell="J2" sqref="J2"/>
      <selection pane="bottomRight" activeCell="N1" sqref="M1:N1048576"/>
    </sheetView>
  </sheetViews>
  <sheetFormatPr defaultColWidth="54.69921875" defaultRowHeight="13.8" x14ac:dyDescent="0.25"/>
  <cols>
    <col min="1" max="1" width="7.09765625" style="5" customWidth="1"/>
    <col min="2" max="2" width="15.69921875" bestFit="1" customWidth="1"/>
    <col min="3" max="3" width="30.296875" customWidth="1"/>
    <col min="4" max="4" width="16.19921875" customWidth="1"/>
    <col min="5" max="5" width="29.296875" customWidth="1"/>
    <col min="6" max="6" width="15.296875" bestFit="1" customWidth="1"/>
    <col min="7" max="7" width="17.296875" customWidth="1"/>
    <col min="8" max="8" width="10.09765625" customWidth="1"/>
    <col min="9" max="9" width="23" customWidth="1"/>
    <col min="10" max="10" width="15.19921875" style="20" customWidth="1"/>
    <col min="11" max="11" width="74.796875" style="5" customWidth="1"/>
    <col min="12" max="12" width="65.69921875" bestFit="1" customWidth="1"/>
    <col min="13" max="13" width="74.796875" style="5" customWidth="1"/>
    <col min="14" max="14" width="17.19921875" bestFit="1" customWidth="1"/>
  </cols>
  <sheetData>
    <row r="1" spans="1:14" ht="60" customHeight="1" thickBot="1" x14ac:dyDescent="0.75">
      <c r="A1" s="8" t="s">
        <v>365</v>
      </c>
      <c r="I1" s="53" t="s">
        <v>42</v>
      </c>
      <c r="J1" s="24">
        <f>SUBTOTAL(9,J3:J98)</f>
        <v>2790</v>
      </c>
      <c r="K1" s="54" t="s">
        <v>43</v>
      </c>
    </row>
    <row r="2" spans="1:14" ht="29.4" thickTop="1" x14ac:dyDescent="0.75">
      <c r="A2" s="10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38</v>
      </c>
      <c r="J2" s="21" t="s">
        <v>40</v>
      </c>
      <c r="K2" s="7" t="s">
        <v>7</v>
      </c>
      <c r="M2" s="7" t="s">
        <v>17</v>
      </c>
      <c r="N2" s="7" t="s">
        <v>19</v>
      </c>
    </row>
    <row r="3" spans="1:14" s="3" customFormat="1" ht="25.8" x14ac:dyDescent="0.6">
      <c r="A3" s="9">
        <v>1</v>
      </c>
      <c r="B3" s="1" t="s">
        <v>368</v>
      </c>
      <c r="C3" s="1" t="s">
        <v>369</v>
      </c>
      <c r="D3" s="1" t="s">
        <v>155</v>
      </c>
      <c r="E3" s="1" t="s">
        <v>370</v>
      </c>
      <c r="F3" s="1" t="s">
        <v>157</v>
      </c>
      <c r="G3" s="1" t="s">
        <v>371</v>
      </c>
      <c r="H3" s="1">
        <v>0</v>
      </c>
      <c r="I3" s="1" t="s">
        <v>372</v>
      </c>
      <c r="J3" s="22">
        <v>45</v>
      </c>
      <c r="K3" s="30" t="s">
        <v>70</v>
      </c>
      <c r="L3"/>
      <c r="M3" s="33" t="s">
        <v>8</v>
      </c>
      <c r="N3" s="30">
        <v>0</v>
      </c>
    </row>
    <row r="4" spans="1:14" s="3" customFormat="1" ht="25.8" x14ac:dyDescent="0.6">
      <c r="A4" s="9">
        <v>2</v>
      </c>
      <c r="B4" s="1" t="s">
        <v>374</v>
      </c>
      <c r="C4" s="1" t="s">
        <v>281</v>
      </c>
      <c r="D4" s="1" t="s">
        <v>155</v>
      </c>
      <c r="E4" s="1" t="s">
        <v>282</v>
      </c>
      <c r="F4" s="1" t="s">
        <v>157</v>
      </c>
      <c r="G4" s="1" t="s">
        <v>373</v>
      </c>
      <c r="H4" s="1">
        <v>0</v>
      </c>
      <c r="I4" s="1" t="s">
        <v>375</v>
      </c>
      <c r="J4" s="22">
        <v>45</v>
      </c>
      <c r="K4" s="30" t="s">
        <v>70</v>
      </c>
      <c r="L4"/>
      <c r="M4" s="33" t="s">
        <v>11</v>
      </c>
      <c r="N4" s="30">
        <v>0</v>
      </c>
    </row>
    <row r="5" spans="1:14" s="3" customFormat="1" ht="25.8" x14ac:dyDescent="0.6">
      <c r="A5" s="9">
        <v>3</v>
      </c>
      <c r="B5" s="1" t="s">
        <v>377</v>
      </c>
      <c r="C5" s="1" t="s">
        <v>378</v>
      </c>
      <c r="D5" s="1" t="s">
        <v>155</v>
      </c>
      <c r="E5" s="1" t="s">
        <v>379</v>
      </c>
      <c r="F5" s="1" t="s">
        <v>157</v>
      </c>
      <c r="G5" s="1" t="s">
        <v>376</v>
      </c>
      <c r="H5" s="1">
        <v>0</v>
      </c>
      <c r="I5" s="1" t="s">
        <v>380</v>
      </c>
      <c r="J5" s="22">
        <v>45</v>
      </c>
      <c r="K5" s="30" t="s">
        <v>70</v>
      </c>
      <c r="L5"/>
      <c r="M5" s="33" t="s">
        <v>9</v>
      </c>
      <c r="N5" s="30">
        <v>0</v>
      </c>
    </row>
    <row r="6" spans="1:14" s="3" customFormat="1" ht="25.8" x14ac:dyDescent="0.6">
      <c r="A6" s="9">
        <v>4</v>
      </c>
      <c r="B6" s="1" t="s">
        <v>381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382</v>
      </c>
      <c r="H6" s="1">
        <v>0</v>
      </c>
      <c r="I6" s="1" t="s">
        <v>383</v>
      </c>
      <c r="J6" s="22">
        <v>45</v>
      </c>
      <c r="K6" s="30" t="s">
        <v>70</v>
      </c>
      <c r="L6"/>
      <c r="M6" s="33" t="s">
        <v>15</v>
      </c>
      <c r="N6" s="30">
        <v>0</v>
      </c>
    </row>
    <row r="7" spans="1:14" s="3" customFormat="1" ht="25.8" x14ac:dyDescent="0.6">
      <c r="A7" s="9">
        <v>5</v>
      </c>
      <c r="B7" s="1" t="s">
        <v>384</v>
      </c>
      <c r="C7" s="1" t="s">
        <v>385</v>
      </c>
      <c r="D7" s="1" t="s">
        <v>106</v>
      </c>
      <c r="E7" s="1" t="s">
        <v>107</v>
      </c>
      <c r="F7" s="1" t="s">
        <v>102</v>
      </c>
      <c r="G7" s="1" t="s">
        <v>386</v>
      </c>
      <c r="H7" s="1">
        <v>0</v>
      </c>
      <c r="I7" s="1" t="s">
        <v>387</v>
      </c>
      <c r="J7" s="22">
        <v>45</v>
      </c>
      <c r="K7" s="30" t="s">
        <v>14</v>
      </c>
      <c r="L7"/>
      <c r="M7" s="33" t="s">
        <v>12</v>
      </c>
      <c r="N7" s="30">
        <v>0</v>
      </c>
    </row>
    <row r="8" spans="1:14" s="3" customFormat="1" ht="25.8" x14ac:dyDescent="0.6">
      <c r="A8" s="9">
        <v>6</v>
      </c>
      <c r="B8" s="1" t="s">
        <v>388</v>
      </c>
      <c r="C8" s="1" t="s">
        <v>274</v>
      </c>
      <c r="D8" s="1" t="s">
        <v>155</v>
      </c>
      <c r="E8" s="1" t="s">
        <v>275</v>
      </c>
      <c r="F8" s="1" t="s">
        <v>157</v>
      </c>
      <c r="G8" s="1" t="s">
        <v>389</v>
      </c>
      <c r="H8" s="1">
        <v>0</v>
      </c>
      <c r="I8" s="1" t="s">
        <v>390</v>
      </c>
      <c r="J8" s="22">
        <v>45</v>
      </c>
      <c r="K8" s="30" t="s">
        <v>70</v>
      </c>
      <c r="L8"/>
      <c r="M8" s="33" t="s">
        <v>51</v>
      </c>
      <c r="N8" s="30">
        <v>0</v>
      </c>
    </row>
    <row r="9" spans="1:14" s="3" customFormat="1" ht="25.8" x14ac:dyDescent="0.6">
      <c r="A9" s="9">
        <v>7</v>
      </c>
      <c r="B9" s="1" t="s">
        <v>391</v>
      </c>
      <c r="C9" s="1" t="s">
        <v>392</v>
      </c>
      <c r="D9" s="1" t="s">
        <v>155</v>
      </c>
      <c r="E9" s="1" t="s">
        <v>393</v>
      </c>
      <c r="F9" s="1" t="s">
        <v>157</v>
      </c>
      <c r="G9" s="1" t="s">
        <v>394</v>
      </c>
      <c r="H9" s="1">
        <v>0</v>
      </c>
      <c r="I9" s="1" t="s">
        <v>395</v>
      </c>
      <c r="J9" s="22">
        <v>45</v>
      </c>
      <c r="K9" s="30" t="s">
        <v>70</v>
      </c>
      <c r="L9"/>
      <c r="M9" s="33" t="s">
        <v>46</v>
      </c>
      <c r="N9" s="30">
        <v>0</v>
      </c>
    </row>
    <row r="10" spans="1:14" s="3" customFormat="1" ht="25.8" x14ac:dyDescent="0.6">
      <c r="A10" s="9">
        <v>8</v>
      </c>
      <c r="B10" s="1" t="s">
        <v>396</v>
      </c>
      <c r="C10" s="1" t="s">
        <v>397</v>
      </c>
      <c r="D10" s="1" t="s">
        <v>155</v>
      </c>
      <c r="E10" s="1" t="s">
        <v>398</v>
      </c>
      <c r="F10" s="1" t="s">
        <v>157</v>
      </c>
      <c r="G10" s="1" t="s">
        <v>399</v>
      </c>
      <c r="H10" s="1">
        <v>0</v>
      </c>
      <c r="I10" s="1" t="s">
        <v>400</v>
      </c>
      <c r="J10" s="22">
        <v>45</v>
      </c>
      <c r="K10" s="30" t="s">
        <v>70</v>
      </c>
      <c r="L10"/>
      <c r="M10" s="33" t="s">
        <v>45</v>
      </c>
      <c r="N10" s="30">
        <v>0</v>
      </c>
    </row>
    <row r="11" spans="1:14" s="3" customFormat="1" ht="25.8" x14ac:dyDescent="0.6">
      <c r="A11" s="9">
        <v>9</v>
      </c>
      <c r="B11" s="1" t="s">
        <v>401</v>
      </c>
      <c r="C11" s="1" t="s">
        <v>402</v>
      </c>
      <c r="D11" s="1" t="s">
        <v>155</v>
      </c>
      <c r="E11" s="1" t="s">
        <v>403</v>
      </c>
      <c r="F11" s="1" t="s">
        <v>157</v>
      </c>
      <c r="G11" s="1" t="s">
        <v>404</v>
      </c>
      <c r="H11" s="1">
        <v>0</v>
      </c>
      <c r="I11" s="1" t="s">
        <v>405</v>
      </c>
      <c r="J11" s="22">
        <v>45</v>
      </c>
      <c r="K11" s="30" t="s">
        <v>70</v>
      </c>
      <c r="L11"/>
      <c r="M11" s="33" t="s">
        <v>10</v>
      </c>
      <c r="N11" s="30">
        <v>0</v>
      </c>
    </row>
    <row r="12" spans="1:14" s="3" customFormat="1" ht="25.8" x14ac:dyDescent="0.6">
      <c r="A12" s="9">
        <v>10</v>
      </c>
      <c r="B12" s="1" t="s">
        <v>406</v>
      </c>
      <c r="C12" s="1" t="s">
        <v>407</v>
      </c>
      <c r="D12" s="1" t="s">
        <v>155</v>
      </c>
      <c r="E12" s="1" t="s">
        <v>408</v>
      </c>
      <c r="F12" s="1" t="s">
        <v>157</v>
      </c>
      <c r="G12" s="1" t="s">
        <v>409</v>
      </c>
      <c r="H12" s="1">
        <v>0</v>
      </c>
      <c r="I12" s="1" t="s">
        <v>410</v>
      </c>
      <c r="J12" s="22">
        <v>45</v>
      </c>
      <c r="K12" s="30" t="s">
        <v>70</v>
      </c>
      <c r="L12"/>
      <c r="M12" s="33" t="s">
        <v>13</v>
      </c>
      <c r="N12" s="30">
        <v>0</v>
      </c>
    </row>
    <row r="13" spans="1:14" s="3" customFormat="1" ht="46.8" x14ac:dyDescent="0.6">
      <c r="A13" s="9">
        <v>11</v>
      </c>
      <c r="B13" s="1" t="s">
        <v>411</v>
      </c>
      <c r="C13" s="1" t="s">
        <v>412</v>
      </c>
      <c r="D13" s="1" t="s">
        <v>155</v>
      </c>
      <c r="E13" s="1" t="s">
        <v>413</v>
      </c>
      <c r="F13" s="1" t="s">
        <v>178</v>
      </c>
      <c r="G13" s="1" t="s">
        <v>414</v>
      </c>
      <c r="H13" s="1">
        <v>0</v>
      </c>
      <c r="I13" s="1" t="s">
        <v>415</v>
      </c>
      <c r="J13" s="22">
        <v>45</v>
      </c>
      <c r="K13" s="30" t="s">
        <v>70</v>
      </c>
      <c r="L13"/>
      <c r="M13" s="33" t="s">
        <v>52</v>
      </c>
      <c r="N13" s="30">
        <v>0</v>
      </c>
    </row>
    <row r="14" spans="1:14" s="3" customFormat="1" ht="25.8" x14ac:dyDescent="0.6">
      <c r="A14" s="9">
        <v>12</v>
      </c>
      <c r="B14" s="1" t="s">
        <v>416</v>
      </c>
      <c r="C14" s="1" t="s">
        <v>417</v>
      </c>
      <c r="D14" s="1" t="s">
        <v>155</v>
      </c>
      <c r="E14" s="1" t="s">
        <v>418</v>
      </c>
      <c r="F14" s="1" t="s">
        <v>157</v>
      </c>
      <c r="G14" s="1" t="s">
        <v>419</v>
      </c>
      <c r="H14" s="1">
        <v>0</v>
      </c>
      <c r="I14" s="1" t="s">
        <v>420</v>
      </c>
      <c r="J14" s="22">
        <v>45</v>
      </c>
      <c r="K14" s="30" t="s">
        <v>70</v>
      </c>
      <c r="L14"/>
      <c r="M14" s="33" t="s">
        <v>14</v>
      </c>
      <c r="N14" s="30">
        <v>4</v>
      </c>
    </row>
    <row r="15" spans="1:14" s="3" customFormat="1" ht="25.8" x14ac:dyDescent="0.6">
      <c r="A15" s="9">
        <v>13</v>
      </c>
      <c r="B15" s="1" t="s">
        <v>421</v>
      </c>
      <c r="C15" s="1" t="s">
        <v>422</v>
      </c>
      <c r="D15" s="1" t="s">
        <v>155</v>
      </c>
      <c r="E15" s="1" t="s">
        <v>423</v>
      </c>
      <c r="F15" s="1" t="s">
        <v>157</v>
      </c>
      <c r="G15" s="1" t="s">
        <v>424</v>
      </c>
      <c r="H15" s="1">
        <v>0</v>
      </c>
      <c r="I15" s="1" t="s">
        <v>425</v>
      </c>
      <c r="J15" s="22">
        <v>45</v>
      </c>
      <c r="K15" s="30" t="s">
        <v>70</v>
      </c>
      <c r="L15"/>
      <c r="M15" s="33" t="s">
        <v>53</v>
      </c>
      <c r="N15" s="30">
        <v>0</v>
      </c>
    </row>
    <row r="16" spans="1:14" s="3" customFormat="1" ht="25.8" x14ac:dyDescent="0.6">
      <c r="A16" s="9">
        <v>14</v>
      </c>
      <c r="B16" s="1" t="s">
        <v>428</v>
      </c>
      <c r="C16" s="1" t="s">
        <v>429</v>
      </c>
      <c r="D16" s="1" t="s">
        <v>155</v>
      </c>
      <c r="E16" s="1" t="s">
        <v>430</v>
      </c>
      <c r="F16" s="1" t="s">
        <v>157</v>
      </c>
      <c r="G16" s="1" t="s">
        <v>427</v>
      </c>
      <c r="H16" s="1">
        <v>0</v>
      </c>
      <c r="I16" s="1" t="s">
        <v>431</v>
      </c>
      <c r="J16" s="22">
        <v>45</v>
      </c>
      <c r="K16" s="30" t="s">
        <v>70</v>
      </c>
      <c r="L16"/>
      <c r="M16" s="33" t="s">
        <v>54</v>
      </c>
      <c r="N16" s="30">
        <v>0</v>
      </c>
    </row>
    <row r="17" spans="1:14" s="3" customFormat="1" ht="25.8" x14ac:dyDescent="0.6">
      <c r="A17" s="9">
        <v>15</v>
      </c>
      <c r="B17" s="1" t="s">
        <v>432</v>
      </c>
      <c r="C17" s="1" t="s">
        <v>433</v>
      </c>
      <c r="D17" s="1" t="s">
        <v>155</v>
      </c>
      <c r="E17" s="1" t="s">
        <v>434</v>
      </c>
      <c r="F17" s="1" t="s">
        <v>157</v>
      </c>
      <c r="G17" s="1" t="s">
        <v>435</v>
      </c>
      <c r="H17" s="1">
        <v>0</v>
      </c>
      <c r="I17" s="1" t="s">
        <v>436</v>
      </c>
      <c r="J17" s="22">
        <v>45</v>
      </c>
      <c r="K17" s="30" t="s">
        <v>70</v>
      </c>
      <c r="L17"/>
      <c r="M17" s="33" t="s">
        <v>48</v>
      </c>
      <c r="N17" s="30">
        <v>0</v>
      </c>
    </row>
    <row r="18" spans="1:14" s="3" customFormat="1" ht="25.8" x14ac:dyDescent="0.6">
      <c r="A18" s="9">
        <v>16</v>
      </c>
      <c r="B18" s="1" t="s">
        <v>437</v>
      </c>
      <c r="C18" s="1" t="s">
        <v>438</v>
      </c>
      <c r="D18" s="1" t="s">
        <v>155</v>
      </c>
      <c r="E18" s="1" t="s">
        <v>439</v>
      </c>
      <c r="F18" s="1" t="s">
        <v>157</v>
      </c>
      <c r="G18" s="1" t="s">
        <v>440</v>
      </c>
      <c r="H18" s="1">
        <v>0</v>
      </c>
      <c r="I18" s="1" t="s">
        <v>441</v>
      </c>
      <c r="J18" s="22">
        <v>45</v>
      </c>
      <c r="K18" s="30" t="s">
        <v>70</v>
      </c>
      <c r="L18"/>
      <c r="M18" s="33" t="s">
        <v>55</v>
      </c>
      <c r="N18" s="30">
        <v>0</v>
      </c>
    </row>
    <row r="19" spans="1:14" s="3" customFormat="1" ht="25.8" x14ac:dyDescent="0.6">
      <c r="A19" s="9">
        <v>17</v>
      </c>
      <c r="B19" s="1" t="s">
        <v>442</v>
      </c>
      <c r="C19" s="1" t="s">
        <v>443</v>
      </c>
      <c r="D19" s="1" t="s">
        <v>155</v>
      </c>
      <c r="E19" s="1" t="s">
        <v>444</v>
      </c>
      <c r="F19" s="1" t="s">
        <v>157</v>
      </c>
      <c r="G19" s="1" t="s">
        <v>445</v>
      </c>
      <c r="H19" s="1">
        <v>0</v>
      </c>
      <c r="I19" s="1" t="s">
        <v>446</v>
      </c>
      <c r="J19" s="22">
        <v>45</v>
      </c>
      <c r="K19" s="30" t="s">
        <v>70</v>
      </c>
      <c r="L19"/>
      <c r="M19" s="33" t="s">
        <v>18</v>
      </c>
      <c r="N19" s="30">
        <v>0</v>
      </c>
    </row>
    <row r="20" spans="1:14" s="3" customFormat="1" ht="25.8" x14ac:dyDescent="0.6">
      <c r="A20" s="9">
        <v>18</v>
      </c>
      <c r="B20" s="1" t="s">
        <v>447</v>
      </c>
      <c r="C20" s="1" t="s">
        <v>448</v>
      </c>
      <c r="D20" s="1" t="s">
        <v>155</v>
      </c>
      <c r="E20" s="1" t="s">
        <v>449</v>
      </c>
      <c r="F20" s="1" t="s">
        <v>157</v>
      </c>
      <c r="G20" s="1" t="s">
        <v>450</v>
      </c>
      <c r="H20" s="1">
        <v>0</v>
      </c>
      <c r="I20" s="22" t="s">
        <v>451</v>
      </c>
      <c r="J20" s="22">
        <v>45</v>
      </c>
      <c r="K20" s="30" t="s">
        <v>70</v>
      </c>
      <c r="L20"/>
      <c r="M20" s="33" t="s">
        <v>56</v>
      </c>
      <c r="N20" s="30">
        <v>0</v>
      </c>
    </row>
    <row r="21" spans="1:14" s="3" customFormat="1" ht="25.8" x14ac:dyDescent="0.6">
      <c r="A21" s="9">
        <v>19</v>
      </c>
      <c r="B21" s="1" t="s">
        <v>454</v>
      </c>
      <c r="C21" s="1" t="s">
        <v>455</v>
      </c>
      <c r="D21" s="1" t="s">
        <v>452</v>
      </c>
      <c r="E21" s="1" t="s">
        <v>107</v>
      </c>
      <c r="F21" s="1" t="s">
        <v>102</v>
      </c>
      <c r="G21" s="1" t="s">
        <v>453</v>
      </c>
      <c r="H21" s="1">
        <v>0</v>
      </c>
      <c r="I21" s="22" t="s">
        <v>456</v>
      </c>
      <c r="J21" s="22">
        <v>45</v>
      </c>
      <c r="K21" s="30" t="s">
        <v>70</v>
      </c>
      <c r="L21"/>
      <c r="M21" s="33" t="s">
        <v>20</v>
      </c>
      <c r="N21" s="30">
        <v>0</v>
      </c>
    </row>
    <row r="22" spans="1:14" s="3" customFormat="1" ht="25.8" x14ac:dyDescent="0.6">
      <c r="A22" s="9">
        <v>20</v>
      </c>
      <c r="B22" s="1" t="s">
        <v>457</v>
      </c>
      <c r="C22" s="1" t="s">
        <v>458</v>
      </c>
      <c r="D22" s="1" t="s">
        <v>155</v>
      </c>
      <c r="E22" s="1" t="s">
        <v>459</v>
      </c>
      <c r="F22" s="1" t="s">
        <v>157</v>
      </c>
      <c r="G22" s="1" t="s">
        <v>460</v>
      </c>
      <c r="H22" s="1">
        <v>0</v>
      </c>
      <c r="I22" s="22" t="s">
        <v>461</v>
      </c>
      <c r="J22" s="22">
        <v>45</v>
      </c>
      <c r="K22" s="30" t="s">
        <v>70</v>
      </c>
      <c r="L22"/>
      <c r="M22" s="33" t="s">
        <v>57</v>
      </c>
      <c r="N22" s="30">
        <v>0</v>
      </c>
    </row>
    <row r="23" spans="1:14" s="3" customFormat="1" ht="25.8" x14ac:dyDescent="0.6">
      <c r="A23" s="9">
        <v>21</v>
      </c>
      <c r="B23" s="1" t="s">
        <v>462</v>
      </c>
      <c r="C23" s="1" t="s">
        <v>254</v>
      </c>
      <c r="D23" s="1" t="s">
        <v>155</v>
      </c>
      <c r="E23" s="1" t="s">
        <v>255</v>
      </c>
      <c r="F23" s="1" t="s">
        <v>157</v>
      </c>
      <c r="G23" s="1" t="s">
        <v>463</v>
      </c>
      <c r="H23" s="1">
        <v>0</v>
      </c>
      <c r="I23" s="1" t="s">
        <v>464</v>
      </c>
      <c r="J23" s="22">
        <v>45</v>
      </c>
      <c r="K23" s="30" t="s">
        <v>70</v>
      </c>
      <c r="L23"/>
      <c r="M23" s="33" t="s">
        <v>58</v>
      </c>
      <c r="N23" s="30">
        <v>0</v>
      </c>
    </row>
    <row r="24" spans="1:14" s="3" customFormat="1" ht="25.8" x14ac:dyDescent="0.6">
      <c r="A24" s="9">
        <v>22</v>
      </c>
      <c r="B24" s="1" t="s">
        <v>465</v>
      </c>
      <c r="C24" s="1" t="s">
        <v>466</v>
      </c>
      <c r="D24" s="1" t="s">
        <v>155</v>
      </c>
      <c r="E24" s="1" t="s">
        <v>467</v>
      </c>
      <c r="F24" s="1" t="s">
        <v>157</v>
      </c>
      <c r="G24" s="1" t="s">
        <v>468</v>
      </c>
      <c r="H24" s="1">
        <v>0</v>
      </c>
      <c r="I24" s="22" t="s">
        <v>469</v>
      </c>
      <c r="J24" s="22">
        <v>45</v>
      </c>
      <c r="K24" s="30" t="s">
        <v>70</v>
      </c>
      <c r="L24"/>
      <c r="M24" s="33" t="s">
        <v>59</v>
      </c>
      <c r="N24" s="30">
        <v>0</v>
      </c>
    </row>
    <row r="25" spans="1:14" s="3" customFormat="1" ht="25.8" x14ac:dyDescent="0.6">
      <c r="A25" s="9">
        <v>23</v>
      </c>
      <c r="B25" s="56" t="s">
        <v>470</v>
      </c>
      <c r="C25" s="56" t="s">
        <v>471</v>
      </c>
      <c r="D25" s="56" t="s">
        <v>155</v>
      </c>
      <c r="E25" s="56" t="s">
        <v>472</v>
      </c>
      <c r="F25" s="56" t="s">
        <v>157</v>
      </c>
      <c r="G25" s="56" t="s">
        <v>473</v>
      </c>
      <c r="H25" s="1">
        <v>0</v>
      </c>
      <c r="I25" s="56" t="s">
        <v>474</v>
      </c>
      <c r="J25" s="22">
        <v>45</v>
      </c>
      <c r="K25" s="30" t="s">
        <v>70</v>
      </c>
      <c r="L25"/>
      <c r="M25" s="33" t="s">
        <v>60</v>
      </c>
      <c r="N25" s="30">
        <v>0</v>
      </c>
    </row>
    <row r="26" spans="1:14" s="3" customFormat="1" ht="25.8" x14ac:dyDescent="0.6">
      <c r="A26" s="9">
        <v>24</v>
      </c>
      <c r="B26" s="56" t="s">
        <v>476</v>
      </c>
      <c r="C26" s="56" t="s">
        <v>477</v>
      </c>
      <c r="D26" s="56" t="s">
        <v>155</v>
      </c>
      <c r="E26" s="56" t="s">
        <v>478</v>
      </c>
      <c r="F26" s="56" t="s">
        <v>157</v>
      </c>
      <c r="G26" s="56" t="s">
        <v>475</v>
      </c>
      <c r="H26" s="1">
        <v>0</v>
      </c>
      <c r="I26" s="56" t="s">
        <v>479</v>
      </c>
      <c r="J26" s="22">
        <v>45</v>
      </c>
      <c r="K26" s="30" t="s">
        <v>70</v>
      </c>
      <c r="L26"/>
      <c r="M26" s="33" t="s">
        <v>61</v>
      </c>
      <c r="N26" s="30">
        <v>0</v>
      </c>
    </row>
    <row r="27" spans="1:14" s="3" customFormat="1" ht="25.8" x14ac:dyDescent="0.6">
      <c r="A27" s="9">
        <v>25</v>
      </c>
      <c r="B27" s="56" t="s">
        <v>480</v>
      </c>
      <c r="C27" s="56" t="s">
        <v>166</v>
      </c>
      <c r="D27" s="56" t="s">
        <v>155</v>
      </c>
      <c r="E27" s="56" t="s">
        <v>167</v>
      </c>
      <c r="F27" s="56" t="s">
        <v>157</v>
      </c>
      <c r="G27" s="56" t="s">
        <v>481</v>
      </c>
      <c r="H27" s="1">
        <v>0</v>
      </c>
      <c r="I27" s="56" t="s">
        <v>482</v>
      </c>
      <c r="J27" s="22">
        <v>45</v>
      </c>
      <c r="K27" s="30" t="s">
        <v>70</v>
      </c>
      <c r="L27"/>
      <c r="M27" s="33" t="s">
        <v>62</v>
      </c>
      <c r="N27" s="30">
        <v>0</v>
      </c>
    </row>
    <row r="28" spans="1:14" s="3" customFormat="1" ht="25.8" x14ac:dyDescent="0.6">
      <c r="A28" s="9">
        <v>26</v>
      </c>
      <c r="B28" s="56" t="s">
        <v>483</v>
      </c>
      <c r="C28" s="56" t="s">
        <v>484</v>
      </c>
      <c r="D28" s="56" t="s">
        <v>155</v>
      </c>
      <c r="E28" s="56" t="s">
        <v>485</v>
      </c>
      <c r="F28" s="56" t="s">
        <v>157</v>
      </c>
      <c r="G28" s="56" t="s">
        <v>481</v>
      </c>
      <c r="H28" s="1">
        <v>0</v>
      </c>
      <c r="I28" s="56" t="s">
        <v>486</v>
      </c>
      <c r="J28" s="22">
        <v>45</v>
      </c>
      <c r="K28" s="30" t="s">
        <v>70</v>
      </c>
      <c r="L28"/>
      <c r="M28" s="33" t="s">
        <v>63</v>
      </c>
      <c r="N28" s="30">
        <v>0</v>
      </c>
    </row>
    <row r="29" spans="1:14" s="3" customFormat="1" ht="25.8" x14ac:dyDescent="0.6">
      <c r="A29" s="9">
        <v>27</v>
      </c>
      <c r="B29" s="56" t="s">
        <v>487</v>
      </c>
      <c r="C29" s="56" t="s">
        <v>488</v>
      </c>
      <c r="D29" s="56" t="s">
        <v>155</v>
      </c>
      <c r="E29" s="56" t="s">
        <v>489</v>
      </c>
      <c r="F29" s="56" t="s">
        <v>157</v>
      </c>
      <c r="G29" s="56" t="s">
        <v>490</v>
      </c>
      <c r="H29" s="1">
        <v>0</v>
      </c>
      <c r="I29" s="56" t="s">
        <v>491</v>
      </c>
      <c r="J29" s="22">
        <v>45</v>
      </c>
      <c r="K29" s="30" t="s">
        <v>70</v>
      </c>
      <c r="L29"/>
      <c r="M29" s="33" t="s">
        <v>64</v>
      </c>
      <c r="N29" s="30">
        <v>0</v>
      </c>
    </row>
    <row r="30" spans="1:14" s="3" customFormat="1" ht="25.8" x14ac:dyDescent="0.6">
      <c r="A30" s="9">
        <v>28</v>
      </c>
      <c r="B30" s="56" t="s">
        <v>492</v>
      </c>
      <c r="C30" s="56" t="s">
        <v>493</v>
      </c>
      <c r="D30" s="56" t="s">
        <v>155</v>
      </c>
      <c r="E30" s="56" t="s">
        <v>494</v>
      </c>
      <c r="F30" s="56" t="s">
        <v>157</v>
      </c>
      <c r="G30" s="56" t="s">
        <v>495</v>
      </c>
      <c r="H30" s="1">
        <v>0</v>
      </c>
      <c r="I30" s="56" t="s">
        <v>496</v>
      </c>
      <c r="J30" s="22">
        <v>45</v>
      </c>
      <c r="K30" s="30" t="s">
        <v>70</v>
      </c>
      <c r="L30"/>
      <c r="M30" s="33" t="s">
        <v>65</v>
      </c>
      <c r="N30" s="30">
        <v>0</v>
      </c>
    </row>
    <row r="31" spans="1:14" s="3" customFormat="1" ht="25.8" x14ac:dyDescent="0.6">
      <c r="A31" s="9">
        <v>29</v>
      </c>
      <c r="B31" s="56" t="s">
        <v>497</v>
      </c>
      <c r="C31" s="56" t="s">
        <v>498</v>
      </c>
      <c r="D31" s="56" t="s">
        <v>155</v>
      </c>
      <c r="E31" s="56" t="s">
        <v>499</v>
      </c>
      <c r="F31" s="56" t="s">
        <v>157</v>
      </c>
      <c r="G31" s="56" t="s">
        <v>500</v>
      </c>
      <c r="H31" s="1">
        <v>0</v>
      </c>
      <c r="I31" s="56" t="s">
        <v>501</v>
      </c>
      <c r="J31" s="22">
        <v>45</v>
      </c>
      <c r="K31" s="30" t="s">
        <v>70</v>
      </c>
      <c r="L31"/>
      <c r="M31" s="33" t="s">
        <v>66</v>
      </c>
      <c r="N31" s="30">
        <v>0</v>
      </c>
    </row>
    <row r="32" spans="1:14" s="3" customFormat="1" ht="25.8" x14ac:dyDescent="0.6">
      <c r="A32" s="9">
        <v>30</v>
      </c>
      <c r="B32" s="56" t="s">
        <v>502</v>
      </c>
      <c r="C32" s="56" t="s">
        <v>503</v>
      </c>
      <c r="D32" s="56" t="s">
        <v>504</v>
      </c>
      <c r="E32" s="56" t="s">
        <v>505</v>
      </c>
      <c r="F32" s="56" t="s">
        <v>102</v>
      </c>
      <c r="G32" s="56" t="s">
        <v>506</v>
      </c>
      <c r="H32" s="1">
        <v>0</v>
      </c>
      <c r="I32" s="56" t="s">
        <v>507</v>
      </c>
      <c r="J32" s="22">
        <v>45</v>
      </c>
      <c r="K32" s="30" t="s">
        <v>14</v>
      </c>
      <c r="L32"/>
      <c r="M32" s="33" t="s">
        <v>67</v>
      </c>
      <c r="N32" s="30">
        <v>0</v>
      </c>
    </row>
    <row r="33" spans="1:14" s="3" customFormat="1" ht="25.8" x14ac:dyDescent="0.6">
      <c r="A33" s="9">
        <v>31</v>
      </c>
      <c r="B33" s="56" t="s">
        <v>509</v>
      </c>
      <c r="C33" s="56" t="s">
        <v>510</v>
      </c>
      <c r="D33" s="56" t="s">
        <v>155</v>
      </c>
      <c r="E33" s="56" t="s">
        <v>511</v>
      </c>
      <c r="F33" s="56" t="s">
        <v>157</v>
      </c>
      <c r="G33" s="56" t="s">
        <v>512</v>
      </c>
      <c r="H33" s="1">
        <v>0</v>
      </c>
      <c r="I33" s="56" t="s">
        <v>513</v>
      </c>
      <c r="J33" s="22">
        <v>45</v>
      </c>
      <c r="K33" s="30" t="s">
        <v>70</v>
      </c>
      <c r="L33"/>
      <c r="M33" s="33" t="s">
        <v>68</v>
      </c>
      <c r="N33" s="30">
        <v>0</v>
      </c>
    </row>
    <row r="34" spans="1:14" s="3" customFormat="1" ht="25.8" x14ac:dyDescent="0.6">
      <c r="A34" s="9">
        <v>32</v>
      </c>
      <c r="B34" s="56" t="s">
        <v>515</v>
      </c>
      <c r="C34" s="56" t="s">
        <v>516</v>
      </c>
      <c r="D34" s="56" t="s">
        <v>106</v>
      </c>
      <c r="E34" s="56" t="s">
        <v>107</v>
      </c>
      <c r="F34" s="56" t="s">
        <v>102</v>
      </c>
      <c r="G34" s="56" t="s">
        <v>514</v>
      </c>
      <c r="H34" s="1">
        <v>0</v>
      </c>
      <c r="I34" s="56" t="s">
        <v>517</v>
      </c>
      <c r="J34" s="22">
        <v>45</v>
      </c>
      <c r="K34" s="30" t="s">
        <v>21</v>
      </c>
      <c r="L34"/>
      <c r="M34" s="33" t="s">
        <v>69</v>
      </c>
      <c r="N34" s="30">
        <v>0</v>
      </c>
    </row>
    <row r="35" spans="1:14" s="3" customFormat="1" ht="25.8" x14ac:dyDescent="0.6">
      <c r="A35" s="9">
        <v>33</v>
      </c>
      <c r="B35" s="56" t="s">
        <v>518</v>
      </c>
      <c r="C35" s="56" t="s">
        <v>519</v>
      </c>
      <c r="D35" s="56" t="s">
        <v>155</v>
      </c>
      <c r="E35" s="56" t="s">
        <v>520</v>
      </c>
      <c r="F35" s="56" t="s">
        <v>157</v>
      </c>
      <c r="G35" s="56" t="s">
        <v>521</v>
      </c>
      <c r="H35" s="1">
        <v>0</v>
      </c>
      <c r="I35" s="56" t="s">
        <v>522</v>
      </c>
      <c r="J35" s="22">
        <v>45</v>
      </c>
      <c r="K35" s="30" t="s">
        <v>70</v>
      </c>
      <c r="L35"/>
      <c r="M35" s="33" t="s">
        <v>70</v>
      </c>
      <c r="N35" s="30">
        <v>57</v>
      </c>
    </row>
    <row r="36" spans="1:14" s="3" customFormat="1" ht="25.8" x14ac:dyDescent="0.6">
      <c r="A36" s="9">
        <v>34</v>
      </c>
      <c r="B36" s="56" t="s">
        <v>523</v>
      </c>
      <c r="C36" s="56" t="s">
        <v>367</v>
      </c>
      <c r="D36" s="56" t="s">
        <v>155</v>
      </c>
      <c r="E36" s="56" t="s">
        <v>524</v>
      </c>
      <c r="F36" s="56" t="s">
        <v>157</v>
      </c>
      <c r="G36" s="56" t="s">
        <v>525</v>
      </c>
      <c r="H36" s="1">
        <v>0</v>
      </c>
      <c r="I36" s="56" t="s">
        <v>526</v>
      </c>
      <c r="J36" s="22">
        <v>45</v>
      </c>
      <c r="K36" s="30" t="s">
        <v>70</v>
      </c>
      <c r="L36"/>
      <c r="M36" s="33" t="s">
        <v>71</v>
      </c>
      <c r="N36" s="30">
        <v>0</v>
      </c>
    </row>
    <row r="37" spans="1:14" s="3" customFormat="1" ht="25.8" x14ac:dyDescent="0.6">
      <c r="A37" s="9">
        <v>35</v>
      </c>
      <c r="B37" s="56" t="s">
        <v>527</v>
      </c>
      <c r="C37" s="56" t="s">
        <v>528</v>
      </c>
      <c r="D37" s="56" t="s">
        <v>155</v>
      </c>
      <c r="E37" s="56" t="s">
        <v>529</v>
      </c>
      <c r="F37" s="56" t="s">
        <v>157</v>
      </c>
      <c r="G37" s="56" t="s">
        <v>530</v>
      </c>
      <c r="H37" s="1">
        <v>0</v>
      </c>
      <c r="I37" s="56" t="s">
        <v>531</v>
      </c>
      <c r="J37" s="22">
        <v>45</v>
      </c>
      <c r="K37" s="30" t="s">
        <v>70</v>
      </c>
      <c r="L37"/>
      <c r="M37" s="33" t="s">
        <v>72</v>
      </c>
      <c r="N37" s="30">
        <v>0</v>
      </c>
    </row>
    <row r="38" spans="1:14" s="3" customFormat="1" ht="25.8" x14ac:dyDescent="0.6">
      <c r="A38" s="9">
        <v>36</v>
      </c>
      <c r="B38" s="56" t="s">
        <v>532</v>
      </c>
      <c r="C38" s="56" t="s">
        <v>533</v>
      </c>
      <c r="D38" s="56" t="s">
        <v>106</v>
      </c>
      <c r="E38" s="56" t="s">
        <v>107</v>
      </c>
      <c r="F38" s="56" t="s">
        <v>102</v>
      </c>
      <c r="G38" s="56" t="s">
        <v>534</v>
      </c>
      <c r="H38" s="1">
        <v>0</v>
      </c>
      <c r="I38" s="56" t="s">
        <v>535</v>
      </c>
      <c r="J38" s="22">
        <v>45</v>
      </c>
      <c r="K38" s="30" t="s">
        <v>14</v>
      </c>
      <c r="L38"/>
      <c r="M38" s="33" t="s">
        <v>73</v>
      </c>
      <c r="N38" s="30">
        <v>1</v>
      </c>
    </row>
    <row r="39" spans="1:14" s="3" customFormat="1" ht="25.8" x14ac:dyDescent="0.6">
      <c r="A39" s="9">
        <v>37</v>
      </c>
      <c r="B39" s="56" t="s">
        <v>536</v>
      </c>
      <c r="C39" s="56" t="s">
        <v>537</v>
      </c>
      <c r="D39" s="56" t="s">
        <v>155</v>
      </c>
      <c r="E39" s="56" t="s">
        <v>538</v>
      </c>
      <c r="F39" s="56" t="s">
        <v>157</v>
      </c>
      <c r="G39" s="56" t="s">
        <v>539</v>
      </c>
      <c r="H39" s="1">
        <v>0</v>
      </c>
      <c r="I39" s="56" t="s">
        <v>540</v>
      </c>
      <c r="J39" s="22">
        <v>45</v>
      </c>
      <c r="K39" s="30" t="s">
        <v>70</v>
      </c>
      <c r="L39"/>
      <c r="M39" s="33" t="s">
        <v>74</v>
      </c>
      <c r="N39" s="30">
        <v>0</v>
      </c>
    </row>
    <row r="40" spans="1:14" s="3" customFormat="1" ht="25.8" x14ac:dyDescent="0.6">
      <c r="A40" s="9">
        <v>38</v>
      </c>
      <c r="B40" s="56" t="s">
        <v>541</v>
      </c>
      <c r="C40" s="56" t="s">
        <v>542</v>
      </c>
      <c r="D40" s="56" t="s">
        <v>155</v>
      </c>
      <c r="E40" s="56" t="s">
        <v>543</v>
      </c>
      <c r="F40" s="56" t="s">
        <v>157</v>
      </c>
      <c r="G40" s="56" t="s">
        <v>544</v>
      </c>
      <c r="H40" s="1">
        <v>0</v>
      </c>
      <c r="I40" s="56" t="s">
        <v>545</v>
      </c>
      <c r="J40" s="22">
        <v>45</v>
      </c>
      <c r="K40" s="30" t="s">
        <v>70</v>
      </c>
      <c r="L40"/>
      <c r="M40" s="33" t="s">
        <v>75</v>
      </c>
      <c r="N40" s="30">
        <v>0</v>
      </c>
    </row>
    <row r="41" spans="1:14" s="3" customFormat="1" ht="25.8" x14ac:dyDescent="0.6">
      <c r="A41" s="9">
        <v>39</v>
      </c>
      <c r="B41" s="56" t="s">
        <v>546</v>
      </c>
      <c r="C41" s="56" t="s">
        <v>547</v>
      </c>
      <c r="D41" s="56" t="s">
        <v>155</v>
      </c>
      <c r="E41" s="56" t="s">
        <v>548</v>
      </c>
      <c r="F41" s="56" t="s">
        <v>157</v>
      </c>
      <c r="G41" s="56" t="s">
        <v>549</v>
      </c>
      <c r="H41" s="1">
        <v>0</v>
      </c>
      <c r="I41" s="56" t="s">
        <v>550</v>
      </c>
      <c r="J41" s="22">
        <v>45</v>
      </c>
      <c r="K41" s="30" t="s">
        <v>70</v>
      </c>
      <c r="L41"/>
      <c r="M41" s="33" t="s">
        <v>76</v>
      </c>
      <c r="N41" s="30">
        <v>0</v>
      </c>
    </row>
    <row r="42" spans="1:14" s="3" customFormat="1" ht="25.8" x14ac:dyDescent="0.6">
      <c r="A42" s="9">
        <v>40</v>
      </c>
      <c r="B42" s="56" t="s">
        <v>552</v>
      </c>
      <c r="C42" s="56" t="s">
        <v>553</v>
      </c>
      <c r="D42" s="56" t="s">
        <v>155</v>
      </c>
      <c r="E42" s="56" t="s">
        <v>554</v>
      </c>
      <c r="F42" s="56" t="s">
        <v>157</v>
      </c>
      <c r="G42" s="56" t="s">
        <v>551</v>
      </c>
      <c r="H42" s="1">
        <v>0</v>
      </c>
      <c r="I42" s="56" t="s">
        <v>555</v>
      </c>
      <c r="J42" s="22">
        <v>45</v>
      </c>
      <c r="K42" s="30" t="s">
        <v>70</v>
      </c>
      <c r="L42"/>
      <c r="M42" s="33" t="s">
        <v>77</v>
      </c>
      <c r="N42" s="30">
        <v>0</v>
      </c>
    </row>
    <row r="43" spans="1:14" s="3" customFormat="1" ht="25.8" x14ac:dyDescent="0.6">
      <c r="A43" s="9">
        <v>41</v>
      </c>
      <c r="B43" s="1" t="s">
        <v>557</v>
      </c>
      <c r="C43" s="1" t="s">
        <v>236</v>
      </c>
      <c r="D43" s="1" t="s">
        <v>155</v>
      </c>
      <c r="E43" s="1" t="s">
        <v>237</v>
      </c>
      <c r="F43" s="1" t="s">
        <v>157</v>
      </c>
      <c r="G43" s="1" t="s">
        <v>556</v>
      </c>
      <c r="H43" s="1">
        <v>0</v>
      </c>
      <c r="I43" s="22" t="s">
        <v>558</v>
      </c>
      <c r="J43" s="22">
        <v>45</v>
      </c>
      <c r="K43" s="30" t="s">
        <v>70</v>
      </c>
      <c r="L43"/>
      <c r="M43" s="33" t="s">
        <v>21</v>
      </c>
      <c r="N43" s="30">
        <v>0</v>
      </c>
    </row>
    <row r="44" spans="1:14" s="3" customFormat="1" ht="25.8" x14ac:dyDescent="0.6">
      <c r="A44" s="9">
        <v>42</v>
      </c>
      <c r="B44" s="1" t="s">
        <v>560</v>
      </c>
      <c r="C44" s="1" t="s">
        <v>292</v>
      </c>
      <c r="D44" s="1" t="s">
        <v>155</v>
      </c>
      <c r="E44" s="1" t="s">
        <v>293</v>
      </c>
      <c r="F44" s="1" t="s">
        <v>157</v>
      </c>
      <c r="G44" s="1" t="s">
        <v>559</v>
      </c>
      <c r="H44" s="1">
        <v>0</v>
      </c>
      <c r="I44" s="22" t="s">
        <v>561</v>
      </c>
      <c r="J44" s="22">
        <v>45</v>
      </c>
      <c r="K44" s="30" t="s">
        <v>70</v>
      </c>
      <c r="L44"/>
      <c r="M44" s="33" t="s">
        <v>78</v>
      </c>
      <c r="N44" s="30">
        <v>0</v>
      </c>
    </row>
    <row r="45" spans="1:14" s="3" customFormat="1" ht="25.8" x14ac:dyDescent="0.6">
      <c r="A45" s="9">
        <v>43</v>
      </c>
      <c r="B45" s="1" t="s">
        <v>562</v>
      </c>
      <c r="C45" s="1" t="s">
        <v>367</v>
      </c>
      <c r="D45" s="1" t="s">
        <v>155</v>
      </c>
      <c r="E45" s="1" t="s">
        <v>524</v>
      </c>
      <c r="F45" s="1" t="s">
        <v>157</v>
      </c>
      <c r="G45" s="1" t="s">
        <v>563</v>
      </c>
      <c r="H45" s="1">
        <v>0</v>
      </c>
      <c r="I45" s="22" t="s">
        <v>564</v>
      </c>
      <c r="J45" s="22">
        <v>45</v>
      </c>
      <c r="K45" s="30" t="s">
        <v>70</v>
      </c>
      <c r="L45"/>
      <c r="M45" s="33" t="s">
        <v>79</v>
      </c>
      <c r="N45" s="30">
        <v>0</v>
      </c>
    </row>
    <row r="46" spans="1:14" s="3" customFormat="1" ht="25.8" x14ac:dyDescent="0.6">
      <c r="A46" s="9">
        <v>44</v>
      </c>
      <c r="B46" s="1" t="s">
        <v>565</v>
      </c>
      <c r="C46" s="1" t="s">
        <v>566</v>
      </c>
      <c r="D46" s="1" t="s">
        <v>155</v>
      </c>
      <c r="E46" s="1" t="s">
        <v>567</v>
      </c>
      <c r="F46" s="1" t="s">
        <v>157</v>
      </c>
      <c r="G46" s="1" t="s">
        <v>568</v>
      </c>
      <c r="H46" s="1">
        <v>0</v>
      </c>
      <c r="I46" s="22" t="s">
        <v>569</v>
      </c>
      <c r="J46" s="22">
        <v>45</v>
      </c>
      <c r="K46" s="30" t="s">
        <v>70</v>
      </c>
      <c r="L46"/>
      <c r="M46" s="33" t="s">
        <v>80</v>
      </c>
      <c r="N46" s="30">
        <v>0</v>
      </c>
    </row>
    <row r="47" spans="1:14" s="3" customFormat="1" ht="25.8" x14ac:dyDescent="0.6">
      <c r="A47" s="9">
        <v>45</v>
      </c>
      <c r="B47" s="1" t="s">
        <v>570</v>
      </c>
      <c r="C47" s="1" t="s">
        <v>571</v>
      </c>
      <c r="D47" s="1" t="s">
        <v>155</v>
      </c>
      <c r="E47" s="1" t="s">
        <v>572</v>
      </c>
      <c r="F47" s="1" t="s">
        <v>157</v>
      </c>
      <c r="G47" s="1" t="s">
        <v>573</v>
      </c>
      <c r="H47" s="1">
        <v>0</v>
      </c>
      <c r="I47" s="22" t="s">
        <v>574</v>
      </c>
      <c r="J47" s="22">
        <v>45</v>
      </c>
      <c r="K47" s="30" t="s">
        <v>70</v>
      </c>
      <c r="L47"/>
      <c r="M47" s="33" t="s">
        <v>81</v>
      </c>
      <c r="N47" s="30">
        <v>0</v>
      </c>
    </row>
    <row r="48" spans="1:14" s="3" customFormat="1" ht="25.8" x14ac:dyDescent="0.6">
      <c r="A48" s="9">
        <v>46</v>
      </c>
      <c r="B48" s="1" t="s">
        <v>575</v>
      </c>
      <c r="C48" s="1" t="s">
        <v>443</v>
      </c>
      <c r="D48" s="1" t="s">
        <v>155</v>
      </c>
      <c r="E48" s="1" t="s">
        <v>444</v>
      </c>
      <c r="F48" s="1" t="s">
        <v>157</v>
      </c>
      <c r="G48" s="1" t="s">
        <v>576</v>
      </c>
      <c r="H48" s="1">
        <v>0</v>
      </c>
      <c r="I48" s="22" t="s">
        <v>577</v>
      </c>
      <c r="J48" s="22">
        <v>45</v>
      </c>
      <c r="K48" s="30" t="s">
        <v>70</v>
      </c>
      <c r="L48"/>
      <c r="M48" s="33" t="s">
        <v>86</v>
      </c>
      <c r="N48" s="30">
        <v>0</v>
      </c>
    </row>
    <row r="49" spans="1:14" s="3" customFormat="1" ht="25.8" x14ac:dyDescent="0.6">
      <c r="A49" s="9">
        <v>47</v>
      </c>
      <c r="B49" s="1" t="s">
        <v>579</v>
      </c>
      <c r="C49" s="1" t="s">
        <v>580</v>
      </c>
      <c r="D49" s="1" t="s">
        <v>155</v>
      </c>
      <c r="E49" s="1" t="s">
        <v>581</v>
      </c>
      <c r="F49" s="1" t="s">
        <v>157</v>
      </c>
      <c r="G49" s="1" t="s">
        <v>578</v>
      </c>
      <c r="H49" s="1">
        <v>0</v>
      </c>
      <c r="I49" s="22" t="s">
        <v>582</v>
      </c>
      <c r="J49" s="22">
        <v>45</v>
      </c>
      <c r="K49" s="30" t="s">
        <v>70</v>
      </c>
      <c r="L49"/>
      <c r="M49" s="33" t="s">
        <v>82</v>
      </c>
      <c r="N49" s="30">
        <v>0</v>
      </c>
    </row>
    <row r="50" spans="1:14" s="3" customFormat="1" ht="46.8" x14ac:dyDescent="0.6">
      <c r="A50" s="9">
        <v>48</v>
      </c>
      <c r="B50" s="1" t="s">
        <v>584</v>
      </c>
      <c r="C50" s="1" t="s">
        <v>412</v>
      </c>
      <c r="D50" s="1" t="s">
        <v>155</v>
      </c>
      <c r="E50" s="1" t="s">
        <v>413</v>
      </c>
      <c r="F50" s="1" t="s">
        <v>178</v>
      </c>
      <c r="G50" s="1" t="s">
        <v>583</v>
      </c>
      <c r="H50" s="1">
        <v>0</v>
      </c>
      <c r="I50" s="22" t="s">
        <v>585</v>
      </c>
      <c r="J50" s="22">
        <v>45</v>
      </c>
      <c r="K50" s="30" t="s">
        <v>70</v>
      </c>
      <c r="L50"/>
      <c r="M50" s="33" t="s">
        <v>85</v>
      </c>
      <c r="N50" s="30">
        <v>0</v>
      </c>
    </row>
    <row r="51" spans="1:14" s="3" customFormat="1" ht="25.8" x14ac:dyDescent="0.6">
      <c r="A51" s="9">
        <v>49</v>
      </c>
      <c r="B51" s="1" t="s">
        <v>586</v>
      </c>
      <c r="C51" s="1" t="s">
        <v>587</v>
      </c>
      <c r="D51" s="1" t="s">
        <v>155</v>
      </c>
      <c r="E51" s="1" t="s">
        <v>588</v>
      </c>
      <c r="F51" s="1" t="s">
        <v>157</v>
      </c>
      <c r="G51" s="1" t="s">
        <v>589</v>
      </c>
      <c r="H51" s="1">
        <v>0</v>
      </c>
      <c r="I51" s="22" t="s">
        <v>590</v>
      </c>
      <c r="J51" s="22">
        <v>45</v>
      </c>
      <c r="K51" s="30" t="s">
        <v>70</v>
      </c>
      <c r="L51"/>
      <c r="M51" s="33" t="s">
        <v>83</v>
      </c>
      <c r="N51" s="30">
        <v>0</v>
      </c>
    </row>
    <row r="52" spans="1:14" s="3" customFormat="1" ht="25.8" x14ac:dyDescent="0.6">
      <c r="A52" s="9">
        <v>50</v>
      </c>
      <c r="B52" s="1" t="s">
        <v>592</v>
      </c>
      <c r="C52" s="1" t="s">
        <v>533</v>
      </c>
      <c r="D52" s="1" t="s">
        <v>106</v>
      </c>
      <c r="E52" s="1" t="s">
        <v>107</v>
      </c>
      <c r="F52" s="1" t="s">
        <v>102</v>
      </c>
      <c r="G52" s="1" t="s">
        <v>591</v>
      </c>
      <c r="H52" s="1">
        <v>0</v>
      </c>
      <c r="I52" s="22" t="s">
        <v>593</v>
      </c>
      <c r="J52" s="22">
        <v>45</v>
      </c>
      <c r="K52" s="30" t="s">
        <v>14</v>
      </c>
      <c r="L52"/>
      <c r="M52" s="33" t="s">
        <v>41</v>
      </c>
      <c r="N52" s="30">
        <v>0</v>
      </c>
    </row>
    <row r="53" spans="1:14" s="3" customFormat="1" ht="25.8" x14ac:dyDescent="0.6">
      <c r="A53" s="9">
        <v>51</v>
      </c>
      <c r="B53" s="1" t="s">
        <v>594</v>
      </c>
      <c r="C53" s="1" t="s">
        <v>595</v>
      </c>
      <c r="D53" s="1" t="s">
        <v>106</v>
      </c>
      <c r="E53" s="1" t="s">
        <v>107</v>
      </c>
      <c r="F53" s="1" t="s">
        <v>102</v>
      </c>
      <c r="G53" s="1" t="s">
        <v>596</v>
      </c>
      <c r="H53" s="1">
        <v>0</v>
      </c>
      <c r="I53" s="22" t="s">
        <v>598</v>
      </c>
      <c r="J53" s="22">
        <v>45</v>
      </c>
      <c r="K53" s="30" t="s">
        <v>597</v>
      </c>
      <c r="L53"/>
      <c r="M53" s="33" t="s">
        <v>84</v>
      </c>
      <c r="N53" s="30">
        <v>0</v>
      </c>
    </row>
    <row r="54" spans="1:14" s="3" customFormat="1" ht="25.8" x14ac:dyDescent="0.6">
      <c r="A54" s="9">
        <v>52</v>
      </c>
      <c r="B54" s="1" t="s">
        <v>599</v>
      </c>
      <c r="C54" s="1" t="s">
        <v>426</v>
      </c>
      <c r="D54" s="1" t="s">
        <v>155</v>
      </c>
      <c r="E54" s="1" t="s">
        <v>600</v>
      </c>
      <c r="F54" s="1" t="s">
        <v>157</v>
      </c>
      <c r="G54" s="1" t="s">
        <v>601</v>
      </c>
      <c r="H54" s="1">
        <v>0</v>
      </c>
      <c r="I54" s="22" t="s">
        <v>602</v>
      </c>
      <c r="J54" s="22">
        <v>45</v>
      </c>
      <c r="K54" s="30" t="s">
        <v>70</v>
      </c>
      <c r="L54"/>
      <c r="M54" s="33" t="s">
        <v>47</v>
      </c>
      <c r="N54" s="30">
        <v>0</v>
      </c>
    </row>
    <row r="55" spans="1:14" s="3" customFormat="1" ht="25.8" x14ac:dyDescent="0.6">
      <c r="A55" s="9">
        <v>53</v>
      </c>
      <c r="B55" s="1" t="s">
        <v>603</v>
      </c>
      <c r="C55" s="1" t="s">
        <v>170</v>
      </c>
      <c r="D55" s="1" t="s">
        <v>155</v>
      </c>
      <c r="E55" s="1" t="s">
        <v>171</v>
      </c>
      <c r="F55" s="1" t="s">
        <v>157</v>
      </c>
      <c r="G55" s="1" t="s">
        <v>604</v>
      </c>
      <c r="H55" s="1">
        <v>0</v>
      </c>
      <c r="I55" s="22" t="s">
        <v>605</v>
      </c>
      <c r="J55" s="22">
        <v>45</v>
      </c>
      <c r="K55" s="30" t="s">
        <v>70</v>
      </c>
      <c r="L55"/>
      <c r="M55" s="33" t="s">
        <v>87</v>
      </c>
      <c r="N55" s="30">
        <v>0</v>
      </c>
    </row>
    <row r="56" spans="1:14" s="3" customFormat="1" ht="25.8" x14ac:dyDescent="0.6">
      <c r="A56" s="9">
        <v>54</v>
      </c>
      <c r="B56" s="1" t="s">
        <v>606</v>
      </c>
      <c r="C56" s="1" t="s">
        <v>607</v>
      </c>
      <c r="D56" s="1" t="s">
        <v>155</v>
      </c>
      <c r="E56" s="1" t="s">
        <v>608</v>
      </c>
      <c r="F56" s="1" t="s">
        <v>157</v>
      </c>
      <c r="G56" s="1" t="s">
        <v>609</v>
      </c>
      <c r="H56" s="1">
        <v>0</v>
      </c>
      <c r="I56" s="22" t="s">
        <v>610</v>
      </c>
      <c r="J56" s="22">
        <v>45</v>
      </c>
      <c r="K56" s="30" t="s">
        <v>70</v>
      </c>
      <c r="L56"/>
      <c r="M56" s="33" t="s">
        <v>22</v>
      </c>
      <c r="N56" s="30">
        <v>0</v>
      </c>
    </row>
    <row r="57" spans="1:14" s="3" customFormat="1" ht="46.8" x14ac:dyDescent="0.6">
      <c r="A57" s="9">
        <v>55</v>
      </c>
      <c r="B57" s="1" t="s">
        <v>611</v>
      </c>
      <c r="C57" s="1" t="s">
        <v>412</v>
      </c>
      <c r="D57" s="1" t="s">
        <v>155</v>
      </c>
      <c r="E57" s="1" t="s">
        <v>413</v>
      </c>
      <c r="F57" s="1" t="s">
        <v>178</v>
      </c>
      <c r="G57" s="1" t="s">
        <v>609</v>
      </c>
      <c r="H57" s="1">
        <v>0</v>
      </c>
      <c r="I57" s="22" t="s">
        <v>612</v>
      </c>
      <c r="J57" s="22">
        <v>45</v>
      </c>
      <c r="K57" s="30" t="s">
        <v>70</v>
      </c>
      <c r="L57"/>
      <c r="M57" s="33"/>
      <c r="N57" s="30"/>
    </row>
    <row r="58" spans="1:14" s="3" customFormat="1" ht="25.8" x14ac:dyDescent="0.6">
      <c r="A58" s="9">
        <v>56</v>
      </c>
      <c r="B58" s="1" t="s">
        <v>613</v>
      </c>
      <c r="C58" s="1" t="s">
        <v>508</v>
      </c>
      <c r="D58" s="1" t="s">
        <v>155</v>
      </c>
      <c r="E58" s="1" t="s">
        <v>614</v>
      </c>
      <c r="F58" s="1" t="s">
        <v>157</v>
      </c>
      <c r="G58" s="1" t="s">
        <v>615</v>
      </c>
      <c r="H58" s="1">
        <v>0</v>
      </c>
      <c r="I58" s="22" t="s">
        <v>616</v>
      </c>
      <c r="J58" s="22">
        <v>45</v>
      </c>
      <c r="K58" s="30" t="s">
        <v>70</v>
      </c>
      <c r="L58"/>
      <c r="M58" s="33"/>
      <c r="N58" s="30"/>
    </row>
    <row r="59" spans="1:14" s="3" customFormat="1" ht="25.8" x14ac:dyDescent="0.6">
      <c r="A59" s="9">
        <v>57</v>
      </c>
      <c r="B59" s="1" t="s">
        <v>617</v>
      </c>
      <c r="C59" s="1" t="s">
        <v>443</v>
      </c>
      <c r="D59" s="1" t="s">
        <v>155</v>
      </c>
      <c r="E59" s="1" t="s">
        <v>444</v>
      </c>
      <c r="F59" s="1" t="s">
        <v>157</v>
      </c>
      <c r="G59" s="1" t="s">
        <v>618</v>
      </c>
      <c r="H59" s="1">
        <v>0</v>
      </c>
      <c r="I59" s="22" t="s">
        <v>619</v>
      </c>
      <c r="J59" s="22">
        <v>45</v>
      </c>
      <c r="K59" s="30" t="s">
        <v>70</v>
      </c>
      <c r="L59"/>
      <c r="M59" s="33"/>
      <c r="N59" s="30"/>
    </row>
    <row r="60" spans="1:14" s="3" customFormat="1" ht="25.8" x14ac:dyDescent="0.6">
      <c r="A60" s="9">
        <v>58</v>
      </c>
      <c r="B60" s="1" t="s">
        <v>620</v>
      </c>
      <c r="C60" s="1" t="s">
        <v>621</v>
      </c>
      <c r="D60" s="1" t="s">
        <v>232</v>
      </c>
      <c r="E60" s="1" t="s">
        <v>107</v>
      </c>
      <c r="F60" s="1" t="s">
        <v>233</v>
      </c>
      <c r="G60" s="1" t="s">
        <v>622</v>
      </c>
      <c r="H60" s="1">
        <v>0</v>
      </c>
      <c r="I60" s="22" t="s">
        <v>623</v>
      </c>
      <c r="J60" s="22">
        <v>45</v>
      </c>
      <c r="K60" s="30" t="s">
        <v>70</v>
      </c>
      <c r="L60"/>
      <c r="M60" s="33"/>
      <c r="N60" s="30"/>
    </row>
    <row r="61" spans="1:14" s="3" customFormat="1" ht="25.8" x14ac:dyDescent="0.6">
      <c r="A61" s="9">
        <v>59</v>
      </c>
      <c r="B61" s="1" t="s">
        <v>624</v>
      </c>
      <c r="C61" s="1" t="s">
        <v>625</v>
      </c>
      <c r="D61" s="1" t="s">
        <v>155</v>
      </c>
      <c r="E61" s="1" t="s">
        <v>626</v>
      </c>
      <c r="F61" s="1" t="s">
        <v>157</v>
      </c>
      <c r="G61" s="1" t="s">
        <v>627</v>
      </c>
      <c r="H61" s="1">
        <v>0</v>
      </c>
      <c r="I61" s="22" t="s">
        <v>628</v>
      </c>
      <c r="J61" s="22">
        <v>45</v>
      </c>
      <c r="K61" s="30" t="s">
        <v>70</v>
      </c>
      <c r="L61"/>
      <c r="M61" s="33"/>
      <c r="N61" s="30"/>
    </row>
    <row r="62" spans="1:14" s="3" customFormat="1" ht="25.8" x14ac:dyDescent="0.6">
      <c r="A62" s="9">
        <v>60</v>
      </c>
      <c r="B62" s="1" t="s">
        <v>629</v>
      </c>
      <c r="C62" s="1" t="s">
        <v>227</v>
      </c>
      <c r="D62" s="1" t="s">
        <v>155</v>
      </c>
      <c r="E62" s="1" t="s">
        <v>228</v>
      </c>
      <c r="F62" s="1" t="s">
        <v>157</v>
      </c>
      <c r="G62" s="1" t="s">
        <v>630</v>
      </c>
      <c r="H62" s="1">
        <v>0</v>
      </c>
      <c r="I62" s="22" t="s">
        <v>631</v>
      </c>
      <c r="J62" s="22">
        <v>45</v>
      </c>
      <c r="K62" s="30" t="s">
        <v>70</v>
      </c>
      <c r="L62"/>
      <c r="M62" s="33"/>
      <c r="N62" s="30"/>
    </row>
    <row r="63" spans="1:14" s="3" customFormat="1" ht="25.8" x14ac:dyDescent="0.6">
      <c r="A63" s="9">
        <v>61</v>
      </c>
      <c r="B63" s="1" t="s">
        <v>632</v>
      </c>
      <c r="C63" s="1" t="s">
        <v>236</v>
      </c>
      <c r="D63" s="1" t="s">
        <v>155</v>
      </c>
      <c r="E63" s="1" t="s">
        <v>237</v>
      </c>
      <c r="F63" s="1" t="s">
        <v>157</v>
      </c>
      <c r="G63" s="1" t="s">
        <v>633</v>
      </c>
      <c r="H63" s="1">
        <v>0</v>
      </c>
      <c r="I63" s="22" t="s">
        <v>634</v>
      </c>
      <c r="J63" s="22">
        <v>45</v>
      </c>
      <c r="K63" s="30" t="s">
        <v>70</v>
      </c>
      <c r="L63"/>
      <c r="M63" s="33"/>
      <c r="N63" s="30"/>
    </row>
    <row r="64" spans="1:14" s="3" customFormat="1" ht="25.8" x14ac:dyDescent="0.6">
      <c r="A64" s="9">
        <v>62</v>
      </c>
      <c r="B64" s="1" t="s">
        <v>635</v>
      </c>
      <c r="C64" s="1" t="s">
        <v>636</v>
      </c>
      <c r="D64" s="1" t="s">
        <v>155</v>
      </c>
      <c r="E64" s="1" t="s">
        <v>637</v>
      </c>
      <c r="F64" s="1" t="s">
        <v>157</v>
      </c>
      <c r="G64" s="1" t="s">
        <v>638</v>
      </c>
      <c r="H64" s="1">
        <v>0</v>
      </c>
      <c r="I64" s="22" t="s">
        <v>639</v>
      </c>
      <c r="J64" s="22">
        <v>45</v>
      </c>
      <c r="K64" s="30" t="s">
        <v>70</v>
      </c>
      <c r="L64"/>
      <c r="M64" s="5"/>
    </row>
    <row r="65" spans="1:13" s="3" customFormat="1" ht="23.4" x14ac:dyDescent="0.35">
      <c r="A65" s="5"/>
      <c r="B65" s="34"/>
      <c r="C65" s="34"/>
      <c r="D65" s="34"/>
      <c r="E65" s="34"/>
      <c r="F65" s="34"/>
      <c r="G65" s="34"/>
      <c r="H65" s="34"/>
      <c r="I65" s="34"/>
      <c r="J65" s="58"/>
      <c r="K65" s="59"/>
      <c r="L65"/>
      <c r="M65" s="5"/>
    </row>
    <row r="66" spans="1:13" s="3" customFormat="1" ht="23.4" x14ac:dyDescent="0.35">
      <c r="A66" s="5"/>
      <c r="B66" s="34"/>
      <c r="C66" s="34"/>
      <c r="D66" s="34"/>
      <c r="E66" s="34"/>
      <c r="F66" s="34"/>
      <c r="G66" s="34"/>
      <c r="H66" s="34"/>
      <c r="I66" s="34"/>
      <c r="J66" s="58"/>
      <c r="K66" s="59"/>
      <c r="L66"/>
      <c r="M66" s="5"/>
    </row>
    <row r="67" spans="1:13" s="3" customFormat="1" ht="23.4" x14ac:dyDescent="0.35">
      <c r="A67" s="5"/>
      <c r="B67" s="34"/>
      <c r="C67" s="34"/>
      <c r="D67" s="34"/>
      <c r="E67" s="34"/>
      <c r="F67" s="34"/>
      <c r="G67" s="34"/>
      <c r="H67" s="34"/>
      <c r="I67" s="34"/>
      <c r="J67" s="58"/>
      <c r="K67" s="59"/>
      <c r="L67"/>
      <c r="M67" s="5"/>
    </row>
    <row r="68" spans="1:13" s="3" customFormat="1" ht="23.4" x14ac:dyDescent="0.35">
      <c r="A68" s="5"/>
      <c r="B68" s="34"/>
      <c r="C68" s="34"/>
      <c r="D68" s="34"/>
      <c r="E68" s="34"/>
      <c r="F68" s="34"/>
      <c r="G68" s="34"/>
      <c r="H68" s="34"/>
      <c r="I68" s="34"/>
      <c r="J68" s="58"/>
      <c r="K68" s="59"/>
      <c r="L68"/>
      <c r="M68" s="5"/>
    </row>
    <row r="69" spans="1:13" s="3" customFormat="1" ht="23.4" x14ac:dyDescent="0.35">
      <c r="A69" s="5"/>
      <c r="B69" s="34"/>
      <c r="C69" s="34"/>
      <c r="D69" s="34"/>
      <c r="E69" s="34"/>
      <c r="F69" s="34"/>
      <c r="G69" s="34"/>
      <c r="H69" s="34"/>
      <c r="I69" s="34"/>
      <c r="J69" s="58"/>
      <c r="K69" s="59"/>
      <c r="L69"/>
      <c r="M69" s="5"/>
    </row>
    <row r="70" spans="1:13" s="3" customFormat="1" ht="23.4" x14ac:dyDescent="0.35">
      <c r="A70" s="5"/>
      <c r="B70" s="34"/>
      <c r="C70" s="34"/>
      <c r="D70" s="34"/>
      <c r="E70" s="34"/>
      <c r="F70" s="34"/>
      <c r="G70" s="34"/>
      <c r="H70" s="34"/>
      <c r="I70" s="34"/>
      <c r="J70" s="58"/>
      <c r="K70" s="59"/>
      <c r="L70"/>
      <c r="M70" s="5"/>
    </row>
    <row r="71" spans="1:13" s="3" customFormat="1" ht="23.4" x14ac:dyDescent="0.35">
      <c r="A71" s="5"/>
      <c r="B71" s="34"/>
      <c r="C71" s="34"/>
      <c r="D71" s="34"/>
      <c r="E71" s="34"/>
      <c r="F71" s="34"/>
      <c r="G71" s="34"/>
      <c r="H71" s="34"/>
      <c r="I71" s="34"/>
      <c r="J71" s="58"/>
      <c r="K71" s="59"/>
      <c r="L71"/>
      <c r="M71" s="5"/>
    </row>
    <row r="72" spans="1:13" s="3" customFormat="1" ht="23.4" x14ac:dyDescent="0.35">
      <c r="A72" s="5"/>
      <c r="B72" s="34"/>
      <c r="C72" s="34"/>
      <c r="D72" s="34"/>
      <c r="E72" s="34"/>
      <c r="F72" s="34"/>
      <c r="G72" s="34"/>
      <c r="H72" s="34"/>
      <c r="I72" s="34"/>
      <c r="J72" s="58"/>
      <c r="K72" s="59"/>
      <c r="L72"/>
      <c r="M72" s="5"/>
    </row>
    <row r="73" spans="1:13" s="3" customFormat="1" ht="23.4" x14ac:dyDescent="0.35">
      <c r="A73" s="5"/>
      <c r="B73" s="34"/>
      <c r="C73" s="34"/>
      <c r="D73" s="34"/>
      <c r="E73" s="34"/>
      <c r="F73" s="34"/>
      <c r="G73" s="34"/>
      <c r="H73" s="34"/>
      <c r="I73" s="34"/>
      <c r="J73" s="58"/>
      <c r="K73" s="59"/>
      <c r="L73"/>
      <c r="M73" s="5"/>
    </row>
    <row r="74" spans="1:13" s="3" customFormat="1" ht="23.4" x14ac:dyDescent="0.35">
      <c r="A74" s="5"/>
      <c r="B74" s="34"/>
      <c r="C74" s="34"/>
      <c r="D74" s="34"/>
      <c r="E74" s="34"/>
      <c r="F74" s="34"/>
      <c r="G74" s="34"/>
      <c r="H74" s="34"/>
      <c r="I74" s="34"/>
      <c r="J74" s="58"/>
      <c r="K74" s="59"/>
      <c r="L74"/>
      <c r="M74" s="5"/>
    </row>
    <row r="75" spans="1:13" s="3" customFormat="1" ht="23.4" x14ac:dyDescent="0.35">
      <c r="A75" s="5"/>
      <c r="B75" s="34"/>
      <c r="C75" s="34"/>
      <c r="D75" s="34"/>
      <c r="E75" s="34"/>
      <c r="F75" s="34"/>
      <c r="G75" s="34"/>
      <c r="H75" s="34"/>
      <c r="I75" s="34"/>
      <c r="J75" s="58"/>
      <c r="K75" s="59"/>
      <c r="L75"/>
      <c r="M75" s="5"/>
    </row>
    <row r="76" spans="1:13" s="3" customFormat="1" ht="23.4" x14ac:dyDescent="0.35">
      <c r="A76" s="5"/>
      <c r="B76" s="34"/>
      <c r="C76" s="34"/>
      <c r="D76" s="34"/>
      <c r="E76" s="34"/>
      <c r="F76" s="34"/>
      <c r="G76" s="34"/>
      <c r="H76" s="34"/>
      <c r="I76" s="34"/>
      <c r="J76" s="58"/>
      <c r="K76" s="59"/>
      <c r="L76"/>
      <c r="M76" s="5"/>
    </row>
    <row r="77" spans="1:13" s="3" customFormat="1" ht="23.4" x14ac:dyDescent="0.35">
      <c r="A77" s="5"/>
      <c r="B77" s="34"/>
      <c r="C77" s="34"/>
      <c r="D77" s="34"/>
      <c r="E77" s="34"/>
      <c r="F77" s="34"/>
      <c r="G77" s="34"/>
      <c r="H77" s="34"/>
      <c r="I77" s="34"/>
      <c r="J77" s="58"/>
      <c r="K77" s="59"/>
      <c r="L77"/>
      <c r="M77" s="5"/>
    </row>
    <row r="78" spans="1:13" s="3" customFormat="1" ht="23.4" x14ac:dyDescent="0.35">
      <c r="A78" s="5"/>
      <c r="B78" s="34"/>
      <c r="C78" s="34"/>
      <c r="D78" s="34"/>
      <c r="E78" s="34"/>
      <c r="F78" s="34"/>
      <c r="G78" s="34"/>
      <c r="H78" s="34"/>
      <c r="I78" s="34"/>
      <c r="J78" s="58"/>
      <c r="K78" s="59"/>
      <c r="M78" s="5"/>
    </row>
    <row r="79" spans="1:13" s="3" customFormat="1" ht="23.4" x14ac:dyDescent="0.35">
      <c r="A79" s="5"/>
      <c r="B79" s="34"/>
      <c r="C79" s="34"/>
      <c r="D79" s="34"/>
      <c r="E79" s="34"/>
      <c r="F79" s="34"/>
      <c r="G79" s="34"/>
      <c r="H79" s="34"/>
      <c r="I79" s="34"/>
      <c r="J79" s="58"/>
      <c r="K79" s="59"/>
      <c r="M79" s="5"/>
    </row>
    <row r="80" spans="1:13" s="3" customFormat="1" ht="23.4" x14ac:dyDescent="0.35">
      <c r="A80" s="5"/>
      <c r="B80" s="34"/>
      <c r="C80" s="34"/>
      <c r="D80" s="34"/>
      <c r="E80" s="34"/>
      <c r="F80" s="34"/>
      <c r="G80" s="34"/>
      <c r="H80" s="34"/>
      <c r="I80" s="34"/>
      <c r="J80" s="58"/>
      <c r="K80" s="59"/>
      <c r="M80" s="5"/>
    </row>
    <row r="81" spans="1:13" s="3" customFormat="1" ht="23.4" x14ac:dyDescent="0.35">
      <c r="A81" s="5"/>
      <c r="B81" s="34"/>
      <c r="C81" s="34"/>
      <c r="D81" s="34"/>
      <c r="E81" s="34"/>
      <c r="F81" s="34"/>
      <c r="G81" s="34"/>
      <c r="H81" s="34"/>
      <c r="I81" s="34"/>
      <c r="J81" s="58"/>
      <c r="K81" s="59"/>
      <c r="M81" s="5"/>
    </row>
    <row r="82" spans="1:13" s="3" customFormat="1" ht="23.4" x14ac:dyDescent="0.35">
      <c r="A82" s="5"/>
      <c r="B82" s="34"/>
      <c r="C82" s="34"/>
      <c r="D82" s="34"/>
      <c r="E82" s="34"/>
      <c r="F82" s="34"/>
      <c r="G82" s="34"/>
      <c r="H82" s="34"/>
      <c r="I82" s="34"/>
      <c r="J82" s="58"/>
      <c r="K82" s="59"/>
      <c r="M82" s="5"/>
    </row>
    <row r="83" spans="1:13" s="3" customFormat="1" ht="23.4" x14ac:dyDescent="0.35">
      <c r="A83" s="5"/>
      <c r="B83" s="34"/>
      <c r="C83" s="34"/>
      <c r="D83" s="34"/>
      <c r="E83" s="34"/>
      <c r="F83" s="34"/>
      <c r="G83" s="34"/>
      <c r="H83" s="34"/>
      <c r="I83" s="34"/>
      <c r="J83" s="58"/>
      <c r="K83" s="59"/>
      <c r="M83" s="5"/>
    </row>
    <row r="84" spans="1:13" s="3" customFormat="1" ht="23.4" x14ac:dyDescent="0.35">
      <c r="A84" s="5"/>
      <c r="B84" s="34"/>
      <c r="C84" s="34"/>
      <c r="D84" s="34"/>
      <c r="E84" s="34"/>
      <c r="F84" s="34"/>
      <c r="G84" s="34"/>
      <c r="H84" s="34"/>
      <c r="I84" s="34"/>
      <c r="J84" s="58"/>
      <c r="K84" s="59"/>
      <c r="M84" s="5"/>
    </row>
    <row r="85" spans="1:13" s="3" customFormat="1" ht="23.4" x14ac:dyDescent="0.35">
      <c r="A85" s="5"/>
      <c r="B85" s="34"/>
      <c r="C85" s="34"/>
      <c r="D85" s="34"/>
      <c r="E85" s="34"/>
      <c r="F85" s="34"/>
      <c r="G85" s="34"/>
      <c r="H85" s="34"/>
      <c r="I85" s="34"/>
      <c r="J85" s="58"/>
      <c r="K85" s="59"/>
      <c r="M85" s="5"/>
    </row>
    <row r="86" spans="1:13" s="3" customFormat="1" ht="23.4" x14ac:dyDescent="0.35">
      <c r="A86" s="5"/>
      <c r="B86" s="34"/>
      <c r="C86" s="34"/>
      <c r="D86" s="34"/>
      <c r="E86" s="34"/>
      <c r="F86" s="34"/>
      <c r="G86" s="34"/>
      <c r="H86" s="34"/>
      <c r="I86" s="34"/>
      <c r="J86" s="58"/>
      <c r="K86" s="59"/>
      <c r="M86" s="5"/>
    </row>
    <row r="87" spans="1:13" s="3" customFormat="1" ht="23.4" x14ac:dyDescent="0.35">
      <c r="A87" s="5"/>
      <c r="B87" s="34"/>
      <c r="C87" s="34"/>
      <c r="D87" s="34"/>
      <c r="E87" s="34"/>
      <c r="F87" s="34"/>
      <c r="G87" s="34"/>
      <c r="H87" s="34"/>
      <c r="I87" s="34"/>
      <c r="J87" s="58"/>
      <c r="K87" s="59"/>
      <c r="M87" s="5"/>
    </row>
    <row r="88" spans="1:13" s="3" customFormat="1" ht="23.4" x14ac:dyDescent="0.35">
      <c r="A88" s="5"/>
      <c r="B88" s="34"/>
      <c r="C88" s="34"/>
      <c r="D88" s="34"/>
      <c r="E88" s="34"/>
      <c r="F88" s="34"/>
      <c r="G88" s="34"/>
      <c r="H88" s="34"/>
      <c r="I88" s="34"/>
      <c r="J88" s="58"/>
      <c r="K88" s="59"/>
      <c r="M88" s="5"/>
    </row>
    <row r="89" spans="1:13" s="3" customFormat="1" ht="23.4" x14ac:dyDescent="0.35">
      <c r="A89" s="5"/>
      <c r="B89" s="34"/>
      <c r="C89" s="34"/>
      <c r="D89" s="34"/>
      <c r="E89" s="34"/>
      <c r="F89" s="34"/>
      <c r="G89" s="34"/>
      <c r="H89" s="34"/>
      <c r="I89" s="34"/>
      <c r="J89" s="58"/>
      <c r="K89" s="59"/>
      <c r="M89" s="5"/>
    </row>
    <row r="90" spans="1:13" s="3" customFormat="1" ht="23.4" x14ac:dyDescent="0.35">
      <c r="A90" s="5"/>
      <c r="B90" s="60"/>
      <c r="C90" s="60"/>
      <c r="D90" s="60"/>
      <c r="E90" s="60"/>
      <c r="F90" s="60"/>
      <c r="G90" s="60"/>
      <c r="H90" s="60"/>
      <c r="I90" s="60"/>
      <c r="J90" s="58"/>
      <c r="K90" s="59"/>
      <c r="M90" s="5"/>
    </row>
    <row r="91" spans="1:13" s="3" customFormat="1" ht="23.4" x14ac:dyDescent="0.35">
      <c r="A91" s="5"/>
      <c r="B91" s="60"/>
      <c r="C91" s="60"/>
      <c r="D91" s="60"/>
      <c r="E91" s="60"/>
      <c r="F91" s="60"/>
      <c r="G91" s="60"/>
      <c r="H91" s="60"/>
      <c r="I91" s="60"/>
      <c r="J91" s="58"/>
      <c r="K91" s="59"/>
      <c r="M91" s="5"/>
    </row>
    <row r="92" spans="1:13" s="3" customFormat="1" ht="23.4" x14ac:dyDescent="0.35">
      <c r="A92" s="5"/>
      <c r="B92" s="60"/>
      <c r="C92" s="60"/>
      <c r="D92" s="60"/>
      <c r="E92" s="60"/>
      <c r="F92" s="60"/>
      <c r="G92" s="60"/>
      <c r="H92" s="60"/>
      <c r="I92" s="60"/>
      <c r="J92" s="58"/>
      <c r="K92" s="59"/>
      <c r="M92" s="5"/>
    </row>
    <row r="93" spans="1:13" s="3" customFormat="1" ht="23.4" x14ac:dyDescent="0.35">
      <c r="A93" s="5"/>
      <c r="B93" s="60"/>
      <c r="C93" s="60"/>
      <c r="D93" s="60"/>
      <c r="E93" s="60"/>
      <c r="F93" s="60"/>
      <c r="G93" s="60"/>
      <c r="H93" s="60"/>
      <c r="I93" s="60"/>
      <c r="J93" s="58"/>
      <c r="K93" s="59"/>
      <c r="M93" s="5"/>
    </row>
    <row r="94" spans="1:13" s="3" customFormat="1" ht="23.4" x14ac:dyDescent="0.35">
      <c r="A94" s="5"/>
      <c r="B94" s="60"/>
      <c r="C94" s="60"/>
      <c r="D94" s="60"/>
      <c r="E94" s="60"/>
      <c r="F94" s="60"/>
      <c r="G94" s="60"/>
      <c r="H94" s="60"/>
      <c r="I94" s="60"/>
      <c r="J94" s="58"/>
      <c r="K94" s="59"/>
      <c r="M94" s="5"/>
    </row>
    <row r="95" spans="1:13" s="3" customFormat="1" ht="23.4" x14ac:dyDescent="0.35">
      <c r="A95" s="5"/>
      <c r="B95" s="60"/>
      <c r="C95" s="60"/>
      <c r="D95" s="60"/>
      <c r="E95" s="60"/>
      <c r="F95" s="60"/>
      <c r="G95" s="60"/>
      <c r="H95" s="60"/>
      <c r="I95" s="60"/>
      <c r="J95" s="58"/>
      <c r="K95" s="59"/>
      <c r="M95" s="5"/>
    </row>
    <row r="96" spans="1:13" s="3" customFormat="1" ht="23.4" x14ac:dyDescent="0.35">
      <c r="A96" s="5"/>
      <c r="B96" s="60"/>
      <c r="C96" s="60"/>
      <c r="D96" s="60"/>
      <c r="E96" s="60"/>
      <c r="F96" s="60"/>
      <c r="G96" s="60"/>
      <c r="H96" s="60"/>
      <c r="I96" s="60"/>
      <c r="J96" s="58"/>
      <c r="K96" s="59"/>
      <c r="M96" s="5"/>
    </row>
    <row r="97" spans="1:13" s="3" customFormat="1" ht="23.4" x14ac:dyDescent="0.35">
      <c r="A97" s="5"/>
      <c r="B97" s="60"/>
      <c r="C97" s="60"/>
      <c r="D97" s="60"/>
      <c r="E97" s="60"/>
      <c r="F97" s="60"/>
      <c r="G97" s="60"/>
      <c r="H97" s="60"/>
      <c r="I97" s="60"/>
      <c r="J97" s="58"/>
      <c r="K97" s="59"/>
      <c r="M97" s="5"/>
    </row>
    <row r="98" spans="1:13" s="3" customFormat="1" ht="20.399999999999999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M98" s="5"/>
    </row>
    <row r="99" spans="1:13" s="3" customFormat="1" ht="20.399999999999999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M99" s="5"/>
    </row>
    <row r="100" spans="1:13" x14ac:dyDescent="0.25">
      <c r="B100" s="5"/>
      <c r="C100" s="5"/>
      <c r="D100" s="5"/>
      <c r="E100" s="5"/>
      <c r="F100" s="5"/>
      <c r="G100" s="5"/>
      <c r="H100" s="5"/>
      <c r="I100" s="5"/>
      <c r="J100" s="5"/>
      <c r="L100" s="5"/>
    </row>
    <row r="101" spans="1:13" x14ac:dyDescent="0.25">
      <c r="B101" s="5"/>
      <c r="C101" s="5"/>
      <c r="D101" s="5"/>
      <c r="E101" s="5"/>
      <c r="F101" s="5"/>
      <c r="G101" s="5"/>
      <c r="H101" s="5"/>
      <c r="I101" s="5"/>
      <c r="J101" s="5"/>
      <c r="L101" s="5"/>
    </row>
    <row r="102" spans="1:13" x14ac:dyDescent="0.25">
      <c r="B102" s="5"/>
      <c r="C102" s="5"/>
      <c r="D102" s="5"/>
      <c r="E102" s="5"/>
      <c r="F102" s="5"/>
      <c r="G102" s="5"/>
      <c r="H102" s="5"/>
      <c r="I102" s="5"/>
      <c r="J102" s="5"/>
      <c r="L102" s="5"/>
    </row>
    <row r="103" spans="1:13" x14ac:dyDescent="0.25">
      <c r="L103" s="5"/>
    </row>
    <row r="104" spans="1:13" x14ac:dyDescent="0.25">
      <c r="L104" s="5"/>
    </row>
  </sheetData>
  <autoFilter ref="A2:N99" xr:uid="{C05F9277-E941-4F8C-B88B-7443D998D414}">
    <sortState xmlns:xlrd2="http://schemas.microsoft.com/office/spreadsheetml/2017/richdata2" ref="A3:N97">
      <sortCondition ref="G2"/>
    </sortState>
  </autoFilter>
  <conditionalFormatting sqref="I24">
    <cfRule type="containsText" dxfId="38" priority="2" operator="containsText" text="ไม่พบ">
      <formula>NOT(ISERROR(SEARCH("ไม่พบ",I24)))</formula>
    </cfRule>
  </conditionalFormatting>
  <conditionalFormatting sqref="J1:J97 I20:I22 I43:I64">
    <cfRule type="containsText" dxfId="37" priority="3" operator="containsText" text="ไม่พบ">
      <formula>NOT(ISERROR(SEARCH("ไม่พบ",I1)))</formula>
    </cfRule>
  </conditionalFormatting>
  <conditionalFormatting sqref="J103:J1048576">
    <cfRule type="containsText" dxfId="36" priority="7" operator="containsText" text="ไม่พบ">
      <formula>NOT(ISERROR(SEARCH("ไม่พบ",J103)))</formula>
    </cfRule>
  </conditionalFormatting>
  <conditionalFormatting sqref="M1 M64:M99 M105:M1048576">
    <cfRule type="duplicateValues" dxfId="35" priority="8"/>
    <cfRule type="duplicateValues" dxfId="34" priority="9"/>
  </conditionalFormatting>
  <conditionalFormatting sqref="M2">
    <cfRule type="duplicateValues" dxfId="33" priority="6"/>
  </conditionalFormatting>
  <conditionalFormatting sqref="N2">
    <cfRule type="duplicateValues" dxfId="32" priority="4"/>
    <cfRule type="duplicateValues" dxfId="31" priority="5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CB13-9D36-4824-ADF0-5C6BA1A8430C}">
  <sheetPr>
    <tabColor rgb="FF00B0F0"/>
  </sheetPr>
  <dimension ref="A1:I77"/>
  <sheetViews>
    <sheetView zoomScale="70" zoomScaleNormal="70" workbookViewId="0">
      <pane xSplit="4" ySplit="2" topLeftCell="E3" activePane="bottomRight" state="frozen"/>
      <selection activeCell="J2" sqref="J2"/>
      <selection pane="topRight" activeCell="J2" sqref="J2"/>
      <selection pane="bottomLeft" activeCell="J2" sqref="J2"/>
      <selection pane="bottomRight" activeCell="J2" sqref="J2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366</v>
      </c>
    </row>
    <row r="2" spans="1:9" ht="28.8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/>
      <c r="C3" s="1"/>
      <c r="D3" s="1"/>
      <c r="E3" s="1"/>
      <c r="F3" s="1"/>
      <c r="G3" s="1"/>
      <c r="H3" s="55"/>
      <c r="I3" s="2"/>
    </row>
    <row r="4" spans="1:9" s="14" customFormat="1" ht="23.4" x14ac:dyDescent="0.25">
      <c r="A4" s="13">
        <v>2</v>
      </c>
      <c r="B4" s="1"/>
      <c r="C4" s="1"/>
      <c r="D4" s="1"/>
      <c r="E4" s="1"/>
      <c r="F4" s="1"/>
      <c r="G4" s="1"/>
      <c r="H4" s="55"/>
      <c r="I4" s="2"/>
    </row>
    <row r="5" spans="1:9" s="14" customFormat="1" ht="23.4" x14ac:dyDescent="0.25">
      <c r="A5" s="13">
        <v>3</v>
      </c>
      <c r="B5" s="1"/>
      <c r="C5" s="1"/>
      <c r="D5" s="1"/>
      <c r="E5" s="1"/>
      <c r="F5" s="1"/>
      <c r="G5" s="1"/>
      <c r="H5" s="55"/>
      <c r="I5" s="2"/>
    </row>
    <row r="6" spans="1:9" s="14" customFormat="1" ht="23.4" x14ac:dyDescent="0.25">
      <c r="A6" s="13">
        <v>4</v>
      </c>
      <c r="B6" s="1"/>
      <c r="C6" s="1"/>
      <c r="D6" s="1"/>
      <c r="E6" s="1"/>
      <c r="F6" s="1"/>
      <c r="G6" s="1"/>
      <c r="H6" s="55"/>
      <c r="I6" s="2"/>
    </row>
    <row r="7" spans="1:9" s="14" customFormat="1" ht="23.4" x14ac:dyDescent="0.25">
      <c r="A7" s="13">
        <v>5</v>
      </c>
      <c r="B7" s="1"/>
      <c r="C7" s="1"/>
      <c r="D7" s="1"/>
      <c r="E7" s="1"/>
      <c r="F7" s="1"/>
      <c r="G7" s="1"/>
      <c r="H7" s="55"/>
      <c r="I7" s="2"/>
    </row>
    <row r="8" spans="1:9" s="14" customFormat="1" ht="23.4" x14ac:dyDescent="0.25">
      <c r="A8" s="13">
        <v>6</v>
      </c>
      <c r="B8" s="1"/>
      <c r="C8" s="1"/>
      <c r="D8" s="1"/>
      <c r="E8" s="1"/>
      <c r="F8" s="1"/>
      <c r="G8" s="1"/>
      <c r="H8" s="55"/>
      <c r="I8" s="2"/>
    </row>
    <row r="9" spans="1:9" s="14" customFormat="1" ht="23.4" x14ac:dyDescent="0.25">
      <c r="A9" s="13">
        <v>7</v>
      </c>
      <c r="B9" s="1"/>
      <c r="C9" s="1"/>
      <c r="D9" s="1"/>
      <c r="E9" s="1"/>
      <c r="F9" s="1"/>
      <c r="G9" s="1"/>
      <c r="H9" s="55"/>
      <c r="I9" s="2"/>
    </row>
    <row r="10" spans="1:9" s="14" customFormat="1" ht="23.4" x14ac:dyDescent="0.25">
      <c r="A10" s="13">
        <v>8</v>
      </c>
      <c r="B10" s="1"/>
      <c r="C10" s="1"/>
      <c r="D10" s="1"/>
      <c r="E10" s="1"/>
      <c r="F10" s="1"/>
      <c r="G10" s="1"/>
      <c r="H10" s="55"/>
      <c r="I10" s="2"/>
    </row>
    <row r="11" spans="1:9" s="14" customFormat="1" ht="23.4" x14ac:dyDescent="0.25">
      <c r="A11" s="13">
        <v>9</v>
      </c>
      <c r="B11" s="1"/>
      <c r="C11" s="1"/>
      <c r="D11" s="1"/>
      <c r="E11" s="1"/>
      <c r="F11" s="1"/>
      <c r="G11" s="1"/>
      <c r="H11" s="55"/>
      <c r="I11" s="2"/>
    </row>
    <row r="12" spans="1:9" s="14" customFormat="1" ht="23.4" x14ac:dyDescent="0.25">
      <c r="A12" s="13">
        <v>10</v>
      </c>
      <c r="B12" s="1"/>
      <c r="C12" s="1"/>
      <c r="D12" s="1"/>
      <c r="E12" s="1"/>
      <c r="F12" s="1"/>
      <c r="G12" s="1"/>
      <c r="H12" s="55"/>
      <c r="I12" s="2"/>
    </row>
    <row r="13" spans="1:9" s="14" customFormat="1" ht="23.4" x14ac:dyDescent="0.25">
      <c r="A13" s="13">
        <v>11</v>
      </c>
      <c r="B13" s="1"/>
      <c r="C13" s="1"/>
      <c r="D13" s="1"/>
      <c r="E13" s="1"/>
      <c r="F13" s="1"/>
      <c r="G13" s="1"/>
      <c r="H13" s="55"/>
      <c r="I13" s="2"/>
    </row>
    <row r="14" spans="1:9" s="14" customFormat="1" ht="23.4" x14ac:dyDescent="0.25">
      <c r="A14" s="13">
        <v>12</v>
      </c>
      <c r="B14" s="1"/>
      <c r="C14" s="1"/>
      <c r="D14" s="1"/>
      <c r="E14" s="1"/>
      <c r="F14" s="1"/>
      <c r="G14" s="1"/>
      <c r="H14" s="55"/>
      <c r="I14" s="2"/>
    </row>
    <row r="15" spans="1:9" s="14" customFormat="1" ht="23.4" x14ac:dyDescent="0.25">
      <c r="A15" s="13">
        <v>13</v>
      </c>
      <c r="B15" s="1"/>
      <c r="C15" s="1"/>
      <c r="D15" s="1"/>
      <c r="E15" s="1"/>
      <c r="F15" s="1"/>
      <c r="G15" s="1"/>
      <c r="H15" s="55"/>
      <c r="I15" s="2"/>
    </row>
    <row r="16" spans="1:9" s="14" customFormat="1" ht="23.4" x14ac:dyDescent="0.25">
      <c r="A16" s="13">
        <v>14</v>
      </c>
      <c r="B16" s="1"/>
      <c r="C16" s="1"/>
      <c r="D16" s="1"/>
      <c r="E16" s="1"/>
      <c r="F16" s="1"/>
      <c r="G16" s="1"/>
      <c r="H16" s="55"/>
      <c r="I16" s="2"/>
    </row>
    <row r="17" spans="1:9" s="14" customFormat="1" ht="23.4" x14ac:dyDescent="0.25">
      <c r="A17" s="13">
        <v>15</v>
      </c>
      <c r="B17" s="1"/>
      <c r="C17" s="1"/>
      <c r="D17" s="1"/>
      <c r="E17" s="1"/>
      <c r="F17" s="1"/>
      <c r="G17" s="1"/>
      <c r="H17" s="55"/>
      <c r="I17" s="2"/>
    </row>
    <row r="18" spans="1:9" s="14" customFormat="1" ht="23.4" x14ac:dyDescent="0.25">
      <c r="A18" s="13">
        <v>16</v>
      </c>
      <c r="B18" s="1"/>
      <c r="C18" s="1"/>
      <c r="D18" s="1"/>
      <c r="E18" s="1"/>
      <c r="F18" s="1"/>
      <c r="G18" s="1"/>
      <c r="H18" s="55"/>
      <c r="I18" s="2"/>
    </row>
    <row r="19" spans="1:9" s="14" customFormat="1" ht="23.4" x14ac:dyDescent="0.25">
      <c r="A19" s="13">
        <v>17</v>
      </c>
      <c r="B19" s="1"/>
      <c r="C19" s="1"/>
      <c r="D19" s="1"/>
      <c r="E19" s="1"/>
      <c r="F19" s="1"/>
      <c r="G19" s="1"/>
      <c r="H19" s="55"/>
      <c r="I19" s="2"/>
    </row>
    <row r="20" spans="1:9" s="14" customFormat="1" ht="23.4" x14ac:dyDescent="0.25">
      <c r="A20" s="13">
        <v>18</v>
      </c>
      <c r="B20" s="1"/>
      <c r="C20" s="1"/>
      <c r="D20" s="1"/>
      <c r="E20" s="1"/>
      <c r="F20" s="1"/>
      <c r="G20" s="1"/>
      <c r="H20" s="55"/>
      <c r="I20" s="2"/>
    </row>
    <row r="21" spans="1:9" s="14" customFormat="1" ht="23.4" x14ac:dyDescent="0.25">
      <c r="A21" s="13">
        <v>19</v>
      </c>
      <c r="B21" s="1"/>
      <c r="C21" s="1"/>
      <c r="D21" s="1"/>
      <c r="E21" s="1"/>
      <c r="F21" s="1"/>
      <c r="G21" s="1"/>
      <c r="H21" s="55"/>
      <c r="I21" s="2"/>
    </row>
    <row r="22" spans="1:9" s="14" customFormat="1" ht="23.4" x14ac:dyDescent="0.25">
      <c r="A22" s="13">
        <v>20</v>
      </c>
      <c r="B22" s="1"/>
      <c r="C22" s="1"/>
      <c r="D22" s="1"/>
      <c r="E22" s="1"/>
      <c r="F22" s="1"/>
      <c r="G22" s="1"/>
      <c r="H22" s="55"/>
      <c r="I22" s="2"/>
    </row>
    <row r="23" spans="1:9" s="14" customFormat="1" ht="23.4" x14ac:dyDescent="0.25">
      <c r="A23" s="13">
        <v>21</v>
      </c>
      <c r="B23" s="1"/>
      <c r="C23" s="1"/>
      <c r="D23" s="1"/>
      <c r="E23" s="1"/>
      <c r="F23" s="1"/>
      <c r="G23" s="1"/>
      <c r="H23" s="55"/>
      <c r="I23" s="2"/>
    </row>
    <row r="24" spans="1:9" s="14" customFormat="1" ht="23.4" x14ac:dyDescent="0.25">
      <c r="A24" s="13">
        <v>22</v>
      </c>
      <c r="B24" s="1"/>
      <c r="C24" s="1"/>
      <c r="D24" s="1"/>
      <c r="E24" s="1"/>
      <c r="F24" s="1"/>
      <c r="G24" s="1"/>
      <c r="H24" s="55"/>
      <c r="I24" s="2"/>
    </row>
    <row r="25" spans="1:9" s="14" customFormat="1" ht="23.4" x14ac:dyDescent="0.25">
      <c r="A25" s="13">
        <v>23</v>
      </c>
      <c r="B25" s="1"/>
      <c r="C25" s="1"/>
      <c r="D25" s="1"/>
      <c r="E25" s="1"/>
      <c r="F25" s="1"/>
      <c r="G25" s="1"/>
      <c r="H25" s="55"/>
      <c r="I25" s="2"/>
    </row>
    <row r="26" spans="1:9" s="14" customFormat="1" ht="23.4" x14ac:dyDescent="0.25">
      <c r="A26" s="13">
        <v>24</v>
      </c>
      <c r="B26" s="4"/>
      <c r="C26" s="4"/>
      <c r="D26" s="4"/>
      <c r="E26" s="4"/>
      <c r="F26" s="4"/>
      <c r="G26" s="4"/>
      <c r="H26" s="4"/>
      <c r="I26" s="2"/>
    </row>
    <row r="27" spans="1:9" s="14" customFormat="1" ht="23.4" x14ac:dyDescent="0.25">
      <c r="A27" s="13">
        <v>25</v>
      </c>
      <c r="B27" s="4"/>
      <c r="C27" s="4"/>
      <c r="D27" s="4"/>
      <c r="E27" s="4"/>
      <c r="F27" s="4"/>
      <c r="G27" s="4"/>
      <c r="H27" s="4"/>
      <c r="I27" s="2"/>
    </row>
    <row r="28" spans="1:9" s="14" customFormat="1" ht="23.4" x14ac:dyDescent="0.25">
      <c r="A28" s="13">
        <v>26</v>
      </c>
      <c r="B28" s="4"/>
      <c r="C28" s="4"/>
      <c r="D28" s="4"/>
      <c r="E28" s="4"/>
      <c r="F28" s="4"/>
      <c r="G28" s="4"/>
      <c r="H28" s="4"/>
      <c r="I28" s="2"/>
    </row>
    <row r="29" spans="1:9" s="14" customFormat="1" ht="23.4" x14ac:dyDescent="0.25">
      <c r="A29" s="13">
        <v>27</v>
      </c>
      <c r="B29" s="4"/>
      <c r="C29" s="4"/>
      <c r="D29" s="4"/>
      <c r="E29" s="4"/>
      <c r="F29" s="4"/>
      <c r="G29" s="4"/>
      <c r="H29" s="4"/>
      <c r="I29" s="2"/>
    </row>
    <row r="30" spans="1:9" s="14" customFormat="1" ht="23.4" x14ac:dyDescent="0.25">
      <c r="A30" s="13">
        <v>28</v>
      </c>
      <c r="B30" s="4"/>
      <c r="C30" s="4"/>
      <c r="D30" s="4"/>
      <c r="E30" s="4"/>
      <c r="F30" s="4"/>
      <c r="G30" s="4"/>
      <c r="H30" s="4"/>
      <c r="I30" s="2"/>
    </row>
    <row r="31" spans="1:9" s="14" customFormat="1" ht="23.4" x14ac:dyDescent="0.25">
      <c r="A31" s="13">
        <v>29</v>
      </c>
      <c r="B31" s="4"/>
      <c r="C31" s="4"/>
      <c r="D31" s="4"/>
      <c r="E31" s="4"/>
      <c r="F31" s="4"/>
      <c r="G31" s="4"/>
      <c r="H31" s="4"/>
      <c r="I31" s="2"/>
    </row>
    <row r="32" spans="1:9" s="14" customFormat="1" ht="23.4" x14ac:dyDescent="0.25">
      <c r="A32" s="13">
        <v>30</v>
      </c>
      <c r="B32" s="4"/>
      <c r="C32" s="4"/>
      <c r="D32" s="4"/>
      <c r="E32" s="4"/>
      <c r="F32" s="4"/>
      <c r="G32" s="4"/>
      <c r="H32" s="4"/>
      <c r="I32" s="2"/>
    </row>
    <row r="33" spans="1:9" s="14" customFormat="1" ht="23.4" x14ac:dyDescent="0.25">
      <c r="A33" s="13">
        <v>31</v>
      </c>
      <c r="B33" s="4"/>
      <c r="C33" s="4"/>
      <c r="D33" s="4"/>
      <c r="E33" s="4"/>
      <c r="F33" s="4"/>
      <c r="G33" s="4"/>
      <c r="H33" s="4"/>
      <c r="I33" s="2"/>
    </row>
    <row r="34" spans="1:9" s="14" customFormat="1" ht="23.4" x14ac:dyDescent="0.25">
      <c r="A34" s="61">
        <v>32</v>
      </c>
      <c r="B34" s="62"/>
      <c r="C34" s="62"/>
      <c r="D34" s="62"/>
      <c r="E34" s="62"/>
      <c r="F34" s="62"/>
      <c r="G34" s="62"/>
      <c r="H34" s="63"/>
      <c r="I34" s="63"/>
    </row>
    <row r="35" spans="1:9" s="14" customFormat="1" ht="23.4" x14ac:dyDescent="0.25">
      <c r="A35" s="65"/>
      <c r="B35" s="60"/>
      <c r="C35" s="60"/>
      <c r="D35" s="60"/>
      <c r="E35" s="60"/>
      <c r="F35" s="60"/>
      <c r="G35" s="60"/>
      <c r="H35" s="60"/>
      <c r="I35" s="59"/>
    </row>
    <row r="36" spans="1:9" s="14" customFormat="1" ht="23.4" x14ac:dyDescent="0.25">
      <c r="A36" s="65"/>
      <c r="B36" s="60"/>
      <c r="C36" s="60"/>
      <c r="D36" s="60"/>
      <c r="E36" s="60"/>
      <c r="F36" s="60"/>
      <c r="G36" s="60"/>
      <c r="H36" s="60"/>
      <c r="I36" s="59"/>
    </row>
    <row r="37" spans="1:9" s="14" customFormat="1" ht="23.4" x14ac:dyDescent="0.25">
      <c r="A37" s="65"/>
      <c r="B37" s="60"/>
      <c r="C37" s="60"/>
      <c r="D37" s="60"/>
      <c r="E37" s="60"/>
      <c r="F37" s="60"/>
      <c r="G37" s="60"/>
      <c r="H37" s="60"/>
      <c r="I37" s="59"/>
    </row>
    <row r="38" spans="1:9" s="14" customFormat="1" ht="23.4" x14ac:dyDescent="0.25">
      <c r="A38" s="65"/>
      <c r="B38" s="60"/>
      <c r="C38" s="60"/>
      <c r="D38" s="60"/>
      <c r="E38" s="60"/>
      <c r="F38" s="60"/>
      <c r="G38" s="60"/>
      <c r="H38" s="60"/>
      <c r="I38" s="59"/>
    </row>
    <row r="39" spans="1:9" s="14" customFormat="1" ht="23.4" x14ac:dyDescent="0.25">
      <c r="A39" s="65"/>
      <c r="B39" s="60"/>
      <c r="C39" s="60"/>
      <c r="D39" s="60"/>
      <c r="E39" s="60"/>
      <c r="F39" s="60"/>
      <c r="G39" s="60"/>
      <c r="H39" s="60"/>
      <c r="I39" s="59"/>
    </row>
    <row r="40" spans="1:9" s="14" customFormat="1" ht="23.4" x14ac:dyDescent="0.25">
      <c r="A40" s="65"/>
      <c r="B40" s="60"/>
      <c r="C40" s="60"/>
      <c r="D40" s="60"/>
      <c r="E40" s="60"/>
      <c r="F40" s="60"/>
      <c r="G40" s="60"/>
      <c r="H40" s="60"/>
      <c r="I40" s="59"/>
    </row>
    <row r="41" spans="1:9" s="14" customFormat="1" ht="23.4" x14ac:dyDescent="0.25">
      <c r="A41" s="65"/>
      <c r="B41" s="60"/>
      <c r="C41" s="60"/>
      <c r="D41" s="60"/>
      <c r="E41" s="60"/>
      <c r="F41" s="60"/>
      <c r="G41" s="60"/>
      <c r="H41" s="60"/>
      <c r="I41" s="59"/>
    </row>
    <row r="42" spans="1:9" s="14" customFormat="1" ht="23.4" x14ac:dyDescent="0.25">
      <c r="A42" s="65"/>
      <c r="B42" s="60"/>
      <c r="C42" s="60"/>
      <c r="D42" s="60"/>
      <c r="E42" s="60"/>
      <c r="F42" s="60"/>
      <c r="G42" s="60"/>
      <c r="H42" s="60"/>
      <c r="I42" s="59"/>
    </row>
    <row r="43" spans="1:9" s="14" customFormat="1" ht="23.4" x14ac:dyDescent="0.25">
      <c r="A43" s="65"/>
      <c r="B43" s="60"/>
      <c r="C43" s="60"/>
      <c r="D43" s="60"/>
      <c r="E43" s="60"/>
      <c r="F43" s="60"/>
      <c r="G43" s="60"/>
      <c r="H43" s="60"/>
      <c r="I43" s="59"/>
    </row>
    <row r="44" spans="1:9" s="14" customFormat="1" ht="23.4" x14ac:dyDescent="0.25">
      <c r="A44" s="65"/>
      <c r="B44" s="60"/>
      <c r="C44" s="60"/>
      <c r="D44" s="60"/>
      <c r="E44" s="60"/>
      <c r="F44" s="60"/>
      <c r="G44" s="60"/>
      <c r="H44" s="60"/>
      <c r="I44" s="59"/>
    </row>
    <row r="45" spans="1:9" s="14" customFormat="1" ht="23.4" x14ac:dyDescent="0.25">
      <c r="A45" s="65"/>
      <c r="B45" s="60"/>
      <c r="C45" s="60"/>
      <c r="D45" s="60"/>
      <c r="E45" s="60"/>
      <c r="F45" s="60"/>
      <c r="G45" s="60"/>
      <c r="H45" s="60"/>
      <c r="I45" s="59"/>
    </row>
    <row r="46" spans="1:9" s="14" customFormat="1" ht="23.4" x14ac:dyDescent="0.25">
      <c r="A46" s="65"/>
      <c r="B46" s="60"/>
      <c r="C46" s="60"/>
      <c r="D46" s="60"/>
      <c r="E46" s="60"/>
      <c r="F46" s="60"/>
      <c r="G46" s="60"/>
      <c r="H46" s="60"/>
      <c r="I46" s="59"/>
    </row>
    <row r="47" spans="1:9" s="14" customFormat="1" ht="23.4" x14ac:dyDescent="0.25">
      <c r="A47" s="65"/>
      <c r="B47" s="60"/>
      <c r="C47" s="60"/>
      <c r="D47" s="60"/>
      <c r="E47" s="60"/>
      <c r="F47" s="60"/>
      <c r="G47" s="60"/>
      <c r="H47" s="60"/>
      <c r="I47" s="59"/>
    </row>
    <row r="48" spans="1:9" s="14" customFormat="1" ht="23.4" x14ac:dyDescent="0.25">
      <c r="A48" s="65"/>
      <c r="B48" s="60"/>
      <c r="C48" s="60"/>
      <c r="D48" s="60"/>
      <c r="E48" s="60"/>
      <c r="F48" s="60"/>
      <c r="G48" s="60"/>
      <c r="H48" s="60"/>
      <c r="I48" s="59"/>
    </row>
    <row r="49" spans="1:9" s="14" customFormat="1" ht="23.4" x14ac:dyDescent="0.25">
      <c r="A49" s="65"/>
      <c r="B49" s="60"/>
      <c r="C49" s="60"/>
      <c r="D49" s="60"/>
      <c r="E49" s="60"/>
      <c r="F49" s="60"/>
      <c r="G49" s="60"/>
      <c r="H49" s="60"/>
      <c r="I49" s="59"/>
    </row>
    <row r="50" spans="1:9" s="14" customFormat="1" ht="23.4" x14ac:dyDescent="0.25">
      <c r="A50" s="65"/>
      <c r="B50" s="60"/>
      <c r="C50" s="60"/>
      <c r="D50" s="60"/>
      <c r="E50" s="60"/>
      <c r="F50" s="60"/>
      <c r="G50" s="60"/>
      <c r="H50" s="60"/>
      <c r="I50" s="59"/>
    </row>
    <row r="51" spans="1:9" s="14" customFormat="1" ht="23.4" x14ac:dyDescent="0.25">
      <c r="A51" s="65"/>
      <c r="B51" s="60"/>
      <c r="C51" s="60"/>
      <c r="D51" s="60"/>
      <c r="E51" s="60"/>
      <c r="F51" s="60"/>
      <c r="G51" s="60"/>
      <c r="H51" s="60"/>
      <c r="I51" s="59"/>
    </row>
    <row r="52" spans="1:9" s="14" customFormat="1" ht="23.4" x14ac:dyDescent="0.25">
      <c r="A52" s="65"/>
      <c r="B52" s="60"/>
      <c r="C52" s="60"/>
      <c r="D52" s="60"/>
      <c r="E52" s="60"/>
      <c r="F52" s="60"/>
      <c r="G52" s="60"/>
      <c r="H52" s="60"/>
      <c r="I52" s="59"/>
    </row>
    <row r="53" spans="1:9" s="14" customFormat="1" ht="23.4" x14ac:dyDescent="0.25">
      <c r="A53" s="65"/>
      <c r="B53" s="60"/>
      <c r="C53" s="60"/>
      <c r="D53" s="60"/>
      <c r="E53" s="60"/>
      <c r="F53" s="60"/>
      <c r="G53" s="60"/>
      <c r="H53" s="60"/>
      <c r="I53" s="59"/>
    </row>
    <row r="54" spans="1:9" s="14" customFormat="1" ht="23.4" x14ac:dyDescent="0.25">
      <c r="A54" s="65"/>
      <c r="B54" s="60"/>
      <c r="C54" s="60"/>
      <c r="D54" s="60"/>
      <c r="E54" s="60"/>
      <c r="F54" s="60"/>
      <c r="G54" s="60"/>
      <c r="H54" s="60"/>
      <c r="I54" s="59"/>
    </row>
    <row r="55" spans="1:9" s="14" customFormat="1" ht="23.4" x14ac:dyDescent="0.25">
      <c r="A55" s="65"/>
      <c r="B55" s="60"/>
      <c r="C55" s="60"/>
      <c r="D55" s="60"/>
      <c r="E55" s="60"/>
      <c r="F55" s="60"/>
      <c r="G55" s="60"/>
      <c r="H55" s="60"/>
      <c r="I55" s="59"/>
    </row>
    <row r="56" spans="1:9" s="14" customFormat="1" ht="23.4" x14ac:dyDescent="0.25">
      <c r="A56" s="65"/>
      <c r="B56" s="60"/>
      <c r="C56" s="60"/>
      <c r="D56" s="60"/>
      <c r="E56" s="60"/>
      <c r="F56" s="60"/>
      <c r="G56" s="60"/>
      <c r="H56" s="60"/>
      <c r="I56" s="59"/>
    </row>
    <row r="57" spans="1:9" s="14" customFormat="1" ht="23.4" x14ac:dyDescent="0.25">
      <c r="A57" s="65"/>
      <c r="B57" s="60"/>
      <c r="C57" s="60"/>
      <c r="D57" s="60"/>
      <c r="E57" s="60"/>
      <c r="F57" s="60"/>
      <c r="G57" s="60"/>
      <c r="H57" s="60"/>
      <c r="I57" s="59"/>
    </row>
    <row r="58" spans="1:9" s="14" customFormat="1" ht="23.4" x14ac:dyDescent="0.25">
      <c r="A58" s="65"/>
      <c r="B58" s="60"/>
      <c r="C58" s="60"/>
      <c r="D58" s="60"/>
      <c r="E58" s="60"/>
      <c r="F58" s="60"/>
      <c r="G58" s="60"/>
      <c r="H58" s="60"/>
      <c r="I58" s="59"/>
    </row>
    <row r="59" spans="1:9" s="14" customFormat="1" ht="23.4" x14ac:dyDescent="0.25">
      <c r="A59" s="65"/>
      <c r="B59" s="60"/>
      <c r="C59" s="60"/>
      <c r="D59" s="60"/>
      <c r="E59" s="60"/>
      <c r="F59" s="60"/>
      <c r="G59" s="60"/>
      <c r="H59" s="60"/>
      <c r="I59" s="59"/>
    </row>
    <row r="60" spans="1:9" s="14" customFormat="1" ht="23.4" x14ac:dyDescent="0.25">
      <c r="A60" s="65"/>
      <c r="B60" s="60"/>
      <c r="C60" s="60"/>
      <c r="D60" s="60"/>
      <c r="E60" s="60"/>
      <c r="F60" s="60"/>
      <c r="G60" s="60"/>
      <c r="H60" s="60"/>
      <c r="I60" s="59"/>
    </row>
    <row r="61" spans="1:9" s="14" customFormat="1" ht="23.4" x14ac:dyDescent="0.25">
      <c r="A61" s="65"/>
      <c r="B61" s="60"/>
      <c r="C61" s="60"/>
      <c r="D61" s="60"/>
      <c r="E61" s="60"/>
      <c r="F61" s="60"/>
      <c r="G61" s="60"/>
      <c r="H61" s="60"/>
      <c r="I61" s="59"/>
    </row>
    <row r="62" spans="1:9" s="14" customFormat="1" ht="23.4" x14ac:dyDescent="0.25">
      <c r="A62" s="65"/>
      <c r="B62" s="60"/>
      <c r="C62" s="60"/>
      <c r="D62" s="60"/>
      <c r="E62" s="60"/>
      <c r="F62" s="60"/>
      <c r="G62" s="60"/>
      <c r="H62" s="60"/>
      <c r="I62" s="59"/>
    </row>
    <row r="63" spans="1:9" s="14" customFormat="1" ht="23.4" x14ac:dyDescent="0.25">
      <c r="A63" s="65"/>
      <c r="B63" s="60"/>
      <c r="C63" s="60"/>
      <c r="D63" s="60"/>
      <c r="E63" s="60"/>
      <c r="F63" s="60"/>
      <c r="G63" s="60"/>
      <c r="H63" s="60"/>
      <c r="I63" s="59"/>
    </row>
    <row r="64" spans="1:9" s="14" customFormat="1" ht="23.4" x14ac:dyDescent="0.25">
      <c r="A64" s="65"/>
      <c r="B64" s="60"/>
      <c r="C64" s="60"/>
      <c r="D64" s="60"/>
      <c r="E64" s="60"/>
      <c r="F64" s="60"/>
      <c r="G64" s="60"/>
      <c r="H64" s="60"/>
      <c r="I64" s="59"/>
    </row>
    <row r="65" spans="1:9" s="14" customFormat="1" ht="23.4" x14ac:dyDescent="0.25">
      <c r="A65" s="65"/>
      <c r="B65" s="60"/>
      <c r="C65" s="60"/>
      <c r="D65" s="60"/>
      <c r="E65" s="60"/>
      <c r="F65" s="60"/>
      <c r="G65" s="60"/>
      <c r="H65" s="60"/>
      <c r="I65" s="59"/>
    </row>
    <row r="66" spans="1:9" s="14" customFormat="1" ht="23.4" x14ac:dyDescent="0.25">
      <c r="A66" s="65"/>
      <c r="B66" s="60"/>
      <c r="C66" s="60"/>
      <c r="D66" s="60"/>
      <c r="E66" s="60"/>
      <c r="F66" s="60"/>
      <c r="G66" s="60"/>
      <c r="H66" s="60"/>
      <c r="I66" s="59"/>
    </row>
    <row r="67" spans="1:9" s="14" customFormat="1" ht="23.4" x14ac:dyDescent="0.25">
      <c r="A67" s="65"/>
      <c r="B67" s="60"/>
      <c r="C67" s="60"/>
      <c r="D67" s="60"/>
      <c r="E67" s="60"/>
      <c r="F67" s="60"/>
      <c r="G67" s="60"/>
      <c r="H67" s="60"/>
      <c r="I67" s="59"/>
    </row>
    <row r="68" spans="1:9" s="14" customFormat="1" ht="23.4" x14ac:dyDescent="0.25">
      <c r="A68" s="65"/>
      <c r="B68" s="60"/>
      <c r="C68" s="60"/>
      <c r="D68" s="60"/>
      <c r="E68" s="60"/>
      <c r="F68" s="60"/>
      <c r="G68" s="60"/>
      <c r="H68" s="60"/>
      <c r="I68" s="59"/>
    </row>
    <row r="69" spans="1:9" s="14" customFormat="1" ht="23.4" x14ac:dyDescent="0.25">
      <c r="A69" s="65"/>
      <c r="B69" s="60"/>
      <c r="C69" s="60"/>
      <c r="D69" s="60"/>
      <c r="E69" s="60"/>
      <c r="F69" s="60"/>
      <c r="G69" s="60"/>
      <c r="H69" s="60"/>
      <c r="I69" s="59"/>
    </row>
    <row r="70" spans="1:9" s="14" customFormat="1" ht="23.4" x14ac:dyDescent="0.25">
      <c r="A70" s="65"/>
      <c r="B70" s="60"/>
      <c r="C70" s="60"/>
      <c r="D70" s="60"/>
      <c r="E70" s="60"/>
      <c r="F70" s="60"/>
      <c r="G70" s="60"/>
      <c r="H70" s="60"/>
      <c r="I70" s="59"/>
    </row>
    <row r="71" spans="1:9" s="14" customFormat="1" ht="23.4" x14ac:dyDescent="0.25">
      <c r="A71" s="65"/>
      <c r="B71" s="60"/>
      <c r="C71" s="60"/>
      <c r="D71" s="60"/>
      <c r="E71" s="60"/>
      <c r="F71" s="60"/>
      <c r="G71" s="60"/>
      <c r="H71" s="60"/>
      <c r="I71" s="59"/>
    </row>
    <row r="72" spans="1:9" s="14" customFormat="1" ht="23.4" x14ac:dyDescent="0.25">
      <c r="A72" s="65"/>
      <c r="B72" s="60"/>
      <c r="C72" s="60"/>
      <c r="D72" s="60"/>
      <c r="E72" s="60"/>
      <c r="F72" s="60"/>
      <c r="G72" s="60"/>
      <c r="H72" s="60"/>
      <c r="I72" s="59"/>
    </row>
    <row r="73" spans="1:9" s="14" customFormat="1" ht="23.4" x14ac:dyDescent="0.25">
      <c r="A73" s="65"/>
      <c r="B73" s="60"/>
      <c r="C73" s="60"/>
      <c r="D73" s="60"/>
      <c r="E73" s="60"/>
      <c r="F73" s="60"/>
      <c r="G73" s="60"/>
      <c r="H73" s="60"/>
      <c r="I73" s="59"/>
    </row>
    <row r="74" spans="1:9" s="14" customFormat="1" ht="23.4" x14ac:dyDescent="0.25">
      <c r="A74" s="65"/>
      <c r="B74" s="60"/>
      <c r="C74" s="60"/>
      <c r="D74" s="60"/>
      <c r="E74" s="60"/>
      <c r="F74" s="60"/>
      <c r="G74" s="60"/>
      <c r="H74" s="60"/>
      <c r="I74" s="59"/>
    </row>
    <row r="75" spans="1:9" s="14" customFormat="1" ht="23.4" x14ac:dyDescent="0.25">
      <c r="A75" s="65"/>
      <c r="B75" s="60"/>
      <c r="C75" s="60"/>
      <c r="D75" s="60"/>
      <c r="E75" s="60"/>
      <c r="F75" s="60"/>
      <c r="G75" s="60"/>
      <c r="H75" s="60"/>
      <c r="I75" s="59"/>
    </row>
    <row r="76" spans="1:9" ht="27" thickBot="1" x14ac:dyDescent="0.75">
      <c r="G76" s="23" t="s">
        <v>25</v>
      </c>
      <c r="H76" s="64">
        <f>SUM(H3:H75)</f>
        <v>0</v>
      </c>
      <c r="I76" s="16" t="s">
        <v>43</v>
      </c>
    </row>
    <row r="77" spans="1:9" ht="14.4" thickTop="1" x14ac:dyDescent="0.25"/>
  </sheetData>
  <autoFilter ref="B2:K38" xr:uid="{418B859D-9AEE-4DBC-84AA-2E90E0A86546}"/>
  <conditionalFormatting sqref="H76">
    <cfRule type="containsText" dxfId="30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BDC7-F22B-4D6F-82A0-2C441F534559}">
  <sheetPr>
    <tabColor rgb="FFFF99FF"/>
  </sheetPr>
  <dimension ref="A1:N104"/>
  <sheetViews>
    <sheetView zoomScale="70" zoomScaleNormal="70" workbookViewId="0">
      <pane xSplit="6" ySplit="2" topLeftCell="M25" activePane="bottomRight" state="frozen"/>
      <selection activeCell="J16" sqref="B16:J17"/>
      <selection pane="topRight" activeCell="J16" sqref="B16:J17"/>
      <selection pane="bottomLeft" activeCell="J16" sqref="B16:J17"/>
      <selection pane="bottomRight" activeCell="N36" sqref="N36"/>
    </sheetView>
  </sheetViews>
  <sheetFormatPr defaultColWidth="54.69921875" defaultRowHeight="13.8" x14ac:dyDescent="0.25"/>
  <cols>
    <col min="1" max="1" width="7.09765625" style="12" customWidth="1"/>
    <col min="2" max="2" width="15.69921875" style="11" bestFit="1" customWidth="1"/>
    <col min="3" max="3" width="30.296875" style="11" customWidth="1"/>
    <col min="4" max="4" width="16.19921875" style="11" customWidth="1"/>
    <col min="5" max="5" width="29.296875" style="11" customWidth="1"/>
    <col min="6" max="6" width="15.296875" style="11" bestFit="1" customWidth="1"/>
    <col min="7" max="7" width="17.296875" style="11" customWidth="1"/>
    <col min="8" max="8" width="10.09765625" style="11" customWidth="1"/>
    <col min="9" max="9" width="23" style="11" customWidth="1"/>
    <col min="10" max="10" width="15.19921875" style="67" customWidth="1"/>
    <col min="11" max="11" width="74.796875" style="12" customWidth="1"/>
    <col min="12" max="12" width="16.796875" style="11" customWidth="1"/>
    <col min="13" max="13" width="74.796875" style="5" customWidth="1"/>
    <col min="14" max="14" width="17.19921875" bestFit="1" customWidth="1"/>
    <col min="15" max="16384" width="54.69921875" style="11"/>
  </cols>
  <sheetData>
    <row r="1" spans="1:14" ht="60" customHeight="1" thickBot="1" x14ac:dyDescent="0.75">
      <c r="A1" s="8" t="s">
        <v>642</v>
      </c>
      <c r="I1" s="53" t="s">
        <v>42</v>
      </c>
      <c r="J1" s="24">
        <f>SUBTOTAL(9,J3:J95)</f>
        <v>4185</v>
      </c>
      <c r="K1" s="54" t="s">
        <v>43</v>
      </c>
    </row>
    <row r="2" spans="1:14" ht="29.4" thickTop="1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38</v>
      </c>
      <c r="J2" s="21" t="s">
        <v>40</v>
      </c>
      <c r="K2" s="7" t="s">
        <v>7</v>
      </c>
      <c r="M2" s="7" t="s">
        <v>17</v>
      </c>
      <c r="N2" s="7" t="s">
        <v>19</v>
      </c>
    </row>
    <row r="3" spans="1:14" s="14" customFormat="1" ht="25.8" x14ac:dyDescent="0.25">
      <c r="A3" s="13">
        <v>1</v>
      </c>
      <c r="B3" s="1" t="s">
        <v>645</v>
      </c>
      <c r="C3" s="1" t="s">
        <v>646</v>
      </c>
      <c r="D3" s="1" t="s">
        <v>155</v>
      </c>
      <c r="E3" s="1" t="s">
        <v>647</v>
      </c>
      <c r="F3" s="1" t="s">
        <v>157</v>
      </c>
      <c r="G3" s="1" t="s">
        <v>644</v>
      </c>
      <c r="H3" s="55">
        <v>0</v>
      </c>
      <c r="I3" s="1" t="s">
        <v>648</v>
      </c>
      <c r="J3" s="22">
        <v>45</v>
      </c>
      <c r="K3" s="30" t="s">
        <v>70</v>
      </c>
      <c r="M3" s="33" t="s">
        <v>8</v>
      </c>
      <c r="N3" s="30">
        <v>0</v>
      </c>
    </row>
    <row r="4" spans="1:14" s="14" customFormat="1" ht="25.8" x14ac:dyDescent="0.25">
      <c r="A4" s="13">
        <v>2</v>
      </c>
      <c r="B4" s="1" t="s">
        <v>649</v>
      </c>
      <c r="C4" s="1" t="s">
        <v>650</v>
      </c>
      <c r="D4" s="1" t="s">
        <v>155</v>
      </c>
      <c r="E4" s="1" t="s">
        <v>651</v>
      </c>
      <c r="F4" s="1" t="s">
        <v>157</v>
      </c>
      <c r="G4" s="1" t="s">
        <v>652</v>
      </c>
      <c r="H4" s="55">
        <v>0</v>
      </c>
      <c r="I4" s="1" t="s">
        <v>653</v>
      </c>
      <c r="J4" s="22">
        <v>45</v>
      </c>
      <c r="K4" s="30" t="s">
        <v>70</v>
      </c>
      <c r="M4" s="33" t="s">
        <v>11</v>
      </c>
      <c r="N4" s="30">
        <v>0</v>
      </c>
    </row>
    <row r="5" spans="1:14" s="14" customFormat="1" ht="25.8" x14ac:dyDescent="0.25">
      <c r="A5" s="13">
        <v>3</v>
      </c>
      <c r="B5" s="1" t="s">
        <v>654</v>
      </c>
      <c r="C5" s="1" t="s">
        <v>655</v>
      </c>
      <c r="D5" s="1" t="s">
        <v>155</v>
      </c>
      <c r="E5" s="1" t="s">
        <v>656</v>
      </c>
      <c r="F5" s="1" t="s">
        <v>157</v>
      </c>
      <c r="G5" s="1" t="s">
        <v>657</v>
      </c>
      <c r="H5" s="55">
        <v>0</v>
      </c>
      <c r="I5" s="1" t="s">
        <v>658</v>
      </c>
      <c r="J5" s="22">
        <v>45</v>
      </c>
      <c r="K5" s="30" t="s">
        <v>70</v>
      </c>
      <c r="M5" s="33" t="s">
        <v>9</v>
      </c>
      <c r="N5" s="30">
        <v>0</v>
      </c>
    </row>
    <row r="6" spans="1:14" s="14" customFormat="1" ht="25.8" x14ac:dyDescent="0.25">
      <c r="A6" s="13">
        <v>4</v>
      </c>
      <c r="B6" s="1" t="s">
        <v>660</v>
      </c>
      <c r="C6" s="1" t="s">
        <v>661</v>
      </c>
      <c r="D6" s="1" t="s">
        <v>106</v>
      </c>
      <c r="E6" s="1" t="s">
        <v>107</v>
      </c>
      <c r="F6" s="1" t="s">
        <v>102</v>
      </c>
      <c r="G6" s="1" t="s">
        <v>662</v>
      </c>
      <c r="H6" s="55">
        <v>0</v>
      </c>
      <c r="I6" s="1" t="s">
        <v>663</v>
      </c>
      <c r="J6" s="22">
        <v>45</v>
      </c>
      <c r="K6" s="30" t="s">
        <v>70</v>
      </c>
      <c r="M6" s="33" t="s">
        <v>15</v>
      </c>
      <c r="N6" s="30">
        <v>0</v>
      </c>
    </row>
    <row r="7" spans="1:14" s="14" customFormat="1" ht="25.8" x14ac:dyDescent="0.25">
      <c r="A7" s="13">
        <v>5</v>
      </c>
      <c r="B7" s="1" t="s">
        <v>664</v>
      </c>
      <c r="C7" s="1" t="s">
        <v>665</v>
      </c>
      <c r="D7" s="1" t="s">
        <v>232</v>
      </c>
      <c r="E7" s="1" t="s">
        <v>107</v>
      </c>
      <c r="F7" s="1" t="s">
        <v>233</v>
      </c>
      <c r="G7" s="1" t="s">
        <v>666</v>
      </c>
      <c r="H7" s="55">
        <v>0</v>
      </c>
      <c r="I7" s="1" t="s">
        <v>667</v>
      </c>
      <c r="J7" s="22">
        <v>45</v>
      </c>
      <c r="K7" s="30" t="s">
        <v>70</v>
      </c>
      <c r="M7" s="33" t="s">
        <v>12</v>
      </c>
      <c r="N7" s="30">
        <v>0</v>
      </c>
    </row>
    <row r="8" spans="1:14" s="14" customFormat="1" ht="25.8" x14ac:dyDescent="0.25">
      <c r="A8" s="13">
        <v>6</v>
      </c>
      <c r="B8" s="1" t="s">
        <v>668</v>
      </c>
      <c r="C8" s="1" t="s">
        <v>669</v>
      </c>
      <c r="D8" s="1" t="s">
        <v>232</v>
      </c>
      <c r="E8" s="1" t="s">
        <v>107</v>
      </c>
      <c r="F8" s="1" t="s">
        <v>233</v>
      </c>
      <c r="G8" s="1" t="s">
        <v>670</v>
      </c>
      <c r="H8" s="55">
        <v>0</v>
      </c>
      <c r="I8" s="1" t="s">
        <v>671</v>
      </c>
      <c r="J8" s="22">
        <v>45</v>
      </c>
      <c r="K8" s="30" t="s">
        <v>70</v>
      </c>
      <c r="M8" s="33" t="s">
        <v>51</v>
      </c>
      <c r="N8" s="30">
        <v>0</v>
      </c>
    </row>
    <row r="9" spans="1:14" s="14" customFormat="1" ht="25.8" x14ac:dyDescent="0.25">
      <c r="A9" s="13">
        <v>7</v>
      </c>
      <c r="B9" s="1" t="s">
        <v>672</v>
      </c>
      <c r="C9" s="1" t="s">
        <v>673</v>
      </c>
      <c r="D9" s="1" t="s">
        <v>155</v>
      </c>
      <c r="E9" s="1" t="s">
        <v>674</v>
      </c>
      <c r="F9" s="1" t="s">
        <v>157</v>
      </c>
      <c r="G9" s="1" t="s">
        <v>675</v>
      </c>
      <c r="H9" s="55">
        <v>0</v>
      </c>
      <c r="I9" s="1" t="s">
        <v>676</v>
      </c>
      <c r="J9" s="22">
        <v>45</v>
      </c>
      <c r="K9" s="30" t="s">
        <v>70</v>
      </c>
      <c r="M9" s="33" t="s">
        <v>46</v>
      </c>
      <c r="N9" s="30">
        <v>0</v>
      </c>
    </row>
    <row r="10" spans="1:14" s="14" customFormat="1" ht="25.8" x14ac:dyDescent="0.25">
      <c r="A10" s="13">
        <v>8</v>
      </c>
      <c r="B10" s="1" t="s">
        <v>677</v>
      </c>
      <c r="C10" s="1" t="s">
        <v>659</v>
      </c>
      <c r="D10" s="1" t="s">
        <v>155</v>
      </c>
      <c r="E10" s="1" t="s">
        <v>206</v>
      </c>
      <c r="F10" s="1" t="s">
        <v>157</v>
      </c>
      <c r="G10" s="1" t="s">
        <v>678</v>
      </c>
      <c r="H10" s="55">
        <v>0</v>
      </c>
      <c r="I10" s="1" t="s">
        <v>679</v>
      </c>
      <c r="J10" s="22">
        <v>45</v>
      </c>
      <c r="K10" s="30" t="s">
        <v>70</v>
      </c>
      <c r="M10" s="33" t="s">
        <v>45</v>
      </c>
      <c r="N10" s="30">
        <v>0</v>
      </c>
    </row>
    <row r="11" spans="1:14" s="14" customFormat="1" ht="25.8" x14ac:dyDescent="0.25">
      <c r="A11" s="13">
        <v>9</v>
      </c>
      <c r="B11" s="1" t="s">
        <v>680</v>
      </c>
      <c r="C11" s="1" t="s">
        <v>285</v>
      </c>
      <c r="D11" s="1" t="s">
        <v>155</v>
      </c>
      <c r="E11" s="1" t="s">
        <v>286</v>
      </c>
      <c r="F11" s="1" t="s">
        <v>157</v>
      </c>
      <c r="G11" s="1" t="s">
        <v>681</v>
      </c>
      <c r="H11" s="55">
        <v>0</v>
      </c>
      <c r="I11" s="1" t="s">
        <v>682</v>
      </c>
      <c r="J11" s="22">
        <v>45</v>
      </c>
      <c r="K11" s="30" t="s">
        <v>70</v>
      </c>
      <c r="M11" s="33" t="s">
        <v>10</v>
      </c>
      <c r="N11" s="30">
        <v>1</v>
      </c>
    </row>
    <row r="12" spans="1:14" s="14" customFormat="1" ht="25.8" x14ac:dyDescent="0.25">
      <c r="A12" s="13">
        <v>10</v>
      </c>
      <c r="B12" s="1" t="s">
        <v>683</v>
      </c>
      <c r="C12" s="1" t="s">
        <v>684</v>
      </c>
      <c r="D12" s="1" t="s">
        <v>155</v>
      </c>
      <c r="E12" s="1" t="s">
        <v>685</v>
      </c>
      <c r="F12" s="1" t="s">
        <v>157</v>
      </c>
      <c r="G12" s="1" t="s">
        <v>686</v>
      </c>
      <c r="H12" s="55">
        <v>0</v>
      </c>
      <c r="I12" s="1" t="s">
        <v>687</v>
      </c>
      <c r="J12" s="22">
        <v>45</v>
      </c>
      <c r="K12" s="30" t="s">
        <v>70</v>
      </c>
      <c r="M12" s="33" t="s">
        <v>13</v>
      </c>
      <c r="N12" s="30">
        <v>1</v>
      </c>
    </row>
    <row r="13" spans="1:14" s="14" customFormat="1" ht="25.8" x14ac:dyDescent="0.25">
      <c r="A13" s="13">
        <v>11</v>
      </c>
      <c r="B13" s="1" t="s">
        <v>689</v>
      </c>
      <c r="C13" s="1" t="s">
        <v>690</v>
      </c>
      <c r="D13" s="1" t="s">
        <v>155</v>
      </c>
      <c r="E13" s="1" t="s">
        <v>691</v>
      </c>
      <c r="F13" s="1" t="s">
        <v>157</v>
      </c>
      <c r="G13" s="1" t="s">
        <v>688</v>
      </c>
      <c r="H13" s="55">
        <v>0</v>
      </c>
      <c r="I13" s="1" t="s">
        <v>692</v>
      </c>
      <c r="J13" s="22">
        <v>45</v>
      </c>
      <c r="K13" s="30" t="s">
        <v>70</v>
      </c>
      <c r="M13" s="33" t="s">
        <v>52</v>
      </c>
      <c r="N13" s="30">
        <v>0</v>
      </c>
    </row>
    <row r="14" spans="1:14" s="14" customFormat="1" ht="25.8" x14ac:dyDescent="0.25">
      <c r="A14" s="13">
        <v>12</v>
      </c>
      <c r="B14" s="1" t="s">
        <v>694</v>
      </c>
      <c r="C14" s="1" t="s">
        <v>695</v>
      </c>
      <c r="D14" s="1" t="s">
        <v>155</v>
      </c>
      <c r="E14" s="1" t="s">
        <v>696</v>
      </c>
      <c r="F14" s="1" t="s">
        <v>157</v>
      </c>
      <c r="G14" s="1" t="s">
        <v>693</v>
      </c>
      <c r="H14" s="55">
        <v>0</v>
      </c>
      <c r="I14" s="1" t="s">
        <v>697</v>
      </c>
      <c r="J14" s="22">
        <v>45</v>
      </c>
      <c r="K14" s="30" t="s">
        <v>70</v>
      </c>
      <c r="M14" s="33" t="s">
        <v>14</v>
      </c>
      <c r="N14" s="30">
        <v>1</v>
      </c>
    </row>
    <row r="15" spans="1:14" s="14" customFormat="1" ht="25.8" x14ac:dyDescent="0.25">
      <c r="A15" s="13">
        <v>13</v>
      </c>
      <c r="B15" s="1" t="s">
        <v>698</v>
      </c>
      <c r="C15" s="1" t="s">
        <v>176</v>
      </c>
      <c r="D15" s="1" t="s">
        <v>155</v>
      </c>
      <c r="E15" s="1" t="s">
        <v>177</v>
      </c>
      <c r="F15" s="1" t="s">
        <v>157</v>
      </c>
      <c r="G15" s="1" t="s">
        <v>699</v>
      </c>
      <c r="H15" s="55">
        <v>0</v>
      </c>
      <c r="I15" s="1" t="s">
        <v>700</v>
      </c>
      <c r="J15" s="22">
        <v>45</v>
      </c>
      <c r="K15" s="30" t="s">
        <v>70</v>
      </c>
      <c r="M15" s="33" t="s">
        <v>53</v>
      </c>
      <c r="N15" s="30">
        <v>0</v>
      </c>
    </row>
    <row r="16" spans="1:14" s="14" customFormat="1" ht="25.8" x14ac:dyDescent="0.25">
      <c r="A16" s="13">
        <v>14</v>
      </c>
      <c r="B16" s="1" t="s">
        <v>705</v>
      </c>
      <c r="C16" s="1" t="s">
        <v>706</v>
      </c>
      <c r="D16" s="1" t="s">
        <v>106</v>
      </c>
      <c r="E16" s="1" t="s">
        <v>107</v>
      </c>
      <c r="F16" s="1" t="s">
        <v>102</v>
      </c>
      <c r="G16" s="1" t="s">
        <v>707</v>
      </c>
      <c r="H16" s="55">
        <v>0</v>
      </c>
      <c r="I16" s="1" t="s">
        <v>708</v>
      </c>
      <c r="J16" s="22">
        <v>45</v>
      </c>
      <c r="K16" s="22" t="s">
        <v>13</v>
      </c>
      <c r="M16" s="33" t="s">
        <v>54</v>
      </c>
      <c r="N16" s="30">
        <v>0</v>
      </c>
    </row>
    <row r="17" spans="1:14" s="14" customFormat="1" ht="25.8" x14ac:dyDescent="0.25">
      <c r="A17" s="13">
        <v>15</v>
      </c>
      <c r="B17" s="1" t="s">
        <v>709</v>
      </c>
      <c r="C17" s="1" t="s">
        <v>547</v>
      </c>
      <c r="D17" s="1" t="s">
        <v>155</v>
      </c>
      <c r="E17" s="1" t="s">
        <v>548</v>
      </c>
      <c r="F17" s="1" t="s">
        <v>157</v>
      </c>
      <c r="G17" s="1" t="s">
        <v>710</v>
      </c>
      <c r="H17" s="55">
        <v>0</v>
      </c>
      <c r="I17" s="1" t="s">
        <v>711</v>
      </c>
      <c r="J17" s="22">
        <v>45</v>
      </c>
      <c r="K17" s="30" t="s">
        <v>70</v>
      </c>
      <c r="M17" s="33" t="s">
        <v>48</v>
      </c>
      <c r="N17" s="30">
        <v>0</v>
      </c>
    </row>
    <row r="18" spans="1:14" s="14" customFormat="1" ht="25.8" x14ac:dyDescent="0.25">
      <c r="A18" s="13">
        <v>16</v>
      </c>
      <c r="B18" s="1" t="s">
        <v>713</v>
      </c>
      <c r="C18" s="1" t="s">
        <v>714</v>
      </c>
      <c r="D18" s="1" t="s">
        <v>155</v>
      </c>
      <c r="E18" s="1" t="s">
        <v>715</v>
      </c>
      <c r="F18" s="1" t="s">
        <v>157</v>
      </c>
      <c r="G18" s="1" t="s">
        <v>712</v>
      </c>
      <c r="H18" s="55">
        <v>0</v>
      </c>
      <c r="I18" s="1" t="s">
        <v>716</v>
      </c>
      <c r="J18" s="22">
        <v>45</v>
      </c>
      <c r="K18" s="30" t="s">
        <v>70</v>
      </c>
      <c r="M18" s="33" t="s">
        <v>55</v>
      </c>
      <c r="N18" s="30">
        <v>0</v>
      </c>
    </row>
    <row r="19" spans="1:14" s="14" customFormat="1" ht="25.8" x14ac:dyDescent="0.25">
      <c r="A19" s="13">
        <v>17</v>
      </c>
      <c r="B19" s="1" t="s">
        <v>717</v>
      </c>
      <c r="C19" s="1" t="s">
        <v>718</v>
      </c>
      <c r="D19" s="1" t="s">
        <v>155</v>
      </c>
      <c r="E19" s="1" t="s">
        <v>719</v>
      </c>
      <c r="F19" s="1" t="s">
        <v>157</v>
      </c>
      <c r="G19" s="1" t="s">
        <v>720</v>
      </c>
      <c r="H19" s="55">
        <v>0</v>
      </c>
      <c r="I19" s="1" t="s">
        <v>721</v>
      </c>
      <c r="J19" s="22">
        <v>45</v>
      </c>
      <c r="K19" s="30" t="s">
        <v>70</v>
      </c>
      <c r="M19" s="33" t="s">
        <v>18</v>
      </c>
      <c r="N19" s="30">
        <v>0</v>
      </c>
    </row>
    <row r="20" spans="1:14" s="14" customFormat="1" ht="25.8" x14ac:dyDescent="0.25">
      <c r="A20" s="13">
        <v>18</v>
      </c>
      <c r="B20" s="1" t="s">
        <v>722</v>
      </c>
      <c r="C20" s="1" t="s">
        <v>723</v>
      </c>
      <c r="D20" s="1" t="s">
        <v>155</v>
      </c>
      <c r="E20" s="1" t="s">
        <v>724</v>
      </c>
      <c r="F20" s="1" t="s">
        <v>157</v>
      </c>
      <c r="G20" s="1" t="s">
        <v>725</v>
      </c>
      <c r="H20" s="55">
        <v>0</v>
      </c>
      <c r="I20" s="1" t="s">
        <v>726</v>
      </c>
      <c r="J20" s="22">
        <v>45</v>
      </c>
      <c r="K20" s="30" t="s">
        <v>70</v>
      </c>
      <c r="M20" s="33" t="s">
        <v>56</v>
      </c>
      <c r="N20" s="30">
        <v>0</v>
      </c>
    </row>
    <row r="21" spans="1:14" s="14" customFormat="1" ht="25.8" x14ac:dyDescent="0.25">
      <c r="A21" s="13">
        <v>19</v>
      </c>
      <c r="B21" s="1" t="s">
        <v>728</v>
      </c>
      <c r="C21" s="1" t="s">
        <v>684</v>
      </c>
      <c r="D21" s="1" t="s">
        <v>155</v>
      </c>
      <c r="E21" s="1" t="s">
        <v>685</v>
      </c>
      <c r="F21" s="1" t="s">
        <v>157</v>
      </c>
      <c r="G21" s="1" t="s">
        <v>729</v>
      </c>
      <c r="H21" s="55">
        <v>0</v>
      </c>
      <c r="I21" s="1" t="s">
        <v>730</v>
      </c>
      <c r="J21" s="22">
        <v>45</v>
      </c>
      <c r="K21" s="30" t="s">
        <v>70</v>
      </c>
      <c r="M21" s="33" t="s">
        <v>20</v>
      </c>
      <c r="N21" s="30">
        <v>0</v>
      </c>
    </row>
    <row r="22" spans="1:14" s="14" customFormat="1" ht="25.8" x14ac:dyDescent="0.25">
      <c r="A22" s="13">
        <v>20</v>
      </c>
      <c r="B22" s="1" t="s">
        <v>731</v>
      </c>
      <c r="C22" s="1" t="s">
        <v>732</v>
      </c>
      <c r="D22" s="1" t="s">
        <v>155</v>
      </c>
      <c r="E22" s="1" t="s">
        <v>733</v>
      </c>
      <c r="F22" s="1" t="s">
        <v>157</v>
      </c>
      <c r="G22" s="1" t="s">
        <v>734</v>
      </c>
      <c r="H22" s="55">
        <v>0</v>
      </c>
      <c r="I22" s="1" t="s">
        <v>735</v>
      </c>
      <c r="J22" s="22">
        <v>45</v>
      </c>
      <c r="K22" s="30" t="s">
        <v>70</v>
      </c>
      <c r="M22" s="33" t="s">
        <v>57</v>
      </c>
      <c r="N22" s="30">
        <v>0</v>
      </c>
    </row>
    <row r="23" spans="1:14" s="14" customFormat="1" ht="25.8" x14ac:dyDescent="0.25">
      <c r="A23" s="13">
        <v>21</v>
      </c>
      <c r="B23" s="1" t="s">
        <v>736</v>
      </c>
      <c r="C23" s="1" t="s">
        <v>571</v>
      </c>
      <c r="D23" s="1" t="s">
        <v>155</v>
      </c>
      <c r="E23" s="1" t="s">
        <v>572</v>
      </c>
      <c r="F23" s="1" t="s">
        <v>157</v>
      </c>
      <c r="G23" s="1" t="s">
        <v>737</v>
      </c>
      <c r="H23" s="55">
        <v>0</v>
      </c>
      <c r="I23" s="1" t="s">
        <v>738</v>
      </c>
      <c r="J23" s="22">
        <v>45</v>
      </c>
      <c r="K23" s="30" t="s">
        <v>70</v>
      </c>
      <c r="M23" s="33" t="s">
        <v>58</v>
      </c>
      <c r="N23" s="30">
        <v>0</v>
      </c>
    </row>
    <row r="24" spans="1:14" s="14" customFormat="1" ht="25.8" x14ac:dyDescent="0.25">
      <c r="A24" s="13">
        <v>22</v>
      </c>
      <c r="B24" s="66" t="s">
        <v>740</v>
      </c>
      <c r="C24" s="66" t="s">
        <v>493</v>
      </c>
      <c r="D24" s="66" t="s">
        <v>155</v>
      </c>
      <c r="E24" s="66" t="s">
        <v>494</v>
      </c>
      <c r="F24" s="66" t="s">
        <v>157</v>
      </c>
      <c r="G24" s="1" t="s">
        <v>741</v>
      </c>
      <c r="H24" s="55">
        <v>0</v>
      </c>
      <c r="I24" s="1" t="s">
        <v>742</v>
      </c>
      <c r="J24" s="22">
        <v>45</v>
      </c>
      <c r="K24" s="30" t="s">
        <v>70</v>
      </c>
      <c r="M24" s="33" t="s">
        <v>59</v>
      </c>
      <c r="N24" s="30">
        <v>0</v>
      </c>
    </row>
    <row r="25" spans="1:14" s="14" customFormat="1" ht="25.8" x14ac:dyDescent="0.25">
      <c r="A25" s="13">
        <v>23</v>
      </c>
      <c r="B25" s="66" t="s">
        <v>745</v>
      </c>
      <c r="C25" s="66" t="s">
        <v>553</v>
      </c>
      <c r="D25" s="66" t="s">
        <v>155</v>
      </c>
      <c r="E25" s="66" t="s">
        <v>554</v>
      </c>
      <c r="F25" s="66" t="s">
        <v>157</v>
      </c>
      <c r="G25" s="1" t="s">
        <v>746</v>
      </c>
      <c r="H25" s="55">
        <v>0</v>
      </c>
      <c r="I25" s="1" t="s">
        <v>747</v>
      </c>
      <c r="J25" s="22">
        <v>45</v>
      </c>
      <c r="K25" s="30" t="s">
        <v>70</v>
      </c>
      <c r="M25" s="33" t="s">
        <v>60</v>
      </c>
      <c r="N25" s="30">
        <v>0</v>
      </c>
    </row>
    <row r="26" spans="1:14" s="14" customFormat="1" ht="25.8" x14ac:dyDescent="0.25">
      <c r="A26" s="13">
        <v>24</v>
      </c>
      <c r="B26" s="66" t="s">
        <v>748</v>
      </c>
      <c r="C26" s="66" t="s">
        <v>739</v>
      </c>
      <c r="D26" s="66" t="s">
        <v>155</v>
      </c>
      <c r="E26" s="66" t="s">
        <v>749</v>
      </c>
      <c r="F26" s="66" t="s">
        <v>157</v>
      </c>
      <c r="G26" s="1" t="s">
        <v>750</v>
      </c>
      <c r="H26" s="55">
        <v>0</v>
      </c>
      <c r="I26" s="1" t="s">
        <v>751</v>
      </c>
      <c r="J26" s="22">
        <v>45</v>
      </c>
      <c r="K26" s="30" t="s">
        <v>70</v>
      </c>
      <c r="M26" s="33" t="s">
        <v>61</v>
      </c>
      <c r="N26" s="30">
        <v>0</v>
      </c>
    </row>
    <row r="27" spans="1:14" s="14" customFormat="1" ht="25.8" x14ac:dyDescent="0.25">
      <c r="A27" s="13">
        <v>25</v>
      </c>
      <c r="B27" s="66" t="s">
        <v>752</v>
      </c>
      <c r="C27" s="66" t="s">
        <v>753</v>
      </c>
      <c r="D27" s="66" t="s">
        <v>155</v>
      </c>
      <c r="E27" s="66" t="s">
        <v>754</v>
      </c>
      <c r="F27" s="66" t="s">
        <v>157</v>
      </c>
      <c r="G27" s="1" t="s">
        <v>755</v>
      </c>
      <c r="H27" s="55">
        <v>0</v>
      </c>
      <c r="I27" s="1" t="s">
        <v>756</v>
      </c>
      <c r="J27" s="22">
        <v>45</v>
      </c>
      <c r="K27" s="30" t="s">
        <v>70</v>
      </c>
      <c r="M27" s="33" t="s">
        <v>62</v>
      </c>
      <c r="N27" s="30">
        <v>0</v>
      </c>
    </row>
    <row r="28" spans="1:14" s="14" customFormat="1" ht="25.8" x14ac:dyDescent="0.25">
      <c r="A28" s="13">
        <v>26</v>
      </c>
      <c r="B28" s="66" t="s">
        <v>757</v>
      </c>
      <c r="C28" s="66" t="s">
        <v>758</v>
      </c>
      <c r="D28" s="66" t="s">
        <v>155</v>
      </c>
      <c r="E28" s="66" t="s">
        <v>759</v>
      </c>
      <c r="F28" s="66" t="s">
        <v>157</v>
      </c>
      <c r="G28" s="1" t="s">
        <v>760</v>
      </c>
      <c r="H28" s="55">
        <v>0</v>
      </c>
      <c r="I28" s="1" t="s">
        <v>761</v>
      </c>
      <c r="J28" s="22">
        <v>45</v>
      </c>
      <c r="K28" s="30" t="s">
        <v>70</v>
      </c>
      <c r="M28" s="33" t="s">
        <v>63</v>
      </c>
      <c r="N28" s="30">
        <v>0</v>
      </c>
    </row>
    <row r="29" spans="1:14" s="14" customFormat="1" ht="25.8" x14ac:dyDescent="0.25">
      <c r="A29" s="13">
        <v>27</v>
      </c>
      <c r="B29" s="66" t="s">
        <v>763</v>
      </c>
      <c r="C29" s="66" t="s">
        <v>704</v>
      </c>
      <c r="D29" s="66" t="s">
        <v>106</v>
      </c>
      <c r="E29" s="66" t="s">
        <v>107</v>
      </c>
      <c r="F29" s="66" t="s">
        <v>102</v>
      </c>
      <c r="G29" s="1" t="s">
        <v>764</v>
      </c>
      <c r="H29" s="55">
        <v>0</v>
      </c>
      <c r="I29" s="1" t="s">
        <v>765</v>
      </c>
      <c r="J29" s="22">
        <v>45</v>
      </c>
      <c r="K29" s="22" t="s">
        <v>14</v>
      </c>
      <c r="M29" s="33" t="s">
        <v>64</v>
      </c>
      <c r="N29" s="30">
        <v>0</v>
      </c>
    </row>
    <row r="30" spans="1:14" s="14" customFormat="1" ht="25.8" x14ac:dyDescent="0.25">
      <c r="A30" s="13">
        <v>28</v>
      </c>
      <c r="B30" s="66" t="s">
        <v>766</v>
      </c>
      <c r="C30" s="66" t="s">
        <v>369</v>
      </c>
      <c r="D30" s="66" t="s">
        <v>155</v>
      </c>
      <c r="E30" s="66" t="s">
        <v>370</v>
      </c>
      <c r="F30" s="66" t="s">
        <v>157</v>
      </c>
      <c r="G30" s="1" t="s">
        <v>767</v>
      </c>
      <c r="H30" s="55">
        <v>0</v>
      </c>
      <c r="I30" s="1" t="s">
        <v>768</v>
      </c>
      <c r="J30" s="22">
        <v>45</v>
      </c>
      <c r="K30" s="30" t="s">
        <v>70</v>
      </c>
      <c r="M30" s="33" t="s">
        <v>65</v>
      </c>
      <c r="N30" s="30">
        <v>0</v>
      </c>
    </row>
    <row r="31" spans="1:14" s="14" customFormat="1" ht="25.8" x14ac:dyDescent="0.25">
      <c r="A31" s="13">
        <v>29</v>
      </c>
      <c r="B31" s="66" t="s">
        <v>769</v>
      </c>
      <c r="C31" s="66" t="s">
        <v>173</v>
      </c>
      <c r="D31" s="66" t="s">
        <v>155</v>
      </c>
      <c r="E31" s="66" t="s">
        <v>174</v>
      </c>
      <c r="F31" s="66" t="s">
        <v>157</v>
      </c>
      <c r="G31" s="1" t="s">
        <v>770</v>
      </c>
      <c r="H31" s="55">
        <v>0</v>
      </c>
      <c r="I31" s="1" t="s">
        <v>771</v>
      </c>
      <c r="J31" s="22">
        <v>45</v>
      </c>
      <c r="K31" s="30" t="s">
        <v>70</v>
      </c>
      <c r="M31" s="33" t="s">
        <v>66</v>
      </c>
      <c r="N31" s="30">
        <v>0</v>
      </c>
    </row>
    <row r="32" spans="1:14" s="14" customFormat="1" ht="25.8" x14ac:dyDescent="0.25">
      <c r="A32" s="13">
        <v>30</v>
      </c>
      <c r="B32" s="66" t="s">
        <v>772</v>
      </c>
      <c r="C32" s="66" t="s">
        <v>773</v>
      </c>
      <c r="D32" s="66" t="s">
        <v>155</v>
      </c>
      <c r="E32" s="66" t="s">
        <v>774</v>
      </c>
      <c r="F32" s="66" t="s">
        <v>157</v>
      </c>
      <c r="G32" s="1" t="s">
        <v>775</v>
      </c>
      <c r="H32" s="55">
        <v>0</v>
      </c>
      <c r="I32" s="1" t="s">
        <v>776</v>
      </c>
      <c r="J32" s="22">
        <v>45</v>
      </c>
      <c r="K32" s="30" t="s">
        <v>70</v>
      </c>
      <c r="M32" s="33" t="s">
        <v>67</v>
      </c>
      <c r="N32" s="30">
        <v>0</v>
      </c>
    </row>
    <row r="33" spans="1:14" s="14" customFormat="1" ht="25.8" x14ac:dyDescent="0.25">
      <c r="A33" s="13">
        <v>34</v>
      </c>
      <c r="B33" s="66" t="s">
        <v>777</v>
      </c>
      <c r="C33" s="66" t="s">
        <v>281</v>
      </c>
      <c r="D33" s="66" t="s">
        <v>155</v>
      </c>
      <c r="E33" s="66" t="s">
        <v>282</v>
      </c>
      <c r="F33" s="66" t="s">
        <v>157</v>
      </c>
      <c r="G33" s="1" t="s">
        <v>778</v>
      </c>
      <c r="H33" s="55">
        <v>0</v>
      </c>
      <c r="I33" s="1" t="s">
        <v>779</v>
      </c>
      <c r="J33" s="22">
        <v>45</v>
      </c>
      <c r="K33" s="30" t="s">
        <v>70</v>
      </c>
      <c r="M33" s="33" t="s">
        <v>68</v>
      </c>
      <c r="N33" s="30">
        <v>0</v>
      </c>
    </row>
    <row r="34" spans="1:14" s="14" customFormat="1" ht="25.8" x14ac:dyDescent="0.25">
      <c r="A34" s="13">
        <v>35</v>
      </c>
      <c r="B34" s="66" t="s">
        <v>780</v>
      </c>
      <c r="C34" s="66" t="s">
        <v>753</v>
      </c>
      <c r="D34" s="66" t="s">
        <v>155</v>
      </c>
      <c r="E34" s="66" t="s">
        <v>754</v>
      </c>
      <c r="F34" s="66" t="s">
        <v>157</v>
      </c>
      <c r="G34" s="1" t="s">
        <v>778</v>
      </c>
      <c r="H34" s="55">
        <v>0</v>
      </c>
      <c r="I34" s="1" t="s">
        <v>781</v>
      </c>
      <c r="J34" s="22">
        <v>45</v>
      </c>
      <c r="K34" s="30" t="s">
        <v>70</v>
      </c>
      <c r="M34" s="33" t="s">
        <v>69</v>
      </c>
      <c r="N34" s="30">
        <v>0</v>
      </c>
    </row>
    <row r="35" spans="1:14" s="14" customFormat="1" ht="25.8" x14ac:dyDescent="0.25">
      <c r="A35" s="13">
        <v>36</v>
      </c>
      <c r="B35" s="66" t="s">
        <v>782</v>
      </c>
      <c r="C35" s="66" t="s">
        <v>224</v>
      </c>
      <c r="D35" s="66" t="s">
        <v>155</v>
      </c>
      <c r="E35" s="66" t="s">
        <v>225</v>
      </c>
      <c r="F35" s="66" t="s">
        <v>157</v>
      </c>
      <c r="G35" s="1" t="s">
        <v>783</v>
      </c>
      <c r="H35" s="55">
        <v>0</v>
      </c>
      <c r="I35" s="1" t="s">
        <v>784</v>
      </c>
      <c r="J35" s="22">
        <v>45</v>
      </c>
      <c r="K35" s="30" t="s">
        <v>70</v>
      </c>
      <c r="M35" s="33" t="s">
        <v>70</v>
      </c>
      <c r="N35" s="30">
        <v>99</v>
      </c>
    </row>
    <row r="36" spans="1:14" s="14" customFormat="1" ht="25.8" x14ac:dyDescent="0.25">
      <c r="A36" s="13">
        <v>37</v>
      </c>
      <c r="B36" s="66" t="s">
        <v>785</v>
      </c>
      <c r="C36" s="66" t="s">
        <v>274</v>
      </c>
      <c r="D36" s="66" t="s">
        <v>155</v>
      </c>
      <c r="E36" s="66" t="s">
        <v>275</v>
      </c>
      <c r="F36" s="66" t="s">
        <v>157</v>
      </c>
      <c r="G36" s="1" t="s">
        <v>786</v>
      </c>
      <c r="H36" s="55">
        <v>0</v>
      </c>
      <c r="I36" s="1" t="s">
        <v>787</v>
      </c>
      <c r="J36" s="22">
        <v>45</v>
      </c>
      <c r="K36" s="30" t="s">
        <v>70</v>
      </c>
      <c r="M36" s="33" t="s">
        <v>71</v>
      </c>
      <c r="N36" s="30">
        <v>0</v>
      </c>
    </row>
    <row r="37" spans="1:14" s="14" customFormat="1" ht="25.8" x14ac:dyDescent="0.25">
      <c r="A37" s="13">
        <v>38</v>
      </c>
      <c r="B37" s="66" t="s">
        <v>788</v>
      </c>
      <c r="C37" s="66" t="s">
        <v>727</v>
      </c>
      <c r="D37" s="66" t="s">
        <v>155</v>
      </c>
      <c r="E37" s="66" t="s">
        <v>789</v>
      </c>
      <c r="F37" s="66" t="s">
        <v>157</v>
      </c>
      <c r="G37" s="1" t="s">
        <v>790</v>
      </c>
      <c r="H37" s="55">
        <v>0</v>
      </c>
      <c r="I37" s="1" t="s">
        <v>791</v>
      </c>
      <c r="J37" s="22">
        <v>45</v>
      </c>
      <c r="K37" s="30" t="s">
        <v>70</v>
      </c>
      <c r="M37" s="33" t="s">
        <v>72</v>
      </c>
      <c r="N37" s="30">
        <v>0</v>
      </c>
    </row>
    <row r="38" spans="1:14" s="14" customFormat="1" ht="25.8" x14ac:dyDescent="0.25">
      <c r="A38" s="13">
        <v>39</v>
      </c>
      <c r="B38" s="66" t="s">
        <v>792</v>
      </c>
      <c r="C38" s="66" t="s">
        <v>484</v>
      </c>
      <c r="D38" s="66" t="s">
        <v>155</v>
      </c>
      <c r="E38" s="66" t="s">
        <v>485</v>
      </c>
      <c r="F38" s="66" t="s">
        <v>157</v>
      </c>
      <c r="G38" s="1" t="s">
        <v>793</v>
      </c>
      <c r="H38" s="55">
        <v>0</v>
      </c>
      <c r="I38" s="1" t="s">
        <v>794</v>
      </c>
      <c r="J38" s="22">
        <v>45</v>
      </c>
      <c r="K38" s="30" t="s">
        <v>70</v>
      </c>
      <c r="M38" s="33" t="s">
        <v>73</v>
      </c>
      <c r="N38" s="30">
        <v>0</v>
      </c>
    </row>
    <row r="39" spans="1:14" s="14" customFormat="1" ht="25.8" x14ac:dyDescent="0.25">
      <c r="A39" s="13">
        <v>40</v>
      </c>
      <c r="B39" s="1" t="s">
        <v>795</v>
      </c>
      <c r="C39" s="1" t="s">
        <v>488</v>
      </c>
      <c r="D39" s="1" t="s">
        <v>155</v>
      </c>
      <c r="E39" s="1" t="s">
        <v>489</v>
      </c>
      <c r="F39" s="1" t="s">
        <v>157</v>
      </c>
      <c r="G39" s="1" t="s">
        <v>796</v>
      </c>
      <c r="H39" s="55">
        <v>0</v>
      </c>
      <c r="I39" s="1" t="s">
        <v>797</v>
      </c>
      <c r="J39" s="22">
        <v>45</v>
      </c>
      <c r="K39" s="30" t="s">
        <v>70</v>
      </c>
      <c r="M39" s="33" t="s">
        <v>74</v>
      </c>
      <c r="N39" s="30">
        <v>0</v>
      </c>
    </row>
    <row r="40" spans="1:14" s="14" customFormat="1" ht="25.8" x14ac:dyDescent="0.25">
      <c r="A40" s="13">
        <v>45</v>
      </c>
      <c r="B40" s="1" t="s">
        <v>798</v>
      </c>
      <c r="C40" s="1" t="s">
        <v>553</v>
      </c>
      <c r="D40" s="1" t="s">
        <v>155</v>
      </c>
      <c r="E40" s="1" t="s">
        <v>799</v>
      </c>
      <c r="F40" s="1" t="s">
        <v>157</v>
      </c>
      <c r="G40" s="1" t="s">
        <v>800</v>
      </c>
      <c r="H40" s="55">
        <v>0</v>
      </c>
      <c r="I40" s="1" t="s">
        <v>801</v>
      </c>
      <c r="J40" s="22">
        <v>45</v>
      </c>
      <c r="K40" s="30" t="s">
        <v>70</v>
      </c>
      <c r="M40" s="33" t="s">
        <v>75</v>
      </c>
      <c r="N40" s="30">
        <v>0</v>
      </c>
    </row>
    <row r="41" spans="1:14" s="14" customFormat="1" ht="25.8" x14ac:dyDescent="0.25">
      <c r="A41" s="13">
        <v>46</v>
      </c>
      <c r="B41" s="1" t="s">
        <v>803</v>
      </c>
      <c r="C41" s="1" t="s">
        <v>804</v>
      </c>
      <c r="D41" s="1" t="s">
        <v>155</v>
      </c>
      <c r="E41" s="1" t="s">
        <v>805</v>
      </c>
      <c r="F41" s="1" t="s">
        <v>157</v>
      </c>
      <c r="G41" s="1" t="s">
        <v>802</v>
      </c>
      <c r="H41" s="55">
        <v>0</v>
      </c>
      <c r="I41" s="1" t="s">
        <v>806</v>
      </c>
      <c r="J41" s="22">
        <v>45</v>
      </c>
      <c r="K41" s="30" t="s">
        <v>70</v>
      </c>
      <c r="M41" s="33" t="s">
        <v>76</v>
      </c>
      <c r="N41" s="30">
        <v>0</v>
      </c>
    </row>
    <row r="42" spans="1:14" s="14" customFormat="1" ht="25.8" x14ac:dyDescent="0.25">
      <c r="A42" s="13">
        <v>47</v>
      </c>
      <c r="B42" s="1" t="s">
        <v>807</v>
      </c>
      <c r="C42" s="1" t="s">
        <v>808</v>
      </c>
      <c r="D42" s="1" t="s">
        <v>155</v>
      </c>
      <c r="E42" s="1" t="s">
        <v>809</v>
      </c>
      <c r="F42" s="1" t="s">
        <v>157</v>
      </c>
      <c r="G42" s="1" t="s">
        <v>810</v>
      </c>
      <c r="H42" s="55">
        <v>0</v>
      </c>
      <c r="I42" s="1" t="s">
        <v>811</v>
      </c>
      <c r="J42" s="22">
        <v>45</v>
      </c>
      <c r="K42" s="30" t="s">
        <v>70</v>
      </c>
      <c r="M42" s="33" t="s">
        <v>77</v>
      </c>
      <c r="N42" s="30">
        <v>0</v>
      </c>
    </row>
    <row r="43" spans="1:14" s="14" customFormat="1" ht="25.8" x14ac:dyDescent="0.25">
      <c r="A43" s="13">
        <v>48</v>
      </c>
      <c r="B43" s="1" t="s">
        <v>812</v>
      </c>
      <c r="C43" s="1" t="s">
        <v>813</v>
      </c>
      <c r="D43" s="1" t="s">
        <v>155</v>
      </c>
      <c r="E43" s="1" t="s">
        <v>814</v>
      </c>
      <c r="F43" s="1" t="s">
        <v>157</v>
      </c>
      <c r="G43" s="1" t="s">
        <v>815</v>
      </c>
      <c r="H43" s="55">
        <v>0</v>
      </c>
      <c r="I43" s="1" t="s">
        <v>816</v>
      </c>
      <c r="J43" s="22">
        <v>45</v>
      </c>
      <c r="K43" s="30" t="s">
        <v>70</v>
      </c>
      <c r="M43" s="33" t="s">
        <v>21</v>
      </c>
      <c r="N43" s="30">
        <v>0</v>
      </c>
    </row>
    <row r="44" spans="1:14" s="14" customFormat="1" ht="25.8" x14ac:dyDescent="0.25">
      <c r="A44" s="13">
        <v>49</v>
      </c>
      <c r="B44" s="1" t="s">
        <v>817</v>
      </c>
      <c r="C44" s="1" t="s">
        <v>743</v>
      </c>
      <c r="D44" s="1" t="s">
        <v>155</v>
      </c>
      <c r="E44" s="1" t="s">
        <v>744</v>
      </c>
      <c r="F44" s="1" t="s">
        <v>157</v>
      </c>
      <c r="G44" s="1" t="s">
        <v>818</v>
      </c>
      <c r="H44" s="55">
        <v>0</v>
      </c>
      <c r="I44" s="1" t="s">
        <v>819</v>
      </c>
      <c r="J44" s="22">
        <v>45</v>
      </c>
      <c r="K44" s="30" t="s">
        <v>70</v>
      </c>
      <c r="M44" s="33" t="s">
        <v>78</v>
      </c>
      <c r="N44" s="30">
        <v>0</v>
      </c>
    </row>
    <row r="45" spans="1:14" s="14" customFormat="1" ht="25.8" x14ac:dyDescent="0.25">
      <c r="A45" s="13">
        <v>50</v>
      </c>
      <c r="B45" s="1" t="s">
        <v>821</v>
      </c>
      <c r="C45" s="1" t="s">
        <v>822</v>
      </c>
      <c r="D45" s="1" t="s">
        <v>106</v>
      </c>
      <c r="E45" s="1" t="s">
        <v>107</v>
      </c>
      <c r="F45" s="1" t="s">
        <v>102</v>
      </c>
      <c r="G45" s="1" t="s">
        <v>820</v>
      </c>
      <c r="H45" s="55">
        <v>0</v>
      </c>
      <c r="I45" s="1" t="s">
        <v>823</v>
      </c>
      <c r="J45" s="22">
        <v>45</v>
      </c>
      <c r="K45" s="22" t="s">
        <v>10</v>
      </c>
      <c r="M45" s="33" t="s">
        <v>79</v>
      </c>
      <c r="N45" s="30">
        <v>0</v>
      </c>
    </row>
    <row r="46" spans="1:14" s="14" customFormat="1" ht="25.8" x14ac:dyDescent="0.25">
      <c r="A46" s="13">
        <v>51</v>
      </c>
      <c r="B46" s="1" t="s">
        <v>824</v>
      </c>
      <c r="C46" s="1" t="s">
        <v>553</v>
      </c>
      <c r="D46" s="1" t="s">
        <v>155</v>
      </c>
      <c r="E46" s="1" t="s">
        <v>825</v>
      </c>
      <c r="F46" s="1" t="s">
        <v>157</v>
      </c>
      <c r="G46" s="1" t="s">
        <v>826</v>
      </c>
      <c r="H46" s="55">
        <v>0</v>
      </c>
      <c r="I46" s="1" t="s">
        <v>827</v>
      </c>
      <c r="J46" s="22">
        <v>45</v>
      </c>
      <c r="K46" s="30" t="s">
        <v>70</v>
      </c>
      <c r="M46" s="33" t="s">
        <v>80</v>
      </c>
      <c r="N46" s="30">
        <v>0</v>
      </c>
    </row>
    <row r="47" spans="1:14" s="14" customFormat="1" ht="25.8" x14ac:dyDescent="0.25">
      <c r="A47" s="13">
        <v>52</v>
      </c>
      <c r="B47" s="1" t="s">
        <v>828</v>
      </c>
      <c r="C47" s="1" t="s">
        <v>829</v>
      </c>
      <c r="D47" s="1" t="s">
        <v>155</v>
      </c>
      <c r="E47" s="1" t="s">
        <v>830</v>
      </c>
      <c r="F47" s="1" t="s">
        <v>157</v>
      </c>
      <c r="G47" s="1" t="s">
        <v>831</v>
      </c>
      <c r="H47" s="55">
        <v>0</v>
      </c>
      <c r="I47" s="1" t="s">
        <v>832</v>
      </c>
      <c r="J47" s="22">
        <v>45</v>
      </c>
      <c r="K47" s="30" t="s">
        <v>70</v>
      </c>
      <c r="M47" s="33" t="s">
        <v>81</v>
      </c>
      <c r="N47" s="30">
        <v>0</v>
      </c>
    </row>
    <row r="48" spans="1:14" s="14" customFormat="1" ht="25.8" x14ac:dyDescent="0.25">
      <c r="A48" s="13">
        <v>53</v>
      </c>
      <c r="B48" s="1" t="s">
        <v>833</v>
      </c>
      <c r="C48" s="1" t="s">
        <v>643</v>
      </c>
      <c r="D48" s="1" t="s">
        <v>155</v>
      </c>
      <c r="E48" s="1" t="s">
        <v>834</v>
      </c>
      <c r="F48" s="1" t="s">
        <v>157</v>
      </c>
      <c r="G48" s="1" t="s">
        <v>831</v>
      </c>
      <c r="H48" s="55">
        <v>0</v>
      </c>
      <c r="I48" s="1" t="s">
        <v>835</v>
      </c>
      <c r="J48" s="22">
        <v>45</v>
      </c>
      <c r="K48" s="30" t="s">
        <v>70</v>
      </c>
      <c r="M48" s="33" t="s">
        <v>86</v>
      </c>
      <c r="N48" s="30">
        <v>0</v>
      </c>
    </row>
    <row r="49" spans="1:14" s="14" customFormat="1" ht="25.8" x14ac:dyDescent="0.25">
      <c r="A49" s="13">
        <v>54</v>
      </c>
      <c r="B49" s="1" t="s">
        <v>836</v>
      </c>
      <c r="C49" s="1" t="s">
        <v>701</v>
      </c>
      <c r="D49" s="1" t="s">
        <v>155</v>
      </c>
      <c r="E49" s="1" t="s">
        <v>702</v>
      </c>
      <c r="F49" s="1" t="s">
        <v>157</v>
      </c>
      <c r="G49" s="1" t="s">
        <v>837</v>
      </c>
      <c r="H49" s="55">
        <v>0</v>
      </c>
      <c r="I49" s="1" t="s">
        <v>838</v>
      </c>
      <c r="J49" s="22">
        <v>45</v>
      </c>
      <c r="K49" s="30" t="s">
        <v>70</v>
      </c>
      <c r="M49" s="33" t="s">
        <v>82</v>
      </c>
      <c r="N49" s="30">
        <v>0</v>
      </c>
    </row>
    <row r="50" spans="1:14" s="14" customFormat="1" ht="25.8" x14ac:dyDescent="0.25">
      <c r="A50" s="13">
        <v>55</v>
      </c>
      <c r="B50" s="1" t="s">
        <v>839</v>
      </c>
      <c r="C50" s="1" t="s">
        <v>422</v>
      </c>
      <c r="D50" s="1" t="s">
        <v>155</v>
      </c>
      <c r="E50" s="1" t="s">
        <v>423</v>
      </c>
      <c r="F50" s="1" t="s">
        <v>157</v>
      </c>
      <c r="G50" s="1" t="s">
        <v>837</v>
      </c>
      <c r="H50" s="55">
        <v>0</v>
      </c>
      <c r="I50" s="1" t="s">
        <v>840</v>
      </c>
      <c r="J50" s="22">
        <v>45</v>
      </c>
      <c r="K50" s="30" t="s">
        <v>70</v>
      </c>
      <c r="M50" s="33" t="s">
        <v>85</v>
      </c>
      <c r="N50" s="30">
        <v>0</v>
      </c>
    </row>
    <row r="51" spans="1:14" s="14" customFormat="1" ht="25.8" x14ac:dyDescent="0.25">
      <c r="A51" s="13">
        <v>56</v>
      </c>
      <c r="B51" s="1" t="s">
        <v>841</v>
      </c>
      <c r="C51" s="1" t="s">
        <v>643</v>
      </c>
      <c r="D51" s="1" t="s">
        <v>155</v>
      </c>
      <c r="E51" s="1" t="s">
        <v>834</v>
      </c>
      <c r="F51" s="1" t="s">
        <v>157</v>
      </c>
      <c r="G51" s="1" t="s">
        <v>837</v>
      </c>
      <c r="H51" s="55">
        <v>0</v>
      </c>
      <c r="I51" s="1" t="s">
        <v>842</v>
      </c>
      <c r="J51" s="22">
        <v>45</v>
      </c>
      <c r="K51" s="30" t="s">
        <v>70</v>
      </c>
      <c r="M51" s="33" t="s">
        <v>83</v>
      </c>
      <c r="N51" s="30">
        <v>0</v>
      </c>
    </row>
    <row r="52" spans="1:14" s="14" customFormat="1" ht="25.8" x14ac:dyDescent="0.25">
      <c r="A52" s="13">
        <v>57</v>
      </c>
      <c r="B52" s="1" t="s">
        <v>843</v>
      </c>
      <c r="C52" s="1" t="s">
        <v>844</v>
      </c>
      <c r="D52" s="1" t="s">
        <v>155</v>
      </c>
      <c r="E52" s="1" t="s">
        <v>845</v>
      </c>
      <c r="F52" s="1" t="s">
        <v>157</v>
      </c>
      <c r="G52" s="1" t="s">
        <v>837</v>
      </c>
      <c r="H52" s="55">
        <v>0</v>
      </c>
      <c r="I52" s="1" t="s">
        <v>846</v>
      </c>
      <c r="J52" s="22">
        <v>45</v>
      </c>
      <c r="K52" s="30" t="s">
        <v>70</v>
      </c>
      <c r="M52" s="33" t="s">
        <v>41</v>
      </c>
      <c r="N52" s="30">
        <v>0</v>
      </c>
    </row>
    <row r="53" spans="1:14" s="14" customFormat="1" ht="25.8" x14ac:dyDescent="0.25">
      <c r="A53" s="13">
        <v>58</v>
      </c>
      <c r="B53" s="1" t="s">
        <v>847</v>
      </c>
      <c r="C53" s="1" t="s">
        <v>848</v>
      </c>
      <c r="D53" s="1" t="s">
        <v>155</v>
      </c>
      <c r="E53" s="1" t="s">
        <v>849</v>
      </c>
      <c r="F53" s="1" t="s">
        <v>157</v>
      </c>
      <c r="G53" s="1" t="s">
        <v>850</v>
      </c>
      <c r="H53" s="55">
        <v>0</v>
      </c>
      <c r="I53" s="1" t="s">
        <v>851</v>
      </c>
      <c r="J53" s="22">
        <v>45</v>
      </c>
      <c r="K53" s="30" t="s">
        <v>70</v>
      </c>
      <c r="M53" s="33" t="s">
        <v>84</v>
      </c>
      <c r="N53" s="30">
        <v>0</v>
      </c>
    </row>
    <row r="54" spans="1:14" s="14" customFormat="1" ht="25.8" x14ac:dyDescent="0.25">
      <c r="A54" s="13">
        <v>59</v>
      </c>
      <c r="B54" s="1" t="s">
        <v>852</v>
      </c>
      <c r="C54" s="1" t="s">
        <v>853</v>
      </c>
      <c r="D54" s="1" t="s">
        <v>155</v>
      </c>
      <c r="E54" s="1" t="s">
        <v>854</v>
      </c>
      <c r="F54" s="1" t="s">
        <v>157</v>
      </c>
      <c r="G54" s="1" t="s">
        <v>850</v>
      </c>
      <c r="H54" s="55">
        <v>0</v>
      </c>
      <c r="I54" s="1" t="s">
        <v>855</v>
      </c>
      <c r="J54" s="22">
        <v>45</v>
      </c>
      <c r="K54" s="30" t="s">
        <v>70</v>
      </c>
      <c r="M54" s="33" t="s">
        <v>47</v>
      </c>
      <c r="N54" s="30">
        <v>0</v>
      </c>
    </row>
    <row r="55" spans="1:14" s="14" customFormat="1" ht="25.8" x14ac:dyDescent="0.25">
      <c r="A55" s="13">
        <v>60</v>
      </c>
      <c r="B55" s="1" t="s">
        <v>856</v>
      </c>
      <c r="C55" s="1" t="s">
        <v>857</v>
      </c>
      <c r="D55" s="1" t="s">
        <v>155</v>
      </c>
      <c r="E55" s="1" t="s">
        <v>858</v>
      </c>
      <c r="F55" s="1" t="s">
        <v>157</v>
      </c>
      <c r="G55" s="1" t="s">
        <v>850</v>
      </c>
      <c r="H55" s="55">
        <v>0</v>
      </c>
      <c r="I55" s="1" t="s">
        <v>859</v>
      </c>
      <c r="J55" s="22">
        <v>45</v>
      </c>
      <c r="K55" s="30" t="s">
        <v>70</v>
      </c>
      <c r="M55" s="33" t="s">
        <v>87</v>
      </c>
      <c r="N55" s="30">
        <v>0</v>
      </c>
    </row>
    <row r="56" spans="1:14" s="14" customFormat="1" ht="25.8" x14ac:dyDescent="0.25">
      <c r="A56" s="13">
        <v>61</v>
      </c>
      <c r="B56" s="1" t="s">
        <v>860</v>
      </c>
      <c r="C56" s="1" t="s">
        <v>703</v>
      </c>
      <c r="D56" s="1" t="s">
        <v>155</v>
      </c>
      <c r="E56" s="1" t="s">
        <v>861</v>
      </c>
      <c r="F56" s="1" t="s">
        <v>157</v>
      </c>
      <c r="G56" s="1" t="s">
        <v>862</v>
      </c>
      <c r="H56" s="55">
        <v>0</v>
      </c>
      <c r="I56" s="1" t="s">
        <v>863</v>
      </c>
      <c r="J56" s="22">
        <v>45</v>
      </c>
      <c r="K56" s="30" t="s">
        <v>70</v>
      </c>
      <c r="M56" s="33" t="s">
        <v>22</v>
      </c>
      <c r="N56" s="30">
        <v>0</v>
      </c>
    </row>
    <row r="57" spans="1:14" s="14" customFormat="1" ht="25.8" x14ac:dyDescent="0.25">
      <c r="A57" s="13">
        <v>62</v>
      </c>
      <c r="B57" s="1" t="s">
        <v>865</v>
      </c>
      <c r="C57" s="1" t="s">
        <v>866</v>
      </c>
      <c r="D57" s="1" t="s">
        <v>155</v>
      </c>
      <c r="E57" s="1" t="s">
        <v>867</v>
      </c>
      <c r="F57" s="1" t="s">
        <v>157</v>
      </c>
      <c r="G57" s="1" t="s">
        <v>864</v>
      </c>
      <c r="H57" s="55">
        <v>0</v>
      </c>
      <c r="I57" s="1" t="s">
        <v>868</v>
      </c>
      <c r="J57" s="22">
        <v>45</v>
      </c>
      <c r="K57" s="30" t="s">
        <v>70</v>
      </c>
      <c r="M57" s="33"/>
      <c r="N57" s="30"/>
    </row>
    <row r="58" spans="1:14" s="14" customFormat="1" ht="25.8" x14ac:dyDescent="0.25">
      <c r="A58" s="13">
        <v>63</v>
      </c>
      <c r="B58" s="1" t="s">
        <v>869</v>
      </c>
      <c r="C58" s="1" t="s">
        <v>870</v>
      </c>
      <c r="D58" s="1" t="s">
        <v>155</v>
      </c>
      <c r="E58" s="1" t="s">
        <v>871</v>
      </c>
      <c r="F58" s="1" t="s">
        <v>157</v>
      </c>
      <c r="G58" s="1" t="s">
        <v>872</v>
      </c>
      <c r="H58" s="55">
        <v>0</v>
      </c>
      <c r="I58" s="1" t="s">
        <v>873</v>
      </c>
      <c r="J58" s="22">
        <v>45</v>
      </c>
      <c r="K58" s="30" t="s">
        <v>70</v>
      </c>
      <c r="M58" s="33"/>
      <c r="N58" s="30"/>
    </row>
    <row r="59" spans="1:14" s="14" customFormat="1" ht="25.8" x14ac:dyDescent="0.25">
      <c r="A59" s="13">
        <v>64</v>
      </c>
      <c r="B59" s="1" t="s">
        <v>874</v>
      </c>
      <c r="C59" s="1" t="s">
        <v>690</v>
      </c>
      <c r="D59" s="1" t="s">
        <v>155</v>
      </c>
      <c r="E59" s="1" t="s">
        <v>875</v>
      </c>
      <c r="F59" s="1" t="s">
        <v>157</v>
      </c>
      <c r="G59" s="1" t="s">
        <v>876</v>
      </c>
      <c r="H59" s="55">
        <v>0</v>
      </c>
      <c r="I59" s="1" t="s">
        <v>877</v>
      </c>
      <c r="J59" s="22">
        <v>45</v>
      </c>
      <c r="K59" s="30" t="s">
        <v>70</v>
      </c>
      <c r="M59" s="33"/>
      <c r="N59" s="30"/>
    </row>
    <row r="60" spans="1:14" s="14" customFormat="1" ht="25.8" x14ac:dyDescent="0.25">
      <c r="A60" s="13">
        <v>65</v>
      </c>
      <c r="B60" s="1" t="s">
        <v>878</v>
      </c>
      <c r="C60" s="1" t="s">
        <v>879</v>
      </c>
      <c r="D60" s="1" t="s">
        <v>155</v>
      </c>
      <c r="E60" s="1" t="s">
        <v>880</v>
      </c>
      <c r="F60" s="1" t="s">
        <v>157</v>
      </c>
      <c r="G60" s="1" t="s">
        <v>876</v>
      </c>
      <c r="H60" s="55">
        <v>0</v>
      </c>
      <c r="I60" s="1" t="s">
        <v>881</v>
      </c>
      <c r="J60" s="22">
        <v>45</v>
      </c>
      <c r="K60" s="30" t="s">
        <v>70</v>
      </c>
      <c r="M60" s="33"/>
      <c r="N60" s="30"/>
    </row>
    <row r="61" spans="1:14" s="14" customFormat="1" ht="25.8" x14ac:dyDescent="0.25">
      <c r="A61" s="13">
        <v>66</v>
      </c>
      <c r="B61" s="1" t="s">
        <v>883</v>
      </c>
      <c r="C61" s="1" t="s">
        <v>884</v>
      </c>
      <c r="D61" s="1" t="s">
        <v>155</v>
      </c>
      <c r="E61" s="1" t="s">
        <v>885</v>
      </c>
      <c r="F61" s="1" t="s">
        <v>157</v>
      </c>
      <c r="G61" s="1" t="s">
        <v>882</v>
      </c>
      <c r="H61" s="55">
        <v>0</v>
      </c>
      <c r="I61" s="1" t="s">
        <v>886</v>
      </c>
      <c r="J61" s="22">
        <v>45</v>
      </c>
      <c r="K61" s="30" t="s">
        <v>70</v>
      </c>
      <c r="M61" s="33"/>
      <c r="N61" s="30"/>
    </row>
    <row r="62" spans="1:14" s="14" customFormat="1" ht="25.8" x14ac:dyDescent="0.25">
      <c r="A62" s="13">
        <v>67</v>
      </c>
      <c r="B62" s="1" t="s">
        <v>887</v>
      </c>
      <c r="C62" s="1" t="s">
        <v>227</v>
      </c>
      <c r="D62" s="1" t="s">
        <v>155</v>
      </c>
      <c r="E62" s="1" t="s">
        <v>228</v>
      </c>
      <c r="F62" s="1" t="s">
        <v>157</v>
      </c>
      <c r="G62" s="1" t="s">
        <v>882</v>
      </c>
      <c r="H62" s="55">
        <v>0</v>
      </c>
      <c r="I62" s="1" t="s">
        <v>888</v>
      </c>
      <c r="J62" s="22">
        <v>45</v>
      </c>
      <c r="K62" s="30" t="s">
        <v>70</v>
      </c>
      <c r="M62" s="33"/>
      <c r="N62" s="30"/>
    </row>
    <row r="63" spans="1:14" s="14" customFormat="1" ht="25.8" x14ac:dyDescent="0.25">
      <c r="A63" s="13">
        <v>68</v>
      </c>
      <c r="B63" s="1" t="s">
        <v>889</v>
      </c>
      <c r="C63" s="1" t="s">
        <v>890</v>
      </c>
      <c r="D63" s="1" t="s">
        <v>155</v>
      </c>
      <c r="E63" s="1" t="s">
        <v>891</v>
      </c>
      <c r="F63" s="1" t="s">
        <v>157</v>
      </c>
      <c r="G63" s="1" t="s">
        <v>892</v>
      </c>
      <c r="H63" s="55">
        <v>0</v>
      </c>
      <c r="I63" s="1" t="s">
        <v>893</v>
      </c>
      <c r="J63" s="22">
        <v>45</v>
      </c>
      <c r="K63" s="30" t="s">
        <v>70</v>
      </c>
      <c r="M63" s="33"/>
      <c r="N63" s="30"/>
    </row>
    <row r="64" spans="1:14" s="14" customFormat="1" ht="25.8" x14ac:dyDescent="0.35">
      <c r="A64" s="13">
        <v>69</v>
      </c>
      <c r="B64" s="1" t="s">
        <v>894</v>
      </c>
      <c r="C64" s="1" t="s">
        <v>895</v>
      </c>
      <c r="D64" s="1" t="s">
        <v>155</v>
      </c>
      <c r="E64" s="1" t="s">
        <v>896</v>
      </c>
      <c r="F64" s="1" t="s">
        <v>157</v>
      </c>
      <c r="G64" s="1" t="s">
        <v>897</v>
      </c>
      <c r="H64" s="55">
        <v>0</v>
      </c>
      <c r="I64" s="1" t="s">
        <v>898</v>
      </c>
      <c r="J64" s="22">
        <v>45</v>
      </c>
      <c r="K64" s="30" t="s">
        <v>70</v>
      </c>
      <c r="M64" s="5"/>
      <c r="N64" s="3"/>
    </row>
    <row r="65" spans="1:14" s="14" customFormat="1" ht="25.8" x14ac:dyDescent="0.35">
      <c r="A65" s="13">
        <v>70</v>
      </c>
      <c r="B65" s="1" t="s">
        <v>899</v>
      </c>
      <c r="C65" s="1" t="s">
        <v>281</v>
      </c>
      <c r="D65" s="1" t="s">
        <v>155</v>
      </c>
      <c r="E65" s="1" t="s">
        <v>282</v>
      </c>
      <c r="F65" s="1" t="s">
        <v>157</v>
      </c>
      <c r="G65" s="1" t="s">
        <v>897</v>
      </c>
      <c r="H65" s="55">
        <v>0</v>
      </c>
      <c r="I65" s="1" t="s">
        <v>900</v>
      </c>
      <c r="J65" s="22">
        <v>45</v>
      </c>
      <c r="K65" s="30" t="s">
        <v>70</v>
      </c>
      <c r="M65" s="5"/>
      <c r="N65" s="3"/>
    </row>
    <row r="66" spans="1:14" s="14" customFormat="1" ht="25.8" x14ac:dyDescent="0.35">
      <c r="A66" s="13">
        <v>71</v>
      </c>
      <c r="B66" s="1" t="s">
        <v>901</v>
      </c>
      <c r="C66" s="1" t="s">
        <v>902</v>
      </c>
      <c r="D66" s="1" t="s">
        <v>155</v>
      </c>
      <c r="E66" s="1" t="s">
        <v>903</v>
      </c>
      <c r="F66" s="1" t="s">
        <v>157</v>
      </c>
      <c r="G66" s="1" t="s">
        <v>897</v>
      </c>
      <c r="H66" s="55">
        <v>0</v>
      </c>
      <c r="I66" s="1" t="s">
        <v>904</v>
      </c>
      <c r="J66" s="22">
        <v>45</v>
      </c>
      <c r="K66" s="30" t="s">
        <v>70</v>
      </c>
      <c r="M66" s="5"/>
      <c r="N66" s="3"/>
    </row>
    <row r="67" spans="1:14" s="14" customFormat="1" ht="25.8" x14ac:dyDescent="0.35">
      <c r="A67" s="13">
        <v>72</v>
      </c>
      <c r="B67" s="1" t="s">
        <v>905</v>
      </c>
      <c r="C67" s="1" t="s">
        <v>890</v>
      </c>
      <c r="D67" s="1" t="s">
        <v>155</v>
      </c>
      <c r="E67" s="1" t="s">
        <v>891</v>
      </c>
      <c r="F67" s="1" t="s">
        <v>157</v>
      </c>
      <c r="G67" s="1" t="s">
        <v>897</v>
      </c>
      <c r="H67" s="55">
        <v>0</v>
      </c>
      <c r="I67" s="1" t="s">
        <v>906</v>
      </c>
      <c r="J67" s="22">
        <v>45</v>
      </c>
      <c r="K67" s="30" t="s">
        <v>70</v>
      </c>
      <c r="M67" s="5"/>
      <c r="N67" s="3"/>
    </row>
    <row r="68" spans="1:14" s="14" customFormat="1" ht="25.8" x14ac:dyDescent="0.35">
      <c r="A68" s="13">
        <v>73</v>
      </c>
      <c r="B68" s="1" t="s">
        <v>907</v>
      </c>
      <c r="C68" s="1" t="s">
        <v>908</v>
      </c>
      <c r="D68" s="1" t="s">
        <v>155</v>
      </c>
      <c r="E68" s="1" t="s">
        <v>909</v>
      </c>
      <c r="F68" s="1" t="s">
        <v>157</v>
      </c>
      <c r="G68" s="1" t="s">
        <v>897</v>
      </c>
      <c r="H68" s="55">
        <v>0</v>
      </c>
      <c r="I68" s="1" t="s">
        <v>910</v>
      </c>
      <c r="J68" s="22">
        <v>45</v>
      </c>
      <c r="K68" s="30" t="s">
        <v>70</v>
      </c>
      <c r="M68" s="5"/>
      <c r="N68" s="3"/>
    </row>
    <row r="69" spans="1:14" s="14" customFormat="1" ht="25.8" x14ac:dyDescent="0.35">
      <c r="A69" s="13">
        <v>74</v>
      </c>
      <c r="B69" s="1" t="s">
        <v>911</v>
      </c>
      <c r="C69" s="1" t="s">
        <v>912</v>
      </c>
      <c r="D69" s="1" t="s">
        <v>155</v>
      </c>
      <c r="E69" s="1" t="s">
        <v>913</v>
      </c>
      <c r="F69" s="1" t="s">
        <v>157</v>
      </c>
      <c r="G69" s="1" t="s">
        <v>914</v>
      </c>
      <c r="H69" s="55">
        <v>0</v>
      </c>
      <c r="I69" s="1" t="s">
        <v>915</v>
      </c>
      <c r="J69" s="22">
        <v>45</v>
      </c>
      <c r="K69" s="30" t="s">
        <v>70</v>
      </c>
      <c r="M69" s="5"/>
      <c r="N69" s="3"/>
    </row>
    <row r="70" spans="1:14" s="14" customFormat="1" ht="25.8" x14ac:dyDescent="0.35">
      <c r="A70" s="13">
        <v>75</v>
      </c>
      <c r="B70" s="1" t="s">
        <v>916</v>
      </c>
      <c r="C70" s="1" t="s">
        <v>917</v>
      </c>
      <c r="D70" s="1" t="s">
        <v>155</v>
      </c>
      <c r="E70" s="1" t="s">
        <v>918</v>
      </c>
      <c r="F70" s="1" t="s">
        <v>157</v>
      </c>
      <c r="G70" s="1" t="s">
        <v>919</v>
      </c>
      <c r="H70" s="55">
        <v>0</v>
      </c>
      <c r="I70" s="1" t="s">
        <v>920</v>
      </c>
      <c r="J70" s="22">
        <v>45</v>
      </c>
      <c r="K70" s="30" t="s">
        <v>70</v>
      </c>
      <c r="M70" s="5"/>
      <c r="N70" s="3"/>
    </row>
    <row r="71" spans="1:14" s="14" customFormat="1" ht="25.8" x14ac:dyDescent="0.35">
      <c r="A71" s="13">
        <v>76</v>
      </c>
      <c r="B71" s="1" t="s">
        <v>921</v>
      </c>
      <c r="C71" s="1" t="s">
        <v>922</v>
      </c>
      <c r="D71" s="1" t="s">
        <v>155</v>
      </c>
      <c r="E71" s="1" t="s">
        <v>923</v>
      </c>
      <c r="F71" s="1" t="s">
        <v>157</v>
      </c>
      <c r="G71" s="1" t="s">
        <v>924</v>
      </c>
      <c r="H71" s="55">
        <v>0</v>
      </c>
      <c r="I71" s="1" t="s">
        <v>925</v>
      </c>
      <c r="J71" s="22">
        <v>45</v>
      </c>
      <c r="K71" s="30" t="s">
        <v>70</v>
      </c>
      <c r="M71" s="5"/>
      <c r="N71" s="3"/>
    </row>
    <row r="72" spans="1:14" s="14" customFormat="1" ht="25.8" x14ac:dyDescent="0.35">
      <c r="A72" s="13">
        <v>77</v>
      </c>
      <c r="B72" s="1" t="s">
        <v>926</v>
      </c>
      <c r="C72" s="1" t="s">
        <v>402</v>
      </c>
      <c r="D72" s="1" t="s">
        <v>155</v>
      </c>
      <c r="E72" s="1" t="s">
        <v>403</v>
      </c>
      <c r="F72" s="1" t="s">
        <v>157</v>
      </c>
      <c r="G72" s="1" t="s">
        <v>927</v>
      </c>
      <c r="H72" s="55">
        <v>0</v>
      </c>
      <c r="I72" s="1" t="s">
        <v>928</v>
      </c>
      <c r="J72" s="22">
        <v>45</v>
      </c>
      <c r="K72" s="30" t="s">
        <v>70</v>
      </c>
      <c r="M72" s="5"/>
      <c r="N72" s="3"/>
    </row>
    <row r="73" spans="1:14" s="14" customFormat="1" ht="25.8" x14ac:dyDescent="0.35">
      <c r="A73" s="13">
        <v>78</v>
      </c>
      <c r="B73" s="1" t="s">
        <v>929</v>
      </c>
      <c r="C73" s="1" t="s">
        <v>285</v>
      </c>
      <c r="D73" s="1" t="s">
        <v>155</v>
      </c>
      <c r="E73" s="1" t="s">
        <v>286</v>
      </c>
      <c r="F73" s="1" t="s">
        <v>157</v>
      </c>
      <c r="G73" s="1" t="s">
        <v>927</v>
      </c>
      <c r="H73" s="55">
        <v>0</v>
      </c>
      <c r="I73" s="1" t="s">
        <v>930</v>
      </c>
      <c r="J73" s="22">
        <v>45</v>
      </c>
      <c r="K73" s="30" t="s">
        <v>70</v>
      </c>
      <c r="M73" s="5"/>
      <c r="N73" s="3"/>
    </row>
    <row r="74" spans="1:14" s="14" customFormat="1" ht="25.8" x14ac:dyDescent="0.35">
      <c r="A74" s="13">
        <v>79</v>
      </c>
      <c r="B74" s="1" t="s">
        <v>932</v>
      </c>
      <c r="C74" s="1" t="s">
        <v>274</v>
      </c>
      <c r="D74" s="1" t="s">
        <v>155</v>
      </c>
      <c r="E74" s="1" t="s">
        <v>275</v>
      </c>
      <c r="F74" s="1" t="s">
        <v>157</v>
      </c>
      <c r="G74" s="1" t="s">
        <v>931</v>
      </c>
      <c r="H74" s="55">
        <v>0</v>
      </c>
      <c r="I74" s="1" t="s">
        <v>933</v>
      </c>
      <c r="J74" s="22">
        <v>45</v>
      </c>
      <c r="K74" s="30" t="s">
        <v>70</v>
      </c>
      <c r="M74" s="5"/>
      <c r="N74" s="3"/>
    </row>
    <row r="75" spans="1:14" s="14" customFormat="1" ht="25.8" x14ac:dyDescent="0.35">
      <c r="A75" s="13">
        <v>80</v>
      </c>
      <c r="B75" s="1" t="s">
        <v>935</v>
      </c>
      <c r="C75" s="1" t="s">
        <v>484</v>
      </c>
      <c r="D75" s="1" t="s">
        <v>155</v>
      </c>
      <c r="E75" s="1" t="s">
        <v>485</v>
      </c>
      <c r="F75" s="1" t="s">
        <v>157</v>
      </c>
      <c r="G75" s="1" t="s">
        <v>934</v>
      </c>
      <c r="H75" s="55">
        <v>0</v>
      </c>
      <c r="I75" s="1" t="s">
        <v>936</v>
      </c>
      <c r="J75" s="22">
        <v>45</v>
      </c>
      <c r="K75" s="30" t="s">
        <v>70</v>
      </c>
      <c r="M75" s="5"/>
      <c r="N75" s="3"/>
    </row>
    <row r="76" spans="1:14" s="14" customFormat="1" ht="25.8" x14ac:dyDescent="0.35">
      <c r="A76" s="13">
        <v>81</v>
      </c>
      <c r="B76" s="1" t="s">
        <v>938</v>
      </c>
      <c r="C76" s="1" t="s">
        <v>407</v>
      </c>
      <c r="D76" s="1" t="s">
        <v>155</v>
      </c>
      <c r="E76" s="1" t="s">
        <v>408</v>
      </c>
      <c r="F76" s="1" t="s">
        <v>157</v>
      </c>
      <c r="G76" s="1" t="s">
        <v>937</v>
      </c>
      <c r="H76" s="55">
        <v>0</v>
      </c>
      <c r="I76" s="1" t="s">
        <v>939</v>
      </c>
      <c r="J76" s="22">
        <v>45</v>
      </c>
      <c r="K76" s="30" t="s">
        <v>70</v>
      </c>
      <c r="M76" s="5"/>
      <c r="N76" s="3"/>
    </row>
    <row r="77" spans="1:14" s="14" customFormat="1" ht="25.8" x14ac:dyDescent="0.35">
      <c r="A77" s="13">
        <v>82</v>
      </c>
      <c r="B77" s="1" t="s">
        <v>940</v>
      </c>
      <c r="C77" s="1" t="s">
        <v>402</v>
      </c>
      <c r="D77" s="1" t="s">
        <v>155</v>
      </c>
      <c r="E77" s="1" t="s">
        <v>403</v>
      </c>
      <c r="F77" s="1" t="s">
        <v>157</v>
      </c>
      <c r="G77" s="1" t="s">
        <v>937</v>
      </c>
      <c r="H77" s="55">
        <v>0</v>
      </c>
      <c r="I77" s="1" t="s">
        <v>941</v>
      </c>
      <c r="J77" s="22">
        <v>45</v>
      </c>
      <c r="K77" s="30" t="s">
        <v>70</v>
      </c>
      <c r="M77" s="5"/>
      <c r="N77" s="3"/>
    </row>
    <row r="78" spans="1:14" s="14" customFormat="1" ht="25.8" x14ac:dyDescent="0.35">
      <c r="A78" s="13">
        <v>83</v>
      </c>
      <c r="B78" s="1" t="s">
        <v>942</v>
      </c>
      <c r="C78" s="1" t="s">
        <v>695</v>
      </c>
      <c r="D78" s="1" t="s">
        <v>155</v>
      </c>
      <c r="E78" s="1" t="s">
        <v>696</v>
      </c>
      <c r="F78" s="1" t="s">
        <v>157</v>
      </c>
      <c r="G78" s="1" t="s">
        <v>943</v>
      </c>
      <c r="H78" s="55">
        <v>0</v>
      </c>
      <c r="I78" s="1" t="s">
        <v>944</v>
      </c>
      <c r="J78" s="22">
        <v>45</v>
      </c>
      <c r="K78" s="30" t="s">
        <v>70</v>
      </c>
      <c r="M78" s="5"/>
      <c r="N78" s="3"/>
    </row>
    <row r="79" spans="1:14" s="14" customFormat="1" ht="25.8" x14ac:dyDescent="0.35">
      <c r="A79" s="13">
        <v>86</v>
      </c>
      <c r="B79" s="1" t="s">
        <v>946</v>
      </c>
      <c r="C79" s="1" t="s">
        <v>947</v>
      </c>
      <c r="D79" s="1" t="s">
        <v>155</v>
      </c>
      <c r="E79" s="1" t="s">
        <v>948</v>
      </c>
      <c r="F79" s="1" t="s">
        <v>157</v>
      </c>
      <c r="G79" s="1" t="s">
        <v>949</v>
      </c>
      <c r="H79" s="55">
        <v>0</v>
      </c>
      <c r="I79" s="1" t="s">
        <v>950</v>
      </c>
      <c r="J79" s="22">
        <v>45</v>
      </c>
      <c r="K79" s="30" t="s">
        <v>70</v>
      </c>
      <c r="M79" s="5"/>
      <c r="N79" s="3"/>
    </row>
    <row r="80" spans="1:14" s="14" customFormat="1" ht="25.8" x14ac:dyDescent="0.35">
      <c r="A80" s="13">
        <v>87</v>
      </c>
      <c r="B80" s="1" t="s">
        <v>951</v>
      </c>
      <c r="C80" s="1" t="s">
        <v>773</v>
      </c>
      <c r="D80" s="1" t="s">
        <v>155</v>
      </c>
      <c r="E80" s="1" t="s">
        <v>774</v>
      </c>
      <c r="F80" s="1" t="s">
        <v>157</v>
      </c>
      <c r="G80" s="1" t="s">
        <v>945</v>
      </c>
      <c r="H80" s="55">
        <v>0</v>
      </c>
      <c r="I80" s="1" t="s">
        <v>952</v>
      </c>
      <c r="J80" s="22">
        <v>45</v>
      </c>
      <c r="K80" s="30" t="s">
        <v>70</v>
      </c>
      <c r="M80" s="5"/>
      <c r="N80" s="3"/>
    </row>
    <row r="81" spans="1:14" s="14" customFormat="1" ht="25.8" x14ac:dyDescent="0.35">
      <c r="A81" s="13">
        <v>88</v>
      </c>
      <c r="B81" s="1" t="s">
        <v>953</v>
      </c>
      <c r="C81" s="1" t="s">
        <v>954</v>
      </c>
      <c r="D81" s="1" t="s">
        <v>155</v>
      </c>
      <c r="E81" s="1" t="s">
        <v>955</v>
      </c>
      <c r="F81" s="1" t="s">
        <v>157</v>
      </c>
      <c r="G81" s="1" t="s">
        <v>945</v>
      </c>
      <c r="H81" s="55">
        <v>0</v>
      </c>
      <c r="I81" s="1" t="s">
        <v>956</v>
      </c>
      <c r="J81" s="22">
        <v>45</v>
      </c>
      <c r="K81" s="30" t="s">
        <v>70</v>
      </c>
      <c r="M81" s="5"/>
      <c r="N81" s="3"/>
    </row>
    <row r="82" spans="1:14" s="14" customFormat="1" ht="25.8" x14ac:dyDescent="0.35">
      <c r="A82" s="13">
        <v>89</v>
      </c>
      <c r="B82" s="1" t="s">
        <v>957</v>
      </c>
      <c r="C82" s="1" t="s">
        <v>958</v>
      </c>
      <c r="D82" s="1" t="s">
        <v>155</v>
      </c>
      <c r="E82" s="1" t="s">
        <v>189</v>
      </c>
      <c r="F82" s="1" t="s">
        <v>157</v>
      </c>
      <c r="G82" s="1" t="s">
        <v>959</v>
      </c>
      <c r="H82" s="55">
        <v>0</v>
      </c>
      <c r="I82" s="1" t="s">
        <v>960</v>
      </c>
      <c r="J82" s="22">
        <v>45</v>
      </c>
      <c r="K82" s="30" t="s">
        <v>70</v>
      </c>
      <c r="M82" s="5"/>
      <c r="N82" s="3"/>
    </row>
    <row r="83" spans="1:14" s="14" customFormat="1" ht="25.8" x14ac:dyDescent="0.35">
      <c r="A83" s="13">
        <v>90</v>
      </c>
      <c r="B83" s="1" t="s">
        <v>961</v>
      </c>
      <c r="C83" s="1" t="s">
        <v>402</v>
      </c>
      <c r="D83" s="1" t="s">
        <v>155</v>
      </c>
      <c r="E83" s="1" t="s">
        <v>403</v>
      </c>
      <c r="F83" s="1" t="s">
        <v>157</v>
      </c>
      <c r="G83" s="1" t="s">
        <v>959</v>
      </c>
      <c r="H83" s="55">
        <v>0</v>
      </c>
      <c r="I83" s="1" t="s">
        <v>962</v>
      </c>
      <c r="J83" s="22">
        <v>45</v>
      </c>
      <c r="K83" s="30" t="s">
        <v>70</v>
      </c>
      <c r="M83" s="5"/>
      <c r="N83" s="3"/>
    </row>
    <row r="84" spans="1:14" s="14" customFormat="1" ht="25.8" x14ac:dyDescent="0.35">
      <c r="A84" s="13">
        <v>91</v>
      </c>
      <c r="B84" s="1" t="s">
        <v>963</v>
      </c>
      <c r="C84" s="1" t="s">
        <v>964</v>
      </c>
      <c r="D84" s="1" t="s">
        <v>155</v>
      </c>
      <c r="E84" s="1" t="s">
        <v>965</v>
      </c>
      <c r="F84" s="1" t="s">
        <v>157</v>
      </c>
      <c r="G84" s="1" t="s">
        <v>966</v>
      </c>
      <c r="H84" s="55">
        <v>0</v>
      </c>
      <c r="I84" s="1" t="s">
        <v>967</v>
      </c>
      <c r="J84" s="22">
        <v>45</v>
      </c>
      <c r="K84" s="30" t="s">
        <v>70</v>
      </c>
      <c r="M84" s="5"/>
      <c r="N84" s="3"/>
    </row>
    <row r="85" spans="1:14" s="14" customFormat="1" ht="25.8" x14ac:dyDescent="0.35">
      <c r="A85" s="13">
        <v>92</v>
      </c>
      <c r="B85" s="1" t="s">
        <v>968</v>
      </c>
      <c r="C85" s="1" t="s">
        <v>969</v>
      </c>
      <c r="D85" s="1" t="s">
        <v>155</v>
      </c>
      <c r="E85" s="1" t="s">
        <v>970</v>
      </c>
      <c r="F85" s="1" t="s">
        <v>157</v>
      </c>
      <c r="G85" s="1" t="s">
        <v>971</v>
      </c>
      <c r="H85" s="55">
        <v>0</v>
      </c>
      <c r="I85" s="1" t="s">
        <v>972</v>
      </c>
      <c r="J85" s="22">
        <v>45</v>
      </c>
      <c r="K85" s="30" t="s">
        <v>70</v>
      </c>
      <c r="M85" s="5"/>
      <c r="N85" s="3"/>
    </row>
    <row r="86" spans="1:14" s="14" customFormat="1" ht="25.8" x14ac:dyDescent="0.35">
      <c r="A86" s="13">
        <v>93</v>
      </c>
      <c r="B86" s="1" t="s">
        <v>973</v>
      </c>
      <c r="C86" s="1" t="s">
        <v>762</v>
      </c>
      <c r="D86" s="1" t="s">
        <v>155</v>
      </c>
      <c r="E86" s="1" t="s">
        <v>974</v>
      </c>
      <c r="F86" s="1" t="s">
        <v>157</v>
      </c>
      <c r="G86" s="1" t="s">
        <v>975</v>
      </c>
      <c r="H86" s="55">
        <v>0</v>
      </c>
      <c r="I86" s="1" t="s">
        <v>976</v>
      </c>
      <c r="J86" s="22">
        <v>45</v>
      </c>
      <c r="K86" s="30" t="s">
        <v>70</v>
      </c>
      <c r="M86" s="5"/>
      <c r="N86" s="3"/>
    </row>
    <row r="87" spans="1:14" s="14" customFormat="1" ht="25.8" x14ac:dyDescent="0.35">
      <c r="A87" s="13">
        <v>94</v>
      </c>
      <c r="B87" s="1" t="s">
        <v>977</v>
      </c>
      <c r="C87" s="1" t="s">
        <v>978</v>
      </c>
      <c r="D87" s="1" t="s">
        <v>155</v>
      </c>
      <c r="E87" s="1" t="s">
        <v>979</v>
      </c>
      <c r="F87" s="1" t="s">
        <v>157</v>
      </c>
      <c r="G87" s="1" t="s">
        <v>980</v>
      </c>
      <c r="H87" s="55">
        <v>0</v>
      </c>
      <c r="I87" s="1" t="s">
        <v>981</v>
      </c>
      <c r="J87" s="22">
        <v>45</v>
      </c>
      <c r="K87" s="30" t="s">
        <v>70</v>
      </c>
      <c r="M87" s="5"/>
      <c r="N87" s="3"/>
    </row>
    <row r="88" spans="1:14" s="14" customFormat="1" ht="25.8" x14ac:dyDescent="0.35">
      <c r="A88" s="13">
        <v>95</v>
      </c>
      <c r="B88" s="1" t="s">
        <v>982</v>
      </c>
      <c r="C88" s="1" t="s">
        <v>983</v>
      </c>
      <c r="D88" s="1" t="s">
        <v>155</v>
      </c>
      <c r="E88" s="1" t="s">
        <v>984</v>
      </c>
      <c r="F88" s="1" t="s">
        <v>157</v>
      </c>
      <c r="G88" s="1" t="s">
        <v>985</v>
      </c>
      <c r="H88" s="55">
        <v>0</v>
      </c>
      <c r="I88" s="1" t="s">
        <v>986</v>
      </c>
      <c r="J88" s="22">
        <v>45</v>
      </c>
      <c r="K88" s="30" t="s">
        <v>70</v>
      </c>
      <c r="M88" s="5"/>
      <c r="N88" s="3"/>
    </row>
    <row r="89" spans="1:14" s="14" customFormat="1" ht="25.8" x14ac:dyDescent="0.35">
      <c r="A89" s="13">
        <v>96</v>
      </c>
      <c r="B89" s="1" t="s">
        <v>988</v>
      </c>
      <c r="C89" s="1" t="s">
        <v>247</v>
      </c>
      <c r="D89" s="1" t="s">
        <v>155</v>
      </c>
      <c r="E89" s="1" t="s">
        <v>248</v>
      </c>
      <c r="F89" s="1" t="s">
        <v>157</v>
      </c>
      <c r="G89" s="1" t="s">
        <v>987</v>
      </c>
      <c r="H89" s="55">
        <v>0</v>
      </c>
      <c r="I89" s="1" t="s">
        <v>989</v>
      </c>
      <c r="J89" s="22">
        <v>45</v>
      </c>
      <c r="K89" s="30" t="s">
        <v>70</v>
      </c>
      <c r="M89" s="5"/>
      <c r="N89" s="3"/>
    </row>
    <row r="90" spans="1:14" s="14" customFormat="1" ht="25.8" x14ac:dyDescent="0.35">
      <c r="A90" s="13">
        <v>97</v>
      </c>
      <c r="B90" s="1" t="s">
        <v>991</v>
      </c>
      <c r="C90" s="1" t="s">
        <v>367</v>
      </c>
      <c r="D90" s="1" t="s">
        <v>155</v>
      </c>
      <c r="E90" s="1" t="s">
        <v>524</v>
      </c>
      <c r="F90" s="1" t="s">
        <v>157</v>
      </c>
      <c r="G90" s="1" t="s">
        <v>990</v>
      </c>
      <c r="H90" s="55">
        <v>0</v>
      </c>
      <c r="I90" s="1" t="s">
        <v>992</v>
      </c>
      <c r="J90" s="22">
        <v>45</v>
      </c>
      <c r="K90" s="30" t="s">
        <v>70</v>
      </c>
      <c r="M90" s="5"/>
      <c r="N90" s="3"/>
    </row>
    <row r="91" spans="1:14" s="14" customFormat="1" ht="25.8" x14ac:dyDescent="0.35">
      <c r="A91" s="13">
        <v>98</v>
      </c>
      <c r="B91" s="1" t="s">
        <v>993</v>
      </c>
      <c r="C91" s="1" t="s">
        <v>994</v>
      </c>
      <c r="D91" s="1" t="s">
        <v>155</v>
      </c>
      <c r="E91" s="1" t="s">
        <v>995</v>
      </c>
      <c r="F91" s="1" t="s">
        <v>157</v>
      </c>
      <c r="G91" s="1" t="s">
        <v>996</v>
      </c>
      <c r="H91" s="55">
        <v>0</v>
      </c>
      <c r="I91" s="1" t="s">
        <v>997</v>
      </c>
      <c r="J91" s="22">
        <v>45</v>
      </c>
      <c r="K91" s="30" t="s">
        <v>70</v>
      </c>
      <c r="M91" s="5"/>
      <c r="N91" s="3"/>
    </row>
    <row r="92" spans="1:14" s="14" customFormat="1" ht="25.8" x14ac:dyDescent="0.35">
      <c r="A92" s="13">
        <v>99</v>
      </c>
      <c r="B92" s="1" t="s">
        <v>998</v>
      </c>
      <c r="C92" s="1" t="s">
        <v>484</v>
      </c>
      <c r="D92" s="1" t="s">
        <v>155</v>
      </c>
      <c r="E92" s="1" t="s">
        <v>485</v>
      </c>
      <c r="F92" s="1" t="s">
        <v>157</v>
      </c>
      <c r="G92" s="1" t="s">
        <v>999</v>
      </c>
      <c r="H92" s="55">
        <v>0</v>
      </c>
      <c r="I92" s="1" t="s">
        <v>1000</v>
      </c>
      <c r="J92" s="22">
        <v>45</v>
      </c>
      <c r="K92" s="30" t="s">
        <v>70</v>
      </c>
      <c r="M92" s="5"/>
      <c r="N92" s="3"/>
    </row>
    <row r="93" spans="1:14" s="14" customFormat="1" ht="25.8" x14ac:dyDescent="0.35">
      <c r="A93" s="13">
        <v>100</v>
      </c>
      <c r="B93" s="1" t="s">
        <v>1001</v>
      </c>
      <c r="C93" s="1" t="s">
        <v>547</v>
      </c>
      <c r="D93" s="1" t="s">
        <v>155</v>
      </c>
      <c r="E93" s="1" t="s">
        <v>548</v>
      </c>
      <c r="F93" s="1" t="s">
        <v>157</v>
      </c>
      <c r="G93" s="1" t="s">
        <v>1002</v>
      </c>
      <c r="H93" s="55">
        <v>0</v>
      </c>
      <c r="I93" s="1" t="s">
        <v>1003</v>
      </c>
      <c r="J93" s="22">
        <v>45</v>
      </c>
      <c r="K93" s="30" t="s">
        <v>70</v>
      </c>
      <c r="M93" s="5"/>
      <c r="N93" s="3"/>
    </row>
    <row r="94" spans="1:14" s="14" customFormat="1" ht="25.8" x14ac:dyDescent="0.35">
      <c r="A94" s="13">
        <v>101</v>
      </c>
      <c r="B94" s="1" t="s">
        <v>1004</v>
      </c>
      <c r="C94" s="1" t="s">
        <v>173</v>
      </c>
      <c r="D94" s="1" t="s">
        <v>155</v>
      </c>
      <c r="E94" s="1" t="s">
        <v>174</v>
      </c>
      <c r="F94" s="1" t="s">
        <v>157</v>
      </c>
      <c r="G94" s="1" t="s">
        <v>1005</v>
      </c>
      <c r="H94" s="55">
        <v>0</v>
      </c>
      <c r="I94" s="1" t="s">
        <v>1006</v>
      </c>
      <c r="J94" s="22">
        <v>45</v>
      </c>
      <c r="K94" s="30" t="s">
        <v>70</v>
      </c>
      <c r="M94" s="5"/>
      <c r="N94" s="3"/>
    </row>
    <row r="95" spans="1:14" s="14" customFormat="1" ht="25.8" x14ac:dyDescent="0.35">
      <c r="A95" s="13">
        <v>102</v>
      </c>
      <c r="B95" s="1" t="s">
        <v>1008</v>
      </c>
      <c r="C95" s="1" t="s">
        <v>912</v>
      </c>
      <c r="D95" s="1" t="s">
        <v>155</v>
      </c>
      <c r="E95" s="1" t="s">
        <v>913</v>
      </c>
      <c r="F95" s="1" t="s">
        <v>157</v>
      </c>
      <c r="G95" s="1" t="s">
        <v>1007</v>
      </c>
      <c r="H95" s="55">
        <v>0</v>
      </c>
      <c r="I95" s="1" t="s">
        <v>1009</v>
      </c>
      <c r="J95" s="22">
        <v>45</v>
      </c>
      <c r="K95" s="30" t="s">
        <v>70</v>
      </c>
      <c r="M95" s="5"/>
      <c r="N95" s="3"/>
    </row>
    <row r="96" spans="1:14" s="14" customFormat="1" ht="20.399999999999999" x14ac:dyDescent="0.35">
      <c r="A96" s="12"/>
      <c r="B96" s="11"/>
      <c r="C96" s="11"/>
      <c r="D96" s="11"/>
      <c r="E96" s="11"/>
      <c r="F96" s="11"/>
      <c r="G96" s="11"/>
      <c r="H96" s="11"/>
      <c r="I96" s="11"/>
      <c r="J96" s="67"/>
      <c r="K96" s="12"/>
      <c r="M96" s="5"/>
      <c r="N96" s="3"/>
    </row>
    <row r="97" spans="1:14" s="14" customFormat="1" ht="20.399999999999999" x14ac:dyDescent="0.35">
      <c r="A97" s="12"/>
      <c r="B97" s="11"/>
      <c r="C97" s="11"/>
      <c r="D97" s="11"/>
      <c r="E97" s="11"/>
      <c r="F97" s="11"/>
      <c r="G97" s="11"/>
      <c r="H97" s="11"/>
      <c r="I97" s="11"/>
      <c r="J97" s="67"/>
      <c r="K97" s="12"/>
      <c r="M97" s="5"/>
      <c r="N97" s="3"/>
    </row>
    <row r="98" spans="1:14" s="14" customFormat="1" ht="20.399999999999999" x14ac:dyDescent="0.35">
      <c r="A98" s="12"/>
      <c r="B98" s="11"/>
      <c r="C98" s="11"/>
      <c r="D98" s="11"/>
      <c r="E98" s="11"/>
      <c r="F98" s="11"/>
      <c r="G98" s="11"/>
      <c r="H98" s="11"/>
      <c r="I98" s="11"/>
      <c r="J98" s="67"/>
      <c r="K98" s="12"/>
      <c r="M98" s="5"/>
      <c r="N98" s="3"/>
    </row>
    <row r="99" spans="1:14" s="14" customFormat="1" ht="20.399999999999999" x14ac:dyDescent="0.35">
      <c r="A99" s="12"/>
      <c r="B99" s="11"/>
      <c r="C99" s="11"/>
      <c r="D99" s="11"/>
      <c r="E99" s="11"/>
      <c r="F99" s="11"/>
      <c r="G99" s="11"/>
      <c r="H99" s="11"/>
      <c r="I99" s="11"/>
      <c r="J99" s="67"/>
      <c r="K99" s="12"/>
      <c r="M99" s="5"/>
      <c r="N99" s="3"/>
    </row>
    <row r="100" spans="1:14" s="14" customFormat="1" ht="20.399999999999999" x14ac:dyDescent="0.25">
      <c r="A100" s="12"/>
      <c r="B100" s="11"/>
      <c r="C100" s="11"/>
      <c r="D100" s="11"/>
      <c r="E100" s="11"/>
      <c r="F100" s="11"/>
      <c r="G100" s="11"/>
      <c r="H100" s="11"/>
      <c r="I100" s="11"/>
      <c r="J100" s="67"/>
      <c r="K100" s="12"/>
      <c r="M100" s="5"/>
      <c r="N100"/>
    </row>
    <row r="101" spans="1:14" s="14" customFormat="1" ht="20.399999999999999" x14ac:dyDescent="0.25">
      <c r="A101" s="12"/>
      <c r="B101" s="11"/>
      <c r="C101" s="11"/>
      <c r="D101" s="11"/>
      <c r="E101" s="11"/>
      <c r="F101" s="11"/>
      <c r="G101" s="11"/>
      <c r="H101" s="11"/>
      <c r="I101" s="11"/>
      <c r="J101" s="67"/>
      <c r="K101" s="12"/>
      <c r="M101" s="5"/>
      <c r="N101"/>
    </row>
    <row r="102" spans="1:14" s="14" customFormat="1" ht="20.399999999999999" x14ac:dyDescent="0.25">
      <c r="A102" s="12"/>
      <c r="B102" s="11"/>
      <c r="C102" s="11"/>
      <c r="D102" s="11"/>
      <c r="E102" s="11"/>
      <c r="F102" s="11"/>
      <c r="G102" s="11"/>
      <c r="H102" s="11"/>
      <c r="I102" s="11"/>
      <c r="J102" s="67"/>
      <c r="K102" s="12"/>
      <c r="M102" s="5"/>
      <c r="N102"/>
    </row>
    <row r="103" spans="1:14" s="14" customFormat="1" ht="20.399999999999999" x14ac:dyDescent="0.25">
      <c r="A103" s="12"/>
      <c r="B103" s="11"/>
      <c r="C103" s="11"/>
      <c r="D103" s="11"/>
      <c r="E103" s="11"/>
      <c r="F103" s="11"/>
      <c r="G103" s="11"/>
      <c r="H103" s="11"/>
      <c r="I103" s="11"/>
      <c r="J103" s="67"/>
      <c r="K103" s="12"/>
      <c r="M103" s="5"/>
      <c r="N103"/>
    </row>
    <row r="104" spans="1:14" s="14" customFormat="1" ht="20.399999999999999" x14ac:dyDescent="0.25">
      <c r="A104" s="12"/>
      <c r="B104" s="11"/>
      <c r="C104" s="11"/>
      <c r="D104" s="11"/>
      <c r="E104" s="11"/>
      <c r="F104" s="11"/>
      <c r="G104" s="11"/>
      <c r="H104" s="11"/>
      <c r="I104" s="11"/>
      <c r="J104" s="67"/>
      <c r="K104" s="12"/>
      <c r="M104" s="5"/>
      <c r="N104"/>
    </row>
  </sheetData>
  <autoFilter ref="A2:N104" xr:uid="{C05F9277-E941-4F8C-B88B-7443D998D414}">
    <sortState xmlns:xlrd2="http://schemas.microsoft.com/office/spreadsheetml/2017/richdata2" ref="A3:N96">
      <sortCondition ref="G2"/>
    </sortState>
  </autoFilter>
  <conditionalFormatting sqref="J1:J1048576">
    <cfRule type="containsText" dxfId="29" priority="7" operator="containsText" text="ไม่พบ">
      <formula>NOT(ISERROR(SEARCH("ไม่พบ",J1)))</formula>
    </cfRule>
  </conditionalFormatting>
  <conditionalFormatting sqref="K16 K29 K45">
    <cfRule type="containsText" dxfId="28" priority="6" operator="containsText" text="ไม่พบ">
      <formula>NOT(ISERROR(SEARCH("ไม่พบ",K16)))</formula>
    </cfRule>
  </conditionalFormatting>
  <conditionalFormatting sqref="M1 M64:M99 M105:M1048576">
    <cfRule type="duplicateValues" dxfId="27" priority="4"/>
    <cfRule type="duplicateValues" dxfId="26" priority="5"/>
  </conditionalFormatting>
  <conditionalFormatting sqref="M2">
    <cfRule type="duplicateValues" dxfId="25" priority="3"/>
  </conditionalFormatting>
  <conditionalFormatting sqref="N2">
    <cfRule type="duplicateValues" dxfId="24" priority="1"/>
    <cfRule type="duplicateValues" dxfId="23" priority="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ED97-9508-4382-9DCE-1CE96A5295A9}">
  <sheetPr>
    <tabColor rgb="FF00B0F0"/>
  </sheetPr>
  <dimension ref="A1:I77"/>
  <sheetViews>
    <sheetView zoomScale="70" zoomScaleNormal="70" workbookViewId="0">
      <pane xSplit="4" ySplit="2" topLeftCell="E3" activePane="bottomRight" state="frozen"/>
      <selection activeCell="J16" sqref="B16:J17"/>
      <selection pane="topRight" activeCell="J16" sqref="B16:J17"/>
      <selection pane="bottomLeft" activeCell="J16" sqref="B16:J17"/>
      <selection pane="bottomRight" activeCell="J16" sqref="B16:J17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641</v>
      </c>
    </row>
    <row r="2" spans="1:9" ht="28.8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/>
      <c r="C3" s="1"/>
      <c r="D3" s="1"/>
      <c r="E3" s="1"/>
      <c r="F3" s="1"/>
      <c r="G3" s="1"/>
      <c r="H3" s="55"/>
      <c r="I3" s="2"/>
    </row>
    <row r="4" spans="1:9" s="14" customFormat="1" ht="23.4" x14ac:dyDescent="0.25">
      <c r="A4" s="13">
        <v>2</v>
      </c>
      <c r="B4" s="1"/>
      <c r="C4" s="1"/>
      <c r="D4" s="1"/>
      <c r="E4" s="1"/>
      <c r="F4" s="1"/>
      <c r="G4" s="1"/>
      <c r="H4" s="55"/>
      <c r="I4" s="2"/>
    </row>
    <row r="5" spans="1:9" s="14" customFormat="1" ht="23.4" x14ac:dyDescent="0.25">
      <c r="A5" s="13">
        <v>3</v>
      </c>
      <c r="B5" s="1"/>
      <c r="C5" s="1"/>
      <c r="D5" s="1"/>
      <c r="E5" s="1"/>
      <c r="F5" s="1"/>
      <c r="G5" s="1"/>
      <c r="H5" s="55"/>
      <c r="I5" s="2"/>
    </row>
    <row r="6" spans="1:9" s="14" customFormat="1" ht="23.4" x14ac:dyDescent="0.25">
      <c r="A6" s="13">
        <v>4</v>
      </c>
      <c r="B6" s="1"/>
      <c r="C6" s="1"/>
      <c r="D6" s="1"/>
      <c r="E6" s="1"/>
      <c r="F6" s="1"/>
      <c r="G6" s="1"/>
      <c r="H6" s="55"/>
      <c r="I6" s="2"/>
    </row>
    <row r="7" spans="1:9" s="14" customFormat="1" ht="23.4" x14ac:dyDescent="0.25">
      <c r="A7" s="13">
        <v>5</v>
      </c>
      <c r="B7" s="1"/>
      <c r="C7" s="1"/>
      <c r="D7" s="1"/>
      <c r="E7" s="1"/>
      <c r="F7" s="1"/>
      <c r="G7" s="1"/>
      <c r="H7" s="55"/>
      <c r="I7" s="2"/>
    </row>
    <row r="8" spans="1:9" s="14" customFormat="1" ht="23.4" x14ac:dyDescent="0.25">
      <c r="A8" s="13">
        <v>6</v>
      </c>
      <c r="B8" s="1"/>
      <c r="C8" s="1"/>
      <c r="D8" s="1"/>
      <c r="E8" s="1"/>
      <c r="F8" s="1"/>
      <c r="G8" s="1"/>
      <c r="H8" s="55"/>
      <c r="I8" s="2"/>
    </row>
    <row r="9" spans="1:9" s="14" customFormat="1" ht="23.4" x14ac:dyDescent="0.25">
      <c r="A9" s="13">
        <v>7</v>
      </c>
      <c r="B9" s="1"/>
      <c r="C9" s="1"/>
      <c r="D9" s="1"/>
      <c r="E9" s="1"/>
      <c r="F9" s="1"/>
      <c r="G9" s="1"/>
      <c r="H9" s="55"/>
      <c r="I9" s="2"/>
    </row>
    <row r="10" spans="1:9" s="14" customFormat="1" ht="23.4" x14ac:dyDescent="0.25">
      <c r="A10" s="13">
        <v>8</v>
      </c>
      <c r="B10" s="1"/>
      <c r="C10" s="1"/>
      <c r="D10" s="1"/>
      <c r="E10" s="1"/>
      <c r="F10" s="1"/>
      <c r="G10" s="1"/>
      <c r="H10" s="55"/>
      <c r="I10" s="2"/>
    </row>
    <row r="11" spans="1:9" s="14" customFormat="1" ht="23.4" x14ac:dyDescent="0.25">
      <c r="A11" s="13">
        <v>9</v>
      </c>
      <c r="B11" s="1"/>
      <c r="C11" s="1"/>
      <c r="D11" s="1"/>
      <c r="E11" s="1"/>
      <c r="F11" s="1"/>
      <c r="G11" s="1"/>
      <c r="H11" s="55"/>
      <c r="I11" s="2"/>
    </row>
    <row r="12" spans="1:9" s="14" customFormat="1" ht="23.4" x14ac:dyDescent="0.25">
      <c r="A12" s="13">
        <v>10</v>
      </c>
      <c r="B12" s="1"/>
      <c r="C12" s="1"/>
      <c r="D12" s="1"/>
      <c r="E12" s="1"/>
      <c r="F12" s="1"/>
      <c r="G12" s="1"/>
      <c r="H12" s="55"/>
      <c r="I12" s="2"/>
    </row>
    <row r="13" spans="1:9" s="14" customFormat="1" ht="23.4" x14ac:dyDescent="0.25">
      <c r="A13" s="13">
        <v>11</v>
      </c>
      <c r="B13" s="1"/>
      <c r="C13" s="1"/>
      <c r="D13" s="1"/>
      <c r="E13" s="1"/>
      <c r="F13" s="1"/>
      <c r="G13" s="1"/>
      <c r="H13" s="55"/>
      <c r="I13" s="2"/>
    </row>
    <row r="14" spans="1:9" s="14" customFormat="1" ht="23.4" x14ac:dyDescent="0.25">
      <c r="A14" s="13">
        <v>12</v>
      </c>
      <c r="B14" s="1"/>
      <c r="C14" s="1"/>
      <c r="D14" s="1"/>
      <c r="E14" s="1"/>
      <c r="F14" s="1"/>
      <c r="G14" s="1"/>
      <c r="H14" s="55"/>
      <c r="I14" s="2"/>
    </row>
    <row r="15" spans="1:9" s="14" customFormat="1" ht="23.4" x14ac:dyDescent="0.25">
      <c r="A15" s="13">
        <v>13</v>
      </c>
      <c r="B15" s="1"/>
      <c r="C15" s="1"/>
      <c r="D15" s="1"/>
      <c r="E15" s="1"/>
      <c r="F15" s="1"/>
      <c r="G15" s="1"/>
      <c r="H15" s="55"/>
      <c r="I15" s="2"/>
    </row>
    <row r="16" spans="1:9" s="14" customFormat="1" ht="23.4" x14ac:dyDescent="0.25">
      <c r="A16" s="13">
        <v>14</v>
      </c>
      <c r="B16" s="1"/>
      <c r="C16" s="1"/>
      <c r="D16" s="1"/>
      <c r="E16" s="1"/>
      <c r="F16" s="1"/>
      <c r="G16" s="1"/>
      <c r="H16" s="55"/>
      <c r="I16" s="2"/>
    </row>
    <row r="17" spans="1:9" s="14" customFormat="1" ht="23.4" x14ac:dyDescent="0.25">
      <c r="A17" s="13">
        <v>15</v>
      </c>
      <c r="B17" s="1"/>
      <c r="C17" s="1"/>
      <c r="D17" s="1"/>
      <c r="E17" s="1"/>
      <c r="F17" s="1"/>
      <c r="G17" s="1"/>
      <c r="H17" s="55"/>
      <c r="I17" s="2"/>
    </row>
    <row r="18" spans="1:9" s="14" customFormat="1" ht="23.4" x14ac:dyDescent="0.25">
      <c r="A18" s="13">
        <v>16</v>
      </c>
      <c r="B18" s="1"/>
      <c r="C18" s="1"/>
      <c r="D18" s="1"/>
      <c r="E18" s="1"/>
      <c r="F18" s="1"/>
      <c r="G18" s="1"/>
      <c r="H18" s="55"/>
      <c r="I18" s="2"/>
    </row>
    <row r="19" spans="1:9" s="14" customFormat="1" ht="23.4" x14ac:dyDescent="0.25">
      <c r="A19" s="13">
        <v>17</v>
      </c>
      <c r="B19" s="1"/>
      <c r="C19" s="1"/>
      <c r="D19" s="1"/>
      <c r="E19" s="1"/>
      <c r="F19" s="1"/>
      <c r="G19" s="1"/>
      <c r="H19" s="55"/>
      <c r="I19" s="2"/>
    </row>
    <row r="20" spans="1:9" s="14" customFormat="1" ht="23.4" x14ac:dyDescent="0.25">
      <c r="A20" s="13">
        <v>18</v>
      </c>
      <c r="B20" s="1"/>
      <c r="C20" s="1"/>
      <c r="D20" s="1"/>
      <c r="E20" s="1"/>
      <c r="F20" s="1"/>
      <c r="G20" s="1"/>
      <c r="H20" s="55"/>
      <c r="I20" s="2"/>
    </row>
    <row r="21" spans="1:9" s="14" customFormat="1" ht="23.4" x14ac:dyDescent="0.25">
      <c r="A21" s="13">
        <v>19</v>
      </c>
      <c r="B21" s="1"/>
      <c r="C21" s="1"/>
      <c r="D21" s="1"/>
      <c r="E21" s="1"/>
      <c r="F21" s="1"/>
      <c r="G21" s="1"/>
      <c r="H21" s="55"/>
      <c r="I21" s="2"/>
    </row>
    <row r="22" spans="1:9" s="14" customFormat="1" ht="23.4" x14ac:dyDescent="0.25">
      <c r="A22" s="13">
        <v>20</v>
      </c>
      <c r="B22" s="1"/>
      <c r="C22" s="1"/>
      <c r="D22" s="1"/>
      <c r="E22" s="1"/>
      <c r="F22" s="1"/>
      <c r="G22" s="1"/>
      <c r="H22" s="55"/>
      <c r="I22" s="2"/>
    </row>
    <row r="23" spans="1:9" s="14" customFormat="1" ht="23.4" x14ac:dyDescent="0.25">
      <c r="A23" s="13">
        <v>21</v>
      </c>
      <c r="B23" s="1"/>
      <c r="C23" s="1"/>
      <c r="D23" s="1"/>
      <c r="E23" s="1"/>
      <c r="F23" s="1"/>
      <c r="G23" s="1"/>
      <c r="H23" s="55"/>
      <c r="I23" s="2"/>
    </row>
    <row r="24" spans="1:9" s="14" customFormat="1" ht="23.4" x14ac:dyDescent="0.25">
      <c r="A24" s="13">
        <v>22</v>
      </c>
      <c r="B24" s="1"/>
      <c r="C24" s="1"/>
      <c r="D24" s="1"/>
      <c r="E24" s="1"/>
      <c r="F24" s="1"/>
      <c r="G24" s="1"/>
      <c r="H24" s="55"/>
      <c r="I24" s="2"/>
    </row>
    <row r="25" spans="1:9" s="14" customFormat="1" ht="23.4" x14ac:dyDescent="0.25">
      <c r="A25" s="13">
        <v>23</v>
      </c>
      <c r="B25" s="1"/>
      <c r="C25" s="1"/>
      <c r="D25" s="1"/>
      <c r="E25" s="1"/>
      <c r="F25" s="1"/>
      <c r="G25" s="1"/>
      <c r="H25" s="55"/>
      <c r="I25" s="2"/>
    </row>
    <row r="26" spans="1:9" s="14" customFormat="1" ht="23.4" x14ac:dyDescent="0.25">
      <c r="A26" s="13">
        <v>24</v>
      </c>
      <c r="B26" s="4"/>
      <c r="C26" s="4"/>
      <c r="D26" s="4"/>
      <c r="E26" s="4"/>
      <c r="F26" s="4"/>
      <c r="G26" s="4"/>
      <c r="H26" s="4"/>
      <c r="I26" s="2"/>
    </row>
    <row r="27" spans="1:9" s="14" customFormat="1" ht="23.4" x14ac:dyDescent="0.25">
      <c r="A27" s="13">
        <v>25</v>
      </c>
      <c r="B27" s="4"/>
      <c r="C27" s="4"/>
      <c r="D27" s="4"/>
      <c r="E27" s="4"/>
      <c r="F27" s="4"/>
      <c r="G27" s="4"/>
      <c r="H27" s="4"/>
      <c r="I27" s="2"/>
    </row>
    <row r="28" spans="1:9" s="14" customFormat="1" ht="23.4" x14ac:dyDescent="0.25">
      <c r="A28" s="13">
        <v>26</v>
      </c>
      <c r="B28" s="4"/>
      <c r="C28" s="4"/>
      <c r="D28" s="4"/>
      <c r="E28" s="4"/>
      <c r="F28" s="4"/>
      <c r="G28" s="4"/>
      <c r="H28" s="4"/>
      <c r="I28" s="2"/>
    </row>
    <row r="29" spans="1:9" s="14" customFormat="1" ht="23.4" x14ac:dyDescent="0.25">
      <c r="A29" s="13">
        <v>27</v>
      </c>
      <c r="B29" s="4"/>
      <c r="C29" s="4"/>
      <c r="D29" s="4"/>
      <c r="E29" s="4"/>
      <c r="F29" s="4"/>
      <c r="G29" s="4"/>
      <c r="H29" s="4"/>
      <c r="I29" s="2"/>
    </row>
    <row r="30" spans="1:9" s="14" customFormat="1" ht="23.4" x14ac:dyDescent="0.25">
      <c r="A30" s="13">
        <v>28</v>
      </c>
      <c r="B30" s="4"/>
      <c r="C30" s="4"/>
      <c r="D30" s="4"/>
      <c r="E30" s="4"/>
      <c r="F30" s="4"/>
      <c r="G30" s="4"/>
      <c r="H30" s="4"/>
      <c r="I30" s="2"/>
    </row>
    <row r="31" spans="1:9" s="14" customFormat="1" ht="23.4" x14ac:dyDescent="0.25">
      <c r="A31" s="13">
        <v>29</v>
      </c>
      <c r="B31" s="4"/>
      <c r="C31" s="4"/>
      <c r="D31" s="4"/>
      <c r="E31" s="4"/>
      <c r="F31" s="4"/>
      <c r="G31" s="4"/>
      <c r="H31" s="4"/>
      <c r="I31" s="2"/>
    </row>
    <row r="32" spans="1:9" s="14" customFormat="1" ht="23.4" x14ac:dyDescent="0.25">
      <c r="A32" s="13">
        <v>30</v>
      </c>
      <c r="B32" s="4"/>
      <c r="C32" s="4"/>
      <c r="D32" s="4"/>
      <c r="E32" s="4"/>
      <c r="F32" s="4"/>
      <c r="G32" s="4"/>
      <c r="H32" s="4"/>
      <c r="I32" s="2"/>
    </row>
    <row r="33" spans="1:9" s="14" customFormat="1" ht="23.4" x14ac:dyDescent="0.25">
      <c r="A33" s="13">
        <v>31</v>
      </c>
      <c r="B33" s="4"/>
      <c r="C33" s="4"/>
      <c r="D33" s="4"/>
      <c r="E33" s="4"/>
      <c r="F33" s="4"/>
      <c r="G33" s="4"/>
      <c r="H33" s="4"/>
      <c r="I33" s="2"/>
    </row>
    <row r="34" spans="1:9" s="14" customFormat="1" ht="23.4" x14ac:dyDescent="0.25">
      <c r="A34" s="61">
        <v>32</v>
      </c>
      <c r="B34" s="62"/>
      <c r="C34" s="62"/>
      <c r="D34" s="62"/>
      <c r="E34" s="62"/>
      <c r="F34" s="62"/>
      <c r="G34" s="62"/>
      <c r="H34" s="63"/>
      <c r="I34" s="63"/>
    </row>
    <row r="35" spans="1:9" s="14" customFormat="1" ht="23.4" x14ac:dyDescent="0.25">
      <c r="A35" s="65"/>
      <c r="B35" s="60"/>
      <c r="C35" s="60"/>
      <c r="D35" s="60"/>
      <c r="E35" s="60"/>
      <c r="F35" s="60"/>
      <c r="G35" s="60"/>
      <c r="H35" s="60"/>
      <c r="I35" s="59"/>
    </row>
    <row r="36" spans="1:9" s="14" customFormat="1" ht="23.4" x14ac:dyDescent="0.25">
      <c r="A36" s="65"/>
      <c r="B36" s="60"/>
      <c r="C36" s="60"/>
      <c r="D36" s="60"/>
      <c r="E36" s="60"/>
      <c r="F36" s="60"/>
      <c r="G36" s="60"/>
      <c r="H36" s="60"/>
      <c r="I36" s="59"/>
    </row>
    <row r="37" spans="1:9" s="14" customFormat="1" ht="23.4" x14ac:dyDescent="0.25">
      <c r="A37" s="65"/>
      <c r="B37" s="60"/>
      <c r="C37" s="60"/>
      <c r="D37" s="60"/>
      <c r="E37" s="60"/>
      <c r="F37" s="60"/>
      <c r="G37" s="60"/>
      <c r="H37" s="60"/>
      <c r="I37" s="59"/>
    </row>
    <row r="38" spans="1:9" s="14" customFormat="1" ht="23.4" x14ac:dyDescent="0.25">
      <c r="A38" s="65"/>
      <c r="B38" s="60"/>
      <c r="C38" s="60"/>
      <c r="D38" s="60"/>
      <c r="E38" s="60"/>
      <c r="F38" s="60"/>
      <c r="G38" s="60"/>
      <c r="H38" s="60"/>
      <c r="I38" s="59"/>
    </row>
    <row r="39" spans="1:9" s="14" customFormat="1" ht="23.4" x14ac:dyDescent="0.25">
      <c r="A39" s="65"/>
      <c r="B39" s="60"/>
      <c r="C39" s="60"/>
      <c r="D39" s="60"/>
      <c r="E39" s="60"/>
      <c r="F39" s="60"/>
      <c r="G39" s="60"/>
      <c r="H39" s="60"/>
      <c r="I39" s="59"/>
    </row>
    <row r="40" spans="1:9" s="14" customFormat="1" ht="23.4" x14ac:dyDescent="0.25">
      <c r="A40" s="65"/>
      <c r="B40" s="60"/>
      <c r="C40" s="60"/>
      <c r="D40" s="60"/>
      <c r="E40" s="60"/>
      <c r="F40" s="60"/>
      <c r="G40" s="60"/>
      <c r="H40" s="60"/>
      <c r="I40" s="59"/>
    </row>
    <row r="41" spans="1:9" s="14" customFormat="1" ht="23.4" x14ac:dyDescent="0.25">
      <c r="A41" s="65"/>
      <c r="B41" s="60"/>
      <c r="C41" s="60"/>
      <c r="D41" s="60"/>
      <c r="E41" s="60"/>
      <c r="F41" s="60"/>
      <c r="G41" s="60"/>
      <c r="H41" s="60"/>
      <c r="I41" s="59"/>
    </row>
    <row r="42" spans="1:9" s="14" customFormat="1" ht="23.4" x14ac:dyDescent="0.25">
      <c r="A42" s="65"/>
      <c r="B42" s="60"/>
      <c r="C42" s="60"/>
      <c r="D42" s="60"/>
      <c r="E42" s="60"/>
      <c r="F42" s="60"/>
      <c r="G42" s="60"/>
      <c r="H42" s="60"/>
      <c r="I42" s="59"/>
    </row>
    <row r="43" spans="1:9" s="14" customFormat="1" ht="23.4" x14ac:dyDescent="0.25">
      <c r="A43" s="65"/>
      <c r="B43" s="60"/>
      <c r="C43" s="60"/>
      <c r="D43" s="60"/>
      <c r="E43" s="60"/>
      <c r="F43" s="60"/>
      <c r="G43" s="60"/>
      <c r="H43" s="60"/>
      <c r="I43" s="59"/>
    </row>
    <row r="44" spans="1:9" s="14" customFormat="1" ht="23.4" x14ac:dyDescent="0.25">
      <c r="A44" s="65"/>
      <c r="B44" s="60"/>
      <c r="C44" s="60"/>
      <c r="D44" s="60"/>
      <c r="E44" s="60"/>
      <c r="F44" s="60"/>
      <c r="G44" s="60"/>
      <c r="H44" s="60"/>
      <c r="I44" s="59"/>
    </row>
    <row r="45" spans="1:9" s="14" customFormat="1" ht="23.4" x14ac:dyDescent="0.25">
      <c r="A45" s="65"/>
      <c r="B45" s="60"/>
      <c r="C45" s="60"/>
      <c r="D45" s="60"/>
      <c r="E45" s="60"/>
      <c r="F45" s="60"/>
      <c r="G45" s="60"/>
      <c r="H45" s="60"/>
      <c r="I45" s="59"/>
    </row>
    <row r="46" spans="1:9" s="14" customFormat="1" ht="23.4" x14ac:dyDescent="0.25">
      <c r="A46" s="65"/>
      <c r="B46" s="60"/>
      <c r="C46" s="60"/>
      <c r="D46" s="60"/>
      <c r="E46" s="60"/>
      <c r="F46" s="60"/>
      <c r="G46" s="60"/>
      <c r="H46" s="60"/>
      <c r="I46" s="59"/>
    </row>
    <row r="47" spans="1:9" s="14" customFormat="1" ht="23.4" x14ac:dyDescent="0.25">
      <c r="A47" s="65"/>
      <c r="B47" s="60"/>
      <c r="C47" s="60"/>
      <c r="D47" s="60"/>
      <c r="E47" s="60"/>
      <c r="F47" s="60"/>
      <c r="G47" s="60"/>
      <c r="H47" s="60"/>
      <c r="I47" s="59"/>
    </row>
    <row r="48" spans="1:9" s="14" customFormat="1" ht="23.4" x14ac:dyDescent="0.25">
      <c r="A48" s="65"/>
      <c r="B48" s="60"/>
      <c r="C48" s="60"/>
      <c r="D48" s="60"/>
      <c r="E48" s="60"/>
      <c r="F48" s="60"/>
      <c r="G48" s="60"/>
      <c r="H48" s="60"/>
      <c r="I48" s="59"/>
    </row>
    <row r="49" spans="1:9" s="14" customFormat="1" ht="23.4" x14ac:dyDescent="0.25">
      <c r="A49" s="65"/>
      <c r="B49" s="60"/>
      <c r="C49" s="60"/>
      <c r="D49" s="60"/>
      <c r="E49" s="60"/>
      <c r="F49" s="60"/>
      <c r="G49" s="60"/>
      <c r="H49" s="60"/>
      <c r="I49" s="59"/>
    </row>
    <row r="50" spans="1:9" s="14" customFormat="1" ht="23.4" x14ac:dyDescent="0.25">
      <c r="A50" s="65"/>
      <c r="B50" s="60"/>
      <c r="C50" s="60"/>
      <c r="D50" s="60"/>
      <c r="E50" s="60"/>
      <c r="F50" s="60"/>
      <c r="G50" s="60"/>
      <c r="H50" s="60"/>
      <c r="I50" s="59"/>
    </row>
    <row r="51" spans="1:9" s="14" customFormat="1" ht="23.4" x14ac:dyDescent="0.25">
      <c r="A51" s="65"/>
      <c r="B51" s="60"/>
      <c r="C51" s="60"/>
      <c r="D51" s="60"/>
      <c r="E51" s="60"/>
      <c r="F51" s="60"/>
      <c r="G51" s="60"/>
      <c r="H51" s="60"/>
      <c r="I51" s="59"/>
    </row>
    <row r="52" spans="1:9" s="14" customFormat="1" ht="23.4" x14ac:dyDescent="0.25">
      <c r="A52" s="65"/>
      <c r="B52" s="60"/>
      <c r="C52" s="60"/>
      <c r="D52" s="60"/>
      <c r="E52" s="60"/>
      <c r="F52" s="60"/>
      <c r="G52" s="60"/>
      <c r="H52" s="60"/>
      <c r="I52" s="59"/>
    </row>
    <row r="53" spans="1:9" s="14" customFormat="1" ht="23.4" x14ac:dyDescent="0.25">
      <c r="A53" s="65"/>
      <c r="B53" s="60"/>
      <c r="C53" s="60"/>
      <c r="D53" s="60"/>
      <c r="E53" s="60"/>
      <c r="F53" s="60"/>
      <c r="G53" s="60"/>
      <c r="H53" s="60"/>
      <c r="I53" s="59"/>
    </row>
    <row r="54" spans="1:9" s="14" customFormat="1" ht="23.4" x14ac:dyDescent="0.25">
      <c r="A54" s="65"/>
      <c r="B54" s="60"/>
      <c r="C54" s="60"/>
      <c r="D54" s="60"/>
      <c r="E54" s="60"/>
      <c r="F54" s="60"/>
      <c r="G54" s="60"/>
      <c r="H54" s="60"/>
      <c r="I54" s="59"/>
    </row>
    <row r="55" spans="1:9" s="14" customFormat="1" ht="23.4" x14ac:dyDescent="0.25">
      <c r="A55" s="65"/>
      <c r="B55" s="60"/>
      <c r="C55" s="60"/>
      <c r="D55" s="60"/>
      <c r="E55" s="60"/>
      <c r="F55" s="60"/>
      <c r="G55" s="60"/>
      <c r="H55" s="60"/>
      <c r="I55" s="59"/>
    </row>
    <row r="56" spans="1:9" s="14" customFormat="1" ht="23.4" x14ac:dyDescent="0.25">
      <c r="A56" s="65"/>
      <c r="B56" s="60"/>
      <c r="C56" s="60"/>
      <c r="D56" s="60"/>
      <c r="E56" s="60"/>
      <c r="F56" s="60"/>
      <c r="G56" s="60"/>
      <c r="H56" s="60"/>
      <c r="I56" s="59"/>
    </row>
    <row r="57" spans="1:9" s="14" customFormat="1" ht="23.4" x14ac:dyDescent="0.25">
      <c r="A57" s="65"/>
      <c r="B57" s="60"/>
      <c r="C57" s="60"/>
      <c r="D57" s="60"/>
      <c r="E57" s="60"/>
      <c r="F57" s="60"/>
      <c r="G57" s="60"/>
      <c r="H57" s="60"/>
      <c r="I57" s="59"/>
    </row>
    <row r="58" spans="1:9" s="14" customFormat="1" ht="23.4" x14ac:dyDescent="0.25">
      <c r="A58" s="65"/>
      <c r="B58" s="60"/>
      <c r="C58" s="60"/>
      <c r="D58" s="60"/>
      <c r="E58" s="60"/>
      <c r="F58" s="60"/>
      <c r="G58" s="60"/>
      <c r="H58" s="60"/>
      <c r="I58" s="59"/>
    </row>
    <row r="59" spans="1:9" s="14" customFormat="1" ht="23.4" x14ac:dyDescent="0.25">
      <c r="A59" s="65"/>
      <c r="B59" s="60"/>
      <c r="C59" s="60"/>
      <c r="D59" s="60"/>
      <c r="E59" s="60"/>
      <c r="F59" s="60"/>
      <c r="G59" s="60"/>
      <c r="H59" s="60"/>
      <c r="I59" s="59"/>
    </row>
    <row r="60" spans="1:9" s="14" customFormat="1" ht="23.4" x14ac:dyDescent="0.25">
      <c r="A60" s="65"/>
      <c r="B60" s="60"/>
      <c r="C60" s="60"/>
      <c r="D60" s="60"/>
      <c r="E60" s="60"/>
      <c r="F60" s="60"/>
      <c r="G60" s="60"/>
      <c r="H60" s="60"/>
      <c r="I60" s="59"/>
    </row>
    <row r="61" spans="1:9" s="14" customFormat="1" ht="23.4" x14ac:dyDescent="0.25">
      <c r="A61" s="65"/>
      <c r="B61" s="60"/>
      <c r="C61" s="60"/>
      <c r="D61" s="60"/>
      <c r="E61" s="60"/>
      <c r="F61" s="60"/>
      <c r="G61" s="60"/>
      <c r="H61" s="60"/>
      <c r="I61" s="59"/>
    </row>
    <row r="62" spans="1:9" s="14" customFormat="1" ht="23.4" x14ac:dyDescent="0.25">
      <c r="A62" s="65"/>
      <c r="B62" s="60"/>
      <c r="C62" s="60"/>
      <c r="D62" s="60"/>
      <c r="E62" s="60"/>
      <c r="F62" s="60"/>
      <c r="G62" s="60"/>
      <c r="H62" s="60"/>
      <c r="I62" s="59"/>
    </row>
    <row r="63" spans="1:9" s="14" customFormat="1" ht="23.4" x14ac:dyDescent="0.25">
      <c r="A63" s="65"/>
      <c r="B63" s="60"/>
      <c r="C63" s="60"/>
      <c r="D63" s="60"/>
      <c r="E63" s="60"/>
      <c r="F63" s="60"/>
      <c r="G63" s="60"/>
      <c r="H63" s="60"/>
      <c r="I63" s="59"/>
    </row>
    <row r="64" spans="1:9" s="14" customFormat="1" ht="23.4" x14ac:dyDescent="0.25">
      <c r="A64" s="65"/>
      <c r="B64" s="60"/>
      <c r="C64" s="60"/>
      <c r="D64" s="60"/>
      <c r="E64" s="60"/>
      <c r="F64" s="60"/>
      <c r="G64" s="60"/>
      <c r="H64" s="60"/>
      <c r="I64" s="59"/>
    </row>
    <row r="65" spans="1:9" s="14" customFormat="1" ht="23.4" x14ac:dyDescent="0.25">
      <c r="A65" s="65"/>
      <c r="B65" s="60"/>
      <c r="C65" s="60"/>
      <c r="D65" s="60"/>
      <c r="E65" s="60"/>
      <c r="F65" s="60"/>
      <c r="G65" s="60"/>
      <c r="H65" s="60"/>
      <c r="I65" s="59"/>
    </row>
    <row r="66" spans="1:9" s="14" customFormat="1" ht="23.4" x14ac:dyDescent="0.25">
      <c r="A66" s="65"/>
      <c r="B66" s="60"/>
      <c r="C66" s="60"/>
      <c r="D66" s="60"/>
      <c r="E66" s="60"/>
      <c r="F66" s="60"/>
      <c r="G66" s="60"/>
      <c r="H66" s="60"/>
      <c r="I66" s="59"/>
    </row>
    <row r="67" spans="1:9" s="14" customFormat="1" ht="23.4" x14ac:dyDescent="0.25">
      <c r="A67" s="65"/>
      <c r="B67" s="60"/>
      <c r="C67" s="60"/>
      <c r="D67" s="60"/>
      <c r="E67" s="60"/>
      <c r="F67" s="60"/>
      <c r="G67" s="60"/>
      <c r="H67" s="60"/>
      <c r="I67" s="59"/>
    </row>
    <row r="68" spans="1:9" s="14" customFormat="1" ht="23.4" x14ac:dyDescent="0.25">
      <c r="A68" s="65"/>
      <c r="B68" s="60"/>
      <c r="C68" s="60"/>
      <c r="D68" s="60"/>
      <c r="E68" s="60"/>
      <c r="F68" s="60"/>
      <c r="G68" s="60"/>
      <c r="H68" s="60"/>
      <c r="I68" s="59"/>
    </row>
    <row r="69" spans="1:9" s="14" customFormat="1" ht="23.4" x14ac:dyDescent="0.25">
      <c r="A69" s="65"/>
      <c r="B69" s="60"/>
      <c r="C69" s="60"/>
      <c r="D69" s="60"/>
      <c r="E69" s="60"/>
      <c r="F69" s="60"/>
      <c r="G69" s="60"/>
      <c r="H69" s="60"/>
      <c r="I69" s="59"/>
    </row>
    <row r="70" spans="1:9" s="14" customFormat="1" ht="23.4" x14ac:dyDescent="0.25">
      <c r="A70" s="65"/>
      <c r="B70" s="60"/>
      <c r="C70" s="60"/>
      <c r="D70" s="60"/>
      <c r="E70" s="60"/>
      <c r="F70" s="60"/>
      <c r="G70" s="60"/>
      <c r="H70" s="60"/>
      <c r="I70" s="59"/>
    </row>
    <row r="71" spans="1:9" s="14" customFormat="1" ht="23.4" x14ac:dyDescent="0.25">
      <c r="A71" s="65"/>
      <c r="B71" s="60"/>
      <c r="C71" s="60"/>
      <c r="D71" s="60"/>
      <c r="E71" s="60"/>
      <c r="F71" s="60"/>
      <c r="G71" s="60"/>
      <c r="H71" s="60"/>
      <c r="I71" s="59"/>
    </row>
    <row r="72" spans="1:9" s="14" customFormat="1" ht="23.4" x14ac:dyDescent="0.25">
      <c r="A72" s="65"/>
      <c r="B72" s="60"/>
      <c r="C72" s="60"/>
      <c r="D72" s="60"/>
      <c r="E72" s="60"/>
      <c r="F72" s="60"/>
      <c r="G72" s="60"/>
      <c r="H72" s="60"/>
      <c r="I72" s="59"/>
    </row>
    <row r="73" spans="1:9" s="14" customFormat="1" ht="23.4" x14ac:dyDescent="0.25">
      <c r="A73" s="65"/>
      <c r="B73" s="60"/>
      <c r="C73" s="60"/>
      <c r="D73" s="60"/>
      <c r="E73" s="60"/>
      <c r="F73" s="60"/>
      <c r="G73" s="60"/>
      <c r="H73" s="60"/>
      <c r="I73" s="59"/>
    </row>
    <row r="74" spans="1:9" s="14" customFormat="1" ht="23.4" x14ac:dyDescent="0.25">
      <c r="A74" s="65"/>
      <c r="B74" s="60"/>
      <c r="C74" s="60"/>
      <c r="D74" s="60"/>
      <c r="E74" s="60"/>
      <c r="F74" s="60"/>
      <c r="G74" s="60"/>
      <c r="H74" s="60"/>
      <c r="I74" s="59"/>
    </row>
    <row r="75" spans="1:9" s="14" customFormat="1" ht="23.4" x14ac:dyDescent="0.25">
      <c r="A75" s="65"/>
      <c r="B75" s="60"/>
      <c r="C75" s="60"/>
      <c r="D75" s="60"/>
      <c r="E75" s="60"/>
      <c r="F75" s="60"/>
      <c r="G75" s="60"/>
      <c r="H75" s="60"/>
      <c r="I75" s="59"/>
    </row>
    <row r="76" spans="1:9" ht="27" thickBot="1" x14ac:dyDescent="0.75">
      <c r="G76" s="23" t="s">
        <v>25</v>
      </c>
      <c r="H76" s="64">
        <f>SUM(H3:H75)</f>
        <v>0</v>
      </c>
      <c r="I76" s="16" t="s">
        <v>43</v>
      </c>
    </row>
    <row r="77" spans="1:9" ht="14.4" thickTop="1" x14ac:dyDescent="0.25"/>
  </sheetData>
  <autoFilter ref="B2:K38" xr:uid="{418B859D-9AEE-4DBC-84AA-2E90E0A86546}"/>
  <conditionalFormatting sqref="H76">
    <cfRule type="containsText" dxfId="22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3F85-3AC8-472F-BA47-531B37187C7E}">
  <sheetPr>
    <tabColor rgb="FFFF99FF"/>
  </sheetPr>
  <dimension ref="A1:N104"/>
  <sheetViews>
    <sheetView zoomScale="70" zoomScaleNormal="70" workbookViewId="0">
      <pane xSplit="6" ySplit="2" topLeftCell="G6" activePane="bottomRight" state="frozen"/>
      <selection activeCell="K69" sqref="K69"/>
      <selection pane="topRight" activeCell="K69" sqref="K69"/>
      <selection pane="bottomLeft" activeCell="K69" sqref="K69"/>
      <selection pane="bottomRight" activeCell="C13" sqref="C13:K17"/>
    </sheetView>
  </sheetViews>
  <sheetFormatPr defaultColWidth="54.69921875" defaultRowHeight="13.8" x14ac:dyDescent="0.25"/>
  <cols>
    <col min="1" max="1" width="7.09765625" style="12" customWidth="1"/>
    <col min="2" max="2" width="15.69921875" style="11" bestFit="1" customWidth="1"/>
    <col min="3" max="3" width="30.296875" style="11" customWidth="1"/>
    <col min="4" max="4" width="16.19921875" style="11" customWidth="1"/>
    <col min="5" max="5" width="29.296875" style="11" customWidth="1"/>
    <col min="6" max="6" width="15.296875" style="11" bestFit="1" customWidth="1"/>
    <col min="7" max="7" width="17.296875" style="11" customWidth="1"/>
    <col min="8" max="8" width="10.09765625" style="11" customWidth="1"/>
    <col min="9" max="9" width="23" style="11" customWidth="1"/>
    <col min="10" max="10" width="15.19921875" style="67" customWidth="1"/>
    <col min="11" max="11" width="74.796875" style="12" customWidth="1"/>
    <col min="12" max="12" width="18.8984375" style="11" customWidth="1"/>
    <col min="13" max="13" width="74.796875" style="5" customWidth="1"/>
    <col min="14" max="14" width="17.19921875" bestFit="1" customWidth="1"/>
    <col min="15" max="16384" width="54.69921875" style="11"/>
  </cols>
  <sheetData>
    <row r="1" spans="1:14" ht="60" customHeight="1" thickBot="1" x14ac:dyDescent="0.75">
      <c r="A1" s="8" t="s">
        <v>1011</v>
      </c>
      <c r="I1" s="53" t="s">
        <v>42</v>
      </c>
      <c r="J1" s="24">
        <f>SUBTOTAL(9,J3:J94)</f>
        <v>2880</v>
      </c>
      <c r="K1" s="54" t="s">
        <v>43</v>
      </c>
    </row>
    <row r="2" spans="1:14" ht="29.4" thickTop="1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38</v>
      </c>
      <c r="J2" s="21" t="s">
        <v>40</v>
      </c>
      <c r="K2" s="7" t="s">
        <v>7</v>
      </c>
      <c r="M2" s="7" t="s">
        <v>17</v>
      </c>
      <c r="N2" s="7" t="s">
        <v>19</v>
      </c>
    </row>
    <row r="3" spans="1:14" s="14" customFormat="1" ht="25.8" x14ac:dyDescent="0.25">
      <c r="A3" s="13">
        <v>1</v>
      </c>
      <c r="B3" s="1" t="s">
        <v>1012</v>
      </c>
      <c r="C3" s="1" t="s">
        <v>1013</v>
      </c>
      <c r="D3" s="1" t="s">
        <v>155</v>
      </c>
      <c r="E3" s="1" t="s">
        <v>1014</v>
      </c>
      <c r="F3" s="1" t="s">
        <v>157</v>
      </c>
      <c r="G3" s="1" t="s">
        <v>1015</v>
      </c>
      <c r="H3" s="55">
        <v>0</v>
      </c>
      <c r="I3" s="1" t="s">
        <v>1016</v>
      </c>
      <c r="J3" s="22">
        <v>45</v>
      </c>
      <c r="K3" s="30" t="s">
        <v>70</v>
      </c>
      <c r="M3" s="33" t="s">
        <v>8</v>
      </c>
      <c r="N3" s="30">
        <v>0</v>
      </c>
    </row>
    <row r="4" spans="1:14" s="14" customFormat="1" ht="25.8" x14ac:dyDescent="0.25">
      <c r="A4" s="13">
        <v>2</v>
      </c>
      <c r="B4" s="1" t="s">
        <v>1017</v>
      </c>
      <c r="C4" s="1" t="s">
        <v>714</v>
      </c>
      <c r="D4" s="1" t="s">
        <v>155</v>
      </c>
      <c r="E4" s="1" t="s">
        <v>715</v>
      </c>
      <c r="F4" s="1" t="s">
        <v>157</v>
      </c>
      <c r="G4" s="1" t="s">
        <v>1018</v>
      </c>
      <c r="H4" s="55">
        <v>0</v>
      </c>
      <c r="I4" s="1" t="s">
        <v>1019</v>
      </c>
      <c r="J4" s="22">
        <v>45</v>
      </c>
      <c r="K4" s="30" t="s">
        <v>70</v>
      </c>
      <c r="M4" s="33" t="s">
        <v>11</v>
      </c>
      <c r="N4" s="30">
        <v>1</v>
      </c>
    </row>
    <row r="5" spans="1:14" s="14" customFormat="1" ht="25.8" x14ac:dyDescent="0.25">
      <c r="A5" s="13">
        <v>3</v>
      </c>
      <c r="B5" s="1" t="s">
        <v>1020</v>
      </c>
      <c r="C5" s="1" t="s">
        <v>1021</v>
      </c>
      <c r="D5" s="1" t="s">
        <v>155</v>
      </c>
      <c r="E5" s="1" t="s">
        <v>1022</v>
      </c>
      <c r="F5" s="1" t="s">
        <v>157</v>
      </c>
      <c r="G5" s="1" t="s">
        <v>1023</v>
      </c>
      <c r="H5" s="55">
        <v>0</v>
      </c>
      <c r="I5" s="1" t="s">
        <v>1024</v>
      </c>
      <c r="J5" s="22">
        <v>45</v>
      </c>
      <c r="K5" s="30" t="s">
        <v>70</v>
      </c>
      <c r="M5" s="33" t="s">
        <v>9</v>
      </c>
      <c r="N5" s="30">
        <v>0</v>
      </c>
    </row>
    <row r="6" spans="1:14" s="14" customFormat="1" ht="25.8" x14ac:dyDescent="0.25">
      <c r="A6" s="13">
        <v>4</v>
      </c>
      <c r="B6" s="1" t="s">
        <v>1025</v>
      </c>
      <c r="C6" s="1" t="s">
        <v>1026</v>
      </c>
      <c r="D6" s="1" t="s">
        <v>155</v>
      </c>
      <c r="E6" s="1" t="s">
        <v>1027</v>
      </c>
      <c r="F6" s="1" t="s">
        <v>157</v>
      </c>
      <c r="G6" s="1" t="s">
        <v>1028</v>
      </c>
      <c r="H6" s="55">
        <v>0</v>
      </c>
      <c r="I6" s="1" t="s">
        <v>1029</v>
      </c>
      <c r="J6" s="22">
        <v>45</v>
      </c>
      <c r="K6" s="30" t="s">
        <v>70</v>
      </c>
      <c r="M6" s="33" t="s">
        <v>15</v>
      </c>
      <c r="N6" s="30">
        <v>0</v>
      </c>
    </row>
    <row r="7" spans="1:14" s="14" customFormat="1" ht="25.8" x14ac:dyDescent="0.25">
      <c r="A7" s="13">
        <v>5</v>
      </c>
      <c r="B7" s="1" t="s">
        <v>1030</v>
      </c>
      <c r="C7" s="1" t="s">
        <v>160</v>
      </c>
      <c r="D7" s="1" t="s">
        <v>155</v>
      </c>
      <c r="E7" s="1" t="s">
        <v>161</v>
      </c>
      <c r="F7" s="1" t="s">
        <v>157</v>
      </c>
      <c r="G7" s="1" t="s">
        <v>1031</v>
      </c>
      <c r="H7" s="55">
        <v>0</v>
      </c>
      <c r="I7" s="1" t="s">
        <v>1032</v>
      </c>
      <c r="J7" s="22">
        <v>45</v>
      </c>
      <c r="K7" s="30" t="s">
        <v>70</v>
      </c>
      <c r="M7" s="33" t="s">
        <v>12</v>
      </c>
      <c r="N7" s="30">
        <v>0</v>
      </c>
    </row>
    <row r="8" spans="1:14" s="14" customFormat="1" ht="25.8" x14ac:dyDescent="0.25">
      <c r="A8" s="13">
        <v>6</v>
      </c>
      <c r="B8" s="1" t="s">
        <v>1033</v>
      </c>
      <c r="C8" s="1" t="s">
        <v>1034</v>
      </c>
      <c r="D8" s="1" t="s">
        <v>155</v>
      </c>
      <c r="E8" s="1" t="s">
        <v>1035</v>
      </c>
      <c r="F8" s="1" t="s">
        <v>157</v>
      </c>
      <c r="G8" s="1" t="s">
        <v>1036</v>
      </c>
      <c r="H8" s="55">
        <v>0</v>
      </c>
      <c r="I8" s="1" t="s">
        <v>1037</v>
      </c>
      <c r="J8" s="22">
        <v>45</v>
      </c>
      <c r="K8" s="30" t="s">
        <v>70</v>
      </c>
      <c r="M8" s="33" t="s">
        <v>51</v>
      </c>
      <c r="N8" s="30">
        <v>0</v>
      </c>
    </row>
    <row r="9" spans="1:14" s="14" customFormat="1" ht="25.8" x14ac:dyDescent="0.25">
      <c r="A9" s="13">
        <v>7</v>
      </c>
      <c r="B9" s="1" t="s">
        <v>1038</v>
      </c>
      <c r="C9" s="1" t="s">
        <v>922</v>
      </c>
      <c r="D9" s="1" t="s">
        <v>155</v>
      </c>
      <c r="E9" s="1" t="s">
        <v>923</v>
      </c>
      <c r="F9" s="1" t="s">
        <v>157</v>
      </c>
      <c r="G9" s="1" t="s">
        <v>1039</v>
      </c>
      <c r="H9" s="55">
        <v>0</v>
      </c>
      <c r="I9" s="1" t="s">
        <v>1040</v>
      </c>
      <c r="J9" s="22">
        <v>45</v>
      </c>
      <c r="K9" s="30" t="s">
        <v>70</v>
      </c>
      <c r="M9" s="33" t="s">
        <v>46</v>
      </c>
      <c r="N9" s="30">
        <v>0</v>
      </c>
    </row>
    <row r="10" spans="1:14" s="14" customFormat="1" ht="25.8" x14ac:dyDescent="0.25">
      <c r="A10" s="13">
        <v>8</v>
      </c>
      <c r="B10" s="1" t="s">
        <v>1041</v>
      </c>
      <c r="C10" s="1" t="s">
        <v>1042</v>
      </c>
      <c r="D10" s="1" t="s">
        <v>155</v>
      </c>
      <c r="E10" s="1" t="s">
        <v>1043</v>
      </c>
      <c r="F10" s="1" t="s">
        <v>157</v>
      </c>
      <c r="G10" s="1" t="s">
        <v>1044</v>
      </c>
      <c r="H10" s="55">
        <v>0</v>
      </c>
      <c r="I10" s="1" t="s">
        <v>1045</v>
      </c>
      <c r="J10" s="22">
        <v>45</v>
      </c>
      <c r="K10" s="30" t="s">
        <v>70</v>
      </c>
      <c r="M10" s="33" t="s">
        <v>45</v>
      </c>
      <c r="N10" s="30">
        <v>0</v>
      </c>
    </row>
    <row r="11" spans="1:14" s="14" customFormat="1" ht="25.8" x14ac:dyDescent="0.25">
      <c r="A11" s="13">
        <v>9</v>
      </c>
      <c r="B11" s="1" t="s">
        <v>1046</v>
      </c>
      <c r="C11" s="1" t="s">
        <v>519</v>
      </c>
      <c r="D11" s="1" t="s">
        <v>155</v>
      </c>
      <c r="E11" s="1" t="s">
        <v>520</v>
      </c>
      <c r="F11" s="1" t="s">
        <v>157</v>
      </c>
      <c r="G11" s="1" t="s">
        <v>1047</v>
      </c>
      <c r="H11" s="55">
        <v>0</v>
      </c>
      <c r="I11" s="1" t="s">
        <v>1048</v>
      </c>
      <c r="J11" s="22">
        <v>45</v>
      </c>
      <c r="K11" s="30" t="s">
        <v>70</v>
      </c>
      <c r="M11" s="33" t="s">
        <v>10</v>
      </c>
      <c r="N11" s="30">
        <v>0</v>
      </c>
    </row>
    <row r="12" spans="1:14" s="14" customFormat="1" ht="25.8" x14ac:dyDescent="0.25">
      <c r="A12" s="13">
        <v>10</v>
      </c>
      <c r="B12" s="1" t="s">
        <v>1049</v>
      </c>
      <c r="C12" s="1" t="s">
        <v>1050</v>
      </c>
      <c r="D12" s="1" t="s">
        <v>155</v>
      </c>
      <c r="E12" s="1" t="s">
        <v>1051</v>
      </c>
      <c r="F12" s="1" t="s">
        <v>157</v>
      </c>
      <c r="G12" s="1" t="s">
        <v>1052</v>
      </c>
      <c r="H12" s="55">
        <v>0</v>
      </c>
      <c r="I12" s="1" t="s">
        <v>1053</v>
      </c>
      <c r="J12" s="22">
        <v>45</v>
      </c>
      <c r="K12" s="30" t="s">
        <v>70</v>
      </c>
      <c r="M12" s="33" t="s">
        <v>13</v>
      </c>
      <c r="N12" s="30">
        <v>0</v>
      </c>
    </row>
    <row r="13" spans="1:14" s="14" customFormat="1" ht="25.8" x14ac:dyDescent="0.25">
      <c r="A13" s="13">
        <v>11</v>
      </c>
      <c r="B13" s="1" t="s">
        <v>1054</v>
      </c>
      <c r="C13" s="1" t="s">
        <v>1055</v>
      </c>
      <c r="D13" s="1" t="s">
        <v>504</v>
      </c>
      <c r="E13" s="1" t="s">
        <v>107</v>
      </c>
      <c r="F13" s="1" t="s">
        <v>102</v>
      </c>
      <c r="G13" s="1" t="s">
        <v>1056</v>
      </c>
      <c r="H13" s="55">
        <v>0</v>
      </c>
      <c r="I13" s="1" t="s">
        <v>1057</v>
      </c>
      <c r="J13" s="22">
        <v>45</v>
      </c>
      <c r="K13" s="30" t="s">
        <v>53</v>
      </c>
      <c r="M13" s="33" t="s">
        <v>52</v>
      </c>
      <c r="N13" s="30">
        <v>0</v>
      </c>
    </row>
    <row r="14" spans="1:14" s="14" customFormat="1" ht="25.8" x14ac:dyDescent="0.25">
      <c r="A14" s="13">
        <v>12</v>
      </c>
      <c r="B14" s="1" t="s">
        <v>1058</v>
      </c>
      <c r="C14" s="1" t="s">
        <v>773</v>
      </c>
      <c r="D14" s="1" t="s">
        <v>155</v>
      </c>
      <c r="E14" s="1" t="s">
        <v>774</v>
      </c>
      <c r="F14" s="1" t="s">
        <v>157</v>
      </c>
      <c r="G14" s="1" t="s">
        <v>1059</v>
      </c>
      <c r="H14" s="55">
        <v>0</v>
      </c>
      <c r="I14" s="1" t="s">
        <v>1060</v>
      </c>
      <c r="J14" s="22">
        <v>45</v>
      </c>
      <c r="K14" s="30" t="s">
        <v>70</v>
      </c>
      <c r="M14" s="33" t="s">
        <v>14</v>
      </c>
      <c r="N14" s="30">
        <v>1</v>
      </c>
    </row>
    <row r="15" spans="1:14" s="14" customFormat="1" ht="25.8" x14ac:dyDescent="0.25">
      <c r="A15" s="13">
        <v>13</v>
      </c>
      <c r="B15" s="1" t="s">
        <v>1061</v>
      </c>
      <c r="C15" s="1" t="s">
        <v>1062</v>
      </c>
      <c r="D15" s="1" t="s">
        <v>155</v>
      </c>
      <c r="E15" s="1" t="s">
        <v>1063</v>
      </c>
      <c r="F15" s="1" t="s">
        <v>157</v>
      </c>
      <c r="G15" s="1" t="s">
        <v>1064</v>
      </c>
      <c r="H15" s="55">
        <v>0</v>
      </c>
      <c r="I15" s="1" t="s">
        <v>1065</v>
      </c>
      <c r="J15" s="22">
        <v>45</v>
      </c>
      <c r="K15" s="30" t="s">
        <v>70</v>
      </c>
      <c r="M15" s="33" t="s">
        <v>53</v>
      </c>
      <c r="N15" s="30">
        <v>2</v>
      </c>
    </row>
    <row r="16" spans="1:14" s="14" customFormat="1" ht="25.8" x14ac:dyDescent="0.25">
      <c r="A16" s="13">
        <v>14</v>
      </c>
      <c r="B16" s="1" t="s">
        <v>1066</v>
      </c>
      <c r="C16" s="1" t="s">
        <v>1067</v>
      </c>
      <c r="D16" s="1" t="s">
        <v>106</v>
      </c>
      <c r="E16" s="1" t="s">
        <v>107</v>
      </c>
      <c r="F16" s="1" t="s">
        <v>102</v>
      </c>
      <c r="G16" s="1" t="s">
        <v>1068</v>
      </c>
      <c r="H16" s="55">
        <v>0</v>
      </c>
      <c r="I16" s="1" t="s">
        <v>1069</v>
      </c>
      <c r="J16" s="22">
        <v>45</v>
      </c>
      <c r="K16" s="30" t="s">
        <v>53</v>
      </c>
      <c r="M16" s="33" t="s">
        <v>54</v>
      </c>
      <c r="N16" s="30">
        <v>0</v>
      </c>
    </row>
    <row r="17" spans="1:14" s="14" customFormat="1" ht="25.8" x14ac:dyDescent="0.25">
      <c r="A17" s="13">
        <v>15</v>
      </c>
      <c r="B17" s="1" t="s">
        <v>1070</v>
      </c>
      <c r="C17" s="1" t="s">
        <v>1071</v>
      </c>
      <c r="D17" s="1" t="s">
        <v>155</v>
      </c>
      <c r="E17" s="1" t="s">
        <v>1072</v>
      </c>
      <c r="F17" s="1" t="s">
        <v>157</v>
      </c>
      <c r="G17" s="1" t="s">
        <v>1073</v>
      </c>
      <c r="H17" s="55">
        <v>0</v>
      </c>
      <c r="I17" s="1" t="s">
        <v>1074</v>
      </c>
      <c r="J17" s="22">
        <v>45</v>
      </c>
      <c r="K17" s="30" t="s">
        <v>70</v>
      </c>
      <c r="M17" s="33" t="s">
        <v>48</v>
      </c>
      <c r="N17" s="30">
        <v>0</v>
      </c>
    </row>
    <row r="18" spans="1:14" s="14" customFormat="1" ht="25.8" x14ac:dyDescent="0.25">
      <c r="A18" s="13">
        <v>16</v>
      </c>
      <c r="B18" s="1" t="s">
        <v>1075</v>
      </c>
      <c r="C18" s="1" t="s">
        <v>1076</v>
      </c>
      <c r="D18" s="1" t="s">
        <v>155</v>
      </c>
      <c r="E18" s="1" t="s">
        <v>1077</v>
      </c>
      <c r="F18" s="1" t="s">
        <v>157</v>
      </c>
      <c r="G18" s="1" t="s">
        <v>1078</v>
      </c>
      <c r="H18" s="55">
        <v>0</v>
      </c>
      <c r="I18" s="1" t="s">
        <v>1079</v>
      </c>
      <c r="J18" s="22">
        <v>45</v>
      </c>
      <c r="K18" s="30" t="s">
        <v>70</v>
      </c>
      <c r="M18" s="33" t="s">
        <v>55</v>
      </c>
      <c r="N18" s="30">
        <v>0</v>
      </c>
    </row>
    <row r="19" spans="1:14" s="14" customFormat="1" ht="25.8" x14ac:dyDescent="0.25">
      <c r="A19" s="13">
        <v>17</v>
      </c>
      <c r="B19" s="1" t="s">
        <v>1080</v>
      </c>
      <c r="C19" s="1" t="s">
        <v>1081</v>
      </c>
      <c r="D19" s="1" t="s">
        <v>155</v>
      </c>
      <c r="E19" s="1" t="s">
        <v>1082</v>
      </c>
      <c r="F19" s="1" t="s">
        <v>157</v>
      </c>
      <c r="G19" s="1" t="s">
        <v>1083</v>
      </c>
      <c r="H19" s="55">
        <v>0</v>
      </c>
      <c r="I19" s="1" t="s">
        <v>1084</v>
      </c>
      <c r="J19" s="22">
        <v>45</v>
      </c>
      <c r="K19" s="30" t="s">
        <v>70</v>
      </c>
      <c r="M19" s="33" t="s">
        <v>18</v>
      </c>
      <c r="N19" s="30">
        <v>0</v>
      </c>
    </row>
    <row r="20" spans="1:14" s="14" customFormat="1" ht="25.8" x14ac:dyDescent="0.25">
      <c r="A20" s="13">
        <v>18</v>
      </c>
      <c r="B20" s="1" t="s">
        <v>1085</v>
      </c>
      <c r="C20" s="1" t="s">
        <v>1086</v>
      </c>
      <c r="D20" s="1" t="s">
        <v>155</v>
      </c>
      <c r="E20" s="1" t="s">
        <v>1087</v>
      </c>
      <c r="F20" s="1" t="s">
        <v>157</v>
      </c>
      <c r="G20" s="1" t="s">
        <v>1088</v>
      </c>
      <c r="H20" s="55">
        <v>0</v>
      </c>
      <c r="I20" s="1" t="s">
        <v>1089</v>
      </c>
      <c r="J20" s="22">
        <v>45</v>
      </c>
      <c r="K20" s="30" t="s">
        <v>70</v>
      </c>
      <c r="M20" s="33" t="s">
        <v>56</v>
      </c>
      <c r="N20" s="30">
        <v>0</v>
      </c>
    </row>
    <row r="21" spans="1:14" s="14" customFormat="1" ht="25.8" x14ac:dyDescent="0.25">
      <c r="A21" s="13">
        <v>19</v>
      </c>
      <c r="B21" s="1" t="s">
        <v>1090</v>
      </c>
      <c r="C21" s="1" t="s">
        <v>1091</v>
      </c>
      <c r="D21" s="1" t="s">
        <v>155</v>
      </c>
      <c r="E21" s="1" t="s">
        <v>1092</v>
      </c>
      <c r="F21" s="1" t="s">
        <v>157</v>
      </c>
      <c r="G21" s="1" t="s">
        <v>1093</v>
      </c>
      <c r="H21" s="55">
        <v>0</v>
      </c>
      <c r="I21" s="1" t="s">
        <v>1094</v>
      </c>
      <c r="J21" s="22">
        <v>45</v>
      </c>
      <c r="K21" s="30" t="s">
        <v>70</v>
      </c>
      <c r="M21" s="33" t="s">
        <v>20</v>
      </c>
      <c r="N21" s="30">
        <v>0</v>
      </c>
    </row>
    <row r="22" spans="1:14" s="14" customFormat="1" ht="25.8" x14ac:dyDescent="0.25">
      <c r="A22" s="13">
        <v>20</v>
      </c>
      <c r="B22" s="1" t="s">
        <v>1095</v>
      </c>
      <c r="C22" s="1" t="s">
        <v>1096</v>
      </c>
      <c r="D22" s="1" t="s">
        <v>155</v>
      </c>
      <c r="E22" s="1" t="s">
        <v>1097</v>
      </c>
      <c r="F22" s="1" t="s">
        <v>157</v>
      </c>
      <c r="G22" s="1" t="s">
        <v>1098</v>
      </c>
      <c r="H22" s="55">
        <v>0</v>
      </c>
      <c r="I22" s="1" t="s">
        <v>1099</v>
      </c>
      <c r="J22" s="22">
        <v>45</v>
      </c>
      <c r="K22" s="30" t="s">
        <v>70</v>
      </c>
      <c r="M22" s="33" t="s">
        <v>57</v>
      </c>
      <c r="N22" s="30">
        <v>0</v>
      </c>
    </row>
    <row r="23" spans="1:14" s="14" customFormat="1" ht="25.8" x14ac:dyDescent="0.25">
      <c r="A23" s="13">
        <v>21</v>
      </c>
      <c r="B23" s="66" t="s">
        <v>1100</v>
      </c>
      <c r="C23" s="66" t="s">
        <v>1101</v>
      </c>
      <c r="D23" s="66" t="s">
        <v>155</v>
      </c>
      <c r="E23" s="66" t="s">
        <v>1102</v>
      </c>
      <c r="F23" s="66" t="s">
        <v>157</v>
      </c>
      <c r="G23" s="1" t="s">
        <v>1103</v>
      </c>
      <c r="H23" s="55">
        <v>0</v>
      </c>
      <c r="I23" s="1" t="s">
        <v>1104</v>
      </c>
      <c r="J23" s="22">
        <v>45</v>
      </c>
      <c r="K23" s="30" t="s">
        <v>70</v>
      </c>
      <c r="M23" s="33" t="s">
        <v>58</v>
      </c>
      <c r="N23" s="30">
        <v>0</v>
      </c>
    </row>
    <row r="24" spans="1:14" s="14" customFormat="1" ht="25.8" x14ac:dyDescent="0.25">
      <c r="A24" s="13">
        <v>22</v>
      </c>
      <c r="B24" s="66" t="s">
        <v>1105</v>
      </c>
      <c r="C24" s="66" t="s">
        <v>1106</v>
      </c>
      <c r="D24" s="66" t="s">
        <v>155</v>
      </c>
      <c r="E24" s="66" t="s">
        <v>1107</v>
      </c>
      <c r="F24" s="66" t="s">
        <v>157</v>
      </c>
      <c r="G24" s="1" t="s">
        <v>1108</v>
      </c>
      <c r="H24" s="55">
        <v>0</v>
      </c>
      <c r="I24" s="1" t="s">
        <v>1109</v>
      </c>
      <c r="J24" s="22">
        <v>45</v>
      </c>
      <c r="K24" s="30" t="s">
        <v>70</v>
      </c>
      <c r="M24" s="33" t="s">
        <v>59</v>
      </c>
      <c r="N24" s="30">
        <v>0</v>
      </c>
    </row>
    <row r="25" spans="1:14" s="14" customFormat="1" ht="25.8" x14ac:dyDescent="0.25">
      <c r="A25" s="13">
        <v>23</v>
      </c>
      <c r="B25" s="66" t="s">
        <v>1110</v>
      </c>
      <c r="C25" s="66" t="s">
        <v>1111</v>
      </c>
      <c r="D25" s="66" t="s">
        <v>155</v>
      </c>
      <c r="E25" s="66" t="s">
        <v>1112</v>
      </c>
      <c r="F25" s="66" t="s">
        <v>157</v>
      </c>
      <c r="G25" s="1" t="s">
        <v>1113</v>
      </c>
      <c r="H25" s="55">
        <v>0</v>
      </c>
      <c r="I25" s="1" t="s">
        <v>1114</v>
      </c>
      <c r="J25" s="22">
        <v>45</v>
      </c>
      <c r="K25" s="30" t="s">
        <v>70</v>
      </c>
      <c r="M25" s="33" t="s">
        <v>60</v>
      </c>
      <c r="N25" s="30">
        <v>0</v>
      </c>
    </row>
    <row r="26" spans="1:14" s="14" customFormat="1" ht="25.8" x14ac:dyDescent="0.25">
      <c r="A26" s="13">
        <v>24</v>
      </c>
      <c r="B26" s="66" t="s">
        <v>1115</v>
      </c>
      <c r="C26" s="66" t="s">
        <v>1116</v>
      </c>
      <c r="D26" s="66" t="s">
        <v>155</v>
      </c>
      <c r="E26" s="66" t="s">
        <v>1117</v>
      </c>
      <c r="F26" s="66" t="s">
        <v>157</v>
      </c>
      <c r="G26" s="1" t="s">
        <v>1118</v>
      </c>
      <c r="H26" s="55">
        <v>0</v>
      </c>
      <c r="I26" s="1" t="s">
        <v>1119</v>
      </c>
      <c r="J26" s="22">
        <v>45</v>
      </c>
      <c r="K26" s="30" t="s">
        <v>70</v>
      </c>
      <c r="M26" s="33" t="s">
        <v>61</v>
      </c>
      <c r="N26" s="30">
        <v>0</v>
      </c>
    </row>
    <row r="27" spans="1:14" s="14" customFormat="1" ht="25.8" x14ac:dyDescent="0.25">
      <c r="A27" s="13">
        <v>25</v>
      </c>
      <c r="B27" s="66" t="s">
        <v>1120</v>
      </c>
      <c r="C27" s="66" t="s">
        <v>1121</v>
      </c>
      <c r="D27" s="66" t="s">
        <v>155</v>
      </c>
      <c r="E27" s="66" t="s">
        <v>1122</v>
      </c>
      <c r="F27" s="66" t="s">
        <v>157</v>
      </c>
      <c r="G27" s="1" t="s">
        <v>1123</v>
      </c>
      <c r="H27" s="55">
        <v>0</v>
      </c>
      <c r="I27" s="1" t="s">
        <v>1124</v>
      </c>
      <c r="J27" s="22">
        <v>45</v>
      </c>
      <c r="K27" s="30" t="s">
        <v>70</v>
      </c>
      <c r="M27" s="33" t="s">
        <v>62</v>
      </c>
      <c r="N27" s="30">
        <v>0</v>
      </c>
    </row>
    <row r="28" spans="1:14" s="14" customFormat="1" ht="25.8" x14ac:dyDescent="0.25">
      <c r="A28" s="13">
        <v>26</v>
      </c>
      <c r="B28" s="66" t="s">
        <v>1125</v>
      </c>
      <c r="C28" s="66" t="s">
        <v>1126</v>
      </c>
      <c r="D28" s="66" t="s">
        <v>504</v>
      </c>
      <c r="E28" s="66" t="s">
        <v>107</v>
      </c>
      <c r="F28" s="66" t="s">
        <v>102</v>
      </c>
      <c r="G28" s="1" t="s">
        <v>1127</v>
      </c>
      <c r="H28" s="55">
        <v>0</v>
      </c>
      <c r="I28" s="1" t="s">
        <v>1128</v>
      </c>
      <c r="J28" s="22">
        <v>45</v>
      </c>
      <c r="K28" s="30" t="s">
        <v>70</v>
      </c>
      <c r="M28" s="33" t="s">
        <v>63</v>
      </c>
      <c r="N28" s="30">
        <v>0</v>
      </c>
    </row>
    <row r="29" spans="1:14" s="14" customFormat="1" ht="25.8" x14ac:dyDescent="0.25">
      <c r="A29" s="13">
        <v>27</v>
      </c>
      <c r="B29" s="66" t="s">
        <v>1129</v>
      </c>
      <c r="C29" s="66" t="s">
        <v>1013</v>
      </c>
      <c r="D29" s="66" t="s">
        <v>155</v>
      </c>
      <c r="E29" s="66" t="s">
        <v>1014</v>
      </c>
      <c r="F29" s="66" t="s">
        <v>157</v>
      </c>
      <c r="G29" s="1" t="s">
        <v>1130</v>
      </c>
      <c r="H29" s="55">
        <v>0</v>
      </c>
      <c r="I29" s="1" t="s">
        <v>1131</v>
      </c>
      <c r="J29" s="22">
        <v>45</v>
      </c>
      <c r="K29" s="30" t="s">
        <v>70</v>
      </c>
      <c r="M29" s="33" t="s">
        <v>64</v>
      </c>
      <c r="N29" s="30">
        <v>0</v>
      </c>
    </row>
    <row r="30" spans="1:14" s="14" customFormat="1" ht="25.8" x14ac:dyDescent="0.25">
      <c r="A30" s="13">
        <v>28</v>
      </c>
      <c r="B30" s="66" t="s">
        <v>1132</v>
      </c>
      <c r="C30" s="66" t="s">
        <v>1133</v>
      </c>
      <c r="D30" s="66" t="s">
        <v>155</v>
      </c>
      <c r="E30" s="66" t="s">
        <v>1134</v>
      </c>
      <c r="F30" s="66" t="s">
        <v>157</v>
      </c>
      <c r="G30" s="1" t="s">
        <v>1135</v>
      </c>
      <c r="H30" s="55">
        <v>0</v>
      </c>
      <c r="I30" s="1" t="s">
        <v>1136</v>
      </c>
      <c r="J30" s="22">
        <v>45</v>
      </c>
      <c r="K30" s="30" t="s">
        <v>70</v>
      </c>
      <c r="M30" s="33" t="s">
        <v>65</v>
      </c>
      <c r="N30" s="30">
        <v>0</v>
      </c>
    </row>
    <row r="31" spans="1:14" s="14" customFormat="1" ht="25.8" x14ac:dyDescent="0.25">
      <c r="A31" s="13">
        <v>29</v>
      </c>
      <c r="B31" s="66" t="s">
        <v>1137</v>
      </c>
      <c r="C31" s="66" t="s">
        <v>1121</v>
      </c>
      <c r="D31" s="66" t="s">
        <v>155</v>
      </c>
      <c r="E31" s="66" t="s">
        <v>1122</v>
      </c>
      <c r="F31" s="66" t="s">
        <v>157</v>
      </c>
      <c r="G31" s="1" t="s">
        <v>1138</v>
      </c>
      <c r="H31" s="55">
        <v>0</v>
      </c>
      <c r="I31" s="1" t="s">
        <v>1139</v>
      </c>
      <c r="J31" s="22">
        <v>45</v>
      </c>
      <c r="K31" s="30" t="s">
        <v>70</v>
      </c>
      <c r="M31" s="33" t="s">
        <v>66</v>
      </c>
      <c r="N31" s="30">
        <v>0</v>
      </c>
    </row>
    <row r="32" spans="1:14" s="14" customFormat="1" ht="25.8" x14ac:dyDescent="0.25">
      <c r="A32" s="13">
        <v>30</v>
      </c>
      <c r="B32" s="66" t="s">
        <v>1140</v>
      </c>
      <c r="C32" s="66" t="s">
        <v>884</v>
      </c>
      <c r="D32" s="66" t="s">
        <v>155</v>
      </c>
      <c r="E32" s="66" t="s">
        <v>885</v>
      </c>
      <c r="F32" s="66" t="s">
        <v>157</v>
      </c>
      <c r="G32" s="1" t="s">
        <v>1141</v>
      </c>
      <c r="H32" s="55">
        <v>0</v>
      </c>
      <c r="I32" s="1" t="s">
        <v>1142</v>
      </c>
      <c r="J32" s="22">
        <v>45</v>
      </c>
      <c r="K32" s="30" t="s">
        <v>70</v>
      </c>
      <c r="M32" s="33" t="s">
        <v>67</v>
      </c>
      <c r="N32" s="30">
        <v>0</v>
      </c>
    </row>
    <row r="33" spans="1:14" s="14" customFormat="1" ht="25.8" x14ac:dyDescent="0.25">
      <c r="A33" s="13">
        <v>34</v>
      </c>
      <c r="B33" s="66" t="s">
        <v>1143</v>
      </c>
      <c r="C33" s="66" t="s">
        <v>1144</v>
      </c>
      <c r="D33" s="66" t="s">
        <v>155</v>
      </c>
      <c r="E33" s="66" t="s">
        <v>1145</v>
      </c>
      <c r="F33" s="66" t="s">
        <v>157</v>
      </c>
      <c r="G33" s="1" t="s">
        <v>1146</v>
      </c>
      <c r="H33" s="55">
        <v>0</v>
      </c>
      <c r="I33" s="1" t="s">
        <v>1147</v>
      </c>
      <c r="J33" s="22">
        <v>45</v>
      </c>
      <c r="K33" s="30" t="s">
        <v>70</v>
      </c>
      <c r="M33" s="33" t="s">
        <v>68</v>
      </c>
      <c r="N33" s="30">
        <v>0</v>
      </c>
    </row>
    <row r="34" spans="1:14" s="14" customFormat="1" ht="25.8" x14ac:dyDescent="0.25">
      <c r="A34" s="13">
        <v>35</v>
      </c>
      <c r="B34" s="66" t="s">
        <v>1148</v>
      </c>
      <c r="C34" s="66" t="s">
        <v>1149</v>
      </c>
      <c r="D34" s="66" t="s">
        <v>155</v>
      </c>
      <c r="E34" s="66" t="s">
        <v>1150</v>
      </c>
      <c r="F34" s="66" t="s">
        <v>157</v>
      </c>
      <c r="G34" s="1" t="s">
        <v>1151</v>
      </c>
      <c r="H34" s="55">
        <v>0</v>
      </c>
      <c r="I34" s="1" t="s">
        <v>1152</v>
      </c>
      <c r="J34" s="22">
        <v>45</v>
      </c>
      <c r="K34" s="30" t="s">
        <v>70</v>
      </c>
      <c r="M34" s="33" t="s">
        <v>69</v>
      </c>
      <c r="N34" s="30">
        <v>0</v>
      </c>
    </row>
    <row r="35" spans="1:14" s="14" customFormat="1" ht="25.8" x14ac:dyDescent="0.25">
      <c r="A35" s="13">
        <v>36</v>
      </c>
      <c r="B35" s="66" t="s">
        <v>1153</v>
      </c>
      <c r="C35" s="66" t="s">
        <v>1154</v>
      </c>
      <c r="D35" s="66" t="s">
        <v>155</v>
      </c>
      <c r="E35" s="66" t="s">
        <v>1155</v>
      </c>
      <c r="F35" s="66" t="s">
        <v>157</v>
      </c>
      <c r="G35" s="1" t="s">
        <v>1156</v>
      </c>
      <c r="H35" s="55">
        <v>0</v>
      </c>
      <c r="I35" s="1" t="s">
        <v>1157</v>
      </c>
      <c r="J35" s="22">
        <v>45</v>
      </c>
      <c r="K35" s="30" t="s">
        <v>70</v>
      </c>
      <c r="M35" s="33" t="s">
        <v>70</v>
      </c>
      <c r="N35" s="30">
        <v>58</v>
      </c>
    </row>
    <row r="36" spans="1:14" s="14" customFormat="1" ht="25.8" x14ac:dyDescent="0.25">
      <c r="A36" s="13">
        <v>37</v>
      </c>
      <c r="B36" s="66" t="s">
        <v>1158</v>
      </c>
      <c r="C36" s="66" t="s">
        <v>1159</v>
      </c>
      <c r="D36" s="66" t="s">
        <v>155</v>
      </c>
      <c r="E36" s="66" t="s">
        <v>1160</v>
      </c>
      <c r="F36" s="66" t="s">
        <v>157</v>
      </c>
      <c r="G36" s="1" t="s">
        <v>1161</v>
      </c>
      <c r="H36" s="55">
        <v>0</v>
      </c>
      <c r="I36" s="1" t="s">
        <v>1162</v>
      </c>
      <c r="J36" s="22">
        <v>45</v>
      </c>
      <c r="K36" s="30" t="s">
        <v>70</v>
      </c>
      <c r="M36" s="33" t="s">
        <v>71</v>
      </c>
      <c r="N36" s="30">
        <v>0</v>
      </c>
    </row>
    <row r="37" spans="1:14" s="14" customFormat="1" ht="25.8" x14ac:dyDescent="0.25">
      <c r="A37" s="13">
        <v>38</v>
      </c>
      <c r="B37" s="66" t="s">
        <v>1163</v>
      </c>
      <c r="C37" s="66" t="s">
        <v>1164</v>
      </c>
      <c r="D37" s="66" t="s">
        <v>155</v>
      </c>
      <c r="E37" s="66" t="s">
        <v>1165</v>
      </c>
      <c r="F37" s="66" t="s">
        <v>157</v>
      </c>
      <c r="G37" s="1" t="s">
        <v>1166</v>
      </c>
      <c r="H37" s="55">
        <v>0</v>
      </c>
      <c r="I37" s="1" t="s">
        <v>1167</v>
      </c>
      <c r="J37" s="22">
        <v>45</v>
      </c>
      <c r="K37" s="30" t="s">
        <v>70</v>
      </c>
      <c r="M37" s="33" t="s">
        <v>72</v>
      </c>
      <c r="N37" s="30">
        <v>0</v>
      </c>
    </row>
    <row r="38" spans="1:14" s="14" customFormat="1" ht="25.8" x14ac:dyDescent="0.25">
      <c r="A38" s="13">
        <v>39</v>
      </c>
      <c r="B38" s="1" t="s">
        <v>1168</v>
      </c>
      <c r="C38" s="1" t="s">
        <v>1169</v>
      </c>
      <c r="D38" s="1" t="s">
        <v>155</v>
      </c>
      <c r="E38" s="1" t="s">
        <v>1170</v>
      </c>
      <c r="F38" s="1" t="s">
        <v>157</v>
      </c>
      <c r="G38" s="1" t="s">
        <v>1171</v>
      </c>
      <c r="H38" s="55">
        <v>0</v>
      </c>
      <c r="I38" s="1" t="s">
        <v>1172</v>
      </c>
      <c r="J38" s="22">
        <v>45</v>
      </c>
      <c r="K38" s="30" t="s">
        <v>70</v>
      </c>
      <c r="M38" s="33" t="s">
        <v>73</v>
      </c>
      <c r="N38" s="30">
        <v>0</v>
      </c>
    </row>
    <row r="39" spans="1:14" s="14" customFormat="1" ht="25.8" x14ac:dyDescent="0.25">
      <c r="A39" s="13">
        <v>40</v>
      </c>
      <c r="B39" s="1" t="s">
        <v>1173</v>
      </c>
      <c r="C39" s="1" t="s">
        <v>247</v>
      </c>
      <c r="D39" s="1" t="s">
        <v>155</v>
      </c>
      <c r="E39" s="1" t="s">
        <v>248</v>
      </c>
      <c r="F39" s="1" t="s">
        <v>157</v>
      </c>
      <c r="G39" s="1" t="s">
        <v>1174</v>
      </c>
      <c r="H39" s="55">
        <v>0</v>
      </c>
      <c r="I39" s="1" t="s">
        <v>1175</v>
      </c>
      <c r="J39" s="22">
        <v>45</v>
      </c>
      <c r="K39" s="30" t="s">
        <v>70</v>
      </c>
      <c r="M39" s="33" t="s">
        <v>74</v>
      </c>
      <c r="N39" s="30">
        <v>0</v>
      </c>
    </row>
    <row r="40" spans="1:14" s="14" customFormat="1" ht="25.8" x14ac:dyDescent="0.25">
      <c r="A40" s="13">
        <v>45</v>
      </c>
      <c r="B40" s="1" t="s">
        <v>1176</v>
      </c>
      <c r="C40" s="1" t="s">
        <v>1116</v>
      </c>
      <c r="D40" s="1" t="s">
        <v>155</v>
      </c>
      <c r="E40" s="1" t="s">
        <v>1117</v>
      </c>
      <c r="F40" s="1" t="s">
        <v>157</v>
      </c>
      <c r="G40" s="1" t="s">
        <v>1177</v>
      </c>
      <c r="H40" s="55">
        <v>0</v>
      </c>
      <c r="I40" s="1" t="s">
        <v>1178</v>
      </c>
      <c r="J40" s="22">
        <v>45</v>
      </c>
      <c r="K40" s="30" t="s">
        <v>70</v>
      </c>
      <c r="M40" s="33" t="s">
        <v>75</v>
      </c>
      <c r="N40" s="30">
        <v>0</v>
      </c>
    </row>
    <row r="41" spans="1:14" s="14" customFormat="1" ht="25.8" x14ac:dyDescent="0.25">
      <c r="A41" s="13">
        <v>46</v>
      </c>
      <c r="B41" s="1" t="s">
        <v>1179</v>
      </c>
      <c r="C41" s="1" t="s">
        <v>1180</v>
      </c>
      <c r="D41" s="1" t="s">
        <v>106</v>
      </c>
      <c r="E41" s="1" t="s">
        <v>107</v>
      </c>
      <c r="F41" s="1" t="s">
        <v>102</v>
      </c>
      <c r="G41" s="1" t="s">
        <v>1181</v>
      </c>
      <c r="H41" s="55">
        <v>0</v>
      </c>
      <c r="I41" s="1" t="s">
        <v>1182</v>
      </c>
      <c r="J41" s="22">
        <v>45</v>
      </c>
      <c r="K41" s="30" t="s">
        <v>21</v>
      </c>
      <c r="M41" s="33" t="s">
        <v>76</v>
      </c>
      <c r="N41" s="30">
        <v>0</v>
      </c>
    </row>
    <row r="42" spans="1:14" s="14" customFormat="1" ht="25.8" x14ac:dyDescent="0.25">
      <c r="A42" s="13">
        <v>47</v>
      </c>
      <c r="B42" s="1" t="s">
        <v>1183</v>
      </c>
      <c r="C42" s="1" t="s">
        <v>1184</v>
      </c>
      <c r="D42" s="1" t="s">
        <v>106</v>
      </c>
      <c r="E42" s="1" t="s">
        <v>1185</v>
      </c>
      <c r="F42" s="1" t="s">
        <v>102</v>
      </c>
      <c r="G42" s="1" t="s">
        <v>1186</v>
      </c>
      <c r="H42" s="55">
        <v>0</v>
      </c>
      <c r="I42" s="1" t="s">
        <v>1187</v>
      </c>
      <c r="J42" s="22">
        <v>45</v>
      </c>
      <c r="K42" s="30" t="s">
        <v>21</v>
      </c>
      <c r="M42" s="33" t="s">
        <v>77</v>
      </c>
      <c r="N42" s="30">
        <v>0</v>
      </c>
    </row>
    <row r="43" spans="1:14" s="14" customFormat="1" ht="25.8" x14ac:dyDescent="0.25">
      <c r="A43" s="13">
        <v>48</v>
      </c>
      <c r="B43" s="1" t="s">
        <v>1188</v>
      </c>
      <c r="C43" s="1" t="s">
        <v>1189</v>
      </c>
      <c r="D43" s="1" t="s">
        <v>155</v>
      </c>
      <c r="E43" s="1" t="s">
        <v>1190</v>
      </c>
      <c r="F43" s="1" t="s">
        <v>157</v>
      </c>
      <c r="G43" s="1" t="s">
        <v>1191</v>
      </c>
      <c r="H43" s="55">
        <v>0</v>
      </c>
      <c r="I43" s="1" t="s">
        <v>1192</v>
      </c>
      <c r="J43" s="22">
        <v>45</v>
      </c>
      <c r="K43" s="30" t="s">
        <v>70</v>
      </c>
      <c r="M43" s="33" t="s">
        <v>21</v>
      </c>
      <c r="N43" s="30">
        <v>2</v>
      </c>
    </row>
    <row r="44" spans="1:14" s="14" customFormat="1" ht="25.8" x14ac:dyDescent="0.25">
      <c r="A44" s="13">
        <v>49</v>
      </c>
      <c r="B44" s="1" t="s">
        <v>1193</v>
      </c>
      <c r="C44" s="1" t="s">
        <v>1194</v>
      </c>
      <c r="D44" s="1" t="s">
        <v>155</v>
      </c>
      <c r="E44" s="1" t="s">
        <v>1195</v>
      </c>
      <c r="F44" s="1" t="s">
        <v>157</v>
      </c>
      <c r="G44" s="1" t="s">
        <v>1196</v>
      </c>
      <c r="H44" s="55">
        <v>0</v>
      </c>
      <c r="I44" s="1" t="s">
        <v>1197</v>
      </c>
      <c r="J44" s="22">
        <v>45</v>
      </c>
      <c r="K44" s="30" t="s">
        <v>70</v>
      </c>
      <c r="M44" s="33" t="s">
        <v>78</v>
      </c>
      <c r="N44" s="30">
        <v>0</v>
      </c>
    </row>
    <row r="45" spans="1:14" s="14" customFormat="1" ht="25.8" x14ac:dyDescent="0.25">
      <c r="A45" s="13">
        <v>50</v>
      </c>
      <c r="B45" s="1" t="s">
        <v>1198</v>
      </c>
      <c r="C45" s="1" t="s">
        <v>553</v>
      </c>
      <c r="D45" s="1" t="s">
        <v>155</v>
      </c>
      <c r="E45" s="1" t="s">
        <v>825</v>
      </c>
      <c r="F45" s="1" t="s">
        <v>157</v>
      </c>
      <c r="G45" s="1" t="s">
        <v>1199</v>
      </c>
      <c r="H45" s="55">
        <v>0</v>
      </c>
      <c r="I45" s="1" t="s">
        <v>1200</v>
      </c>
      <c r="J45" s="22">
        <v>45</v>
      </c>
      <c r="K45" s="30" t="s">
        <v>70</v>
      </c>
      <c r="M45" s="33" t="s">
        <v>79</v>
      </c>
      <c r="N45" s="30">
        <v>0</v>
      </c>
    </row>
    <row r="46" spans="1:14" s="14" customFormat="1" ht="25.8" x14ac:dyDescent="0.25">
      <c r="A46" s="13">
        <v>51</v>
      </c>
      <c r="B46" s="1" t="s">
        <v>1201</v>
      </c>
      <c r="C46" s="1" t="s">
        <v>1202</v>
      </c>
      <c r="D46" s="1" t="s">
        <v>155</v>
      </c>
      <c r="E46" s="1" t="s">
        <v>1203</v>
      </c>
      <c r="F46" s="1" t="s">
        <v>157</v>
      </c>
      <c r="G46" s="1" t="s">
        <v>1199</v>
      </c>
      <c r="H46" s="55">
        <v>0</v>
      </c>
      <c r="I46" s="1" t="s">
        <v>1204</v>
      </c>
      <c r="J46" s="22">
        <v>45</v>
      </c>
      <c r="K46" s="30" t="s">
        <v>70</v>
      </c>
      <c r="M46" s="33" t="s">
        <v>80</v>
      </c>
      <c r="N46" s="30">
        <v>0</v>
      </c>
    </row>
    <row r="47" spans="1:14" s="14" customFormat="1" ht="25.8" x14ac:dyDescent="0.25">
      <c r="A47" s="13">
        <v>52</v>
      </c>
      <c r="B47" s="1" t="s">
        <v>1205</v>
      </c>
      <c r="C47" s="1" t="s">
        <v>553</v>
      </c>
      <c r="D47" s="1" t="s">
        <v>155</v>
      </c>
      <c r="E47" s="1" t="s">
        <v>1206</v>
      </c>
      <c r="F47" s="1" t="s">
        <v>157</v>
      </c>
      <c r="G47" s="1" t="s">
        <v>1207</v>
      </c>
      <c r="H47" s="55">
        <v>0</v>
      </c>
      <c r="I47" s="1" t="s">
        <v>1208</v>
      </c>
      <c r="J47" s="22">
        <v>45</v>
      </c>
      <c r="K47" s="30" t="s">
        <v>70</v>
      </c>
      <c r="M47" s="33" t="s">
        <v>81</v>
      </c>
      <c r="N47" s="30">
        <v>0</v>
      </c>
    </row>
    <row r="48" spans="1:14" s="14" customFormat="1" ht="25.8" x14ac:dyDescent="0.25">
      <c r="A48" s="13">
        <v>53</v>
      </c>
      <c r="B48" s="1" t="s">
        <v>1209</v>
      </c>
      <c r="C48" s="1" t="s">
        <v>176</v>
      </c>
      <c r="D48" s="1" t="s">
        <v>155</v>
      </c>
      <c r="E48" s="1" t="s">
        <v>177</v>
      </c>
      <c r="F48" s="1" t="s">
        <v>157</v>
      </c>
      <c r="G48" s="1" t="s">
        <v>1210</v>
      </c>
      <c r="H48" s="55">
        <v>0</v>
      </c>
      <c r="I48" s="1" t="s">
        <v>1211</v>
      </c>
      <c r="J48" s="22">
        <v>45</v>
      </c>
      <c r="K48" s="30" t="s">
        <v>70</v>
      </c>
      <c r="M48" s="33" t="s">
        <v>86</v>
      </c>
      <c r="N48" s="30">
        <v>0</v>
      </c>
    </row>
    <row r="49" spans="1:14" s="14" customFormat="1" ht="25.8" x14ac:dyDescent="0.25">
      <c r="A49" s="13">
        <v>54</v>
      </c>
      <c r="B49" s="1" t="s">
        <v>1212</v>
      </c>
      <c r="C49" s="1" t="s">
        <v>1106</v>
      </c>
      <c r="D49" s="1" t="s">
        <v>155</v>
      </c>
      <c r="E49" s="1" t="s">
        <v>1107</v>
      </c>
      <c r="F49" s="1" t="s">
        <v>157</v>
      </c>
      <c r="G49" s="1" t="s">
        <v>1213</v>
      </c>
      <c r="H49" s="55">
        <v>0</v>
      </c>
      <c r="I49" s="1" t="s">
        <v>1214</v>
      </c>
      <c r="J49" s="22">
        <v>45</v>
      </c>
      <c r="K49" s="30" t="s">
        <v>70</v>
      </c>
      <c r="M49" s="33" t="s">
        <v>82</v>
      </c>
      <c r="N49" s="30">
        <v>0</v>
      </c>
    </row>
    <row r="50" spans="1:14" s="14" customFormat="1" ht="25.8" x14ac:dyDescent="0.25">
      <c r="A50" s="13">
        <v>55</v>
      </c>
      <c r="B50" s="1" t="s">
        <v>1215</v>
      </c>
      <c r="C50" s="1" t="s">
        <v>571</v>
      </c>
      <c r="D50" s="1" t="s">
        <v>155</v>
      </c>
      <c r="E50" s="1" t="s">
        <v>572</v>
      </c>
      <c r="F50" s="1" t="s">
        <v>157</v>
      </c>
      <c r="G50" s="1" t="s">
        <v>1216</v>
      </c>
      <c r="H50" s="55">
        <v>0</v>
      </c>
      <c r="I50" s="1" t="s">
        <v>1217</v>
      </c>
      <c r="J50" s="22">
        <v>45</v>
      </c>
      <c r="K50" s="30" t="s">
        <v>70</v>
      </c>
      <c r="M50" s="33" t="s">
        <v>85</v>
      </c>
      <c r="N50" s="30">
        <v>0</v>
      </c>
    </row>
    <row r="51" spans="1:14" s="14" customFormat="1" ht="25.8" x14ac:dyDescent="0.25">
      <c r="A51" s="13">
        <v>56</v>
      </c>
      <c r="B51" s="1" t="s">
        <v>1218</v>
      </c>
      <c r="C51" s="1" t="s">
        <v>732</v>
      </c>
      <c r="D51" s="1" t="s">
        <v>155</v>
      </c>
      <c r="E51" s="1" t="s">
        <v>733</v>
      </c>
      <c r="F51" s="1" t="s">
        <v>157</v>
      </c>
      <c r="G51" s="1" t="s">
        <v>1219</v>
      </c>
      <c r="H51" s="55">
        <v>0</v>
      </c>
      <c r="I51" s="1" t="s">
        <v>1220</v>
      </c>
      <c r="J51" s="22">
        <v>45</v>
      </c>
      <c r="K51" s="30" t="s">
        <v>70</v>
      </c>
      <c r="M51" s="33" t="s">
        <v>83</v>
      </c>
      <c r="N51" s="30">
        <v>0</v>
      </c>
    </row>
    <row r="52" spans="1:14" s="14" customFormat="1" ht="25.8" x14ac:dyDescent="0.25">
      <c r="A52" s="13">
        <v>57</v>
      </c>
      <c r="B52" s="1" t="s">
        <v>1221</v>
      </c>
      <c r="C52" s="1" t="s">
        <v>285</v>
      </c>
      <c r="D52" s="1" t="s">
        <v>155</v>
      </c>
      <c r="E52" s="1" t="s">
        <v>286</v>
      </c>
      <c r="F52" s="1" t="s">
        <v>157</v>
      </c>
      <c r="G52" s="1" t="s">
        <v>1222</v>
      </c>
      <c r="H52" s="55">
        <v>0</v>
      </c>
      <c r="I52" s="1" t="s">
        <v>1223</v>
      </c>
      <c r="J52" s="22">
        <v>45</v>
      </c>
      <c r="K52" s="30" t="s">
        <v>70</v>
      </c>
      <c r="M52" s="33" t="s">
        <v>41</v>
      </c>
      <c r="N52" s="30">
        <v>0</v>
      </c>
    </row>
    <row r="53" spans="1:14" s="14" customFormat="1" ht="25.8" x14ac:dyDescent="0.25">
      <c r="A53" s="13">
        <v>58</v>
      </c>
      <c r="B53" s="1" t="s">
        <v>1224</v>
      </c>
      <c r="C53" s="1" t="s">
        <v>695</v>
      </c>
      <c r="D53" s="1" t="s">
        <v>155</v>
      </c>
      <c r="E53" s="1" t="s">
        <v>696</v>
      </c>
      <c r="F53" s="1" t="s">
        <v>157</v>
      </c>
      <c r="G53" s="1" t="s">
        <v>1225</v>
      </c>
      <c r="H53" s="55">
        <v>0</v>
      </c>
      <c r="I53" s="1" t="s">
        <v>1226</v>
      </c>
      <c r="J53" s="22">
        <v>45</v>
      </c>
      <c r="K53" s="30" t="s">
        <v>70</v>
      </c>
      <c r="M53" s="33" t="s">
        <v>84</v>
      </c>
      <c r="N53" s="30">
        <v>0</v>
      </c>
    </row>
    <row r="54" spans="1:14" s="14" customFormat="1" ht="25.8" x14ac:dyDescent="0.25">
      <c r="A54" s="13">
        <v>59</v>
      </c>
      <c r="B54" s="1" t="s">
        <v>1227</v>
      </c>
      <c r="C54" s="1" t="s">
        <v>247</v>
      </c>
      <c r="D54" s="1" t="s">
        <v>155</v>
      </c>
      <c r="E54" s="1" t="s">
        <v>248</v>
      </c>
      <c r="F54" s="1" t="s">
        <v>157</v>
      </c>
      <c r="G54" s="1" t="s">
        <v>1228</v>
      </c>
      <c r="H54" s="55">
        <v>0</v>
      </c>
      <c r="I54" s="1" t="s">
        <v>1229</v>
      </c>
      <c r="J54" s="22">
        <v>45</v>
      </c>
      <c r="K54" s="30" t="s">
        <v>70</v>
      </c>
      <c r="M54" s="33" t="s">
        <v>47</v>
      </c>
      <c r="N54" s="30">
        <v>0</v>
      </c>
    </row>
    <row r="55" spans="1:14" s="14" customFormat="1" ht="25.8" x14ac:dyDescent="0.25">
      <c r="A55" s="13">
        <v>60</v>
      </c>
      <c r="B55" s="1" t="s">
        <v>1230</v>
      </c>
      <c r="C55" s="1" t="s">
        <v>1231</v>
      </c>
      <c r="D55" s="1" t="s">
        <v>155</v>
      </c>
      <c r="E55" s="1" t="s">
        <v>1232</v>
      </c>
      <c r="F55" s="1" t="s">
        <v>157</v>
      </c>
      <c r="G55" s="1" t="s">
        <v>1233</v>
      </c>
      <c r="H55" s="55">
        <v>0</v>
      </c>
      <c r="I55" s="1" t="s">
        <v>1234</v>
      </c>
      <c r="J55" s="22">
        <v>45</v>
      </c>
      <c r="K55" s="30" t="s">
        <v>70</v>
      </c>
      <c r="M55" s="33" t="s">
        <v>87</v>
      </c>
      <c r="N55" s="30">
        <v>0</v>
      </c>
    </row>
    <row r="56" spans="1:14" s="14" customFormat="1" ht="25.8" x14ac:dyDescent="0.25">
      <c r="A56" s="13">
        <v>61</v>
      </c>
      <c r="B56" s="1" t="s">
        <v>1235</v>
      </c>
      <c r="C56" s="1" t="s">
        <v>367</v>
      </c>
      <c r="D56" s="1" t="s">
        <v>155</v>
      </c>
      <c r="E56" s="1" t="s">
        <v>524</v>
      </c>
      <c r="F56" s="1" t="s">
        <v>157</v>
      </c>
      <c r="G56" s="1" t="s">
        <v>1236</v>
      </c>
      <c r="H56" s="55">
        <v>0</v>
      </c>
      <c r="I56" s="1" t="s">
        <v>1237</v>
      </c>
      <c r="J56" s="22">
        <v>45</v>
      </c>
      <c r="K56" s="30" t="s">
        <v>70</v>
      </c>
      <c r="M56" s="33" t="s">
        <v>22</v>
      </c>
      <c r="N56" s="30">
        <v>0</v>
      </c>
    </row>
    <row r="57" spans="1:14" s="14" customFormat="1" ht="25.8" x14ac:dyDescent="0.25">
      <c r="A57" s="13">
        <v>62</v>
      </c>
      <c r="B57" s="1" t="s">
        <v>1238</v>
      </c>
      <c r="C57" s="1" t="s">
        <v>170</v>
      </c>
      <c r="D57" s="1" t="s">
        <v>155</v>
      </c>
      <c r="E57" s="1" t="s">
        <v>171</v>
      </c>
      <c r="F57" s="1" t="s">
        <v>157</v>
      </c>
      <c r="G57" s="1" t="s">
        <v>1239</v>
      </c>
      <c r="H57" s="55">
        <v>0</v>
      </c>
      <c r="I57" s="1" t="s">
        <v>1240</v>
      </c>
      <c r="J57" s="22">
        <v>45</v>
      </c>
      <c r="K57" s="30" t="s">
        <v>70</v>
      </c>
      <c r="M57" s="33"/>
      <c r="N57" s="30"/>
    </row>
    <row r="58" spans="1:14" s="14" customFormat="1" ht="25.8" x14ac:dyDescent="0.25">
      <c r="A58" s="13">
        <v>63</v>
      </c>
      <c r="B58" s="1" t="s">
        <v>1241</v>
      </c>
      <c r="C58" s="1" t="s">
        <v>274</v>
      </c>
      <c r="D58" s="1" t="s">
        <v>155</v>
      </c>
      <c r="E58" s="1" t="s">
        <v>275</v>
      </c>
      <c r="F58" s="1" t="s">
        <v>157</v>
      </c>
      <c r="G58" s="1" t="s">
        <v>1242</v>
      </c>
      <c r="H58" s="55">
        <v>0</v>
      </c>
      <c r="I58" s="1" t="s">
        <v>1243</v>
      </c>
      <c r="J58" s="22">
        <v>45</v>
      </c>
      <c r="K58" s="30" t="s">
        <v>70</v>
      </c>
      <c r="M58" s="33"/>
      <c r="N58" s="30"/>
    </row>
    <row r="59" spans="1:14" s="14" customFormat="1" ht="46.8" x14ac:dyDescent="0.25">
      <c r="A59" s="13">
        <v>64</v>
      </c>
      <c r="B59" s="1" t="s">
        <v>1244</v>
      </c>
      <c r="C59" s="1" t="s">
        <v>1245</v>
      </c>
      <c r="D59" s="1" t="s">
        <v>155</v>
      </c>
      <c r="E59" s="1" t="s">
        <v>1246</v>
      </c>
      <c r="F59" s="1" t="s">
        <v>157</v>
      </c>
      <c r="G59" s="1" t="s">
        <v>1247</v>
      </c>
      <c r="H59" s="55">
        <v>0</v>
      </c>
      <c r="I59" s="1" t="s">
        <v>1248</v>
      </c>
      <c r="J59" s="22">
        <v>45</v>
      </c>
      <c r="K59" s="30" t="s">
        <v>70</v>
      </c>
      <c r="M59" s="33"/>
      <c r="N59" s="30"/>
    </row>
    <row r="60" spans="1:14" s="14" customFormat="1" ht="25.8" x14ac:dyDescent="0.25">
      <c r="A60" s="13">
        <v>65</v>
      </c>
      <c r="B60" s="1" t="s">
        <v>1249</v>
      </c>
      <c r="C60" s="1" t="s">
        <v>173</v>
      </c>
      <c r="D60" s="1" t="s">
        <v>155</v>
      </c>
      <c r="E60" s="1" t="s">
        <v>174</v>
      </c>
      <c r="F60" s="1" t="s">
        <v>157</v>
      </c>
      <c r="G60" s="1" t="s">
        <v>1250</v>
      </c>
      <c r="H60" s="55">
        <v>0</v>
      </c>
      <c r="I60" s="1" t="s">
        <v>1251</v>
      </c>
      <c r="J60" s="22">
        <v>45</v>
      </c>
      <c r="K60" s="30" t="s">
        <v>70</v>
      </c>
      <c r="M60" s="33"/>
      <c r="N60" s="30"/>
    </row>
    <row r="61" spans="1:14" s="14" customFormat="1" ht="25.8" x14ac:dyDescent="0.25">
      <c r="A61" s="13">
        <v>66</v>
      </c>
      <c r="B61" s="1" t="s">
        <v>1252</v>
      </c>
      <c r="C61" s="1" t="s">
        <v>884</v>
      </c>
      <c r="D61" s="1" t="s">
        <v>155</v>
      </c>
      <c r="E61" s="1" t="s">
        <v>885</v>
      </c>
      <c r="F61" s="1" t="s">
        <v>157</v>
      </c>
      <c r="G61" s="1" t="s">
        <v>1253</v>
      </c>
      <c r="H61" s="55">
        <v>0</v>
      </c>
      <c r="I61" s="1" t="s">
        <v>1254</v>
      </c>
      <c r="J61" s="22">
        <v>45</v>
      </c>
      <c r="K61" s="30" t="s">
        <v>70</v>
      </c>
      <c r="M61" s="33"/>
      <c r="N61" s="30"/>
    </row>
    <row r="62" spans="1:14" s="14" customFormat="1" ht="25.8" x14ac:dyDescent="0.25">
      <c r="A62" s="13">
        <v>67</v>
      </c>
      <c r="B62" s="1" t="s">
        <v>1255</v>
      </c>
      <c r="C62" s="1" t="s">
        <v>1256</v>
      </c>
      <c r="D62" s="1" t="s">
        <v>155</v>
      </c>
      <c r="E62" s="1" t="s">
        <v>1257</v>
      </c>
      <c r="F62" s="1" t="s">
        <v>157</v>
      </c>
      <c r="G62" s="1" t="s">
        <v>1258</v>
      </c>
      <c r="H62" s="55">
        <v>0</v>
      </c>
      <c r="I62" s="1" t="s">
        <v>1259</v>
      </c>
      <c r="J62" s="22">
        <v>45</v>
      </c>
      <c r="K62" s="30" t="s">
        <v>70</v>
      </c>
      <c r="M62" s="33"/>
      <c r="N62" s="30"/>
    </row>
    <row r="63" spans="1:14" s="14" customFormat="1" ht="25.8" x14ac:dyDescent="0.25">
      <c r="A63" s="13">
        <v>68</v>
      </c>
      <c r="B63" s="1" t="s">
        <v>1260</v>
      </c>
      <c r="C63" s="1" t="s">
        <v>533</v>
      </c>
      <c r="D63" s="1" t="s">
        <v>106</v>
      </c>
      <c r="E63" s="1" t="s">
        <v>107</v>
      </c>
      <c r="F63" s="1" t="s">
        <v>102</v>
      </c>
      <c r="G63" s="1" t="s">
        <v>1261</v>
      </c>
      <c r="H63" s="55">
        <v>0</v>
      </c>
      <c r="I63" s="1" t="s">
        <v>1262</v>
      </c>
      <c r="J63" s="22">
        <v>45</v>
      </c>
      <c r="K63" s="30" t="s">
        <v>14</v>
      </c>
      <c r="M63" s="33"/>
      <c r="N63" s="30"/>
    </row>
    <row r="64" spans="1:14" s="14" customFormat="1" ht="25.8" x14ac:dyDescent="0.35">
      <c r="A64" s="13">
        <v>69</v>
      </c>
      <c r="B64" s="1" t="s">
        <v>1263</v>
      </c>
      <c r="C64" s="1" t="s">
        <v>1264</v>
      </c>
      <c r="D64" s="1" t="s">
        <v>155</v>
      </c>
      <c r="E64" s="1" t="s">
        <v>1265</v>
      </c>
      <c r="F64" s="1" t="s">
        <v>157</v>
      </c>
      <c r="G64" s="1" t="s">
        <v>1266</v>
      </c>
      <c r="H64" s="55">
        <v>0</v>
      </c>
      <c r="I64" s="1" t="s">
        <v>1267</v>
      </c>
      <c r="J64" s="22">
        <v>45</v>
      </c>
      <c r="K64" s="30" t="s">
        <v>70</v>
      </c>
      <c r="M64" s="5"/>
      <c r="N64" s="3"/>
    </row>
    <row r="65" spans="1:14" s="14" customFormat="1" ht="25.8" x14ac:dyDescent="0.35">
      <c r="A65" s="13">
        <v>70</v>
      </c>
      <c r="B65" s="1" t="s">
        <v>1268</v>
      </c>
      <c r="C65" s="1" t="s">
        <v>1269</v>
      </c>
      <c r="D65" s="1" t="s">
        <v>155</v>
      </c>
      <c r="E65" s="1" t="s">
        <v>1270</v>
      </c>
      <c r="F65" s="1" t="s">
        <v>157</v>
      </c>
      <c r="G65" s="1" t="s">
        <v>1271</v>
      </c>
      <c r="H65" s="55">
        <v>0</v>
      </c>
      <c r="I65" s="1" t="s">
        <v>1272</v>
      </c>
      <c r="J65" s="22">
        <v>45</v>
      </c>
      <c r="K65" s="30" t="s">
        <v>70</v>
      </c>
      <c r="M65" s="5"/>
      <c r="N65" s="3"/>
    </row>
    <row r="66" spans="1:14" s="14" customFormat="1" ht="25.8" x14ac:dyDescent="0.35">
      <c r="A66" s="13">
        <v>71</v>
      </c>
      <c r="B66" s="1" t="s">
        <v>1273</v>
      </c>
      <c r="C66" s="1" t="s">
        <v>1274</v>
      </c>
      <c r="D66" s="1" t="s">
        <v>106</v>
      </c>
      <c r="E66" s="1" t="s">
        <v>107</v>
      </c>
      <c r="F66" s="1" t="s">
        <v>102</v>
      </c>
      <c r="G66" s="1" t="s">
        <v>1275</v>
      </c>
      <c r="H66" s="55">
        <v>0</v>
      </c>
      <c r="I66" s="1" t="s">
        <v>1276</v>
      </c>
      <c r="J66" s="22">
        <v>45</v>
      </c>
      <c r="K66" s="30" t="s">
        <v>11</v>
      </c>
      <c r="M66" s="5"/>
      <c r="N66" s="3"/>
    </row>
    <row r="67" spans="1:14" s="14" customFormat="1" ht="25.8" x14ac:dyDescent="0.35">
      <c r="A67" s="13">
        <v>72</v>
      </c>
      <c r="B67" s="1"/>
      <c r="C67" s="1"/>
      <c r="D67" s="1"/>
      <c r="E67" s="1"/>
      <c r="F67" s="1"/>
      <c r="G67" s="1"/>
      <c r="H67" s="55"/>
      <c r="I67" s="1"/>
      <c r="J67" s="22"/>
      <c r="K67" s="30"/>
      <c r="M67" s="5"/>
      <c r="N67" s="3"/>
    </row>
    <row r="68" spans="1:14" s="14" customFormat="1" ht="25.8" x14ac:dyDescent="0.35">
      <c r="A68" s="13">
        <v>73</v>
      </c>
      <c r="B68" s="1"/>
      <c r="C68" s="1"/>
      <c r="D68" s="1"/>
      <c r="E68" s="1"/>
      <c r="F68" s="1"/>
      <c r="G68" s="1"/>
      <c r="H68" s="55"/>
      <c r="I68" s="1"/>
      <c r="J68" s="22"/>
      <c r="K68" s="30"/>
      <c r="M68" s="5"/>
      <c r="N68" s="3"/>
    </row>
    <row r="69" spans="1:14" s="14" customFormat="1" ht="25.8" x14ac:dyDescent="0.35">
      <c r="A69" s="13">
        <v>74</v>
      </c>
      <c r="B69" s="1"/>
      <c r="C69" s="1"/>
      <c r="D69" s="1"/>
      <c r="E69" s="1"/>
      <c r="F69" s="1"/>
      <c r="G69" s="1"/>
      <c r="H69" s="55"/>
      <c r="I69" s="1"/>
      <c r="J69" s="22"/>
      <c r="K69" s="30"/>
      <c r="M69" s="5"/>
      <c r="N69" s="3"/>
    </row>
    <row r="70" spans="1:14" s="14" customFormat="1" ht="25.8" x14ac:dyDescent="0.35">
      <c r="A70" s="13">
        <v>75</v>
      </c>
      <c r="B70" s="1"/>
      <c r="C70" s="1"/>
      <c r="D70" s="1"/>
      <c r="E70" s="1"/>
      <c r="F70" s="1"/>
      <c r="G70" s="1"/>
      <c r="H70" s="55"/>
      <c r="I70" s="1"/>
      <c r="J70" s="22"/>
      <c r="K70" s="30"/>
      <c r="M70" s="5"/>
      <c r="N70" s="3"/>
    </row>
    <row r="71" spans="1:14" s="14" customFormat="1" ht="25.8" x14ac:dyDescent="0.35">
      <c r="A71" s="13">
        <v>76</v>
      </c>
      <c r="B71" s="1"/>
      <c r="C71" s="1"/>
      <c r="D71" s="1"/>
      <c r="E71" s="1"/>
      <c r="F71" s="1"/>
      <c r="G71" s="1"/>
      <c r="H71" s="55"/>
      <c r="I71" s="1"/>
      <c r="J71" s="22"/>
      <c r="K71" s="30"/>
      <c r="M71" s="5"/>
      <c r="N71" s="3"/>
    </row>
    <row r="72" spans="1:14" s="14" customFormat="1" ht="25.8" x14ac:dyDescent="0.35">
      <c r="A72" s="13">
        <v>77</v>
      </c>
      <c r="B72" s="1"/>
      <c r="C72" s="1"/>
      <c r="D72" s="1"/>
      <c r="E72" s="1"/>
      <c r="F72" s="1"/>
      <c r="G72" s="1"/>
      <c r="H72" s="55"/>
      <c r="I72" s="1"/>
      <c r="J72" s="22"/>
      <c r="K72" s="30"/>
      <c r="M72" s="5"/>
      <c r="N72" s="3"/>
    </row>
    <row r="73" spans="1:14" s="14" customFormat="1" ht="25.8" x14ac:dyDescent="0.35">
      <c r="A73" s="13">
        <v>78</v>
      </c>
      <c r="B73" s="1"/>
      <c r="C73" s="1"/>
      <c r="D73" s="1"/>
      <c r="E73" s="1"/>
      <c r="F73" s="1"/>
      <c r="G73" s="1"/>
      <c r="H73" s="55"/>
      <c r="I73" s="1"/>
      <c r="J73" s="22"/>
      <c r="K73" s="30"/>
      <c r="M73" s="5"/>
      <c r="N73" s="3"/>
    </row>
    <row r="74" spans="1:14" s="14" customFormat="1" ht="25.8" x14ac:dyDescent="0.35">
      <c r="A74" s="13">
        <v>79</v>
      </c>
      <c r="B74" s="1"/>
      <c r="C74" s="1"/>
      <c r="D74" s="1"/>
      <c r="E74" s="1"/>
      <c r="F74" s="1"/>
      <c r="G74" s="1"/>
      <c r="H74" s="55"/>
      <c r="I74" s="1"/>
      <c r="J74" s="22"/>
      <c r="K74" s="30"/>
      <c r="M74" s="5"/>
      <c r="N74" s="3"/>
    </row>
    <row r="75" spans="1:14" s="14" customFormat="1" ht="25.8" x14ac:dyDescent="0.35">
      <c r="A75" s="13">
        <v>80</v>
      </c>
      <c r="B75" s="1"/>
      <c r="C75" s="1"/>
      <c r="D75" s="1"/>
      <c r="E75" s="1"/>
      <c r="F75" s="1"/>
      <c r="G75" s="1"/>
      <c r="H75" s="55"/>
      <c r="I75" s="1"/>
      <c r="J75" s="22"/>
      <c r="K75" s="30"/>
      <c r="M75" s="5"/>
      <c r="N75" s="3"/>
    </row>
    <row r="76" spans="1:14" s="14" customFormat="1" ht="25.8" x14ac:dyDescent="0.35">
      <c r="A76" s="13">
        <v>81</v>
      </c>
      <c r="B76" s="1"/>
      <c r="C76" s="1"/>
      <c r="D76" s="1"/>
      <c r="E76" s="1"/>
      <c r="F76" s="1"/>
      <c r="G76" s="1"/>
      <c r="H76" s="55"/>
      <c r="I76" s="1"/>
      <c r="J76" s="22"/>
      <c r="K76" s="30"/>
      <c r="M76" s="5"/>
      <c r="N76" s="3"/>
    </row>
    <row r="77" spans="1:14" s="14" customFormat="1" ht="25.8" x14ac:dyDescent="0.35">
      <c r="A77" s="13">
        <v>82</v>
      </c>
      <c r="B77" s="1"/>
      <c r="C77" s="1"/>
      <c r="D77" s="1"/>
      <c r="E77" s="1"/>
      <c r="F77" s="1"/>
      <c r="G77" s="1"/>
      <c r="H77" s="55"/>
      <c r="I77" s="1"/>
      <c r="J77" s="22"/>
      <c r="K77" s="30"/>
      <c r="M77" s="5"/>
      <c r="N77" s="3"/>
    </row>
    <row r="78" spans="1:14" s="14" customFormat="1" ht="25.8" x14ac:dyDescent="0.35">
      <c r="A78" s="13">
        <v>83</v>
      </c>
      <c r="B78" s="1"/>
      <c r="C78" s="1"/>
      <c r="D78" s="1"/>
      <c r="E78" s="1"/>
      <c r="F78" s="1"/>
      <c r="G78" s="1"/>
      <c r="H78" s="55"/>
      <c r="I78" s="1"/>
      <c r="J78" s="22"/>
      <c r="K78" s="30"/>
      <c r="M78" s="5"/>
      <c r="N78" s="3"/>
    </row>
    <row r="79" spans="1:14" s="14" customFormat="1" ht="25.8" x14ac:dyDescent="0.35">
      <c r="A79" s="13">
        <v>86</v>
      </c>
      <c r="B79" s="1"/>
      <c r="C79" s="1"/>
      <c r="D79" s="1"/>
      <c r="E79" s="1"/>
      <c r="F79" s="1"/>
      <c r="G79" s="1"/>
      <c r="H79" s="55"/>
      <c r="I79" s="1"/>
      <c r="J79" s="22"/>
      <c r="K79" s="30"/>
      <c r="M79" s="5"/>
      <c r="N79" s="3"/>
    </row>
    <row r="80" spans="1:14" s="14" customFormat="1" ht="25.8" x14ac:dyDescent="0.35">
      <c r="A80" s="13">
        <v>87</v>
      </c>
      <c r="B80" s="1"/>
      <c r="C80" s="1"/>
      <c r="D80" s="1"/>
      <c r="E80" s="1"/>
      <c r="F80" s="1"/>
      <c r="G80" s="1"/>
      <c r="H80" s="55"/>
      <c r="I80" s="1"/>
      <c r="J80" s="22"/>
      <c r="K80" s="30"/>
      <c r="M80" s="5"/>
      <c r="N80" s="3"/>
    </row>
    <row r="81" spans="1:14" s="14" customFormat="1" ht="25.8" x14ac:dyDescent="0.35">
      <c r="A81" s="13">
        <v>88</v>
      </c>
      <c r="B81" s="1"/>
      <c r="C81" s="1"/>
      <c r="D81" s="1"/>
      <c r="E81" s="1"/>
      <c r="F81" s="1"/>
      <c r="G81" s="1"/>
      <c r="H81" s="55"/>
      <c r="I81" s="1"/>
      <c r="J81" s="22"/>
      <c r="K81" s="30"/>
      <c r="M81" s="5"/>
      <c r="N81" s="3"/>
    </row>
    <row r="82" spans="1:14" s="14" customFormat="1" ht="25.8" x14ac:dyDescent="0.35">
      <c r="A82" s="13">
        <v>89</v>
      </c>
      <c r="B82" s="1"/>
      <c r="C82" s="1"/>
      <c r="D82" s="1"/>
      <c r="E82" s="1"/>
      <c r="F82" s="1"/>
      <c r="G82" s="1"/>
      <c r="H82" s="55"/>
      <c r="I82" s="1"/>
      <c r="J82" s="22"/>
      <c r="K82" s="30"/>
      <c r="M82" s="5"/>
      <c r="N82" s="3"/>
    </row>
    <row r="83" spans="1:14" s="14" customFormat="1" ht="25.8" x14ac:dyDescent="0.35">
      <c r="A83" s="13">
        <v>90</v>
      </c>
      <c r="B83" s="1"/>
      <c r="C83" s="1"/>
      <c r="D83" s="1"/>
      <c r="E83" s="1"/>
      <c r="F83" s="1"/>
      <c r="G83" s="1"/>
      <c r="H83" s="55"/>
      <c r="I83" s="1"/>
      <c r="J83" s="22"/>
      <c r="K83" s="30"/>
      <c r="M83" s="5"/>
      <c r="N83" s="3"/>
    </row>
    <row r="84" spans="1:14" s="14" customFormat="1" ht="25.8" x14ac:dyDescent="0.35">
      <c r="A84" s="13">
        <v>91</v>
      </c>
      <c r="B84" s="1"/>
      <c r="C84" s="1"/>
      <c r="D84" s="1"/>
      <c r="E84" s="1"/>
      <c r="F84" s="1"/>
      <c r="G84" s="1"/>
      <c r="H84" s="55"/>
      <c r="I84" s="1"/>
      <c r="J84" s="22"/>
      <c r="K84" s="30"/>
      <c r="M84" s="5"/>
      <c r="N84" s="3"/>
    </row>
    <row r="85" spans="1:14" s="14" customFormat="1" ht="25.8" x14ac:dyDescent="0.35">
      <c r="A85" s="13">
        <v>92</v>
      </c>
      <c r="B85" s="1"/>
      <c r="C85" s="1"/>
      <c r="D85" s="1"/>
      <c r="E85" s="1"/>
      <c r="F85" s="1"/>
      <c r="G85" s="1"/>
      <c r="H85" s="55"/>
      <c r="I85" s="1"/>
      <c r="J85" s="22"/>
      <c r="K85" s="30"/>
      <c r="M85" s="5"/>
      <c r="N85" s="3"/>
    </row>
    <row r="86" spans="1:14" s="14" customFormat="1" ht="25.8" x14ac:dyDescent="0.35">
      <c r="A86" s="13">
        <v>93</v>
      </c>
      <c r="B86" s="1"/>
      <c r="C86" s="1"/>
      <c r="D86" s="1"/>
      <c r="E86" s="1"/>
      <c r="F86" s="1"/>
      <c r="G86" s="1"/>
      <c r="H86" s="55"/>
      <c r="I86" s="1"/>
      <c r="J86" s="22"/>
      <c r="K86" s="30"/>
      <c r="M86" s="5"/>
      <c r="N86" s="3"/>
    </row>
    <row r="87" spans="1:14" s="14" customFormat="1" ht="25.8" x14ac:dyDescent="0.35">
      <c r="A87" s="13">
        <v>94</v>
      </c>
      <c r="B87" s="1"/>
      <c r="C87" s="1"/>
      <c r="D87" s="1"/>
      <c r="E87" s="1"/>
      <c r="F87" s="1"/>
      <c r="G87" s="1"/>
      <c r="H87" s="55"/>
      <c r="I87" s="1"/>
      <c r="J87" s="22"/>
      <c r="K87" s="30"/>
      <c r="M87" s="5"/>
      <c r="N87" s="3"/>
    </row>
    <row r="88" spans="1:14" s="14" customFormat="1" ht="25.8" x14ac:dyDescent="0.35">
      <c r="A88" s="13">
        <v>95</v>
      </c>
      <c r="B88" s="1"/>
      <c r="C88" s="1"/>
      <c r="D88" s="1"/>
      <c r="E88" s="1"/>
      <c r="F88" s="1"/>
      <c r="G88" s="1"/>
      <c r="H88" s="55"/>
      <c r="I88" s="1"/>
      <c r="J88" s="22"/>
      <c r="K88" s="30"/>
      <c r="M88" s="5"/>
      <c r="N88" s="3"/>
    </row>
    <row r="89" spans="1:14" s="14" customFormat="1" ht="25.8" x14ac:dyDescent="0.35">
      <c r="A89" s="13">
        <v>96</v>
      </c>
      <c r="B89" s="1"/>
      <c r="C89" s="1"/>
      <c r="D89" s="1"/>
      <c r="E89" s="1"/>
      <c r="F89" s="1"/>
      <c r="G89" s="1"/>
      <c r="H89" s="55"/>
      <c r="I89" s="1"/>
      <c r="J89" s="22"/>
      <c r="K89" s="30"/>
      <c r="M89" s="5"/>
      <c r="N89" s="3"/>
    </row>
    <row r="90" spans="1:14" s="14" customFormat="1" ht="25.8" x14ac:dyDescent="0.35">
      <c r="A90" s="13">
        <v>97</v>
      </c>
      <c r="B90" s="1"/>
      <c r="C90" s="1"/>
      <c r="D90" s="1"/>
      <c r="E90" s="1"/>
      <c r="F90" s="1"/>
      <c r="G90" s="1"/>
      <c r="H90" s="55"/>
      <c r="I90" s="1"/>
      <c r="J90" s="22"/>
      <c r="K90" s="30"/>
      <c r="M90" s="5"/>
      <c r="N90" s="3"/>
    </row>
    <row r="91" spans="1:14" s="14" customFormat="1" ht="25.8" x14ac:dyDescent="0.35">
      <c r="A91" s="13">
        <v>98</v>
      </c>
      <c r="B91" s="1"/>
      <c r="C91" s="1"/>
      <c r="D91" s="1"/>
      <c r="E91" s="1"/>
      <c r="F91" s="1"/>
      <c r="G91" s="1"/>
      <c r="H91" s="55"/>
      <c r="I91" s="1"/>
      <c r="J91" s="22"/>
      <c r="K91" s="30"/>
      <c r="M91" s="5"/>
      <c r="N91" s="3"/>
    </row>
    <row r="92" spans="1:14" s="14" customFormat="1" ht="25.8" x14ac:dyDescent="0.35">
      <c r="A92" s="13">
        <v>99</v>
      </c>
      <c r="B92" s="1"/>
      <c r="C92" s="1"/>
      <c r="D92" s="1"/>
      <c r="E92" s="1"/>
      <c r="F92" s="1"/>
      <c r="G92" s="1"/>
      <c r="H92" s="55"/>
      <c r="I92" s="1"/>
      <c r="J92" s="22"/>
      <c r="K92" s="30"/>
      <c r="M92" s="5"/>
      <c r="N92" s="3"/>
    </row>
    <row r="93" spans="1:14" s="14" customFormat="1" ht="25.8" x14ac:dyDescent="0.35">
      <c r="A93" s="13">
        <v>100</v>
      </c>
      <c r="B93" s="1"/>
      <c r="C93" s="1"/>
      <c r="D93" s="1"/>
      <c r="E93" s="1"/>
      <c r="F93" s="1"/>
      <c r="G93" s="1"/>
      <c r="H93" s="55"/>
      <c r="I93" s="1"/>
      <c r="J93" s="22"/>
      <c r="K93" s="30"/>
      <c r="M93" s="5"/>
      <c r="N93" s="3"/>
    </row>
    <row r="94" spans="1:14" s="14" customFormat="1" ht="25.8" x14ac:dyDescent="0.35">
      <c r="A94" s="13">
        <v>101</v>
      </c>
      <c r="B94" s="1"/>
      <c r="C94" s="1"/>
      <c r="D94" s="1"/>
      <c r="E94" s="1"/>
      <c r="F94" s="1"/>
      <c r="G94" s="1"/>
      <c r="H94" s="55"/>
      <c r="I94" s="1"/>
      <c r="J94" s="22"/>
      <c r="K94" s="30"/>
      <c r="M94" s="5"/>
      <c r="N94" s="3"/>
    </row>
    <row r="95" spans="1:14" s="14" customFormat="1" ht="23.4" x14ac:dyDescent="0.35">
      <c r="A95" s="13">
        <v>102</v>
      </c>
      <c r="B95" s="11"/>
      <c r="C95" s="11"/>
      <c r="D95" s="11"/>
      <c r="E95" s="11"/>
      <c r="F95" s="11"/>
      <c r="G95" s="11"/>
      <c r="H95" s="11"/>
      <c r="I95" s="11"/>
      <c r="J95" s="67"/>
      <c r="K95" s="12"/>
      <c r="M95" s="5"/>
      <c r="N95" s="3"/>
    </row>
    <row r="96" spans="1:14" s="14" customFormat="1" ht="20.399999999999999" x14ac:dyDescent="0.35">
      <c r="A96" s="12"/>
      <c r="B96" s="11"/>
      <c r="C96" s="11"/>
      <c r="D96" s="11"/>
      <c r="E96" s="11"/>
      <c r="F96" s="11"/>
      <c r="G96" s="11"/>
      <c r="H96" s="11"/>
      <c r="I96" s="11"/>
      <c r="J96" s="67"/>
      <c r="K96" s="12"/>
      <c r="M96" s="5"/>
      <c r="N96" s="3"/>
    </row>
    <row r="97" spans="1:14" s="14" customFormat="1" ht="20.399999999999999" x14ac:dyDescent="0.35">
      <c r="A97" s="12"/>
      <c r="B97" s="11"/>
      <c r="C97" s="11"/>
      <c r="D97" s="11"/>
      <c r="E97" s="11"/>
      <c r="F97" s="11"/>
      <c r="G97" s="11"/>
      <c r="H97" s="11"/>
      <c r="I97" s="11"/>
      <c r="J97" s="67"/>
      <c r="K97" s="12"/>
      <c r="M97" s="5"/>
      <c r="N97" s="3"/>
    </row>
    <row r="98" spans="1:14" s="14" customFormat="1" ht="20.399999999999999" x14ac:dyDescent="0.35">
      <c r="A98" s="12"/>
      <c r="B98" s="11"/>
      <c r="C98" s="11"/>
      <c r="D98" s="11"/>
      <c r="E98" s="11"/>
      <c r="F98" s="11"/>
      <c r="G98" s="11"/>
      <c r="H98" s="11"/>
      <c r="I98" s="11"/>
      <c r="J98" s="67"/>
      <c r="K98" s="12"/>
      <c r="M98" s="5"/>
      <c r="N98" s="3"/>
    </row>
    <row r="99" spans="1:14" s="14" customFormat="1" ht="20.399999999999999" x14ac:dyDescent="0.35">
      <c r="A99" s="12"/>
      <c r="B99" s="11"/>
      <c r="C99" s="11"/>
      <c r="D99" s="11"/>
      <c r="E99" s="11"/>
      <c r="F99" s="11"/>
      <c r="G99" s="11"/>
      <c r="H99" s="11"/>
      <c r="I99" s="11"/>
      <c r="J99" s="67"/>
      <c r="K99" s="12"/>
      <c r="M99" s="5"/>
      <c r="N99" s="3"/>
    </row>
    <row r="100" spans="1:14" s="14" customFormat="1" ht="20.399999999999999" x14ac:dyDescent="0.25">
      <c r="A100" s="12"/>
      <c r="B100" s="11"/>
      <c r="C100" s="11"/>
      <c r="D100" s="11"/>
      <c r="E100" s="11"/>
      <c r="F100" s="11"/>
      <c r="G100" s="11"/>
      <c r="H100" s="11"/>
      <c r="I100" s="11"/>
      <c r="J100" s="67"/>
      <c r="K100" s="12"/>
      <c r="M100" s="5"/>
      <c r="N100"/>
    </row>
    <row r="101" spans="1:14" s="14" customFormat="1" ht="20.399999999999999" x14ac:dyDescent="0.25">
      <c r="A101" s="12"/>
      <c r="B101" s="11"/>
      <c r="C101" s="11"/>
      <c r="D101" s="11"/>
      <c r="E101" s="11"/>
      <c r="F101" s="11"/>
      <c r="G101" s="11"/>
      <c r="H101" s="11"/>
      <c r="I101" s="11"/>
      <c r="J101" s="67"/>
      <c r="K101" s="12"/>
      <c r="M101" s="5"/>
      <c r="N101"/>
    </row>
    <row r="102" spans="1:14" s="14" customFormat="1" ht="20.399999999999999" x14ac:dyDescent="0.25">
      <c r="A102" s="12"/>
      <c r="B102" s="11"/>
      <c r="C102" s="11"/>
      <c r="D102" s="11"/>
      <c r="E102" s="11"/>
      <c r="F102" s="11"/>
      <c r="G102" s="11"/>
      <c r="H102" s="11"/>
      <c r="I102" s="11"/>
      <c r="J102" s="67"/>
      <c r="K102" s="12"/>
      <c r="M102" s="5"/>
      <c r="N102"/>
    </row>
    <row r="103" spans="1:14" s="14" customFormat="1" ht="20.399999999999999" x14ac:dyDescent="0.25">
      <c r="A103" s="12"/>
      <c r="B103" s="11"/>
      <c r="C103" s="11"/>
      <c r="D103" s="11"/>
      <c r="E103" s="11"/>
      <c r="F103" s="11"/>
      <c r="G103" s="11"/>
      <c r="H103" s="11"/>
      <c r="I103" s="11"/>
      <c r="J103" s="67"/>
      <c r="K103" s="12"/>
      <c r="M103" s="5"/>
      <c r="N103"/>
    </row>
    <row r="104" spans="1:14" s="14" customFormat="1" ht="20.399999999999999" x14ac:dyDescent="0.25">
      <c r="A104" s="12"/>
      <c r="B104" s="11"/>
      <c r="C104" s="11"/>
      <c r="D104" s="11"/>
      <c r="E104" s="11"/>
      <c r="F104" s="11"/>
      <c r="G104" s="11"/>
      <c r="H104" s="11"/>
      <c r="I104" s="11"/>
      <c r="J104" s="67"/>
      <c r="K104" s="12"/>
      <c r="M104" s="5"/>
      <c r="N104"/>
    </row>
  </sheetData>
  <autoFilter ref="A2:N104" xr:uid="{C05F9277-E941-4F8C-B88B-7443D998D414}">
    <sortState xmlns:xlrd2="http://schemas.microsoft.com/office/spreadsheetml/2017/richdata2" ref="A3:N96">
      <sortCondition ref="G2"/>
    </sortState>
  </autoFilter>
  <conditionalFormatting sqref="J1:J1048576">
    <cfRule type="containsText" dxfId="21" priority="7" operator="containsText" text="ไม่พบ">
      <formula>NOT(ISERROR(SEARCH("ไม่พบ",J1)))</formula>
    </cfRule>
  </conditionalFormatting>
  <conditionalFormatting sqref="K28 K44">
    <cfRule type="containsText" dxfId="20" priority="6" operator="containsText" text="ไม่พบ">
      <formula>NOT(ISERROR(SEARCH("ไม่พบ",K28)))</formula>
    </cfRule>
  </conditionalFormatting>
  <conditionalFormatting sqref="M1 M64:M99 M105:M1048576">
    <cfRule type="duplicateValues" dxfId="19" priority="4"/>
    <cfRule type="duplicateValues" dxfId="18" priority="5"/>
  </conditionalFormatting>
  <conditionalFormatting sqref="M2">
    <cfRule type="duplicateValues" dxfId="17" priority="3"/>
  </conditionalFormatting>
  <conditionalFormatting sqref="N2">
    <cfRule type="duplicateValues" dxfId="16" priority="1"/>
    <cfRule type="duplicateValues" dxfId="15" priority="2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B737-8A04-4AF6-8270-560A53514CF3}">
  <sheetPr>
    <tabColor rgb="FF00B0F0"/>
  </sheetPr>
  <dimension ref="A1:I77"/>
  <sheetViews>
    <sheetView zoomScale="70" zoomScaleNormal="70" workbookViewId="0">
      <pane xSplit="4" ySplit="2" topLeftCell="E3" activePane="bottomRight" state="frozen"/>
      <selection activeCell="K69" sqref="K69"/>
      <selection pane="topRight" activeCell="K69" sqref="K69"/>
      <selection pane="bottomLeft" activeCell="K69" sqref="K69"/>
      <selection pane="bottomRight" activeCell="K69" sqref="K69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1010</v>
      </c>
    </row>
    <row r="2" spans="1:9" ht="28.8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/>
      <c r="C3" s="1"/>
      <c r="D3" s="1"/>
      <c r="E3" s="1"/>
      <c r="F3" s="1"/>
      <c r="G3" s="1"/>
      <c r="H3" s="55"/>
      <c r="I3" s="2"/>
    </row>
    <row r="4" spans="1:9" s="14" customFormat="1" ht="23.4" x14ac:dyDescent="0.25">
      <c r="A4" s="13">
        <v>2</v>
      </c>
      <c r="B4" s="1"/>
      <c r="C4" s="1"/>
      <c r="D4" s="1"/>
      <c r="E4" s="1"/>
      <c r="F4" s="1"/>
      <c r="G4" s="1"/>
      <c r="H4" s="55"/>
      <c r="I4" s="2"/>
    </row>
    <row r="5" spans="1:9" s="14" customFormat="1" ht="23.4" x14ac:dyDescent="0.25">
      <c r="A5" s="13">
        <v>3</v>
      </c>
      <c r="B5" s="1"/>
      <c r="C5" s="1"/>
      <c r="D5" s="1"/>
      <c r="E5" s="1"/>
      <c r="F5" s="1"/>
      <c r="G5" s="1"/>
      <c r="H5" s="55"/>
      <c r="I5" s="2"/>
    </row>
    <row r="6" spans="1:9" s="14" customFormat="1" ht="23.4" x14ac:dyDescent="0.25">
      <c r="A6" s="13">
        <v>4</v>
      </c>
      <c r="B6" s="1"/>
      <c r="C6" s="1"/>
      <c r="D6" s="1"/>
      <c r="E6" s="1"/>
      <c r="F6" s="1"/>
      <c r="G6" s="1"/>
      <c r="H6" s="55"/>
      <c r="I6" s="2"/>
    </row>
    <row r="7" spans="1:9" s="14" customFormat="1" ht="23.4" x14ac:dyDescent="0.25">
      <c r="A7" s="13">
        <v>5</v>
      </c>
      <c r="B7" s="1"/>
      <c r="C7" s="1"/>
      <c r="D7" s="1"/>
      <c r="E7" s="1"/>
      <c r="F7" s="1"/>
      <c r="G7" s="1"/>
      <c r="H7" s="55"/>
      <c r="I7" s="2"/>
    </row>
    <row r="8" spans="1:9" s="14" customFormat="1" ht="23.4" x14ac:dyDescent="0.25">
      <c r="A8" s="13">
        <v>6</v>
      </c>
      <c r="B8" s="1"/>
      <c r="C8" s="1"/>
      <c r="D8" s="1"/>
      <c r="E8" s="1"/>
      <c r="F8" s="1"/>
      <c r="G8" s="1"/>
      <c r="H8" s="55"/>
      <c r="I8" s="2"/>
    </row>
    <row r="9" spans="1:9" s="14" customFormat="1" ht="23.4" x14ac:dyDescent="0.25">
      <c r="A9" s="13">
        <v>7</v>
      </c>
      <c r="B9" s="1"/>
      <c r="C9" s="1"/>
      <c r="D9" s="1"/>
      <c r="E9" s="1"/>
      <c r="F9" s="1"/>
      <c r="G9" s="1"/>
      <c r="H9" s="55"/>
      <c r="I9" s="2"/>
    </row>
    <row r="10" spans="1:9" s="14" customFormat="1" ht="23.4" x14ac:dyDescent="0.25">
      <c r="A10" s="13">
        <v>8</v>
      </c>
      <c r="B10" s="1"/>
      <c r="C10" s="1"/>
      <c r="D10" s="1"/>
      <c r="E10" s="1"/>
      <c r="F10" s="1"/>
      <c r="G10" s="1"/>
      <c r="H10" s="55"/>
      <c r="I10" s="2"/>
    </row>
    <row r="11" spans="1:9" s="14" customFormat="1" ht="23.4" x14ac:dyDescent="0.25">
      <c r="A11" s="13">
        <v>9</v>
      </c>
      <c r="B11" s="1"/>
      <c r="C11" s="1"/>
      <c r="D11" s="1"/>
      <c r="E11" s="1"/>
      <c r="F11" s="1"/>
      <c r="G11" s="1"/>
      <c r="H11" s="55"/>
      <c r="I11" s="2"/>
    </row>
    <row r="12" spans="1:9" s="14" customFormat="1" ht="23.4" x14ac:dyDescent="0.25">
      <c r="A12" s="13">
        <v>10</v>
      </c>
      <c r="B12" s="1"/>
      <c r="C12" s="1"/>
      <c r="D12" s="1"/>
      <c r="E12" s="1"/>
      <c r="F12" s="1"/>
      <c r="G12" s="1"/>
      <c r="H12" s="55"/>
      <c r="I12" s="2"/>
    </row>
    <row r="13" spans="1:9" s="14" customFormat="1" ht="23.4" x14ac:dyDescent="0.25">
      <c r="A13" s="13">
        <v>11</v>
      </c>
      <c r="B13" s="1"/>
      <c r="C13" s="1"/>
      <c r="D13" s="1"/>
      <c r="E13" s="1"/>
      <c r="F13" s="1"/>
      <c r="G13" s="1"/>
      <c r="H13" s="55"/>
      <c r="I13" s="2"/>
    </row>
    <row r="14" spans="1:9" s="14" customFormat="1" ht="23.4" x14ac:dyDescent="0.25">
      <c r="A14" s="13">
        <v>12</v>
      </c>
      <c r="B14" s="1"/>
      <c r="C14" s="1"/>
      <c r="D14" s="1"/>
      <c r="E14" s="1"/>
      <c r="F14" s="1"/>
      <c r="G14" s="1"/>
      <c r="H14" s="55"/>
      <c r="I14" s="2"/>
    </row>
    <row r="15" spans="1:9" s="14" customFormat="1" ht="23.4" x14ac:dyDescent="0.25">
      <c r="A15" s="13">
        <v>13</v>
      </c>
      <c r="B15" s="1"/>
      <c r="C15" s="1"/>
      <c r="D15" s="1"/>
      <c r="E15" s="1"/>
      <c r="F15" s="1"/>
      <c r="G15" s="1"/>
      <c r="H15" s="55"/>
      <c r="I15" s="2"/>
    </row>
    <row r="16" spans="1:9" s="14" customFormat="1" ht="23.4" x14ac:dyDescent="0.25">
      <c r="A16" s="13">
        <v>14</v>
      </c>
      <c r="B16" s="1"/>
      <c r="C16" s="1"/>
      <c r="D16" s="1"/>
      <c r="E16" s="1"/>
      <c r="F16" s="1"/>
      <c r="G16" s="1"/>
      <c r="H16" s="55"/>
      <c r="I16" s="2"/>
    </row>
    <row r="17" spans="1:9" s="14" customFormat="1" ht="23.4" x14ac:dyDescent="0.25">
      <c r="A17" s="13">
        <v>15</v>
      </c>
      <c r="B17" s="1"/>
      <c r="C17" s="1"/>
      <c r="D17" s="1"/>
      <c r="E17" s="1"/>
      <c r="F17" s="1"/>
      <c r="G17" s="1"/>
      <c r="H17" s="55"/>
      <c r="I17" s="2"/>
    </row>
    <row r="18" spans="1:9" s="14" customFormat="1" ht="23.4" x14ac:dyDescent="0.25">
      <c r="A18" s="13">
        <v>16</v>
      </c>
      <c r="B18" s="1"/>
      <c r="C18" s="1"/>
      <c r="D18" s="1"/>
      <c r="E18" s="1"/>
      <c r="F18" s="1"/>
      <c r="G18" s="1"/>
      <c r="H18" s="55"/>
      <c r="I18" s="2"/>
    </row>
    <row r="19" spans="1:9" s="14" customFormat="1" ht="23.4" x14ac:dyDescent="0.25">
      <c r="A19" s="13">
        <v>17</v>
      </c>
      <c r="B19" s="1"/>
      <c r="C19" s="1"/>
      <c r="D19" s="1"/>
      <c r="E19" s="1"/>
      <c r="F19" s="1"/>
      <c r="G19" s="1"/>
      <c r="H19" s="55"/>
      <c r="I19" s="2"/>
    </row>
    <row r="20" spans="1:9" s="14" customFormat="1" ht="23.4" x14ac:dyDescent="0.25">
      <c r="A20" s="13">
        <v>18</v>
      </c>
      <c r="B20" s="1"/>
      <c r="C20" s="1"/>
      <c r="D20" s="1"/>
      <c r="E20" s="1"/>
      <c r="F20" s="1"/>
      <c r="G20" s="1"/>
      <c r="H20" s="55"/>
      <c r="I20" s="2"/>
    </row>
    <row r="21" spans="1:9" s="14" customFormat="1" ht="23.4" x14ac:dyDescent="0.25">
      <c r="A21" s="13">
        <v>19</v>
      </c>
      <c r="B21" s="1"/>
      <c r="C21" s="1"/>
      <c r="D21" s="1"/>
      <c r="E21" s="1"/>
      <c r="F21" s="1"/>
      <c r="G21" s="1"/>
      <c r="H21" s="55"/>
      <c r="I21" s="2"/>
    </row>
    <row r="22" spans="1:9" s="14" customFormat="1" ht="23.4" x14ac:dyDescent="0.25">
      <c r="A22" s="13">
        <v>20</v>
      </c>
      <c r="B22" s="1"/>
      <c r="C22" s="1"/>
      <c r="D22" s="1"/>
      <c r="E22" s="1"/>
      <c r="F22" s="1"/>
      <c r="G22" s="1"/>
      <c r="H22" s="55"/>
      <c r="I22" s="2"/>
    </row>
    <row r="23" spans="1:9" s="14" customFormat="1" ht="23.4" x14ac:dyDescent="0.25">
      <c r="A23" s="13">
        <v>21</v>
      </c>
      <c r="B23" s="1"/>
      <c r="C23" s="1"/>
      <c r="D23" s="1"/>
      <c r="E23" s="1"/>
      <c r="F23" s="1"/>
      <c r="G23" s="1"/>
      <c r="H23" s="55"/>
      <c r="I23" s="2"/>
    </row>
    <row r="24" spans="1:9" s="14" customFormat="1" ht="23.4" x14ac:dyDescent="0.25">
      <c r="A24" s="13">
        <v>22</v>
      </c>
      <c r="B24" s="1"/>
      <c r="C24" s="1"/>
      <c r="D24" s="1"/>
      <c r="E24" s="1"/>
      <c r="F24" s="1"/>
      <c r="G24" s="1"/>
      <c r="H24" s="55"/>
      <c r="I24" s="2"/>
    </row>
    <row r="25" spans="1:9" s="14" customFormat="1" ht="23.4" x14ac:dyDescent="0.25">
      <c r="A25" s="13">
        <v>23</v>
      </c>
      <c r="B25" s="1"/>
      <c r="C25" s="1"/>
      <c r="D25" s="1"/>
      <c r="E25" s="1"/>
      <c r="F25" s="1"/>
      <c r="G25" s="1"/>
      <c r="H25" s="55"/>
      <c r="I25" s="2"/>
    </row>
    <row r="26" spans="1:9" s="14" customFormat="1" ht="23.4" x14ac:dyDescent="0.25">
      <c r="A26" s="13">
        <v>24</v>
      </c>
      <c r="B26" s="4"/>
      <c r="C26" s="4"/>
      <c r="D26" s="4"/>
      <c r="E26" s="4"/>
      <c r="F26" s="4"/>
      <c r="G26" s="4"/>
      <c r="H26" s="4"/>
      <c r="I26" s="2"/>
    </row>
    <row r="27" spans="1:9" s="14" customFormat="1" ht="23.4" x14ac:dyDescent="0.25">
      <c r="A27" s="13">
        <v>25</v>
      </c>
      <c r="B27" s="4"/>
      <c r="C27" s="4"/>
      <c r="D27" s="4"/>
      <c r="E27" s="4"/>
      <c r="F27" s="4"/>
      <c r="G27" s="4"/>
      <c r="H27" s="4"/>
      <c r="I27" s="2"/>
    </row>
    <row r="28" spans="1:9" s="14" customFormat="1" ht="23.4" x14ac:dyDescent="0.25">
      <c r="A28" s="13">
        <v>26</v>
      </c>
      <c r="B28" s="4"/>
      <c r="C28" s="4"/>
      <c r="D28" s="4"/>
      <c r="E28" s="4"/>
      <c r="F28" s="4"/>
      <c r="G28" s="4"/>
      <c r="H28" s="4"/>
      <c r="I28" s="2"/>
    </row>
    <row r="29" spans="1:9" s="14" customFormat="1" ht="23.4" x14ac:dyDescent="0.25">
      <c r="A29" s="13">
        <v>27</v>
      </c>
      <c r="B29" s="4"/>
      <c r="C29" s="4"/>
      <c r="D29" s="4"/>
      <c r="E29" s="4"/>
      <c r="F29" s="4"/>
      <c r="G29" s="4"/>
      <c r="H29" s="4"/>
      <c r="I29" s="2"/>
    </row>
    <row r="30" spans="1:9" s="14" customFormat="1" ht="23.4" x14ac:dyDescent="0.25">
      <c r="A30" s="13">
        <v>28</v>
      </c>
      <c r="B30" s="4"/>
      <c r="C30" s="4"/>
      <c r="D30" s="4"/>
      <c r="E30" s="4"/>
      <c r="F30" s="4"/>
      <c r="G30" s="4"/>
      <c r="H30" s="4"/>
      <c r="I30" s="2"/>
    </row>
    <row r="31" spans="1:9" s="14" customFormat="1" ht="23.4" x14ac:dyDescent="0.25">
      <c r="A31" s="13">
        <v>29</v>
      </c>
      <c r="B31" s="4"/>
      <c r="C31" s="4"/>
      <c r="D31" s="4"/>
      <c r="E31" s="4"/>
      <c r="F31" s="4"/>
      <c r="G31" s="4"/>
      <c r="H31" s="4"/>
      <c r="I31" s="2"/>
    </row>
    <row r="32" spans="1:9" s="14" customFormat="1" ht="23.4" x14ac:dyDescent="0.25">
      <c r="A32" s="13">
        <v>30</v>
      </c>
      <c r="B32" s="4"/>
      <c r="C32" s="4"/>
      <c r="D32" s="4"/>
      <c r="E32" s="4"/>
      <c r="F32" s="4"/>
      <c r="G32" s="4"/>
      <c r="H32" s="4"/>
      <c r="I32" s="2"/>
    </row>
    <row r="33" spans="1:9" s="14" customFormat="1" ht="23.4" x14ac:dyDescent="0.25">
      <c r="A33" s="13">
        <v>31</v>
      </c>
      <c r="B33" s="4"/>
      <c r="C33" s="4"/>
      <c r="D33" s="4"/>
      <c r="E33" s="4"/>
      <c r="F33" s="4"/>
      <c r="G33" s="4"/>
      <c r="H33" s="4"/>
      <c r="I33" s="2"/>
    </row>
    <row r="34" spans="1:9" s="14" customFormat="1" ht="23.4" x14ac:dyDescent="0.25">
      <c r="A34" s="61">
        <v>32</v>
      </c>
      <c r="B34" s="62"/>
      <c r="C34" s="62"/>
      <c r="D34" s="62"/>
      <c r="E34" s="62"/>
      <c r="F34" s="62"/>
      <c r="G34" s="62"/>
      <c r="H34" s="63"/>
      <c r="I34" s="63"/>
    </row>
    <row r="35" spans="1:9" s="14" customFormat="1" ht="23.4" x14ac:dyDescent="0.25">
      <c r="A35" s="65"/>
      <c r="B35" s="60"/>
      <c r="C35" s="60"/>
      <c r="D35" s="60"/>
      <c r="E35" s="60"/>
      <c r="F35" s="60"/>
      <c r="G35" s="60"/>
      <c r="H35" s="60"/>
      <c r="I35" s="59"/>
    </row>
    <row r="36" spans="1:9" s="14" customFormat="1" ht="23.4" x14ac:dyDescent="0.25">
      <c r="A36" s="65"/>
      <c r="B36" s="60"/>
      <c r="C36" s="60"/>
      <c r="D36" s="60"/>
      <c r="E36" s="60"/>
      <c r="F36" s="60"/>
      <c r="G36" s="60"/>
      <c r="H36" s="60"/>
      <c r="I36" s="59"/>
    </row>
    <row r="37" spans="1:9" s="14" customFormat="1" ht="23.4" x14ac:dyDescent="0.25">
      <c r="A37" s="65"/>
      <c r="B37" s="60"/>
      <c r="C37" s="60"/>
      <c r="D37" s="60"/>
      <c r="E37" s="60"/>
      <c r="F37" s="60"/>
      <c r="G37" s="60"/>
      <c r="H37" s="60"/>
      <c r="I37" s="59"/>
    </row>
    <row r="38" spans="1:9" s="14" customFormat="1" ht="23.4" x14ac:dyDescent="0.25">
      <c r="A38" s="65"/>
      <c r="B38" s="60"/>
      <c r="C38" s="60"/>
      <c r="D38" s="60"/>
      <c r="E38" s="60"/>
      <c r="F38" s="60"/>
      <c r="G38" s="60"/>
      <c r="H38" s="60"/>
      <c r="I38" s="59"/>
    </row>
    <row r="39" spans="1:9" s="14" customFormat="1" ht="23.4" x14ac:dyDescent="0.25">
      <c r="A39" s="65"/>
      <c r="B39" s="60"/>
      <c r="C39" s="60"/>
      <c r="D39" s="60"/>
      <c r="E39" s="60"/>
      <c r="F39" s="60"/>
      <c r="G39" s="60"/>
      <c r="H39" s="60"/>
      <c r="I39" s="59"/>
    </row>
    <row r="40" spans="1:9" s="14" customFormat="1" ht="23.4" x14ac:dyDescent="0.25">
      <c r="A40" s="65"/>
      <c r="B40" s="60"/>
      <c r="C40" s="60"/>
      <c r="D40" s="60"/>
      <c r="E40" s="60"/>
      <c r="F40" s="60"/>
      <c r="G40" s="60"/>
      <c r="H40" s="60"/>
      <c r="I40" s="59"/>
    </row>
    <row r="41" spans="1:9" s="14" customFormat="1" ht="23.4" x14ac:dyDescent="0.25">
      <c r="A41" s="65"/>
      <c r="B41" s="60"/>
      <c r="C41" s="60"/>
      <c r="D41" s="60"/>
      <c r="E41" s="60"/>
      <c r="F41" s="60"/>
      <c r="G41" s="60"/>
      <c r="H41" s="60"/>
      <c r="I41" s="59"/>
    </row>
    <row r="42" spans="1:9" s="14" customFormat="1" ht="23.4" x14ac:dyDescent="0.25">
      <c r="A42" s="65"/>
      <c r="B42" s="60"/>
      <c r="C42" s="60"/>
      <c r="D42" s="60"/>
      <c r="E42" s="60"/>
      <c r="F42" s="60"/>
      <c r="G42" s="60"/>
      <c r="H42" s="60"/>
      <c r="I42" s="59"/>
    </row>
    <row r="43" spans="1:9" s="14" customFormat="1" ht="23.4" x14ac:dyDescent="0.25">
      <c r="A43" s="65"/>
      <c r="B43" s="60"/>
      <c r="C43" s="60"/>
      <c r="D43" s="60"/>
      <c r="E43" s="60"/>
      <c r="F43" s="60"/>
      <c r="G43" s="60"/>
      <c r="H43" s="60"/>
      <c r="I43" s="59"/>
    </row>
    <row r="44" spans="1:9" s="14" customFormat="1" ht="23.4" x14ac:dyDescent="0.25">
      <c r="A44" s="65"/>
      <c r="B44" s="60"/>
      <c r="C44" s="60"/>
      <c r="D44" s="60"/>
      <c r="E44" s="60"/>
      <c r="F44" s="60"/>
      <c r="G44" s="60"/>
      <c r="H44" s="60"/>
      <c r="I44" s="59"/>
    </row>
    <row r="45" spans="1:9" s="14" customFormat="1" ht="23.4" x14ac:dyDescent="0.25">
      <c r="A45" s="65"/>
      <c r="B45" s="60"/>
      <c r="C45" s="60"/>
      <c r="D45" s="60"/>
      <c r="E45" s="60"/>
      <c r="F45" s="60"/>
      <c r="G45" s="60"/>
      <c r="H45" s="60"/>
      <c r="I45" s="59"/>
    </row>
    <row r="46" spans="1:9" s="14" customFormat="1" ht="23.4" x14ac:dyDescent="0.25">
      <c r="A46" s="65"/>
      <c r="B46" s="60"/>
      <c r="C46" s="60"/>
      <c r="D46" s="60"/>
      <c r="E46" s="60"/>
      <c r="F46" s="60"/>
      <c r="G46" s="60"/>
      <c r="H46" s="60"/>
      <c r="I46" s="59"/>
    </row>
    <row r="47" spans="1:9" s="14" customFormat="1" ht="23.4" x14ac:dyDescent="0.25">
      <c r="A47" s="65"/>
      <c r="B47" s="60"/>
      <c r="C47" s="60"/>
      <c r="D47" s="60"/>
      <c r="E47" s="60"/>
      <c r="F47" s="60"/>
      <c r="G47" s="60"/>
      <c r="H47" s="60"/>
      <c r="I47" s="59"/>
    </row>
    <row r="48" spans="1:9" s="14" customFormat="1" ht="23.4" x14ac:dyDescent="0.25">
      <c r="A48" s="65"/>
      <c r="B48" s="60"/>
      <c r="C48" s="60"/>
      <c r="D48" s="60"/>
      <c r="E48" s="60"/>
      <c r="F48" s="60"/>
      <c r="G48" s="60"/>
      <c r="H48" s="60"/>
      <c r="I48" s="59"/>
    </row>
    <row r="49" spans="1:9" s="14" customFormat="1" ht="23.4" x14ac:dyDescent="0.25">
      <c r="A49" s="65"/>
      <c r="B49" s="60"/>
      <c r="C49" s="60"/>
      <c r="D49" s="60"/>
      <c r="E49" s="60"/>
      <c r="F49" s="60"/>
      <c r="G49" s="60"/>
      <c r="H49" s="60"/>
      <c r="I49" s="59"/>
    </row>
    <row r="50" spans="1:9" s="14" customFormat="1" ht="23.4" x14ac:dyDescent="0.25">
      <c r="A50" s="65"/>
      <c r="B50" s="60"/>
      <c r="C50" s="60"/>
      <c r="D50" s="60"/>
      <c r="E50" s="60"/>
      <c r="F50" s="60"/>
      <c r="G50" s="60"/>
      <c r="H50" s="60"/>
      <c r="I50" s="59"/>
    </row>
    <row r="51" spans="1:9" s="14" customFormat="1" ht="23.4" x14ac:dyDescent="0.25">
      <c r="A51" s="65"/>
      <c r="B51" s="60"/>
      <c r="C51" s="60"/>
      <c r="D51" s="60"/>
      <c r="E51" s="60"/>
      <c r="F51" s="60"/>
      <c r="G51" s="60"/>
      <c r="H51" s="60"/>
      <c r="I51" s="59"/>
    </row>
    <row r="52" spans="1:9" s="14" customFormat="1" ht="23.4" x14ac:dyDescent="0.25">
      <c r="A52" s="65"/>
      <c r="B52" s="60"/>
      <c r="C52" s="60"/>
      <c r="D52" s="60"/>
      <c r="E52" s="60"/>
      <c r="F52" s="60"/>
      <c r="G52" s="60"/>
      <c r="H52" s="60"/>
      <c r="I52" s="59"/>
    </row>
    <row r="53" spans="1:9" s="14" customFormat="1" ht="23.4" x14ac:dyDescent="0.25">
      <c r="A53" s="65"/>
      <c r="B53" s="60"/>
      <c r="C53" s="60"/>
      <c r="D53" s="60"/>
      <c r="E53" s="60"/>
      <c r="F53" s="60"/>
      <c r="G53" s="60"/>
      <c r="H53" s="60"/>
      <c r="I53" s="59"/>
    </row>
    <row r="54" spans="1:9" s="14" customFormat="1" ht="23.4" x14ac:dyDescent="0.25">
      <c r="A54" s="65"/>
      <c r="B54" s="60"/>
      <c r="C54" s="60"/>
      <c r="D54" s="60"/>
      <c r="E54" s="60"/>
      <c r="F54" s="60"/>
      <c r="G54" s="60"/>
      <c r="H54" s="60"/>
      <c r="I54" s="59"/>
    </row>
    <row r="55" spans="1:9" s="14" customFormat="1" ht="23.4" x14ac:dyDescent="0.25">
      <c r="A55" s="65"/>
      <c r="B55" s="60"/>
      <c r="C55" s="60"/>
      <c r="D55" s="60"/>
      <c r="E55" s="60"/>
      <c r="F55" s="60"/>
      <c r="G55" s="60"/>
      <c r="H55" s="60"/>
      <c r="I55" s="59"/>
    </row>
    <row r="56" spans="1:9" s="14" customFormat="1" ht="23.4" x14ac:dyDescent="0.25">
      <c r="A56" s="65"/>
      <c r="B56" s="60"/>
      <c r="C56" s="60"/>
      <c r="D56" s="60"/>
      <c r="E56" s="60"/>
      <c r="F56" s="60"/>
      <c r="G56" s="60"/>
      <c r="H56" s="60"/>
      <c r="I56" s="59"/>
    </row>
    <row r="57" spans="1:9" s="14" customFormat="1" ht="23.4" x14ac:dyDescent="0.25">
      <c r="A57" s="65"/>
      <c r="B57" s="60"/>
      <c r="C57" s="60"/>
      <c r="D57" s="60"/>
      <c r="E57" s="60"/>
      <c r="F57" s="60"/>
      <c r="G57" s="60"/>
      <c r="H57" s="60"/>
      <c r="I57" s="59"/>
    </row>
    <row r="58" spans="1:9" s="14" customFormat="1" ht="23.4" x14ac:dyDescent="0.25">
      <c r="A58" s="65"/>
      <c r="B58" s="60"/>
      <c r="C58" s="60"/>
      <c r="D58" s="60"/>
      <c r="E58" s="60"/>
      <c r="F58" s="60"/>
      <c r="G58" s="60"/>
      <c r="H58" s="60"/>
      <c r="I58" s="59"/>
    </row>
    <row r="59" spans="1:9" s="14" customFormat="1" ht="23.4" x14ac:dyDescent="0.25">
      <c r="A59" s="65"/>
      <c r="B59" s="60"/>
      <c r="C59" s="60"/>
      <c r="D59" s="60"/>
      <c r="E59" s="60"/>
      <c r="F59" s="60"/>
      <c r="G59" s="60"/>
      <c r="H59" s="60"/>
      <c r="I59" s="59"/>
    </row>
    <row r="60" spans="1:9" s="14" customFormat="1" ht="23.4" x14ac:dyDescent="0.25">
      <c r="A60" s="65"/>
      <c r="B60" s="60"/>
      <c r="C60" s="60"/>
      <c r="D60" s="60"/>
      <c r="E60" s="60"/>
      <c r="F60" s="60"/>
      <c r="G60" s="60"/>
      <c r="H60" s="60"/>
      <c r="I60" s="59"/>
    </row>
    <row r="61" spans="1:9" s="14" customFormat="1" ht="23.4" x14ac:dyDescent="0.25">
      <c r="A61" s="65"/>
      <c r="B61" s="60"/>
      <c r="C61" s="60"/>
      <c r="D61" s="60"/>
      <c r="E61" s="60"/>
      <c r="F61" s="60"/>
      <c r="G61" s="60"/>
      <c r="H61" s="60"/>
      <c r="I61" s="59"/>
    </row>
    <row r="62" spans="1:9" s="14" customFormat="1" ht="23.4" x14ac:dyDescent="0.25">
      <c r="A62" s="65"/>
      <c r="B62" s="60"/>
      <c r="C62" s="60"/>
      <c r="D62" s="60"/>
      <c r="E62" s="60"/>
      <c r="F62" s="60"/>
      <c r="G62" s="60"/>
      <c r="H62" s="60"/>
      <c r="I62" s="59"/>
    </row>
    <row r="63" spans="1:9" s="14" customFormat="1" ht="23.4" x14ac:dyDescent="0.25">
      <c r="A63" s="65"/>
      <c r="B63" s="60"/>
      <c r="C63" s="60"/>
      <c r="D63" s="60"/>
      <c r="E63" s="60"/>
      <c r="F63" s="60"/>
      <c r="G63" s="60"/>
      <c r="H63" s="60"/>
      <c r="I63" s="59"/>
    </row>
    <row r="64" spans="1:9" s="14" customFormat="1" ht="23.4" x14ac:dyDescent="0.25">
      <c r="A64" s="65"/>
      <c r="B64" s="60"/>
      <c r="C64" s="60"/>
      <c r="D64" s="60"/>
      <c r="E64" s="60"/>
      <c r="F64" s="60"/>
      <c r="G64" s="60"/>
      <c r="H64" s="60"/>
      <c r="I64" s="59"/>
    </row>
    <row r="65" spans="1:9" s="14" customFormat="1" ht="23.4" x14ac:dyDescent="0.25">
      <c r="A65" s="65"/>
      <c r="B65" s="60"/>
      <c r="C65" s="60"/>
      <c r="D65" s="60"/>
      <c r="E65" s="60"/>
      <c r="F65" s="60"/>
      <c r="G65" s="60"/>
      <c r="H65" s="60"/>
      <c r="I65" s="59"/>
    </row>
    <row r="66" spans="1:9" s="14" customFormat="1" ht="23.4" x14ac:dyDescent="0.25">
      <c r="A66" s="65"/>
      <c r="B66" s="60"/>
      <c r="C66" s="60"/>
      <c r="D66" s="60"/>
      <c r="E66" s="60"/>
      <c r="F66" s="60"/>
      <c r="G66" s="60"/>
      <c r="H66" s="60"/>
      <c r="I66" s="59"/>
    </row>
    <row r="67" spans="1:9" s="14" customFormat="1" ht="23.4" x14ac:dyDescent="0.25">
      <c r="A67" s="65"/>
      <c r="B67" s="60"/>
      <c r="C67" s="60"/>
      <c r="D67" s="60"/>
      <c r="E67" s="60"/>
      <c r="F67" s="60"/>
      <c r="G67" s="60"/>
      <c r="H67" s="60"/>
      <c r="I67" s="59"/>
    </row>
    <row r="68" spans="1:9" s="14" customFormat="1" ht="23.4" x14ac:dyDescent="0.25">
      <c r="A68" s="65"/>
      <c r="B68" s="60"/>
      <c r="C68" s="60"/>
      <c r="D68" s="60"/>
      <c r="E68" s="60"/>
      <c r="F68" s="60"/>
      <c r="G68" s="60"/>
      <c r="H68" s="60"/>
      <c r="I68" s="59"/>
    </row>
    <row r="69" spans="1:9" s="14" customFormat="1" ht="23.4" x14ac:dyDescent="0.25">
      <c r="A69" s="65"/>
      <c r="B69" s="60"/>
      <c r="C69" s="60"/>
      <c r="D69" s="60"/>
      <c r="E69" s="60"/>
      <c r="F69" s="60"/>
      <c r="G69" s="60"/>
      <c r="H69" s="60"/>
      <c r="I69" s="59"/>
    </row>
    <row r="70" spans="1:9" s="14" customFormat="1" ht="23.4" x14ac:dyDescent="0.25">
      <c r="A70" s="65"/>
      <c r="B70" s="60"/>
      <c r="C70" s="60"/>
      <c r="D70" s="60"/>
      <c r="E70" s="60"/>
      <c r="F70" s="60"/>
      <c r="G70" s="60"/>
      <c r="H70" s="60"/>
      <c r="I70" s="59"/>
    </row>
    <row r="71" spans="1:9" s="14" customFormat="1" ht="23.4" x14ac:dyDescent="0.25">
      <c r="A71" s="65"/>
      <c r="B71" s="60"/>
      <c r="C71" s="60"/>
      <c r="D71" s="60"/>
      <c r="E71" s="60"/>
      <c r="F71" s="60"/>
      <c r="G71" s="60"/>
      <c r="H71" s="60"/>
      <c r="I71" s="59"/>
    </row>
    <row r="72" spans="1:9" s="14" customFormat="1" ht="23.4" x14ac:dyDescent="0.25">
      <c r="A72" s="65"/>
      <c r="B72" s="60"/>
      <c r="C72" s="60"/>
      <c r="D72" s="60"/>
      <c r="E72" s="60"/>
      <c r="F72" s="60"/>
      <c r="G72" s="60"/>
      <c r="H72" s="60"/>
      <c r="I72" s="59"/>
    </row>
    <row r="73" spans="1:9" s="14" customFormat="1" ht="23.4" x14ac:dyDescent="0.25">
      <c r="A73" s="65"/>
      <c r="B73" s="60"/>
      <c r="C73" s="60"/>
      <c r="D73" s="60"/>
      <c r="E73" s="60"/>
      <c r="F73" s="60"/>
      <c r="G73" s="60"/>
      <c r="H73" s="60"/>
      <c r="I73" s="59"/>
    </row>
    <row r="74" spans="1:9" s="14" customFormat="1" ht="23.4" x14ac:dyDescent="0.25">
      <c r="A74" s="65"/>
      <c r="B74" s="60"/>
      <c r="C74" s="60"/>
      <c r="D74" s="60"/>
      <c r="E74" s="60"/>
      <c r="F74" s="60"/>
      <c r="G74" s="60"/>
      <c r="H74" s="60"/>
      <c r="I74" s="59"/>
    </row>
    <row r="75" spans="1:9" s="14" customFormat="1" ht="23.4" x14ac:dyDescent="0.25">
      <c r="A75" s="65"/>
      <c r="B75" s="60"/>
      <c r="C75" s="60"/>
      <c r="D75" s="60"/>
      <c r="E75" s="60"/>
      <c r="F75" s="60"/>
      <c r="G75" s="60"/>
      <c r="H75" s="60"/>
      <c r="I75" s="59"/>
    </row>
    <row r="76" spans="1:9" ht="27" thickBot="1" x14ac:dyDescent="0.75">
      <c r="G76" s="23" t="s">
        <v>25</v>
      </c>
      <c r="H76" s="64">
        <f>SUM(H3:H75)</f>
        <v>0</v>
      </c>
      <c r="I76" s="16" t="s">
        <v>43</v>
      </c>
    </row>
    <row r="77" spans="1:9" ht="14.4" thickTop="1" x14ac:dyDescent="0.25"/>
  </sheetData>
  <autoFilter ref="B2:K38" xr:uid="{418B859D-9AEE-4DBC-84AA-2E90E0A86546}"/>
  <conditionalFormatting sqref="H76">
    <cfRule type="containsText" dxfId="14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58CD-D618-41FC-A9EE-AE89D19F5D25}">
  <sheetPr>
    <tabColor rgb="FFFF99FF"/>
  </sheetPr>
  <dimension ref="A1:N99"/>
  <sheetViews>
    <sheetView zoomScale="70" zoomScaleNormal="70" workbookViewId="0">
      <pane xSplit="6" ySplit="2" topLeftCell="G7" activePane="bottomRight" state="frozen"/>
      <selection activeCell="N3" sqref="N3:N56"/>
      <selection pane="topRight" activeCell="N3" sqref="N3:N56"/>
      <selection pane="bottomLeft" activeCell="N3" sqref="N3:N56"/>
      <selection pane="bottomRight" activeCell="N3" sqref="N3:N56"/>
    </sheetView>
  </sheetViews>
  <sheetFormatPr defaultColWidth="54.69921875" defaultRowHeight="13.8" x14ac:dyDescent="0.25"/>
  <cols>
    <col min="1" max="1" width="7.09765625" style="12" customWidth="1"/>
    <col min="2" max="2" width="15.69921875" style="11" bestFit="1" customWidth="1"/>
    <col min="3" max="3" width="30.296875" style="11" customWidth="1"/>
    <col min="4" max="4" width="16.19921875" style="11" customWidth="1"/>
    <col min="5" max="5" width="29.296875" style="11" customWidth="1"/>
    <col min="6" max="6" width="15.296875" style="11" bestFit="1" customWidth="1"/>
    <col min="7" max="7" width="17.296875" style="11" customWidth="1"/>
    <col min="8" max="8" width="10.09765625" style="11" customWidth="1"/>
    <col min="9" max="9" width="23" style="11" customWidth="1"/>
    <col min="10" max="10" width="15.19921875" style="67" customWidth="1"/>
    <col min="11" max="11" width="74.796875" style="12" customWidth="1"/>
    <col min="12" max="12" width="18.8984375" style="11" customWidth="1"/>
    <col min="13" max="13" width="74.796875" style="5" customWidth="1"/>
    <col min="14" max="14" width="17.19921875" bestFit="1" customWidth="1"/>
    <col min="15" max="16384" width="54.69921875" style="11"/>
  </cols>
  <sheetData>
    <row r="1" spans="1:14" ht="60" customHeight="1" thickBot="1" x14ac:dyDescent="0.75">
      <c r="A1" s="8" t="s">
        <v>1277</v>
      </c>
      <c r="I1" s="53" t="s">
        <v>42</v>
      </c>
      <c r="J1" s="24">
        <f>SUBTOTAL(9,J3:J190)</f>
        <v>4095</v>
      </c>
      <c r="K1" s="54" t="s">
        <v>43</v>
      </c>
      <c r="N1">
        <f>SUBTOTAL(9,N3:N56)</f>
        <v>91</v>
      </c>
    </row>
    <row r="2" spans="1:14" ht="29.4" thickTop="1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38</v>
      </c>
      <c r="J2" s="21" t="s">
        <v>40</v>
      </c>
      <c r="K2" s="7" t="s">
        <v>7</v>
      </c>
      <c r="M2" s="7" t="s">
        <v>17</v>
      </c>
      <c r="N2" s="7" t="s">
        <v>19</v>
      </c>
    </row>
    <row r="3" spans="1:14" s="14" customFormat="1" ht="25.8" x14ac:dyDescent="0.25">
      <c r="A3" s="13">
        <v>1</v>
      </c>
      <c r="B3" s="1" t="s">
        <v>1278</v>
      </c>
      <c r="C3" s="1" t="s">
        <v>1279</v>
      </c>
      <c r="D3" s="1" t="s">
        <v>155</v>
      </c>
      <c r="E3" s="1" t="s">
        <v>1280</v>
      </c>
      <c r="F3" s="1" t="s">
        <v>157</v>
      </c>
      <c r="G3" s="1" t="s">
        <v>1281</v>
      </c>
      <c r="H3" s="55">
        <v>0</v>
      </c>
      <c r="I3" s="1" t="s">
        <v>1282</v>
      </c>
      <c r="J3" s="22">
        <v>45</v>
      </c>
      <c r="K3" s="30" t="s">
        <v>70</v>
      </c>
      <c r="M3" s="33" t="s">
        <v>8</v>
      </c>
      <c r="N3" s="30">
        <v>1</v>
      </c>
    </row>
    <row r="4" spans="1:14" s="14" customFormat="1" ht="25.8" x14ac:dyDescent="0.25">
      <c r="A4" s="13">
        <v>2</v>
      </c>
      <c r="B4" s="1" t="s">
        <v>1283</v>
      </c>
      <c r="C4" s="1" t="s">
        <v>1284</v>
      </c>
      <c r="D4" s="1" t="s">
        <v>155</v>
      </c>
      <c r="E4" s="1" t="s">
        <v>1285</v>
      </c>
      <c r="F4" s="1" t="s">
        <v>157</v>
      </c>
      <c r="G4" s="1" t="s">
        <v>1286</v>
      </c>
      <c r="H4" s="55">
        <v>0</v>
      </c>
      <c r="I4" s="1" t="s">
        <v>1287</v>
      </c>
      <c r="J4" s="22">
        <v>45</v>
      </c>
      <c r="K4" s="30" t="s">
        <v>70</v>
      </c>
      <c r="M4" s="33" t="s">
        <v>11</v>
      </c>
      <c r="N4" s="30">
        <v>0</v>
      </c>
    </row>
    <row r="5" spans="1:14" s="14" customFormat="1" ht="25.8" x14ac:dyDescent="0.25">
      <c r="A5" s="13">
        <v>3</v>
      </c>
      <c r="B5" s="1" t="s">
        <v>1288</v>
      </c>
      <c r="C5" s="1" t="s">
        <v>281</v>
      </c>
      <c r="D5" s="1" t="s">
        <v>155</v>
      </c>
      <c r="E5" s="1" t="s">
        <v>282</v>
      </c>
      <c r="F5" s="1" t="s">
        <v>157</v>
      </c>
      <c r="G5" s="1" t="s">
        <v>1289</v>
      </c>
      <c r="H5" s="55">
        <v>0</v>
      </c>
      <c r="I5" s="1" t="s">
        <v>1290</v>
      </c>
      <c r="J5" s="22">
        <v>45</v>
      </c>
      <c r="K5" s="30" t="s">
        <v>70</v>
      </c>
      <c r="M5" s="33" t="s">
        <v>9</v>
      </c>
      <c r="N5" s="30">
        <v>0</v>
      </c>
    </row>
    <row r="6" spans="1:14" s="14" customFormat="1" ht="25.8" x14ac:dyDescent="0.25">
      <c r="A6" s="13">
        <v>4</v>
      </c>
      <c r="B6" s="1" t="s">
        <v>1291</v>
      </c>
      <c r="C6" s="1" t="s">
        <v>1292</v>
      </c>
      <c r="D6" s="1" t="s">
        <v>155</v>
      </c>
      <c r="E6" s="1" t="s">
        <v>1293</v>
      </c>
      <c r="F6" s="1" t="s">
        <v>157</v>
      </c>
      <c r="G6" s="1" t="s">
        <v>1294</v>
      </c>
      <c r="H6" s="55">
        <v>0</v>
      </c>
      <c r="I6" s="1" t="s">
        <v>1295</v>
      </c>
      <c r="J6" s="22">
        <v>45</v>
      </c>
      <c r="K6" s="30" t="s">
        <v>70</v>
      </c>
      <c r="M6" s="33" t="s">
        <v>15</v>
      </c>
      <c r="N6" s="30">
        <v>0</v>
      </c>
    </row>
    <row r="7" spans="1:14" s="14" customFormat="1" ht="25.8" x14ac:dyDescent="0.25">
      <c r="A7" s="13">
        <v>5</v>
      </c>
      <c r="B7" s="1" t="s">
        <v>1296</v>
      </c>
      <c r="C7" s="1" t="s">
        <v>1269</v>
      </c>
      <c r="D7" s="1" t="s">
        <v>155</v>
      </c>
      <c r="E7" s="1" t="s">
        <v>1270</v>
      </c>
      <c r="F7" s="1" t="s">
        <v>157</v>
      </c>
      <c r="G7" s="1" t="s">
        <v>1297</v>
      </c>
      <c r="H7" s="55">
        <v>0</v>
      </c>
      <c r="I7" s="1" t="s">
        <v>1298</v>
      </c>
      <c r="J7" s="22">
        <v>45</v>
      </c>
      <c r="K7" s="30" t="s">
        <v>70</v>
      </c>
      <c r="M7" s="33" t="s">
        <v>12</v>
      </c>
      <c r="N7" s="30">
        <v>0</v>
      </c>
    </row>
    <row r="8" spans="1:14" s="14" customFormat="1" ht="25.8" x14ac:dyDescent="0.25">
      <c r="A8" s="13">
        <v>6</v>
      </c>
      <c r="B8" s="1" t="s">
        <v>1299</v>
      </c>
      <c r="C8" s="1" t="s">
        <v>1300</v>
      </c>
      <c r="D8" s="1" t="s">
        <v>155</v>
      </c>
      <c r="E8" s="1" t="s">
        <v>1301</v>
      </c>
      <c r="F8" s="1" t="s">
        <v>157</v>
      </c>
      <c r="G8" s="1" t="s">
        <v>1302</v>
      </c>
      <c r="H8" s="55">
        <v>0</v>
      </c>
      <c r="I8" s="1" t="s">
        <v>1303</v>
      </c>
      <c r="J8" s="22">
        <v>45</v>
      </c>
      <c r="K8" s="30" t="s">
        <v>70</v>
      </c>
      <c r="M8" s="33" t="s">
        <v>51</v>
      </c>
      <c r="N8" s="30">
        <v>0</v>
      </c>
    </row>
    <row r="9" spans="1:14" s="14" customFormat="1" ht="25.8" x14ac:dyDescent="0.25">
      <c r="A9" s="13">
        <v>7</v>
      </c>
      <c r="B9" s="1" t="s">
        <v>1304</v>
      </c>
      <c r="C9" s="1" t="s">
        <v>281</v>
      </c>
      <c r="D9" s="1" t="s">
        <v>155</v>
      </c>
      <c r="E9" s="1" t="s">
        <v>282</v>
      </c>
      <c r="F9" s="1" t="s">
        <v>157</v>
      </c>
      <c r="G9" s="1" t="s">
        <v>1305</v>
      </c>
      <c r="H9" s="55">
        <v>0</v>
      </c>
      <c r="I9" s="1" t="s">
        <v>1306</v>
      </c>
      <c r="J9" s="22">
        <v>45</v>
      </c>
      <c r="K9" s="30" t="s">
        <v>70</v>
      </c>
      <c r="M9" s="33" t="s">
        <v>46</v>
      </c>
      <c r="N9" s="30">
        <v>0</v>
      </c>
    </row>
    <row r="10" spans="1:14" s="14" customFormat="1" ht="25.8" x14ac:dyDescent="0.25">
      <c r="A10" s="13">
        <v>8</v>
      </c>
      <c r="B10" s="1" t="s">
        <v>1307</v>
      </c>
      <c r="C10" s="1" t="s">
        <v>173</v>
      </c>
      <c r="D10" s="1" t="s">
        <v>155</v>
      </c>
      <c r="E10" s="1" t="s">
        <v>174</v>
      </c>
      <c r="F10" s="1" t="s">
        <v>157</v>
      </c>
      <c r="G10" s="1" t="s">
        <v>1305</v>
      </c>
      <c r="H10" s="55">
        <v>0</v>
      </c>
      <c r="I10" s="1" t="s">
        <v>1308</v>
      </c>
      <c r="J10" s="22">
        <v>45</v>
      </c>
      <c r="K10" s="30" t="s">
        <v>70</v>
      </c>
      <c r="M10" s="33" t="s">
        <v>45</v>
      </c>
      <c r="N10" s="30">
        <v>0</v>
      </c>
    </row>
    <row r="11" spans="1:14" s="14" customFormat="1" ht="25.8" x14ac:dyDescent="0.25">
      <c r="A11" s="13">
        <v>9</v>
      </c>
      <c r="B11" s="1" t="s">
        <v>1309</v>
      </c>
      <c r="C11" s="1" t="s">
        <v>542</v>
      </c>
      <c r="D11" s="1" t="s">
        <v>155</v>
      </c>
      <c r="E11" s="1" t="s">
        <v>543</v>
      </c>
      <c r="F11" s="1" t="s">
        <v>157</v>
      </c>
      <c r="G11" s="1" t="s">
        <v>1310</v>
      </c>
      <c r="H11" s="55">
        <v>0</v>
      </c>
      <c r="I11" s="1" t="s">
        <v>1311</v>
      </c>
      <c r="J11" s="22">
        <v>45</v>
      </c>
      <c r="K11" s="30" t="s">
        <v>70</v>
      </c>
      <c r="M11" s="33" t="s">
        <v>10</v>
      </c>
      <c r="N11" s="30">
        <v>0</v>
      </c>
    </row>
    <row r="12" spans="1:14" s="14" customFormat="1" ht="25.8" x14ac:dyDescent="0.25">
      <c r="A12" s="13">
        <v>10</v>
      </c>
      <c r="B12" s="1" t="s">
        <v>1312</v>
      </c>
      <c r="C12" s="1" t="s">
        <v>160</v>
      </c>
      <c r="D12" s="1" t="s">
        <v>155</v>
      </c>
      <c r="E12" s="1" t="s">
        <v>161</v>
      </c>
      <c r="F12" s="1" t="s">
        <v>157</v>
      </c>
      <c r="G12" s="1" t="s">
        <v>1313</v>
      </c>
      <c r="H12" s="55">
        <v>0</v>
      </c>
      <c r="I12" s="1" t="s">
        <v>1314</v>
      </c>
      <c r="J12" s="22">
        <v>45</v>
      </c>
      <c r="K12" s="30" t="s">
        <v>70</v>
      </c>
      <c r="M12" s="33" t="s">
        <v>13</v>
      </c>
      <c r="N12" s="30">
        <v>0</v>
      </c>
    </row>
    <row r="13" spans="1:14" s="14" customFormat="1" ht="25.8" x14ac:dyDescent="0.25">
      <c r="A13" s="13">
        <v>11</v>
      </c>
      <c r="B13" s="1" t="s">
        <v>1315</v>
      </c>
      <c r="C13" s="1" t="s">
        <v>1316</v>
      </c>
      <c r="D13" s="1" t="s">
        <v>155</v>
      </c>
      <c r="E13" s="1" t="s">
        <v>1317</v>
      </c>
      <c r="F13" s="1" t="s">
        <v>157</v>
      </c>
      <c r="G13" s="1" t="s">
        <v>1313</v>
      </c>
      <c r="H13" s="55">
        <v>0</v>
      </c>
      <c r="I13" s="1" t="s">
        <v>1318</v>
      </c>
      <c r="J13" s="22">
        <v>45</v>
      </c>
      <c r="K13" s="30" t="s">
        <v>70</v>
      </c>
      <c r="M13" s="33" t="s">
        <v>52</v>
      </c>
      <c r="N13" s="30">
        <v>0</v>
      </c>
    </row>
    <row r="14" spans="1:14" s="14" customFormat="1" ht="25.8" x14ac:dyDescent="0.25">
      <c r="A14" s="13">
        <v>12</v>
      </c>
      <c r="B14" s="1" t="s">
        <v>1319</v>
      </c>
      <c r="C14" s="1" t="s">
        <v>655</v>
      </c>
      <c r="D14" s="1" t="s">
        <v>155</v>
      </c>
      <c r="E14" s="1" t="s">
        <v>656</v>
      </c>
      <c r="F14" s="1" t="s">
        <v>157</v>
      </c>
      <c r="G14" s="1" t="s">
        <v>1313</v>
      </c>
      <c r="H14" s="55">
        <v>0</v>
      </c>
      <c r="I14" s="1" t="s">
        <v>1320</v>
      </c>
      <c r="J14" s="22">
        <v>45</v>
      </c>
      <c r="K14" s="30" t="s">
        <v>70</v>
      </c>
      <c r="M14" s="33" t="s">
        <v>14</v>
      </c>
      <c r="N14" s="30">
        <v>0</v>
      </c>
    </row>
    <row r="15" spans="1:14" s="14" customFormat="1" ht="24.6" customHeight="1" x14ac:dyDescent="0.25">
      <c r="A15" s="13">
        <v>13</v>
      </c>
      <c r="B15" s="1" t="s">
        <v>1321</v>
      </c>
      <c r="C15" s="1" t="s">
        <v>1245</v>
      </c>
      <c r="D15" s="1" t="s">
        <v>155</v>
      </c>
      <c r="E15" s="1" t="s">
        <v>1246</v>
      </c>
      <c r="F15" s="1" t="s">
        <v>157</v>
      </c>
      <c r="G15" s="1" t="s">
        <v>1313</v>
      </c>
      <c r="H15" s="55">
        <v>0</v>
      </c>
      <c r="I15" s="1" t="s">
        <v>1322</v>
      </c>
      <c r="J15" s="22">
        <v>45</v>
      </c>
      <c r="K15" s="30" t="s">
        <v>70</v>
      </c>
      <c r="M15" s="33" t="s">
        <v>53</v>
      </c>
      <c r="N15" s="30">
        <v>0</v>
      </c>
    </row>
    <row r="16" spans="1:14" s="14" customFormat="1" ht="25.8" x14ac:dyDescent="0.25">
      <c r="A16" s="13">
        <v>14</v>
      </c>
      <c r="B16" s="1" t="s">
        <v>1323</v>
      </c>
      <c r="C16" s="1" t="s">
        <v>655</v>
      </c>
      <c r="D16" s="1" t="s">
        <v>155</v>
      </c>
      <c r="E16" s="1" t="s">
        <v>656</v>
      </c>
      <c r="F16" s="1" t="s">
        <v>157</v>
      </c>
      <c r="G16" s="1" t="s">
        <v>1324</v>
      </c>
      <c r="H16" s="55">
        <v>0</v>
      </c>
      <c r="I16" s="1" t="s">
        <v>1325</v>
      </c>
      <c r="J16" s="22">
        <v>45</v>
      </c>
      <c r="K16" s="30" t="s">
        <v>70</v>
      </c>
      <c r="M16" s="33" t="s">
        <v>54</v>
      </c>
      <c r="N16" s="30">
        <v>0</v>
      </c>
    </row>
    <row r="17" spans="1:14" s="14" customFormat="1" ht="25.8" x14ac:dyDescent="0.25">
      <c r="A17" s="13">
        <v>15</v>
      </c>
      <c r="B17" s="1" t="s">
        <v>1326</v>
      </c>
      <c r="C17" s="1" t="s">
        <v>566</v>
      </c>
      <c r="D17" s="1" t="s">
        <v>155</v>
      </c>
      <c r="E17" s="1" t="s">
        <v>567</v>
      </c>
      <c r="F17" s="1" t="s">
        <v>157</v>
      </c>
      <c r="G17" s="1" t="s">
        <v>1327</v>
      </c>
      <c r="H17" s="55">
        <v>0</v>
      </c>
      <c r="I17" s="1" t="s">
        <v>1328</v>
      </c>
      <c r="J17" s="22">
        <v>45</v>
      </c>
      <c r="K17" s="30" t="s">
        <v>70</v>
      </c>
      <c r="M17" s="33" t="s">
        <v>48</v>
      </c>
      <c r="N17" s="30">
        <v>0</v>
      </c>
    </row>
    <row r="18" spans="1:14" s="14" customFormat="1" ht="25.8" x14ac:dyDescent="0.25">
      <c r="A18" s="13">
        <v>16</v>
      </c>
      <c r="B18" s="1" t="s">
        <v>1329</v>
      </c>
      <c r="C18" s="1" t="s">
        <v>1330</v>
      </c>
      <c r="D18" s="1" t="s">
        <v>155</v>
      </c>
      <c r="E18" s="1" t="s">
        <v>1331</v>
      </c>
      <c r="F18" s="1" t="s">
        <v>157</v>
      </c>
      <c r="G18" s="1" t="s">
        <v>1332</v>
      </c>
      <c r="H18" s="55">
        <v>0</v>
      </c>
      <c r="I18" s="1" t="s">
        <v>1333</v>
      </c>
      <c r="J18" s="22">
        <v>45</v>
      </c>
      <c r="K18" s="30" t="s">
        <v>70</v>
      </c>
      <c r="M18" s="33" t="s">
        <v>55</v>
      </c>
      <c r="N18" s="30">
        <v>0</v>
      </c>
    </row>
    <row r="19" spans="1:14" s="14" customFormat="1" ht="25.8" x14ac:dyDescent="0.25">
      <c r="A19" s="13">
        <v>17</v>
      </c>
      <c r="B19" s="1" t="s">
        <v>1334</v>
      </c>
      <c r="C19" s="1" t="s">
        <v>1159</v>
      </c>
      <c r="D19" s="1" t="s">
        <v>155</v>
      </c>
      <c r="E19" s="1" t="s">
        <v>1160</v>
      </c>
      <c r="F19" s="1" t="s">
        <v>157</v>
      </c>
      <c r="G19" s="1" t="s">
        <v>1335</v>
      </c>
      <c r="H19" s="55">
        <v>0</v>
      </c>
      <c r="I19" s="1" t="s">
        <v>1336</v>
      </c>
      <c r="J19" s="22">
        <v>45</v>
      </c>
      <c r="K19" s="30" t="s">
        <v>70</v>
      </c>
      <c r="M19" s="33" t="s">
        <v>18</v>
      </c>
      <c r="N19" s="30">
        <v>0</v>
      </c>
    </row>
    <row r="20" spans="1:14" s="14" customFormat="1" ht="25.8" x14ac:dyDescent="0.25">
      <c r="A20" s="13">
        <v>18</v>
      </c>
      <c r="B20" s="1" t="s">
        <v>1337</v>
      </c>
      <c r="C20" s="1" t="s">
        <v>1338</v>
      </c>
      <c r="D20" s="1" t="s">
        <v>155</v>
      </c>
      <c r="E20" s="1" t="s">
        <v>1339</v>
      </c>
      <c r="F20" s="1" t="s">
        <v>157</v>
      </c>
      <c r="G20" s="1" t="s">
        <v>1340</v>
      </c>
      <c r="H20" s="55">
        <v>0</v>
      </c>
      <c r="I20" s="1" t="s">
        <v>1341</v>
      </c>
      <c r="J20" s="22">
        <v>45</v>
      </c>
      <c r="K20" s="30" t="s">
        <v>70</v>
      </c>
      <c r="M20" s="33" t="s">
        <v>56</v>
      </c>
      <c r="N20" s="30">
        <v>0</v>
      </c>
    </row>
    <row r="21" spans="1:14" s="14" customFormat="1" ht="25.8" x14ac:dyDescent="0.25">
      <c r="A21" s="13">
        <v>19</v>
      </c>
      <c r="B21" s="1" t="s">
        <v>1342</v>
      </c>
      <c r="C21" s="1" t="s">
        <v>743</v>
      </c>
      <c r="D21" s="1" t="s">
        <v>155</v>
      </c>
      <c r="E21" s="1" t="s">
        <v>744</v>
      </c>
      <c r="F21" s="1" t="s">
        <v>157</v>
      </c>
      <c r="G21" s="1" t="s">
        <v>1343</v>
      </c>
      <c r="H21" s="55">
        <v>0</v>
      </c>
      <c r="I21" s="1" t="s">
        <v>1344</v>
      </c>
      <c r="J21" s="22">
        <v>45</v>
      </c>
      <c r="K21" s="30" t="s">
        <v>70</v>
      </c>
      <c r="M21" s="33" t="s">
        <v>20</v>
      </c>
      <c r="N21" s="30">
        <v>0</v>
      </c>
    </row>
    <row r="22" spans="1:14" s="14" customFormat="1" ht="25.8" x14ac:dyDescent="0.25">
      <c r="A22" s="13">
        <v>20</v>
      </c>
      <c r="B22" s="1" t="s">
        <v>1345</v>
      </c>
      <c r="C22" s="1" t="s">
        <v>1346</v>
      </c>
      <c r="D22" s="1" t="s">
        <v>155</v>
      </c>
      <c r="E22" s="1" t="s">
        <v>1347</v>
      </c>
      <c r="F22" s="1" t="s">
        <v>157</v>
      </c>
      <c r="G22" s="1" t="s">
        <v>1348</v>
      </c>
      <c r="H22" s="55">
        <v>0</v>
      </c>
      <c r="I22" s="1" t="s">
        <v>1349</v>
      </c>
      <c r="J22" s="22">
        <v>45</v>
      </c>
      <c r="K22" s="30" t="s">
        <v>70</v>
      </c>
      <c r="M22" s="33" t="s">
        <v>57</v>
      </c>
      <c r="N22" s="30">
        <v>0</v>
      </c>
    </row>
    <row r="23" spans="1:14" s="14" customFormat="1" ht="25.8" x14ac:dyDescent="0.25">
      <c r="A23" s="13">
        <v>21</v>
      </c>
      <c r="B23" s="1" t="s">
        <v>1350</v>
      </c>
      <c r="C23" s="1" t="s">
        <v>1351</v>
      </c>
      <c r="D23" s="1" t="s">
        <v>155</v>
      </c>
      <c r="E23" s="1" t="s">
        <v>1352</v>
      </c>
      <c r="F23" s="1" t="s">
        <v>157</v>
      </c>
      <c r="G23" s="1" t="s">
        <v>1353</v>
      </c>
      <c r="H23" s="55">
        <v>0</v>
      </c>
      <c r="I23" s="1" t="s">
        <v>1354</v>
      </c>
      <c r="J23" s="22">
        <v>45</v>
      </c>
      <c r="K23" s="30" t="s">
        <v>70</v>
      </c>
      <c r="M23" s="33" t="s">
        <v>58</v>
      </c>
      <c r="N23" s="30">
        <v>0</v>
      </c>
    </row>
    <row r="24" spans="1:14" s="14" customFormat="1" ht="25.8" x14ac:dyDescent="0.25">
      <c r="A24" s="13">
        <v>22</v>
      </c>
      <c r="B24" s="1" t="s">
        <v>1355</v>
      </c>
      <c r="C24" s="1" t="s">
        <v>1356</v>
      </c>
      <c r="D24" s="1" t="s">
        <v>155</v>
      </c>
      <c r="E24" s="1" t="s">
        <v>1357</v>
      </c>
      <c r="F24" s="1" t="s">
        <v>157</v>
      </c>
      <c r="G24" s="1" t="s">
        <v>1358</v>
      </c>
      <c r="H24" s="55">
        <v>0</v>
      </c>
      <c r="I24" s="1" t="s">
        <v>1359</v>
      </c>
      <c r="J24" s="22">
        <v>45</v>
      </c>
      <c r="K24" s="30" t="s">
        <v>70</v>
      </c>
      <c r="M24" s="33" t="s">
        <v>59</v>
      </c>
      <c r="N24" s="30">
        <v>0</v>
      </c>
    </row>
    <row r="25" spans="1:14" s="14" customFormat="1" ht="25.8" x14ac:dyDescent="0.25">
      <c r="A25" s="13">
        <v>23</v>
      </c>
      <c r="B25" s="1" t="s">
        <v>1360</v>
      </c>
      <c r="C25" s="1" t="s">
        <v>912</v>
      </c>
      <c r="D25" s="1" t="s">
        <v>155</v>
      </c>
      <c r="E25" s="1" t="s">
        <v>913</v>
      </c>
      <c r="F25" s="1" t="s">
        <v>157</v>
      </c>
      <c r="G25" s="1" t="s">
        <v>1361</v>
      </c>
      <c r="H25" s="55">
        <v>0</v>
      </c>
      <c r="I25" s="1" t="s">
        <v>1362</v>
      </c>
      <c r="J25" s="22">
        <v>45</v>
      </c>
      <c r="K25" s="30" t="s">
        <v>70</v>
      </c>
      <c r="M25" s="33" t="s">
        <v>60</v>
      </c>
      <c r="N25" s="30">
        <v>0</v>
      </c>
    </row>
    <row r="26" spans="1:14" s="14" customFormat="1" ht="25.8" x14ac:dyDescent="0.25">
      <c r="A26" s="13">
        <v>24</v>
      </c>
      <c r="B26" s="1" t="s">
        <v>1363</v>
      </c>
      <c r="C26" s="1" t="s">
        <v>240</v>
      </c>
      <c r="D26" s="1" t="s">
        <v>155</v>
      </c>
      <c r="E26" s="1" t="s">
        <v>241</v>
      </c>
      <c r="F26" s="1" t="s">
        <v>157</v>
      </c>
      <c r="G26" s="1" t="s">
        <v>1364</v>
      </c>
      <c r="H26" s="55">
        <v>0</v>
      </c>
      <c r="I26" s="1" t="s">
        <v>1365</v>
      </c>
      <c r="J26" s="22">
        <v>45</v>
      </c>
      <c r="K26" s="30" t="s">
        <v>70</v>
      </c>
      <c r="M26" s="33" t="s">
        <v>61</v>
      </c>
      <c r="N26" s="30">
        <v>0</v>
      </c>
    </row>
    <row r="27" spans="1:14" s="14" customFormat="1" ht="25.8" x14ac:dyDescent="0.25">
      <c r="A27" s="13">
        <v>25</v>
      </c>
      <c r="B27" s="1" t="s">
        <v>1366</v>
      </c>
      <c r="C27" s="1" t="s">
        <v>247</v>
      </c>
      <c r="D27" s="1" t="s">
        <v>155</v>
      </c>
      <c r="E27" s="1" t="s">
        <v>248</v>
      </c>
      <c r="F27" s="1" t="s">
        <v>157</v>
      </c>
      <c r="G27" s="1" t="s">
        <v>1367</v>
      </c>
      <c r="H27" s="55">
        <v>0</v>
      </c>
      <c r="I27" s="1" t="s">
        <v>1368</v>
      </c>
      <c r="J27" s="22">
        <v>45</v>
      </c>
      <c r="K27" s="30" t="s">
        <v>70</v>
      </c>
      <c r="M27" s="33" t="s">
        <v>62</v>
      </c>
      <c r="N27" s="30">
        <v>0</v>
      </c>
    </row>
    <row r="28" spans="1:14" s="14" customFormat="1" ht="25.8" x14ac:dyDescent="0.25">
      <c r="A28" s="13">
        <v>26</v>
      </c>
      <c r="B28" s="1" t="s">
        <v>1369</v>
      </c>
      <c r="C28" s="1" t="s">
        <v>743</v>
      </c>
      <c r="D28" s="1" t="s">
        <v>155</v>
      </c>
      <c r="E28" s="1" t="s">
        <v>744</v>
      </c>
      <c r="F28" s="1" t="s">
        <v>157</v>
      </c>
      <c r="G28" s="1" t="s">
        <v>1370</v>
      </c>
      <c r="H28" s="55">
        <v>0</v>
      </c>
      <c r="I28" s="1" t="s">
        <v>1371</v>
      </c>
      <c r="J28" s="22">
        <v>45</v>
      </c>
      <c r="K28" s="30" t="s">
        <v>70</v>
      </c>
      <c r="M28" s="33" t="s">
        <v>63</v>
      </c>
      <c r="N28" s="30">
        <v>0</v>
      </c>
    </row>
    <row r="29" spans="1:14" s="14" customFormat="1" ht="25.8" x14ac:dyDescent="0.25">
      <c r="A29" s="13">
        <v>27</v>
      </c>
      <c r="B29" s="1" t="s">
        <v>1372</v>
      </c>
      <c r="C29" s="1" t="s">
        <v>1373</v>
      </c>
      <c r="D29" s="1" t="s">
        <v>155</v>
      </c>
      <c r="E29" s="1" t="s">
        <v>1374</v>
      </c>
      <c r="F29" s="1" t="s">
        <v>157</v>
      </c>
      <c r="G29" s="1" t="s">
        <v>1375</v>
      </c>
      <c r="H29" s="55">
        <v>0</v>
      </c>
      <c r="I29" s="1" t="s">
        <v>1376</v>
      </c>
      <c r="J29" s="22">
        <v>45</v>
      </c>
      <c r="K29" s="30" t="s">
        <v>70</v>
      </c>
      <c r="M29" s="33" t="s">
        <v>64</v>
      </c>
      <c r="N29" s="30">
        <v>0</v>
      </c>
    </row>
    <row r="30" spans="1:14" s="14" customFormat="1" ht="25.8" x14ac:dyDescent="0.25">
      <c r="A30" s="13">
        <v>28</v>
      </c>
      <c r="B30" s="1" t="s">
        <v>1377</v>
      </c>
      <c r="C30" s="1" t="s">
        <v>1338</v>
      </c>
      <c r="D30" s="1" t="s">
        <v>155</v>
      </c>
      <c r="E30" s="1" t="s">
        <v>1339</v>
      </c>
      <c r="F30" s="1" t="s">
        <v>157</v>
      </c>
      <c r="G30" s="1" t="s">
        <v>1375</v>
      </c>
      <c r="H30" s="55">
        <v>0</v>
      </c>
      <c r="I30" s="1" t="s">
        <v>1378</v>
      </c>
      <c r="J30" s="22">
        <v>45</v>
      </c>
      <c r="K30" s="30" t="s">
        <v>70</v>
      </c>
      <c r="M30" s="33" t="s">
        <v>65</v>
      </c>
      <c r="N30" s="30">
        <v>1</v>
      </c>
    </row>
    <row r="31" spans="1:14" s="14" customFormat="1" ht="25.8" x14ac:dyDescent="0.25">
      <c r="A31" s="13">
        <v>29</v>
      </c>
      <c r="B31" s="1" t="s">
        <v>1379</v>
      </c>
      <c r="C31" s="1" t="s">
        <v>484</v>
      </c>
      <c r="D31" s="1" t="s">
        <v>155</v>
      </c>
      <c r="E31" s="1" t="s">
        <v>485</v>
      </c>
      <c r="F31" s="1" t="s">
        <v>157</v>
      </c>
      <c r="G31" s="1" t="s">
        <v>1375</v>
      </c>
      <c r="H31" s="55">
        <v>0</v>
      </c>
      <c r="I31" s="1" t="s">
        <v>1380</v>
      </c>
      <c r="J31" s="22">
        <v>45</v>
      </c>
      <c r="K31" s="30" t="s">
        <v>70</v>
      </c>
      <c r="M31" s="33" t="s">
        <v>66</v>
      </c>
      <c r="N31" s="30">
        <v>0</v>
      </c>
    </row>
    <row r="32" spans="1:14" s="14" customFormat="1" ht="25.8" x14ac:dyDescent="0.25">
      <c r="A32" s="13">
        <v>30</v>
      </c>
      <c r="B32" s="1" t="s">
        <v>1381</v>
      </c>
      <c r="C32" s="1" t="s">
        <v>1231</v>
      </c>
      <c r="D32" s="1" t="s">
        <v>155</v>
      </c>
      <c r="E32" s="1" t="s">
        <v>1232</v>
      </c>
      <c r="F32" s="1" t="s">
        <v>157</v>
      </c>
      <c r="G32" s="1" t="s">
        <v>1382</v>
      </c>
      <c r="H32" s="55">
        <v>0</v>
      </c>
      <c r="I32" s="1" t="s">
        <v>1383</v>
      </c>
      <c r="J32" s="22">
        <v>45</v>
      </c>
      <c r="K32" s="30" t="s">
        <v>70</v>
      </c>
      <c r="M32" s="33" t="s">
        <v>67</v>
      </c>
      <c r="N32" s="30">
        <v>0</v>
      </c>
    </row>
    <row r="33" spans="1:14" s="14" customFormat="1" ht="25.8" x14ac:dyDescent="0.25">
      <c r="A33" s="13">
        <v>31</v>
      </c>
      <c r="B33" s="1" t="s">
        <v>1384</v>
      </c>
      <c r="C33" s="1" t="s">
        <v>1385</v>
      </c>
      <c r="D33" s="1" t="s">
        <v>155</v>
      </c>
      <c r="E33" s="1" t="s">
        <v>1386</v>
      </c>
      <c r="F33" s="1" t="s">
        <v>157</v>
      </c>
      <c r="G33" s="1" t="s">
        <v>1387</v>
      </c>
      <c r="H33" s="55">
        <v>0</v>
      </c>
      <c r="I33" s="1" t="s">
        <v>1388</v>
      </c>
      <c r="J33" s="22">
        <v>45</v>
      </c>
      <c r="K33" s="30" t="s">
        <v>70</v>
      </c>
      <c r="M33" s="33" t="s">
        <v>68</v>
      </c>
      <c r="N33" s="30">
        <v>0</v>
      </c>
    </row>
    <row r="34" spans="1:14" s="14" customFormat="1" ht="25.8" x14ac:dyDescent="0.25">
      <c r="A34" s="13">
        <v>32</v>
      </c>
      <c r="B34" s="1" t="s">
        <v>1389</v>
      </c>
      <c r="C34" s="1" t="s">
        <v>1390</v>
      </c>
      <c r="D34" s="1" t="s">
        <v>155</v>
      </c>
      <c r="E34" s="1" t="s">
        <v>1391</v>
      </c>
      <c r="F34" s="1" t="s">
        <v>157</v>
      </c>
      <c r="G34" s="1" t="s">
        <v>1392</v>
      </c>
      <c r="H34" s="55">
        <v>0</v>
      </c>
      <c r="I34" s="1" t="s">
        <v>1393</v>
      </c>
      <c r="J34" s="22">
        <v>45</v>
      </c>
      <c r="K34" s="30" t="s">
        <v>70</v>
      </c>
      <c r="M34" s="33" t="s">
        <v>69</v>
      </c>
      <c r="N34" s="30">
        <v>0</v>
      </c>
    </row>
    <row r="35" spans="1:14" s="14" customFormat="1" ht="25.8" x14ac:dyDescent="0.25">
      <c r="A35" s="13">
        <v>33</v>
      </c>
      <c r="B35" s="1" t="s">
        <v>1394</v>
      </c>
      <c r="C35" s="1" t="s">
        <v>1395</v>
      </c>
      <c r="D35" s="1" t="s">
        <v>155</v>
      </c>
      <c r="E35" s="1" t="s">
        <v>1396</v>
      </c>
      <c r="F35" s="1" t="s">
        <v>157</v>
      </c>
      <c r="G35" s="1" t="s">
        <v>1397</v>
      </c>
      <c r="H35" s="55">
        <v>0</v>
      </c>
      <c r="I35" s="1" t="s">
        <v>1398</v>
      </c>
      <c r="J35" s="22">
        <v>45</v>
      </c>
      <c r="K35" s="30" t="s">
        <v>70</v>
      </c>
      <c r="M35" s="33" t="s">
        <v>70</v>
      </c>
      <c r="N35" s="30">
        <v>88</v>
      </c>
    </row>
    <row r="36" spans="1:14" s="14" customFormat="1" ht="25.8" x14ac:dyDescent="0.25">
      <c r="A36" s="13">
        <v>34</v>
      </c>
      <c r="B36" s="1" t="s">
        <v>1399</v>
      </c>
      <c r="C36" s="1" t="s">
        <v>1400</v>
      </c>
      <c r="D36" s="1" t="s">
        <v>106</v>
      </c>
      <c r="E36" s="1" t="s">
        <v>107</v>
      </c>
      <c r="F36" s="1" t="s">
        <v>102</v>
      </c>
      <c r="G36" s="1" t="s">
        <v>1401</v>
      </c>
      <c r="H36" s="55">
        <v>0</v>
      </c>
      <c r="I36" s="1" t="s">
        <v>1402</v>
      </c>
      <c r="J36" s="22">
        <v>45</v>
      </c>
      <c r="K36" s="30" t="s">
        <v>70</v>
      </c>
      <c r="M36" s="33" t="s">
        <v>71</v>
      </c>
      <c r="N36" s="30">
        <v>0</v>
      </c>
    </row>
    <row r="37" spans="1:14" s="14" customFormat="1" ht="25.8" x14ac:dyDescent="0.25">
      <c r="A37" s="13">
        <v>35</v>
      </c>
      <c r="B37" s="1" t="s">
        <v>1403</v>
      </c>
      <c r="C37" s="1" t="s">
        <v>285</v>
      </c>
      <c r="D37" s="1" t="s">
        <v>155</v>
      </c>
      <c r="E37" s="1" t="s">
        <v>286</v>
      </c>
      <c r="F37" s="1" t="s">
        <v>157</v>
      </c>
      <c r="G37" s="1" t="s">
        <v>1404</v>
      </c>
      <c r="H37" s="55">
        <v>0</v>
      </c>
      <c r="I37" s="1" t="s">
        <v>1405</v>
      </c>
      <c r="J37" s="22">
        <v>45</v>
      </c>
      <c r="K37" s="30" t="s">
        <v>70</v>
      </c>
      <c r="M37" s="33" t="s">
        <v>72</v>
      </c>
      <c r="N37" s="30">
        <v>0</v>
      </c>
    </row>
    <row r="38" spans="1:14" s="14" customFormat="1" ht="25.8" x14ac:dyDescent="0.25">
      <c r="A38" s="13">
        <v>36</v>
      </c>
      <c r="B38" s="1" t="s">
        <v>1406</v>
      </c>
      <c r="C38" s="1" t="s">
        <v>1169</v>
      </c>
      <c r="D38" s="1" t="s">
        <v>155</v>
      </c>
      <c r="E38" s="1" t="s">
        <v>1170</v>
      </c>
      <c r="F38" s="1" t="s">
        <v>157</v>
      </c>
      <c r="G38" s="1" t="s">
        <v>1407</v>
      </c>
      <c r="H38" s="55">
        <v>0</v>
      </c>
      <c r="I38" s="1" t="s">
        <v>1408</v>
      </c>
      <c r="J38" s="22">
        <v>45</v>
      </c>
      <c r="K38" s="30" t="s">
        <v>70</v>
      </c>
      <c r="M38" s="33" t="s">
        <v>73</v>
      </c>
      <c r="N38" s="30">
        <v>1</v>
      </c>
    </row>
    <row r="39" spans="1:14" s="14" customFormat="1" ht="25.8" x14ac:dyDescent="0.25">
      <c r="A39" s="13">
        <v>37</v>
      </c>
      <c r="B39" s="1" t="s">
        <v>1409</v>
      </c>
      <c r="C39" s="1" t="s">
        <v>553</v>
      </c>
      <c r="D39" s="1" t="s">
        <v>155</v>
      </c>
      <c r="E39" s="1" t="s">
        <v>799</v>
      </c>
      <c r="F39" s="1" t="s">
        <v>157</v>
      </c>
      <c r="G39" s="1" t="s">
        <v>1410</v>
      </c>
      <c r="H39" s="55">
        <v>0</v>
      </c>
      <c r="I39" s="1" t="s">
        <v>1411</v>
      </c>
      <c r="J39" s="22">
        <v>45</v>
      </c>
      <c r="K39" s="30" t="s">
        <v>70</v>
      </c>
      <c r="M39" s="33" t="s">
        <v>74</v>
      </c>
      <c r="N39" s="30">
        <v>0</v>
      </c>
    </row>
    <row r="40" spans="1:14" s="14" customFormat="1" ht="25.8" x14ac:dyDescent="0.25">
      <c r="A40" s="13">
        <v>38</v>
      </c>
      <c r="B40" s="1" t="s">
        <v>1412</v>
      </c>
      <c r="C40" s="1" t="s">
        <v>160</v>
      </c>
      <c r="D40" s="1" t="s">
        <v>155</v>
      </c>
      <c r="E40" s="1" t="s">
        <v>161</v>
      </c>
      <c r="F40" s="1" t="s">
        <v>157</v>
      </c>
      <c r="G40" s="1" t="s">
        <v>1413</v>
      </c>
      <c r="H40" s="55">
        <v>0</v>
      </c>
      <c r="I40" s="1" t="s">
        <v>1414</v>
      </c>
      <c r="J40" s="22">
        <v>45</v>
      </c>
      <c r="K40" s="30" t="s">
        <v>70</v>
      </c>
      <c r="M40" s="33" t="s">
        <v>75</v>
      </c>
      <c r="N40" s="30">
        <v>0</v>
      </c>
    </row>
    <row r="41" spans="1:14" s="14" customFormat="1" ht="25.8" x14ac:dyDescent="0.25">
      <c r="A41" s="13">
        <v>39</v>
      </c>
      <c r="B41" s="1" t="s">
        <v>1415</v>
      </c>
      <c r="C41" s="1" t="s">
        <v>1416</v>
      </c>
      <c r="D41" s="1" t="s">
        <v>155</v>
      </c>
      <c r="E41" s="1" t="s">
        <v>1417</v>
      </c>
      <c r="F41" s="1" t="s">
        <v>157</v>
      </c>
      <c r="G41" s="1" t="s">
        <v>1418</v>
      </c>
      <c r="H41" s="55">
        <v>0</v>
      </c>
      <c r="I41" s="1" t="s">
        <v>1419</v>
      </c>
      <c r="J41" s="22">
        <v>45</v>
      </c>
      <c r="K41" s="30" t="s">
        <v>70</v>
      </c>
      <c r="M41" s="33" t="s">
        <v>76</v>
      </c>
      <c r="N41" s="30">
        <v>0</v>
      </c>
    </row>
    <row r="42" spans="1:14" s="14" customFormat="1" ht="25.8" x14ac:dyDescent="0.25">
      <c r="A42" s="13">
        <v>40</v>
      </c>
      <c r="B42" s="1" t="s">
        <v>1420</v>
      </c>
      <c r="C42" s="1" t="s">
        <v>1421</v>
      </c>
      <c r="D42" s="1" t="s">
        <v>155</v>
      </c>
      <c r="E42" s="1" t="s">
        <v>1422</v>
      </c>
      <c r="F42" s="1" t="s">
        <v>157</v>
      </c>
      <c r="G42" s="1" t="s">
        <v>1423</v>
      </c>
      <c r="H42" s="55">
        <v>0</v>
      </c>
      <c r="I42" s="1" t="s">
        <v>1424</v>
      </c>
      <c r="J42" s="22">
        <v>45</v>
      </c>
      <c r="K42" s="30" t="s">
        <v>70</v>
      </c>
      <c r="M42" s="33" t="s">
        <v>77</v>
      </c>
      <c r="N42" s="30">
        <v>0</v>
      </c>
    </row>
    <row r="43" spans="1:14" s="14" customFormat="1" ht="25.8" x14ac:dyDescent="0.25">
      <c r="A43" s="13">
        <v>41</v>
      </c>
      <c r="B43" s="1" t="s">
        <v>1425</v>
      </c>
      <c r="C43" s="1" t="s">
        <v>484</v>
      </c>
      <c r="D43" s="1" t="s">
        <v>155</v>
      </c>
      <c r="E43" s="1" t="s">
        <v>485</v>
      </c>
      <c r="F43" s="1" t="s">
        <v>157</v>
      </c>
      <c r="G43" s="1" t="s">
        <v>1423</v>
      </c>
      <c r="H43" s="55">
        <v>0</v>
      </c>
      <c r="I43" s="1" t="s">
        <v>1426</v>
      </c>
      <c r="J43" s="22">
        <v>45</v>
      </c>
      <c r="K43" s="30" t="s">
        <v>70</v>
      </c>
      <c r="M43" s="33" t="s">
        <v>21</v>
      </c>
      <c r="N43" s="30">
        <v>0</v>
      </c>
    </row>
    <row r="44" spans="1:14" s="14" customFormat="1" ht="25.8" x14ac:dyDescent="0.25">
      <c r="A44" s="13">
        <v>42</v>
      </c>
      <c r="B44" s="1" t="s">
        <v>1427</v>
      </c>
      <c r="C44" s="1" t="s">
        <v>224</v>
      </c>
      <c r="D44" s="1" t="s">
        <v>155</v>
      </c>
      <c r="E44" s="1" t="s">
        <v>225</v>
      </c>
      <c r="F44" s="1" t="s">
        <v>157</v>
      </c>
      <c r="G44" s="1" t="s">
        <v>1428</v>
      </c>
      <c r="H44" s="55">
        <v>0</v>
      </c>
      <c r="I44" s="1" t="s">
        <v>1429</v>
      </c>
      <c r="J44" s="22">
        <v>45</v>
      </c>
      <c r="K44" s="30" t="s">
        <v>70</v>
      </c>
      <c r="M44" s="33" t="s">
        <v>78</v>
      </c>
      <c r="N44" s="30">
        <v>0</v>
      </c>
    </row>
    <row r="45" spans="1:14" s="14" customFormat="1" ht="25.8" x14ac:dyDescent="0.25">
      <c r="A45" s="13">
        <v>43</v>
      </c>
      <c r="B45" s="1" t="s">
        <v>1430</v>
      </c>
      <c r="C45" s="1" t="s">
        <v>547</v>
      </c>
      <c r="D45" s="1" t="s">
        <v>155</v>
      </c>
      <c r="E45" s="1" t="s">
        <v>548</v>
      </c>
      <c r="F45" s="1" t="s">
        <v>157</v>
      </c>
      <c r="G45" s="1" t="s">
        <v>1431</v>
      </c>
      <c r="H45" s="55">
        <v>0</v>
      </c>
      <c r="I45" s="1" t="s">
        <v>1432</v>
      </c>
      <c r="J45" s="22">
        <v>45</v>
      </c>
      <c r="K45" s="30" t="s">
        <v>70</v>
      </c>
      <c r="M45" s="33" t="s">
        <v>79</v>
      </c>
      <c r="N45" s="30">
        <v>0</v>
      </c>
    </row>
    <row r="46" spans="1:14" s="14" customFormat="1" ht="25.8" x14ac:dyDescent="0.25">
      <c r="A46" s="13">
        <v>44</v>
      </c>
      <c r="B46" s="1" t="s">
        <v>1433</v>
      </c>
      <c r="C46" s="1" t="s">
        <v>402</v>
      </c>
      <c r="D46" s="1" t="s">
        <v>155</v>
      </c>
      <c r="E46" s="1" t="s">
        <v>403</v>
      </c>
      <c r="F46" s="1" t="s">
        <v>157</v>
      </c>
      <c r="G46" s="1" t="s">
        <v>1434</v>
      </c>
      <c r="H46" s="55">
        <v>0</v>
      </c>
      <c r="I46" s="1" t="s">
        <v>1435</v>
      </c>
      <c r="J46" s="22">
        <v>45</v>
      </c>
      <c r="K46" s="30" t="s">
        <v>70</v>
      </c>
      <c r="M46" s="33" t="s">
        <v>80</v>
      </c>
      <c r="N46" s="30">
        <v>0</v>
      </c>
    </row>
    <row r="47" spans="1:14" s="14" customFormat="1" ht="25.8" x14ac:dyDescent="0.25">
      <c r="A47" s="13">
        <v>45</v>
      </c>
      <c r="B47" s="1" t="s">
        <v>1436</v>
      </c>
      <c r="C47" s="1" t="s">
        <v>1437</v>
      </c>
      <c r="D47" s="1" t="s">
        <v>155</v>
      </c>
      <c r="E47" s="1" t="s">
        <v>206</v>
      </c>
      <c r="F47" s="1" t="s">
        <v>157</v>
      </c>
      <c r="G47" s="1" t="s">
        <v>1438</v>
      </c>
      <c r="H47" s="55">
        <v>0</v>
      </c>
      <c r="I47" s="1" t="s">
        <v>1439</v>
      </c>
      <c r="J47" s="22">
        <v>45</v>
      </c>
      <c r="K47" s="30" t="s">
        <v>70</v>
      </c>
      <c r="M47" s="33" t="s">
        <v>81</v>
      </c>
      <c r="N47" s="30">
        <v>0</v>
      </c>
    </row>
    <row r="48" spans="1:14" s="14" customFormat="1" ht="25.8" x14ac:dyDescent="0.25">
      <c r="A48" s="13">
        <v>46</v>
      </c>
      <c r="B48" s="1" t="s">
        <v>1440</v>
      </c>
      <c r="C48" s="1" t="s">
        <v>1441</v>
      </c>
      <c r="D48" s="1" t="s">
        <v>155</v>
      </c>
      <c r="E48" s="1" t="s">
        <v>1442</v>
      </c>
      <c r="F48" s="1" t="s">
        <v>157</v>
      </c>
      <c r="G48" s="1" t="s">
        <v>1443</v>
      </c>
      <c r="H48" s="55">
        <v>0</v>
      </c>
      <c r="I48" s="1" t="s">
        <v>1444</v>
      </c>
      <c r="J48" s="22">
        <v>45</v>
      </c>
      <c r="K48" s="30" t="s">
        <v>70</v>
      </c>
      <c r="M48" s="33" t="s">
        <v>86</v>
      </c>
      <c r="N48" s="30">
        <v>0</v>
      </c>
    </row>
    <row r="49" spans="1:14" s="14" customFormat="1" ht="25.8" x14ac:dyDescent="0.25">
      <c r="A49" s="13">
        <v>47</v>
      </c>
      <c r="B49" s="1" t="s">
        <v>1445</v>
      </c>
      <c r="C49" s="1" t="s">
        <v>1446</v>
      </c>
      <c r="D49" s="1" t="s">
        <v>155</v>
      </c>
      <c r="E49" s="1" t="s">
        <v>1447</v>
      </c>
      <c r="F49" s="1" t="s">
        <v>157</v>
      </c>
      <c r="G49" s="1" t="s">
        <v>1448</v>
      </c>
      <c r="H49" s="55">
        <v>0</v>
      </c>
      <c r="I49" s="1" t="s">
        <v>1449</v>
      </c>
      <c r="J49" s="22">
        <v>45</v>
      </c>
      <c r="K49" s="30" t="s">
        <v>70</v>
      </c>
      <c r="M49" s="33" t="s">
        <v>82</v>
      </c>
      <c r="N49" s="30">
        <v>0</v>
      </c>
    </row>
    <row r="50" spans="1:14" s="14" customFormat="1" ht="25.8" x14ac:dyDescent="0.25">
      <c r="A50" s="13">
        <v>48</v>
      </c>
      <c r="B50" s="1" t="s">
        <v>1450</v>
      </c>
      <c r="C50" s="1" t="s">
        <v>1451</v>
      </c>
      <c r="D50" s="1" t="s">
        <v>155</v>
      </c>
      <c r="E50" s="1" t="s">
        <v>1452</v>
      </c>
      <c r="F50" s="1" t="s">
        <v>157</v>
      </c>
      <c r="G50" s="1" t="s">
        <v>1453</v>
      </c>
      <c r="H50" s="55">
        <v>0</v>
      </c>
      <c r="I50" s="1" t="s">
        <v>1454</v>
      </c>
      <c r="J50" s="22">
        <v>45</v>
      </c>
      <c r="K50" s="30" t="s">
        <v>70</v>
      </c>
      <c r="M50" s="33" t="s">
        <v>85</v>
      </c>
      <c r="N50" s="30">
        <v>0</v>
      </c>
    </row>
    <row r="51" spans="1:14" s="14" customFormat="1" ht="25.8" x14ac:dyDescent="0.25">
      <c r="A51" s="13">
        <v>49</v>
      </c>
      <c r="B51" s="1" t="s">
        <v>1455</v>
      </c>
      <c r="C51" s="1" t="s">
        <v>1086</v>
      </c>
      <c r="D51" s="1" t="s">
        <v>155</v>
      </c>
      <c r="E51" s="1" t="s">
        <v>1087</v>
      </c>
      <c r="F51" s="1" t="s">
        <v>157</v>
      </c>
      <c r="G51" s="1" t="s">
        <v>1456</v>
      </c>
      <c r="H51" s="55">
        <v>0</v>
      </c>
      <c r="I51" s="1" t="s">
        <v>1457</v>
      </c>
      <c r="J51" s="22">
        <v>45</v>
      </c>
      <c r="K51" s="30" t="s">
        <v>70</v>
      </c>
      <c r="M51" s="33" t="s">
        <v>83</v>
      </c>
      <c r="N51" s="30">
        <v>0</v>
      </c>
    </row>
    <row r="52" spans="1:14" s="14" customFormat="1" ht="25.8" x14ac:dyDescent="0.25">
      <c r="A52" s="13">
        <v>50</v>
      </c>
      <c r="B52" s="1" t="s">
        <v>1458</v>
      </c>
      <c r="C52" s="1" t="s">
        <v>1338</v>
      </c>
      <c r="D52" s="1" t="s">
        <v>155</v>
      </c>
      <c r="E52" s="1" t="s">
        <v>1339</v>
      </c>
      <c r="F52" s="1" t="s">
        <v>157</v>
      </c>
      <c r="G52" s="1" t="s">
        <v>1459</v>
      </c>
      <c r="H52" s="55">
        <v>0</v>
      </c>
      <c r="I52" s="1" t="s">
        <v>1460</v>
      </c>
      <c r="J52" s="22">
        <v>45</v>
      </c>
      <c r="K52" s="30" t="s">
        <v>70</v>
      </c>
      <c r="M52" s="33" t="s">
        <v>41</v>
      </c>
      <c r="N52" s="30">
        <v>0</v>
      </c>
    </row>
    <row r="53" spans="1:14" s="14" customFormat="1" ht="25.8" x14ac:dyDescent="0.25">
      <c r="A53" s="13">
        <v>51</v>
      </c>
      <c r="B53" s="1" t="s">
        <v>1461</v>
      </c>
      <c r="C53" s="1" t="s">
        <v>1462</v>
      </c>
      <c r="D53" s="1" t="s">
        <v>155</v>
      </c>
      <c r="E53" s="1" t="s">
        <v>1463</v>
      </c>
      <c r="F53" s="1" t="s">
        <v>157</v>
      </c>
      <c r="G53" s="1" t="s">
        <v>1464</v>
      </c>
      <c r="H53" s="55">
        <v>0</v>
      </c>
      <c r="I53" s="1" t="s">
        <v>1465</v>
      </c>
      <c r="J53" s="22">
        <v>45</v>
      </c>
      <c r="K53" s="30" t="s">
        <v>70</v>
      </c>
      <c r="M53" s="33" t="s">
        <v>84</v>
      </c>
      <c r="N53" s="30">
        <v>0</v>
      </c>
    </row>
    <row r="54" spans="1:14" s="14" customFormat="1" ht="25.8" x14ac:dyDescent="0.25">
      <c r="A54" s="13">
        <v>52</v>
      </c>
      <c r="B54" s="1" t="s">
        <v>1466</v>
      </c>
      <c r="C54" s="1" t="s">
        <v>1133</v>
      </c>
      <c r="D54" s="1" t="s">
        <v>155</v>
      </c>
      <c r="E54" s="1" t="s">
        <v>1134</v>
      </c>
      <c r="F54" s="1" t="s">
        <v>157</v>
      </c>
      <c r="G54" s="1" t="s">
        <v>1467</v>
      </c>
      <c r="H54" s="55">
        <v>0</v>
      </c>
      <c r="I54" s="1" t="s">
        <v>1468</v>
      </c>
      <c r="J54" s="22">
        <v>45</v>
      </c>
      <c r="K54" s="30" t="s">
        <v>70</v>
      </c>
      <c r="M54" s="33" t="s">
        <v>47</v>
      </c>
      <c r="N54" s="30">
        <v>0</v>
      </c>
    </row>
    <row r="55" spans="1:14" s="14" customFormat="1" ht="25.8" x14ac:dyDescent="0.25">
      <c r="A55" s="13">
        <v>53</v>
      </c>
      <c r="B55" s="1" t="s">
        <v>1469</v>
      </c>
      <c r="C55" s="1" t="s">
        <v>1470</v>
      </c>
      <c r="D55" s="1" t="s">
        <v>106</v>
      </c>
      <c r="E55" s="1" t="s">
        <v>107</v>
      </c>
      <c r="F55" s="1" t="s">
        <v>102</v>
      </c>
      <c r="G55" s="1" t="s">
        <v>1471</v>
      </c>
      <c r="H55" s="55">
        <v>0</v>
      </c>
      <c r="I55" s="1" t="s">
        <v>1472</v>
      </c>
      <c r="J55" s="22">
        <v>45</v>
      </c>
      <c r="K55" s="30" t="s">
        <v>70</v>
      </c>
      <c r="M55" s="33" t="s">
        <v>87</v>
      </c>
      <c r="N55" s="30">
        <v>0</v>
      </c>
    </row>
    <row r="56" spans="1:14" s="14" customFormat="1" ht="25.8" x14ac:dyDescent="0.25">
      <c r="A56" s="13">
        <v>54</v>
      </c>
      <c r="B56" s="1" t="s">
        <v>1473</v>
      </c>
      <c r="C56" s="1" t="s">
        <v>254</v>
      </c>
      <c r="D56" s="1" t="s">
        <v>155</v>
      </c>
      <c r="E56" s="1" t="s">
        <v>255</v>
      </c>
      <c r="F56" s="1" t="s">
        <v>157</v>
      </c>
      <c r="G56" s="1" t="s">
        <v>1474</v>
      </c>
      <c r="H56" s="55">
        <v>0</v>
      </c>
      <c r="I56" s="1" t="s">
        <v>1475</v>
      </c>
      <c r="J56" s="22">
        <v>45</v>
      </c>
      <c r="K56" s="30" t="s">
        <v>70</v>
      </c>
      <c r="M56" s="33" t="s">
        <v>22</v>
      </c>
      <c r="N56" s="30">
        <v>0</v>
      </c>
    </row>
    <row r="57" spans="1:14" s="14" customFormat="1" ht="25.8" x14ac:dyDescent="0.25">
      <c r="A57" s="13">
        <v>55</v>
      </c>
      <c r="B57" s="1" t="s">
        <v>1476</v>
      </c>
      <c r="C57" s="1" t="s">
        <v>655</v>
      </c>
      <c r="D57" s="1" t="s">
        <v>155</v>
      </c>
      <c r="E57" s="1" t="s">
        <v>656</v>
      </c>
      <c r="F57" s="1" t="s">
        <v>157</v>
      </c>
      <c r="G57" s="1" t="s">
        <v>1474</v>
      </c>
      <c r="H57" s="55">
        <v>0</v>
      </c>
      <c r="I57" s="1" t="s">
        <v>1477</v>
      </c>
      <c r="J57" s="22">
        <v>45</v>
      </c>
      <c r="K57" s="30" t="s">
        <v>70</v>
      </c>
      <c r="M57" s="33"/>
      <c r="N57" s="30"/>
    </row>
    <row r="58" spans="1:14" ht="25.8" x14ac:dyDescent="0.25">
      <c r="A58" s="13">
        <v>56</v>
      </c>
      <c r="B58" s="1" t="s">
        <v>1478</v>
      </c>
      <c r="C58" s="1" t="s">
        <v>1479</v>
      </c>
      <c r="D58" s="1" t="s">
        <v>155</v>
      </c>
      <c r="E58" s="1" t="s">
        <v>1480</v>
      </c>
      <c r="F58" s="1" t="s">
        <v>157</v>
      </c>
      <c r="G58" s="1" t="s">
        <v>1481</v>
      </c>
      <c r="H58" s="55">
        <v>0</v>
      </c>
      <c r="I58" s="1" t="s">
        <v>1482</v>
      </c>
      <c r="J58" s="22">
        <v>45</v>
      </c>
      <c r="K58" s="30" t="s">
        <v>70</v>
      </c>
      <c r="M58" s="33"/>
      <c r="N58" s="30"/>
    </row>
    <row r="59" spans="1:14" ht="25.8" x14ac:dyDescent="0.25">
      <c r="A59" s="13">
        <v>57</v>
      </c>
      <c r="B59" s="1" t="s">
        <v>1483</v>
      </c>
      <c r="C59" s="1" t="s">
        <v>1484</v>
      </c>
      <c r="D59" s="1" t="s">
        <v>106</v>
      </c>
      <c r="E59" s="1" t="s">
        <v>107</v>
      </c>
      <c r="F59" s="1" t="s">
        <v>102</v>
      </c>
      <c r="G59" s="1" t="s">
        <v>1485</v>
      </c>
      <c r="H59" s="55">
        <v>0</v>
      </c>
      <c r="I59" s="1" t="s">
        <v>1486</v>
      </c>
      <c r="J59" s="22">
        <v>45</v>
      </c>
      <c r="K59" s="30" t="s">
        <v>65</v>
      </c>
      <c r="M59" s="33"/>
      <c r="N59" s="30"/>
    </row>
    <row r="60" spans="1:14" ht="25.8" x14ac:dyDescent="0.25">
      <c r="A60" s="13">
        <v>58</v>
      </c>
      <c r="B60" s="1" t="s">
        <v>1487</v>
      </c>
      <c r="C60" s="1" t="s">
        <v>224</v>
      </c>
      <c r="D60" s="1" t="s">
        <v>155</v>
      </c>
      <c r="E60" s="1" t="s">
        <v>225</v>
      </c>
      <c r="F60" s="1" t="s">
        <v>157</v>
      </c>
      <c r="G60" s="1" t="s">
        <v>1488</v>
      </c>
      <c r="H60" s="55">
        <v>0</v>
      </c>
      <c r="I60" s="1" t="s">
        <v>1489</v>
      </c>
      <c r="J60" s="22">
        <v>45</v>
      </c>
      <c r="K60" s="30" t="s">
        <v>70</v>
      </c>
      <c r="M60" s="33"/>
      <c r="N60" s="30"/>
    </row>
    <row r="61" spans="1:14" ht="25.8" x14ac:dyDescent="0.25">
      <c r="A61" s="13">
        <v>59</v>
      </c>
      <c r="B61" s="1" t="s">
        <v>1490</v>
      </c>
      <c r="C61" s="1" t="s">
        <v>912</v>
      </c>
      <c r="D61" s="1" t="s">
        <v>155</v>
      </c>
      <c r="E61" s="1" t="s">
        <v>913</v>
      </c>
      <c r="F61" s="1" t="s">
        <v>157</v>
      </c>
      <c r="G61" s="1" t="s">
        <v>1491</v>
      </c>
      <c r="H61" s="55">
        <v>0</v>
      </c>
      <c r="I61" s="1" t="s">
        <v>1492</v>
      </c>
      <c r="J61" s="22">
        <v>45</v>
      </c>
      <c r="K61" s="30" t="s">
        <v>70</v>
      </c>
      <c r="M61" s="33"/>
      <c r="N61" s="30"/>
    </row>
    <row r="62" spans="1:14" ht="25.8" x14ac:dyDescent="0.25">
      <c r="A62" s="13">
        <v>60</v>
      </c>
      <c r="B62" s="1" t="s">
        <v>1493</v>
      </c>
      <c r="C62" s="1" t="s">
        <v>1494</v>
      </c>
      <c r="D62" s="1" t="s">
        <v>106</v>
      </c>
      <c r="E62" s="1" t="s">
        <v>107</v>
      </c>
      <c r="F62" s="1" t="s">
        <v>102</v>
      </c>
      <c r="G62" s="1" t="s">
        <v>1495</v>
      </c>
      <c r="H62" s="55">
        <v>0</v>
      </c>
      <c r="I62" s="1" t="s">
        <v>1496</v>
      </c>
      <c r="J62" s="22">
        <v>45</v>
      </c>
      <c r="K62" s="30" t="s">
        <v>73</v>
      </c>
      <c r="M62" s="33"/>
      <c r="N62" s="30"/>
    </row>
    <row r="63" spans="1:14" ht="25.8" x14ac:dyDescent="0.25">
      <c r="A63" s="13">
        <v>61</v>
      </c>
      <c r="B63" s="1" t="s">
        <v>1497</v>
      </c>
      <c r="C63" s="1" t="s">
        <v>176</v>
      </c>
      <c r="D63" s="1" t="s">
        <v>155</v>
      </c>
      <c r="E63" s="1" t="s">
        <v>177</v>
      </c>
      <c r="F63" s="1" t="s">
        <v>157</v>
      </c>
      <c r="G63" s="1" t="s">
        <v>1498</v>
      </c>
      <c r="H63" s="55">
        <v>0</v>
      </c>
      <c r="I63" s="1" t="s">
        <v>1499</v>
      </c>
      <c r="J63" s="22">
        <v>45</v>
      </c>
      <c r="K63" s="30" t="s">
        <v>70</v>
      </c>
      <c r="M63" s="33"/>
      <c r="N63" s="30"/>
    </row>
    <row r="64" spans="1:14" ht="25.8" x14ac:dyDescent="0.35">
      <c r="A64" s="13">
        <v>62</v>
      </c>
      <c r="B64" s="1" t="s">
        <v>1500</v>
      </c>
      <c r="C64" s="1" t="s">
        <v>1501</v>
      </c>
      <c r="D64" s="1" t="s">
        <v>155</v>
      </c>
      <c r="E64" s="1" t="s">
        <v>1502</v>
      </c>
      <c r="F64" s="1" t="s">
        <v>157</v>
      </c>
      <c r="G64" s="1" t="s">
        <v>1503</v>
      </c>
      <c r="H64" s="55">
        <v>0</v>
      </c>
      <c r="I64" s="1" t="s">
        <v>1504</v>
      </c>
      <c r="J64" s="22">
        <v>45</v>
      </c>
      <c r="K64" s="30" t="s">
        <v>70</v>
      </c>
      <c r="N64" s="3"/>
    </row>
    <row r="65" spans="1:14" ht="25.8" x14ac:dyDescent="0.35">
      <c r="A65" s="13">
        <v>63</v>
      </c>
      <c r="B65" s="1" t="s">
        <v>1505</v>
      </c>
      <c r="C65" s="1" t="s">
        <v>1506</v>
      </c>
      <c r="D65" s="1" t="s">
        <v>155</v>
      </c>
      <c r="E65" s="1" t="s">
        <v>1507</v>
      </c>
      <c r="F65" s="1" t="s">
        <v>157</v>
      </c>
      <c r="G65" s="1" t="s">
        <v>1508</v>
      </c>
      <c r="H65" s="55">
        <v>0</v>
      </c>
      <c r="I65" s="1" t="s">
        <v>1509</v>
      </c>
      <c r="J65" s="22">
        <v>45</v>
      </c>
      <c r="K65" s="30" t="s">
        <v>70</v>
      </c>
      <c r="N65" s="3"/>
    </row>
    <row r="66" spans="1:14" ht="25.8" x14ac:dyDescent="0.35">
      <c r="A66" s="13">
        <v>64</v>
      </c>
      <c r="B66" s="1" t="s">
        <v>1510</v>
      </c>
      <c r="C66" s="1" t="s">
        <v>220</v>
      </c>
      <c r="D66" s="1" t="s">
        <v>155</v>
      </c>
      <c r="E66" s="1" t="s">
        <v>221</v>
      </c>
      <c r="F66" s="1" t="s">
        <v>157</v>
      </c>
      <c r="G66" s="1" t="s">
        <v>1511</v>
      </c>
      <c r="H66" s="55">
        <v>0</v>
      </c>
      <c r="I66" s="1" t="s">
        <v>1512</v>
      </c>
      <c r="J66" s="22">
        <v>45</v>
      </c>
      <c r="K66" s="30" t="s">
        <v>70</v>
      </c>
      <c r="N66" s="3"/>
    </row>
    <row r="67" spans="1:14" ht="25.8" x14ac:dyDescent="0.35">
      <c r="A67" s="13">
        <v>65</v>
      </c>
      <c r="B67" s="1" t="s">
        <v>1513</v>
      </c>
      <c r="C67" s="1" t="s">
        <v>1514</v>
      </c>
      <c r="D67" s="1" t="s">
        <v>155</v>
      </c>
      <c r="E67" s="1" t="s">
        <v>1515</v>
      </c>
      <c r="F67" s="1" t="s">
        <v>157</v>
      </c>
      <c r="G67" s="1" t="s">
        <v>1516</v>
      </c>
      <c r="H67" s="55">
        <v>0</v>
      </c>
      <c r="I67" s="1" t="s">
        <v>1517</v>
      </c>
      <c r="J67" s="22">
        <v>45</v>
      </c>
      <c r="K67" s="30" t="s">
        <v>70</v>
      </c>
      <c r="N67" s="3"/>
    </row>
    <row r="68" spans="1:14" ht="25.8" x14ac:dyDescent="0.35">
      <c r="A68" s="13">
        <v>66</v>
      </c>
      <c r="B68" s="1" t="s">
        <v>1518</v>
      </c>
      <c r="C68" s="1" t="s">
        <v>1330</v>
      </c>
      <c r="D68" s="1" t="s">
        <v>155</v>
      </c>
      <c r="E68" s="1" t="s">
        <v>1331</v>
      </c>
      <c r="F68" s="1" t="s">
        <v>157</v>
      </c>
      <c r="G68" s="1" t="s">
        <v>1519</v>
      </c>
      <c r="H68" s="55">
        <v>0</v>
      </c>
      <c r="I68" s="1" t="s">
        <v>1520</v>
      </c>
      <c r="J68" s="22">
        <v>45</v>
      </c>
      <c r="K68" s="30" t="s">
        <v>70</v>
      </c>
      <c r="N68" s="3"/>
    </row>
    <row r="69" spans="1:14" ht="25.8" x14ac:dyDescent="0.35">
      <c r="A69" s="13">
        <v>67</v>
      </c>
      <c r="B69" s="1" t="s">
        <v>1521</v>
      </c>
      <c r="C69" s="1" t="s">
        <v>1522</v>
      </c>
      <c r="D69" s="1" t="s">
        <v>155</v>
      </c>
      <c r="E69" s="1" t="s">
        <v>1523</v>
      </c>
      <c r="F69" s="1" t="s">
        <v>157</v>
      </c>
      <c r="G69" s="1" t="s">
        <v>1524</v>
      </c>
      <c r="H69" s="55">
        <v>0</v>
      </c>
      <c r="I69" s="1" t="s">
        <v>1525</v>
      </c>
      <c r="J69" s="22">
        <v>45</v>
      </c>
      <c r="K69" s="30" t="s">
        <v>70</v>
      </c>
      <c r="N69" s="3"/>
    </row>
    <row r="70" spans="1:14" ht="25.8" x14ac:dyDescent="0.35">
      <c r="A70" s="13">
        <v>68</v>
      </c>
      <c r="B70" s="1" t="s">
        <v>1526</v>
      </c>
      <c r="C70" s="1" t="s">
        <v>1479</v>
      </c>
      <c r="D70" s="1" t="s">
        <v>155</v>
      </c>
      <c r="E70" s="1" t="s">
        <v>1480</v>
      </c>
      <c r="F70" s="1" t="s">
        <v>157</v>
      </c>
      <c r="G70" s="1" t="s">
        <v>1527</v>
      </c>
      <c r="H70" s="55">
        <v>0</v>
      </c>
      <c r="I70" s="1" t="s">
        <v>1528</v>
      </c>
      <c r="J70" s="22">
        <v>45</v>
      </c>
      <c r="K70" s="30" t="s">
        <v>70</v>
      </c>
      <c r="N70" s="3"/>
    </row>
    <row r="71" spans="1:14" ht="25.8" x14ac:dyDescent="0.35">
      <c r="A71" s="13">
        <v>69</v>
      </c>
      <c r="B71" s="1" t="s">
        <v>1529</v>
      </c>
      <c r="C71" s="1" t="s">
        <v>621</v>
      </c>
      <c r="D71" s="1" t="s">
        <v>232</v>
      </c>
      <c r="E71" s="1" t="s">
        <v>107</v>
      </c>
      <c r="F71" s="1" t="s">
        <v>233</v>
      </c>
      <c r="G71" s="1" t="s">
        <v>1530</v>
      </c>
      <c r="H71" s="55">
        <v>0</v>
      </c>
      <c r="I71" s="1" t="s">
        <v>1531</v>
      </c>
      <c r="J71" s="22">
        <v>45</v>
      </c>
      <c r="K71" s="30" t="s">
        <v>70</v>
      </c>
      <c r="N71" s="3"/>
    </row>
    <row r="72" spans="1:14" ht="25.8" x14ac:dyDescent="0.35">
      <c r="A72" s="13">
        <v>70</v>
      </c>
      <c r="B72" s="1" t="s">
        <v>1532</v>
      </c>
      <c r="C72" s="1" t="s">
        <v>1533</v>
      </c>
      <c r="D72" s="1" t="s">
        <v>155</v>
      </c>
      <c r="E72" s="1" t="s">
        <v>1534</v>
      </c>
      <c r="F72" s="1" t="s">
        <v>157</v>
      </c>
      <c r="G72" s="1" t="s">
        <v>1535</v>
      </c>
      <c r="H72" s="55">
        <v>0</v>
      </c>
      <c r="I72" s="1" t="s">
        <v>1536</v>
      </c>
      <c r="J72" s="22">
        <v>45</v>
      </c>
      <c r="K72" s="30" t="s">
        <v>70</v>
      </c>
      <c r="N72" s="3"/>
    </row>
    <row r="73" spans="1:14" ht="25.8" x14ac:dyDescent="0.35">
      <c r="A73" s="13">
        <v>71</v>
      </c>
      <c r="B73" s="1" t="s">
        <v>1537</v>
      </c>
      <c r="C73" s="1" t="s">
        <v>1538</v>
      </c>
      <c r="D73" s="1" t="s">
        <v>106</v>
      </c>
      <c r="E73" s="1" t="s">
        <v>107</v>
      </c>
      <c r="F73" s="1" t="s">
        <v>102</v>
      </c>
      <c r="G73" s="1" t="s">
        <v>1539</v>
      </c>
      <c r="H73" s="55">
        <v>0</v>
      </c>
      <c r="I73" s="1" t="s">
        <v>1540</v>
      </c>
      <c r="J73" s="22">
        <v>45</v>
      </c>
      <c r="K73" s="30" t="s">
        <v>70</v>
      </c>
      <c r="N73" s="3"/>
    </row>
    <row r="74" spans="1:14" ht="25.8" x14ac:dyDescent="0.35">
      <c r="A74" s="13">
        <v>72</v>
      </c>
      <c r="B74" s="1" t="s">
        <v>1541</v>
      </c>
      <c r="C74" s="1" t="s">
        <v>1542</v>
      </c>
      <c r="D74" s="1" t="s">
        <v>155</v>
      </c>
      <c r="E74" s="1" t="s">
        <v>1543</v>
      </c>
      <c r="F74" s="1" t="s">
        <v>157</v>
      </c>
      <c r="G74" s="1" t="s">
        <v>1544</v>
      </c>
      <c r="H74" s="55">
        <v>0</v>
      </c>
      <c r="I74" s="1" t="s">
        <v>1545</v>
      </c>
      <c r="J74" s="22">
        <v>45</v>
      </c>
      <c r="K74" s="30" t="s">
        <v>70</v>
      </c>
      <c r="N74" s="3"/>
    </row>
    <row r="75" spans="1:14" ht="25.8" x14ac:dyDescent="0.35">
      <c r="A75" s="13">
        <v>73</v>
      </c>
      <c r="B75" s="1" t="s">
        <v>1546</v>
      </c>
      <c r="C75" s="1" t="s">
        <v>958</v>
      </c>
      <c r="D75" s="1" t="s">
        <v>155</v>
      </c>
      <c r="E75" s="1" t="s">
        <v>189</v>
      </c>
      <c r="F75" s="1" t="s">
        <v>157</v>
      </c>
      <c r="G75" s="1" t="s">
        <v>1547</v>
      </c>
      <c r="H75" s="55">
        <v>0</v>
      </c>
      <c r="I75" s="1" t="s">
        <v>1548</v>
      </c>
      <c r="J75" s="22">
        <v>45</v>
      </c>
      <c r="K75" s="30" t="s">
        <v>70</v>
      </c>
      <c r="N75" s="3"/>
    </row>
    <row r="76" spans="1:14" ht="25.8" x14ac:dyDescent="0.35">
      <c r="A76" s="13">
        <v>74</v>
      </c>
      <c r="B76" s="1" t="s">
        <v>1549</v>
      </c>
      <c r="C76" s="1" t="s">
        <v>1106</v>
      </c>
      <c r="D76" s="1" t="s">
        <v>155</v>
      </c>
      <c r="E76" s="1" t="s">
        <v>1107</v>
      </c>
      <c r="F76" s="1" t="s">
        <v>157</v>
      </c>
      <c r="G76" s="1" t="s">
        <v>1550</v>
      </c>
      <c r="H76" s="55">
        <v>0</v>
      </c>
      <c r="I76" s="1" t="s">
        <v>1551</v>
      </c>
      <c r="J76" s="22">
        <v>45</v>
      </c>
      <c r="K76" s="30" t="s">
        <v>70</v>
      </c>
      <c r="N76" s="3"/>
    </row>
    <row r="77" spans="1:14" ht="46.8" x14ac:dyDescent="0.35">
      <c r="A77" s="13">
        <v>75</v>
      </c>
      <c r="B77" s="1" t="s">
        <v>1552</v>
      </c>
      <c r="C77" s="1" t="s">
        <v>1553</v>
      </c>
      <c r="D77" s="1" t="s">
        <v>155</v>
      </c>
      <c r="E77" s="1" t="s">
        <v>1554</v>
      </c>
      <c r="F77" s="1" t="s">
        <v>178</v>
      </c>
      <c r="G77" s="1" t="s">
        <v>1555</v>
      </c>
      <c r="H77" s="55">
        <v>0</v>
      </c>
      <c r="I77" s="1" t="s">
        <v>1556</v>
      </c>
      <c r="J77" s="22">
        <v>45</v>
      </c>
      <c r="K77" s="30" t="s">
        <v>70</v>
      </c>
      <c r="N77" s="3"/>
    </row>
    <row r="78" spans="1:14" ht="25.8" x14ac:dyDescent="0.35">
      <c r="A78" s="13">
        <v>76</v>
      </c>
      <c r="B78" s="1" t="s">
        <v>1557</v>
      </c>
      <c r="C78" s="1" t="s">
        <v>1558</v>
      </c>
      <c r="D78" s="1" t="s">
        <v>155</v>
      </c>
      <c r="E78" s="1" t="s">
        <v>1559</v>
      </c>
      <c r="F78" s="1" t="s">
        <v>157</v>
      </c>
      <c r="G78" s="1" t="s">
        <v>1560</v>
      </c>
      <c r="H78" s="55">
        <v>0</v>
      </c>
      <c r="I78" s="1" t="s">
        <v>1561</v>
      </c>
      <c r="J78" s="22">
        <v>45</v>
      </c>
      <c r="K78" s="30" t="s">
        <v>70</v>
      </c>
      <c r="N78" s="3"/>
    </row>
    <row r="79" spans="1:14" ht="25.8" x14ac:dyDescent="0.35">
      <c r="A79" s="13">
        <v>77</v>
      </c>
      <c r="B79" s="1" t="s">
        <v>1562</v>
      </c>
      <c r="C79" s="1" t="s">
        <v>1451</v>
      </c>
      <c r="D79" s="1" t="s">
        <v>155</v>
      </c>
      <c r="E79" s="1" t="s">
        <v>1452</v>
      </c>
      <c r="F79" s="1" t="s">
        <v>157</v>
      </c>
      <c r="G79" s="1" t="s">
        <v>1563</v>
      </c>
      <c r="H79" s="55">
        <v>0</v>
      </c>
      <c r="I79" s="1" t="s">
        <v>1564</v>
      </c>
      <c r="J79" s="22">
        <v>45</v>
      </c>
      <c r="K79" s="30" t="s">
        <v>70</v>
      </c>
      <c r="N79" s="3"/>
    </row>
    <row r="80" spans="1:14" ht="25.8" x14ac:dyDescent="0.35">
      <c r="A80" s="13">
        <v>78</v>
      </c>
      <c r="B80" s="1" t="s">
        <v>1565</v>
      </c>
      <c r="C80" s="1" t="s">
        <v>1566</v>
      </c>
      <c r="D80" s="1" t="s">
        <v>155</v>
      </c>
      <c r="E80" s="1" t="s">
        <v>1567</v>
      </c>
      <c r="F80" s="1" t="s">
        <v>157</v>
      </c>
      <c r="G80" s="1" t="s">
        <v>1568</v>
      </c>
      <c r="H80" s="55">
        <v>0</v>
      </c>
      <c r="I80" s="1" t="s">
        <v>1569</v>
      </c>
      <c r="J80" s="22">
        <v>45</v>
      </c>
      <c r="K80" s="30" t="s">
        <v>70</v>
      </c>
      <c r="N80" s="3"/>
    </row>
    <row r="81" spans="1:14" ht="25.8" x14ac:dyDescent="0.35">
      <c r="A81" s="13">
        <v>79</v>
      </c>
      <c r="B81" s="1" t="s">
        <v>1570</v>
      </c>
      <c r="C81" s="1" t="s">
        <v>1571</v>
      </c>
      <c r="D81" s="1" t="s">
        <v>106</v>
      </c>
      <c r="E81" s="1" t="s">
        <v>107</v>
      </c>
      <c r="F81" s="1" t="s">
        <v>102</v>
      </c>
      <c r="G81" s="1" t="s">
        <v>1572</v>
      </c>
      <c r="H81" s="55">
        <v>0</v>
      </c>
      <c r="I81" s="1" t="s">
        <v>1573</v>
      </c>
      <c r="J81" s="22">
        <v>45</v>
      </c>
      <c r="K81" s="30" t="s">
        <v>70</v>
      </c>
      <c r="N81" s="3"/>
    </row>
    <row r="82" spans="1:14" ht="25.8" x14ac:dyDescent="0.35">
      <c r="A82" s="13">
        <v>80</v>
      </c>
      <c r="B82" s="1" t="s">
        <v>1574</v>
      </c>
      <c r="C82" s="1" t="s">
        <v>773</v>
      </c>
      <c r="D82" s="1" t="s">
        <v>155</v>
      </c>
      <c r="E82" s="1" t="s">
        <v>774</v>
      </c>
      <c r="F82" s="1" t="s">
        <v>157</v>
      </c>
      <c r="G82" s="1" t="s">
        <v>1575</v>
      </c>
      <c r="H82" s="55">
        <v>0</v>
      </c>
      <c r="I82" s="1" t="s">
        <v>1576</v>
      </c>
      <c r="J82" s="22">
        <v>45</v>
      </c>
      <c r="K82" s="30" t="s">
        <v>70</v>
      </c>
      <c r="N82" s="3"/>
    </row>
    <row r="83" spans="1:14" ht="25.8" x14ac:dyDescent="0.35">
      <c r="A83" s="13">
        <v>81</v>
      </c>
      <c r="B83" s="1" t="s">
        <v>1577</v>
      </c>
      <c r="C83" s="1" t="s">
        <v>1578</v>
      </c>
      <c r="D83" s="1" t="s">
        <v>155</v>
      </c>
      <c r="E83" s="1" t="s">
        <v>1579</v>
      </c>
      <c r="F83" s="1" t="s">
        <v>157</v>
      </c>
      <c r="G83" s="1" t="s">
        <v>1580</v>
      </c>
      <c r="H83" s="55">
        <v>0</v>
      </c>
      <c r="I83" s="1" t="s">
        <v>1581</v>
      </c>
      <c r="J83" s="22">
        <v>45</v>
      </c>
      <c r="K83" s="30" t="s">
        <v>70</v>
      </c>
      <c r="N83" s="3"/>
    </row>
    <row r="84" spans="1:14" ht="25.8" x14ac:dyDescent="0.35">
      <c r="A84" s="13">
        <v>82</v>
      </c>
      <c r="B84" s="1" t="s">
        <v>1582</v>
      </c>
      <c r="C84" s="1" t="s">
        <v>1583</v>
      </c>
      <c r="D84" s="1" t="s">
        <v>155</v>
      </c>
      <c r="E84" s="1" t="s">
        <v>1584</v>
      </c>
      <c r="F84" s="1" t="s">
        <v>157</v>
      </c>
      <c r="G84" s="1" t="s">
        <v>1585</v>
      </c>
      <c r="H84" s="55">
        <v>0</v>
      </c>
      <c r="I84" s="1" t="s">
        <v>1586</v>
      </c>
      <c r="J84" s="22">
        <v>45</v>
      </c>
      <c r="K84" s="30" t="s">
        <v>70</v>
      </c>
      <c r="N84" s="3"/>
    </row>
    <row r="85" spans="1:14" ht="25.8" x14ac:dyDescent="0.35">
      <c r="A85" s="13">
        <v>83</v>
      </c>
      <c r="B85" s="1" t="s">
        <v>1587</v>
      </c>
      <c r="C85" s="1" t="s">
        <v>1116</v>
      </c>
      <c r="D85" s="1" t="s">
        <v>155</v>
      </c>
      <c r="E85" s="1" t="s">
        <v>1117</v>
      </c>
      <c r="F85" s="1" t="s">
        <v>157</v>
      </c>
      <c r="G85" s="1" t="s">
        <v>1588</v>
      </c>
      <c r="H85" s="55">
        <v>0</v>
      </c>
      <c r="I85" s="1" t="s">
        <v>1589</v>
      </c>
      <c r="J85" s="22">
        <v>45</v>
      </c>
      <c r="K85" s="30" t="s">
        <v>70</v>
      </c>
      <c r="N85" s="3"/>
    </row>
    <row r="86" spans="1:14" ht="25.8" x14ac:dyDescent="0.35">
      <c r="A86" s="13">
        <v>84</v>
      </c>
      <c r="B86" s="1" t="s">
        <v>1590</v>
      </c>
      <c r="C86" s="1" t="s">
        <v>154</v>
      </c>
      <c r="D86" s="1" t="s">
        <v>155</v>
      </c>
      <c r="E86" s="1" t="s">
        <v>156</v>
      </c>
      <c r="F86" s="1" t="s">
        <v>157</v>
      </c>
      <c r="G86" s="1" t="s">
        <v>1591</v>
      </c>
      <c r="H86" s="55">
        <v>0</v>
      </c>
      <c r="I86" s="1" t="s">
        <v>1592</v>
      </c>
      <c r="J86" s="22">
        <v>45</v>
      </c>
      <c r="K86" s="30" t="s">
        <v>70</v>
      </c>
      <c r="N86" s="3"/>
    </row>
    <row r="87" spans="1:14" ht="25.8" x14ac:dyDescent="0.35">
      <c r="A87" s="13">
        <v>85</v>
      </c>
      <c r="B87" s="1" t="s">
        <v>1593</v>
      </c>
      <c r="C87" s="1" t="s">
        <v>1594</v>
      </c>
      <c r="D87" s="1" t="s">
        <v>155</v>
      </c>
      <c r="E87" s="1" t="s">
        <v>1595</v>
      </c>
      <c r="F87" s="1" t="s">
        <v>157</v>
      </c>
      <c r="G87" s="1" t="s">
        <v>1596</v>
      </c>
      <c r="H87" s="55">
        <v>0</v>
      </c>
      <c r="I87" s="1" t="s">
        <v>1597</v>
      </c>
      <c r="J87" s="22">
        <v>45</v>
      </c>
      <c r="K87" s="30" t="s">
        <v>70</v>
      </c>
      <c r="N87" s="3"/>
    </row>
    <row r="88" spans="1:14" ht="25.8" x14ac:dyDescent="0.35">
      <c r="A88" s="13">
        <v>86</v>
      </c>
      <c r="B88" s="1" t="s">
        <v>1598</v>
      </c>
      <c r="C88" s="1" t="s">
        <v>1599</v>
      </c>
      <c r="D88" s="1" t="s">
        <v>155</v>
      </c>
      <c r="E88" s="1" t="s">
        <v>1600</v>
      </c>
      <c r="F88" s="1" t="s">
        <v>157</v>
      </c>
      <c r="G88" s="1" t="s">
        <v>1596</v>
      </c>
      <c r="H88" s="55">
        <v>0</v>
      </c>
      <c r="I88" s="1" t="s">
        <v>1601</v>
      </c>
      <c r="J88" s="22">
        <v>45</v>
      </c>
      <c r="K88" s="30" t="s">
        <v>70</v>
      </c>
      <c r="N88" s="3"/>
    </row>
    <row r="89" spans="1:14" ht="25.8" x14ac:dyDescent="0.35">
      <c r="A89" s="13">
        <v>87</v>
      </c>
      <c r="B89" s="1" t="s">
        <v>1602</v>
      </c>
      <c r="C89" s="1" t="s">
        <v>236</v>
      </c>
      <c r="D89" s="1" t="s">
        <v>155</v>
      </c>
      <c r="E89" s="1" t="s">
        <v>237</v>
      </c>
      <c r="F89" s="1" t="s">
        <v>157</v>
      </c>
      <c r="G89" s="1" t="s">
        <v>1596</v>
      </c>
      <c r="H89" s="55">
        <v>0</v>
      </c>
      <c r="I89" s="1" t="s">
        <v>1603</v>
      </c>
      <c r="J89" s="22">
        <v>45</v>
      </c>
      <c r="K89" s="30" t="s">
        <v>70</v>
      </c>
      <c r="N89" s="3"/>
    </row>
    <row r="90" spans="1:14" ht="25.8" x14ac:dyDescent="0.35">
      <c r="A90" s="13">
        <v>88</v>
      </c>
      <c r="B90" s="1" t="s">
        <v>1604</v>
      </c>
      <c r="C90" s="1" t="s">
        <v>1506</v>
      </c>
      <c r="D90" s="1" t="s">
        <v>155</v>
      </c>
      <c r="E90" s="1" t="s">
        <v>1507</v>
      </c>
      <c r="F90" s="1" t="s">
        <v>157</v>
      </c>
      <c r="G90" s="1" t="s">
        <v>1605</v>
      </c>
      <c r="H90" s="55">
        <v>0</v>
      </c>
      <c r="I90" s="1" t="s">
        <v>1606</v>
      </c>
      <c r="J90" s="22">
        <v>45</v>
      </c>
      <c r="K90" s="30" t="s">
        <v>70</v>
      </c>
      <c r="N90" s="3"/>
    </row>
    <row r="91" spans="1:14" ht="25.8" x14ac:dyDescent="0.35">
      <c r="A91" s="13">
        <v>89</v>
      </c>
      <c r="B91" s="1" t="s">
        <v>1607</v>
      </c>
      <c r="C91" s="1" t="s">
        <v>166</v>
      </c>
      <c r="D91" s="1" t="s">
        <v>155</v>
      </c>
      <c r="E91" s="1" t="s">
        <v>167</v>
      </c>
      <c r="F91" s="1" t="s">
        <v>157</v>
      </c>
      <c r="G91" s="1" t="s">
        <v>1605</v>
      </c>
      <c r="H91" s="55">
        <v>0</v>
      </c>
      <c r="I91" s="1" t="s">
        <v>1608</v>
      </c>
      <c r="J91" s="22">
        <v>45</v>
      </c>
      <c r="K91" s="30" t="s">
        <v>70</v>
      </c>
      <c r="N91" s="3"/>
    </row>
    <row r="92" spans="1:14" ht="25.8" x14ac:dyDescent="0.35">
      <c r="A92" s="13">
        <v>90</v>
      </c>
      <c r="B92" s="1" t="s">
        <v>1609</v>
      </c>
      <c r="C92" s="1" t="s">
        <v>1610</v>
      </c>
      <c r="D92" s="1" t="s">
        <v>232</v>
      </c>
      <c r="E92" s="1" t="s">
        <v>107</v>
      </c>
      <c r="F92" s="1" t="s">
        <v>233</v>
      </c>
      <c r="G92" s="1" t="s">
        <v>1611</v>
      </c>
      <c r="H92" s="55">
        <v>0</v>
      </c>
      <c r="I92" s="1" t="s">
        <v>1612</v>
      </c>
      <c r="J92" s="22">
        <v>45</v>
      </c>
      <c r="K92" s="30" t="s">
        <v>8</v>
      </c>
      <c r="N92" s="3"/>
    </row>
    <row r="93" spans="1:14" ht="25.8" x14ac:dyDescent="0.35">
      <c r="A93" s="13">
        <v>91</v>
      </c>
      <c r="B93" s="1" t="s">
        <v>1613</v>
      </c>
      <c r="C93" s="1" t="s">
        <v>1614</v>
      </c>
      <c r="D93" s="1" t="s">
        <v>155</v>
      </c>
      <c r="E93" s="1" t="s">
        <v>1615</v>
      </c>
      <c r="F93" s="1" t="s">
        <v>157</v>
      </c>
      <c r="G93" s="1" t="s">
        <v>1616</v>
      </c>
      <c r="H93" s="55">
        <v>0</v>
      </c>
      <c r="I93" s="1" t="s">
        <v>1617</v>
      </c>
      <c r="J93" s="22">
        <v>45</v>
      </c>
      <c r="K93" s="30" t="s">
        <v>70</v>
      </c>
      <c r="N93" s="3"/>
    </row>
    <row r="94" spans="1:14" ht="20.399999999999999" x14ac:dyDescent="0.35">
      <c r="N94" s="3"/>
    </row>
    <row r="95" spans="1:14" ht="20.399999999999999" x14ac:dyDescent="0.35">
      <c r="N95" s="3"/>
    </row>
    <row r="96" spans="1:14" ht="20.399999999999999" x14ac:dyDescent="0.35">
      <c r="N96" s="3"/>
    </row>
    <row r="97" spans="14:14" ht="20.399999999999999" x14ac:dyDescent="0.35">
      <c r="N97" s="3"/>
    </row>
    <row r="98" spans="14:14" ht="20.399999999999999" x14ac:dyDescent="0.35">
      <c r="N98" s="3"/>
    </row>
    <row r="99" spans="14:14" ht="20.399999999999999" x14ac:dyDescent="0.35">
      <c r="N99" s="3"/>
    </row>
  </sheetData>
  <autoFilter ref="A2:N93" xr:uid="{C05F9277-E941-4F8C-B88B-7443D998D414}">
    <sortState xmlns:xlrd2="http://schemas.microsoft.com/office/spreadsheetml/2017/richdata2" ref="A3:N49">
      <sortCondition ref="G2"/>
    </sortState>
  </autoFilter>
  <conditionalFormatting sqref="J1:J1048576">
    <cfRule type="containsText" dxfId="13" priority="12" operator="containsText" text="ไม่พบ">
      <formula>NOT(ISERROR(SEARCH("ไม่พบ",J1)))</formula>
    </cfRule>
  </conditionalFormatting>
  <conditionalFormatting sqref="M1 M64:M99 M105:M1048576">
    <cfRule type="duplicateValues" dxfId="12" priority="4"/>
    <cfRule type="duplicateValues" dxfId="11" priority="5"/>
  </conditionalFormatting>
  <conditionalFormatting sqref="M2">
    <cfRule type="duplicateValues" dxfId="10" priority="3"/>
  </conditionalFormatting>
  <conditionalFormatting sqref="N2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FCBC-52FC-4561-90EE-4F369C26FF04}">
  <sheetPr>
    <tabColor rgb="FF00B0F0"/>
  </sheetPr>
  <dimension ref="A1:I77"/>
  <sheetViews>
    <sheetView zoomScale="70" zoomScaleNormal="70" workbookViewId="0">
      <pane xSplit="4" ySplit="2" topLeftCell="H3" activePane="bottomRight" state="frozen"/>
      <selection activeCell="N3" sqref="N3:N56"/>
      <selection pane="topRight" activeCell="N3" sqref="N3:N56"/>
      <selection pane="bottomLeft" activeCell="N3" sqref="N3:N56"/>
      <selection pane="bottomRight" activeCell="K6" sqref="K6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1618</v>
      </c>
    </row>
    <row r="2" spans="1:9" ht="28.8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/>
      <c r="C3" s="1"/>
      <c r="D3" s="1"/>
      <c r="E3" s="1"/>
      <c r="F3" s="1"/>
      <c r="G3" s="1"/>
      <c r="H3" s="55"/>
      <c r="I3" s="2"/>
    </row>
    <row r="4" spans="1:9" s="14" customFormat="1" ht="23.4" x14ac:dyDescent="0.25">
      <c r="A4" s="13">
        <v>2</v>
      </c>
      <c r="B4" s="1"/>
      <c r="C4" s="1"/>
      <c r="D4" s="1"/>
      <c r="E4" s="1"/>
      <c r="F4" s="1"/>
      <c r="G4" s="1"/>
      <c r="H4" s="55"/>
      <c r="I4" s="2"/>
    </row>
    <row r="5" spans="1:9" s="14" customFormat="1" ht="23.4" x14ac:dyDescent="0.25">
      <c r="A5" s="13">
        <v>3</v>
      </c>
      <c r="B5" s="1"/>
      <c r="C5" s="1"/>
      <c r="D5" s="1"/>
      <c r="E5" s="1"/>
      <c r="F5" s="1"/>
      <c r="G5" s="1"/>
      <c r="H5" s="55"/>
      <c r="I5" s="2"/>
    </row>
    <row r="6" spans="1:9" s="14" customFormat="1" ht="23.4" x14ac:dyDescent="0.25">
      <c r="A6" s="13">
        <v>4</v>
      </c>
      <c r="B6" s="1"/>
      <c r="C6" s="1"/>
      <c r="D6" s="1"/>
      <c r="E6" s="1"/>
      <c r="F6" s="1"/>
      <c r="G6" s="1"/>
      <c r="H6" s="55"/>
      <c r="I6" s="2"/>
    </row>
    <row r="7" spans="1:9" s="14" customFormat="1" ht="23.4" x14ac:dyDescent="0.25">
      <c r="A7" s="13">
        <v>5</v>
      </c>
      <c r="B7" s="1"/>
      <c r="C7" s="1"/>
      <c r="D7" s="1"/>
      <c r="E7" s="1"/>
      <c r="F7" s="1"/>
      <c r="G7" s="1"/>
      <c r="H7" s="55"/>
      <c r="I7" s="2"/>
    </row>
    <row r="8" spans="1:9" s="14" customFormat="1" ht="23.4" x14ac:dyDescent="0.25">
      <c r="A8" s="13">
        <v>6</v>
      </c>
      <c r="B8" s="1"/>
      <c r="C8" s="1"/>
      <c r="D8" s="1"/>
      <c r="E8" s="1"/>
      <c r="F8" s="1"/>
      <c r="G8" s="1"/>
      <c r="H8" s="55"/>
      <c r="I8" s="2"/>
    </row>
    <row r="9" spans="1:9" s="14" customFormat="1" ht="23.4" x14ac:dyDescent="0.25">
      <c r="A9" s="13">
        <v>7</v>
      </c>
      <c r="B9" s="1"/>
      <c r="C9" s="1"/>
      <c r="D9" s="1"/>
      <c r="E9" s="1"/>
      <c r="F9" s="1"/>
      <c r="G9" s="1"/>
      <c r="H9" s="55"/>
      <c r="I9" s="2"/>
    </row>
    <row r="10" spans="1:9" s="14" customFormat="1" ht="23.4" x14ac:dyDescent="0.25">
      <c r="A10" s="13">
        <v>8</v>
      </c>
      <c r="B10" s="1"/>
      <c r="C10" s="1"/>
      <c r="D10" s="1"/>
      <c r="E10" s="1"/>
      <c r="F10" s="1"/>
      <c r="G10" s="1"/>
      <c r="H10" s="55"/>
      <c r="I10" s="2"/>
    </row>
    <row r="11" spans="1:9" s="14" customFormat="1" ht="23.4" x14ac:dyDescent="0.25">
      <c r="A11" s="13">
        <v>9</v>
      </c>
      <c r="B11" s="1"/>
      <c r="C11" s="1"/>
      <c r="D11" s="1"/>
      <c r="E11" s="1"/>
      <c r="F11" s="1"/>
      <c r="G11" s="1"/>
      <c r="H11" s="55"/>
      <c r="I11" s="2"/>
    </row>
    <row r="12" spans="1:9" s="14" customFormat="1" ht="23.4" x14ac:dyDescent="0.25">
      <c r="A12" s="13">
        <v>10</v>
      </c>
      <c r="B12" s="1"/>
      <c r="C12" s="1"/>
      <c r="D12" s="1"/>
      <c r="E12" s="1"/>
      <c r="F12" s="1"/>
      <c r="G12" s="1"/>
      <c r="H12" s="55"/>
      <c r="I12" s="2"/>
    </row>
    <row r="13" spans="1:9" s="14" customFormat="1" ht="23.4" x14ac:dyDescent="0.25">
      <c r="A13" s="13">
        <v>11</v>
      </c>
      <c r="B13" s="1"/>
      <c r="C13" s="1"/>
      <c r="D13" s="1"/>
      <c r="E13" s="1"/>
      <c r="F13" s="1"/>
      <c r="G13" s="1"/>
      <c r="H13" s="55"/>
      <c r="I13" s="2"/>
    </row>
    <row r="14" spans="1:9" s="14" customFormat="1" ht="23.4" x14ac:dyDescent="0.25">
      <c r="A14" s="13">
        <v>12</v>
      </c>
      <c r="B14" s="1"/>
      <c r="C14" s="1"/>
      <c r="D14" s="1"/>
      <c r="E14" s="1"/>
      <c r="F14" s="1"/>
      <c r="G14" s="1"/>
      <c r="H14" s="55"/>
      <c r="I14" s="2"/>
    </row>
    <row r="15" spans="1:9" s="14" customFormat="1" ht="23.4" x14ac:dyDescent="0.25">
      <c r="A15" s="13">
        <v>13</v>
      </c>
      <c r="B15" s="1"/>
      <c r="C15" s="1"/>
      <c r="D15" s="1"/>
      <c r="E15" s="1"/>
      <c r="F15" s="1"/>
      <c r="G15" s="1"/>
      <c r="H15" s="55"/>
      <c r="I15" s="2"/>
    </row>
    <row r="16" spans="1:9" s="14" customFormat="1" ht="23.4" x14ac:dyDescent="0.25">
      <c r="A16" s="13">
        <v>14</v>
      </c>
      <c r="B16" s="1"/>
      <c r="C16" s="1"/>
      <c r="D16" s="1"/>
      <c r="E16" s="1"/>
      <c r="F16" s="1"/>
      <c r="G16" s="1"/>
      <c r="H16" s="55"/>
      <c r="I16" s="2"/>
    </row>
    <row r="17" spans="1:9" s="14" customFormat="1" ht="23.4" x14ac:dyDescent="0.25">
      <c r="A17" s="13">
        <v>15</v>
      </c>
      <c r="B17" s="1"/>
      <c r="C17" s="1"/>
      <c r="D17" s="1"/>
      <c r="E17" s="1"/>
      <c r="F17" s="1"/>
      <c r="G17" s="1"/>
      <c r="H17" s="55"/>
      <c r="I17" s="2"/>
    </row>
    <row r="18" spans="1:9" s="14" customFormat="1" ht="23.4" x14ac:dyDescent="0.25">
      <c r="A18" s="13">
        <v>16</v>
      </c>
      <c r="B18" s="1"/>
      <c r="C18" s="1"/>
      <c r="D18" s="1"/>
      <c r="E18" s="1"/>
      <c r="F18" s="1"/>
      <c r="G18" s="1"/>
      <c r="H18" s="55"/>
      <c r="I18" s="2"/>
    </row>
    <row r="19" spans="1:9" s="14" customFormat="1" ht="23.4" x14ac:dyDescent="0.25">
      <c r="A19" s="13">
        <v>17</v>
      </c>
      <c r="B19" s="1"/>
      <c r="C19" s="1"/>
      <c r="D19" s="1"/>
      <c r="E19" s="1"/>
      <c r="F19" s="1"/>
      <c r="G19" s="1"/>
      <c r="H19" s="55"/>
      <c r="I19" s="2"/>
    </row>
    <row r="20" spans="1:9" s="14" customFormat="1" ht="23.4" x14ac:dyDescent="0.25">
      <c r="A20" s="13">
        <v>18</v>
      </c>
      <c r="B20" s="1"/>
      <c r="C20" s="1"/>
      <c r="D20" s="1"/>
      <c r="E20" s="1"/>
      <c r="F20" s="1"/>
      <c r="G20" s="1"/>
      <c r="H20" s="55"/>
      <c r="I20" s="2"/>
    </row>
    <row r="21" spans="1:9" s="14" customFormat="1" ht="23.4" x14ac:dyDescent="0.25">
      <c r="A21" s="13">
        <v>19</v>
      </c>
      <c r="B21" s="1"/>
      <c r="C21" s="1"/>
      <c r="D21" s="1"/>
      <c r="E21" s="1"/>
      <c r="F21" s="1"/>
      <c r="G21" s="1"/>
      <c r="H21" s="55"/>
      <c r="I21" s="2"/>
    </row>
    <row r="22" spans="1:9" s="14" customFormat="1" ht="23.4" x14ac:dyDescent="0.25">
      <c r="A22" s="13">
        <v>20</v>
      </c>
      <c r="B22" s="1"/>
      <c r="C22" s="1"/>
      <c r="D22" s="1"/>
      <c r="E22" s="1"/>
      <c r="F22" s="1"/>
      <c r="G22" s="1"/>
      <c r="H22" s="55"/>
      <c r="I22" s="2"/>
    </row>
    <row r="23" spans="1:9" s="14" customFormat="1" ht="23.4" x14ac:dyDescent="0.25">
      <c r="A23" s="13">
        <v>21</v>
      </c>
      <c r="B23" s="1"/>
      <c r="C23" s="1"/>
      <c r="D23" s="1"/>
      <c r="E23" s="1"/>
      <c r="F23" s="1"/>
      <c r="G23" s="1"/>
      <c r="H23" s="55"/>
      <c r="I23" s="2"/>
    </row>
    <row r="24" spans="1:9" s="14" customFormat="1" ht="23.4" x14ac:dyDescent="0.25">
      <c r="A24" s="13">
        <v>22</v>
      </c>
      <c r="B24" s="1"/>
      <c r="C24" s="1"/>
      <c r="D24" s="1"/>
      <c r="E24" s="1"/>
      <c r="F24" s="1"/>
      <c r="G24" s="1"/>
      <c r="H24" s="55"/>
      <c r="I24" s="2"/>
    </row>
    <row r="25" spans="1:9" s="14" customFormat="1" ht="23.4" x14ac:dyDescent="0.25">
      <c r="A25" s="13">
        <v>23</v>
      </c>
      <c r="B25" s="1"/>
      <c r="C25" s="1"/>
      <c r="D25" s="1"/>
      <c r="E25" s="1"/>
      <c r="F25" s="1"/>
      <c r="G25" s="1"/>
      <c r="H25" s="55"/>
      <c r="I25" s="2"/>
    </row>
    <row r="26" spans="1:9" s="14" customFormat="1" ht="23.4" x14ac:dyDescent="0.25">
      <c r="A26" s="13">
        <v>24</v>
      </c>
      <c r="B26" s="4"/>
      <c r="C26" s="4"/>
      <c r="D26" s="4"/>
      <c r="E26" s="4"/>
      <c r="F26" s="4"/>
      <c r="G26" s="4"/>
      <c r="H26" s="4"/>
      <c r="I26" s="2"/>
    </row>
    <row r="27" spans="1:9" s="14" customFormat="1" ht="23.4" x14ac:dyDescent="0.25">
      <c r="A27" s="13">
        <v>25</v>
      </c>
      <c r="B27" s="4"/>
      <c r="C27" s="4"/>
      <c r="D27" s="4"/>
      <c r="E27" s="4"/>
      <c r="F27" s="4"/>
      <c r="G27" s="4"/>
      <c r="H27" s="4"/>
      <c r="I27" s="2"/>
    </row>
    <row r="28" spans="1:9" s="14" customFormat="1" ht="23.4" x14ac:dyDescent="0.25">
      <c r="A28" s="13">
        <v>26</v>
      </c>
      <c r="B28" s="4"/>
      <c r="C28" s="4"/>
      <c r="D28" s="4"/>
      <c r="E28" s="4"/>
      <c r="F28" s="4"/>
      <c r="G28" s="4"/>
      <c r="H28" s="4"/>
      <c r="I28" s="2"/>
    </row>
    <row r="29" spans="1:9" s="14" customFormat="1" ht="23.4" x14ac:dyDescent="0.25">
      <c r="A29" s="13">
        <v>27</v>
      </c>
      <c r="B29" s="4"/>
      <c r="C29" s="4"/>
      <c r="D29" s="4"/>
      <c r="E29" s="4"/>
      <c r="F29" s="4"/>
      <c r="G29" s="4"/>
      <c r="H29" s="4"/>
      <c r="I29" s="2"/>
    </row>
    <row r="30" spans="1:9" s="14" customFormat="1" ht="23.4" x14ac:dyDescent="0.25">
      <c r="A30" s="13">
        <v>28</v>
      </c>
      <c r="B30" s="4"/>
      <c r="C30" s="4"/>
      <c r="D30" s="4"/>
      <c r="E30" s="4"/>
      <c r="F30" s="4"/>
      <c r="G30" s="4"/>
      <c r="H30" s="4"/>
      <c r="I30" s="2"/>
    </row>
    <row r="31" spans="1:9" s="14" customFormat="1" ht="23.4" x14ac:dyDescent="0.25">
      <c r="A31" s="13">
        <v>29</v>
      </c>
      <c r="B31" s="4"/>
      <c r="C31" s="4"/>
      <c r="D31" s="4"/>
      <c r="E31" s="4"/>
      <c r="F31" s="4"/>
      <c r="G31" s="4"/>
      <c r="H31" s="4"/>
      <c r="I31" s="2"/>
    </row>
    <row r="32" spans="1:9" s="14" customFormat="1" ht="23.4" x14ac:dyDescent="0.25">
      <c r="A32" s="13">
        <v>30</v>
      </c>
      <c r="B32" s="4"/>
      <c r="C32" s="4"/>
      <c r="D32" s="4"/>
      <c r="E32" s="4"/>
      <c r="F32" s="4"/>
      <c r="G32" s="4"/>
      <c r="H32" s="4"/>
      <c r="I32" s="2"/>
    </row>
    <row r="33" spans="1:9" s="14" customFormat="1" ht="23.4" x14ac:dyDescent="0.25">
      <c r="A33" s="13">
        <v>31</v>
      </c>
      <c r="B33" s="4"/>
      <c r="C33" s="4"/>
      <c r="D33" s="4"/>
      <c r="E33" s="4"/>
      <c r="F33" s="4"/>
      <c r="G33" s="4"/>
      <c r="H33" s="4"/>
      <c r="I33" s="2"/>
    </row>
    <row r="34" spans="1:9" s="14" customFormat="1" ht="23.4" x14ac:dyDescent="0.25">
      <c r="A34" s="61">
        <v>32</v>
      </c>
      <c r="B34" s="62"/>
      <c r="C34" s="62"/>
      <c r="D34" s="62"/>
      <c r="E34" s="62"/>
      <c r="F34" s="62"/>
      <c r="G34" s="62"/>
      <c r="H34" s="63"/>
      <c r="I34" s="63"/>
    </row>
    <row r="35" spans="1:9" s="14" customFormat="1" ht="23.4" x14ac:dyDescent="0.25">
      <c r="A35" s="65"/>
      <c r="B35" s="60"/>
      <c r="C35" s="60"/>
      <c r="D35" s="60"/>
      <c r="E35" s="60"/>
      <c r="F35" s="60"/>
      <c r="G35" s="60"/>
      <c r="H35" s="60"/>
      <c r="I35" s="59"/>
    </row>
    <row r="36" spans="1:9" s="14" customFormat="1" ht="23.4" x14ac:dyDescent="0.25">
      <c r="A36" s="65"/>
      <c r="B36" s="60"/>
      <c r="C36" s="60"/>
      <c r="D36" s="60"/>
      <c r="E36" s="60"/>
      <c r="F36" s="60"/>
      <c r="G36" s="60"/>
      <c r="H36" s="60"/>
      <c r="I36" s="59"/>
    </row>
    <row r="37" spans="1:9" s="14" customFormat="1" ht="23.4" x14ac:dyDescent="0.25">
      <c r="A37" s="65"/>
      <c r="B37" s="60"/>
      <c r="C37" s="60"/>
      <c r="D37" s="60"/>
      <c r="E37" s="60"/>
      <c r="F37" s="60"/>
      <c r="G37" s="60"/>
      <c r="H37" s="60"/>
      <c r="I37" s="59"/>
    </row>
    <row r="38" spans="1:9" s="14" customFormat="1" ht="23.4" x14ac:dyDescent="0.25">
      <c r="A38" s="65"/>
      <c r="B38" s="60"/>
      <c r="C38" s="60"/>
      <c r="D38" s="60"/>
      <c r="E38" s="60"/>
      <c r="F38" s="60"/>
      <c r="G38" s="60"/>
      <c r="H38" s="60"/>
      <c r="I38" s="59"/>
    </row>
    <row r="39" spans="1:9" s="14" customFormat="1" ht="23.4" x14ac:dyDescent="0.25">
      <c r="A39" s="65"/>
      <c r="B39" s="60"/>
      <c r="C39" s="60"/>
      <c r="D39" s="60"/>
      <c r="E39" s="60"/>
      <c r="F39" s="60"/>
      <c r="G39" s="60"/>
      <c r="H39" s="60"/>
      <c r="I39" s="59"/>
    </row>
    <row r="40" spans="1:9" s="14" customFormat="1" ht="23.4" x14ac:dyDescent="0.25">
      <c r="A40" s="65"/>
      <c r="B40" s="60"/>
      <c r="C40" s="60"/>
      <c r="D40" s="60"/>
      <c r="E40" s="60"/>
      <c r="F40" s="60"/>
      <c r="G40" s="60"/>
      <c r="H40" s="60"/>
      <c r="I40" s="59"/>
    </row>
    <row r="41" spans="1:9" s="14" customFormat="1" ht="23.4" x14ac:dyDescent="0.25">
      <c r="A41" s="65"/>
      <c r="B41" s="60"/>
      <c r="C41" s="60"/>
      <c r="D41" s="60"/>
      <c r="E41" s="60"/>
      <c r="F41" s="60"/>
      <c r="G41" s="60"/>
      <c r="H41" s="60"/>
      <c r="I41" s="59"/>
    </row>
    <row r="42" spans="1:9" s="14" customFormat="1" ht="23.4" x14ac:dyDescent="0.25">
      <c r="A42" s="65"/>
      <c r="B42" s="60"/>
      <c r="C42" s="60"/>
      <c r="D42" s="60"/>
      <c r="E42" s="60"/>
      <c r="F42" s="60"/>
      <c r="G42" s="60"/>
      <c r="H42" s="60"/>
      <c r="I42" s="59"/>
    </row>
    <row r="43" spans="1:9" s="14" customFormat="1" ht="23.4" x14ac:dyDescent="0.25">
      <c r="A43" s="65"/>
      <c r="B43" s="60"/>
      <c r="C43" s="60"/>
      <c r="D43" s="60"/>
      <c r="E43" s="60"/>
      <c r="F43" s="60"/>
      <c r="G43" s="60"/>
      <c r="H43" s="60"/>
      <c r="I43" s="59"/>
    </row>
    <row r="44" spans="1:9" s="14" customFormat="1" ht="23.4" x14ac:dyDescent="0.25">
      <c r="A44" s="65"/>
      <c r="B44" s="60"/>
      <c r="C44" s="60"/>
      <c r="D44" s="60"/>
      <c r="E44" s="60"/>
      <c r="F44" s="60"/>
      <c r="G44" s="60"/>
      <c r="H44" s="60"/>
      <c r="I44" s="59"/>
    </row>
    <row r="45" spans="1:9" s="14" customFormat="1" ht="23.4" x14ac:dyDescent="0.25">
      <c r="A45" s="65"/>
      <c r="B45" s="60"/>
      <c r="C45" s="60"/>
      <c r="D45" s="60"/>
      <c r="E45" s="60"/>
      <c r="F45" s="60"/>
      <c r="G45" s="60"/>
      <c r="H45" s="60"/>
      <c r="I45" s="59"/>
    </row>
    <row r="46" spans="1:9" s="14" customFormat="1" ht="23.4" x14ac:dyDescent="0.25">
      <c r="A46" s="65"/>
      <c r="B46" s="60"/>
      <c r="C46" s="60"/>
      <c r="D46" s="60"/>
      <c r="E46" s="60"/>
      <c r="F46" s="60"/>
      <c r="G46" s="60"/>
      <c r="H46" s="60"/>
      <c r="I46" s="59"/>
    </row>
    <row r="47" spans="1:9" s="14" customFormat="1" ht="23.4" x14ac:dyDescent="0.25">
      <c r="A47" s="65"/>
      <c r="B47" s="60"/>
      <c r="C47" s="60"/>
      <c r="D47" s="60"/>
      <c r="E47" s="60"/>
      <c r="F47" s="60"/>
      <c r="G47" s="60"/>
      <c r="H47" s="60"/>
      <c r="I47" s="59"/>
    </row>
    <row r="48" spans="1:9" s="14" customFormat="1" ht="23.4" x14ac:dyDescent="0.25">
      <c r="A48" s="65"/>
      <c r="B48" s="60"/>
      <c r="C48" s="60"/>
      <c r="D48" s="60"/>
      <c r="E48" s="60"/>
      <c r="F48" s="60"/>
      <c r="G48" s="60"/>
      <c r="H48" s="60"/>
      <c r="I48" s="59"/>
    </row>
    <row r="49" spans="1:9" s="14" customFormat="1" ht="23.4" x14ac:dyDescent="0.25">
      <c r="A49" s="65"/>
      <c r="B49" s="60"/>
      <c r="C49" s="60"/>
      <c r="D49" s="60"/>
      <c r="E49" s="60"/>
      <c r="F49" s="60"/>
      <c r="G49" s="60"/>
      <c r="H49" s="60"/>
      <c r="I49" s="59"/>
    </row>
    <row r="50" spans="1:9" s="14" customFormat="1" ht="23.4" x14ac:dyDescent="0.25">
      <c r="A50" s="65"/>
      <c r="B50" s="60"/>
      <c r="C50" s="60"/>
      <c r="D50" s="60"/>
      <c r="E50" s="60"/>
      <c r="F50" s="60"/>
      <c r="G50" s="60"/>
      <c r="H50" s="60"/>
      <c r="I50" s="59"/>
    </row>
    <row r="51" spans="1:9" s="14" customFormat="1" ht="23.4" x14ac:dyDescent="0.25">
      <c r="A51" s="65"/>
      <c r="B51" s="60"/>
      <c r="C51" s="60"/>
      <c r="D51" s="60"/>
      <c r="E51" s="60"/>
      <c r="F51" s="60"/>
      <c r="G51" s="60"/>
      <c r="H51" s="60"/>
      <c r="I51" s="59"/>
    </row>
    <row r="52" spans="1:9" s="14" customFormat="1" ht="23.4" x14ac:dyDescent="0.25">
      <c r="A52" s="65"/>
      <c r="B52" s="60"/>
      <c r="C52" s="60"/>
      <c r="D52" s="60"/>
      <c r="E52" s="60"/>
      <c r="F52" s="60"/>
      <c r="G52" s="60"/>
      <c r="H52" s="60"/>
      <c r="I52" s="59"/>
    </row>
    <row r="53" spans="1:9" s="14" customFormat="1" ht="23.4" x14ac:dyDescent="0.25">
      <c r="A53" s="65"/>
      <c r="B53" s="60"/>
      <c r="C53" s="60"/>
      <c r="D53" s="60"/>
      <c r="E53" s="60"/>
      <c r="F53" s="60"/>
      <c r="G53" s="60"/>
      <c r="H53" s="60"/>
      <c r="I53" s="59"/>
    </row>
    <row r="54" spans="1:9" s="14" customFormat="1" ht="23.4" x14ac:dyDescent="0.25">
      <c r="A54" s="65"/>
      <c r="B54" s="60"/>
      <c r="C54" s="60"/>
      <c r="D54" s="60"/>
      <c r="E54" s="60"/>
      <c r="F54" s="60"/>
      <c r="G54" s="60"/>
      <c r="H54" s="60"/>
      <c r="I54" s="59"/>
    </row>
    <row r="55" spans="1:9" s="14" customFormat="1" ht="23.4" x14ac:dyDescent="0.25">
      <c r="A55" s="65"/>
      <c r="B55" s="60"/>
      <c r="C55" s="60"/>
      <c r="D55" s="60"/>
      <c r="E55" s="60"/>
      <c r="F55" s="60"/>
      <c r="G55" s="60"/>
      <c r="H55" s="60"/>
      <c r="I55" s="59"/>
    </row>
    <row r="56" spans="1:9" s="14" customFormat="1" ht="23.4" x14ac:dyDescent="0.25">
      <c r="A56" s="65"/>
      <c r="B56" s="60"/>
      <c r="C56" s="60"/>
      <c r="D56" s="60"/>
      <c r="E56" s="60"/>
      <c r="F56" s="60"/>
      <c r="G56" s="60"/>
      <c r="H56" s="60"/>
      <c r="I56" s="59"/>
    </row>
    <row r="57" spans="1:9" s="14" customFormat="1" ht="23.4" x14ac:dyDescent="0.25">
      <c r="A57" s="65"/>
      <c r="B57" s="60"/>
      <c r="C57" s="60"/>
      <c r="D57" s="60"/>
      <c r="E57" s="60"/>
      <c r="F57" s="60"/>
      <c r="G57" s="60"/>
      <c r="H57" s="60"/>
      <c r="I57" s="59"/>
    </row>
    <row r="58" spans="1:9" s="14" customFormat="1" ht="23.4" x14ac:dyDescent="0.25">
      <c r="A58" s="65"/>
      <c r="B58" s="60"/>
      <c r="C58" s="60"/>
      <c r="D58" s="60"/>
      <c r="E58" s="60"/>
      <c r="F58" s="60"/>
      <c r="G58" s="60"/>
      <c r="H58" s="60"/>
      <c r="I58" s="59"/>
    </row>
    <row r="59" spans="1:9" s="14" customFormat="1" ht="23.4" x14ac:dyDescent="0.25">
      <c r="A59" s="65"/>
      <c r="B59" s="60"/>
      <c r="C59" s="60"/>
      <c r="D59" s="60"/>
      <c r="E59" s="60"/>
      <c r="F59" s="60"/>
      <c r="G59" s="60"/>
      <c r="H59" s="60"/>
      <c r="I59" s="59"/>
    </row>
    <row r="60" spans="1:9" s="14" customFormat="1" ht="23.4" x14ac:dyDescent="0.25">
      <c r="A60" s="65"/>
      <c r="B60" s="60"/>
      <c r="C60" s="60"/>
      <c r="D60" s="60"/>
      <c r="E60" s="60"/>
      <c r="F60" s="60"/>
      <c r="G60" s="60"/>
      <c r="H60" s="60"/>
      <c r="I60" s="59"/>
    </row>
    <row r="61" spans="1:9" s="14" customFormat="1" ht="23.4" x14ac:dyDescent="0.25">
      <c r="A61" s="65"/>
      <c r="B61" s="60"/>
      <c r="C61" s="60"/>
      <c r="D61" s="60"/>
      <c r="E61" s="60"/>
      <c r="F61" s="60"/>
      <c r="G61" s="60"/>
      <c r="H61" s="60"/>
      <c r="I61" s="59"/>
    </row>
    <row r="62" spans="1:9" s="14" customFormat="1" ht="23.4" x14ac:dyDescent="0.25">
      <c r="A62" s="65"/>
      <c r="B62" s="60"/>
      <c r="C62" s="60"/>
      <c r="D62" s="60"/>
      <c r="E62" s="60"/>
      <c r="F62" s="60"/>
      <c r="G62" s="60"/>
      <c r="H62" s="60"/>
      <c r="I62" s="59"/>
    </row>
    <row r="63" spans="1:9" s="14" customFormat="1" ht="23.4" x14ac:dyDescent="0.25">
      <c r="A63" s="65"/>
      <c r="B63" s="60"/>
      <c r="C63" s="60"/>
      <c r="D63" s="60"/>
      <c r="E63" s="60"/>
      <c r="F63" s="60"/>
      <c r="G63" s="60"/>
      <c r="H63" s="60"/>
      <c r="I63" s="59"/>
    </row>
    <row r="64" spans="1:9" s="14" customFormat="1" ht="23.4" x14ac:dyDescent="0.25">
      <c r="A64" s="65"/>
      <c r="B64" s="60"/>
      <c r="C64" s="60"/>
      <c r="D64" s="60"/>
      <c r="E64" s="60"/>
      <c r="F64" s="60"/>
      <c r="G64" s="60"/>
      <c r="H64" s="60"/>
      <c r="I64" s="59"/>
    </row>
    <row r="65" spans="1:9" s="14" customFormat="1" ht="23.4" x14ac:dyDescent="0.25">
      <c r="A65" s="65"/>
      <c r="B65" s="60"/>
      <c r="C65" s="60"/>
      <c r="D65" s="60"/>
      <c r="E65" s="60"/>
      <c r="F65" s="60"/>
      <c r="G65" s="60"/>
      <c r="H65" s="60"/>
      <c r="I65" s="59"/>
    </row>
    <row r="66" spans="1:9" s="14" customFormat="1" ht="23.4" x14ac:dyDescent="0.25">
      <c r="A66" s="65"/>
      <c r="B66" s="60"/>
      <c r="C66" s="60"/>
      <c r="D66" s="60"/>
      <c r="E66" s="60"/>
      <c r="F66" s="60"/>
      <c r="G66" s="60"/>
      <c r="H66" s="60"/>
      <c r="I66" s="59"/>
    </row>
    <row r="67" spans="1:9" s="14" customFormat="1" ht="23.4" x14ac:dyDescent="0.25">
      <c r="A67" s="65"/>
      <c r="B67" s="60"/>
      <c r="C67" s="60"/>
      <c r="D67" s="60"/>
      <c r="E67" s="60"/>
      <c r="F67" s="60"/>
      <c r="G67" s="60"/>
      <c r="H67" s="60"/>
      <c r="I67" s="59"/>
    </row>
    <row r="68" spans="1:9" s="14" customFormat="1" ht="23.4" x14ac:dyDescent="0.25">
      <c r="A68" s="65"/>
      <c r="B68" s="60"/>
      <c r="C68" s="60"/>
      <c r="D68" s="60"/>
      <c r="E68" s="60"/>
      <c r="F68" s="60"/>
      <c r="G68" s="60"/>
      <c r="H68" s="60"/>
      <c r="I68" s="59"/>
    </row>
    <row r="69" spans="1:9" s="14" customFormat="1" ht="23.4" x14ac:dyDescent="0.25">
      <c r="A69" s="65"/>
      <c r="B69" s="60"/>
      <c r="C69" s="60"/>
      <c r="D69" s="60"/>
      <c r="E69" s="60"/>
      <c r="F69" s="60"/>
      <c r="G69" s="60"/>
      <c r="H69" s="60"/>
      <c r="I69" s="59"/>
    </row>
    <row r="70" spans="1:9" s="14" customFormat="1" ht="23.4" x14ac:dyDescent="0.25">
      <c r="A70" s="65"/>
      <c r="B70" s="60"/>
      <c r="C70" s="60"/>
      <c r="D70" s="60"/>
      <c r="E70" s="60"/>
      <c r="F70" s="60"/>
      <c r="G70" s="60"/>
      <c r="H70" s="60"/>
      <c r="I70" s="59"/>
    </row>
    <row r="71" spans="1:9" s="14" customFormat="1" ht="23.4" x14ac:dyDescent="0.25">
      <c r="A71" s="65"/>
      <c r="B71" s="60"/>
      <c r="C71" s="60"/>
      <c r="D71" s="60"/>
      <c r="E71" s="60"/>
      <c r="F71" s="60"/>
      <c r="G71" s="60"/>
      <c r="H71" s="60"/>
      <c r="I71" s="59"/>
    </row>
    <row r="72" spans="1:9" s="14" customFormat="1" ht="23.4" x14ac:dyDescent="0.25">
      <c r="A72" s="65"/>
      <c r="B72" s="60"/>
      <c r="C72" s="60"/>
      <c r="D72" s="60"/>
      <c r="E72" s="60"/>
      <c r="F72" s="60"/>
      <c r="G72" s="60"/>
      <c r="H72" s="60"/>
      <c r="I72" s="59"/>
    </row>
    <row r="73" spans="1:9" s="14" customFormat="1" ht="23.4" x14ac:dyDescent="0.25">
      <c r="A73" s="65"/>
      <c r="B73" s="60"/>
      <c r="C73" s="60"/>
      <c r="D73" s="60"/>
      <c r="E73" s="60"/>
      <c r="F73" s="60"/>
      <c r="G73" s="60"/>
      <c r="H73" s="60"/>
      <c r="I73" s="59"/>
    </row>
    <row r="74" spans="1:9" s="14" customFormat="1" ht="23.4" x14ac:dyDescent="0.25">
      <c r="A74" s="65"/>
      <c r="B74" s="60"/>
      <c r="C74" s="60"/>
      <c r="D74" s="60"/>
      <c r="E74" s="60"/>
      <c r="F74" s="60"/>
      <c r="G74" s="60"/>
      <c r="H74" s="60"/>
      <c r="I74" s="59"/>
    </row>
    <row r="75" spans="1:9" s="14" customFormat="1" ht="23.4" x14ac:dyDescent="0.25">
      <c r="A75" s="65"/>
      <c r="B75" s="60"/>
      <c r="C75" s="60"/>
      <c r="D75" s="60"/>
      <c r="E75" s="60"/>
      <c r="F75" s="60"/>
      <c r="G75" s="60"/>
      <c r="H75" s="60"/>
      <c r="I75" s="59"/>
    </row>
    <row r="76" spans="1:9" ht="27" thickBot="1" x14ac:dyDescent="0.75">
      <c r="G76" s="23" t="s">
        <v>25</v>
      </c>
      <c r="H76" s="64">
        <f>SUM(H3:H75)</f>
        <v>0</v>
      </c>
      <c r="I76" s="16" t="s">
        <v>43</v>
      </c>
    </row>
    <row r="77" spans="1:9" ht="14.4" thickTop="1" x14ac:dyDescent="0.25"/>
  </sheetData>
  <autoFilter ref="B2:K38" xr:uid="{418B859D-9AEE-4DBC-84AA-2E90E0A86546}"/>
  <conditionalFormatting sqref="H76">
    <cfRule type="containsText" dxfId="7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A150-F63C-430C-B49A-7B7AF21633EC}">
  <sheetPr>
    <tabColor rgb="FFFF99FF"/>
  </sheetPr>
  <dimension ref="A1:N99"/>
  <sheetViews>
    <sheetView zoomScale="70" zoomScaleNormal="70" workbookViewId="0">
      <pane xSplit="6" ySplit="2" topLeftCell="G11" activePane="bottomRight" state="frozen"/>
      <selection activeCell="N3" sqref="N3:N56"/>
      <selection pane="topRight" activeCell="N3" sqref="N3:N56"/>
      <selection pane="bottomLeft" activeCell="N3" sqref="N3:N56"/>
      <selection pane="bottomRight" activeCell="K17" sqref="K16:K17"/>
    </sheetView>
  </sheetViews>
  <sheetFormatPr defaultColWidth="54.69921875" defaultRowHeight="13.8" x14ac:dyDescent="0.25"/>
  <cols>
    <col min="1" max="1" width="7.09765625" style="12" customWidth="1"/>
    <col min="2" max="2" width="15.69921875" style="11" bestFit="1" customWidth="1"/>
    <col min="3" max="3" width="30.296875" style="11" customWidth="1"/>
    <col min="4" max="4" width="16.19921875" style="11" customWidth="1"/>
    <col min="5" max="5" width="29.296875" style="11" customWidth="1"/>
    <col min="6" max="6" width="15.296875" style="11" bestFit="1" customWidth="1"/>
    <col min="7" max="7" width="17.296875" style="11" customWidth="1"/>
    <col min="8" max="8" width="10.09765625" style="11" customWidth="1"/>
    <col min="9" max="9" width="23" style="11" customWidth="1"/>
    <col min="10" max="10" width="15.19921875" style="67" customWidth="1"/>
    <col min="11" max="11" width="74.796875" style="12" customWidth="1"/>
    <col min="12" max="12" width="18.8984375" style="11" customWidth="1"/>
    <col min="13" max="13" width="74.796875" style="5" customWidth="1"/>
    <col min="14" max="14" width="17.19921875" bestFit="1" customWidth="1"/>
    <col min="15" max="16384" width="54.69921875" style="11"/>
  </cols>
  <sheetData>
    <row r="1" spans="1:14" ht="60" customHeight="1" thickBot="1" x14ac:dyDescent="0.75">
      <c r="A1" s="8" t="s">
        <v>1619</v>
      </c>
      <c r="I1" s="53" t="s">
        <v>42</v>
      </c>
      <c r="J1" s="24">
        <f>SUBTOTAL(9,J3:J190)</f>
        <v>3870</v>
      </c>
      <c r="K1" s="54" t="s">
        <v>43</v>
      </c>
      <c r="N1">
        <f>SUBTOTAL(9,N3:N56)</f>
        <v>86</v>
      </c>
    </row>
    <row r="2" spans="1:14" ht="29.4" thickTop="1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38</v>
      </c>
      <c r="J2" s="21" t="s">
        <v>40</v>
      </c>
      <c r="K2" s="7" t="s">
        <v>7</v>
      </c>
      <c r="M2" s="7" t="s">
        <v>17</v>
      </c>
      <c r="N2" s="7" t="s">
        <v>19</v>
      </c>
    </row>
    <row r="3" spans="1:14" s="14" customFormat="1" ht="25.8" x14ac:dyDescent="0.25">
      <c r="A3" s="13">
        <v>1</v>
      </c>
      <c r="B3" s="1" t="s">
        <v>1621</v>
      </c>
      <c r="C3" s="1" t="s">
        <v>1622</v>
      </c>
      <c r="D3" s="1" t="s">
        <v>155</v>
      </c>
      <c r="E3" s="1" t="s">
        <v>1623</v>
      </c>
      <c r="F3" s="1" t="s">
        <v>157</v>
      </c>
      <c r="G3" s="1" t="s">
        <v>1624</v>
      </c>
      <c r="H3" s="55">
        <v>0</v>
      </c>
      <c r="I3" s="1" t="s">
        <v>1625</v>
      </c>
      <c r="J3" s="22">
        <v>45</v>
      </c>
      <c r="K3" s="1" t="s">
        <v>70</v>
      </c>
      <c r="M3" s="33" t="s">
        <v>8</v>
      </c>
      <c r="N3" s="30">
        <v>0</v>
      </c>
    </row>
    <row r="4" spans="1:14" s="14" customFormat="1" ht="25.8" x14ac:dyDescent="0.25">
      <c r="A4" s="13">
        <v>2</v>
      </c>
      <c r="B4" s="1" t="s">
        <v>1626</v>
      </c>
      <c r="C4" s="1" t="s">
        <v>1627</v>
      </c>
      <c r="D4" s="1" t="s">
        <v>155</v>
      </c>
      <c r="E4" s="1" t="s">
        <v>1628</v>
      </c>
      <c r="F4" s="1" t="s">
        <v>157</v>
      </c>
      <c r="G4" s="1" t="s">
        <v>1629</v>
      </c>
      <c r="H4" s="55">
        <v>0</v>
      </c>
      <c r="I4" s="1" t="s">
        <v>1630</v>
      </c>
      <c r="J4" s="22">
        <v>45</v>
      </c>
      <c r="K4" s="1" t="s">
        <v>70</v>
      </c>
      <c r="M4" s="33" t="s">
        <v>11</v>
      </c>
      <c r="N4" s="30">
        <v>0</v>
      </c>
    </row>
    <row r="5" spans="1:14" s="14" customFormat="1" ht="25.8" x14ac:dyDescent="0.25">
      <c r="A5" s="13">
        <v>3</v>
      </c>
      <c r="B5" s="1" t="s">
        <v>1631</v>
      </c>
      <c r="C5" s="1" t="s">
        <v>1111</v>
      </c>
      <c r="D5" s="1" t="s">
        <v>155</v>
      </c>
      <c r="E5" s="1" t="s">
        <v>1632</v>
      </c>
      <c r="F5" s="1" t="s">
        <v>157</v>
      </c>
      <c r="G5" s="1" t="s">
        <v>1633</v>
      </c>
      <c r="H5" s="55">
        <v>0</v>
      </c>
      <c r="I5" s="1" t="s">
        <v>1634</v>
      </c>
      <c r="J5" s="22">
        <v>45</v>
      </c>
      <c r="K5" s="1" t="s">
        <v>70</v>
      </c>
      <c r="M5" s="33" t="s">
        <v>9</v>
      </c>
      <c r="N5" s="30">
        <v>0</v>
      </c>
    </row>
    <row r="6" spans="1:14" s="14" customFormat="1" ht="25.8" x14ac:dyDescent="0.25">
      <c r="A6" s="13">
        <v>4</v>
      </c>
      <c r="B6" s="1" t="s">
        <v>1635</v>
      </c>
      <c r="C6" s="1" t="s">
        <v>1583</v>
      </c>
      <c r="D6" s="1" t="s">
        <v>155</v>
      </c>
      <c r="E6" s="1" t="s">
        <v>1584</v>
      </c>
      <c r="F6" s="1" t="s">
        <v>157</v>
      </c>
      <c r="G6" s="1" t="s">
        <v>1636</v>
      </c>
      <c r="H6" s="55">
        <v>0</v>
      </c>
      <c r="I6" s="1" t="s">
        <v>1637</v>
      </c>
      <c r="J6" s="22">
        <v>45</v>
      </c>
      <c r="K6" s="1" t="s">
        <v>70</v>
      </c>
      <c r="M6" s="33" t="s">
        <v>15</v>
      </c>
      <c r="N6" s="30">
        <v>0</v>
      </c>
    </row>
    <row r="7" spans="1:14" s="14" customFormat="1" ht="25.8" x14ac:dyDescent="0.25">
      <c r="A7" s="13">
        <v>5</v>
      </c>
      <c r="B7" s="1" t="s">
        <v>1638</v>
      </c>
      <c r="C7" s="1" t="s">
        <v>1284</v>
      </c>
      <c r="D7" s="1" t="s">
        <v>155</v>
      </c>
      <c r="E7" s="1" t="s">
        <v>1285</v>
      </c>
      <c r="F7" s="1" t="s">
        <v>157</v>
      </c>
      <c r="G7" s="1" t="s">
        <v>1639</v>
      </c>
      <c r="H7" s="55">
        <v>0</v>
      </c>
      <c r="I7" s="1" t="s">
        <v>1640</v>
      </c>
      <c r="J7" s="22">
        <v>45</v>
      </c>
      <c r="K7" s="1" t="s">
        <v>70</v>
      </c>
      <c r="M7" s="33" t="s">
        <v>12</v>
      </c>
      <c r="N7" s="30">
        <v>0</v>
      </c>
    </row>
    <row r="8" spans="1:14" s="14" customFormat="1" ht="25.8" x14ac:dyDescent="0.25">
      <c r="A8" s="13">
        <v>6</v>
      </c>
      <c r="B8" s="1" t="s">
        <v>1641</v>
      </c>
      <c r="C8" s="1" t="s">
        <v>762</v>
      </c>
      <c r="D8" s="1" t="s">
        <v>155</v>
      </c>
      <c r="E8" s="1" t="s">
        <v>974</v>
      </c>
      <c r="F8" s="1" t="s">
        <v>157</v>
      </c>
      <c r="G8" s="1" t="s">
        <v>1642</v>
      </c>
      <c r="H8" s="55">
        <v>0</v>
      </c>
      <c r="I8" s="1" t="s">
        <v>1643</v>
      </c>
      <c r="J8" s="22">
        <v>45</v>
      </c>
      <c r="K8" s="1" t="s">
        <v>70</v>
      </c>
      <c r="M8" s="33" t="s">
        <v>51</v>
      </c>
      <c r="N8" s="30">
        <v>0</v>
      </c>
    </row>
    <row r="9" spans="1:14" s="14" customFormat="1" ht="25.8" x14ac:dyDescent="0.25">
      <c r="A9" s="13">
        <v>7</v>
      </c>
      <c r="B9" s="1" t="s">
        <v>1644</v>
      </c>
      <c r="C9" s="1" t="s">
        <v>1645</v>
      </c>
      <c r="D9" s="1" t="s">
        <v>106</v>
      </c>
      <c r="E9" s="1" t="s">
        <v>107</v>
      </c>
      <c r="F9" s="1" t="s">
        <v>102</v>
      </c>
      <c r="G9" s="1" t="s">
        <v>1646</v>
      </c>
      <c r="H9" s="55">
        <v>0</v>
      </c>
      <c r="I9" s="1" t="s">
        <v>1647</v>
      </c>
      <c r="J9" s="22">
        <v>45</v>
      </c>
      <c r="K9" s="1" t="s">
        <v>70</v>
      </c>
      <c r="M9" s="33" t="s">
        <v>46</v>
      </c>
      <c r="N9" s="30">
        <v>0</v>
      </c>
    </row>
    <row r="10" spans="1:14" s="14" customFormat="1" ht="46.8" x14ac:dyDescent="0.25">
      <c r="A10" s="13">
        <v>8</v>
      </c>
      <c r="B10" s="1" t="s">
        <v>1648</v>
      </c>
      <c r="C10" s="1" t="s">
        <v>1649</v>
      </c>
      <c r="D10" s="1" t="s">
        <v>155</v>
      </c>
      <c r="E10" s="1" t="s">
        <v>1650</v>
      </c>
      <c r="F10" s="1" t="s">
        <v>178</v>
      </c>
      <c r="G10" s="1" t="s">
        <v>1651</v>
      </c>
      <c r="H10" s="55">
        <v>0</v>
      </c>
      <c r="I10" s="1" t="s">
        <v>1652</v>
      </c>
      <c r="J10" s="22">
        <v>45</v>
      </c>
      <c r="K10" s="1" t="s">
        <v>70</v>
      </c>
      <c r="M10" s="33" t="s">
        <v>45</v>
      </c>
      <c r="N10" s="30">
        <v>0</v>
      </c>
    </row>
    <row r="11" spans="1:14" s="14" customFormat="1" ht="25.8" x14ac:dyDescent="0.25">
      <c r="A11" s="13">
        <v>9</v>
      </c>
      <c r="B11" s="1" t="s">
        <v>1653</v>
      </c>
      <c r="C11" s="1" t="s">
        <v>1654</v>
      </c>
      <c r="D11" s="1" t="s">
        <v>155</v>
      </c>
      <c r="E11" s="1" t="s">
        <v>1655</v>
      </c>
      <c r="F11" s="1" t="s">
        <v>157</v>
      </c>
      <c r="G11" s="1" t="s">
        <v>1656</v>
      </c>
      <c r="H11" s="55">
        <v>0</v>
      </c>
      <c r="I11" s="1" t="s">
        <v>1657</v>
      </c>
      <c r="J11" s="22">
        <v>45</v>
      </c>
      <c r="K11" s="1" t="s">
        <v>70</v>
      </c>
      <c r="M11" s="33" t="s">
        <v>10</v>
      </c>
      <c r="N11" s="30">
        <v>0</v>
      </c>
    </row>
    <row r="12" spans="1:14" s="14" customFormat="1" ht="25.8" x14ac:dyDescent="0.25">
      <c r="A12" s="13">
        <v>10</v>
      </c>
      <c r="B12" s="1" t="s">
        <v>1658</v>
      </c>
      <c r="C12" s="1" t="s">
        <v>1116</v>
      </c>
      <c r="D12" s="1" t="s">
        <v>155</v>
      </c>
      <c r="E12" s="1" t="s">
        <v>1117</v>
      </c>
      <c r="F12" s="1" t="s">
        <v>157</v>
      </c>
      <c r="G12" s="1" t="s">
        <v>1659</v>
      </c>
      <c r="H12" s="55">
        <v>0</v>
      </c>
      <c r="I12" s="1" t="s">
        <v>1660</v>
      </c>
      <c r="J12" s="22">
        <v>45</v>
      </c>
      <c r="K12" s="1" t="s">
        <v>70</v>
      </c>
      <c r="M12" s="33" t="s">
        <v>13</v>
      </c>
      <c r="N12" s="30">
        <v>0</v>
      </c>
    </row>
    <row r="13" spans="1:14" s="14" customFormat="1" ht="25.8" x14ac:dyDescent="0.25">
      <c r="A13" s="13">
        <v>11</v>
      </c>
      <c r="B13" s="1" t="s">
        <v>1661</v>
      </c>
      <c r="C13" s="1" t="s">
        <v>1662</v>
      </c>
      <c r="D13" s="1" t="s">
        <v>155</v>
      </c>
      <c r="E13" s="1" t="s">
        <v>1663</v>
      </c>
      <c r="F13" s="1" t="s">
        <v>157</v>
      </c>
      <c r="G13" s="1" t="s">
        <v>1664</v>
      </c>
      <c r="H13" s="55">
        <v>0</v>
      </c>
      <c r="I13" s="1" t="s">
        <v>1665</v>
      </c>
      <c r="J13" s="22">
        <v>45</v>
      </c>
      <c r="K13" s="1" t="s">
        <v>70</v>
      </c>
      <c r="M13" s="33" t="s">
        <v>52</v>
      </c>
      <c r="N13" s="30">
        <v>0</v>
      </c>
    </row>
    <row r="14" spans="1:14" s="14" customFormat="1" ht="46.8" x14ac:dyDescent="0.25">
      <c r="A14" s="13">
        <v>12</v>
      </c>
      <c r="B14" s="1" t="s">
        <v>1666</v>
      </c>
      <c r="C14" s="1" t="s">
        <v>1667</v>
      </c>
      <c r="D14" s="1" t="s">
        <v>155</v>
      </c>
      <c r="E14" s="1" t="s">
        <v>1668</v>
      </c>
      <c r="F14" s="1" t="s">
        <v>178</v>
      </c>
      <c r="G14" s="1" t="s">
        <v>1669</v>
      </c>
      <c r="H14" s="55">
        <v>0</v>
      </c>
      <c r="I14" s="1" t="s">
        <v>1670</v>
      </c>
      <c r="J14" s="22">
        <v>45</v>
      </c>
      <c r="K14" s="1" t="s">
        <v>70</v>
      </c>
      <c r="M14" s="33" t="s">
        <v>14</v>
      </c>
      <c r="N14" s="30">
        <v>0</v>
      </c>
    </row>
    <row r="15" spans="1:14" s="14" customFormat="1" ht="24.6" customHeight="1" x14ac:dyDescent="0.25">
      <c r="A15" s="13">
        <v>13</v>
      </c>
      <c r="B15" s="1" t="s">
        <v>1671</v>
      </c>
      <c r="C15" s="1" t="s">
        <v>1672</v>
      </c>
      <c r="D15" s="1" t="s">
        <v>155</v>
      </c>
      <c r="E15" s="1" t="s">
        <v>1673</v>
      </c>
      <c r="F15" s="1" t="s">
        <v>157</v>
      </c>
      <c r="G15" s="1" t="s">
        <v>1669</v>
      </c>
      <c r="H15" s="55">
        <v>0</v>
      </c>
      <c r="I15" s="1" t="s">
        <v>1674</v>
      </c>
      <c r="J15" s="22">
        <v>45</v>
      </c>
      <c r="K15" s="1" t="s">
        <v>70</v>
      </c>
      <c r="M15" s="33" t="s">
        <v>53</v>
      </c>
      <c r="N15" s="30">
        <v>0</v>
      </c>
    </row>
    <row r="16" spans="1:14" s="14" customFormat="1" ht="25.8" x14ac:dyDescent="0.25">
      <c r="A16" s="13">
        <v>14</v>
      </c>
      <c r="B16" s="1" t="s">
        <v>1675</v>
      </c>
      <c r="C16" s="1" t="s">
        <v>714</v>
      </c>
      <c r="D16" s="1" t="s">
        <v>155</v>
      </c>
      <c r="E16" s="1" t="s">
        <v>715</v>
      </c>
      <c r="F16" s="1" t="s">
        <v>157</v>
      </c>
      <c r="G16" s="1" t="s">
        <v>1676</v>
      </c>
      <c r="H16" s="55">
        <v>0</v>
      </c>
      <c r="I16" s="1" t="s">
        <v>1677</v>
      </c>
      <c r="J16" s="22">
        <v>45</v>
      </c>
      <c r="K16" s="1" t="s">
        <v>70</v>
      </c>
      <c r="M16" s="33" t="s">
        <v>54</v>
      </c>
      <c r="N16" s="30">
        <v>0</v>
      </c>
    </row>
    <row r="17" spans="1:14" s="14" customFormat="1" ht="25.8" x14ac:dyDescent="0.25">
      <c r="A17" s="13">
        <v>15</v>
      </c>
      <c r="B17" s="1" t="s">
        <v>1678</v>
      </c>
      <c r="C17" s="1" t="s">
        <v>1679</v>
      </c>
      <c r="D17" s="1" t="s">
        <v>155</v>
      </c>
      <c r="E17" s="1" t="s">
        <v>1680</v>
      </c>
      <c r="F17" s="1" t="s">
        <v>157</v>
      </c>
      <c r="G17" s="1" t="s">
        <v>1681</v>
      </c>
      <c r="H17" s="55">
        <v>0</v>
      </c>
      <c r="I17" s="1" t="s">
        <v>1682</v>
      </c>
      <c r="J17" s="22">
        <v>45</v>
      </c>
      <c r="K17" s="1" t="s">
        <v>70</v>
      </c>
      <c r="M17" s="33" t="s">
        <v>48</v>
      </c>
      <c r="N17" s="30">
        <v>0</v>
      </c>
    </row>
    <row r="18" spans="1:14" s="14" customFormat="1" ht="25.8" x14ac:dyDescent="0.25">
      <c r="A18" s="13">
        <v>16</v>
      </c>
      <c r="B18" s="1" t="s">
        <v>1683</v>
      </c>
      <c r="C18" s="1" t="s">
        <v>1684</v>
      </c>
      <c r="D18" s="1" t="s">
        <v>155</v>
      </c>
      <c r="E18" s="1" t="s">
        <v>1685</v>
      </c>
      <c r="F18" s="1" t="s">
        <v>157</v>
      </c>
      <c r="G18" s="1" t="s">
        <v>1686</v>
      </c>
      <c r="H18" s="55">
        <v>0</v>
      </c>
      <c r="I18" s="1" t="s">
        <v>1687</v>
      </c>
      <c r="J18" s="22">
        <v>45</v>
      </c>
      <c r="K18" s="1" t="s">
        <v>70</v>
      </c>
      <c r="M18" s="33" t="s">
        <v>55</v>
      </c>
      <c r="N18" s="30">
        <v>0</v>
      </c>
    </row>
    <row r="19" spans="1:14" s="14" customFormat="1" ht="25.8" x14ac:dyDescent="0.25">
      <c r="A19" s="13">
        <v>17</v>
      </c>
      <c r="B19" s="1" t="s">
        <v>1688</v>
      </c>
      <c r="C19" s="1" t="s">
        <v>1689</v>
      </c>
      <c r="D19" s="1" t="s">
        <v>155</v>
      </c>
      <c r="E19" s="1" t="s">
        <v>1690</v>
      </c>
      <c r="F19" s="1" t="s">
        <v>157</v>
      </c>
      <c r="G19" s="1" t="s">
        <v>1691</v>
      </c>
      <c r="H19" s="55">
        <v>0</v>
      </c>
      <c r="I19" s="1" t="s">
        <v>1692</v>
      </c>
      <c r="J19" s="22">
        <v>45</v>
      </c>
      <c r="K19" s="1" t="s">
        <v>70</v>
      </c>
      <c r="M19" s="33" t="s">
        <v>18</v>
      </c>
      <c r="N19" s="30">
        <v>0</v>
      </c>
    </row>
    <row r="20" spans="1:14" s="14" customFormat="1" ht="25.8" x14ac:dyDescent="0.25">
      <c r="A20" s="13">
        <v>18</v>
      </c>
      <c r="B20" s="1" t="s">
        <v>1693</v>
      </c>
      <c r="C20" s="1" t="s">
        <v>367</v>
      </c>
      <c r="D20" s="1" t="s">
        <v>155</v>
      </c>
      <c r="E20" s="1" t="s">
        <v>1694</v>
      </c>
      <c r="F20" s="1" t="s">
        <v>157</v>
      </c>
      <c r="G20" s="1" t="s">
        <v>1695</v>
      </c>
      <c r="H20" s="55">
        <v>0</v>
      </c>
      <c r="I20" s="1" t="s">
        <v>1696</v>
      </c>
      <c r="J20" s="22">
        <v>45</v>
      </c>
      <c r="K20" s="1" t="s">
        <v>70</v>
      </c>
      <c r="M20" s="33" t="s">
        <v>56</v>
      </c>
      <c r="N20" s="30">
        <v>0</v>
      </c>
    </row>
    <row r="21" spans="1:14" s="14" customFormat="1" ht="25.8" x14ac:dyDescent="0.25">
      <c r="A21" s="13">
        <v>19</v>
      </c>
      <c r="B21" s="1" t="s">
        <v>1697</v>
      </c>
      <c r="C21" s="1" t="s">
        <v>1698</v>
      </c>
      <c r="D21" s="1" t="s">
        <v>155</v>
      </c>
      <c r="E21" s="1" t="s">
        <v>1699</v>
      </c>
      <c r="F21" s="1" t="s">
        <v>157</v>
      </c>
      <c r="G21" s="1" t="s">
        <v>1700</v>
      </c>
      <c r="H21" s="55">
        <v>0</v>
      </c>
      <c r="I21" s="1" t="s">
        <v>1701</v>
      </c>
      <c r="J21" s="22">
        <v>45</v>
      </c>
      <c r="K21" s="1" t="s">
        <v>70</v>
      </c>
      <c r="M21" s="33" t="s">
        <v>20</v>
      </c>
      <c r="N21" s="30">
        <v>0</v>
      </c>
    </row>
    <row r="22" spans="1:14" s="14" customFormat="1" ht="25.8" x14ac:dyDescent="0.25">
      <c r="A22" s="13">
        <v>20</v>
      </c>
      <c r="B22" s="1" t="s">
        <v>1702</v>
      </c>
      <c r="C22" s="1" t="s">
        <v>1703</v>
      </c>
      <c r="D22" s="1" t="s">
        <v>106</v>
      </c>
      <c r="E22" s="1" t="s">
        <v>107</v>
      </c>
      <c r="F22" s="1" t="s">
        <v>102</v>
      </c>
      <c r="G22" s="1" t="s">
        <v>1704</v>
      </c>
      <c r="H22" s="55">
        <v>0</v>
      </c>
      <c r="I22" s="1" t="s">
        <v>1705</v>
      </c>
      <c r="J22" s="22">
        <v>45</v>
      </c>
      <c r="K22" s="1" t="s">
        <v>73</v>
      </c>
      <c r="M22" s="33" t="s">
        <v>57</v>
      </c>
      <c r="N22" s="30">
        <v>0</v>
      </c>
    </row>
    <row r="23" spans="1:14" s="14" customFormat="1" ht="25.8" x14ac:dyDescent="0.25">
      <c r="A23" s="13">
        <v>21</v>
      </c>
      <c r="B23" s="1" t="s">
        <v>1706</v>
      </c>
      <c r="C23" s="1" t="s">
        <v>1707</v>
      </c>
      <c r="D23" s="1" t="s">
        <v>155</v>
      </c>
      <c r="E23" s="1" t="s">
        <v>1708</v>
      </c>
      <c r="F23" s="1" t="s">
        <v>157</v>
      </c>
      <c r="G23" s="1" t="s">
        <v>1709</v>
      </c>
      <c r="H23" s="55">
        <v>0</v>
      </c>
      <c r="I23" s="1" t="s">
        <v>1710</v>
      </c>
      <c r="J23" s="22">
        <v>45</v>
      </c>
      <c r="K23" s="1" t="s">
        <v>70</v>
      </c>
      <c r="M23" s="33" t="s">
        <v>58</v>
      </c>
      <c r="N23" s="30">
        <v>0</v>
      </c>
    </row>
    <row r="24" spans="1:14" s="14" customFormat="1" ht="25.8" x14ac:dyDescent="0.25">
      <c r="A24" s="13">
        <v>22</v>
      </c>
      <c r="B24" s="1" t="s">
        <v>1711</v>
      </c>
      <c r="C24" s="1" t="s">
        <v>1712</v>
      </c>
      <c r="D24" s="1" t="s">
        <v>155</v>
      </c>
      <c r="E24" s="1" t="s">
        <v>1713</v>
      </c>
      <c r="F24" s="1" t="s">
        <v>157</v>
      </c>
      <c r="G24" s="1" t="s">
        <v>1714</v>
      </c>
      <c r="H24" s="55">
        <v>0</v>
      </c>
      <c r="I24" s="1" t="s">
        <v>1715</v>
      </c>
      <c r="J24" s="22">
        <v>45</v>
      </c>
      <c r="K24" s="1" t="s">
        <v>70</v>
      </c>
      <c r="M24" s="33" t="s">
        <v>59</v>
      </c>
      <c r="N24" s="30">
        <v>0</v>
      </c>
    </row>
    <row r="25" spans="1:14" s="14" customFormat="1" ht="25.8" x14ac:dyDescent="0.25">
      <c r="A25" s="13">
        <v>23</v>
      </c>
      <c r="B25" s="1" t="s">
        <v>1716</v>
      </c>
      <c r="C25" s="1" t="s">
        <v>684</v>
      </c>
      <c r="D25" s="1" t="s">
        <v>155</v>
      </c>
      <c r="E25" s="1" t="s">
        <v>685</v>
      </c>
      <c r="F25" s="1" t="s">
        <v>157</v>
      </c>
      <c r="G25" s="1" t="s">
        <v>1717</v>
      </c>
      <c r="H25" s="55">
        <v>0</v>
      </c>
      <c r="I25" s="1" t="s">
        <v>1718</v>
      </c>
      <c r="J25" s="22">
        <v>45</v>
      </c>
      <c r="K25" s="1" t="s">
        <v>70</v>
      </c>
      <c r="M25" s="33" t="s">
        <v>60</v>
      </c>
      <c r="N25" s="30">
        <v>0</v>
      </c>
    </row>
    <row r="26" spans="1:14" s="14" customFormat="1" ht="25.8" x14ac:dyDescent="0.25">
      <c r="A26" s="13">
        <v>24</v>
      </c>
      <c r="B26" s="1" t="s">
        <v>1719</v>
      </c>
      <c r="C26" s="1" t="s">
        <v>154</v>
      </c>
      <c r="D26" s="1" t="s">
        <v>155</v>
      </c>
      <c r="E26" s="1" t="s">
        <v>156</v>
      </c>
      <c r="F26" s="1" t="s">
        <v>157</v>
      </c>
      <c r="G26" s="1" t="s">
        <v>1720</v>
      </c>
      <c r="H26" s="55">
        <v>0</v>
      </c>
      <c r="I26" s="1" t="s">
        <v>1721</v>
      </c>
      <c r="J26" s="22">
        <v>45</v>
      </c>
      <c r="K26" s="1" t="s">
        <v>70</v>
      </c>
      <c r="M26" s="33" t="s">
        <v>61</v>
      </c>
      <c r="N26" s="30">
        <v>0</v>
      </c>
    </row>
    <row r="27" spans="1:14" s="14" customFormat="1" ht="25.8" x14ac:dyDescent="0.25">
      <c r="A27" s="13">
        <v>25</v>
      </c>
      <c r="B27" s="1" t="s">
        <v>1722</v>
      </c>
      <c r="C27" s="1" t="s">
        <v>1723</v>
      </c>
      <c r="D27" s="1" t="s">
        <v>155</v>
      </c>
      <c r="E27" s="1" t="s">
        <v>1724</v>
      </c>
      <c r="F27" s="1" t="s">
        <v>157</v>
      </c>
      <c r="G27" s="1" t="s">
        <v>1725</v>
      </c>
      <c r="H27" s="55">
        <v>0</v>
      </c>
      <c r="I27" s="1" t="s">
        <v>1726</v>
      </c>
      <c r="J27" s="22">
        <v>45</v>
      </c>
      <c r="K27" s="1" t="s">
        <v>70</v>
      </c>
      <c r="M27" s="33" t="s">
        <v>62</v>
      </c>
      <c r="N27" s="30">
        <v>0</v>
      </c>
    </row>
    <row r="28" spans="1:14" s="14" customFormat="1" ht="25.8" x14ac:dyDescent="0.25">
      <c r="A28" s="13">
        <v>26</v>
      </c>
      <c r="B28" s="1" t="s">
        <v>1727</v>
      </c>
      <c r="C28" s="1" t="s">
        <v>224</v>
      </c>
      <c r="D28" s="1" t="s">
        <v>155</v>
      </c>
      <c r="E28" s="1" t="s">
        <v>225</v>
      </c>
      <c r="F28" s="1" t="s">
        <v>157</v>
      </c>
      <c r="G28" s="1" t="s">
        <v>1728</v>
      </c>
      <c r="H28" s="55">
        <v>0</v>
      </c>
      <c r="I28" s="1" t="s">
        <v>1729</v>
      </c>
      <c r="J28" s="22">
        <v>45</v>
      </c>
      <c r="K28" s="1" t="s">
        <v>70</v>
      </c>
      <c r="M28" s="33" t="s">
        <v>63</v>
      </c>
      <c r="N28" s="30">
        <v>0</v>
      </c>
    </row>
    <row r="29" spans="1:14" s="14" customFormat="1" ht="25.8" x14ac:dyDescent="0.25">
      <c r="A29" s="13">
        <v>27</v>
      </c>
      <c r="B29" s="1" t="s">
        <v>1730</v>
      </c>
      <c r="C29" s="1" t="s">
        <v>1731</v>
      </c>
      <c r="D29" s="1" t="s">
        <v>155</v>
      </c>
      <c r="E29" s="1" t="s">
        <v>1732</v>
      </c>
      <c r="F29" s="1" t="s">
        <v>157</v>
      </c>
      <c r="G29" s="1" t="s">
        <v>1733</v>
      </c>
      <c r="H29" s="55">
        <v>0</v>
      </c>
      <c r="I29" s="1" t="s">
        <v>1734</v>
      </c>
      <c r="J29" s="22">
        <v>45</v>
      </c>
      <c r="K29" s="1" t="s">
        <v>70</v>
      </c>
      <c r="M29" s="33" t="s">
        <v>64</v>
      </c>
      <c r="N29" s="30">
        <v>0</v>
      </c>
    </row>
    <row r="30" spans="1:14" s="14" customFormat="1" ht="46.8" x14ac:dyDescent="0.25">
      <c r="A30" s="13">
        <v>28</v>
      </c>
      <c r="B30" s="1" t="s">
        <v>1735</v>
      </c>
      <c r="C30" s="1" t="s">
        <v>1736</v>
      </c>
      <c r="D30" s="1" t="s">
        <v>155</v>
      </c>
      <c r="E30" s="1" t="s">
        <v>1737</v>
      </c>
      <c r="F30" s="1" t="s">
        <v>157</v>
      </c>
      <c r="G30" s="1" t="s">
        <v>1738</v>
      </c>
      <c r="H30" s="55">
        <v>0</v>
      </c>
      <c r="I30" s="1" t="s">
        <v>1739</v>
      </c>
      <c r="J30" s="22">
        <v>45</v>
      </c>
      <c r="K30" s="1" t="s">
        <v>70</v>
      </c>
      <c r="M30" s="33" t="s">
        <v>65</v>
      </c>
      <c r="N30" s="30">
        <v>0</v>
      </c>
    </row>
    <row r="31" spans="1:14" s="14" customFormat="1" ht="25.8" x14ac:dyDescent="0.25">
      <c r="A31" s="13">
        <v>29</v>
      </c>
      <c r="B31" s="1" t="s">
        <v>1740</v>
      </c>
      <c r="C31" s="1" t="s">
        <v>1741</v>
      </c>
      <c r="D31" s="1" t="s">
        <v>155</v>
      </c>
      <c r="E31" s="1" t="s">
        <v>1742</v>
      </c>
      <c r="F31" s="1" t="s">
        <v>157</v>
      </c>
      <c r="G31" s="1" t="s">
        <v>1743</v>
      </c>
      <c r="H31" s="55">
        <v>0</v>
      </c>
      <c r="I31" s="1" t="s">
        <v>1744</v>
      </c>
      <c r="J31" s="22">
        <v>45</v>
      </c>
      <c r="K31" s="1" t="s">
        <v>70</v>
      </c>
      <c r="M31" s="33" t="s">
        <v>66</v>
      </c>
      <c r="N31" s="30">
        <v>0</v>
      </c>
    </row>
    <row r="32" spans="1:14" s="14" customFormat="1" ht="25.8" x14ac:dyDescent="0.25">
      <c r="A32" s="13">
        <v>30</v>
      </c>
      <c r="B32" s="1" t="s">
        <v>1745</v>
      </c>
      <c r="C32" s="1" t="s">
        <v>1279</v>
      </c>
      <c r="D32" s="1" t="s">
        <v>155</v>
      </c>
      <c r="E32" s="1" t="s">
        <v>1280</v>
      </c>
      <c r="F32" s="1" t="s">
        <v>157</v>
      </c>
      <c r="G32" s="1" t="s">
        <v>1746</v>
      </c>
      <c r="H32" s="55">
        <v>0</v>
      </c>
      <c r="I32" s="1" t="s">
        <v>1747</v>
      </c>
      <c r="J32" s="22">
        <v>45</v>
      </c>
      <c r="K32" s="1" t="s">
        <v>70</v>
      </c>
      <c r="M32" s="33" t="s">
        <v>67</v>
      </c>
      <c r="N32" s="30">
        <v>0</v>
      </c>
    </row>
    <row r="33" spans="1:14" s="14" customFormat="1" ht="25.8" x14ac:dyDescent="0.25">
      <c r="A33" s="13">
        <v>31</v>
      </c>
      <c r="B33" s="1" t="s">
        <v>1748</v>
      </c>
      <c r="C33" s="1" t="s">
        <v>173</v>
      </c>
      <c r="D33" s="1" t="s">
        <v>155</v>
      </c>
      <c r="E33" s="1" t="s">
        <v>174</v>
      </c>
      <c r="F33" s="1" t="s">
        <v>157</v>
      </c>
      <c r="G33" s="1" t="s">
        <v>1746</v>
      </c>
      <c r="H33" s="55">
        <v>0</v>
      </c>
      <c r="I33" s="1" t="s">
        <v>1749</v>
      </c>
      <c r="J33" s="22">
        <v>45</v>
      </c>
      <c r="K33" s="1" t="s">
        <v>70</v>
      </c>
      <c r="M33" s="33" t="s">
        <v>68</v>
      </c>
      <c r="N33" s="30">
        <v>0</v>
      </c>
    </row>
    <row r="34" spans="1:14" s="14" customFormat="1" ht="25.8" x14ac:dyDescent="0.25">
      <c r="A34" s="13">
        <v>32</v>
      </c>
      <c r="B34" s="1" t="s">
        <v>1750</v>
      </c>
      <c r="C34" s="1" t="s">
        <v>1751</v>
      </c>
      <c r="D34" s="1" t="s">
        <v>155</v>
      </c>
      <c r="E34" s="1" t="s">
        <v>1752</v>
      </c>
      <c r="F34" s="1" t="s">
        <v>157</v>
      </c>
      <c r="G34" s="1" t="s">
        <v>1753</v>
      </c>
      <c r="H34" s="55">
        <v>0</v>
      </c>
      <c r="I34" s="1" t="s">
        <v>1754</v>
      </c>
      <c r="J34" s="22">
        <v>45</v>
      </c>
      <c r="K34" s="1" t="s">
        <v>70</v>
      </c>
      <c r="M34" s="33" t="s">
        <v>69</v>
      </c>
      <c r="N34" s="30">
        <v>0</v>
      </c>
    </row>
    <row r="35" spans="1:14" s="14" customFormat="1" ht="46.8" x14ac:dyDescent="0.25">
      <c r="A35" s="13">
        <v>33</v>
      </c>
      <c r="B35" s="1" t="s">
        <v>1755</v>
      </c>
      <c r="C35" s="1" t="s">
        <v>1756</v>
      </c>
      <c r="D35" s="1" t="s">
        <v>155</v>
      </c>
      <c r="E35" s="1" t="s">
        <v>206</v>
      </c>
      <c r="F35" s="1" t="s">
        <v>178</v>
      </c>
      <c r="G35" s="1" t="s">
        <v>1757</v>
      </c>
      <c r="H35" s="55">
        <v>0</v>
      </c>
      <c r="I35" s="1" t="s">
        <v>1758</v>
      </c>
      <c r="J35" s="22">
        <v>45</v>
      </c>
      <c r="K35" s="1" t="s">
        <v>70</v>
      </c>
      <c r="M35" s="33" t="s">
        <v>70</v>
      </c>
      <c r="N35" s="30">
        <v>85</v>
      </c>
    </row>
    <row r="36" spans="1:14" s="14" customFormat="1" ht="25.8" x14ac:dyDescent="0.25">
      <c r="A36" s="13">
        <v>34</v>
      </c>
      <c r="B36" s="1" t="s">
        <v>1759</v>
      </c>
      <c r="C36" s="1" t="s">
        <v>1760</v>
      </c>
      <c r="D36" s="1" t="s">
        <v>155</v>
      </c>
      <c r="E36" s="1" t="s">
        <v>1761</v>
      </c>
      <c r="F36" s="1" t="s">
        <v>157</v>
      </c>
      <c r="G36" s="1" t="s">
        <v>1762</v>
      </c>
      <c r="H36" s="55">
        <v>0</v>
      </c>
      <c r="I36" s="1" t="s">
        <v>1763</v>
      </c>
      <c r="J36" s="22">
        <v>45</v>
      </c>
      <c r="K36" s="1" t="s">
        <v>70</v>
      </c>
      <c r="M36" s="33" t="s">
        <v>71</v>
      </c>
      <c r="N36" s="30">
        <v>0</v>
      </c>
    </row>
    <row r="37" spans="1:14" s="14" customFormat="1" ht="25.8" x14ac:dyDescent="0.25">
      <c r="A37" s="13">
        <v>35</v>
      </c>
      <c r="B37" s="1" t="s">
        <v>1764</v>
      </c>
      <c r="C37" s="1" t="s">
        <v>1765</v>
      </c>
      <c r="D37" s="1" t="s">
        <v>155</v>
      </c>
      <c r="E37" s="1" t="s">
        <v>1766</v>
      </c>
      <c r="F37" s="1" t="s">
        <v>157</v>
      </c>
      <c r="G37" s="1" t="s">
        <v>1767</v>
      </c>
      <c r="H37" s="55">
        <v>0</v>
      </c>
      <c r="I37" s="1" t="s">
        <v>1768</v>
      </c>
      <c r="J37" s="22">
        <v>45</v>
      </c>
      <c r="K37" s="1" t="s">
        <v>70</v>
      </c>
      <c r="M37" s="33" t="s">
        <v>72</v>
      </c>
      <c r="N37" s="30">
        <v>0</v>
      </c>
    </row>
    <row r="38" spans="1:14" s="14" customFormat="1" ht="25.8" x14ac:dyDescent="0.25">
      <c r="A38" s="13">
        <v>36</v>
      </c>
      <c r="B38" s="1" t="s">
        <v>1769</v>
      </c>
      <c r="C38" s="1" t="s">
        <v>1770</v>
      </c>
      <c r="D38" s="1" t="s">
        <v>155</v>
      </c>
      <c r="E38" s="1" t="s">
        <v>1771</v>
      </c>
      <c r="F38" s="1" t="s">
        <v>157</v>
      </c>
      <c r="G38" s="1" t="s">
        <v>1772</v>
      </c>
      <c r="H38" s="55">
        <v>0</v>
      </c>
      <c r="I38" s="1" t="s">
        <v>1773</v>
      </c>
      <c r="J38" s="22">
        <v>45</v>
      </c>
      <c r="K38" s="1" t="s">
        <v>70</v>
      </c>
      <c r="M38" s="33" t="s">
        <v>73</v>
      </c>
      <c r="N38" s="30">
        <v>1</v>
      </c>
    </row>
    <row r="39" spans="1:14" s="14" customFormat="1" ht="25.8" x14ac:dyDescent="0.25">
      <c r="A39" s="13">
        <v>37</v>
      </c>
      <c r="B39" s="1" t="s">
        <v>1774</v>
      </c>
      <c r="C39" s="1" t="s">
        <v>247</v>
      </c>
      <c r="D39" s="1" t="s">
        <v>155</v>
      </c>
      <c r="E39" s="1" t="s">
        <v>248</v>
      </c>
      <c r="F39" s="1" t="s">
        <v>157</v>
      </c>
      <c r="G39" s="1" t="s">
        <v>1775</v>
      </c>
      <c r="H39" s="55">
        <v>0</v>
      </c>
      <c r="I39" s="1" t="s">
        <v>1776</v>
      </c>
      <c r="J39" s="22">
        <v>45</v>
      </c>
      <c r="K39" s="1" t="s">
        <v>70</v>
      </c>
      <c r="M39" s="33" t="s">
        <v>74</v>
      </c>
      <c r="N39" s="30">
        <v>0</v>
      </c>
    </row>
    <row r="40" spans="1:14" s="14" customFormat="1" ht="25.8" x14ac:dyDescent="0.25">
      <c r="A40" s="13">
        <v>38</v>
      </c>
      <c r="B40" s="1" t="s">
        <v>1777</v>
      </c>
      <c r="C40" s="1" t="s">
        <v>1778</v>
      </c>
      <c r="D40" s="1" t="s">
        <v>155</v>
      </c>
      <c r="E40" s="1" t="s">
        <v>1779</v>
      </c>
      <c r="F40" s="1" t="s">
        <v>157</v>
      </c>
      <c r="G40" s="1" t="s">
        <v>1780</v>
      </c>
      <c r="H40" s="55">
        <v>0</v>
      </c>
      <c r="I40" s="1" t="s">
        <v>1781</v>
      </c>
      <c r="J40" s="22">
        <v>45</v>
      </c>
      <c r="K40" s="1" t="s">
        <v>70</v>
      </c>
      <c r="M40" s="33" t="s">
        <v>75</v>
      </c>
      <c r="N40" s="30">
        <v>0</v>
      </c>
    </row>
    <row r="41" spans="1:14" s="14" customFormat="1" ht="25.8" x14ac:dyDescent="0.25">
      <c r="A41" s="13">
        <v>39</v>
      </c>
      <c r="B41" s="1" t="s">
        <v>1782</v>
      </c>
      <c r="C41" s="1" t="s">
        <v>1783</v>
      </c>
      <c r="D41" s="1" t="s">
        <v>155</v>
      </c>
      <c r="E41" s="1" t="s">
        <v>1122</v>
      </c>
      <c r="F41" s="1" t="s">
        <v>157</v>
      </c>
      <c r="G41" s="1" t="s">
        <v>1784</v>
      </c>
      <c r="H41" s="55">
        <v>0</v>
      </c>
      <c r="I41" s="1" t="s">
        <v>1785</v>
      </c>
      <c r="J41" s="22">
        <v>45</v>
      </c>
      <c r="K41" s="1" t="s">
        <v>70</v>
      </c>
      <c r="M41" s="33" t="s">
        <v>76</v>
      </c>
      <c r="N41" s="30">
        <v>0</v>
      </c>
    </row>
    <row r="42" spans="1:14" s="14" customFormat="1" ht="25.8" x14ac:dyDescent="0.25">
      <c r="A42" s="13">
        <v>40</v>
      </c>
      <c r="B42" s="1" t="s">
        <v>1786</v>
      </c>
      <c r="C42" s="1" t="s">
        <v>1787</v>
      </c>
      <c r="D42" s="1" t="s">
        <v>155</v>
      </c>
      <c r="E42" s="1" t="s">
        <v>1788</v>
      </c>
      <c r="F42" s="1" t="s">
        <v>157</v>
      </c>
      <c r="G42" s="1" t="s">
        <v>1789</v>
      </c>
      <c r="H42" s="55">
        <v>0</v>
      </c>
      <c r="I42" s="1" t="s">
        <v>1790</v>
      </c>
      <c r="J42" s="22">
        <v>45</v>
      </c>
      <c r="K42" s="1" t="s">
        <v>70</v>
      </c>
      <c r="M42" s="33" t="s">
        <v>77</v>
      </c>
      <c r="N42" s="30">
        <v>0</v>
      </c>
    </row>
    <row r="43" spans="1:14" s="14" customFormat="1" ht="25.8" x14ac:dyDescent="0.25">
      <c r="A43" s="13">
        <v>41</v>
      </c>
      <c r="B43" s="1" t="s">
        <v>1791</v>
      </c>
      <c r="C43" s="1" t="s">
        <v>1792</v>
      </c>
      <c r="D43" s="1" t="s">
        <v>155</v>
      </c>
      <c r="E43" s="1" t="s">
        <v>1793</v>
      </c>
      <c r="F43" s="1" t="s">
        <v>157</v>
      </c>
      <c r="G43" s="1" t="s">
        <v>1794</v>
      </c>
      <c r="H43" s="55">
        <v>0</v>
      </c>
      <c r="I43" s="1" t="s">
        <v>1795</v>
      </c>
      <c r="J43" s="22">
        <v>45</v>
      </c>
      <c r="K43" s="1" t="s">
        <v>70</v>
      </c>
      <c r="M43" s="33" t="s">
        <v>21</v>
      </c>
      <c r="N43" s="30">
        <v>0</v>
      </c>
    </row>
    <row r="44" spans="1:14" s="14" customFormat="1" ht="25.8" x14ac:dyDescent="0.25">
      <c r="A44" s="13">
        <v>42</v>
      </c>
      <c r="B44" s="1" t="s">
        <v>1796</v>
      </c>
      <c r="C44" s="1" t="s">
        <v>1679</v>
      </c>
      <c r="D44" s="1" t="s">
        <v>155</v>
      </c>
      <c r="E44" s="1" t="s">
        <v>1680</v>
      </c>
      <c r="F44" s="1" t="s">
        <v>157</v>
      </c>
      <c r="G44" s="1" t="s">
        <v>1797</v>
      </c>
      <c r="H44" s="55">
        <v>0</v>
      </c>
      <c r="I44" s="1" t="s">
        <v>1798</v>
      </c>
      <c r="J44" s="22">
        <v>45</v>
      </c>
      <c r="K44" s="1" t="s">
        <v>70</v>
      </c>
      <c r="M44" s="33" t="s">
        <v>78</v>
      </c>
      <c r="N44" s="30">
        <v>0</v>
      </c>
    </row>
    <row r="45" spans="1:14" s="14" customFormat="1" ht="25.8" x14ac:dyDescent="0.25">
      <c r="A45" s="13">
        <v>43</v>
      </c>
      <c r="B45" s="1" t="s">
        <v>1799</v>
      </c>
      <c r="C45" s="1" t="s">
        <v>684</v>
      </c>
      <c r="D45" s="1" t="s">
        <v>155</v>
      </c>
      <c r="E45" s="1" t="s">
        <v>685</v>
      </c>
      <c r="F45" s="1" t="s">
        <v>157</v>
      </c>
      <c r="G45" s="1" t="s">
        <v>1800</v>
      </c>
      <c r="H45" s="55">
        <v>0</v>
      </c>
      <c r="I45" s="1" t="s">
        <v>1801</v>
      </c>
      <c r="J45" s="22">
        <v>45</v>
      </c>
      <c r="K45" s="1" t="s">
        <v>70</v>
      </c>
      <c r="M45" s="33" t="s">
        <v>79</v>
      </c>
      <c r="N45" s="30">
        <v>0</v>
      </c>
    </row>
    <row r="46" spans="1:14" s="14" customFormat="1" ht="25.8" x14ac:dyDescent="0.25">
      <c r="A46" s="13">
        <v>44</v>
      </c>
      <c r="B46" s="1" t="s">
        <v>1802</v>
      </c>
      <c r="C46" s="1" t="s">
        <v>1803</v>
      </c>
      <c r="D46" s="1" t="s">
        <v>155</v>
      </c>
      <c r="E46" s="1" t="s">
        <v>1804</v>
      </c>
      <c r="F46" s="1" t="s">
        <v>157</v>
      </c>
      <c r="G46" s="1" t="s">
        <v>1805</v>
      </c>
      <c r="H46" s="55">
        <v>0</v>
      </c>
      <c r="I46" s="1" t="s">
        <v>1806</v>
      </c>
      <c r="J46" s="22">
        <v>45</v>
      </c>
      <c r="K46" s="1" t="s">
        <v>70</v>
      </c>
      <c r="M46" s="33" t="s">
        <v>80</v>
      </c>
      <c r="N46" s="30">
        <v>0</v>
      </c>
    </row>
    <row r="47" spans="1:14" s="14" customFormat="1" ht="25.8" x14ac:dyDescent="0.25">
      <c r="A47" s="13">
        <v>45</v>
      </c>
      <c r="B47" s="1" t="s">
        <v>1807</v>
      </c>
      <c r="C47" s="1" t="s">
        <v>274</v>
      </c>
      <c r="D47" s="1" t="s">
        <v>155</v>
      </c>
      <c r="E47" s="1" t="s">
        <v>275</v>
      </c>
      <c r="F47" s="1" t="s">
        <v>157</v>
      </c>
      <c r="G47" s="1" t="s">
        <v>1808</v>
      </c>
      <c r="H47" s="55">
        <v>0</v>
      </c>
      <c r="I47" s="1" t="s">
        <v>1809</v>
      </c>
      <c r="J47" s="22">
        <v>45</v>
      </c>
      <c r="K47" s="1" t="s">
        <v>70</v>
      </c>
      <c r="M47" s="33" t="s">
        <v>81</v>
      </c>
      <c r="N47" s="30">
        <v>0</v>
      </c>
    </row>
    <row r="48" spans="1:14" s="14" customFormat="1" ht="25.8" x14ac:dyDescent="0.25">
      <c r="A48" s="13">
        <v>46</v>
      </c>
      <c r="B48" s="1" t="s">
        <v>1810</v>
      </c>
      <c r="C48" s="1" t="s">
        <v>1723</v>
      </c>
      <c r="D48" s="1" t="s">
        <v>155</v>
      </c>
      <c r="E48" s="1" t="s">
        <v>1724</v>
      </c>
      <c r="F48" s="1" t="s">
        <v>157</v>
      </c>
      <c r="G48" s="1" t="s">
        <v>1811</v>
      </c>
      <c r="H48" s="55">
        <v>0</v>
      </c>
      <c r="I48" s="1" t="s">
        <v>1812</v>
      </c>
      <c r="J48" s="22">
        <v>45</v>
      </c>
      <c r="K48" s="1" t="s">
        <v>70</v>
      </c>
      <c r="M48" s="33" t="s">
        <v>86</v>
      </c>
      <c r="N48" s="30">
        <v>0</v>
      </c>
    </row>
    <row r="49" spans="1:14" s="14" customFormat="1" ht="25.8" x14ac:dyDescent="0.25">
      <c r="A49" s="13">
        <v>47</v>
      </c>
      <c r="B49" s="1" t="s">
        <v>1813</v>
      </c>
      <c r="C49" s="1" t="s">
        <v>1814</v>
      </c>
      <c r="D49" s="1" t="s">
        <v>155</v>
      </c>
      <c r="E49" s="1" t="s">
        <v>1815</v>
      </c>
      <c r="F49" s="1" t="s">
        <v>157</v>
      </c>
      <c r="G49" s="1" t="s">
        <v>1816</v>
      </c>
      <c r="H49" s="55">
        <v>0</v>
      </c>
      <c r="I49" s="1" t="s">
        <v>1817</v>
      </c>
      <c r="J49" s="22">
        <v>45</v>
      </c>
      <c r="K49" s="1" t="s">
        <v>70</v>
      </c>
      <c r="M49" s="33" t="s">
        <v>82</v>
      </c>
      <c r="N49" s="30">
        <v>0</v>
      </c>
    </row>
    <row r="50" spans="1:14" s="14" customFormat="1" ht="25.8" x14ac:dyDescent="0.25">
      <c r="A50" s="13">
        <v>48</v>
      </c>
      <c r="B50" s="1" t="s">
        <v>1818</v>
      </c>
      <c r="C50" s="1" t="s">
        <v>236</v>
      </c>
      <c r="D50" s="1" t="s">
        <v>155</v>
      </c>
      <c r="E50" s="1" t="s">
        <v>237</v>
      </c>
      <c r="F50" s="1" t="s">
        <v>157</v>
      </c>
      <c r="G50" s="1" t="s">
        <v>1819</v>
      </c>
      <c r="H50" s="55">
        <v>0</v>
      </c>
      <c r="I50" s="1" t="s">
        <v>1820</v>
      </c>
      <c r="J50" s="22">
        <v>45</v>
      </c>
      <c r="K50" s="1" t="s">
        <v>70</v>
      </c>
      <c r="M50" s="33" t="s">
        <v>85</v>
      </c>
      <c r="N50" s="30">
        <v>0</v>
      </c>
    </row>
    <row r="51" spans="1:14" s="14" customFormat="1" ht="25.8" x14ac:dyDescent="0.25">
      <c r="A51" s="13">
        <v>49</v>
      </c>
      <c r="B51" s="1" t="s">
        <v>1821</v>
      </c>
      <c r="C51" s="1" t="s">
        <v>844</v>
      </c>
      <c r="D51" s="1" t="s">
        <v>155</v>
      </c>
      <c r="E51" s="1" t="s">
        <v>1822</v>
      </c>
      <c r="F51" s="1" t="s">
        <v>157</v>
      </c>
      <c r="G51" s="1" t="s">
        <v>1823</v>
      </c>
      <c r="H51" s="55">
        <v>0</v>
      </c>
      <c r="I51" s="1" t="s">
        <v>1824</v>
      </c>
      <c r="J51" s="22">
        <v>45</v>
      </c>
      <c r="K51" s="1" t="s">
        <v>70</v>
      </c>
      <c r="M51" s="33" t="s">
        <v>83</v>
      </c>
      <c r="N51" s="30">
        <v>0</v>
      </c>
    </row>
    <row r="52" spans="1:14" s="14" customFormat="1" ht="25.8" x14ac:dyDescent="0.25">
      <c r="A52" s="13">
        <v>50</v>
      </c>
      <c r="B52" s="1" t="s">
        <v>1825</v>
      </c>
      <c r="C52" s="1" t="s">
        <v>1814</v>
      </c>
      <c r="D52" s="1" t="s">
        <v>155</v>
      </c>
      <c r="E52" s="1" t="s">
        <v>1815</v>
      </c>
      <c r="F52" s="1" t="s">
        <v>157</v>
      </c>
      <c r="G52" s="1" t="s">
        <v>1826</v>
      </c>
      <c r="H52" s="55">
        <v>0</v>
      </c>
      <c r="I52" s="1" t="s">
        <v>1827</v>
      </c>
      <c r="J52" s="22">
        <v>45</v>
      </c>
      <c r="K52" s="1" t="s">
        <v>70</v>
      </c>
      <c r="M52" s="33" t="s">
        <v>41</v>
      </c>
      <c r="N52" s="30">
        <v>0</v>
      </c>
    </row>
    <row r="53" spans="1:14" s="14" customFormat="1" ht="25.8" x14ac:dyDescent="0.25">
      <c r="A53" s="13">
        <v>51</v>
      </c>
      <c r="B53" s="1" t="s">
        <v>1828</v>
      </c>
      <c r="C53" s="1" t="s">
        <v>1829</v>
      </c>
      <c r="D53" s="1" t="s">
        <v>155</v>
      </c>
      <c r="E53" s="1" t="s">
        <v>572</v>
      </c>
      <c r="F53" s="1" t="s">
        <v>157</v>
      </c>
      <c r="G53" s="1" t="s">
        <v>1830</v>
      </c>
      <c r="H53" s="55">
        <v>0</v>
      </c>
      <c r="I53" s="1" t="s">
        <v>1831</v>
      </c>
      <c r="J53" s="22">
        <v>45</v>
      </c>
      <c r="K53" s="1" t="s">
        <v>70</v>
      </c>
      <c r="M53" s="33" t="s">
        <v>84</v>
      </c>
      <c r="N53" s="30">
        <v>0</v>
      </c>
    </row>
    <row r="54" spans="1:14" s="14" customFormat="1" ht="25.8" x14ac:dyDescent="0.25">
      <c r="A54" s="13">
        <v>52</v>
      </c>
      <c r="B54" s="1" t="s">
        <v>1832</v>
      </c>
      <c r="C54" s="1" t="s">
        <v>236</v>
      </c>
      <c r="D54" s="1" t="s">
        <v>155</v>
      </c>
      <c r="E54" s="1" t="s">
        <v>237</v>
      </c>
      <c r="F54" s="1" t="s">
        <v>157</v>
      </c>
      <c r="G54" s="1" t="s">
        <v>1830</v>
      </c>
      <c r="H54" s="55">
        <v>0</v>
      </c>
      <c r="I54" s="1" t="s">
        <v>1833</v>
      </c>
      <c r="J54" s="22">
        <v>45</v>
      </c>
      <c r="K54" s="1" t="s">
        <v>70</v>
      </c>
      <c r="M54" s="33" t="s">
        <v>47</v>
      </c>
      <c r="N54" s="30">
        <v>0</v>
      </c>
    </row>
    <row r="55" spans="1:14" s="14" customFormat="1" ht="25.8" x14ac:dyDescent="0.25">
      <c r="A55" s="13">
        <v>53</v>
      </c>
      <c r="B55" s="1" t="s">
        <v>1834</v>
      </c>
      <c r="C55" s="1" t="s">
        <v>429</v>
      </c>
      <c r="D55" s="1" t="s">
        <v>155</v>
      </c>
      <c r="E55" s="1" t="s">
        <v>430</v>
      </c>
      <c r="F55" s="1" t="s">
        <v>157</v>
      </c>
      <c r="G55" s="1" t="s">
        <v>1835</v>
      </c>
      <c r="H55" s="55">
        <v>0</v>
      </c>
      <c r="I55" s="1" t="s">
        <v>1836</v>
      </c>
      <c r="J55" s="22">
        <v>45</v>
      </c>
      <c r="K55" s="1" t="s">
        <v>70</v>
      </c>
      <c r="M55" s="33" t="s">
        <v>87</v>
      </c>
      <c r="N55" s="30">
        <v>0</v>
      </c>
    </row>
    <row r="56" spans="1:14" s="14" customFormat="1" ht="25.8" x14ac:dyDescent="0.25">
      <c r="A56" s="13">
        <v>54</v>
      </c>
      <c r="B56" s="1" t="s">
        <v>1837</v>
      </c>
      <c r="C56" s="1" t="s">
        <v>196</v>
      </c>
      <c r="D56" s="1" t="s">
        <v>155</v>
      </c>
      <c r="E56" s="1" t="s">
        <v>197</v>
      </c>
      <c r="F56" s="1" t="s">
        <v>157</v>
      </c>
      <c r="G56" s="1" t="s">
        <v>1838</v>
      </c>
      <c r="H56" s="55">
        <v>0</v>
      </c>
      <c r="I56" s="1" t="s">
        <v>1839</v>
      </c>
      <c r="J56" s="22">
        <v>45</v>
      </c>
      <c r="K56" s="1" t="s">
        <v>70</v>
      </c>
      <c r="M56" s="33" t="s">
        <v>22</v>
      </c>
      <c r="N56" s="30">
        <v>0</v>
      </c>
    </row>
    <row r="57" spans="1:14" s="14" customFormat="1" ht="25.8" x14ac:dyDescent="0.25">
      <c r="A57" s="13">
        <v>55</v>
      </c>
      <c r="B57" s="1" t="s">
        <v>1840</v>
      </c>
      <c r="C57" s="1" t="s">
        <v>184</v>
      </c>
      <c r="D57" s="1" t="s">
        <v>155</v>
      </c>
      <c r="E57" s="1" t="s">
        <v>1841</v>
      </c>
      <c r="F57" s="1" t="s">
        <v>157</v>
      </c>
      <c r="G57" s="1" t="s">
        <v>1842</v>
      </c>
      <c r="H57" s="55">
        <v>0</v>
      </c>
      <c r="I57" s="1" t="s">
        <v>1843</v>
      </c>
      <c r="J57" s="22">
        <v>45</v>
      </c>
      <c r="K57" s="1" t="s">
        <v>70</v>
      </c>
      <c r="M57" s="33"/>
      <c r="N57" s="30"/>
    </row>
    <row r="58" spans="1:14" ht="46.8" x14ac:dyDescent="0.25">
      <c r="A58" s="13">
        <v>56</v>
      </c>
      <c r="B58" s="1" t="s">
        <v>1844</v>
      </c>
      <c r="C58" s="1" t="s">
        <v>1845</v>
      </c>
      <c r="D58" s="1" t="s">
        <v>155</v>
      </c>
      <c r="E58" s="1" t="s">
        <v>1846</v>
      </c>
      <c r="F58" s="1" t="s">
        <v>157</v>
      </c>
      <c r="G58" s="1" t="s">
        <v>1847</v>
      </c>
      <c r="H58" s="55">
        <v>0</v>
      </c>
      <c r="I58" s="1" t="s">
        <v>1848</v>
      </c>
      <c r="J58" s="22">
        <v>45</v>
      </c>
      <c r="K58" s="1" t="s">
        <v>70</v>
      </c>
      <c r="M58" s="33"/>
      <c r="N58" s="30"/>
    </row>
    <row r="59" spans="1:14" ht="25.8" x14ac:dyDescent="0.25">
      <c r="A59" s="13">
        <v>57</v>
      </c>
      <c r="B59" s="1" t="s">
        <v>1849</v>
      </c>
      <c r="C59" s="1" t="s">
        <v>1850</v>
      </c>
      <c r="D59" s="1" t="s">
        <v>155</v>
      </c>
      <c r="E59" s="1" t="s">
        <v>1851</v>
      </c>
      <c r="F59" s="1" t="s">
        <v>157</v>
      </c>
      <c r="G59" s="1" t="s">
        <v>1852</v>
      </c>
      <c r="H59" s="55">
        <v>0</v>
      </c>
      <c r="I59" s="1" t="s">
        <v>1853</v>
      </c>
      <c r="J59" s="22">
        <v>45</v>
      </c>
      <c r="K59" s="1" t="s">
        <v>70</v>
      </c>
      <c r="M59" s="33"/>
      <c r="N59" s="30"/>
    </row>
    <row r="60" spans="1:14" ht="25.8" x14ac:dyDescent="0.25">
      <c r="A60" s="13">
        <v>58</v>
      </c>
      <c r="B60" s="1" t="s">
        <v>1854</v>
      </c>
      <c r="C60" s="1" t="s">
        <v>1855</v>
      </c>
      <c r="D60" s="1" t="s">
        <v>155</v>
      </c>
      <c r="E60" s="1" t="s">
        <v>1856</v>
      </c>
      <c r="F60" s="1" t="s">
        <v>157</v>
      </c>
      <c r="G60" s="1" t="s">
        <v>1857</v>
      </c>
      <c r="H60" s="55">
        <v>0</v>
      </c>
      <c r="I60" s="1" t="s">
        <v>1858</v>
      </c>
      <c r="J60" s="22">
        <v>45</v>
      </c>
      <c r="K60" s="1" t="s">
        <v>70</v>
      </c>
      <c r="M60" s="33"/>
      <c r="N60" s="30"/>
    </row>
    <row r="61" spans="1:14" ht="25.8" x14ac:dyDescent="0.25">
      <c r="A61" s="13">
        <v>59</v>
      </c>
      <c r="B61" s="1" t="s">
        <v>1859</v>
      </c>
      <c r="C61" s="1" t="s">
        <v>1111</v>
      </c>
      <c r="D61" s="1" t="s">
        <v>155</v>
      </c>
      <c r="E61" s="1" t="s">
        <v>1632</v>
      </c>
      <c r="F61" s="1" t="s">
        <v>157</v>
      </c>
      <c r="G61" s="1" t="s">
        <v>1860</v>
      </c>
      <c r="H61" s="55">
        <v>0</v>
      </c>
      <c r="I61" s="1" t="s">
        <v>1861</v>
      </c>
      <c r="J61" s="22">
        <v>45</v>
      </c>
      <c r="K61" s="1" t="s">
        <v>70</v>
      </c>
      <c r="M61" s="33"/>
      <c r="N61" s="30"/>
    </row>
    <row r="62" spans="1:14" ht="25.8" x14ac:dyDescent="0.25">
      <c r="A62" s="13">
        <v>60</v>
      </c>
      <c r="B62" s="1" t="s">
        <v>1862</v>
      </c>
      <c r="C62" s="1" t="s">
        <v>1803</v>
      </c>
      <c r="D62" s="1" t="s">
        <v>155</v>
      </c>
      <c r="E62" s="1" t="s">
        <v>1804</v>
      </c>
      <c r="F62" s="1" t="s">
        <v>157</v>
      </c>
      <c r="G62" s="1" t="s">
        <v>1863</v>
      </c>
      <c r="H62" s="55">
        <v>0</v>
      </c>
      <c r="I62" s="1" t="s">
        <v>1864</v>
      </c>
      <c r="J62" s="22">
        <v>45</v>
      </c>
      <c r="K62" s="1" t="s">
        <v>70</v>
      </c>
      <c r="M62" s="33"/>
      <c r="N62" s="30"/>
    </row>
    <row r="63" spans="1:14" ht="25.8" x14ac:dyDescent="0.25">
      <c r="A63" s="13">
        <v>61</v>
      </c>
      <c r="B63" s="1" t="s">
        <v>1865</v>
      </c>
      <c r="C63" s="1" t="s">
        <v>448</v>
      </c>
      <c r="D63" s="1" t="s">
        <v>155</v>
      </c>
      <c r="E63" s="1" t="s">
        <v>449</v>
      </c>
      <c r="F63" s="1" t="s">
        <v>157</v>
      </c>
      <c r="G63" s="1" t="s">
        <v>1866</v>
      </c>
      <c r="H63" s="55">
        <v>0</v>
      </c>
      <c r="I63" s="1" t="s">
        <v>1867</v>
      </c>
      <c r="J63" s="22">
        <v>45</v>
      </c>
      <c r="K63" s="1" t="s">
        <v>70</v>
      </c>
      <c r="M63" s="33"/>
      <c r="N63" s="30"/>
    </row>
    <row r="64" spans="1:14" ht="23.4" x14ac:dyDescent="0.35">
      <c r="A64" s="13">
        <v>62</v>
      </c>
      <c r="B64" s="1" t="s">
        <v>1868</v>
      </c>
      <c r="C64" s="1" t="s">
        <v>1869</v>
      </c>
      <c r="D64" s="1" t="s">
        <v>155</v>
      </c>
      <c r="E64" s="1" t="s">
        <v>1870</v>
      </c>
      <c r="F64" s="1" t="s">
        <v>157</v>
      </c>
      <c r="G64" s="1" t="s">
        <v>1871</v>
      </c>
      <c r="H64" s="55">
        <v>0</v>
      </c>
      <c r="I64" s="1" t="s">
        <v>1872</v>
      </c>
      <c r="J64" s="22">
        <v>45</v>
      </c>
      <c r="K64" s="1" t="s">
        <v>70</v>
      </c>
      <c r="N64" s="3"/>
    </row>
    <row r="65" spans="1:14" ht="23.4" x14ac:dyDescent="0.35">
      <c r="A65" s="13">
        <v>63</v>
      </c>
      <c r="B65" s="1" t="s">
        <v>1873</v>
      </c>
      <c r="C65" s="1" t="s">
        <v>1874</v>
      </c>
      <c r="D65" s="1" t="s">
        <v>155</v>
      </c>
      <c r="E65" s="1" t="s">
        <v>1875</v>
      </c>
      <c r="F65" s="1" t="s">
        <v>157</v>
      </c>
      <c r="G65" s="1" t="s">
        <v>1876</v>
      </c>
      <c r="H65" s="55">
        <v>0</v>
      </c>
      <c r="I65" s="1" t="s">
        <v>1877</v>
      </c>
      <c r="J65" s="22">
        <v>45</v>
      </c>
      <c r="K65" s="1" t="s">
        <v>70</v>
      </c>
      <c r="N65" s="3"/>
    </row>
    <row r="66" spans="1:14" ht="23.4" x14ac:dyDescent="0.35">
      <c r="A66" s="13">
        <v>64</v>
      </c>
      <c r="B66" s="1" t="s">
        <v>1878</v>
      </c>
      <c r="C66" s="1" t="s">
        <v>170</v>
      </c>
      <c r="D66" s="1" t="s">
        <v>155</v>
      </c>
      <c r="E66" s="1" t="s">
        <v>171</v>
      </c>
      <c r="F66" s="1" t="s">
        <v>157</v>
      </c>
      <c r="G66" s="1" t="s">
        <v>1879</v>
      </c>
      <c r="H66" s="55">
        <v>0</v>
      </c>
      <c r="I66" s="1" t="s">
        <v>1880</v>
      </c>
      <c r="J66" s="22">
        <v>45</v>
      </c>
      <c r="K66" s="1" t="s">
        <v>70</v>
      </c>
      <c r="N66" s="3"/>
    </row>
    <row r="67" spans="1:14" ht="23.4" x14ac:dyDescent="0.35">
      <c r="A67" s="13">
        <v>65</v>
      </c>
      <c r="B67" s="1" t="s">
        <v>1881</v>
      </c>
      <c r="C67" s="1" t="s">
        <v>1269</v>
      </c>
      <c r="D67" s="1" t="s">
        <v>155</v>
      </c>
      <c r="E67" s="1" t="s">
        <v>1270</v>
      </c>
      <c r="F67" s="1" t="s">
        <v>157</v>
      </c>
      <c r="G67" s="1" t="s">
        <v>1882</v>
      </c>
      <c r="H67" s="55">
        <v>0</v>
      </c>
      <c r="I67" s="1" t="s">
        <v>1883</v>
      </c>
      <c r="J67" s="22">
        <v>45</v>
      </c>
      <c r="K67" s="1" t="s">
        <v>70</v>
      </c>
      <c r="N67" s="3"/>
    </row>
    <row r="68" spans="1:14" ht="23.4" x14ac:dyDescent="0.35">
      <c r="A68" s="13">
        <v>66</v>
      </c>
      <c r="B68" s="1" t="s">
        <v>1884</v>
      </c>
      <c r="C68" s="1" t="s">
        <v>1885</v>
      </c>
      <c r="D68" s="1" t="s">
        <v>155</v>
      </c>
      <c r="E68" s="1" t="s">
        <v>1886</v>
      </c>
      <c r="F68" s="1" t="s">
        <v>157</v>
      </c>
      <c r="G68" s="1" t="s">
        <v>1887</v>
      </c>
      <c r="H68" s="55">
        <v>0</v>
      </c>
      <c r="I68" s="1" t="s">
        <v>1888</v>
      </c>
      <c r="J68" s="22">
        <v>45</v>
      </c>
      <c r="K68" s="1" t="s">
        <v>70</v>
      </c>
      <c r="N68" s="3"/>
    </row>
    <row r="69" spans="1:14" ht="23.4" x14ac:dyDescent="0.35">
      <c r="A69" s="13">
        <v>67</v>
      </c>
      <c r="B69" s="1" t="s">
        <v>1889</v>
      </c>
      <c r="C69" s="1" t="s">
        <v>1890</v>
      </c>
      <c r="D69" s="1" t="s">
        <v>155</v>
      </c>
      <c r="E69" s="1" t="s">
        <v>1891</v>
      </c>
      <c r="F69" s="1" t="s">
        <v>157</v>
      </c>
      <c r="G69" s="1" t="s">
        <v>1892</v>
      </c>
      <c r="H69" s="55">
        <v>0</v>
      </c>
      <c r="I69" s="1" t="s">
        <v>1893</v>
      </c>
      <c r="J69" s="22">
        <v>45</v>
      </c>
      <c r="K69" s="1" t="s">
        <v>70</v>
      </c>
      <c r="N69" s="3"/>
    </row>
    <row r="70" spans="1:14" ht="23.4" x14ac:dyDescent="0.35">
      <c r="A70" s="13">
        <v>68</v>
      </c>
      <c r="B70" s="1" t="s">
        <v>1894</v>
      </c>
      <c r="C70" s="1" t="s">
        <v>1895</v>
      </c>
      <c r="D70" s="1" t="s">
        <v>155</v>
      </c>
      <c r="E70" s="1" t="s">
        <v>1896</v>
      </c>
      <c r="F70" s="1" t="s">
        <v>157</v>
      </c>
      <c r="G70" s="1" t="s">
        <v>1897</v>
      </c>
      <c r="H70" s="55">
        <v>0</v>
      </c>
      <c r="I70" s="1" t="s">
        <v>1898</v>
      </c>
      <c r="J70" s="22">
        <v>45</v>
      </c>
      <c r="K70" s="1" t="s">
        <v>70</v>
      </c>
      <c r="N70" s="3"/>
    </row>
    <row r="71" spans="1:14" ht="23.4" x14ac:dyDescent="0.35">
      <c r="A71" s="13">
        <v>69</v>
      </c>
      <c r="B71" s="1" t="s">
        <v>1899</v>
      </c>
      <c r="C71" s="1" t="s">
        <v>1900</v>
      </c>
      <c r="D71" s="1" t="s">
        <v>155</v>
      </c>
      <c r="E71" s="1" t="s">
        <v>1901</v>
      </c>
      <c r="F71" s="1" t="s">
        <v>157</v>
      </c>
      <c r="G71" s="1" t="s">
        <v>1902</v>
      </c>
      <c r="H71" s="55">
        <v>0</v>
      </c>
      <c r="I71" s="1" t="s">
        <v>1903</v>
      </c>
      <c r="J71" s="22">
        <v>45</v>
      </c>
      <c r="K71" s="1" t="s">
        <v>70</v>
      </c>
      <c r="N71" s="3"/>
    </row>
    <row r="72" spans="1:14" ht="23.4" x14ac:dyDescent="0.35">
      <c r="A72" s="13">
        <v>70</v>
      </c>
      <c r="B72" s="1" t="s">
        <v>1904</v>
      </c>
      <c r="C72" s="1" t="s">
        <v>378</v>
      </c>
      <c r="D72" s="1" t="s">
        <v>155</v>
      </c>
      <c r="E72" s="1" t="s">
        <v>379</v>
      </c>
      <c r="F72" s="1" t="s">
        <v>157</v>
      </c>
      <c r="G72" s="1" t="s">
        <v>1905</v>
      </c>
      <c r="H72" s="55">
        <v>0</v>
      </c>
      <c r="I72" s="1" t="s">
        <v>1906</v>
      </c>
      <c r="J72" s="22">
        <v>45</v>
      </c>
      <c r="K72" s="1" t="s">
        <v>70</v>
      </c>
      <c r="N72" s="3"/>
    </row>
    <row r="73" spans="1:14" ht="23.4" x14ac:dyDescent="0.35">
      <c r="A73" s="13">
        <v>71</v>
      </c>
      <c r="B73" s="1" t="s">
        <v>1907</v>
      </c>
      <c r="C73" s="1" t="s">
        <v>1908</v>
      </c>
      <c r="D73" s="1" t="s">
        <v>155</v>
      </c>
      <c r="E73" s="1" t="s">
        <v>1909</v>
      </c>
      <c r="F73" s="1" t="s">
        <v>157</v>
      </c>
      <c r="G73" s="1" t="s">
        <v>1910</v>
      </c>
      <c r="H73" s="55">
        <v>0</v>
      </c>
      <c r="I73" s="1" t="s">
        <v>1911</v>
      </c>
      <c r="J73" s="22">
        <v>45</v>
      </c>
      <c r="K73" s="1" t="s">
        <v>70</v>
      </c>
      <c r="N73" s="3"/>
    </row>
    <row r="74" spans="1:14" ht="23.4" x14ac:dyDescent="0.35">
      <c r="A74" s="13">
        <v>72</v>
      </c>
      <c r="B74" s="1" t="s">
        <v>1912</v>
      </c>
      <c r="C74" s="1" t="s">
        <v>895</v>
      </c>
      <c r="D74" s="1" t="s">
        <v>155</v>
      </c>
      <c r="E74" s="1" t="s">
        <v>896</v>
      </c>
      <c r="F74" s="1" t="s">
        <v>157</v>
      </c>
      <c r="G74" s="1" t="s">
        <v>1913</v>
      </c>
      <c r="H74" s="55">
        <v>0</v>
      </c>
      <c r="I74" s="1" t="s">
        <v>1914</v>
      </c>
      <c r="J74" s="22">
        <v>45</v>
      </c>
      <c r="K74" s="1" t="s">
        <v>70</v>
      </c>
      <c r="N74" s="3"/>
    </row>
    <row r="75" spans="1:14" ht="23.4" x14ac:dyDescent="0.35">
      <c r="A75" s="13">
        <v>73</v>
      </c>
      <c r="B75" s="1" t="s">
        <v>1915</v>
      </c>
      <c r="C75" s="1" t="s">
        <v>1916</v>
      </c>
      <c r="D75" s="1" t="s">
        <v>155</v>
      </c>
      <c r="E75" s="1" t="s">
        <v>1917</v>
      </c>
      <c r="F75" s="1" t="s">
        <v>157</v>
      </c>
      <c r="G75" s="1" t="s">
        <v>1913</v>
      </c>
      <c r="H75" s="55">
        <v>0</v>
      </c>
      <c r="I75" s="1" t="s">
        <v>1918</v>
      </c>
      <c r="J75" s="22">
        <v>45</v>
      </c>
      <c r="K75" s="1" t="s">
        <v>70</v>
      </c>
      <c r="N75" s="3"/>
    </row>
    <row r="76" spans="1:14" ht="23.4" x14ac:dyDescent="0.35">
      <c r="A76" s="13">
        <v>74</v>
      </c>
      <c r="B76" s="1" t="s">
        <v>1919</v>
      </c>
      <c r="C76" s="1" t="s">
        <v>1814</v>
      </c>
      <c r="D76" s="1" t="s">
        <v>155</v>
      </c>
      <c r="E76" s="1" t="s">
        <v>1815</v>
      </c>
      <c r="F76" s="1" t="s">
        <v>157</v>
      </c>
      <c r="G76" s="1" t="s">
        <v>1920</v>
      </c>
      <c r="H76" s="55">
        <v>0</v>
      </c>
      <c r="I76" s="1" t="s">
        <v>1921</v>
      </c>
      <c r="J76" s="22">
        <v>45</v>
      </c>
      <c r="K76" s="1" t="s">
        <v>70</v>
      </c>
      <c r="N76" s="3"/>
    </row>
    <row r="77" spans="1:14" ht="23.4" x14ac:dyDescent="0.35">
      <c r="A77" s="13">
        <v>75</v>
      </c>
      <c r="B77" s="1" t="s">
        <v>1922</v>
      </c>
      <c r="C77" s="1" t="s">
        <v>1923</v>
      </c>
      <c r="D77" s="1" t="s">
        <v>155</v>
      </c>
      <c r="E77" s="1" t="s">
        <v>1924</v>
      </c>
      <c r="F77" s="1" t="s">
        <v>157</v>
      </c>
      <c r="G77" s="1" t="s">
        <v>1920</v>
      </c>
      <c r="H77" s="55">
        <v>0</v>
      </c>
      <c r="I77" s="1" t="s">
        <v>1925</v>
      </c>
      <c r="J77" s="22">
        <v>45</v>
      </c>
      <c r="K77" s="1" t="s">
        <v>70</v>
      </c>
      <c r="N77" s="3"/>
    </row>
    <row r="78" spans="1:14" ht="23.4" x14ac:dyDescent="0.35">
      <c r="A78" s="13">
        <v>76</v>
      </c>
      <c r="B78" s="1" t="s">
        <v>1926</v>
      </c>
      <c r="C78" s="1" t="s">
        <v>1927</v>
      </c>
      <c r="D78" s="1" t="s">
        <v>155</v>
      </c>
      <c r="E78" s="1" t="s">
        <v>1928</v>
      </c>
      <c r="F78" s="1" t="s">
        <v>157</v>
      </c>
      <c r="G78" s="1" t="s">
        <v>1929</v>
      </c>
      <c r="H78" s="55">
        <v>0</v>
      </c>
      <c r="I78" s="1" t="s">
        <v>1930</v>
      </c>
      <c r="J78" s="22">
        <v>45</v>
      </c>
      <c r="K78" s="1" t="s">
        <v>70</v>
      </c>
      <c r="N78" s="3"/>
    </row>
    <row r="79" spans="1:14" ht="23.4" x14ac:dyDescent="0.35">
      <c r="A79" s="13">
        <v>77</v>
      </c>
      <c r="B79" s="1" t="s">
        <v>1931</v>
      </c>
      <c r="C79" s="1" t="s">
        <v>1814</v>
      </c>
      <c r="D79" s="1" t="s">
        <v>155</v>
      </c>
      <c r="E79" s="1" t="s">
        <v>1815</v>
      </c>
      <c r="F79" s="1" t="s">
        <v>157</v>
      </c>
      <c r="G79" s="1" t="s">
        <v>1932</v>
      </c>
      <c r="H79" s="55">
        <v>0</v>
      </c>
      <c r="I79" s="1" t="s">
        <v>1933</v>
      </c>
      <c r="J79" s="22">
        <v>45</v>
      </c>
      <c r="K79" s="1" t="s">
        <v>70</v>
      </c>
      <c r="N79" s="3"/>
    </row>
    <row r="80" spans="1:14" ht="23.4" x14ac:dyDescent="0.35">
      <c r="A80" s="13">
        <v>78</v>
      </c>
      <c r="B80" s="1" t="s">
        <v>1934</v>
      </c>
      <c r="C80" s="1" t="s">
        <v>1935</v>
      </c>
      <c r="D80" s="1" t="s">
        <v>155</v>
      </c>
      <c r="E80" s="1" t="s">
        <v>1936</v>
      </c>
      <c r="F80" s="1" t="s">
        <v>157</v>
      </c>
      <c r="G80" s="1" t="s">
        <v>1937</v>
      </c>
      <c r="H80" s="55">
        <v>0</v>
      </c>
      <c r="I80" s="1" t="s">
        <v>1938</v>
      </c>
      <c r="J80" s="22">
        <v>45</v>
      </c>
      <c r="K80" s="1" t="s">
        <v>70</v>
      </c>
      <c r="N80" s="3"/>
    </row>
    <row r="81" spans="1:14" ht="46.8" x14ac:dyDescent="0.35">
      <c r="A81" s="13">
        <v>79</v>
      </c>
      <c r="B81" s="1" t="s">
        <v>1939</v>
      </c>
      <c r="C81" s="1" t="s">
        <v>1940</v>
      </c>
      <c r="D81" s="1" t="s">
        <v>155</v>
      </c>
      <c r="E81" s="1" t="s">
        <v>1941</v>
      </c>
      <c r="F81" s="1" t="s">
        <v>157</v>
      </c>
      <c r="G81" s="1" t="s">
        <v>1942</v>
      </c>
      <c r="H81" s="55">
        <v>0</v>
      </c>
      <c r="I81" s="1" t="s">
        <v>1943</v>
      </c>
      <c r="J81" s="22">
        <v>45</v>
      </c>
      <c r="K81" s="1" t="s">
        <v>70</v>
      </c>
      <c r="N81" s="3"/>
    </row>
    <row r="82" spans="1:14" ht="23.4" x14ac:dyDescent="0.35">
      <c r="A82" s="13">
        <v>80</v>
      </c>
      <c r="B82" s="1" t="s">
        <v>1944</v>
      </c>
      <c r="C82" s="1" t="s">
        <v>804</v>
      </c>
      <c r="D82" s="1" t="s">
        <v>155</v>
      </c>
      <c r="E82" s="1" t="s">
        <v>805</v>
      </c>
      <c r="F82" s="1" t="s">
        <v>157</v>
      </c>
      <c r="G82" s="1" t="s">
        <v>1945</v>
      </c>
      <c r="H82" s="55">
        <v>0</v>
      </c>
      <c r="I82" s="1" t="s">
        <v>1946</v>
      </c>
      <c r="J82" s="22">
        <v>45</v>
      </c>
      <c r="K82" s="1" t="s">
        <v>70</v>
      </c>
      <c r="N82" s="3"/>
    </row>
    <row r="83" spans="1:14" ht="23.4" x14ac:dyDescent="0.35">
      <c r="A83" s="13">
        <v>81</v>
      </c>
      <c r="B83" s="1" t="s">
        <v>1947</v>
      </c>
      <c r="C83" s="1" t="s">
        <v>1338</v>
      </c>
      <c r="D83" s="1" t="s">
        <v>155</v>
      </c>
      <c r="E83" s="1" t="s">
        <v>1339</v>
      </c>
      <c r="F83" s="1" t="s">
        <v>157</v>
      </c>
      <c r="G83" s="1" t="s">
        <v>1948</v>
      </c>
      <c r="H83" s="55">
        <v>0</v>
      </c>
      <c r="I83" s="1" t="s">
        <v>1949</v>
      </c>
      <c r="J83" s="22">
        <v>45</v>
      </c>
      <c r="K83" s="1" t="s">
        <v>70</v>
      </c>
      <c r="N83" s="3"/>
    </row>
    <row r="84" spans="1:14" ht="23.4" x14ac:dyDescent="0.35">
      <c r="A84" s="13">
        <v>82</v>
      </c>
      <c r="B84" s="1" t="s">
        <v>1950</v>
      </c>
      <c r="C84" s="1" t="s">
        <v>1951</v>
      </c>
      <c r="D84" s="1" t="s">
        <v>155</v>
      </c>
      <c r="E84" s="1" t="s">
        <v>1952</v>
      </c>
      <c r="F84" s="1" t="s">
        <v>157</v>
      </c>
      <c r="G84" s="1" t="s">
        <v>1953</v>
      </c>
      <c r="H84" s="55">
        <v>0</v>
      </c>
      <c r="I84" s="1" t="s">
        <v>1954</v>
      </c>
      <c r="J84" s="22">
        <v>45</v>
      </c>
      <c r="K84" s="1" t="s">
        <v>70</v>
      </c>
      <c r="N84" s="3"/>
    </row>
    <row r="85" spans="1:14" ht="23.4" x14ac:dyDescent="0.35">
      <c r="A85" s="13">
        <v>83</v>
      </c>
      <c r="B85" s="1" t="s">
        <v>1955</v>
      </c>
      <c r="C85" s="1" t="s">
        <v>1956</v>
      </c>
      <c r="D85" s="1" t="s">
        <v>155</v>
      </c>
      <c r="E85" s="1" t="s">
        <v>1957</v>
      </c>
      <c r="F85" s="1" t="s">
        <v>157</v>
      </c>
      <c r="G85" s="1" t="s">
        <v>1958</v>
      </c>
      <c r="H85" s="55">
        <v>0</v>
      </c>
      <c r="I85" s="1" t="s">
        <v>1959</v>
      </c>
      <c r="J85" s="22">
        <v>45</v>
      </c>
      <c r="K85" s="1" t="s">
        <v>70</v>
      </c>
      <c r="N85" s="3"/>
    </row>
    <row r="86" spans="1:14" ht="46.8" x14ac:dyDescent="0.35">
      <c r="A86" s="13">
        <v>84</v>
      </c>
      <c r="B86" s="1" t="s">
        <v>1960</v>
      </c>
      <c r="C86" s="1" t="s">
        <v>1583</v>
      </c>
      <c r="D86" s="1" t="s">
        <v>155</v>
      </c>
      <c r="E86" s="1" t="s">
        <v>1584</v>
      </c>
      <c r="F86" s="1" t="s">
        <v>178</v>
      </c>
      <c r="G86" s="1" t="s">
        <v>1961</v>
      </c>
      <c r="H86" s="55">
        <v>0</v>
      </c>
      <c r="I86" s="1" t="s">
        <v>1962</v>
      </c>
      <c r="J86" s="22">
        <v>45</v>
      </c>
      <c r="K86" s="1" t="s">
        <v>70</v>
      </c>
      <c r="N86" s="3"/>
    </row>
    <row r="87" spans="1:14" ht="23.4" x14ac:dyDescent="0.35">
      <c r="A87" s="13">
        <v>85</v>
      </c>
      <c r="B87" s="1" t="s">
        <v>1963</v>
      </c>
      <c r="C87" s="1" t="s">
        <v>879</v>
      </c>
      <c r="D87" s="1" t="s">
        <v>155</v>
      </c>
      <c r="E87" s="1" t="s">
        <v>880</v>
      </c>
      <c r="F87" s="1" t="s">
        <v>157</v>
      </c>
      <c r="G87" s="1" t="s">
        <v>1964</v>
      </c>
      <c r="H87" s="55">
        <v>0</v>
      </c>
      <c r="I87" s="1" t="s">
        <v>1965</v>
      </c>
      <c r="J87" s="22">
        <v>45</v>
      </c>
      <c r="K87" s="1" t="s">
        <v>70</v>
      </c>
      <c r="N87" s="3"/>
    </row>
    <row r="88" spans="1:14" ht="23.4" x14ac:dyDescent="0.35">
      <c r="A88" s="13">
        <v>86</v>
      </c>
      <c r="B88" s="1" t="s">
        <v>1966</v>
      </c>
      <c r="C88" s="1" t="s">
        <v>1967</v>
      </c>
      <c r="D88" s="1" t="s">
        <v>155</v>
      </c>
      <c r="E88" s="1" t="s">
        <v>1968</v>
      </c>
      <c r="F88" s="1" t="s">
        <v>157</v>
      </c>
      <c r="G88" s="1" t="s">
        <v>1969</v>
      </c>
      <c r="H88" s="55">
        <v>0</v>
      </c>
      <c r="I88" s="1" t="s">
        <v>1970</v>
      </c>
      <c r="J88" s="22">
        <v>45</v>
      </c>
      <c r="K88" s="1" t="s">
        <v>70</v>
      </c>
      <c r="N88" s="3"/>
    </row>
    <row r="89" spans="1:14" ht="25.8" x14ac:dyDescent="0.35">
      <c r="A89" s="13"/>
      <c r="B89" s="1"/>
      <c r="C89" s="1"/>
      <c r="D89" s="1"/>
      <c r="E89" s="1"/>
      <c r="F89" s="1"/>
      <c r="G89" s="1"/>
      <c r="H89" s="55"/>
      <c r="I89" s="1"/>
      <c r="J89" s="22"/>
      <c r="K89" s="30"/>
      <c r="N89" s="3"/>
    </row>
    <row r="90" spans="1:14" ht="25.8" x14ac:dyDescent="0.35">
      <c r="A90" s="13"/>
      <c r="B90" s="1"/>
      <c r="C90" s="1"/>
      <c r="D90" s="1"/>
      <c r="E90" s="1"/>
      <c r="F90" s="1"/>
      <c r="G90" s="1"/>
      <c r="H90" s="55"/>
      <c r="I90" s="1"/>
      <c r="J90" s="22"/>
      <c r="K90" s="30"/>
      <c r="N90" s="3"/>
    </row>
    <row r="91" spans="1:14" ht="25.8" x14ac:dyDescent="0.35">
      <c r="A91" s="13"/>
      <c r="B91" s="1"/>
      <c r="C91" s="1"/>
      <c r="D91" s="1"/>
      <c r="E91" s="1"/>
      <c r="F91" s="1"/>
      <c r="G91" s="1"/>
      <c r="H91" s="55"/>
      <c r="I91" s="1"/>
      <c r="J91" s="22"/>
      <c r="K91" s="30"/>
      <c r="N91" s="3"/>
    </row>
    <row r="92" spans="1:14" ht="25.8" x14ac:dyDescent="0.35">
      <c r="A92" s="13"/>
      <c r="B92" s="1"/>
      <c r="C92" s="1"/>
      <c r="D92" s="1"/>
      <c r="E92" s="1"/>
      <c r="F92" s="1"/>
      <c r="G92" s="1"/>
      <c r="H92" s="55"/>
      <c r="I92" s="1"/>
      <c r="J92" s="22"/>
      <c r="K92" s="30"/>
      <c r="N92" s="3"/>
    </row>
    <row r="93" spans="1:14" ht="25.8" x14ac:dyDescent="0.35">
      <c r="A93" s="13"/>
      <c r="B93" s="1"/>
      <c r="C93" s="1"/>
      <c r="D93" s="1"/>
      <c r="E93" s="1"/>
      <c r="F93" s="1"/>
      <c r="G93" s="1"/>
      <c r="H93" s="55"/>
      <c r="I93" s="1"/>
      <c r="J93" s="22"/>
      <c r="K93" s="30"/>
      <c r="N93" s="3"/>
    </row>
    <row r="94" spans="1:14" ht="20.399999999999999" x14ac:dyDescent="0.35">
      <c r="N94" s="3"/>
    </row>
    <row r="95" spans="1:14" ht="20.399999999999999" x14ac:dyDescent="0.35">
      <c r="N95" s="3"/>
    </row>
    <row r="96" spans="1:14" ht="20.399999999999999" x14ac:dyDescent="0.35">
      <c r="N96" s="3"/>
    </row>
    <row r="97" spans="14:14" ht="20.399999999999999" x14ac:dyDescent="0.35">
      <c r="N97" s="3"/>
    </row>
    <row r="98" spans="14:14" ht="20.399999999999999" x14ac:dyDescent="0.35">
      <c r="N98" s="3"/>
    </row>
    <row r="99" spans="14:14" ht="20.399999999999999" x14ac:dyDescent="0.35">
      <c r="N99" s="3"/>
    </row>
  </sheetData>
  <autoFilter ref="A2:N93" xr:uid="{C05F9277-E941-4F8C-B88B-7443D998D414}">
    <sortState xmlns:xlrd2="http://schemas.microsoft.com/office/spreadsheetml/2017/richdata2" ref="A3:N49">
      <sortCondition ref="G2"/>
    </sortState>
  </autoFilter>
  <conditionalFormatting sqref="J1:J1048576">
    <cfRule type="containsText" dxfId="6" priority="6" operator="containsText" text="ไม่พบ">
      <formula>NOT(ISERROR(SEARCH("ไม่พบ",J1)))</formula>
    </cfRule>
  </conditionalFormatting>
  <conditionalFormatting sqref="M1 M64:M99 M105:M1048576">
    <cfRule type="duplicateValues" dxfId="5" priority="4"/>
    <cfRule type="duplicateValues" dxfId="4" priority="5"/>
  </conditionalFormatting>
  <conditionalFormatting sqref="M2">
    <cfRule type="duplicateValues" dxfId="3" priority="3"/>
  </conditionalFormatting>
  <conditionalFormatting sqref="N2">
    <cfRule type="duplicateValues" dxfId="2" priority="1"/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4282-BBF9-41BA-A8DD-1B0FE96DB31A}">
  <sheetPr>
    <tabColor rgb="FF00B0F0"/>
  </sheetPr>
  <dimension ref="A1:I77"/>
  <sheetViews>
    <sheetView zoomScale="70" zoomScaleNormal="70" workbookViewId="0">
      <pane xSplit="4" ySplit="2" topLeftCell="H3" activePane="bottomRight" state="frozen"/>
      <selection activeCell="N3" sqref="N3:N56"/>
      <selection pane="topRight" activeCell="N3" sqref="N3:N56"/>
      <selection pane="bottomLeft" activeCell="N3" sqref="N3:N56"/>
      <selection pane="bottomRight" activeCell="K7" sqref="K7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1620</v>
      </c>
    </row>
    <row r="2" spans="1:9" ht="28.8" x14ac:dyDescent="0.2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/>
      <c r="C3" s="1"/>
      <c r="D3" s="1"/>
      <c r="E3" s="1"/>
      <c r="F3" s="1"/>
      <c r="G3" s="1"/>
      <c r="H3" s="55"/>
      <c r="I3" s="2"/>
    </row>
    <row r="4" spans="1:9" s="14" customFormat="1" ht="23.4" x14ac:dyDescent="0.25">
      <c r="A4" s="13">
        <v>2</v>
      </c>
      <c r="B4" s="1"/>
      <c r="C4" s="1"/>
      <c r="D4" s="1"/>
      <c r="E4" s="1"/>
      <c r="F4" s="1"/>
      <c r="G4" s="1"/>
      <c r="H4" s="55"/>
      <c r="I4" s="2"/>
    </row>
    <row r="5" spans="1:9" s="14" customFormat="1" ht="23.4" x14ac:dyDescent="0.25">
      <c r="A5" s="13">
        <v>3</v>
      </c>
      <c r="B5" s="1"/>
      <c r="C5" s="1"/>
      <c r="D5" s="1"/>
      <c r="E5" s="1"/>
      <c r="F5" s="1"/>
      <c r="G5" s="1"/>
      <c r="H5" s="55"/>
      <c r="I5" s="2"/>
    </row>
    <row r="6" spans="1:9" s="14" customFormat="1" ht="23.4" x14ac:dyDescent="0.25">
      <c r="A6" s="13">
        <v>4</v>
      </c>
      <c r="B6" s="1"/>
      <c r="C6" s="1"/>
      <c r="D6" s="1"/>
      <c r="E6" s="1"/>
      <c r="F6" s="1"/>
      <c r="G6" s="1"/>
      <c r="H6" s="55"/>
      <c r="I6" s="2"/>
    </row>
    <row r="7" spans="1:9" s="14" customFormat="1" ht="23.4" x14ac:dyDescent="0.25">
      <c r="A7" s="13">
        <v>5</v>
      </c>
      <c r="B7" s="1"/>
      <c r="C7" s="1"/>
      <c r="D7" s="1"/>
      <c r="E7" s="1"/>
      <c r="F7" s="1"/>
      <c r="G7" s="1"/>
      <c r="H7" s="55"/>
      <c r="I7" s="2"/>
    </row>
    <row r="8" spans="1:9" s="14" customFormat="1" ht="23.4" x14ac:dyDescent="0.25">
      <c r="A8" s="13">
        <v>6</v>
      </c>
      <c r="B8" s="1"/>
      <c r="C8" s="1"/>
      <c r="D8" s="1"/>
      <c r="E8" s="1"/>
      <c r="F8" s="1"/>
      <c r="G8" s="1"/>
      <c r="H8" s="55"/>
      <c r="I8" s="2"/>
    </row>
    <row r="9" spans="1:9" s="14" customFormat="1" ht="23.4" x14ac:dyDescent="0.25">
      <c r="A9" s="13">
        <v>7</v>
      </c>
      <c r="B9" s="1"/>
      <c r="C9" s="1"/>
      <c r="D9" s="1"/>
      <c r="E9" s="1"/>
      <c r="F9" s="1"/>
      <c r="G9" s="1"/>
      <c r="H9" s="55"/>
      <c r="I9" s="2"/>
    </row>
    <row r="10" spans="1:9" s="14" customFormat="1" ht="23.4" x14ac:dyDescent="0.25">
      <c r="A10" s="13">
        <v>8</v>
      </c>
      <c r="B10" s="1"/>
      <c r="C10" s="1"/>
      <c r="D10" s="1"/>
      <c r="E10" s="1"/>
      <c r="F10" s="1"/>
      <c r="G10" s="1"/>
      <c r="H10" s="55"/>
      <c r="I10" s="2"/>
    </row>
    <row r="11" spans="1:9" s="14" customFormat="1" ht="23.4" x14ac:dyDescent="0.25">
      <c r="A11" s="13">
        <v>9</v>
      </c>
      <c r="B11" s="1"/>
      <c r="C11" s="1"/>
      <c r="D11" s="1"/>
      <c r="E11" s="1"/>
      <c r="F11" s="1"/>
      <c r="G11" s="1"/>
      <c r="H11" s="55"/>
      <c r="I11" s="2"/>
    </row>
    <row r="12" spans="1:9" s="14" customFormat="1" ht="23.4" x14ac:dyDescent="0.25">
      <c r="A12" s="13">
        <v>10</v>
      </c>
      <c r="B12" s="1"/>
      <c r="C12" s="1"/>
      <c r="D12" s="1"/>
      <c r="E12" s="1"/>
      <c r="F12" s="1"/>
      <c r="G12" s="1"/>
      <c r="H12" s="55"/>
      <c r="I12" s="2"/>
    </row>
    <row r="13" spans="1:9" s="14" customFormat="1" ht="23.4" x14ac:dyDescent="0.25">
      <c r="A13" s="13">
        <v>11</v>
      </c>
      <c r="B13" s="1"/>
      <c r="C13" s="1"/>
      <c r="D13" s="1"/>
      <c r="E13" s="1"/>
      <c r="F13" s="1"/>
      <c r="G13" s="1"/>
      <c r="H13" s="55"/>
      <c r="I13" s="2"/>
    </row>
    <row r="14" spans="1:9" s="14" customFormat="1" ht="23.4" x14ac:dyDescent="0.25">
      <c r="A14" s="13">
        <v>12</v>
      </c>
      <c r="B14" s="1"/>
      <c r="C14" s="1"/>
      <c r="D14" s="1"/>
      <c r="E14" s="1"/>
      <c r="F14" s="1"/>
      <c r="G14" s="1"/>
      <c r="H14" s="55"/>
      <c r="I14" s="2"/>
    </row>
    <row r="15" spans="1:9" s="14" customFormat="1" ht="23.4" x14ac:dyDescent="0.25">
      <c r="A15" s="13">
        <v>13</v>
      </c>
      <c r="B15" s="1"/>
      <c r="C15" s="1"/>
      <c r="D15" s="1"/>
      <c r="E15" s="1"/>
      <c r="F15" s="1"/>
      <c r="G15" s="1"/>
      <c r="H15" s="55"/>
      <c r="I15" s="2"/>
    </row>
    <row r="16" spans="1:9" s="14" customFormat="1" ht="23.4" x14ac:dyDescent="0.25">
      <c r="A16" s="13">
        <v>14</v>
      </c>
      <c r="B16" s="1"/>
      <c r="C16" s="1"/>
      <c r="D16" s="1"/>
      <c r="E16" s="1"/>
      <c r="F16" s="1"/>
      <c r="G16" s="1"/>
      <c r="H16" s="55"/>
      <c r="I16" s="2"/>
    </row>
    <row r="17" spans="1:9" s="14" customFormat="1" ht="23.4" x14ac:dyDescent="0.25">
      <c r="A17" s="13">
        <v>15</v>
      </c>
      <c r="B17" s="1"/>
      <c r="C17" s="1"/>
      <c r="D17" s="1"/>
      <c r="E17" s="1"/>
      <c r="F17" s="1"/>
      <c r="G17" s="1"/>
      <c r="H17" s="55"/>
      <c r="I17" s="2"/>
    </row>
    <row r="18" spans="1:9" s="14" customFormat="1" ht="23.4" x14ac:dyDescent="0.25">
      <c r="A18" s="13">
        <v>16</v>
      </c>
      <c r="B18" s="1"/>
      <c r="C18" s="1"/>
      <c r="D18" s="1"/>
      <c r="E18" s="1"/>
      <c r="F18" s="1"/>
      <c r="G18" s="1"/>
      <c r="H18" s="55"/>
      <c r="I18" s="2"/>
    </row>
    <row r="19" spans="1:9" s="14" customFormat="1" ht="23.4" x14ac:dyDescent="0.25">
      <c r="A19" s="13">
        <v>17</v>
      </c>
      <c r="B19" s="1"/>
      <c r="C19" s="1"/>
      <c r="D19" s="1"/>
      <c r="E19" s="1"/>
      <c r="F19" s="1"/>
      <c r="G19" s="1"/>
      <c r="H19" s="55"/>
      <c r="I19" s="2"/>
    </row>
    <row r="20" spans="1:9" s="14" customFormat="1" ht="23.4" x14ac:dyDescent="0.25">
      <c r="A20" s="13">
        <v>18</v>
      </c>
      <c r="B20" s="1"/>
      <c r="C20" s="1"/>
      <c r="D20" s="1"/>
      <c r="E20" s="1"/>
      <c r="F20" s="1"/>
      <c r="G20" s="1"/>
      <c r="H20" s="55"/>
      <c r="I20" s="2"/>
    </row>
    <row r="21" spans="1:9" s="14" customFormat="1" ht="23.4" x14ac:dyDescent="0.25">
      <c r="A21" s="13">
        <v>19</v>
      </c>
      <c r="B21" s="1"/>
      <c r="C21" s="1"/>
      <c r="D21" s="1"/>
      <c r="E21" s="1"/>
      <c r="F21" s="1"/>
      <c r="G21" s="1"/>
      <c r="H21" s="55"/>
      <c r="I21" s="2"/>
    </row>
    <row r="22" spans="1:9" s="14" customFormat="1" ht="23.4" x14ac:dyDescent="0.25">
      <c r="A22" s="13">
        <v>20</v>
      </c>
      <c r="B22" s="1"/>
      <c r="C22" s="1"/>
      <c r="D22" s="1"/>
      <c r="E22" s="1"/>
      <c r="F22" s="1"/>
      <c r="G22" s="1"/>
      <c r="H22" s="55"/>
      <c r="I22" s="2"/>
    </row>
    <row r="23" spans="1:9" s="14" customFormat="1" ht="23.4" x14ac:dyDescent="0.25">
      <c r="A23" s="13">
        <v>21</v>
      </c>
      <c r="B23" s="1"/>
      <c r="C23" s="1"/>
      <c r="D23" s="1"/>
      <c r="E23" s="1"/>
      <c r="F23" s="1"/>
      <c r="G23" s="1"/>
      <c r="H23" s="55"/>
      <c r="I23" s="2"/>
    </row>
    <row r="24" spans="1:9" s="14" customFormat="1" ht="23.4" x14ac:dyDescent="0.25">
      <c r="A24" s="13">
        <v>22</v>
      </c>
      <c r="B24" s="1"/>
      <c r="C24" s="1"/>
      <c r="D24" s="1"/>
      <c r="E24" s="1"/>
      <c r="F24" s="1"/>
      <c r="G24" s="1"/>
      <c r="H24" s="55"/>
      <c r="I24" s="2"/>
    </row>
    <row r="25" spans="1:9" s="14" customFormat="1" ht="23.4" x14ac:dyDescent="0.25">
      <c r="A25" s="13">
        <v>23</v>
      </c>
      <c r="B25" s="1"/>
      <c r="C25" s="1"/>
      <c r="D25" s="1"/>
      <c r="E25" s="1"/>
      <c r="F25" s="1"/>
      <c r="G25" s="1"/>
      <c r="H25" s="55"/>
      <c r="I25" s="2"/>
    </row>
    <row r="26" spans="1:9" s="14" customFormat="1" ht="23.4" x14ac:dyDescent="0.25">
      <c r="A26" s="13">
        <v>24</v>
      </c>
      <c r="B26" s="4"/>
      <c r="C26" s="4"/>
      <c r="D26" s="4"/>
      <c r="E26" s="4"/>
      <c r="F26" s="4"/>
      <c r="G26" s="4"/>
      <c r="H26" s="4"/>
      <c r="I26" s="2"/>
    </row>
    <row r="27" spans="1:9" s="14" customFormat="1" ht="23.4" x14ac:dyDescent="0.25">
      <c r="A27" s="13">
        <v>25</v>
      </c>
      <c r="B27" s="4"/>
      <c r="C27" s="4"/>
      <c r="D27" s="4"/>
      <c r="E27" s="4"/>
      <c r="F27" s="4"/>
      <c r="G27" s="4"/>
      <c r="H27" s="4"/>
      <c r="I27" s="2"/>
    </row>
    <row r="28" spans="1:9" s="14" customFormat="1" ht="23.4" x14ac:dyDescent="0.25">
      <c r="A28" s="13">
        <v>26</v>
      </c>
      <c r="B28" s="4"/>
      <c r="C28" s="4"/>
      <c r="D28" s="4"/>
      <c r="E28" s="4"/>
      <c r="F28" s="4"/>
      <c r="G28" s="4"/>
      <c r="H28" s="4"/>
      <c r="I28" s="2"/>
    </row>
    <row r="29" spans="1:9" s="14" customFormat="1" ht="23.4" x14ac:dyDescent="0.25">
      <c r="A29" s="13">
        <v>27</v>
      </c>
      <c r="B29" s="4"/>
      <c r="C29" s="4"/>
      <c r="D29" s="4"/>
      <c r="E29" s="4"/>
      <c r="F29" s="4"/>
      <c r="G29" s="4"/>
      <c r="H29" s="4"/>
      <c r="I29" s="2"/>
    </row>
    <row r="30" spans="1:9" s="14" customFormat="1" ht="23.4" x14ac:dyDescent="0.25">
      <c r="A30" s="13">
        <v>28</v>
      </c>
      <c r="B30" s="4"/>
      <c r="C30" s="4"/>
      <c r="D30" s="4"/>
      <c r="E30" s="4"/>
      <c r="F30" s="4"/>
      <c r="G30" s="4"/>
      <c r="H30" s="4"/>
      <c r="I30" s="2"/>
    </row>
    <row r="31" spans="1:9" s="14" customFormat="1" ht="23.4" x14ac:dyDescent="0.25">
      <c r="A31" s="13">
        <v>29</v>
      </c>
      <c r="B31" s="4"/>
      <c r="C31" s="4"/>
      <c r="D31" s="4"/>
      <c r="E31" s="4"/>
      <c r="F31" s="4"/>
      <c r="G31" s="4"/>
      <c r="H31" s="4"/>
      <c r="I31" s="2"/>
    </row>
    <row r="32" spans="1:9" s="14" customFormat="1" ht="23.4" x14ac:dyDescent="0.25">
      <c r="A32" s="13">
        <v>30</v>
      </c>
      <c r="B32" s="4"/>
      <c r="C32" s="4"/>
      <c r="D32" s="4"/>
      <c r="E32" s="4"/>
      <c r="F32" s="4"/>
      <c r="G32" s="4"/>
      <c r="H32" s="4"/>
      <c r="I32" s="2"/>
    </row>
    <row r="33" spans="1:9" s="14" customFormat="1" ht="23.4" x14ac:dyDescent="0.25">
      <c r="A33" s="13">
        <v>31</v>
      </c>
      <c r="B33" s="4"/>
      <c r="C33" s="4"/>
      <c r="D33" s="4"/>
      <c r="E33" s="4"/>
      <c r="F33" s="4"/>
      <c r="G33" s="4"/>
      <c r="H33" s="4"/>
      <c r="I33" s="2"/>
    </row>
    <row r="34" spans="1:9" s="14" customFormat="1" ht="23.4" x14ac:dyDescent="0.25">
      <c r="A34" s="61">
        <v>32</v>
      </c>
      <c r="B34" s="62"/>
      <c r="C34" s="62"/>
      <c r="D34" s="62"/>
      <c r="E34" s="62"/>
      <c r="F34" s="62"/>
      <c r="G34" s="62"/>
      <c r="H34" s="63"/>
      <c r="I34" s="63"/>
    </row>
    <row r="35" spans="1:9" s="14" customFormat="1" ht="23.4" x14ac:dyDescent="0.25">
      <c r="A35" s="65"/>
      <c r="B35" s="60"/>
      <c r="C35" s="60"/>
      <c r="D35" s="60"/>
      <c r="E35" s="60"/>
      <c r="F35" s="60"/>
      <c r="G35" s="60"/>
      <c r="H35" s="60"/>
      <c r="I35" s="59"/>
    </row>
    <row r="36" spans="1:9" s="14" customFormat="1" ht="23.4" x14ac:dyDescent="0.25">
      <c r="A36" s="65"/>
      <c r="B36" s="60"/>
      <c r="C36" s="60"/>
      <c r="D36" s="60"/>
      <c r="E36" s="60"/>
      <c r="F36" s="60"/>
      <c r="G36" s="60"/>
      <c r="H36" s="60"/>
      <c r="I36" s="59"/>
    </row>
    <row r="37" spans="1:9" s="14" customFormat="1" ht="23.4" x14ac:dyDescent="0.25">
      <c r="A37" s="65"/>
      <c r="B37" s="60"/>
      <c r="C37" s="60"/>
      <c r="D37" s="60"/>
      <c r="E37" s="60"/>
      <c r="F37" s="60"/>
      <c r="G37" s="60"/>
      <c r="H37" s="60"/>
      <c r="I37" s="59"/>
    </row>
    <row r="38" spans="1:9" s="14" customFormat="1" ht="23.4" x14ac:dyDescent="0.25">
      <c r="A38" s="65"/>
      <c r="B38" s="60"/>
      <c r="C38" s="60"/>
      <c r="D38" s="60"/>
      <c r="E38" s="60"/>
      <c r="F38" s="60"/>
      <c r="G38" s="60"/>
      <c r="H38" s="60"/>
      <c r="I38" s="59"/>
    </row>
    <row r="39" spans="1:9" s="14" customFormat="1" ht="23.4" x14ac:dyDescent="0.25">
      <c r="A39" s="65"/>
      <c r="B39" s="60"/>
      <c r="C39" s="60"/>
      <c r="D39" s="60"/>
      <c r="E39" s="60"/>
      <c r="F39" s="60"/>
      <c r="G39" s="60"/>
      <c r="H39" s="60"/>
      <c r="I39" s="59"/>
    </row>
    <row r="40" spans="1:9" s="14" customFormat="1" ht="23.4" x14ac:dyDescent="0.25">
      <c r="A40" s="65"/>
      <c r="B40" s="60"/>
      <c r="C40" s="60"/>
      <c r="D40" s="60"/>
      <c r="E40" s="60"/>
      <c r="F40" s="60"/>
      <c r="G40" s="60"/>
      <c r="H40" s="60"/>
      <c r="I40" s="59"/>
    </row>
    <row r="41" spans="1:9" s="14" customFormat="1" ht="23.4" x14ac:dyDescent="0.25">
      <c r="A41" s="65"/>
      <c r="B41" s="60"/>
      <c r="C41" s="60"/>
      <c r="D41" s="60"/>
      <c r="E41" s="60"/>
      <c r="F41" s="60"/>
      <c r="G41" s="60"/>
      <c r="H41" s="60"/>
      <c r="I41" s="59"/>
    </row>
    <row r="42" spans="1:9" s="14" customFormat="1" ht="23.4" x14ac:dyDescent="0.25">
      <c r="A42" s="65"/>
      <c r="B42" s="60"/>
      <c r="C42" s="60"/>
      <c r="D42" s="60"/>
      <c r="E42" s="60"/>
      <c r="F42" s="60"/>
      <c r="G42" s="60"/>
      <c r="H42" s="60"/>
      <c r="I42" s="59"/>
    </row>
    <row r="43" spans="1:9" s="14" customFormat="1" ht="23.4" x14ac:dyDescent="0.25">
      <c r="A43" s="65"/>
      <c r="B43" s="60"/>
      <c r="C43" s="60"/>
      <c r="D43" s="60"/>
      <c r="E43" s="60"/>
      <c r="F43" s="60"/>
      <c r="G43" s="60"/>
      <c r="H43" s="60"/>
      <c r="I43" s="59"/>
    </row>
    <row r="44" spans="1:9" s="14" customFormat="1" ht="23.4" x14ac:dyDescent="0.25">
      <c r="A44" s="65"/>
      <c r="B44" s="60"/>
      <c r="C44" s="60"/>
      <c r="D44" s="60"/>
      <c r="E44" s="60"/>
      <c r="F44" s="60"/>
      <c r="G44" s="60"/>
      <c r="H44" s="60"/>
      <c r="I44" s="59"/>
    </row>
    <row r="45" spans="1:9" s="14" customFormat="1" ht="23.4" x14ac:dyDescent="0.25">
      <c r="A45" s="65"/>
      <c r="B45" s="60"/>
      <c r="C45" s="60"/>
      <c r="D45" s="60"/>
      <c r="E45" s="60"/>
      <c r="F45" s="60"/>
      <c r="G45" s="60"/>
      <c r="H45" s="60"/>
      <c r="I45" s="59"/>
    </row>
    <row r="46" spans="1:9" s="14" customFormat="1" ht="23.4" x14ac:dyDescent="0.25">
      <c r="A46" s="65"/>
      <c r="B46" s="60"/>
      <c r="C46" s="60"/>
      <c r="D46" s="60"/>
      <c r="E46" s="60"/>
      <c r="F46" s="60"/>
      <c r="G46" s="60"/>
      <c r="H46" s="60"/>
      <c r="I46" s="59"/>
    </row>
    <row r="47" spans="1:9" s="14" customFormat="1" ht="23.4" x14ac:dyDescent="0.25">
      <c r="A47" s="65"/>
      <c r="B47" s="60"/>
      <c r="C47" s="60"/>
      <c r="D47" s="60"/>
      <c r="E47" s="60"/>
      <c r="F47" s="60"/>
      <c r="G47" s="60"/>
      <c r="H47" s="60"/>
      <c r="I47" s="59"/>
    </row>
    <row r="48" spans="1:9" s="14" customFormat="1" ht="23.4" x14ac:dyDescent="0.25">
      <c r="A48" s="65"/>
      <c r="B48" s="60"/>
      <c r="C48" s="60"/>
      <c r="D48" s="60"/>
      <c r="E48" s="60"/>
      <c r="F48" s="60"/>
      <c r="G48" s="60"/>
      <c r="H48" s="60"/>
      <c r="I48" s="59"/>
    </row>
    <row r="49" spans="1:9" s="14" customFormat="1" ht="23.4" x14ac:dyDescent="0.25">
      <c r="A49" s="65"/>
      <c r="B49" s="60"/>
      <c r="C49" s="60"/>
      <c r="D49" s="60"/>
      <c r="E49" s="60"/>
      <c r="F49" s="60"/>
      <c r="G49" s="60"/>
      <c r="H49" s="60"/>
      <c r="I49" s="59"/>
    </row>
    <row r="50" spans="1:9" s="14" customFormat="1" ht="23.4" x14ac:dyDescent="0.25">
      <c r="A50" s="65"/>
      <c r="B50" s="60"/>
      <c r="C50" s="60"/>
      <c r="D50" s="60"/>
      <c r="E50" s="60"/>
      <c r="F50" s="60"/>
      <c r="G50" s="60"/>
      <c r="H50" s="60"/>
      <c r="I50" s="59"/>
    </row>
    <row r="51" spans="1:9" s="14" customFormat="1" ht="23.4" x14ac:dyDescent="0.25">
      <c r="A51" s="65"/>
      <c r="B51" s="60"/>
      <c r="C51" s="60"/>
      <c r="D51" s="60"/>
      <c r="E51" s="60"/>
      <c r="F51" s="60"/>
      <c r="G51" s="60"/>
      <c r="H51" s="60"/>
      <c r="I51" s="59"/>
    </row>
    <row r="52" spans="1:9" s="14" customFormat="1" ht="23.4" x14ac:dyDescent="0.25">
      <c r="A52" s="65"/>
      <c r="B52" s="60"/>
      <c r="C52" s="60"/>
      <c r="D52" s="60"/>
      <c r="E52" s="60"/>
      <c r="F52" s="60"/>
      <c r="G52" s="60"/>
      <c r="H52" s="60"/>
      <c r="I52" s="59"/>
    </row>
    <row r="53" spans="1:9" s="14" customFormat="1" ht="23.4" x14ac:dyDescent="0.25">
      <c r="A53" s="65"/>
      <c r="B53" s="60"/>
      <c r="C53" s="60"/>
      <c r="D53" s="60"/>
      <c r="E53" s="60"/>
      <c r="F53" s="60"/>
      <c r="G53" s="60"/>
      <c r="H53" s="60"/>
      <c r="I53" s="59"/>
    </row>
    <row r="54" spans="1:9" s="14" customFormat="1" ht="23.4" x14ac:dyDescent="0.25">
      <c r="A54" s="65"/>
      <c r="B54" s="60"/>
      <c r="C54" s="60"/>
      <c r="D54" s="60"/>
      <c r="E54" s="60"/>
      <c r="F54" s="60"/>
      <c r="G54" s="60"/>
      <c r="H54" s="60"/>
      <c r="I54" s="59"/>
    </row>
    <row r="55" spans="1:9" s="14" customFormat="1" ht="23.4" x14ac:dyDescent="0.25">
      <c r="A55" s="65"/>
      <c r="B55" s="60"/>
      <c r="C55" s="60"/>
      <c r="D55" s="60"/>
      <c r="E55" s="60"/>
      <c r="F55" s="60"/>
      <c r="G55" s="60"/>
      <c r="H55" s="60"/>
      <c r="I55" s="59"/>
    </row>
    <row r="56" spans="1:9" s="14" customFormat="1" ht="23.4" x14ac:dyDescent="0.25">
      <c r="A56" s="65"/>
      <c r="B56" s="60"/>
      <c r="C56" s="60"/>
      <c r="D56" s="60"/>
      <c r="E56" s="60"/>
      <c r="F56" s="60"/>
      <c r="G56" s="60"/>
      <c r="H56" s="60"/>
      <c r="I56" s="59"/>
    </row>
    <row r="57" spans="1:9" s="14" customFormat="1" ht="23.4" x14ac:dyDescent="0.25">
      <c r="A57" s="65"/>
      <c r="B57" s="60"/>
      <c r="C57" s="60"/>
      <c r="D57" s="60"/>
      <c r="E57" s="60"/>
      <c r="F57" s="60"/>
      <c r="G57" s="60"/>
      <c r="H57" s="60"/>
      <c r="I57" s="59"/>
    </row>
    <row r="58" spans="1:9" s="14" customFormat="1" ht="23.4" x14ac:dyDescent="0.25">
      <c r="A58" s="65"/>
      <c r="B58" s="60"/>
      <c r="C58" s="60"/>
      <c r="D58" s="60"/>
      <c r="E58" s="60"/>
      <c r="F58" s="60"/>
      <c r="G58" s="60"/>
      <c r="H58" s="60"/>
      <c r="I58" s="59"/>
    </row>
    <row r="59" spans="1:9" s="14" customFormat="1" ht="23.4" x14ac:dyDescent="0.25">
      <c r="A59" s="65"/>
      <c r="B59" s="60"/>
      <c r="C59" s="60"/>
      <c r="D59" s="60"/>
      <c r="E59" s="60"/>
      <c r="F59" s="60"/>
      <c r="G59" s="60"/>
      <c r="H59" s="60"/>
      <c r="I59" s="59"/>
    </row>
    <row r="60" spans="1:9" s="14" customFormat="1" ht="23.4" x14ac:dyDescent="0.25">
      <c r="A60" s="65"/>
      <c r="B60" s="60"/>
      <c r="C60" s="60"/>
      <c r="D60" s="60"/>
      <c r="E60" s="60"/>
      <c r="F60" s="60"/>
      <c r="G60" s="60"/>
      <c r="H60" s="60"/>
      <c r="I60" s="59"/>
    </row>
    <row r="61" spans="1:9" s="14" customFormat="1" ht="23.4" x14ac:dyDescent="0.25">
      <c r="A61" s="65"/>
      <c r="B61" s="60"/>
      <c r="C61" s="60"/>
      <c r="D61" s="60"/>
      <c r="E61" s="60"/>
      <c r="F61" s="60"/>
      <c r="G61" s="60"/>
      <c r="H61" s="60"/>
      <c r="I61" s="59"/>
    </row>
    <row r="62" spans="1:9" s="14" customFormat="1" ht="23.4" x14ac:dyDescent="0.25">
      <c r="A62" s="65"/>
      <c r="B62" s="60"/>
      <c r="C62" s="60"/>
      <c r="D62" s="60"/>
      <c r="E62" s="60"/>
      <c r="F62" s="60"/>
      <c r="G62" s="60"/>
      <c r="H62" s="60"/>
      <c r="I62" s="59"/>
    </row>
    <row r="63" spans="1:9" s="14" customFormat="1" ht="23.4" x14ac:dyDescent="0.25">
      <c r="A63" s="65"/>
      <c r="B63" s="60"/>
      <c r="C63" s="60"/>
      <c r="D63" s="60"/>
      <c r="E63" s="60"/>
      <c r="F63" s="60"/>
      <c r="G63" s="60"/>
      <c r="H63" s="60"/>
      <c r="I63" s="59"/>
    </row>
    <row r="64" spans="1:9" s="14" customFormat="1" ht="23.4" x14ac:dyDescent="0.25">
      <c r="A64" s="65"/>
      <c r="B64" s="60"/>
      <c r="C64" s="60"/>
      <c r="D64" s="60"/>
      <c r="E64" s="60"/>
      <c r="F64" s="60"/>
      <c r="G64" s="60"/>
      <c r="H64" s="60"/>
      <c r="I64" s="59"/>
    </row>
    <row r="65" spans="1:9" s="14" customFormat="1" ht="23.4" x14ac:dyDescent="0.25">
      <c r="A65" s="65"/>
      <c r="B65" s="60"/>
      <c r="C65" s="60"/>
      <c r="D65" s="60"/>
      <c r="E65" s="60"/>
      <c r="F65" s="60"/>
      <c r="G65" s="60"/>
      <c r="H65" s="60"/>
      <c r="I65" s="59"/>
    </row>
    <row r="66" spans="1:9" s="14" customFormat="1" ht="23.4" x14ac:dyDescent="0.25">
      <c r="A66" s="65"/>
      <c r="B66" s="60"/>
      <c r="C66" s="60"/>
      <c r="D66" s="60"/>
      <c r="E66" s="60"/>
      <c r="F66" s="60"/>
      <c r="G66" s="60"/>
      <c r="H66" s="60"/>
      <c r="I66" s="59"/>
    </row>
    <row r="67" spans="1:9" s="14" customFormat="1" ht="23.4" x14ac:dyDescent="0.25">
      <c r="A67" s="65"/>
      <c r="B67" s="60"/>
      <c r="C67" s="60"/>
      <c r="D67" s="60"/>
      <c r="E67" s="60"/>
      <c r="F67" s="60"/>
      <c r="G67" s="60"/>
      <c r="H67" s="60"/>
      <c r="I67" s="59"/>
    </row>
    <row r="68" spans="1:9" s="14" customFormat="1" ht="23.4" x14ac:dyDescent="0.25">
      <c r="A68" s="65"/>
      <c r="B68" s="60"/>
      <c r="C68" s="60"/>
      <c r="D68" s="60"/>
      <c r="E68" s="60"/>
      <c r="F68" s="60"/>
      <c r="G68" s="60"/>
      <c r="H68" s="60"/>
      <c r="I68" s="59"/>
    </row>
    <row r="69" spans="1:9" s="14" customFormat="1" ht="23.4" x14ac:dyDescent="0.25">
      <c r="A69" s="65"/>
      <c r="B69" s="60"/>
      <c r="C69" s="60"/>
      <c r="D69" s="60"/>
      <c r="E69" s="60"/>
      <c r="F69" s="60"/>
      <c r="G69" s="60"/>
      <c r="H69" s="60"/>
      <c r="I69" s="59"/>
    </row>
    <row r="70" spans="1:9" s="14" customFormat="1" ht="23.4" x14ac:dyDescent="0.25">
      <c r="A70" s="65"/>
      <c r="B70" s="60"/>
      <c r="C70" s="60"/>
      <c r="D70" s="60"/>
      <c r="E70" s="60"/>
      <c r="F70" s="60"/>
      <c r="G70" s="60"/>
      <c r="H70" s="60"/>
      <c r="I70" s="59"/>
    </row>
    <row r="71" spans="1:9" s="14" customFormat="1" ht="23.4" x14ac:dyDescent="0.25">
      <c r="A71" s="65"/>
      <c r="B71" s="60"/>
      <c r="C71" s="60"/>
      <c r="D71" s="60"/>
      <c r="E71" s="60"/>
      <c r="F71" s="60"/>
      <c r="G71" s="60"/>
      <c r="H71" s="60"/>
      <c r="I71" s="59"/>
    </row>
    <row r="72" spans="1:9" s="14" customFormat="1" ht="23.4" x14ac:dyDescent="0.25">
      <c r="A72" s="65"/>
      <c r="B72" s="60"/>
      <c r="C72" s="60"/>
      <c r="D72" s="60"/>
      <c r="E72" s="60"/>
      <c r="F72" s="60"/>
      <c r="G72" s="60"/>
      <c r="H72" s="60"/>
      <c r="I72" s="59"/>
    </row>
    <row r="73" spans="1:9" s="14" customFormat="1" ht="23.4" x14ac:dyDescent="0.25">
      <c r="A73" s="65"/>
      <c r="B73" s="60"/>
      <c r="C73" s="60"/>
      <c r="D73" s="60"/>
      <c r="E73" s="60"/>
      <c r="F73" s="60"/>
      <c r="G73" s="60"/>
      <c r="H73" s="60"/>
      <c r="I73" s="59"/>
    </row>
    <row r="74" spans="1:9" s="14" customFormat="1" ht="23.4" x14ac:dyDescent="0.25">
      <c r="A74" s="65"/>
      <c r="B74" s="60"/>
      <c r="C74" s="60"/>
      <c r="D74" s="60"/>
      <c r="E74" s="60"/>
      <c r="F74" s="60"/>
      <c r="G74" s="60"/>
      <c r="H74" s="60"/>
      <c r="I74" s="59"/>
    </row>
    <row r="75" spans="1:9" s="14" customFormat="1" ht="23.4" x14ac:dyDescent="0.25">
      <c r="A75" s="65"/>
      <c r="B75" s="60"/>
      <c r="C75" s="60"/>
      <c r="D75" s="60"/>
      <c r="E75" s="60"/>
      <c r="F75" s="60"/>
      <c r="G75" s="60"/>
      <c r="H75" s="60"/>
      <c r="I75" s="59"/>
    </row>
    <row r="76" spans="1:9" ht="27" thickBot="1" x14ac:dyDescent="0.75">
      <c r="G76" s="23" t="s">
        <v>25</v>
      </c>
      <c r="H76" s="64">
        <f>SUM(H3:H75)</f>
        <v>0</v>
      </c>
      <c r="I76" s="16" t="s">
        <v>43</v>
      </c>
    </row>
    <row r="77" spans="1:9" ht="14.4" thickTop="1" x14ac:dyDescent="0.25"/>
  </sheetData>
  <autoFilter ref="B2:K38" xr:uid="{418B859D-9AEE-4DBC-84AA-2E90E0A86546}"/>
  <conditionalFormatting sqref="H76">
    <cfRule type="containsText" dxfId="0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สรุป 69</vt:lpstr>
      <vt:lpstr>สรุปสาเหตุเคลม</vt:lpstr>
      <vt:lpstr>ม.ค. เคลม</vt:lpstr>
      <vt:lpstr>ม.ค. ยกเลิก</vt:lpstr>
      <vt:lpstr>ก.พ. เคลม</vt:lpstr>
      <vt:lpstr>ก.พ. ยกเลิก</vt:lpstr>
      <vt:lpstr>มี.ค. เคลม</vt:lpstr>
      <vt:lpstr>มี.ค. ยกเลิก</vt:lpstr>
      <vt:lpstr>เม.ย. เคลม</vt:lpstr>
      <vt:lpstr>เม.ย. ยกเลิก</vt:lpstr>
      <vt:lpstr>พ.ค. เคลม</vt:lpstr>
      <vt:lpstr>พ.ค. ยกเลิก</vt:lpstr>
      <vt:lpstr>มิ.ย. เคลม</vt:lpstr>
      <vt:lpstr>มิ.ย. ยกเลิก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cp:lastPrinted>2025-01-01T06:39:45Z</cp:lastPrinted>
  <dcterms:created xsi:type="dcterms:W3CDTF">2024-02-04T02:03:59Z</dcterms:created>
  <dcterms:modified xsi:type="dcterms:W3CDTF">2026-07-04T08:26:21Z</dcterms:modified>
</cp:coreProperties>
</file>